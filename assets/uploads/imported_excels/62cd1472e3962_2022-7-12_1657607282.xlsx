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dhakar appa\desktop\Report HLP 2020\HLP 2022\"/>
    </mc:Choice>
  </mc:AlternateContent>
  <xr:revisionPtr revIDLastSave="0" documentId="8_{642C56A3-EA28-4CA4-A4FC-14836D1E01B0}" xr6:coauthVersionLast="47" xr6:coauthVersionMax="47" xr10:uidLastSave="{00000000-0000-0000-0000-000000000000}"/>
  <bookViews>
    <workbookView xWindow="-120" yWindow="-120" windowWidth="20730" windowHeight="11160" tabRatio="960" activeTab="5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 taken physical reading &amp; Adj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  <sheet name="Sheet2" sheetId="51" r:id="rId40"/>
    <sheet name="Sheet3" sheetId="52" r:id="rId41"/>
    <sheet name="Sheet4" sheetId="53" r:id="rId42"/>
  </sheets>
  <externalReferences>
    <externalReference r:id="rId43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'14'!$A$1:$J$167</definedName>
    <definedName name="_xlnm.Print_Area" localSheetId="20">'15'!$A$1:$J$192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'30'!$A$1:$J$189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'6'!$A$1:$J$199</definedName>
    <definedName name="_xlnm.Print_Area" localSheetId="12">'7'!$A$1:$J$194</definedName>
    <definedName name="_xlnm.Print_Area" localSheetId="13">'8'!$A$1:$J$190</definedName>
    <definedName name="_xlnm.Print_Area" localSheetId="14">'9 taken physical reading &amp; Adj'!$A$1:$J$191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0" i="29" l="1"/>
  <c r="F147" i="27"/>
  <c r="E15" i="25"/>
  <c r="E8" i="25"/>
  <c r="E9" i="25"/>
  <c r="E10" i="25"/>
  <c r="E11" i="25"/>
  <c r="E12" i="25"/>
  <c r="E7" i="25"/>
  <c r="E132" i="24"/>
  <c r="E133" i="24"/>
  <c r="E134" i="24"/>
  <c r="E129" i="24"/>
  <c r="E128" i="24"/>
  <c r="E113" i="24"/>
  <c r="E114" i="24"/>
  <c r="E115" i="24"/>
  <c r="E116" i="24"/>
  <c r="E117" i="24"/>
  <c r="E118" i="24"/>
  <c r="E119" i="24"/>
  <c r="E120" i="24"/>
  <c r="E121" i="24"/>
  <c r="E122" i="24"/>
  <c r="E123" i="24"/>
  <c r="E124" i="24"/>
  <c r="E112" i="24"/>
  <c r="E55" i="24"/>
  <c r="E54" i="24"/>
  <c r="E50" i="24"/>
  <c r="E49" i="24"/>
  <c r="E42" i="24"/>
  <c r="E40" i="24"/>
  <c r="E39" i="24"/>
  <c r="E38" i="24"/>
  <c r="E37" i="24"/>
  <c r="E36" i="24"/>
  <c r="E9" i="24"/>
  <c r="E10" i="24"/>
  <c r="E7" i="24"/>
  <c r="E7" i="23" l="1"/>
  <c r="E161" i="22"/>
  <c r="E36" i="21"/>
  <c r="E37" i="21"/>
  <c r="E38" i="21"/>
  <c r="E39" i="21"/>
  <c r="E40" i="21"/>
  <c r="E41" i="21"/>
  <c r="E42" i="21"/>
  <c r="E43" i="21"/>
  <c r="E44" i="21"/>
  <c r="E45" i="21"/>
  <c r="E46" i="21"/>
  <c r="E50" i="21"/>
  <c r="E51" i="21"/>
  <c r="E52" i="21"/>
  <c r="E53" i="21"/>
  <c r="E54" i="21"/>
  <c r="E55" i="21"/>
  <c r="E56" i="21"/>
  <c r="E57" i="21"/>
  <c r="E58" i="21"/>
  <c r="E8" i="21"/>
  <c r="E9" i="21"/>
  <c r="E10" i="21"/>
  <c r="E11" i="21"/>
  <c r="E12" i="21"/>
  <c r="E7" i="21"/>
  <c r="E50" i="20"/>
  <c r="E51" i="20"/>
  <c r="E52" i="20"/>
  <c r="E53" i="20"/>
  <c r="E54" i="20"/>
  <c r="E55" i="20"/>
  <c r="E56" i="20"/>
  <c r="E57" i="20"/>
  <c r="E58" i="20"/>
  <c r="E8" i="20"/>
  <c r="E9" i="20"/>
  <c r="E10" i="20"/>
  <c r="E11" i="20"/>
  <c r="E12" i="20"/>
  <c r="E162" i="19"/>
  <c r="E163" i="19"/>
  <c r="E164" i="19"/>
  <c r="E165" i="19"/>
  <c r="E166" i="19"/>
  <c r="E167" i="19"/>
  <c r="E168" i="19"/>
  <c r="E36" i="19"/>
  <c r="E37" i="19"/>
  <c r="E38" i="19"/>
  <c r="E39" i="19"/>
  <c r="E40" i="19"/>
  <c r="E41" i="19"/>
  <c r="E42" i="19"/>
  <c r="E43" i="19"/>
  <c r="E44" i="19"/>
  <c r="E45" i="19"/>
  <c r="E46" i="19"/>
  <c r="E35" i="19"/>
  <c r="E8" i="19"/>
  <c r="E9" i="19"/>
  <c r="E10" i="19"/>
  <c r="E11" i="19"/>
  <c r="E12" i="19"/>
  <c r="E7" i="19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66" i="17"/>
  <c r="E67" i="17"/>
  <c r="E68" i="17"/>
  <c r="E69" i="17"/>
  <c r="E70" i="17"/>
  <c r="F15" i="43"/>
  <c r="F15" i="31"/>
  <c r="F7" i="31"/>
  <c r="F8" i="43"/>
  <c r="F8" i="31"/>
  <c r="F19" i="12" l="1"/>
  <c r="E130" i="11"/>
  <c r="E115" i="11"/>
  <c r="F19" i="11"/>
  <c r="F19" i="10"/>
  <c r="E58" i="10"/>
  <c r="E62" i="10"/>
  <c r="E38" i="10"/>
  <c r="E49" i="10"/>
  <c r="E39" i="10"/>
  <c r="E42" i="10"/>
  <c r="E138" i="10"/>
  <c r="E8" i="9"/>
  <c r="G8" i="9" s="1"/>
  <c r="O9" i="9" s="1"/>
  <c r="E7" i="9"/>
  <c r="G7" i="9" s="1"/>
  <c r="E146" i="7" l="1"/>
  <c r="E115" i="7"/>
  <c r="F195" i="7"/>
  <c r="E195" i="7"/>
  <c r="E174" i="5"/>
  <c r="E175" i="5"/>
  <c r="E129" i="33"/>
  <c r="E130" i="33"/>
  <c r="E131" i="33"/>
  <c r="E132" i="33"/>
  <c r="E133" i="33"/>
  <c r="E134" i="33"/>
  <c r="E8" i="33"/>
  <c r="E9" i="33"/>
  <c r="E10" i="33"/>
  <c r="E11" i="33"/>
  <c r="E12" i="33"/>
  <c r="E8" i="5"/>
  <c r="E9" i="5"/>
  <c r="E10" i="5"/>
  <c r="E11" i="5"/>
  <c r="E12" i="5"/>
  <c r="E8" i="4"/>
  <c r="E9" i="4"/>
  <c r="E10" i="4"/>
  <c r="E11" i="4"/>
  <c r="E12" i="4"/>
  <c r="N15" i="31"/>
  <c r="N8" i="31"/>
  <c r="N7" i="31"/>
  <c r="E29" i="31"/>
  <c r="J16" i="31" l="1"/>
  <c r="E123" i="29"/>
  <c r="E112" i="29"/>
  <c r="E113" i="29"/>
  <c r="E114" i="29"/>
  <c r="E115" i="29"/>
  <c r="E9" i="29"/>
  <c r="E10" i="29"/>
  <c r="E11" i="29"/>
  <c r="F191" i="27" l="1"/>
  <c r="E68" i="27"/>
  <c r="G68" i="27" s="1"/>
  <c r="E7" i="22"/>
  <c r="E15" i="20"/>
  <c r="E113" i="19"/>
  <c r="E114" i="19"/>
  <c r="E115" i="19"/>
  <c r="E116" i="19"/>
  <c r="E117" i="19"/>
  <c r="E118" i="19"/>
  <c r="E119" i="19"/>
  <c r="E120" i="19"/>
  <c r="E121" i="19"/>
  <c r="E122" i="19"/>
  <c r="E123" i="19"/>
  <c r="E66" i="19"/>
  <c r="E67" i="19"/>
  <c r="E68" i="19"/>
  <c r="E69" i="19"/>
  <c r="E70" i="19"/>
  <c r="E50" i="19"/>
  <c r="E51" i="19"/>
  <c r="E52" i="19"/>
  <c r="E53" i="19"/>
  <c r="E54" i="19"/>
  <c r="E55" i="19"/>
  <c r="E56" i="19"/>
  <c r="E57" i="19"/>
  <c r="E58" i="19"/>
  <c r="E15" i="19"/>
  <c r="E15" i="18"/>
  <c r="E29" i="18"/>
  <c r="E15" i="17"/>
  <c r="E115" i="16"/>
  <c r="E15" i="16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79" i="15"/>
  <c r="E180" i="15"/>
  <c r="E174" i="15"/>
  <c r="E175" i="15"/>
  <c r="E162" i="15"/>
  <c r="E163" i="15"/>
  <c r="E164" i="15"/>
  <c r="E165" i="15"/>
  <c r="E161" i="15"/>
  <c r="E156" i="15"/>
  <c r="E157" i="15"/>
  <c r="E158" i="15"/>
  <c r="E155" i="15"/>
  <c r="E113" i="15"/>
  <c r="E114" i="15"/>
  <c r="E115" i="15"/>
  <c r="E116" i="15"/>
  <c r="E117" i="15"/>
  <c r="E118" i="15"/>
  <c r="E119" i="15"/>
  <c r="E120" i="15"/>
  <c r="E121" i="15"/>
  <c r="E122" i="15"/>
  <c r="E123" i="15"/>
  <c r="E83" i="15"/>
  <c r="E84" i="15"/>
  <c r="E85" i="15"/>
  <c r="E86" i="15"/>
  <c r="E87" i="15"/>
  <c r="E88" i="15"/>
  <c r="E89" i="15"/>
  <c r="E90" i="15"/>
  <c r="E91" i="15"/>
  <c r="E92" i="15"/>
  <c r="E63" i="15"/>
  <c r="E36" i="15"/>
  <c r="E37" i="15"/>
  <c r="E38" i="15"/>
  <c r="E39" i="15"/>
  <c r="E40" i="15"/>
  <c r="E41" i="15"/>
  <c r="E42" i="15"/>
  <c r="E43" i="15"/>
  <c r="E44" i="15"/>
  <c r="E45" i="15"/>
  <c r="E46" i="15"/>
  <c r="E174" i="13"/>
  <c r="E175" i="13"/>
  <c r="E173" i="13"/>
  <c r="E174" i="14"/>
  <c r="E175" i="14"/>
  <c r="E156" i="14"/>
  <c r="E157" i="14"/>
  <c r="E158" i="14"/>
  <c r="E155" i="14"/>
  <c r="E134" i="14"/>
  <c r="E10" i="14"/>
  <c r="E158" i="13"/>
  <c r="E157" i="13"/>
  <c r="E134" i="13"/>
  <c r="E50" i="13"/>
  <c r="E43" i="13"/>
  <c r="E15" i="21" l="1"/>
  <c r="E15" i="22" s="1"/>
  <c r="E15" i="23" s="1"/>
  <c r="E15" i="24" s="1"/>
  <c r="E15" i="40" s="1"/>
  <c r="E15" i="27" s="1"/>
  <c r="F15" i="27" s="1"/>
  <c r="E15" i="28" s="1"/>
  <c r="E15" i="29" s="1"/>
  <c r="E15" i="30" s="1"/>
  <c r="F15" i="30" s="1"/>
  <c r="E15" i="15"/>
  <c r="E118" i="12"/>
  <c r="E54" i="12"/>
  <c r="O8" i="12"/>
  <c r="P8" i="12" s="1"/>
  <c r="H159" i="10"/>
  <c r="J159" i="10" s="1"/>
  <c r="G15" i="20" l="1"/>
  <c r="E7" i="8"/>
  <c r="G7" i="8" s="1"/>
  <c r="E8" i="8"/>
  <c r="E7" i="7"/>
  <c r="E7" i="3" l="1"/>
  <c r="E129" i="30"/>
  <c r="E130" i="30"/>
  <c r="E131" i="30"/>
  <c r="E132" i="30"/>
  <c r="E133" i="30"/>
  <c r="E134" i="30"/>
  <c r="E9" i="30"/>
  <c r="E10" i="30"/>
  <c r="E11" i="30"/>
  <c r="E12" i="30"/>
  <c r="E41" i="27" l="1"/>
  <c r="E151" i="25"/>
  <c r="E112" i="23"/>
  <c r="E113" i="23"/>
  <c r="E114" i="23"/>
  <c r="E115" i="23"/>
  <c r="E123" i="23"/>
  <c r="E36" i="20"/>
  <c r="E37" i="20"/>
  <c r="E38" i="20"/>
  <c r="E39" i="20"/>
  <c r="E40" i="20"/>
  <c r="E41" i="20"/>
  <c r="E42" i="20"/>
  <c r="E43" i="20"/>
  <c r="E44" i="20"/>
  <c r="E45" i="20"/>
  <c r="E46" i="20"/>
  <c r="E118" i="20"/>
  <c r="E113" i="20"/>
  <c r="E114" i="20"/>
  <c r="E115" i="20"/>
  <c r="E116" i="20"/>
  <c r="E117" i="20"/>
  <c r="E119" i="20"/>
  <c r="E120" i="20"/>
  <c r="E121" i="20"/>
  <c r="E122" i="20"/>
  <c r="E123" i="20"/>
  <c r="E83" i="19"/>
  <c r="E84" i="19"/>
  <c r="E85" i="19"/>
  <c r="E86" i="19"/>
  <c r="E87" i="19"/>
  <c r="E88" i="19"/>
  <c r="E89" i="19"/>
  <c r="E90" i="19"/>
  <c r="E91" i="19"/>
  <c r="E92" i="19"/>
  <c r="E83" i="18"/>
  <c r="E84" i="18"/>
  <c r="E85" i="18"/>
  <c r="E86" i="18"/>
  <c r="E87" i="18"/>
  <c r="E88" i="18"/>
  <c r="E89" i="18"/>
  <c r="E90" i="18"/>
  <c r="E91" i="18"/>
  <c r="E92" i="18"/>
  <c r="E50" i="18"/>
  <c r="E51" i="18"/>
  <c r="E52" i="18"/>
  <c r="E53" i="18"/>
  <c r="E54" i="18"/>
  <c r="E55" i="18"/>
  <c r="E56" i="18"/>
  <c r="E57" i="18"/>
  <c r="E58" i="18"/>
  <c r="E36" i="18"/>
  <c r="E37" i="18"/>
  <c r="E38" i="18"/>
  <c r="E39" i="18"/>
  <c r="E40" i="18"/>
  <c r="E41" i="18"/>
  <c r="E42" i="18"/>
  <c r="E43" i="18"/>
  <c r="E44" i="18"/>
  <c r="E45" i="18"/>
  <c r="E46" i="18"/>
  <c r="E11" i="18"/>
  <c r="E12" i="18"/>
  <c r="E50" i="17"/>
  <c r="E51" i="17"/>
  <c r="E52" i="17"/>
  <c r="E53" i="17"/>
  <c r="E54" i="17"/>
  <c r="E55" i="17"/>
  <c r="E56" i="17"/>
  <c r="E57" i="17"/>
  <c r="E58" i="17"/>
  <c r="E36" i="17"/>
  <c r="E37" i="17"/>
  <c r="E38" i="17"/>
  <c r="E39" i="17"/>
  <c r="E40" i="17"/>
  <c r="E41" i="17"/>
  <c r="E42" i="17"/>
  <c r="E43" i="17"/>
  <c r="E44" i="17"/>
  <c r="E45" i="17"/>
  <c r="E46" i="17"/>
  <c r="E113" i="17"/>
  <c r="E114" i="17"/>
  <c r="E116" i="17"/>
  <c r="E117" i="17"/>
  <c r="E118" i="17"/>
  <c r="E119" i="17"/>
  <c r="E120" i="17"/>
  <c r="E121" i="17"/>
  <c r="E122" i="17"/>
  <c r="E123" i="17"/>
  <c r="E178" i="12"/>
  <c r="E158" i="12"/>
  <c r="E157" i="12"/>
  <c r="E158" i="11" l="1"/>
  <c r="G158" i="11" s="1"/>
  <c r="E157" i="11"/>
  <c r="G157" i="11" s="1"/>
  <c r="E158" i="10"/>
  <c r="E157" i="10"/>
  <c r="E118" i="10"/>
  <c r="E50" i="10"/>
  <c r="E51" i="10"/>
  <c r="E52" i="10"/>
  <c r="E53" i="10"/>
  <c r="E54" i="10"/>
  <c r="E55" i="10"/>
  <c r="E56" i="10"/>
  <c r="E57" i="10"/>
  <c r="E36" i="10"/>
  <c r="E37" i="10"/>
  <c r="E40" i="10"/>
  <c r="E41" i="10"/>
  <c r="E43" i="10"/>
  <c r="E44" i="10"/>
  <c r="E45" i="10"/>
  <c r="E46" i="10"/>
  <c r="E35" i="10"/>
  <c r="G8" i="10"/>
  <c r="N9" i="10" l="1"/>
  <c r="E3" i="48"/>
  <c r="E4" i="48"/>
  <c r="E5" i="48"/>
  <c r="E6" i="48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2" i="48"/>
  <c r="E157" i="8" l="1"/>
  <c r="G157" i="8" s="1"/>
  <c r="E158" i="8"/>
  <c r="G158" i="8" s="1"/>
  <c r="E157" i="9"/>
  <c r="G157" i="9" s="1"/>
  <c r="E158" i="9"/>
  <c r="G158" i="9" s="1"/>
  <c r="E157" i="7" l="1"/>
  <c r="G157" i="7" s="1"/>
  <c r="E158" i="7"/>
  <c r="G158" i="7" s="1"/>
  <c r="E113" i="5"/>
  <c r="E114" i="5"/>
  <c r="E115" i="5"/>
  <c r="E116" i="5"/>
  <c r="E117" i="5"/>
  <c r="E118" i="5"/>
  <c r="E119" i="5"/>
  <c r="E120" i="5"/>
  <c r="E121" i="5"/>
  <c r="E122" i="5"/>
  <c r="E123" i="5"/>
  <c r="E50" i="5"/>
  <c r="E51" i="5"/>
  <c r="E52" i="5"/>
  <c r="E53" i="5"/>
  <c r="E54" i="5"/>
  <c r="E55" i="5"/>
  <c r="E56" i="5"/>
  <c r="E57" i="5"/>
  <c r="E58" i="5"/>
  <c r="E36" i="5"/>
  <c r="E37" i="5"/>
  <c r="E38" i="5"/>
  <c r="E39" i="5"/>
  <c r="E40" i="5"/>
  <c r="E41" i="5"/>
  <c r="E42" i="5"/>
  <c r="E43" i="5"/>
  <c r="E44" i="5"/>
  <c r="E45" i="5"/>
  <c r="E46" i="5"/>
  <c r="E156" i="43"/>
  <c r="E157" i="43"/>
  <c r="E158" i="43"/>
  <c r="E152" i="43"/>
  <c r="E132" i="43"/>
  <c r="E68" i="43"/>
  <c r="E56" i="43"/>
  <c r="E139" i="30"/>
  <c r="E140" i="30"/>
  <c r="E141" i="30"/>
  <c r="E142" i="30"/>
  <c r="E143" i="30"/>
  <c r="E144" i="30"/>
  <c r="E145" i="30"/>
  <c r="E146" i="30"/>
  <c r="E147" i="30"/>
  <c r="E148" i="30"/>
  <c r="E149" i="30"/>
  <c r="E150" i="30"/>
  <c r="E151" i="30"/>
  <c r="E152" i="30"/>
  <c r="E113" i="30"/>
  <c r="E114" i="30"/>
  <c r="E115" i="30"/>
  <c r="E116" i="30"/>
  <c r="E117" i="30"/>
  <c r="E118" i="30"/>
  <c r="E119" i="30"/>
  <c r="E120" i="30"/>
  <c r="E121" i="30"/>
  <c r="E122" i="30"/>
  <c r="E123" i="30"/>
  <c r="E112" i="30"/>
  <c r="E116" i="29"/>
  <c r="E117" i="29"/>
  <c r="E118" i="29"/>
  <c r="E119" i="29"/>
  <c r="E120" i="29"/>
  <c r="E121" i="29"/>
  <c r="E122" i="29"/>
  <c r="E19" i="28"/>
  <c r="E11" i="28"/>
  <c r="E12" i="28"/>
  <c r="E50" i="27"/>
  <c r="E51" i="27"/>
  <c r="E52" i="27"/>
  <c r="E53" i="27"/>
  <c r="E54" i="27"/>
  <c r="E55" i="27"/>
  <c r="E56" i="27"/>
  <c r="E57" i="27"/>
  <c r="E5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66" i="27"/>
  <c r="E67" i="27"/>
  <c r="E69" i="27"/>
  <c r="E70" i="27"/>
  <c r="G152" i="30" l="1"/>
  <c r="G159" i="12" l="1"/>
  <c r="H159" i="12" s="1"/>
  <c r="J159" i="12" s="1"/>
  <c r="G157" i="12"/>
  <c r="G158" i="12"/>
  <c r="E36" i="11" l="1"/>
  <c r="E37" i="11"/>
  <c r="E38" i="11"/>
  <c r="E39" i="11"/>
  <c r="E40" i="11"/>
  <c r="E41" i="11"/>
  <c r="E42" i="11"/>
  <c r="E43" i="11"/>
  <c r="E44" i="11"/>
  <c r="E45" i="11"/>
  <c r="E46" i="11"/>
  <c r="E139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13" i="10"/>
  <c r="E114" i="10"/>
  <c r="E116" i="10"/>
  <c r="E117" i="10"/>
  <c r="E119" i="10"/>
  <c r="E120" i="10"/>
  <c r="E121" i="10"/>
  <c r="E122" i="10"/>
  <c r="E123" i="10"/>
  <c r="E75" i="9"/>
  <c r="E76" i="9"/>
  <c r="E77" i="9"/>
  <c r="E78" i="9"/>
  <c r="E85" i="5"/>
  <c r="E85" i="33"/>
  <c r="E90" i="3" l="1"/>
  <c r="E90" i="4"/>
  <c r="E40" i="4"/>
  <c r="G91" i="2"/>
  <c r="E40" i="3"/>
  <c r="E157" i="29" l="1"/>
  <c r="E158" i="29"/>
  <c r="E66" i="40" l="1"/>
  <c r="E67" i="40"/>
  <c r="E68" i="40"/>
  <c r="G68" i="40" s="1"/>
  <c r="E69" i="40"/>
  <c r="E70" i="40"/>
  <c r="E50" i="22"/>
  <c r="E50" i="12"/>
  <c r="E51" i="12"/>
  <c r="E52" i="12"/>
  <c r="E53" i="12"/>
  <c r="E55" i="12"/>
  <c r="E56" i="12"/>
  <c r="E57" i="12"/>
  <c r="E58" i="12"/>
  <c r="E50" i="11" l="1"/>
  <c r="E51" i="11"/>
  <c r="E52" i="11"/>
  <c r="E53" i="11"/>
  <c r="E54" i="11"/>
  <c r="E55" i="11"/>
  <c r="E56" i="11"/>
  <c r="E57" i="11"/>
  <c r="E5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29" i="11"/>
  <c r="E131" i="11"/>
  <c r="E132" i="11"/>
  <c r="E133" i="11"/>
  <c r="E134" i="11"/>
  <c r="E156" i="10"/>
  <c r="G156" i="10" s="1"/>
  <c r="G157" i="10"/>
  <c r="G158" i="10"/>
  <c r="E11" i="10"/>
  <c r="E12" i="10"/>
  <c r="E113" i="9"/>
  <c r="E114" i="9"/>
  <c r="E115" i="9"/>
  <c r="E116" i="9"/>
  <c r="E117" i="9"/>
  <c r="E118" i="9"/>
  <c r="E119" i="9"/>
  <c r="E120" i="9"/>
  <c r="E121" i="9"/>
  <c r="E122" i="9"/>
  <c r="E123" i="9"/>
  <c r="E42" i="4"/>
  <c r="O86" i="3"/>
  <c r="G157" i="43" l="1"/>
  <c r="G158" i="43"/>
  <c r="G112" i="30" l="1"/>
  <c r="E66" i="28" l="1"/>
  <c r="E67" i="28"/>
  <c r="E68" i="28"/>
  <c r="E69" i="28"/>
  <c r="E70" i="28"/>
  <c r="E11" i="27" l="1"/>
  <c r="E12" i="27"/>
  <c r="E156" i="40"/>
  <c r="E157" i="40"/>
  <c r="E158" i="40"/>
  <c r="E129" i="25"/>
  <c r="E130" i="25"/>
  <c r="E131" i="25"/>
  <c r="E132" i="25"/>
  <c r="E133" i="25"/>
  <c r="E134" i="25"/>
  <c r="E36" i="40"/>
  <c r="E37" i="40"/>
  <c r="E38" i="40"/>
  <c r="E39" i="40"/>
  <c r="E40" i="40"/>
  <c r="E41" i="40"/>
  <c r="E42" i="40"/>
  <c r="E43" i="40"/>
  <c r="E44" i="40"/>
  <c r="E45" i="40"/>
  <c r="E46" i="40"/>
  <c r="E11" i="40"/>
  <c r="E12" i="40"/>
  <c r="E156" i="25"/>
  <c r="E157" i="25"/>
  <c r="E158" i="25"/>
  <c r="E157" i="23"/>
  <c r="G157" i="23" s="1"/>
  <c r="E158" i="23"/>
  <c r="G158" i="23" s="1"/>
  <c r="E157" i="24"/>
  <c r="E158" i="24"/>
  <c r="E132" i="22"/>
  <c r="E75" i="21" l="1"/>
  <c r="E149" i="20" l="1"/>
  <c r="G9" i="50"/>
  <c r="G11" i="19" l="1"/>
  <c r="E132" i="18"/>
  <c r="E158" i="19"/>
  <c r="G158" i="19" s="1"/>
  <c r="E157" i="16" l="1"/>
  <c r="E158" i="16"/>
  <c r="E150" i="16"/>
  <c r="G157" i="15" l="1"/>
  <c r="G158" i="15"/>
  <c r="G157" i="14" l="1"/>
  <c r="G158" i="14"/>
  <c r="G158" i="13" l="1"/>
  <c r="G157" i="13"/>
  <c r="E36" i="12" l="1"/>
  <c r="E37" i="12"/>
  <c r="E38" i="12"/>
  <c r="E39" i="12"/>
  <c r="E40" i="12"/>
  <c r="E41" i="12"/>
  <c r="E42" i="12"/>
  <c r="E43" i="12"/>
  <c r="E44" i="12"/>
  <c r="E45" i="12"/>
  <c r="E46" i="12"/>
  <c r="J159" i="33"/>
  <c r="E156" i="33"/>
  <c r="E157" i="33"/>
  <c r="G157" i="33" s="1"/>
  <c r="E158" i="33"/>
  <c r="G158" i="33" s="1"/>
  <c r="E157" i="5"/>
  <c r="G157" i="5" s="1"/>
  <c r="E158" i="5"/>
  <c r="G158" i="5" s="1"/>
  <c r="E156" i="4"/>
  <c r="G156" i="4" s="1"/>
  <c r="E157" i="4"/>
  <c r="G157" i="4" s="1"/>
  <c r="E158" i="4"/>
  <c r="G158" i="4" s="1"/>
  <c r="G158" i="3"/>
  <c r="E156" i="3"/>
  <c r="E157" i="3"/>
  <c r="G157" i="3" s="1"/>
  <c r="E161" i="3"/>
  <c r="G164" i="2"/>
  <c r="G158" i="2"/>
  <c r="H158" i="2" s="1"/>
  <c r="G157" i="2"/>
  <c r="H157" i="2" s="1"/>
  <c r="H157" i="3" l="1"/>
  <c r="H157" i="4" s="1"/>
  <c r="H157" i="5" s="1"/>
  <c r="H158" i="3"/>
  <c r="H158" i="4" s="1"/>
  <c r="H158" i="5" s="1"/>
  <c r="J158" i="5" s="1"/>
  <c r="G156" i="31"/>
  <c r="G157" i="31"/>
  <c r="G158" i="31"/>
  <c r="E139" i="43"/>
  <c r="E140" i="43"/>
  <c r="E141" i="43"/>
  <c r="E142" i="43"/>
  <c r="E143" i="43"/>
  <c r="E144" i="43"/>
  <c r="E145" i="43"/>
  <c r="E146" i="43"/>
  <c r="E147" i="43"/>
  <c r="E148" i="43"/>
  <c r="E150" i="43"/>
  <c r="E151" i="43"/>
  <c r="E36" i="43"/>
  <c r="E37" i="43"/>
  <c r="E38" i="43"/>
  <c r="E39" i="43"/>
  <c r="E40" i="43"/>
  <c r="E41" i="43"/>
  <c r="E42" i="43"/>
  <c r="E43" i="43"/>
  <c r="E44" i="43"/>
  <c r="E45" i="43"/>
  <c r="E46" i="43"/>
  <c r="J157" i="5" l="1"/>
  <c r="H157" i="33"/>
  <c r="J157" i="33" s="1"/>
  <c r="H158" i="33"/>
  <c r="J158" i="33" s="1"/>
  <c r="E157" i="30"/>
  <c r="G157" i="30" s="1"/>
  <c r="H157" i="30" s="1"/>
  <c r="E158" i="30"/>
  <c r="G158" i="30" s="1"/>
  <c r="H158" i="30" s="1"/>
  <c r="G157" i="29"/>
  <c r="G158" i="29"/>
  <c r="G157" i="24"/>
  <c r="G158" i="24"/>
  <c r="E156" i="28"/>
  <c r="G156" i="28" s="1"/>
  <c r="E157" i="28"/>
  <c r="G157" i="28" s="1"/>
  <c r="E158" i="28"/>
  <c r="G158" i="28" s="1"/>
  <c r="E36" i="28"/>
  <c r="E37" i="28"/>
  <c r="E38" i="28"/>
  <c r="E39" i="28"/>
  <c r="E40" i="28"/>
  <c r="E41" i="28"/>
  <c r="E42" i="28"/>
  <c r="E43" i="28"/>
  <c r="E44" i="28"/>
  <c r="E45" i="28"/>
  <c r="E46" i="28"/>
  <c r="G157" i="40"/>
  <c r="G158" i="40"/>
  <c r="E156" i="27"/>
  <c r="G156" i="27" s="1"/>
  <c r="E157" i="27"/>
  <c r="G157" i="27" s="1"/>
  <c r="E158" i="27"/>
  <c r="G158" i="27" s="1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G158" i="25"/>
  <c r="G157" i="25"/>
  <c r="G156" i="25"/>
  <c r="E75" i="25"/>
  <c r="E76" i="25"/>
  <c r="E77" i="25"/>
  <c r="E78" i="25"/>
  <c r="E134" i="23"/>
  <c r="E134" i="22"/>
  <c r="E157" i="22"/>
  <c r="G157" i="22" s="1"/>
  <c r="E158" i="22"/>
  <c r="G158" i="22" s="1"/>
  <c r="E157" i="21"/>
  <c r="G157" i="21" s="1"/>
  <c r="H157" i="21" s="1"/>
  <c r="J157" i="21" s="1"/>
  <c r="E158" i="21"/>
  <c r="G158" i="21" s="1"/>
  <c r="H158" i="21" s="1"/>
  <c r="J158" i="21" s="1"/>
  <c r="E180" i="21"/>
  <c r="E156" i="20"/>
  <c r="G156" i="20" s="1"/>
  <c r="E157" i="20"/>
  <c r="G157" i="20" s="1"/>
  <c r="E158" i="20"/>
  <c r="G158" i="20" s="1"/>
  <c r="E156" i="19"/>
  <c r="G156" i="19" s="1"/>
  <c r="E157" i="19"/>
  <c r="G157" i="19" s="1"/>
  <c r="E157" i="18"/>
  <c r="G157" i="18" s="1"/>
  <c r="E158" i="18"/>
  <c r="G158" i="18" s="1"/>
  <c r="E156" i="17"/>
  <c r="E157" i="17"/>
  <c r="G157" i="17" s="1"/>
  <c r="E158" i="17"/>
  <c r="G158" i="17" s="1"/>
  <c r="H157" i="7" l="1"/>
  <c r="H157" i="8" s="1"/>
  <c r="H158" i="7"/>
  <c r="J158" i="7" s="1"/>
  <c r="H158" i="43"/>
  <c r="J158" i="30"/>
  <c r="H157" i="43"/>
  <c r="J157" i="30"/>
  <c r="H158" i="22"/>
  <c r="H157" i="22"/>
  <c r="G158" i="16"/>
  <c r="G157" i="16"/>
  <c r="G15" i="15"/>
  <c r="J157" i="7" l="1"/>
  <c r="H158" i="8"/>
  <c r="J158" i="8" s="1"/>
  <c r="J157" i="8"/>
  <c r="H157" i="9"/>
  <c r="J157" i="43"/>
  <c r="H157" i="31"/>
  <c r="J158" i="43"/>
  <c r="H158" i="31"/>
  <c r="J157" i="22"/>
  <c r="H157" i="23"/>
  <c r="J158" i="22"/>
  <c r="H158" i="23"/>
  <c r="E139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29" i="13"/>
  <c r="E130" i="13"/>
  <c r="E131" i="13"/>
  <c r="E132" i="13"/>
  <c r="E133" i="13"/>
  <c r="E51" i="13"/>
  <c r="E52" i="13"/>
  <c r="E53" i="13"/>
  <c r="E54" i="13"/>
  <c r="E55" i="13"/>
  <c r="E56" i="13"/>
  <c r="E57" i="13"/>
  <c r="E58" i="13"/>
  <c r="E36" i="13"/>
  <c r="E37" i="13"/>
  <c r="E38" i="13"/>
  <c r="E39" i="13"/>
  <c r="E40" i="13"/>
  <c r="E41" i="13"/>
  <c r="E42" i="13"/>
  <c r="E44" i="13"/>
  <c r="E45" i="13"/>
  <c r="E46" i="13"/>
  <c r="E11" i="13"/>
  <c r="E12" i="13"/>
  <c r="E129" i="12"/>
  <c r="E130" i="12"/>
  <c r="E131" i="12"/>
  <c r="E132" i="12"/>
  <c r="E133" i="12"/>
  <c r="E134" i="12"/>
  <c r="J157" i="9" l="1"/>
  <c r="H157" i="10"/>
  <c r="H158" i="9"/>
  <c r="J158" i="23"/>
  <c r="H158" i="24"/>
  <c r="J157" i="23"/>
  <c r="H157" i="24"/>
  <c r="E121" i="33"/>
  <c r="E49" i="33"/>
  <c r="E134" i="4"/>
  <c r="G190" i="2"/>
  <c r="I7" i="30"/>
  <c r="E180" i="24"/>
  <c r="E56" i="24"/>
  <c r="E35" i="24"/>
  <c r="E130" i="24"/>
  <c r="E130" i="23"/>
  <c r="G130" i="23" s="1"/>
  <c r="E120" i="23"/>
  <c r="E63" i="23"/>
  <c r="E55" i="23"/>
  <c r="E56" i="23"/>
  <c r="E57" i="23"/>
  <c r="E58" i="23"/>
  <c r="E49" i="23"/>
  <c r="E178" i="21"/>
  <c r="K191" i="18"/>
  <c r="E114" i="18"/>
  <c r="H191" i="17"/>
  <c r="I191" i="17" s="1"/>
  <c r="K191" i="17" s="1"/>
  <c r="P15" i="17"/>
  <c r="J158" i="9" l="1"/>
  <c r="H158" i="10"/>
  <c r="J157" i="10"/>
  <c r="H157" i="11"/>
  <c r="J157" i="24"/>
  <c r="H157" i="25"/>
  <c r="H157" i="40" s="1"/>
  <c r="H157" i="27" s="1"/>
  <c r="J158" i="24"/>
  <c r="H158" i="25"/>
  <c r="H158" i="40" s="1"/>
  <c r="H158" i="27" s="1"/>
  <c r="K190" i="20"/>
  <c r="K190" i="19"/>
  <c r="J157" i="11" l="1"/>
  <c r="H157" i="12"/>
  <c r="J158" i="10"/>
  <c r="H158" i="11"/>
  <c r="H158" i="28"/>
  <c r="J158" i="28" s="1"/>
  <c r="J158" i="27"/>
  <c r="H157" i="28"/>
  <c r="J157" i="28" s="1"/>
  <c r="J157" i="27"/>
  <c r="E134" i="10"/>
  <c r="J158" i="11" l="1"/>
  <c r="H158" i="12"/>
  <c r="J157" i="12"/>
  <c r="H157" i="13"/>
  <c r="E146" i="33"/>
  <c r="E155" i="5"/>
  <c r="E149" i="4"/>
  <c r="E150" i="4"/>
  <c r="E151" i="4"/>
  <c r="E152" i="4"/>
  <c r="E69" i="3"/>
  <c r="E155" i="3"/>
  <c r="G134" i="2"/>
  <c r="G37" i="2"/>
  <c r="G18" i="2"/>
  <c r="E31" i="2" s="1"/>
  <c r="J157" i="13" l="1"/>
  <c r="H157" i="14"/>
  <c r="J158" i="12"/>
  <c r="H158" i="13"/>
  <c r="G90" i="31"/>
  <c r="I90" i="31" s="1"/>
  <c r="B30" i="48"/>
  <c r="H30" i="48"/>
  <c r="B22" i="48"/>
  <c r="G56" i="23"/>
  <c r="E155" i="23"/>
  <c r="J158" i="13" l="1"/>
  <c r="H158" i="14"/>
  <c r="J157" i="14"/>
  <c r="H157" i="15"/>
  <c r="E39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184" i="20"/>
  <c r="E185" i="20"/>
  <c r="E183" i="20"/>
  <c r="E179" i="20"/>
  <c r="E180" i="20"/>
  <c r="E178" i="20"/>
  <c r="E174" i="20"/>
  <c r="E175" i="20"/>
  <c r="E173" i="20"/>
  <c r="E162" i="20"/>
  <c r="E163" i="20"/>
  <c r="E164" i="20"/>
  <c r="E165" i="20"/>
  <c r="E161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50" i="20"/>
  <c r="E151" i="20"/>
  <c r="E138" i="20"/>
  <c r="E134" i="20"/>
  <c r="E129" i="20"/>
  <c r="E130" i="20"/>
  <c r="E131" i="20"/>
  <c r="E132" i="20"/>
  <c r="E133" i="20"/>
  <c r="E128" i="20"/>
  <c r="E124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49" i="20"/>
  <c r="E35" i="20"/>
  <c r="E23" i="20"/>
  <c r="E24" i="20"/>
  <c r="E22" i="20"/>
  <c r="J158" i="14" l="1"/>
  <c r="H158" i="15"/>
  <c r="J157" i="15"/>
  <c r="H157" i="16"/>
  <c r="E84" i="17"/>
  <c r="E134" i="16"/>
  <c r="J188" i="1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J157" i="16" l="1"/>
  <c r="H157" i="17"/>
  <c r="J158" i="15"/>
  <c r="H158" i="16"/>
  <c r="E92" i="9"/>
  <c r="G2" i="48"/>
  <c r="E155" i="4"/>
  <c r="J158" i="16" l="1"/>
  <c r="H158" i="17"/>
  <c r="J157" i="17"/>
  <c r="H157" i="18"/>
  <c r="O11" i="2"/>
  <c r="J157" i="18" l="1"/>
  <c r="H157" i="19"/>
  <c r="J157" i="19" s="1"/>
  <c r="H158" i="18"/>
  <c r="J158" i="17"/>
  <c r="E79" i="25"/>
  <c r="G155" i="31"/>
  <c r="G156" i="43"/>
  <c r="E155" i="43"/>
  <c r="G155" i="43" s="1"/>
  <c r="E156" i="30"/>
  <c r="G156" i="30" s="1"/>
  <c r="E155" i="30"/>
  <c r="G155" i="30" s="1"/>
  <c r="E156" i="29"/>
  <c r="G156" i="29" s="1"/>
  <c r="E155" i="29"/>
  <c r="G155" i="29" s="1"/>
  <c r="E155" i="28"/>
  <c r="G155" i="28" s="1"/>
  <c r="E155" i="27"/>
  <c r="G155" i="27" s="1"/>
  <c r="G156" i="40"/>
  <c r="E155" i="40"/>
  <c r="G155" i="40" s="1"/>
  <c r="E155" i="25"/>
  <c r="G155" i="25" s="1"/>
  <c r="E156" i="24"/>
  <c r="G156" i="24" s="1"/>
  <c r="E155" i="24"/>
  <c r="G155" i="24" s="1"/>
  <c r="E156" i="23"/>
  <c r="G156" i="23" s="1"/>
  <c r="G155" i="23"/>
  <c r="E156" i="22"/>
  <c r="G156" i="22" s="1"/>
  <c r="E155" i="22"/>
  <c r="G155" i="22" s="1"/>
  <c r="E156" i="21"/>
  <c r="G156" i="21" s="1"/>
  <c r="E155" i="21"/>
  <c r="G155" i="21" s="1"/>
  <c r="E155" i="19"/>
  <c r="G155" i="19" s="1"/>
  <c r="E156" i="18"/>
  <c r="G156" i="18" s="1"/>
  <c r="E155" i="18"/>
  <c r="G155" i="18" s="1"/>
  <c r="G156" i="17"/>
  <c r="E155" i="17"/>
  <c r="G155" i="17" s="1"/>
  <c r="E156" i="16"/>
  <c r="G156" i="16" s="1"/>
  <c r="E155" i="16"/>
  <c r="G155" i="16" s="1"/>
  <c r="G156" i="15"/>
  <c r="G155" i="15"/>
  <c r="G156" i="14"/>
  <c r="G155" i="14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G156" i="33"/>
  <c r="E155" i="33"/>
  <c r="G155" i="33" s="1"/>
  <c r="E156" i="5"/>
  <c r="G156" i="5" s="1"/>
  <c r="G155" i="5"/>
  <c r="G155" i="4"/>
  <c r="G156" i="3"/>
  <c r="G155" i="3"/>
  <c r="G156" i="2"/>
  <c r="H156" i="2" s="1"/>
  <c r="J156" i="2" s="1"/>
  <c r="G155" i="2"/>
  <c r="H155" i="2" s="1"/>
  <c r="J155" i="2" s="1"/>
  <c r="J158" i="18" l="1"/>
  <c r="H158" i="19"/>
  <c r="J158" i="19" s="1"/>
  <c r="H155" i="3"/>
  <c r="J155" i="3" s="1"/>
  <c r="H156" i="3"/>
  <c r="J156" i="3" s="1"/>
  <c r="G159" i="14"/>
  <c r="G159" i="13"/>
  <c r="G159" i="16"/>
  <c r="G159" i="15"/>
  <c r="G159" i="17"/>
  <c r="H159" i="17" s="1"/>
  <c r="J159" i="17" s="1"/>
  <c r="G155" i="20"/>
  <c r="V5" i="1"/>
  <c r="G152" i="31"/>
  <c r="G151" i="31"/>
  <c r="Z35" i="44" s="1"/>
  <c r="G150" i="31"/>
  <c r="G149" i="31"/>
  <c r="G148" i="31"/>
  <c r="W35" i="44" s="1"/>
  <c r="G147" i="31"/>
  <c r="V35" i="44" s="1"/>
  <c r="G146" i="31"/>
  <c r="T35" i="44" s="1"/>
  <c r="G145" i="31"/>
  <c r="S35" i="44" s="1"/>
  <c r="G144" i="31"/>
  <c r="U35" i="44" s="1"/>
  <c r="G143" i="31"/>
  <c r="X35" i="44" s="1"/>
  <c r="E134" i="43"/>
  <c r="G134" i="43" s="1"/>
  <c r="G134" i="31"/>
  <c r="G152" i="43"/>
  <c r="G151" i="43"/>
  <c r="Z34" i="44" s="1"/>
  <c r="G150" i="43"/>
  <c r="G149" i="43"/>
  <c r="G148" i="43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G151" i="30"/>
  <c r="Z33" i="44" s="1"/>
  <c r="G150" i="30"/>
  <c r="G149" i="30"/>
  <c r="G148" i="30"/>
  <c r="W33" i="44" s="1"/>
  <c r="G147" i="30"/>
  <c r="V33" i="44" s="1"/>
  <c r="G146" i="30"/>
  <c r="T33" i="44" s="1"/>
  <c r="G145" i="30"/>
  <c r="S33" i="44" s="1"/>
  <c r="G144" i="30"/>
  <c r="U33" i="44" s="1"/>
  <c r="G143" i="30"/>
  <c r="X33" i="44" s="1"/>
  <c r="G134" i="30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G152" i="27"/>
  <c r="G151" i="27"/>
  <c r="Z30" i="44" s="1"/>
  <c r="G150" i="27"/>
  <c r="G149" i="27"/>
  <c r="G148" i="27"/>
  <c r="W30" i="44" s="1"/>
  <c r="G147" i="27"/>
  <c r="V30" i="44" s="1"/>
  <c r="G146" i="27"/>
  <c r="T30" i="44" s="1"/>
  <c r="G145" i="27"/>
  <c r="S30" i="44" s="1"/>
  <c r="G144" i="27"/>
  <c r="U30" i="44" s="1"/>
  <c r="G143" i="27"/>
  <c r="X30" i="44" s="1"/>
  <c r="E134" i="27"/>
  <c r="G134" i="27" s="1"/>
  <c r="G152" i="40"/>
  <c r="G151" i="40"/>
  <c r="Z29" i="44" s="1"/>
  <c r="G150" i="40"/>
  <c r="G149" i="40"/>
  <c r="G148" i="40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i="40" s="1"/>
  <c r="E152" i="25"/>
  <c r="G152" i="25" s="1"/>
  <c r="G151" i="25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G134" i="25"/>
  <c r="E152" i="24"/>
  <c r="G152" i="24" s="1"/>
  <c r="E151" i="24"/>
  <c r="G151" i="24" s="1"/>
  <c r="Z27" i="44" s="1"/>
  <c r="E150" i="24"/>
  <c r="G150" i="24" s="1"/>
  <c r="E149" i="24"/>
  <c r="G149" i="24" s="1"/>
  <c r="E148" i="24"/>
  <c r="G148" i="24" s="1"/>
  <c r="W27" i="44" s="1"/>
  <c r="E147" i="24"/>
  <c r="G147" i="24" s="1"/>
  <c r="V27" i="44" s="1"/>
  <c r="E146" i="24"/>
  <c r="G146" i="24" s="1"/>
  <c r="T27" i="44" s="1"/>
  <c r="E145" i="24"/>
  <c r="G145" i="24" s="1"/>
  <c r="S27" i="44" s="1"/>
  <c r="E144" i="24"/>
  <c r="G144" i="24" s="1"/>
  <c r="U27" i="44" s="1"/>
  <c r="E143" i="24"/>
  <c r="G143" i="24" s="1"/>
  <c r="X27" i="44" s="1"/>
  <c r="E141" i="24"/>
  <c r="G141" i="24" s="1"/>
  <c r="Q27" i="44" s="1"/>
  <c r="E142" i="24"/>
  <c r="G142" i="24" s="1"/>
  <c r="R27" i="44" s="1"/>
  <c r="G134" i="24"/>
  <c r="H155" i="4" l="1"/>
  <c r="H155" i="5" s="1"/>
  <c r="H155" i="33" s="1"/>
  <c r="J155" i="33" s="1"/>
  <c r="H156" i="4"/>
  <c r="H156" i="5" s="1"/>
  <c r="H156" i="33" s="1"/>
  <c r="J156" i="33" s="1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34" i="23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i="19" s="1"/>
  <c r="G152" i="18"/>
  <c r="G151" i="18"/>
  <c r="Z21" i="44" s="1"/>
  <c r="G150" i="18"/>
  <c r="G149" i="18"/>
  <c r="G148" i="18"/>
  <c r="W21" i="44" s="1"/>
  <c r="G147" i="18"/>
  <c r="V21" i="44" s="1"/>
  <c r="G146" i="18"/>
  <c r="T21" i="44" s="1"/>
  <c r="G145" i="18"/>
  <c r="S21" i="44" s="1"/>
  <c r="G144" i="18"/>
  <c r="U21" i="44" s="1"/>
  <c r="G143" i="18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G150" i="16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G152" i="15"/>
  <c r="G151" i="15"/>
  <c r="Z18" i="44" s="1"/>
  <c r="G150" i="15"/>
  <c r="G149" i="15"/>
  <c r="G148" i="15"/>
  <c r="W18" i="44" s="1"/>
  <c r="G147" i="15"/>
  <c r="V18" i="44" s="1"/>
  <c r="G146" i="15"/>
  <c r="T18" i="44" s="1"/>
  <c r="G145" i="15"/>
  <c r="S18" i="44" s="1"/>
  <c r="G144" i="15"/>
  <c r="U18" i="44" s="1"/>
  <c r="G143" i="15"/>
  <c r="X18" i="44" s="1"/>
  <c r="E134" i="15"/>
  <c r="G134" i="15" s="1"/>
  <c r="G152" i="14"/>
  <c r="G151" i="14"/>
  <c r="Z17" i="44" s="1"/>
  <c r="G150" i="14"/>
  <c r="G149" i="14"/>
  <c r="G148" i="14"/>
  <c r="W17" i="44" s="1"/>
  <c r="G147" i="14"/>
  <c r="V17" i="44" s="1"/>
  <c r="G146" i="14"/>
  <c r="T17" i="44" s="1"/>
  <c r="G145" i="14"/>
  <c r="S17" i="44" s="1"/>
  <c r="G144" i="14"/>
  <c r="U17" i="44" s="1"/>
  <c r="G143" i="14"/>
  <c r="X17" i="44" s="1"/>
  <c r="G134" i="14"/>
  <c r="G152" i="13"/>
  <c r="G151" i="13"/>
  <c r="Z16" i="44" s="1"/>
  <c r="G150" i="13"/>
  <c r="G149" i="13"/>
  <c r="G148" i="13"/>
  <c r="W16" i="44" s="1"/>
  <c r="G147" i="13"/>
  <c r="V16" i="44" s="1"/>
  <c r="G146" i="13"/>
  <c r="T16" i="44" s="1"/>
  <c r="G145" i="13"/>
  <c r="S16" i="44" s="1"/>
  <c r="G144" i="13"/>
  <c r="U16" i="44" s="1"/>
  <c r="G143" i="13"/>
  <c r="X16" i="44" s="1"/>
  <c r="G134" i="13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G134" i="12"/>
  <c r="G152" i="11"/>
  <c r="G151" i="11"/>
  <c r="Z14" i="44" s="1"/>
  <c r="G150" i="11"/>
  <c r="G149" i="11"/>
  <c r="G148" i="11"/>
  <c r="W14" i="44" s="1"/>
  <c r="G147" i="11"/>
  <c r="V14" i="44" s="1"/>
  <c r="G146" i="11"/>
  <c r="T14" i="44" s="1"/>
  <c r="G145" i="11"/>
  <c r="S14" i="44" s="1"/>
  <c r="G144" i="11"/>
  <c r="U14" i="44" s="1"/>
  <c r="G143" i="11"/>
  <c r="X14" i="44" s="1"/>
  <c r="G134" i="11"/>
  <c r="G152" i="10"/>
  <c r="G151" i="10"/>
  <c r="Z13" i="44" s="1"/>
  <c r="G150" i="10"/>
  <c r="G149" i="10"/>
  <c r="G148" i="10"/>
  <c r="W13" i="44" s="1"/>
  <c r="G147" i="10"/>
  <c r="V13" i="44" s="1"/>
  <c r="G146" i="10"/>
  <c r="T13" i="44" s="1"/>
  <c r="G145" i="10"/>
  <c r="S13" i="44" s="1"/>
  <c r="G144" i="10"/>
  <c r="U13" i="44" s="1"/>
  <c r="G143" i="10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G150" i="7" s="1"/>
  <c r="E149" i="7"/>
  <c r="G149" i="7" s="1"/>
  <c r="E148" i="7"/>
  <c r="G148" i="7" s="1"/>
  <c r="W10" i="44" s="1"/>
  <c r="E147" i="7"/>
  <c r="G147" i="7" s="1"/>
  <c r="V10" i="44" s="1"/>
  <c r="G146" i="7"/>
  <c r="T10" i="44" s="1"/>
  <c r="E145" i="7"/>
  <c r="G145" i="7" s="1"/>
  <c r="S10" i="44" s="1"/>
  <c r="E144" i="7"/>
  <c r="G144" i="7" s="1"/>
  <c r="U10" i="44" s="1"/>
  <c r="E143" i="7"/>
  <c r="G143" i="7" s="1"/>
  <c r="X10" i="44" s="1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G146" i="33"/>
  <c r="T9" i="44" s="1"/>
  <c r="E145" i="33"/>
  <c r="G145" i="33" s="1"/>
  <c r="S9" i="44" s="1"/>
  <c r="E144" i="33"/>
  <c r="G144" i="33" s="1"/>
  <c r="U9" i="44" s="1"/>
  <c r="E143" i="33"/>
  <c r="G143" i="33" s="1"/>
  <c r="X9" i="44" s="1"/>
  <c r="G134" i="33"/>
  <c r="G168" i="2"/>
  <c r="H168" i="2" s="1"/>
  <c r="H168" i="3" s="1"/>
  <c r="H168" i="4" s="1"/>
  <c r="G167" i="2"/>
  <c r="H167" i="2" s="1"/>
  <c r="H167" i="3" s="1"/>
  <c r="H167" i="4" s="1"/>
  <c r="G166" i="2"/>
  <c r="H166" i="2" s="1"/>
  <c r="H166" i="3" s="1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72" i="2"/>
  <c r="G152" i="2"/>
  <c r="H152" i="2" s="1"/>
  <c r="J152" i="2" s="1"/>
  <c r="G151" i="2"/>
  <c r="H134" i="2"/>
  <c r="J134" i="2" s="1"/>
  <c r="E185" i="43"/>
  <c r="E184" i="43"/>
  <c r="E183" i="43"/>
  <c r="E180" i="43"/>
  <c r="E179" i="43"/>
  <c r="E178" i="43"/>
  <c r="E175" i="43"/>
  <c r="E174" i="43"/>
  <c r="E173" i="43"/>
  <c r="E168" i="43"/>
  <c r="E167" i="43"/>
  <c r="E166" i="43"/>
  <c r="E165" i="43"/>
  <c r="E164" i="43"/>
  <c r="E163" i="43"/>
  <c r="E162" i="43"/>
  <c r="E161" i="43"/>
  <c r="E138" i="43"/>
  <c r="E133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7" i="43"/>
  <c r="E66" i="43"/>
  <c r="E65" i="43"/>
  <c r="E64" i="43"/>
  <c r="E63" i="43"/>
  <c r="E62" i="43"/>
  <c r="E58" i="43"/>
  <c r="E57" i="43"/>
  <c r="E55" i="43"/>
  <c r="E54" i="43"/>
  <c r="E53" i="43"/>
  <c r="E52" i="43"/>
  <c r="E51" i="43"/>
  <c r="E50" i="43"/>
  <c r="E49" i="43"/>
  <c r="E35" i="43"/>
  <c r="E24" i="43"/>
  <c r="E23" i="43"/>
  <c r="E22" i="43"/>
  <c r="E12" i="43"/>
  <c r="E11" i="43"/>
  <c r="E189" i="30"/>
  <c r="E188" i="30"/>
  <c r="E187" i="30"/>
  <c r="E185" i="30"/>
  <c r="E184" i="30"/>
  <c r="E183" i="30"/>
  <c r="E180" i="30"/>
  <c r="E179" i="30"/>
  <c r="E178" i="30"/>
  <c r="E175" i="30"/>
  <c r="E174" i="30"/>
  <c r="E173" i="30"/>
  <c r="E168" i="30"/>
  <c r="E167" i="30"/>
  <c r="E166" i="30"/>
  <c r="E165" i="30"/>
  <c r="E164" i="30"/>
  <c r="E163" i="30"/>
  <c r="E162" i="30"/>
  <c r="E161" i="30"/>
  <c r="E138" i="30"/>
  <c r="E128" i="30"/>
  <c r="E124" i="30"/>
  <c r="G113" i="30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H26" i="29"/>
  <c r="E189" i="29"/>
  <c r="E188" i="29"/>
  <c r="E187" i="29"/>
  <c r="E185" i="29"/>
  <c r="E184" i="29"/>
  <c r="E183" i="29"/>
  <c r="E180" i="29"/>
  <c r="E179" i="29"/>
  <c r="E178" i="29"/>
  <c r="E175" i="29"/>
  <c r="E174" i="29"/>
  <c r="E173" i="29"/>
  <c r="E168" i="29"/>
  <c r="E167" i="29"/>
  <c r="E166" i="29"/>
  <c r="E165" i="29"/>
  <c r="E164" i="29"/>
  <c r="E163" i="29"/>
  <c r="E162" i="29"/>
  <c r="E161" i="29"/>
  <c r="E142" i="29"/>
  <c r="E141" i="29"/>
  <c r="E139" i="29"/>
  <c r="E138" i="29"/>
  <c r="E133" i="29"/>
  <c r="E132" i="29"/>
  <c r="E131" i="29"/>
  <c r="E130" i="29"/>
  <c r="E129" i="29"/>
  <c r="E128" i="29"/>
  <c r="E124" i="29"/>
  <c r="E92" i="29"/>
  <c r="E91" i="29"/>
  <c r="G91" i="29" s="1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2" i="29"/>
  <c r="E12" i="29"/>
  <c r="H124" i="28"/>
  <c r="H124" i="29" s="1"/>
  <c r="H124" i="30" s="1"/>
  <c r="H124" i="43" s="1"/>
  <c r="H124" i="31" s="1"/>
  <c r="E189" i="28"/>
  <c r="E188" i="28"/>
  <c r="E187" i="28"/>
  <c r="E185" i="28"/>
  <c r="E184" i="28"/>
  <c r="E183" i="28"/>
  <c r="E180" i="28"/>
  <c r="E179" i="28"/>
  <c r="E178" i="28"/>
  <c r="E175" i="28"/>
  <c r="E174" i="28"/>
  <c r="E173" i="28"/>
  <c r="E168" i="28"/>
  <c r="E167" i="28"/>
  <c r="E166" i="28"/>
  <c r="E165" i="28"/>
  <c r="E164" i="28"/>
  <c r="E163" i="28"/>
  <c r="E162" i="28"/>
  <c r="E161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G84" i="28" s="1"/>
  <c r="E83" i="28"/>
  <c r="E82" i="28"/>
  <c r="E79" i="28"/>
  <c r="E78" i="28"/>
  <c r="E77" i="28"/>
  <c r="E76" i="28"/>
  <c r="E75" i="28"/>
  <c r="E74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35" i="28"/>
  <c r="E24" i="28"/>
  <c r="G24" i="28" s="1"/>
  <c r="E23" i="28"/>
  <c r="G23" i="28" s="1"/>
  <c r="E22" i="28"/>
  <c r="G22" i="28" s="1"/>
  <c r="E189" i="27"/>
  <c r="E188" i="27"/>
  <c r="E187" i="27"/>
  <c r="E185" i="27"/>
  <c r="E184" i="27"/>
  <c r="E183" i="27"/>
  <c r="E180" i="27"/>
  <c r="G180" i="27" s="1"/>
  <c r="E179" i="27"/>
  <c r="G179" i="27" s="1"/>
  <c r="E178" i="27"/>
  <c r="E175" i="27"/>
  <c r="E174" i="27"/>
  <c r="E173" i="27"/>
  <c r="E168" i="27"/>
  <c r="E167" i="27"/>
  <c r="E166" i="27"/>
  <c r="E165" i="27"/>
  <c r="E164" i="27"/>
  <c r="E163" i="27"/>
  <c r="E162" i="27"/>
  <c r="E161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65" i="27"/>
  <c r="E64" i="27"/>
  <c r="E63" i="27"/>
  <c r="E62" i="27"/>
  <c r="E49" i="27"/>
  <c r="E46" i="27"/>
  <c r="E45" i="27"/>
  <c r="E44" i="27"/>
  <c r="E43" i="27"/>
  <c r="E42" i="27"/>
  <c r="E40" i="27"/>
  <c r="E39" i="27"/>
  <c r="E38" i="27"/>
  <c r="E37" i="27"/>
  <c r="E36" i="27"/>
  <c r="E35" i="27"/>
  <c r="E24" i="27"/>
  <c r="E23" i="27"/>
  <c r="E22" i="27"/>
  <c r="E189" i="40"/>
  <c r="E188" i="40"/>
  <c r="E187" i="40"/>
  <c r="E185" i="40"/>
  <c r="E184" i="40"/>
  <c r="E183" i="40"/>
  <c r="E180" i="40"/>
  <c r="E179" i="40"/>
  <c r="E178" i="40"/>
  <c r="E175" i="40"/>
  <c r="E174" i="40"/>
  <c r="E173" i="40"/>
  <c r="E168" i="40"/>
  <c r="E167" i="40"/>
  <c r="E166" i="40"/>
  <c r="E165" i="40"/>
  <c r="E164" i="40"/>
  <c r="E163" i="40"/>
  <c r="E162" i="40"/>
  <c r="E161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G84" i="40" s="1"/>
  <c r="E83" i="40"/>
  <c r="E82" i="40"/>
  <c r="E79" i="40"/>
  <c r="E78" i="40"/>
  <c r="E77" i="40"/>
  <c r="E76" i="40"/>
  <c r="E75" i="40"/>
  <c r="E74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35" i="40"/>
  <c r="E24" i="40"/>
  <c r="E23" i="40"/>
  <c r="E22" i="40"/>
  <c r="E189" i="25"/>
  <c r="E188" i="25"/>
  <c r="E187" i="25"/>
  <c r="E185" i="25"/>
  <c r="E184" i="25"/>
  <c r="E183" i="25"/>
  <c r="E180" i="25"/>
  <c r="E179" i="25"/>
  <c r="E178" i="25"/>
  <c r="E175" i="25"/>
  <c r="E174" i="25"/>
  <c r="E173" i="25"/>
  <c r="E168" i="25"/>
  <c r="E167" i="25"/>
  <c r="E166" i="25"/>
  <c r="E165" i="25"/>
  <c r="E164" i="25"/>
  <c r="E163" i="25"/>
  <c r="E162" i="25"/>
  <c r="E161" i="25"/>
  <c r="E142" i="25"/>
  <c r="E141" i="25"/>
  <c r="E140" i="25"/>
  <c r="E139" i="25"/>
  <c r="E138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75" i="24"/>
  <c r="E185" i="24"/>
  <c r="E184" i="24"/>
  <c r="E183" i="24"/>
  <c r="E179" i="24"/>
  <c r="E178" i="24"/>
  <c r="E174" i="24"/>
  <c r="E168" i="24"/>
  <c r="E167" i="24"/>
  <c r="E166" i="24"/>
  <c r="E165" i="24"/>
  <c r="E164" i="24"/>
  <c r="E163" i="24"/>
  <c r="E162" i="24"/>
  <c r="E161" i="24"/>
  <c r="E140" i="24"/>
  <c r="E139" i="24"/>
  <c r="E138" i="24"/>
  <c r="E131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3" i="24"/>
  <c r="E52" i="24"/>
  <c r="E51" i="24"/>
  <c r="E46" i="24"/>
  <c r="E45" i="24"/>
  <c r="E44" i="24"/>
  <c r="E43" i="24"/>
  <c r="E41" i="24"/>
  <c r="E24" i="24"/>
  <c r="E23" i="24"/>
  <c r="E22" i="24"/>
  <c r="E12" i="24"/>
  <c r="E11" i="24"/>
  <c r="E185" i="23"/>
  <c r="E184" i="23"/>
  <c r="E183" i="23"/>
  <c r="E180" i="23"/>
  <c r="E179" i="23"/>
  <c r="E178" i="23"/>
  <c r="E175" i="23"/>
  <c r="E174" i="23"/>
  <c r="E173" i="23"/>
  <c r="E168" i="23"/>
  <c r="E167" i="23"/>
  <c r="E166" i="23"/>
  <c r="E165" i="23"/>
  <c r="E164" i="23"/>
  <c r="E163" i="23"/>
  <c r="E162" i="23"/>
  <c r="E161" i="23"/>
  <c r="E142" i="23"/>
  <c r="E141" i="23"/>
  <c r="E140" i="23"/>
  <c r="E139" i="23"/>
  <c r="E138" i="23"/>
  <c r="E133" i="23"/>
  <c r="E132" i="23"/>
  <c r="E131" i="23"/>
  <c r="E129" i="23"/>
  <c r="E128" i="23"/>
  <c r="E124" i="23"/>
  <c r="E122" i="23"/>
  <c r="E121" i="23"/>
  <c r="E119" i="23"/>
  <c r="E118" i="23"/>
  <c r="E117" i="23"/>
  <c r="E116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3" i="23"/>
  <c r="E22" i="23"/>
  <c r="E12" i="23"/>
  <c r="E11" i="23"/>
  <c r="E185" i="22"/>
  <c r="E184" i="22"/>
  <c r="E183" i="22"/>
  <c r="E180" i="22"/>
  <c r="E179" i="22"/>
  <c r="E178" i="22"/>
  <c r="E175" i="22"/>
  <c r="E174" i="22"/>
  <c r="E173" i="22"/>
  <c r="E168" i="22"/>
  <c r="E167" i="22"/>
  <c r="E166" i="22"/>
  <c r="E165" i="22"/>
  <c r="E164" i="22"/>
  <c r="E163" i="22"/>
  <c r="E162" i="22"/>
  <c r="E138" i="22"/>
  <c r="E133" i="22"/>
  <c r="E131" i="22"/>
  <c r="E130" i="22"/>
  <c r="E129" i="22"/>
  <c r="E128" i="22"/>
  <c r="E112" i="22"/>
  <c r="E92" i="22"/>
  <c r="E91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2" i="22"/>
  <c r="E11" i="22"/>
  <c r="H124" i="21"/>
  <c r="H124" i="22" s="1"/>
  <c r="H124" i="23" s="1"/>
  <c r="H124" i="24" s="1"/>
  <c r="E185" i="21"/>
  <c r="E184" i="21"/>
  <c r="E183" i="21"/>
  <c r="E179" i="21"/>
  <c r="E175" i="21"/>
  <c r="E174" i="21"/>
  <c r="E173" i="21"/>
  <c r="E168" i="21"/>
  <c r="E167" i="21"/>
  <c r="E166" i="21"/>
  <c r="G166" i="21" s="1"/>
  <c r="E165" i="21"/>
  <c r="E164" i="21"/>
  <c r="E162" i="21"/>
  <c r="E161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92" i="21"/>
  <c r="E91" i="21"/>
  <c r="E90" i="21"/>
  <c r="E89" i="21"/>
  <c r="E88" i="21"/>
  <c r="E87" i="21"/>
  <c r="E86" i="21"/>
  <c r="E85" i="21"/>
  <c r="E84" i="21"/>
  <c r="E83" i="21"/>
  <c r="E82" i="21"/>
  <c r="E79" i="21"/>
  <c r="E78" i="21"/>
  <c r="E77" i="21"/>
  <c r="E76" i="21"/>
  <c r="E74" i="21"/>
  <c r="E70" i="21"/>
  <c r="E69" i="21"/>
  <c r="E68" i="21"/>
  <c r="E67" i="21"/>
  <c r="E66" i="21"/>
  <c r="E65" i="21"/>
  <c r="E64" i="21"/>
  <c r="E63" i="21"/>
  <c r="E62" i="21"/>
  <c r="G55" i="21"/>
  <c r="E49" i="21"/>
  <c r="E35" i="21"/>
  <c r="E24" i="21"/>
  <c r="E23" i="21"/>
  <c r="E22" i="21"/>
  <c r="E185" i="19"/>
  <c r="E184" i="19"/>
  <c r="E183" i="19"/>
  <c r="E180" i="19"/>
  <c r="E179" i="19"/>
  <c r="E178" i="19"/>
  <c r="E175" i="19"/>
  <c r="E174" i="19"/>
  <c r="E173" i="19"/>
  <c r="E161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12" i="19"/>
  <c r="G88" i="19"/>
  <c r="G84" i="19"/>
  <c r="E82" i="19"/>
  <c r="E79" i="19"/>
  <c r="E78" i="19"/>
  <c r="E77" i="19"/>
  <c r="E76" i="19"/>
  <c r="G76" i="19" s="1"/>
  <c r="E75" i="19"/>
  <c r="E74" i="19"/>
  <c r="G74" i="19" s="1"/>
  <c r="G67" i="19"/>
  <c r="E65" i="19"/>
  <c r="E64" i="19"/>
  <c r="E63" i="19"/>
  <c r="E62" i="19"/>
  <c r="E49" i="19"/>
  <c r="E23" i="19"/>
  <c r="G23" i="19" s="1"/>
  <c r="E22" i="19"/>
  <c r="H124" i="18"/>
  <c r="H124" i="19" s="1"/>
  <c r="E174" i="18"/>
  <c r="E185" i="18"/>
  <c r="E184" i="18"/>
  <c r="E183" i="18"/>
  <c r="E180" i="18"/>
  <c r="E179" i="18"/>
  <c r="E178" i="18"/>
  <c r="E175" i="18"/>
  <c r="E173" i="18"/>
  <c r="E165" i="18"/>
  <c r="E164" i="18"/>
  <c r="E163" i="18"/>
  <c r="E162" i="18"/>
  <c r="E161" i="18"/>
  <c r="E138" i="18"/>
  <c r="E133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5" i="18"/>
  <c r="E113" i="18"/>
  <c r="E112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49" i="18"/>
  <c r="E35" i="18"/>
  <c r="E24" i="18"/>
  <c r="E23" i="18"/>
  <c r="E22" i="18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68" i="17"/>
  <c r="E167" i="17"/>
  <c r="E166" i="17"/>
  <c r="E165" i="17"/>
  <c r="E164" i="17"/>
  <c r="E163" i="17"/>
  <c r="E162" i="17"/>
  <c r="E161" i="17"/>
  <c r="E142" i="17"/>
  <c r="E141" i="17"/>
  <c r="E140" i="17"/>
  <c r="E139" i="17"/>
  <c r="E138" i="17"/>
  <c r="E133" i="17"/>
  <c r="E132" i="17"/>
  <c r="E131" i="17"/>
  <c r="E130" i="17"/>
  <c r="E129" i="17"/>
  <c r="E128" i="17"/>
  <c r="G114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65" i="17"/>
  <c r="E63" i="17"/>
  <c r="E62" i="17"/>
  <c r="E49" i="17"/>
  <c r="E35" i="17"/>
  <c r="E24" i="17"/>
  <c r="E23" i="17"/>
  <c r="E22" i="17"/>
  <c r="E12" i="17"/>
  <c r="E11" i="17"/>
  <c r="E185" i="16"/>
  <c r="E184" i="16"/>
  <c r="E183" i="16"/>
  <c r="E180" i="16"/>
  <c r="E179" i="16"/>
  <c r="E178" i="16"/>
  <c r="E175" i="16"/>
  <c r="E174" i="16"/>
  <c r="E173" i="16"/>
  <c r="E168" i="16"/>
  <c r="E167" i="16"/>
  <c r="E166" i="16"/>
  <c r="E165" i="16"/>
  <c r="E164" i="16"/>
  <c r="E163" i="16"/>
  <c r="E162" i="16"/>
  <c r="E161" i="16"/>
  <c r="E142" i="16"/>
  <c r="E141" i="16"/>
  <c r="E140" i="16"/>
  <c r="E139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70" i="16"/>
  <c r="E69" i="16"/>
  <c r="E68" i="16"/>
  <c r="E67" i="16"/>
  <c r="E66" i="16"/>
  <c r="E65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2" i="16"/>
  <c r="E12" i="16"/>
  <c r="E11" i="16"/>
  <c r="E185" i="15"/>
  <c r="E184" i="15"/>
  <c r="E183" i="15"/>
  <c r="E173" i="15"/>
  <c r="E168" i="15"/>
  <c r="E167" i="15"/>
  <c r="E166" i="15"/>
  <c r="E138" i="15"/>
  <c r="E133" i="15"/>
  <c r="E132" i="15"/>
  <c r="E131" i="15"/>
  <c r="E130" i="15"/>
  <c r="E129" i="15"/>
  <c r="E128" i="15"/>
  <c r="E112" i="15"/>
  <c r="E82" i="15"/>
  <c r="E79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35" i="15"/>
  <c r="E24" i="15"/>
  <c r="E23" i="15"/>
  <c r="E22" i="15"/>
  <c r="E12" i="15"/>
  <c r="E11" i="15"/>
  <c r="E10" i="15"/>
  <c r="E185" i="14"/>
  <c r="E184" i="14"/>
  <c r="E183" i="14"/>
  <c r="E180" i="14"/>
  <c r="E179" i="14"/>
  <c r="E178" i="14"/>
  <c r="E173" i="14"/>
  <c r="E168" i="14"/>
  <c r="E167" i="14"/>
  <c r="E166" i="14"/>
  <c r="E165" i="14"/>
  <c r="E164" i="14"/>
  <c r="E163" i="14"/>
  <c r="E162" i="14"/>
  <c r="E161" i="14"/>
  <c r="E138" i="14"/>
  <c r="E133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2" i="14"/>
  <c r="E11" i="14"/>
  <c r="E185" i="13"/>
  <c r="E184" i="13"/>
  <c r="E183" i="13"/>
  <c r="E180" i="13"/>
  <c r="E179" i="13"/>
  <c r="E178" i="13"/>
  <c r="E168" i="13"/>
  <c r="E167" i="13"/>
  <c r="E166" i="13"/>
  <c r="E165" i="13"/>
  <c r="E164" i="13"/>
  <c r="E163" i="13"/>
  <c r="E162" i="13"/>
  <c r="E161" i="13"/>
  <c r="E138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49" i="13"/>
  <c r="E35" i="13"/>
  <c r="E24" i="13"/>
  <c r="E23" i="13"/>
  <c r="E22" i="13"/>
  <c r="E185" i="12"/>
  <c r="E184" i="12"/>
  <c r="E183" i="12"/>
  <c r="E180" i="12"/>
  <c r="E179" i="12"/>
  <c r="E175" i="12"/>
  <c r="E174" i="12"/>
  <c r="E173" i="12"/>
  <c r="E168" i="12"/>
  <c r="E167" i="12"/>
  <c r="E166" i="12"/>
  <c r="E165" i="12"/>
  <c r="E164" i="12"/>
  <c r="E163" i="12"/>
  <c r="E162" i="12"/>
  <c r="E161" i="12"/>
  <c r="G161" i="12" s="1"/>
  <c r="E142" i="12"/>
  <c r="E141" i="12"/>
  <c r="E140" i="12"/>
  <c r="E139" i="12"/>
  <c r="E138" i="12"/>
  <c r="E128" i="12"/>
  <c r="E123" i="12"/>
  <c r="E122" i="12"/>
  <c r="E121" i="12"/>
  <c r="E120" i="12"/>
  <c r="E119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G74" i="12" s="1"/>
  <c r="E70" i="12"/>
  <c r="E69" i="12"/>
  <c r="E68" i="12"/>
  <c r="E67" i="12"/>
  <c r="E66" i="12"/>
  <c r="E65" i="12"/>
  <c r="E64" i="12"/>
  <c r="E63" i="12"/>
  <c r="E62" i="12"/>
  <c r="E49" i="12"/>
  <c r="E35" i="12"/>
  <c r="G35" i="12" s="1"/>
  <c r="E23" i="12"/>
  <c r="E22" i="12"/>
  <c r="E12" i="12"/>
  <c r="E11" i="12"/>
  <c r="H124" i="11"/>
  <c r="H26" i="11"/>
  <c r="E184" i="11"/>
  <c r="E183" i="11"/>
  <c r="E180" i="11"/>
  <c r="E179" i="11"/>
  <c r="E178" i="11"/>
  <c r="E175" i="11"/>
  <c r="E174" i="11"/>
  <c r="E173" i="11"/>
  <c r="E168" i="11"/>
  <c r="E167" i="11"/>
  <c r="E166" i="11"/>
  <c r="E165" i="11"/>
  <c r="E164" i="11"/>
  <c r="E163" i="11"/>
  <c r="E162" i="11"/>
  <c r="E161" i="11"/>
  <c r="E138" i="11"/>
  <c r="E128" i="11"/>
  <c r="E124" i="11"/>
  <c r="E123" i="11"/>
  <c r="E122" i="11"/>
  <c r="E121" i="11"/>
  <c r="E120" i="11"/>
  <c r="E119" i="11"/>
  <c r="E118" i="11"/>
  <c r="E117" i="11"/>
  <c r="E116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49" i="11"/>
  <c r="E35" i="11"/>
  <c r="E24" i="11"/>
  <c r="E23" i="11"/>
  <c r="E22" i="11"/>
  <c r="E12" i="11"/>
  <c r="E11" i="11"/>
  <c r="E185" i="10"/>
  <c r="E184" i="10"/>
  <c r="E183" i="10"/>
  <c r="E180" i="10"/>
  <c r="E179" i="10"/>
  <c r="E178" i="10"/>
  <c r="G178" i="10" s="1"/>
  <c r="E175" i="10"/>
  <c r="E174" i="10"/>
  <c r="E173" i="10"/>
  <c r="E168" i="10"/>
  <c r="E167" i="10"/>
  <c r="E166" i="10"/>
  <c r="G166" i="10" s="1"/>
  <c r="E165" i="10"/>
  <c r="E164" i="10"/>
  <c r="E163" i="10"/>
  <c r="E162" i="10"/>
  <c r="E161" i="10"/>
  <c r="E133" i="10"/>
  <c r="E132" i="10"/>
  <c r="E131" i="10"/>
  <c r="E129" i="10"/>
  <c r="E128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8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24" i="10"/>
  <c r="E23" i="10"/>
  <c r="E22" i="10"/>
  <c r="E185" i="9"/>
  <c r="E184" i="9"/>
  <c r="E183" i="9"/>
  <c r="E180" i="9"/>
  <c r="E179" i="9"/>
  <c r="E178" i="9"/>
  <c r="E175" i="9"/>
  <c r="E174" i="9"/>
  <c r="E173" i="9"/>
  <c r="E168" i="9"/>
  <c r="E167" i="9"/>
  <c r="E166" i="9"/>
  <c r="E165" i="9"/>
  <c r="E164" i="9"/>
  <c r="E163" i="9"/>
  <c r="E162" i="9"/>
  <c r="E161" i="9"/>
  <c r="E142" i="9"/>
  <c r="E141" i="9"/>
  <c r="E140" i="9"/>
  <c r="E139" i="9"/>
  <c r="E138" i="9"/>
  <c r="E133" i="9"/>
  <c r="E132" i="9"/>
  <c r="E131" i="9"/>
  <c r="E130" i="9"/>
  <c r="E129" i="9"/>
  <c r="E128" i="9"/>
  <c r="E112" i="9"/>
  <c r="E91" i="9"/>
  <c r="E90" i="9"/>
  <c r="E89" i="9"/>
  <c r="E88" i="9"/>
  <c r="E87" i="9"/>
  <c r="E86" i="9"/>
  <c r="E85" i="9"/>
  <c r="E84" i="9"/>
  <c r="E83" i="9"/>
  <c r="E82" i="9"/>
  <c r="E79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2" i="9"/>
  <c r="E12" i="9"/>
  <c r="E11" i="9"/>
  <c r="E185" i="8"/>
  <c r="E184" i="8"/>
  <c r="E183" i="8"/>
  <c r="E180" i="8"/>
  <c r="E179" i="8"/>
  <c r="E178" i="8"/>
  <c r="E175" i="8"/>
  <c r="E174" i="8"/>
  <c r="E173" i="8"/>
  <c r="E168" i="8"/>
  <c r="E167" i="8"/>
  <c r="E166" i="8"/>
  <c r="E165" i="8"/>
  <c r="E164" i="8"/>
  <c r="E163" i="8"/>
  <c r="E162" i="8"/>
  <c r="E161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2" i="8"/>
  <c r="E11" i="8"/>
  <c r="E4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68" i="7"/>
  <c r="E167" i="7"/>
  <c r="E166" i="7"/>
  <c r="E165" i="7"/>
  <c r="E164" i="7"/>
  <c r="E163" i="7"/>
  <c r="E162" i="7"/>
  <c r="E161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4" i="7"/>
  <c r="E113" i="7"/>
  <c r="E112" i="7"/>
  <c r="E92" i="7"/>
  <c r="E91" i="7"/>
  <c r="E90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G65" i="7" s="1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2" i="7"/>
  <c r="E12" i="7"/>
  <c r="E11" i="7"/>
  <c r="E185" i="33"/>
  <c r="E184" i="33"/>
  <c r="E183" i="33"/>
  <c r="E182" i="33"/>
  <c r="E181" i="33"/>
  <c r="E180" i="33"/>
  <c r="E179" i="33"/>
  <c r="E178" i="33"/>
  <c r="E177" i="33"/>
  <c r="E176" i="33"/>
  <c r="E175" i="33"/>
  <c r="E174" i="33"/>
  <c r="E173" i="33"/>
  <c r="E168" i="33"/>
  <c r="E167" i="33"/>
  <c r="E166" i="33"/>
  <c r="E165" i="33"/>
  <c r="E164" i="33"/>
  <c r="E163" i="33"/>
  <c r="E162" i="33"/>
  <c r="E161" i="33"/>
  <c r="E142" i="33"/>
  <c r="E141" i="33"/>
  <c r="E140" i="33"/>
  <c r="E139" i="33"/>
  <c r="E138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G112" i="33" s="1"/>
  <c r="E92" i="33"/>
  <c r="E91" i="33"/>
  <c r="E90" i="33"/>
  <c r="E89" i="33"/>
  <c r="E88" i="33"/>
  <c r="E87" i="33"/>
  <c r="E86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H124" i="5"/>
  <c r="E185" i="5"/>
  <c r="E184" i="5"/>
  <c r="E183" i="5"/>
  <c r="E180" i="5"/>
  <c r="E179" i="5"/>
  <c r="E178" i="5"/>
  <c r="E173" i="5"/>
  <c r="E168" i="5"/>
  <c r="G168" i="5" s="1"/>
  <c r="E167" i="5"/>
  <c r="G167" i="5" s="1"/>
  <c r="E166" i="5"/>
  <c r="G166" i="5" s="1"/>
  <c r="E165" i="5"/>
  <c r="E164" i="5"/>
  <c r="E163" i="5"/>
  <c r="E162" i="5"/>
  <c r="E161" i="5"/>
  <c r="E142" i="5"/>
  <c r="E141" i="5"/>
  <c r="E140" i="5"/>
  <c r="E139" i="5"/>
  <c r="E138" i="5"/>
  <c r="E133" i="5"/>
  <c r="E132" i="5"/>
  <c r="E131" i="5"/>
  <c r="E130" i="5"/>
  <c r="E129" i="5"/>
  <c r="E128" i="5"/>
  <c r="E112" i="5"/>
  <c r="E92" i="5"/>
  <c r="E91" i="5"/>
  <c r="E90" i="5"/>
  <c r="E89" i="5"/>
  <c r="E88" i="5"/>
  <c r="E87" i="5"/>
  <c r="E86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49" i="5"/>
  <c r="E35" i="5"/>
  <c r="E24" i="5"/>
  <c r="E23" i="5"/>
  <c r="E22" i="5"/>
  <c r="E185" i="4"/>
  <c r="E184" i="4"/>
  <c r="E183" i="4"/>
  <c r="E180" i="4"/>
  <c r="E179" i="4"/>
  <c r="E178" i="4"/>
  <c r="E175" i="4"/>
  <c r="E174" i="4"/>
  <c r="E173" i="4"/>
  <c r="E168" i="4"/>
  <c r="E167" i="4"/>
  <c r="E166" i="4"/>
  <c r="E165" i="4"/>
  <c r="E164" i="4"/>
  <c r="E163" i="4"/>
  <c r="E162" i="4"/>
  <c r="E161" i="4"/>
  <c r="E142" i="4"/>
  <c r="E141" i="4"/>
  <c r="E140" i="4"/>
  <c r="E139" i="4"/>
  <c r="E138" i="4"/>
  <c r="E133" i="4"/>
  <c r="E132" i="4"/>
  <c r="E131" i="4"/>
  <c r="E130" i="4"/>
  <c r="E129" i="4"/>
  <c r="E128" i="4"/>
  <c r="G128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1" i="4"/>
  <c r="E39" i="4"/>
  <c r="E38" i="4"/>
  <c r="E37" i="4"/>
  <c r="E36" i="4"/>
  <c r="E35" i="4"/>
  <c r="E24" i="4"/>
  <c r="E23" i="4"/>
  <c r="E22" i="4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E18" i="3"/>
  <c r="E18" i="4" s="1"/>
  <c r="E18" i="5" s="1"/>
  <c r="E18" i="33" s="1"/>
  <c r="E18" i="7" s="1"/>
  <c r="E18" i="8" s="1"/>
  <c r="E18" i="9" s="1"/>
  <c r="E18" i="10" s="1"/>
  <c r="E18" i="11" s="1"/>
  <c r="E18" i="12" s="1"/>
  <c r="E18" i="13" s="1"/>
  <c r="E18" i="14" s="1"/>
  <c r="E18" i="15" s="1"/>
  <c r="E18" i="16" s="1"/>
  <c r="E18" i="17" s="1"/>
  <c r="E18" i="18" s="1"/>
  <c r="E18" i="19" s="1"/>
  <c r="E18" i="20" s="1"/>
  <c r="E18" i="21" s="1"/>
  <c r="E18" i="22" s="1"/>
  <c r="E18" i="23" s="1"/>
  <c r="E18" i="24" s="1"/>
  <c r="E18" i="25" s="1"/>
  <c r="E18" i="40" s="1"/>
  <c r="E18" i="27" s="1"/>
  <c r="E18" i="28" s="1"/>
  <c r="E18" i="29" s="1"/>
  <c r="E18" i="30" s="1"/>
  <c r="E18" i="43" s="1"/>
  <c r="E185" i="3"/>
  <c r="E184" i="3"/>
  <c r="E183" i="3"/>
  <c r="E180" i="3"/>
  <c r="E179" i="3"/>
  <c r="E178" i="3"/>
  <c r="E175" i="3"/>
  <c r="E174" i="3"/>
  <c r="E173" i="3"/>
  <c r="E168" i="3"/>
  <c r="E167" i="3"/>
  <c r="E166" i="3"/>
  <c r="E165" i="3"/>
  <c r="E164" i="3"/>
  <c r="E163" i="3"/>
  <c r="E162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39" i="3"/>
  <c r="E38" i="3"/>
  <c r="E37" i="3"/>
  <c r="E36" i="3"/>
  <c r="E35" i="3"/>
  <c r="E23" i="3"/>
  <c r="E22" i="3"/>
  <c r="G22" i="3" s="1"/>
  <c r="E15" i="3"/>
  <c r="E12" i="3"/>
  <c r="E11" i="3"/>
  <c r="G11" i="3" s="1"/>
  <c r="E10" i="3"/>
  <c r="E8" i="3"/>
  <c r="E9" i="3"/>
  <c r="H182" i="2"/>
  <c r="J182" i="2" s="1"/>
  <c r="H177" i="2"/>
  <c r="J177" i="2" s="1"/>
  <c r="H127" i="2"/>
  <c r="J127" i="2" s="1"/>
  <c r="G23" i="2"/>
  <c r="H23" i="2" s="1"/>
  <c r="J23" i="2" s="1"/>
  <c r="G22" i="2"/>
  <c r="G19" i="2"/>
  <c r="E30" i="2" s="1"/>
  <c r="G15" i="2"/>
  <c r="E28" i="2" s="1"/>
  <c r="H13" i="2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G7" i="2"/>
  <c r="I18" i="3"/>
  <c r="I7" i="3"/>
  <c r="J155" i="5" l="1"/>
  <c r="J155" i="4"/>
  <c r="H155" i="7"/>
  <c r="H155" i="8" s="1"/>
  <c r="J156" i="5"/>
  <c r="J156" i="4"/>
  <c r="I92" i="17"/>
  <c r="E27" i="2"/>
  <c r="G27" i="2" s="1"/>
  <c r="G22" i="19"/>
  <c r="G24" i="19" s="1"/>
  <c r="E29" i="19" s="1"/>
  <c r="E24" i="19"/>
  <c r="G8" i="3"/>
  <c r="E27" i="3" s="1"/>
  <c r="G27" i="3" s="1"/>
  <c r="E15" i="4"/>
  <c r="E15" i="5" s="1"/>
  <c r="E15" i="33" s="1"/>
  <c r="E7" i="4"/>
  <c r="E7" i="5" s="1"/>
  <c r="E7" i="33" s="1"/>
  <c r="E10" i="7"/>
  <c r="E10" i="8" s="1"/>
  <c r="E10" i="9" s="1"/>
  <c r="E10" i="11" s="1"/>
  <c r="E10" i="12" s="1"/>
  <c r="E10" i="13" s="1"/>
  <c r="G9" i="3"/>
  <c r="G19" i="3"/>
  <c r="E19" i="4"/>
  <c r="E19" i="5" s="1"/>
  <c r="G18" i="3"/>
  <c r="E10" i="16"/>
  <c r="G149" i="19"/>
  <c r="G151" i="19"/>
  <c r="Z22" i="44" s="1"/>
  <c r="G146" i="19"/>
  <c r="T22" i="44" s="1"/>
  <c r="G147" i="19"/>
  <c r="V22" i="44" s="1"/>
  <c r="H156" i="7"/>
  <c r="J156" i="7" s="1"/>
  <c r="G145" i="19"/>
  <c r="S22" i="44" s="1"/>
  <c r="G150" i="19"/>
  <c r="G143" i="19"/>
  <c r="X22" i="44" s="1"/>
  <c r="H18" i="2"/>
  <c r="J18" i="2" s="1"/>
  <c r="H19" i="2"/>
  <c r="J19" i="2" s="1"/>
  <c r="H8" i="2"/>
  <c r="J8" i="2" s="1"/>
  <c r="I9" i="2" s="1"/>
  <c r="H15" i="2"/>
  <c r="J15" i="2" s="1"/>
  <c r="I16" i="2" s="1"/>
  <c r="I16" i="31" s="1"/>
  <c r="G24" i="2"/>
  <c r="E29" i="2" s="1"/>
  <c r="I13" i="2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i="7" s="1"/>
  <c r="H182" i="3"/>
  <c r="H182" i="4" s="1"/>
  <c r="J182" i="4" s="1"/>
  <c r="H152" i="3"/>
  <c r="H152" i="4" s="1"/>
  <c r="H127" i="3"/>
  <c r="H127" i="4" s="1"/>
  <c r="J127" i="4" s="1"/>
  <c r="H177" i="3"/>
  <c r="H177" i="4" s="1"/>
  <c r="H177" i="5" s="1"/>
  <c r="H151" i="2"/>
  <c r="J151" i="2" s="1"/>
  <c r="Z5" i="44"/>
  <c r="H134" i="3"/>
  <c r="H134" i="4" s="1"/>
  <c r="G134" i="20"/>
  <c r="H22" i="2"/>
  <c r="J22" i="2" s="1"/>
  <c r="H23" i="3"/>
  <c r="H11" i="3"/>
  <c r="J11" i="3" s="1"/>
  <c r="H12" i="3"/>
  <c r="H7" i="2"/>
  <c r="J7" i="2" s="1"/>
  <c r="G20" i="2"/>
  <c r="G10" i="16" l="1"/>
  <c r="J155" i="7"/>
  <c r="H20" i="2"/>
  <c r="J20" i="2" s="1"/>
  <c r="I20" i="2" s="1"/>
  <c r="G15" i="17"/>
  <c r="G20" i="3"/>
  <c r="H9" i="3"/>
  <c r="J9" i="3" s="1"/>
  <c r="G7" i="3"/>
  <c r="H7" i="3" s="1"/>
  <c r="J7" i="3" s="1"/>
  <c r="G10" i="3"/>
  <c r="H10" i="3" s="1"/>
  <c r="J10" i="3" s="1"/>
  <c r="G15" i="3"/>
  <c r="H15" i="3" s="1"/>
  <c r="J15" i="3" s="1"/>
  <c r="I16" i="3" s="1"/>
  <c r="E19" i="33"/>
  <c r="E15" i="7"/>
  <c r="E9" i="7"/>
  <c r="E8" i="7"/>
  <c r="Z37" i="44"/>
  <c r="Z36" i="44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6" i="8"/>
  <c r="J166" i="8" s="1"/>
  <c r="J168" i="7"/>
  <c r="J167" i="7"/>
  <c r="J177" i="4"/>
  <c r="J134" i="3"/>
  <c r="H182" i="5"/>
  <c r="H182" i="33" s="1"/>
  <c r="J127" i="3"/>
  <c r="J182" i="3"/>
  <c r="H127" i="5"/>
  <c r="J127" i="5" s="1"/>
  <c r="J152" i="3"/>
  <c r="J152" i="4"/>
  <c r="H152" i="5"/>
  <c r="J134" i="4"/>
  <c r="H134" i="5"/>
  <c r="H151" i="3"/>
  <c r="H22" i="3"/>
  <c r="J22" i="3" s="1"/>
  <c r="H177" i="33"/>
  <c r="J177" i="5"/>
  <c r="J168" i="8"/>
  <c r="H168" i="9"/>
  <c r="H167" i="9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2" i="3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I34" i="1"/>
  <c r="G89" i="31"/>
  <c r="G88" i="31"/>
  <c r="G87" i="31"/>
  <c r="AC34" i="1" s="1"/>
  <c r="G86" i="31"/>
  <c r="AB34" i="1" s="1"/>
  <c r="G85" i="31"/>
  <c r="AA34" i="1" s="1"/>
  <c r="G84" i="3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G29" i="31"/>
  <c r="G22" i="31"/>
  <c r="G18" i="31"/>
  <c r="E31" i="31" s="1"/>
  <c r="K9" i="31"/>
  <c r="M8" i="31"/>
  <c r="G185" i="43"/>
  <c r="G184" i="43"/>
  <c r="G183" i="43"/>
  <c r="G180" i="43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 i="43"/>
  <c r="G163" i="43"/>
  <c r="G162" i="43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I90" i="43" s="1"/>
  <c r="G89" i="43"/>
  <c r="G88" i="43"/>
  <c r="G87" i="43"/>
  <c r="AC33" i="1" s="1"/>
  <c r="G86" i="43"/>
  <c r="AB33" i="1" s="1"/>
  <c r="G85" i="43"/>
  <c r="AA33" i="1" s="1"/>
  <c r="G84" i="43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8" i="43"/>
  <c r="E31" i="43" s="1"/>
  <c r="G31" i="43" s="1"/>
  <c r="K9" i="43"/>
  <c r="M8" i="43"/>
  <c r="G185" i="30"/>
  <c r="G184" i="30"/>
  <c r="G183" i="30"/>
  <c r="G180" i="30"/>
  <c r="AF23" i="45" s="1"/>
  <c r="G179" i="30"/>
  <c r="AF22" i="45" s="1"/>
  <c r="G178" i="30"/>
  <c r="G175" i="30"/>
  <c r="AF19" i="45" s="1"/>
  <c r="G174" i="30"/>
  <c r="AF18" i="45" s="1"/>
  <c r="G173" i="30"/>
  <c r="AF17" i="45" s="1"/>
  <c r="G165" i="30"/>
  <c r="G164" i="30"/>
  <c r="G163" i="30"/>
  <c r="G162" i="30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92" i="30"/>
  <c r="AL32" i="1" s="1"/>
  <c r="G91" i="30"/>
  <c r="G90" i="30"/>
  <c r="I90" i="30" s="1"/>
  <c r="G89" i="30"/>
  <c r="G88" i="30"/>
  <c r="G87" i="30"/>
  <c r="AC32" i="1" s="1"/>
  <c r="G86" i="30"/>
  <c r="AB32" i="1" s="1"/>
  <c r="G85" i="30"/>
  <c r="AA32" i="1" s="1"/>
  <c r="G84" i="30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8" i="30"/>
  <c r="E31" i="30" s="1"/>
  <c r="G31" i="30" s="1"/>
  <c r="K9" i="30"/>
  <c r="M8" i="30"/>
  <c r="G185" i="29"/>
  <c r="G184" i="29"/>
  <c r="G183" i="29"/>
  <c r="G180" i="29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 i="29"/>
  <c r="G163" i="29"/>
  <c r="G162" i="29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G90" i="29"/>
  <c r="I90" i="29" s="1"/>
  <c r="G89" i="29"/>
  <c r="G88" i="29"/>
  <c r="G87" i="29"/>
  <c r="AC31" i="1" s="1"/>
  <c r="G86" i="29"/>
  <c r="AB31" i="1" s="1"/>
  <c r="G85" i="29"/>
  <c r="AA31" i="1" s="1"/>
  <c r="G84" i="29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8" i="29"/>
  <c r="E31" i="29" s="1"/>
  <c r="G31" i="29" s="1"/>
  <c r="K9" i="29"/>
  <c r="M8" i="29"/>
  <c r="G185" i="28"/>
  <c r="G184" i="28"/>
  <c r="G183" i="28"/>
  <c r="G180" i="28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 i="28"/>
  <c r="G163" i="28"/>
  <c r="G162" i="28"/>
  <c r="AB31" i="44" s="1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I90" i="28" s="1"/>
  <c r="G89" i="28"/>
  <c r="G88" i="28"/>
  <c r="G87" i="28"/>
  <c r="AC30" i="1" s="1"/>
  <c r="G86" i="28"/>
  <c r="AB30" i="1" s="1"/>
  <c r="G85" i="28"/>
  <c r="Z30" i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G69" i="28"/>
  <c r="G68" i="28"/>
  <c r="G67" i="28"/>
  <c r="G66" i="28"/>
  <c r="G65" i="28"/>
  <c r="G63" i="28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18" i="28"/>
  <c r="E31" i="28" s="1"/>
  <c r="G31" i="28" s="1"/>
  <c r="K9" i="28"/>
  <c r="M8" i="28"/>
  <c r="G185" i="27"/>
  <c r="G184" i="27"/>
  <c r="G183" i="27"/>
  <c r="AC23" i="45"/>
  <c r="AC22" i="45"/>
  <c r="G178" i="27"/>
  <c r="AC21" i="45" s="1"/>
  <c r="G175" i="27"/>
  <c r="AC19" i="45" s="1"/>
  <c r="G174" i="27"/>
  <c r="AC18" i="45" s="1"/>
  <c r="G173" i="27"/>
  <c r="AC17" i="45" s="1"/>
  <c r="G165" i="27"/>
  <c r="G164" i="27"/>
  <c r="G163" i="27"/>
  <c r="G162" i="27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I90" i="27" s="1"/>
  <c r="G89" i="27"/>
  <c r="G88" i="27"/>
  <c r="G87" i="27"/>
  <c r="AC29" i="1" s="1"/>
  <c r="G86" i="27"/>
  <c r="AB29" i="1" s="1"/>
  <c r="G85" i="27"/>
  <c r="AA29" i="1" s="1"/>
  <c r="G84" i="27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AC13" i="45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8" i="27"/>
  <c r="E31" i="27" s="1"/>
  <c r="G31" i="27" s="1"/>
  <c r="K9" i="27"/>
  <c r="M8" i="27"/>
  <c r="G185" i="40"/>
  <c r="G184" i="40"/>
  <c r="G183" i="40"/>
  <c r="G180" i="40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 i="40"/>
  <c r="G163" i="40"/>
  <c r="G162" i="40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I90" i="40" s="1"/>
  <c r="G89" i="40"/>
  <c r="G88" i="40"/>
  <c r="G87" i="40"/>
  <c r="AC28" i="1" s="1"/>
  <c r="G86" i="40"/>
  <c r="AB28" i="1" s="1"/>
  <c r="G85" i="40"/>
  <c r="Z28" i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AB13" i="45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8" i="40"/>
  <c r="K9" i="40"/>
  <c r="M8" i="40"/>
  <c r="G185" i="25"/>
  <c r="G184" i="25"/>
  <c r="G183" i="25"/>
  <c r="G180" i="25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 i="25"/>
  <c r="G163" i="25"/>
  <c r="G162" i="25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I90" i="25" s="1"/>
  <c r="G89" i="25"/>
  <c r="G88" i="25"/>
  <c r="G87" i="25"/>
  <c r="AC27" i="1" s="1"/>
  <c r="G86" i="25"/>
  <c r="AB27" i="1" s="1"/>
  <c r="G85" i="25"/>
  <c r="AA27" i="1" s="1"/>
  <c r="G84" i="25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8" i="25"/>
  <c r="E31" i="25" s="1"/>
  <c r="G31" i="25" s="1"/>
  <c r="K9" i="25"/>
  <c r="M8" i="25"/>
  <c r="G185" i="24"/>
  <c r="G184" i="24"/>
  <c r="G183" i="24"/>
  <c r="G180" i="24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 i="24"/>
  <c r="G163" i="24"/>
  <c r="G162" i="24"/>
  <c r="AB27" i="44" s="1"/>
  <c r="G161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I90" i="24" s="1"/>
  <c r="G89" i="24"/>
  <c r="G88" i="24"/>
  <c r="G87" i="24"/>
  <c r="AC26" i="1" s="1"/>
  <c r="G86" i="24"/>
  <c r="AB26" i="1" s="1"/>
  <c r="G85" i="24"/>
  <c r="AA26" i="1" s="1"/>
  <c r="G84" i="24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8" i="24"/>
  <c r="E31" i="24" s="1"/>
  <c r="G31" i="24" s="1"/>
  <c r="K9" i="24"/>
  <c r="M8" i="24"/>
  <c r="G185" i="23"/>
  <c r="G184" i="23"/>
  <c r="G183" i="23"/>
  <c r="G180" i="23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 i="23"/>
  <c r="G163" i="23"/>
  <c r="G162" i="23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I90" i="23" s="1"/>
  <c r="G89" i="23"/>
  <c r="G88" i="23"/>
  <c r="G87" i="23"/>
  <c r="AC25" i="1" s="1"/>
  <c r="G86" i="23"/>
  <c r="AB25" i="1" s="1"/>
  <c r="G85" i="23"/>
  <c r="AA25" i="1" s="1"/>
  <c r="G84" i="23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8" i="23"/>
  <c r="E31" i="23" s="1"/>
  <c r="G31" i="23" s="1"/>
  <c r="K9" i="23"/>
  <c r="M8" i="23"/>
  <c r="G185" i="22"/>
  <c r="G184" i="22"/>
  <c r="G183" i="22"/>
  <c r="G180" i="22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 i="22"/>
  <c r="G163" i="22"/>
  <c r="G162" i="2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I90" i="22" s="1"/>
  <c r="G89" i="22"/>
  <c r="G88" i="22"/>
  <c r="G87" i="22"/>
  <c r="AC24" i="1" s="1"/>
  <c r="G86" i="22"/>
  <c r="AB24" i="1" s="1"/>
  <c r="G85" i="22"/>
  <c r="AA24" i="1" s="1"/>
  <c r="G84" i="22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8" i="22"/>
  <c r="E31" i="22" s="1"/>
  <c r="G31" i="22" s="1"/>
  <c r="K9" i="22"/>
  <c r="M8" i="22"/>
  <c r="G185" i="21"/>
  <c r="G184" i="21"/>
  <c r="G183" i="21"/>
  <c r="G180" i="21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 i="21"/>
  <c r="G163" i="21"/>
  <c r="G162" i="21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I90" i="21" s="1"/>
  <c r="G89" i="21"/>
  <c r="G88" i="21"/>
  <c r="G87" i="21"/>
  <c r="AC23" i="1" s="1"/>
  <c r="G86" i="21"/>
  <c r="AB23" i="1" s="1"/>
  <c r="G85" i="21"/>
  <c r="AA23" i="1" s="1"/>
  <c r="G84" i="2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50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8" i="21"/>
  <c r="E31" i="21" s="1"/>
  <c r="G31" i="21" s="1"/>
  <c r="K9" i="21"/>
  <c r="M8" i="21"/>
  <c r="G185" i="20"/>
  <c r="G184" i="20"/>
  <c r="G183" i="20"/>
  <c r="G180" i="20"/>
  <c r="V23" i="45" s="1"/>
  <c r="G179" i="20"/>
  <c r="V22" i="45" s="1"/>
  <c r="G178" i="20"/>
  <c r="V21" i="45" s="1"/>
  <c r="G175" i="20"/>
  <c r="V19" i="45" s="1"/>
  <c r="G174" i="20"/>
  <c r="V18" i="45" s="1"/>
  <c r="G173" i="20"/>
  <c r="V17" i="45" s="1"/>
  <c r="G165" i="20"/>
  <c r="G164" i="20"/>
  <c r="G163" i="20"/>
  <c r="G162" i="20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I90" i="20" s="1"/>
  <c r="G89" i="20"/>
  <c r="G88" i="20"/>
  <c r="G87" i="20"/>
  <c r="AC22" i="1" s="1"/>
  <c r="G86" i="20"/>
  <c r="AB22" i="1" s="1"/>
  <c r="G85" i="20"/>
  <c r="AA22" i="1" s="1"/>
  <c r="G84" i="20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8" i="20"/>
  <c r="E31" i="20" s="1"/>
  <c r="G31" i="20" s="1"/>
  <c r="K9" i="20"/>
  <c r="M8" i="20"/>
  <c r="G185" i="19"/>
  <c r="G184" i="19"/>
  <c r="G183" i="19"/>
  <c r="G180" i="19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 i="19"/>
  <c r="G163" i="19"/>
  <c r="G162" i="19"/>
  <c r="AB22" i="44" s="1"/>
  <c r="G161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I90" i="19" s="1"/>
  <c r="G89" i="19"/>
  <c r="I89" i="19" s="1"/>
  <c r="G87" i="19"/>
  <c r="AC21" i="1" s="1"/>
  <c r="G86" i="19"/>
  <c r="AB21" i="1" s="1"/>
  <c r="G85" i="19"/>
  <c r="Z21" i="1"/>
  <c r="G83" i="19"/>
  <c r="G82" i="19"/>
  <c r="G78" i="19"/>
  <c r="AS22" i="44" s="1"/>
  <c r="G77" i="19"/>
  <c r="AR22" i="44" s="1"/>
  <c r="AQ22" i="44"/>
  <c r="G75" i="19"/>
  <c r="AP22" i="44" s="1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29" i="19"/>
  <c r="G18" i="19"/>
  <c r="E31" i="19" s="1"/>
  <c r="G31" i="19" s="1"/>
  <c r="K9" i="19"/>
  <c r="M8" i="19"/>
  <c r="G185" i="18"/>
  <c r="G184" i="18"/>
  <c r="G183" i="18"/>
  <c r="G180" i="18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 i="18"/>
  <c r="G163" i="18"/>
  <c r="G162" i="18"/>
  <c r="AB21" i="44" s="1"/>
  <c r="G161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I90" i="18" s="1"/>
  <c r="G89" i="18"/>
  <c r="G88" i="18"/>
  <c r="G87" i="18"/>
  <c r="AC20" i="1" s="1"/>
  <c r="G86" i="18"/>
  <c r="AB20" i="1" s="1"/>
  <c r="G85" i="18"/>
  <c r="AA20" i="1" s="1"/>
  <c r="G84" i="18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G29" i="18"/>
  <c r="G22" i="18"/>
  <c r="G18" i="18"/>
  <c r="K9" i="18"/>
  <c r="M8" i="18"/>
  <c r="G185" i="17"/>
  <c r="G184" i="17"/>
  <c r="G183" i="17"/>
  <c r="G180" i="17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 i="17"/>
  <c r="G163" i="17"/>
  <c r="G162" i="17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I90" i="17" s="1"/>
  <c r="G89" i="17"/>
  <c r="G88" i="17"/>
  <c r="G87" i="17"/>
  <c r="AC19" i="1" s="1"/>
  <c r="G86" i="17"/>
  <c r="AB19" i="1" s="1"/>
  <c r="G85" i="17"/>
  <c r="AA19" i="1" s="1"/>
  <c r="G84" i="17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8" i="17"/>
  <c r="E31" i="17" s="1"/>
  <c r="G31" i="17" s="1"/>
  <c r="K9" i="17"/>
  <c r="M8" i="17"/>
  <c r="G185" i="16"/>
  <c r="G184" i="16"/>
  <c r="G183" i="16"/>
  <c r="G180" i="16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 i="16"/>
  <c r="G163" i="16"/>
  <c r="G162" i="16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I90" i="16" s="1"/>
  <c r="G89" i="16"/>
  <c r="G88" i="16"/>
  <c r="G87" i="16"/>
  <c r="AC18" i="1" s="1"/>
  <c r="G86" i="16"/>
  <c r="AB18" i="1" s="1"/>
  <c r="G85" i="16"/>
  <c r="AA18" i="1" s="1"/>
  <c r="G84" i="16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8" i="16"/>
  <c r="E31" i="16" s="1"/>
  <c r="G31" i="16" s="1"/>
  <c r="K9" i="16"/>
  <c r="M8" i="16"/>
  <c r="G185" i="15"/>
  <c r="G184" i="15"/>
  <c r="G183" i="15"/>
  <c r="G180" i="15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 i="15"/>
  <c r="G163" i="15"/>
  <c r="G162" i="15"/>
  <c r="AB18" i="44" s="1"/>
  <c r="G161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I90" i="15" s="1"/>
  <c r="G89" i="15"/>
  <c r="G88" i="15"/>
  <c r="G87" i="15"/>
  <c r="AC17" i="1" s="1"/>
  <c r="G86" i="15"/>
  <c r="AB17" i="1" s="1"/>
  <c r="G85" i="15"/>
  <c r="AA17" i="1" s="1"/>
  <c r="G84" i="15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8" i="15"/>
  <c r="E31" i="15" s="1"/>
  <c r="G31" i="15" s="1"/>
  <c r="G10" i="15"/>
  <c r="K9" i="15"/>
  <c r="M8" i="15"/>
  <c r="G185" i="14"/>
  <c r="G184" i="14"/>
  <c r="G183" i="14"/>
  <c r="G180" i="14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 i="14"/>
  <c r="G163" i="14"/>
  <c r="G162" i="14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I90" i="14" s="1"/>
  <c r="G89" i="14"/>
  <c r="G88" i="14"/>
  <c r="G87" i="14"/>
  <c r="AC16" i="1" s="1"/>
  <c r="G86" i="14"/>
  <c r="AB16" i="1" s="1"/>
  <c r="G85" i="14"/>
  <c r="AA16" i="1" s="1"/>
  <c r="G84" i="14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8" i="14"/>
  <c r="E31" i="14" s="1"/>
  <c r="G31" i="14" s="1"/>
  <c r="G10" i="14"/>
  <c r="K9" i="14"/>
  <c r="M8" i="14"/>
  <c r="G185" i="13"/>
  <c r="G184" i="13"/>
  <c r="G183" i="13"/>
  <c r="G180" i="13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 i="13"/>
  <c r="G163" i="13"/>
  <c r="G162" i="13"/>
  <c r="AB16" i="44" s="1"/>
  <c r="G161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I90" i="13" s="1"/>
  <c r="G89" i="13"/>
  <c r="G88" i="13"/>
  <c r="G87" i="13"/>
  <c r="AC15" i="1" s="1"/>
  <c r="G86" i="13"/>
  <c r="AB15" i="1" s="1"/>
  <c r="G85" i="13"/>
  <c r="AA15" i="1" s="1"/>
  <c r="G84" i="13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8" i="13"/>
  <c r="E31" i="13" s="1"/>
  <c r="G31" i="13" s="1"/>
  <c r="G10" i="13"/>
  <c r="K9" i="13"/>
  <c r="M8" i="13"/>
  <c r="G185" i="12"/>
  <c r="G184" i="12"/>
  <c r="G183" i="12"/>
  <c r="G180" i="12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 i="12"/>
  <c r="G163" i="12"/>
  <c r="G162" i="12"/>
  <c r="AB15" i="44" s="1"/>
  <c r="AA15" i="44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I90" i="12" s="1"/>
  <c r="G89" i="12"/>
  <c r="G88" i="12"/>
  <c r="G87" i="12"/>
  <c r="AC14" i="1" s="1"/>
  <c r="G86" i="12"/>
  <c r="AB14" i="1" s="1"/>
  <c r="G85" i="12"/>
  <c r="AA14" i="1" s="1"/>
  <c r="G84" i="12"/>
  <c r="G83" i="12"/>
  <c r="G82" i="12"/>
  <c r="G78" i="12"/>
  <c r="AS15" i="44" s="1"/>
  <c r="G77" i="12"/>
  <c r="AR15" i="44" s="1"/>
  <c r="G76" i="12"/>
  <c r="AQ15" i="44" s="1"/>
  <c r="G75" i="12"/>
  <c r="AP15" i="44" s="1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E29" i="12"/>
  <c r="G29" i="12" s="1"/>
  <c r="G22" i="12"/>
  <c r="G18" i="12"/>
  <c r="E31" i="12" s="1"/>
  <c r="G31" i="12" s="1"/>
  <c r="G10" i="12"/>
  <c r="K9" i="12"/>
  <c r="M8" i="12"/>
  <c r="G185" i="11"/>
  <c r="G184" i="11"/>
  <c r="G183" i="11"/>
  <c r="G180" i="11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 i="11"/>
  <c r="G163" i="11"/>
  <c r="G162" i="11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I90" i="11" s="1"/>
  <c r="G89" i="11"/>
  <c r="G88" i="11"/>
  <c r="G87" i="11"/>
  <c r="AC13" i="1" s="1"/>
  <c r="G86" i="11"/>
  <c r="AB13" i="1" s="1"/>
  <c r="G85" i="11"/>
  <c r="AA13" i="1" s="1"/>
  <c r="G84" i="1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8" i="11"/>
  <c r="E31" i="11" s="1"/>
  <c r="G31" i="11" s="1"/>
  <c r="G10" i="11"/>
  <c r="K9" i="11"/>
  <c r="M8" i="11"/>
  <c r="G185" i="10"/>
  <c r="G184" i="10"/>
  <c r="G183" i="10"/>
  <c r="G180" i="10"/>
  <c r="L23" i="45" s="1"/>
  <c r="G179" i="10"/>
  <c r="L22" i="45" s="1"/>
  <c r="L21" i="45"/>
  <c r="G175" i="10"/>
  <c r="L19" i="45" s="1"/>
  <c r="G174" i="10"/>
  <c r="L18" i="45" s="1"/>
  <c r="G173" i="10"/>
  <c r="L17" i="45" s="1"/>
  <c r="G165" i="10"/>
  <c r="G164" i="10"/>
  <c r="G163" i="10"/>
  <c r="G162" i="10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I90" i="10" s="1"/>
  <c r="G89" i="10"/>
  <c r="G88" i="10"/>
  <c r="G87" i="10"/>
  <c r="AC12" i="1" s="1"/>
  <c r="G86" i="10"/>
  <c r="AB12" i="1" s="1"/>
  <c r="G85" i="10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8" i="10"/>
  <c r="E31" i="10" s="1"/>
  <c r="G31" i="10" s="1"/>
  <c r="G10" i="10"/>
  <c r="K9" i="10"/>
  <c r="M8" i="10"/>
  <c r="G185" i="9"/>
  <c r="G184" i="9"/>
  <c r="G183" i="9"/>
  <c r="G180" i="9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 i="9"/>
  <c r="G163" i="9"/>
  <c r="G162" i="9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I90" i="9" s="1"/>
  <c r="G89" i="9"/>
  <c r="G88" i="9"/>
  <c r="G87" i="9"/>
  <c r="AC11" i="1" s="1"/>
  <c r="G86" i="9"/>
  <c r="AB11" i="1" s="1"/>
  <c r="G85" i="9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8" i="9"/>
  <c r="G10" i="9"/>
  <c r="K9" i="9"/>
  <c r="M8" i="9"/>
  <c r="G47" i="10" l="1"/>
  <c r="AB23" i="45"/>
  <c r="G181" i="40"/>
  <c r="E31" i="18"/>
  <c r="G31" i="18" s="1"/>
  <c r="E10" i="17"/>
  <c r="E10" i="18" s="1"/>
  <c r="I92" i="10"/>
  <c r="E31" i="40"/>
  <c r="G31" i="40" s="1"/>
  <c r="I89" i="27"/>
  <c r="G188" i="25"/>
  <c r="I89" i="40"/>
  <c r="I89" i="24"/>
  <c r="I89" i="20"/>
  <c r="I92" i="24"/>
  <c r="I89" i="18"/>
  <c r="I92" i="28"/>
  <c r="I89" i="14"/>
  <c r="I92" i="14"/>
  <c r="I89" i="13"/>
  <c r="I92" i="15"/>
  <c r="I92" i="16"/>
  <c r="I92" i="23"/>
  <c r="I89" i="30"/>
  <c r="I92" i="9"/>
  <c r="I89" i="12"/>
  <c r="I92" i="19"/>
  <c r="I92" i="20"/>
  <c r="I89" i="25"/>
  <c r="I92" i="11"/>
  <c r="I89" i="10"/>
  <c r="Z20" i="1"/>
  <c r="I87" i="18"/>
  <c r="Z16" i="1"/>
  <c r="I87" i="14"/>
  <c r="I89" i="11"/>
  <c r="Z17" i="1"/>
  <c r="I87" i="15"/>
  <c r="Z18" i="1"/>
  <c r="I87" i="16"/>
  <c r="Z19" i="1"/>
  <c r="I87" i="17"/>
  <c r="I92" i="21"/>
  <c r="I92" i="22"/>
  <c r="Z25" i="1"/>
  <c r="I87" i="23"/>
  <c r="I89" i="28"/>
  <c r="I89" i="29"/>
  <c r="I92" i="43"/>
  <c r="AK34" i="1"/>
  <c r="I92" i="31"/>
  <c r="Z26" i="1"/>
  <c r="I87" i="24"/>
  <c r="Z23" i="1"/>
  <c r="I87" i="21"/>
  <c r="Z24" i="1"/>
  <c r="I87" i="22"/>
  <c r="Z33" i="1"/>
  <c r="I87" i="43"/>
  <c r="Z34" i="1"/>
  <c r="I87" i="31"/>
  <c r="AA28" i="1"/>
  <c r="I87" i="40"/>
  <c r="Z22" i="1"/>
  <c r="I87" i="20"/>
  <c r="I92" i="30"/>
  <c r="AL31" i="1"/>
  <c r="I92" i="29"/>
  <c r="Z32" i="1"/>
  <c r="I87" i="30"/>
  <c r="Z15" i="1"/>
  <c r="I87" i="13"/>
  <c r="Z13" i="1"/>
  <c r="I87" i="11"/>
  <c r="I92" i="12"/>
  <c r="I89" i="15"/>
  <c r="I89" i="16"/>
  <c r="I89" i="17"/>
  <c r="AA21" i="1"/>
  <c r="I87" i="19"/>
  <c r="I89" i="23"/>
  <c r="I92" i="25"/>
  <c r="I92" i="40"/>
  <c r="I92" i="27"/>
  <c r="Z31" i="1"/>
  <c r="I87" i="29"/>
  <c r="Z14" i="1"/>
  <c r="I87" i="12"/>
  <c r="I92" i="13"/>
  <c r="I92" i="18"/>
  <c r="I89" i="21"/>
  <c r="I89" i="22"/>
  <c r="Z27" i="1"/>
  <c r="I87" i="25"/>
  <c r="Z29" i="1"/>
  <c r="I87" i="27"/>
  <c r="AA30" i="1"/>
  <c r="I87" i="28"/>
  <c r="I89" i="43"/>
  <c r="I89" i="31"/>
  <c r="I89" i="9"/>
  <c r="AA12" i="1"/>
  <c r="I87" i="10"/>
  <c r="AA11" i="1"/>
  <c r="I87" i="9"/>
  <c r="G59" i="43"/>
  <c r="H20" i="3"/>
  <c r="J20" i="3" s="1"/>
  <c r="I20" i="3" s="1"/>
  <c r="G15" i="16"/>
  <c r="G79" i="16" s="1"/>
  <c r="G80" i="16" s="1"/>
  <c r="G15" i="18"/>
  <c r="AO18" i="44"/>
  <c r="G125" i="17"/>
  <c r="I125" i="17" s="1"/>
  <c r="G47" i="17"/>
  <c r="G135" i="17"/>
  <c r="I135" i="17" s="1"/>
  <c r="G188" i="17"/>
  <c r="G188" i="29"/>
  <c r="AD8" i="45"/>
  <c r="AD13" i="45"/>
  <c r="AD15" i="45"/>
  <c r="AD14" i="45"/>
  <c r="N7" i="45"/>
  <c r="O15" i="45"/>
  <c r="G188" i="13"/>
  <c r="G13" i="3"/>
  <c r="H13" i="3" s="1"/>
  <c r="J13" i="3" s="1"/>
  <c r="E19" i="7"/>
  <c r="E15" i="8"/>
  <c r="E9" i="8"/>
  <c r="AD13" i="44"/>
  <c r="G47" i="29"/>
  <c r="AD29" i="44"/>
  <c r="G153" i="19"/>
  <c r="I153" i="19" s="1"/>
  <c r="G47" i="19"/>
  <c r="AD24" i="44"/>
  <c r="AD22" i="44"/>
  <c r="AD21" i="44"/>
  <c r="AD32" i="44"/>
  <c r="AD26" i="44"/>
  <c r="AD27" i="44"/>
  <c r="AD31" i="44"/>
  <c r="AD35" i="44"/>
  <c r="AD33" i="44"/>
  <c r="AD34" i="44"/>
  <c r="G153" i="29"/>
  <c r="I153" i="29" s="1"/>
  <c r="AD30" i="44"/>
  <c r="AD28" i="44"/>
  <c r="AD25" i="44"/>
  <c r="AD23" i="44"/>
  <c r="AD20" i="44"/>
  <c r="AD19" i="44"/>
  <c r="AD18" i="44"/>
  <c r="AD17" i="44"/>
  <c r="AD16" i="44"/>
  <c r="AD15" i="44"/>
  <c r="AD14" i="44"/>
  <c r="AD12" i="44"/>
  <c r="AF21" i="45"/>
  <c r="G181" i="30"/>
  <c r="G189" i="30" s="1"/>
  <c r="G135" i="12"/>
  <c r="I135" i="12" s="1"/>
  <c r="G135" i="19"/>
  <c r="I135" i="19" s="1"/>
  <c r="G135" i="9"/>
  <c r="I135" i="9" s="1"/>
  <c r="G125" i="23"/>
  <c r="I125" i="23" s="1"/>
  <c r="G135" i="22"/>
  <c r="I135" i="22" s="1"/>
  <c r="G125" i="11"/>
  <c r="I125" i="11" s="1"/>
  <c r="G135" i="13"/>
  <c r="I135" i="13" s="1"/>
  <c r="G135" i="28"/>
  <c r="I135" i="28" s="1"/>
  <c r="G125" i="31"/>
  <c r="I125" i="31" s="1"/>
  <c r="G135" i="40"/>
  <c r="I135" i="40" s="1"/>
  <c r="N25" i="44"/>
  <c r="G153" i="22"/>
  <c r="I153" i="22" s="1"/>
  <c r="N18" i="44"/>
  <c r="G153" i="15"/>
  <c r="I153" i="15" s="1"/>
  <c r="G135" i="18"/>
  <c r="I135" i="18" s="1"/>
  <c r="G125" i="20"/>
  <c r="I125" i="20" s="1"/>
  <c r="N26" i="44"/>
  <c r="G153" i="23"/>
  <c r="I153" i="23" s="1"/>
  <c r="G125" i="27"/>
  <c r="I125" i="27" s="1"/>
  <c r="N32" i="44"/>
  <c r="G135" i="43"/>
  <c r="I135" i="43" s="1"/>
  <c r="N29" i="44"/>
  <c r="G153" i="40"/>
  <c r="I153" i="40" s="1"/>
  <c r="G125" i="10"/>
  <c r="I125" i="10" s="1"/>
  <c r="N14" i="44"/>
  <c r="G153" i="11"/>
  <c r="I153" i="11" s="1"/>
  <c r="G125" i="14"/>
  <c r="I125" i="14" s="1"/>
  <c r="G125" i="16"/>
  <c r="I125" i="16" s="1"/>
  <c r="G125" i="30"/>
  <c r="I125" i="30" s="1"/>
  <c r="N35" i="44"/>
  <c r="G153" i="31"/>
  <c r="I153" i="31" s="1"/>
  <c r="G135" i="15"/>
  <c r="I135" i="15" s="1"/>
  <c r="N23" i="44"/>
  <c r="G153" i="20"/>
  <c r="I153" i="20" s="1"/>
  <c r="G125" i="21"/>
  <c r="I125" i="21" s="1"/>
  <c r="G125" i="25"/>
  <c r="I125" i="25" s="1"/>
  <c r="N30" i="44"/>
  <c r="G153" i="27"/>
  <c r="I153" i="27" s="1"/>
  <c r="G135" i="29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G125" i="28"/>
  <c r="I125" i="28" s="1"/>
  <c r="N33" i="44"/>
  <c r="G153" i="30"/>
  <c r="I153" i="30" s="1"/>
  <c r="G135" i="31"/>
  <c r="I135" i="31" s="1"/>
  <c r="G125" i="18"/>
  <c r="I125" i="18" s="1"/>
  <c r="G135" i="20"/>
  <c r="I135" i="20" s="1"/>
  <c r="N24" i="44"/>
  <c r="G153" i="21"/>
  <c r="I153" i="21" s="1"/>
  <c r="G135" i="27"/>
  <c r="I135" i="27" s="1"/>
  <c r="G125" i="43"/>
  <c r="I125" i="43" s="1"/>
  <c r="N12" i="44"/>
  <c r="G153" i="9"/>
  <c r="I153" i="9" s="1"/>
  <c r="G135" i="10"/>
  <c r="I135" i="10" s="1"/>
  <c r="G125" i="12"/>
  <c r="I125" i="12" s="1"/>
  <c r="N16" i="44"/>
  <c r="G153" i="13"/>
  <c r="I153" i="13" s="1"/>
  <c r="G135" i="14"/>
  <c r="I135" i="14" s="1"/>
  <c r="G135" i="16"/>
  <c r="I135" i="16" s="1"/>
  <c r="G125" i="19"/>
  <c r="I125" i="19" s="1"/>
  <c r="G125" i="22"/>
  <c r="I125" i="22" s="1"/>
  <c r="G125" i="40"/>
  <c r="I125" i="40" s="1"/>
  <c r="N31" i="44"/>
  <c r="G153" i="28"/>
  <c r="I153" i="28" s="1"/>
  <c r="G135" i="30"/>
  <c r="I135" i="30" s="1"/>
  <c r="G125" i="15"/>
  <c r="I125" i="15" s="1"/>
  <c r="G153" i="18"/>
  <c r="I153" i="18" s="1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94" i="29"/>
  <c r="G188" i="40"/>
  <c r="G188" i="30"/>
  <c r="G188" i="23"/>
  <c r="G98" i="20"/>
  <c r="G188" i="22"/>
  <c r="O7" i="45"/>
  <c r="G188" i="10"/>
  <c r="G188" i="19"/>
  <c r="G188" i="18"/>
  <c r="G188" i="15"/>
  <c r="G188" i="14"/>
  <c r="G102" i="11"/>
  <c r="G100" i="12"/>
  <c r="G100" i="20"/>
  <c r="G100" i="27"/>
  <c r="L7" i="45"/>
  <c r="G188" i="9"/>
  <c r="G188" i="28"/>
  <c r="G188" i="31"/>
  <c r="G188" i="16"/>
  <c r="G188" i="20"/>
  <c r="G188" i="24"/>
  <c r="G188" i="27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0" i="18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H127" i="33"/>
  <c r="J127" i="33" s="1"/>
  <c r="J182" i="5"/>
  <c r="G100" i="19"/>
  <c r="G102" i="22"/>
  <c r="G100" i="23"/>
  <c r="G94" i="25"/>
  <c r="G102" i="13"/>
  <c r="G176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102" i="12"/>
  <c r="G98" i="13"/>
  <c r="G100" i="13"/>
  <c r="G102" i="27"/>
  <c r="G100" i="28"/>
  <c r="G102" i="43"/>
  <c r="J152" i="5"/>
  <c r="H152" i="33"/>
  <c r="G100" i="9"/>
  <c r="G102" i="16"/>
  <c r="G104" i="15"/>
  <c r="G102" i="19"/>
  <c r="G47" i="43"/>
  <c r="G186" i="43"/>
  <c r="G186" i="30"/>
  <c r="G186" i="27"/>
  <c r="G186" i="40"/>
  <c r="G47" i="40"/>
  <c r="G186" i="22"/>
  <c r="G186" i="21"/>
  <c r="G186" i="11"/>
  <c r="G186" i="9"/>
  <c r="H168" i="10"/>
  <c r="J168" i="9"/>
  <c r="H167" i="10"/>
  <c r="J167" i="9"/>
  <c r="H182" i="7"/>
  <c r="J182" i="33"/>
  <c r="H177" i="7"/>
  <c r="J177" i="33"/>
  <c r="G104" i="31"/>
  <c r="G186" i="31"/>
  <c r="G102" i="31"/>
  <c r="G31" i="31"/>
  <c r="G94" i="31"/>
  <c r="G98" i="31"/>
  <c r="G100" i="31"/>
  <c r="G71" i="31"/>
  <c r="G71" i="43"/>
  <c r="G96" i="43"/>
  <c r="G71" i="30"/>
  <c r="G100" i="30"/>
  <c r="G47" i="30"/>
  <c r="G100" i="29"/>
  <c r="G181" i="28"/>
  <c r="G189" i="28" s="1"/>
  <c r="G47" i="27"/>
  <c r="G71" i="40"/>
  <c r="G96" i="40"/>
  <c r="G186" i="25"/>
  <c r="G176" i="24"/>
  <c r="G181" i="24"/>
  <c r="G189" i="24" s="1"/>
  <c r="G186" i="23"/>
  <c r="G71" i="23"/>
  <c r="G47" i="23"/>
  <c r="G47" i="22"/>
  <c r="G96" i="21"/>
  <c r="G186" i="20"/>
  <c r="G71" i="20"/>
  <c r="G104" i="19"/>
  <c r="G181" i="18"/>
  <c r="G189" i="18" s="1"/>
  <c r="G186" i="16"/>
  <c r="G71" i="16"/>
  <c r="G47" i="16"/>
  <c r="G186" i="15"/>
  <c r="G79" i="15"/>
  <c r="G80" i="15" s="1"/>
  <c r="G181" i="14"/>
  <c r="G189" i="14" s="1"/>
  <c r="G176" i="13"/>
  <c r="G181" i="13"/>
  <c r="G189" i="13" s="1"/>
  <c r="G186" i="12"/>
  <c r="G47" i="12"/>
  <c r="G71" i="11"/>
  <c r="G47" i="11"/>
  <c r="G186" i="10"/>
  <c r="G71" i="9"/>
  <c r="G96" i="9"/>
  <c r="G47" i="9"/>
  <c r="G59" i="31"/>
  <c r="G176" i="31"/>
  <c r="G181" i="31"/>
  <c r="G189" i="31" s="1"/>
  <c r="G64" i="31"/>
  <c r="G96" i="31"/>
  <c r="G47" i="31"/>
  <c r="G71" i="10"/>
  <c r="G176" i="14"/>
  <c r="G181" i="15"/>
  <c r="G189" i="15" s="1"/>
  <c r="G71" i="12"/>
  <c r="G176" i="15"/>
  <c r="G181" i="17"/>
  <c r="G189" i="17" s="1"/>
  <c r="G186" i="18"/>
  <c r="G176" i="19"/>
  <c r="G176" i="21"/>
  <c r="G186" i="24"/>
  <c r="G176" i="28"/>
  <c r="G94" i="43"/>
  <c r="G98" i="43"/>
  <c r="G100" i="14"/>
  <c r="G96" i="15"/>
  <c r="G102" i="17"/>
  <c r="G71" i="29"/>
  <c r="G176" i="18"/>
  <c r="G186" i="28"/>
  <c r="G104" i="14"/>
  <c r="G96" i="14"/>
  <c r="G104" i="43"/>
  <c r="G64" i="43"/>
  <c r="G176" i="43"/>
  <c r="G181" i="43"/>
  <c r="G189" i="43" s="1"/>
  <c r="G96" i="12"/>
  <c r="G102" i="14"/>
  <c r="G79" i="17"/>
  <c r="G80" i="17" s="1"/>
  <c r="G100" i="17"/>
  <c r="G104" i="18"/>
  <c r="G96" i="18"/>
  <c r="G186" i="19"/>
  <c r="G186" i="29"/>
  <c r="G181" i="19"/>
  <c r="G189" i="19" s="1"/>
  <c r="G100" i="15"/>
  <c r="G104" i="17"/>
  <c r="G96" i="17"/>
  <c r="G102" i="18"/>
  <c r="G71" i="25"/>
  <c r="G71" i="27"/>
  <c r="G102" i="24"/>
  <c r="G96" i="25"/>
  <c r="G71" i="22"/>
  <c r="G100" i="24"/>
  <c r="G104" i="28"/>
  <c r="G96" i="28"/>
  <c r="G96" i="29"/>
  <c r="G181" i="21"/>
  <c r="G189" i="21" s="1"/>
  <c r="G96" i="24"/>
  <c r="G94" i="30"/>
  <c r="G59" i="30"/>
  <c r="G98" i="30"/>
  <c r="G176" i="30"/>
  <c r="G96" i="30"/>
  <c r="G104" i="30"/>
  <c r="G64" i="30"/>
  <c r="G59" i="29"/>
  <c r="G176" i="29"/>
  <c r="G181" i="29"/>
  <c r="G189" i="29" s="1"/>
  <c r="G64" i="29"/>
  <c r="G71" i="28"/>
  <c r="G47" i="28"/>
  <c r="G59" i="28"/>
  <c r="G64" i="28"/>
  <c r="G94" i="28"/>
  <c r="G98" i="28"/>
  <c r="G94" i="27"/>
  <c r="G59" i="27"/>
  <c r="G98" i="27"/>
  <c r="G176" i="27"/>
  <c r="G181" i="27"/>
  <c r="G189" i="27" s="1"/>
  <c r="G96" i="27"/>
  <c r="G104" i="27"/>
  <c r="G64" i="27"/>
  <c r="G94" i="40"/>
  <c r="G59" i="40"/>
  <c r="G98" i="40"/>
  <c r="G176" i="40"/>
  <c r="G189" i="40"/>
  <c r="G104" i="40"/>
  <c r="G64" i="40"/>
  <c r="G59" i="25"/>
  <c r="G176" i="25"/>
  <c r="G181" i="25"/>
  <c r="G189" i="25" s="1"/>
  <c r="G64" i="25"/>
  <c r="G47" i="25"/>
  <c r="G71" i="24"/>
  <c r="G47" i="24"/>
  <c r="G59" i="24"/>
  <c r="G64" i="24"/>
  <c r="G94" i="24"/>
  <c r="G98" i="24"/>
  <c r="G94" i="23"/>
  <c r="G59" i="23"/>
  <c r="G98" i="23"/>
  <c r="G176" i="23"/>
  <c r="G181" i="23"/>
  <c r="G189" i="23" s="1"/>
  <c r="G96" i="23"/>
  <c r="G104" i="23"/>
  <c r="G64" i="23"/>
  <c r="G94" i="22"/>
  <c r="G59" i="22"/>
  <c r="G98" i="22"/>
  <c r="G176" i="22"/>
  <c r="G181" i="22"/>
  <c r="G189" i="22" s="1"/>
  <c r="G96" i="22"/>
  <c r="G104" i="22"/>
  <c r="G64" i="22"/>
  <c r="G64" i="21"/>
  <c r="G59" i="21"/>
  <c r="G71" i="21"/>
  <c r="G47" i="21"/>
  <c r="G94" i="21"/>
  <c r="G98" i="21"/>
  <c r="G59" i="20"/>
  <c r="G176" i="20"/>
  <c r="G181" i="20"/>
  <c r="G189" i="20" s="1"/>
  <c r="G96" i="20"/>
  <c r="G64" i="20"/>
  <c r="G47" i="20"/>
  <c r="G64" i="19"/>
  <c r="G96" i="19"/>
  <c r="G59" i="19"/>
  <c r="G71" i="19"/>
  <c r="G94" i="19"/>
  <c r="G98" i="19"/>
  <c r="G71" i="18"/>
  <c r="G47" i="18"/>
  <c r="G59" i="18"/>
  <c r="G64" i="18"/>
  <c r="G94" i="18"/>
  <c r="G98" i="18"/>
  <c r="G71" i="17"/>
  <c r="G186" i="17"/>
  <c r="G59" i="17"/>
  <c r="G64" i="17"/>
  <c r="G94" i="17"/>
  <c r="G98" i="17"/>
  <c r="E28" i="17"/>
  <c r="G28" i="17" s="1"/>
  <c r="G94" i="16"/>
  <c r="G59" i="16"/>
  <c r="G98" i="16"/>
  <c r="G176" i="16"/>
  <c r="G181" i="16"/>
  <c r="G189" i="16" s="1"/>
  <c r="G96" i="16"/>
  <c r="G104" i="16"/>
  <c r="G64" i="16"/>
  <c r="G64" i="15"/>
  <c r="G59" i="15"/>
  <c r="G71" i="15"/>
  <c r="G47" i="15"/>
  <c r="G94" i="15"/>
  <c r="G98" i="15"/>
  <c r="E28" i="15"/>
  <c r="G28" i="15" s="1"/>
  <c r="G186" i="14"/>
  <c r="G71" i="14"/>
  <c r="G47" i="14"/>
  <c r="G59" i="14"/>
  <c r="G64" i="14"/>
  <c r="G94" i="14"/>
  <c r="G98" i="14"/>
  <c r="G59" i="13"/>
  <c r="G71" i="13"/>
  <c r="G64" i="13"/>
  <c r="G96" i="13"/>
  <c r="G186" i="13"/>
  <c r="G47" i="13"/>
  <c r="G64" i="12"/>
  <c r="G94" i="12"/>
  <c r="G59" i="12"/>
  <c r="G98" i="12"/>
  <c r="G176" i="12"/>
  <c r="G181" i="12"/>
  <c r="G189" i="12" s="1"/>
  <c r="G104" i="12"/>
  <c r="G64" i="11"/>
  <c r="G94" i="11"/>
  <c r="G59" i="11"/>
  <c r="G98" i="11"/>
  <c r="G176" i="11"/>
  <c r="G181" i="11"/>
  <c r="G189" i="11" s="1"/>
  <c r="G104" i="11"/>
  <c r="G104" i="10"/>
  <c r="G64" i="10"/>
  <c r="G94" i="10"/>
  <c r="G59" i="10"/>
  <c r="G60" i="10" s="1"/>
  <c r="G98" i="10"/>
  <c r="G100" i="10"/>
  <c r="G102" i="10"/>
  <c r="G176" i="10"/>
  <c r="G181" i="10"/>
  <c r="G189" i="10" s="1"/>
  <c r="G96" i="10"/>
  <c r="G64" i="9"/>
  <c r="G59" i="9"/>
  <c r="G94" i="9"/>
  <c r="G98" i="9"/>
  <c r="G176" i="9"/>
  <c r="G181" i="9"/>
  <c r="G189" i="9" s="1"/>
  <c r="G104" i="9"/>
  <c r="E31" i="9"/>
  <c r="G31" i="9" s="1"/>
  <c r="G185" i="8"/>
  <c r="G184" i="8"/>
  <c r="G183" i="8"/>
  <c r="G180" i="8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 i="8"/>
  <c r="G163" i="8"/>
  <c r="G162" i="8"/>
  <c r="AB11" i="44" s="1"/>
  <c r="G161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I90" i="8" s="1"/>
  <c r="G89" i="8"/>
  <c r="G88" i="8"/>
  <c r="G87" i="8"/>
  <c r="AC10" i="1" s="1"/>
  <c r="G86" i="8"/>
  <c r="AB10" i="1" s="1"/>
  <c r="G85" i="8"/>
  <c r="AA10" i="1" s="1"/>
  <c r="G84" i="8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8" i="8"/>
  <c r="E31" i="8" s="1"/>
  <c r="G31" i="8" s="1"/>
  <c r="G10" i="8"/>
  <c r="K9" i="8"/>
  <c r="M8" i="8"/>
  <c r="G185" i="7"/>
  <c r="G184" i="7"/>
  <c r="G183" i="7"/>
  <c r="G180" i="7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 i="7"/>
  <c r="G163" i="7"/>
  <c r="G162" i="7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I90" i="7" s="1"/>
  <c r="G89" i="7"/>
  <c r="AW10" i="44" s="1"/>
  <c r="G88" i="7"/>
  <c r="G87" i="7"/>
  <c r="AC9" i="1" s="1"/>
  <c r="G86" i="7"/>
  <c r="AB9" i="1" s="1"/>
  <c r="G85" i="7"/>
  <c r="AA9" i="1" s="1"/>
  <c r="G84" i="7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8" i="7"/>
  <c r="E31" i="7" s="1"/>
  <c r="G31" i="7" s="1"/>
  <c r="G15" i="7"/>
  <c r="G10" i="7"/>
  <c r="K9" i="7"/>
  <c r="M8" i="7"/>
  <c r="G8" i="7"/>
  <c r="G7" i="7"/>
  <c r="G185" i="33"/>
  <c r="G184" i="33"/>
  <c r="G183" i="33"/>
  <c r="G180" i="33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 i="33"/>
  <c r="G163" i="33"/>
  <c r="G162" i="33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92" i="33"/>
  <c r="AL8" i="1" s="1"/>
  <c r="G91" i="33"/>
  <c r="G90" i="33"/>
  <c r="I90" i="33" s="1"/>
  <c r="G89" i="33"/>
  <c r="G88" i="33"/>
  <c r="G87" i="33"/>
  <c r="AC8" i="1" s="1"/>
  <c r="G86" i="33"/>
  <c r="AB8" i="1" s="1"/>
  <c r="G85" i="33"/>
  <c r="AA8" i="1" s="1"/>
  <c r="G84" i="33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7" i="33" s="1"/>
  <c r="G18" i="33"/>
  <c r="E31" i="33" s="1"/>
  <c r="G31" i="33" s="1"/>
  <c r="G15" i="33"/>
  <c r="G10" i="33"/>
  <c r="K9" i="33"/>
  <c r="G9" i="33"/>
  <c r="M8" i="33"/>
  <c r="G8" i="33"/>
  <c r="G7" i="33"/>
  <c r="G185" i="5"/>
  <c r="G184" i="5"/>
  <c r="G183" i="5"/>
  <c r="G180" i="5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 i="5"/>
  <c r="G163" i="5"/>
  <c r="G162" i="5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I90" i="5" s="1"/>
  <c r="G89" i="5"/>
  <c r="G88" i="5"/>
  <c r="G87" i="5"/>
  <c r="AC7" i="1" s="1"/>
  <c r="G86" i="5"/>
  <c r="AB7" i="1" s="1"/>
  <c r="G85" i="5"/>
  <c r="AA7" i="1" s="1"/>
  <c r="G84" i="5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5" i="4"/>
  <c r="G184" i="4"/>
  <c r="G183" i="4"/>
  <c r="G180" i="4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 i="4"/>
  <c r="G163" i="4"/>
  <c r="G162" i="4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I90" i="4" s="1"/>
  <c r="G89" i="4"/>
  <c r="G88" i="4"/>
  <c r="G87" i="4"/>
  <c r="AC6" i="1" s="1"/>
  <c r="G86" i="4"/>
  <c r="AB6" i="1" s="1"/>
  <c r="G85" i="4"/>
  <c r="AA6" i="1" s="1"/>
  <c r="G84" i="4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5" i="3"/>
  <c r="G184" i="3"/>
  <c r="G183" i="3"/>
  <c r="G180" i="3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 i="3"/>
  <c r="G163" i="3"/>
  <c r="G162" i="3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I90" i="3" s="1"/>
  <c r="G89" i="3"/>
  <c r="G88" i="3"/>
  <c r="G87" i="3"/>
  <c r="AC5" i="1" s="1"/>
  <c r="G86" i="3"/>
  <c r="AB5" i="1" s="1"/>
  <c r="G85" i="3"/>
  <c r="AA5" i="1" s="1"/>
  <c r="G84" i="3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5" i="2"/>
  <c r="H185" i="2" s="1"/>
  <c r="J185" i="2" s="1"/>
  <c r="G184" i="2"/>
  <c r="G183" i="2"/>
  <c r="G180" i="2"/>
  <c r="D23" i="45" s="1"/>
  <c r="G179" i="2"/>
  <c r="D22" i="45" s="1"/>
  <c r="G178" i="2"/>
  <c r="G175" i="2"/>
  <c r="D19" i="45" s="1"/>
  <c r="G174" i="2"/>
  <c r="D18" i="45" s="1"/>
  <c r="G173" i="2"/>
  <c r="D17" i="45" s="1"/>
  <c r="G165" i="2"/>
  <c r="G163" i="2"/>
  <c r="G162" i="2"/>
  <c r="AB5" i="44" s="1"/>
  <c r="G161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G92" i="2"/>
  <c r="I92" i="2" s="1"/>
  <c r="G90" i="2"/>
  <c r="I90" i="2" s="1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7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G30" i="2"/>
  <c r="H30" i="2" s="1"/>
  <c r="G31" i="2"/>
  <c r="H31" i="2" s="1"/>
  <c r="K9" i="2"/>
  <c r="M8" i="2"/>
  <c r="H27" i="2"/>
  <c r="G60" i="11" l="1"/>
  <c r="G60" i="40"/>
  <c r="G79" i="18"/>
  <c r="G80" i="18" s="1"/>
  <c r="E28" i="18"/>
  <c r="G28" i="18" s="1"/>
  <c r="G60" i="13"/>
  <c r="G10" i="17"/>
  <c r="I135" i="29"/>
  <c r="I89" i="8"/>
  <c r="I89" i="3"/>
  <c r="I92" i="8"/>
  <c r="I92" i="3"/>
  <c r="I89" i="5"/>
  <c r="I92" i="7"/>
  <c r="Z9" i="1"/>
  <c r="I87" i="7"/>
  <c r="I87" i="2"/>
  <c r="I92" i="4"/>
  <c r="I89" i="33"/>
  <c r="Z10" i="1"/>
  <c r="I87" i="8"/>
  <c r="Z7" i="1"/>
  <c r="I87" i="5"/>
  <c r="I89" i="2"/>
  <c r="Z5" i="1"/>
  <c r="I87" i="3"/>
  <c r="I92" i="33"/>
  <c r="I89" i="7"/>
  <c r="Z8" i="1"/>
  <c r="I87" i="33"/>
  <c r="Z6" i="1"/>
  <c r="I87" i="4"/>
  <c r="I89" i="4"/>
  <c r="I92" i="5"/>
  <c r="G60" i="16"/>
  <c r="G60" i="17"/>
  <c r="E28" i="16"/>
  <c r="G28" i="16" s="1"/>
  <c r="AZ18" i="44"/>
  <c r="G60" i="15"/>
  <c r="H29" i="2"/>
  <c r="G188" i="2"/>
  <c r="AZ12" i="44"/>
  <c r="G60" i="19"/>
  <c r="AZ14" i="44"/>
  <c r="AZ28" i="44"/>
  <c r="AZ15" i="44"/>
  <c r="AZ20" i="44"/>
  <c r="AZ24" i="44"/>
  <c r="AZ23" i="44"/>
  <c r="AZ26" i="44"/>
  <c r="AZ27" i="44"/>
  <c r="AZ13" i="44"/>
  <c r="AZ25" i="44"/>
  <c r="AZ16" i="44"/>
  <c r="AZ19" i="44"/>
  <c r="AZ17" i="44"/>
  <c r="AZ22" i="44"/>
  <c r="AZ21" i="44"/>
  <c r="N49" i="4"/>
  <c r="G188" i="4"/>
  <c r="H49" i="2"/>
  <c r="H49" i="3" s="1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G59" i="2"/>
  <c r="H59" i="2" s="1"/>
  <c r="I13" i="3"/>
  <c r="G19" i="7"/>
  <c r="E30" i="7" s="1"/>
  <c r="G30" i="7" s="1"/>
  <c r="G15" i="8"/>
  <c r="G79" i="8" s="1"/>
  <c r="G9" i="8"/>
  <c r="G8" i="8"/>
  <c r="G9" i="7"/>
  <c r="G60" i="18"/>
  <c r="G60" i="29"/>
  <c r="AD11" i="44"/>
  <c r="AD10" i="44"/>
  <c r="AD9" i="44"/>
  <c r="AD8" i="44"/>
  <c r="AD7" i="44"/>
  <c r="AD6" i="44"/>
  <c r="AL37" i="44"/>
  <c r="O36" i="44"/>
  <c r="AB36" i="44"/>
  <c r="AJ37" i="44"/>
  <c r="R36" i="44"/>
  <c r="P37" i="44"/>
  <c r="AF36" i="44"/>
  <c r="Q36" i="44"/>
  <c r="AH37" i="44"/>
  <c r="Q37" i="44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I125" i="7" s="1"/>
  <c r="AF37" i="44"/>
  <c r="AJ36" i="44"/>
  <c r="P36" i="44"/>
  <c r="AB37" i="44"/>
  <c r="X36" i="44"/>
  <c r="X37" i="44"/>
  <c r="G135" i="8"/>
  <c r="I135" i="8" s="1"/>
  <c r="N8" i="44"/>
  <c r="G153" i="5"/>
  <c r="I153" i="5" s="1"/>
  <c r="G125" i="8"/>
  <c r="I125" i="8" s="1"/>
  <c r="G135" i="2"/>
  <c r="G125" i="4"/>
  <c r="I125" i="4" s="1"/>
  <c r="N7" i="44"/>
  <c r="G153" i="4"/>
  <c r="I153" i="4" s="1"/>
  <c r="G135" i="5"/>
  <c r="I135" i="5" s="1"/>
  <c r="N11" i="44"/>
  <c r="G153" i="8"/>
  <c r="N10" i="44"/>
  <c r="G153" i="7"/>
  <c r="I153" i="7" s="1"/>
  <c r="H112" i="2"/>
  <c r="J112" i="2" s="1"/>
  <c r="G125" i="2"/>
  <c r="I125" i="2" s="1"/>
  <c r="N6" i="44"/>
  <c r="G153" i="3"/>
  <c r="I153" i="3" s="1"/>
  <c r="G135" i="4"/>
  <c r="I135" i="4" s="1"/>
  <c r="G125" i="5"/>
  <c r="I125" i="5" s="1"/>
  <c r="N9" i="44"/>
  <c r="G153" i="33"/>
  <c r="I153" i="33" s="1"/>
  <c r="N5" i="44"/>
  <c r="G153" i="2"/>
  <c r="G135" i="3"/>
  <c r="G60" i="25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33"/>
  <c r="G135" i="7"/>
  <c r="I135" i="7" s="1"/>
  <c r="E9" i="45"/>
  <c r="G188" i="3"/>
  <c r="G188" i="7"/>
  <c r="G7" i="45"/>
  <c r="G187" i="5"/>
  <c r="F7" i="45"/>
  <c r="G187" i="4"/>
  <c r="G188" i="5"/>
  <c r="G135" i="33"/>
  <c r="J7" i="45"/>
  <c r="H183" i="2"/>
  <c r="J183" i="2" s="1"/>
  <c r="G186" i="2"/>
  <c r="G102" i="5"/>
  <c r="G103" i="5" s="1"/>
  <c r="H127" i="7"/>
  <c r="H127" i="8" s="1"/>
  <c r="E7" i="45"/>
  <c r="G187" i="3"/>
  <c r="I7" i="45"/>
  <c r="G188" i="8"/>
  <c r="AA11" i="44"/>
  <c r="J156" i="9"/>
  <c r="G125" i="33"/>
  <c r="I125" i="33" s="1"/>
  <c r="G98" i="33"/>
  <c r="G99" i="33" s="1"/>
  <c r="G125" i="3"/>
  <c r="I125" i="3" s="1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H92" i="3" s="1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AL4" i="1"/>
  <c r="H178" i="2"/>
  <c r="J178" i="2" s="1"/>
  <c r="D21" i="45"/>
  <c r="G102" i="4"/>
  <c r="G103" i="4" s="1"/>
  <c r="G100" i="5"/>
  <c r="G101" i="5" s="1"/>
  <c r="G94" i="8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101" i="4" s="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AH9" i="1"/>
  <c r="G100" i="8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J67" i="27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 i="1"/>
  <c r="G60" i="43"/>
  <c r="G60" i="30"/>
  <c r="G186" i="7"/>
  <c r="H15" i="5"/>
  <c r="H15" i="33" s="1"/>
  <c r="H15" i="7" s="1"/>
  <c r="H8" i="5"/>
  <c r="H8" i="33" s="1"/>
  <c r="H8" i="7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G47" i="5"/>
  <c r="G71" i="5"/>
  <c r="H7" i="5"/>
  <c r="H7" i="33" s="1"/>
  <c r="H7" i="7" s="1"/>
  <c r="H19" i="5"/>
  <c r="H19" i="33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82" i="8"/>
  <c r="J182" i="7"/>
  <c r="J166" i="10"/>
  <c r="H166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6" i="2"/>
  <c r="H173" i="2"/>
  <c r="H175" i="2"/>
  <c r="G186" i="3"/>
  <c r="H180" i="2"/>
  <c r="J180" i="2" s="1"/>
  <c r="H174" i="2"/>
  <c r="H179" i="2"/>
  <c r="J179" i="2" s="1"/>
  <c r="H184" i="2"/>
  <c r="H185" i="3"/>
  <c r="H161" i="2"/>
  <c r="J161" i="2" s="1"/>
  <c r="H163" i="2"/>
  <c r="J163" i="2" s="1"/>
  <c r="H165" i="2"/>
  <c r="J165" i="2" s="1"/>
  <c r="H162" i="2"/>
  <c r="H164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9" i="2"/>
  <c r="J119" i="2" s="1"/>
  <c r="H113" i="2"/>
  <c r="J113" i="2" s="1"/>
  <c r="H121" i="2"/>
  <c r="J121" i="2" s="1"/>
  <c r="H114" i="3"/>
  <c r="H115" i="2"/>
  <c r="H123" i="2"/>
  <c r="J123" i="2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60" i="22"/>
  <c r="G186" i="8"/>
  <c r="G96" i="8"/>
  <c r="G71" i="7"/>
  <c r="G102" i="7"/>
  <c r="G103" i="7" s="1"/>
  <c r="G79" i="33"/>
  <c r="G80" i="33" s="1"/>
  <c r="G71" i="33"/>
  <c r="G186" i="5"/>
  <c r="G96" i="4"/>
  <c r="G97" i="4" s="1"/>
  <c r="G60" i="31"/>
  <c r="G71" i="3"/>
  <c r="G186" i="33"/>
  <c r="G176" i="4"/>
  <c r="G71" i="8"/>
  <c r="G181" i="2"/>
  <c r="H80" i="17"/>
  <c r="G104" i="2"/>
  <c r="H104" i="2" s="1"/>
  <c r="G96" i="2"/>
  <c r="H96" i="2" s="1"/>
  <c r="G79" i="4"/>
  <c r="G181" i="4"/>
  <c r="G189" i="4" s="1"/>
  <c r="G60" i="28"/>
  <c r="G60" i="24"/>
  <c r="G60" i="21"/>
  <c r="H189" i="20"/>
  <c r="G60" i="20"/>
  <c r="G60" i="14"/>
  <c r="G60" i="9"/>
  <c r="G104" i="8"/>
  <c r="G59" i="8"/>
  <c r="G102" i="8"/>
  <c r="G176" i="8"/>
  <c r="G181" i="8"/>
  <c r="G189" i="8" s="1"/>
  <c r="G64" i="8"/>
  <c r="G47" i="8"/>
  <c r="E27" i="7"/>
  <c r="G27" i="7" s="1"/>
  <c r="G104" i="7"/>
  <c r="G96" i="7"/>
  <c r="G59" i="7"/>
  <c r="G176" i="7"/>
  <c r="G181" i="7"/>
  <c r="G189" i="7" s="1"/>
  <c r="G79" i="7"/>
  <c r="G94" i="7"/>
  <c r="G98" i="7"/>
  <c r="G64" i="7"/>
  <c r="G47" i="7"/>
  <c r="G60" i="7" s="1"/>
  <c r="E28" i="7"/>
  <c r="G28" i="7" s="1"/>
  <c r="E27" i="33"/>
  <c r="G27" i="33" s="1"/>
  <c r="G100" i="33"/>
  <c r="G104" i="33"/>
  <c r="G96" i="33"/>
  <c r="G64" i="33"/>
  <c r="G59" i="33"/>
  <c r="G102" i="33"/>
  <c r="G176" i="33"/>
  <c r="G181" i="33"/>
  <c r="G189" i="33" s="1"/>
  <c r="E30" i="33"/>
  <c r="G30" i="33" s="1"/>
  <c r="G47" i="33"/>
  <c r="G20" i="33"/>
  <c r="E28" i="33"/>
  <c r="G28" i="33" s="1"/>
  <c r="G64" i="5"/>
  <c r="G98" i="5"/>
  <c r="G94" i="5"/>
  <c r="G59" i="5"/>
  <c r="G176" i="5"/>
  <c r="G181" i="5"/>
  <c r="G189" i="5" s="1"/>
  <c r="G79" i="5"/>
  <c r="E27" i="5"/>
  <c r="G27" i="5" s="1"/>
  <c r="E30" i="5"/>
  <c r="G30" i="5" s="1"/>
  <c r="G104" i="5"/>
  <c r="G20" i="5"/>
  <c r="E28" i="5"/>
  <c r="G28" i="5" s="1"/>
  <c r="G64" i="4"/>
  <c r="E30" i="4"/>
  <c r="G30" i="4" s="1"/>
  <c r="E27" i="4"/>
  <c r="G27" i="4" s="1"/>
  <c r="G59" i="4"/>
  <c r="G71" i="4"/>
  <c r="G186" i="4"/>
  <c r="G47" i="4"/>
  <c r="G20" i="4"/>
  <c r="H20" i="4" s="1"/>
  <c r="G94" i="4"/>
  <c r="G98" i="4"/>
  <c r="E28" i="4"/>
  <c r="G28" i="4" s="1"/>
  <c r="E30" i="3"/>
  <c r="G64" i="3"/>
  <c r="G104" i="3"/>
  <c r="G96" i="3"/>
  <c r="G59" i="3"/>
  <c r="G176" i="3"/>
  <c r="G181" i="3"/>
  <c r="G189" i="3" s="1"/>
  <c r="G79" i="3"/>
  <c r="G94" i="3"/>
  <c r="G98" i="3"/>
  <c r="E31" i="3"/>
  <c r="G47" i="3"/>
  <c r="E28" i="3"/>
  <c r="G28" i="3" s="1"/>
  <c r="G71" i="2"/>
  <c r="H71" i="2" s="1"/>
  <c r="G47" i="2"/>
  <c r="G64" i="2"/>
  <c r="H64" i="2" s="1"/>
  <c r="G94" i="2"/>
  <c r="H94" i="2" s="1"/>
  <c r="G98" i="2"/>
  <c r="H98" i="2" s="1"/>
  <c r="G28" i="2"/>
  <c r="H28" i="2" s="1"/>
  <c r="G178" i="50"/>
  <c r="H178" i="50" s="1"/>
  <c r="J178" i="50" s="1"/>
  <c r="E177" i="50"/>
  <c r="G177" i="50" s="1"/>
  <c r="H177" i="50" s="1"/>
  <c r="J177" i="50" s="1"/>
  <c r="E176" i="50"/>
  <c r="G176" i="50" s="1"/>
  <c r="H176" i="50" s="1"/>
  <c r="J176" i="50" s="1"/>
  <c r="H175" i="50"/>
  <c r="J175" i="50" s="1"/>
  <c r="E173" i="50"/>
  <c r="G173" i="50" s="1"/>
  <c r="H173" i="50" s="1"/>
  <c r="J173" i="50" s="1"/>
  <c r="E172" i="50"/>
  <c r="G172" i="50" s="1"/>
  <c r="H172" i="50" s="1"/>
  <c r="J172" i="50" s="1"/>
  <c r="E171" i="50"/>
  <c r="G171" i="50" s="1"/>
  <c r="H170" i="50"/>
  <c r="E168" i="50"/>
  <c r="G168" i="50" s="1"/>
  <c r="H168" i="50" s="1"/>
  <c r="J168" i="50" s="1"/>
  <c r="E167" i="50"/>
  <c r="G167" i="50" s="1"/>
  <c r="H167" i="50" s="1"/>
  <c r="J167" i="50" s="1"/>
  <c r="E166" i="50"/>
  <c r="G166" i="50" s="1"/>
  <c r="E158" i="50"/>
  <c r="G158" i="50" s="1"/>
  <c r="H158" i="50" s="1"/>
  <c r="J158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H136" i="50"/>
  <c r="J136" i="50" s="1"/>
  <c r="H135" i="50"/>
  <c r="J135" i="50" s="1"/>
  <c r="E151" i="50"/>
  <c r="G151" i="50" s="1"/>
  <c r="H151" i="50" s="1"/>
  <c r="J151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4" i="50"/>
  <c r="G134" i="50" s="1"/>
  <c r="H134" i="50" s="1"/>
  <c r="J134" i="50" s="1"/>
  <c r="E133" i="50"/>
  <c r="G133" i="50" s="1"/>
  <c r="E132" i="50"/>
  <c r="G132" i="50" s="1"/>
  <c r="E131" i="50"/>
  <c r="G131" i="50" s="1"/>
  <c r="E130" i="50"/>
  <c r="G130" i="50" s="1"/>
  <c r="E129" i="50"/>
  <c r="G129" i="50" s="1"/>
  <c r="G118" i="50"/>
  <c r="G116" i="50"/>
  <c r="H116" i="50" s="1"/>
  <c r="J116" i="50" s="1"/>
  <c r="G115" i="50"/>
  <c r="H115" i="50" s="1"/>
  <c r="J115" i="50" s="1"/>
  <c r="G114" i="50"/>
  <c r="H114" i="50" s="1"/>
  <c r="J114" i="50" s="1"/>
  <c r="G113" i="50"/>
  <c r="H113" i="50" s="1"/>
  <c r="J113" i="50" s="1"/>
  <c r="E93" i="50"/>
  <c r="G93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79" i="50"/>
  <c r="G79" i="50" s="1"/>
  <c r="E78" i="50"/>
  <c r="G78" i="50" s="1"/>
  <c r="E77" i="50"/>
  <c r="G77" i="50" s="1"/>
  <c r="E76" i="50"/>
  <c r="G76" i="50" s="1"/>
  <c r="E75" i="50"/>
  <c r="G75" i="50" s="1"/>
  <c r="E71" i="50"/>
  <c r="G71" i="50" s="1"/>
  <c r="E70" i="50"/>
  <c r="G70" i="50" s="1"/>
  <c r="E69" i="50"/>
  <c r="G69" i="50" s="1"/>
  <c r="E68" i="50"/>
  <c r="G68" i="50" s="1"/>
  <c r="E67" i="50"/>
  <c r="G67" i="50" s="1"/>
  <c r="E66" i="50"/>
  <c r="G66" i="50" s="1"/>
  <c r="E64" i="50"/>
  <c r="G64" i="50" s="1"/>
  <c r="E63" i="50"/>
  <c r="G63" i="50" s="1"/>
  <c r="G123" i="50"/>
  <c r="G121" i="50"/>
  <c r="G119" i="50"/>
  <c r="E59" i="50"/>
  <c r="G59" i="50" s="1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G47" i="50"/>
  <c r="G46" i="50"/>
  <c r="G45" i="50"/>
  <c r="G44" i="50"/>
  <c r="G43" i="50"/>
  <c r="G42" i="50"/>
  <c r="G41" i="50"/>
  <c r="G40" i="50"/>
  <c r="G39" i="50"/>
  <c r="G38" i="50"/>
  <c r="G37" i="50"/>
  <c r="G36" i="50"/>
  <c r="E30" i="50"/>
  <c r="G30" i="50" s="1"/>
  <c r="E25" i="50"/>
  <c r="E24" i="50"/>
  <c r="E23" i="50"/>
  <c r="G23" i="50" s="1"/>
  <c r="G19" i="50"/>
  <c r="E19" i="50"/>
  <c r="G16" i="50"/>
  <c r="K9" i="50"/>
  <c r="M8" i="50"/>
  <c r="E27" i="8" l="1"/>
  <c r="G27" i="8" s="1"/>
  <c r="O8" i="8"/>
  <c r="H10" i="17"/>
  <c r="G32" i="2"/>
  <c r="H32" i="2" s="1"/>
  <c r="H112" i="3"/>
  <c r="J112" i="3" s="1"/>
  <c r="H70" i="27"/>
  <c r="H70" i="28" s="1"/>
  <c r="H70" i="29" s="1"/>
  <c r="H70" i="30" s="1"/>
  <c r="H70" i="43" s="1"/>
  <c r="J70" i="40"/>
  <c r="H67" i="28"/>
  <c r="H67" i="29" s="1"/>
  <c r="H67" i="30" s="1"/>
  <c r="H67" i="43" s="1"/>
  <c r="H66" i="28"/>
  <c r="H66" i="29" s="1"/>
  <c r="H66" i="30" s="1"/>
  <c r="H66" i="43" s="1"/>
  <c r="H69" i="28"/>
  <c r="H69" i="29" s="1"/>
  <c r="H69" i="30" s="1"/>
  <c r="H69" i="43" s="1"/>
  <c r="H63" i="28"/>
  <c r="H63" i="29" s="1"/>
  <c r="H63" i="30" s="1"/>
  <c r="H63" i="43" s="1"/>
  <c r="H65" i="28"/>
  <c r="H65" i="29" s="1"/>
  <c r="H65" i="30" s="1"/>
  <c r="H65" i="43" s="1"/>
  <c r="H68" i="28"/>
  <c r="H68" i="29" s="1"/>
  <c r="H68" i="30" s="1"/>
  <c r="H68" i="43" s="1"/>
  <c r="H68" i="31" s="1"/>
  <c r="J68" i="31" s="1"/>
  <c r="AZ5" i="44"/>
  <c r="H19" i="7"/>
  <c r="AZ11" i="44"/>
  <c r="E28" i="8"/>
  <c r="G28" i="8" s="1"/>
  <c r="H15" i="8"/>
  <c r="H47" i="2"/>
  <c r="H47" i="3" s="1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G60" i="2"/>
  <c r="H60" i="2" s="1"/>
  <c r="G60" i="4"/>
  <c r="H9" i="7"/>
  <c r="H9" i="8" s="1"/>
  <c r="E15" i="9"/>
  <c r="H8" i="8"/>
  <c r="G187" i="7"/>
  <c r="G20" i="7"/>
  <c r="E19" i="8"/>
  <c r="G99" i="8"/>
  <c r="G97" i="8"/>
  <c r="G101" i="8"/>
  <c r="H7" i="8"/>
  <c r="G95" i="8"/>
  <c r="G10" i="18"/>
  <c r="E9" i="9"/>
  <c r="AM37" i="44"/>
  <c r="H183" i="3"/>
  <c r="J183" i="3" s="1"/>
  <c r="N37" i="44"/>
  <c r="AW37" i="44"/>
  <c r="AX36" i="44"/>
  <c r="H74" i="30"/>
  <c r="H74" i="43" s="1"/>
  <c r="AO36" i="44"/>
  <c r="AV36" i="44"/>
  <c r="AV37" i="44"/>
  <c r="AO37" i="44"/>
  <c r="AM36" i="44"/>
  <c r="N36" i="44"/>
  <c r="AE36" i="44"/>
  <c r="AE37" i="44"/>
  <c r="AP37" i="44"/>
  <c r="AP36" i="44"/>
  <c r="AI37" i="44"/>
  <c r="AI36" i="44"/>
  <c r="AW36" i="44"/>
  <c r="AK36" i="44"/>
  <c r="AK37" i="44"/>
  <c r="AA36" i="44"/>
  <c r="AA37" i="44"/>
  <c r="AX37" i="44"/>
  <c r="AS37" i="44"/>
  <c r="AS36" i="44"/>
  <c r="AR37" i="44"/>
  <c r="AR36" i="44"/>
  <c r="AQ36" i="44"/>
  <c r="AQ37" i="44"/>
  <c r="AG36" i="44"/>
  <c r="AG37" i="44"/>
  <c r="I135" i="33"/>
  <c r="H153" i="2"/>
  <c r="I153" i="2"/>
  <c r="I135" i="2"/>
  <c r="H135" i="2"/>
  <c r="J135" i="2" s="1"/>
  <c r="I135" i="3"/>
  <c r="H178" i="3"/>
  <c r="H178" i="4" s="1"/>
  <c r="H122" i="3"/>
  <c r="J122" i="3" s="1"/>
  <c r="J127" i="7"/>
  <c r="H181" i="2"/>
  <c r="J181" i="2" s="1"/>
  <c r="G189" i="2"/>
  <c r="H189" i="2" s="1"/>
  <c r="J189" i="2" s="1"/>
  <c r="G60" i="5"/>
  <c r="I59" i="5" s="1"/>
  <c r="G30" i="3"/>
  <c r="H30" i="3" s="1"/>
  <c r="H30" i="4" s="1"/>
  <c r="H30" i="5" s="1"/>
  <c r="H30" i="33" s="1"/>
  <c r="H30" i="7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G105" i="2"/>
  <c r="H105" i="2" s="1"/>
  <c r="H161" i="3"/>
  <c r="J161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3" i="3"/>
  <c r="H173" i="4" s="1"/>
  <c r="J173" i="2"/>
  <c r="H140" i="3"/>
  <c r="J140" i="3" s="1"/>
  <c r="J140" i="2"/>
  <c r="H164" i="3"/>
  <c r="H164" i="4" s="1"/>
  <c r="J164" i="2"/>
  <c r="H184" i="3"/>
  <c r="J184" i="3" s="1"/>
  <c r="J184" i="2"/>
  <c r="J151" i="5"/>
  <c r="H151" i="33"/>
  <c r="G105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62" i="3"/>
  <c r="J162" i="3" s="1"/>
  <c r="J162" i="2"/>
  <c r="H174" i="3"/>
  <c r="H174" i="4" s="1"/>
  <c r="J174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J77" i="43"/>
  <c r="J78" i="43"/>
  <c r="H141" i="3"/>
  <c r="J141" i="3" s="1"/>
  <c r="H179" i="3"/>
  <c r="H179" i="4" s="1"/>
  <c r="H180" i="3"/>
  <c r="J180" i="3" s="1"/>
  <c r="H168" i="12"/>
  <c r="J168" i="11"/>
  <c r="J166" i="11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167" i="12"/>
  <c r="J167" i="11"/>
  <c r="J177" i="8"/>
  <c r="H177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i="3" s="1"/>
  <c r="H176" i="2"/>
  <c r="J176" i="2" s="1"/>
  <c r="H186" i="2"/>
  <c r="H185" i="4"/>
  <c r="J185" i="3"/>
  <c r="H175" i="3"/>
  <c r="H188" i="2"/>
  <c r="H187" i="2"/>
  <c r="J187" i="2" s="1"/>
  <c r="H163" i="3"/>
  <c r="H113" i="3"/>
  <c r="J114" i="3"/>
  <c r="H114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J62" i="43"/>
  <c r="H62" i="31"/>
  <c r="J62" i="31" s="1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G80" i="7"/>
  <c r="G60" i="8"/>
  <c r="G105" i="8"/>
  <c r="G103" i="8"/>
  <c r="G95" i="7"/>
  <c r="G99" i="7"/>
  <c r="G32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181" i="50"/>
  <c r="H181" i="50" s="1"/>
  <c r="J181" i="50" s="1"/>
  <c r="G180" i="50"/>
  <c r="H180" i="50" s="1"/>
  <c r="J180" i="50" s="1"/>
  <c r="H166" i="50"/>
  <c r="J166" i="50" s="1"/>
  <c r="G169" i="50"/>
  <c r="H169" i="50" s="1"/>
  <c r="J169" i="50" s="1"/>
  <c r="H171" i="50"/>
  <c r="J171" i="50" s="1"/>
  <c r="G174" i="50"/>
  <c r="G179" i="50"/>
  <c r="H179" i="50" s="1"/>
  <c r="J179" i="50" s="1"/>
  <c r="G95" i="50"/>
  <c r="I86" i="50"/>
  <c r="G99" i="50"/>
  <c r="G80" i="50"/>
  <c r="G97" i="50"/>
  <c r="E32" i="50"/>
  <c r="G32" i="50" s="1"/>
  <c r="G103" i="50"/>
  <c r="G101" i="50"/>
  <c r="G117" i="50"/>
  <c r="G72" i="50"/>
  <c r="G122" i="50"/>
  <c r="I89" i="50"/>
  <c r="G120" i="50"/>
  <c r="G124" i="50"/>
  <c r="G60" i="50"/>
  <c r="G65" i="50"/>
  <c r="E29" i="50"/>
  <c r="G29" i="50" s="1"/>
  <c r="I91" i="50"/>
  <c r="G48" i="50"/>
  <c r="H10" i="18" l="1"/>
  <c r="G15" i="9"/>
  <c r="H28" i="8"/>
  <c r="H112" i="4"/>
  <c r="J112" i="4" s="1"/>
  <c r="H69" i="31"/>
  <c r="J69" i="31" s="1"/>
  <c r="J69" i="43"/>
  <c r="H66" i="31"/>
  <c r="J66" i="31" s="1"/>
  <c r="J66" i="43"/>
  <c r="H67" i="31"/>
  <c r="J67" i="31" s="1"/>
  <c r="J67" i="43"/>
  <c r="H70" i="31"/>
  <c r="J70" i="31" s="1"/>
  <c r="J70" i="43"/>
  <c r="H65" i="31"/>
  <c r="J65" i="31" s="1"/>
  <c r="J65" i="43"/>
  <c r="H63" i="31"/>
  <c r="J63" i="31" s="1"/>
  <c r="J63" i="43"/>
  <c r="H64" i="28"/>
  <c r="H64" i="29" s="1"/>
  <c r="H64" i="30" s="1"/>
  <c r="H64" i="43" s="1"/>
  <c r="H64" i="31" s="1"/>
  <c r="J64" i="31" s="1"/>
  <c r="H71" i="28"/>
  <c r="H71" i="29" s="1"/>
  <c r="H71" i="30" s="1"/>
  <c r="H71" i="43" s="1"/>
  <c r="J71" i="43" s="1"/>
  <c r="J68" i="43"/>
  <c r="G15" i="19"/>
  <c r="H20" i="7"/>
  <c r="G19" i="8"/>
  <c r="P9" i="9"/>
  <c r="G9" i="9"/>
  <c r="H9" i="9" s="1"/>
  <c r="H122" i="4"/>
  <c r="J122" i="4" s="1"/>
  <c r="H183" i="4"/>
  <c r="J183" i="4" s="1"/>
  <c r="J74" i="43"/>
  <c r="H74" i="31"/>
  <c r="J74" i="31" s="1"/>
  <c r="H104" i="30"/>
  <c r="H104" i="43" s="1"/>
  <c r="H135" i="3"/>
  <c r="H135" i="4" s="1"/>
  <c r="J178" i="3"/>
  <c r="H181" i="3"/>
  <c r="H181" i="4" s="1"/>
  <c r="J117" i="3"/>
  <c r="H118" i="4"/>
  <c r="J118" i="4" s="1"/>
  <c r="H138" i="4"/>
  <c r="H138" i="5" s="1"/>
  <c r="G32" i="3"/>
  <c r="H32" i="3" s="1"/>
  <c r="H32" i="4" s="1"/>
  <c r="H32" i="5" s="1"/>
  <c r="H32" i="33" s="1"/>
  <c r="H32" i="7" s="1"/>
  <c r="H115" i="4"/>
  <c r="H115" i="5" s="1"/>
  <c r="H121" i="4"/>
  <c r="J121" i="4" s="1"/>
  <c r="H27" i="3"/>
  <c r="H27" i="4" s="1"/>
  <c r="H27" i="5" s="1"/>
  <c r="H27" i="33" s="1"/>
  <c r="H27" i="7" s="1"/>
  <c r="H27" i="8" s="1"/>
  <c r="J164" i="3"/>
  <c r="H161" i="4"/>
  <c r="H161" i="5" s="1"/>
  <c r="J150" i="3"/>
  <c r="J149" i="3"/>
  <c r="J120" i="3"/>
  <c r="J143" i="3"/>
  <c r="H97" i="3"/>
  <c r="H97" i="4" s="1"/>
  <c r="H97" i="5" s="1"/>
  <c r="H97" i="33" s="1"/>
  <c r="H97" i="7" s="1"/>
  <c r="H97" i="8" s="1"/>
  <c r="H80" i="4"/>
  <c r="H80" i="5" s="1"/>
  <c r="J139" i="3"/>
  <c r="J174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4" i="4"/>
  <c r="H184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62" i="4"/>
  <c r="J162" i="4" s="1"/>
  <c r="H129" i="4"/>
  <c r="J129" i="4" s="1"/>
  <c r="J130" i="3"/>
  <c r="H141" i="4"/>
  <c r="J141" i="4" s="1"/>
  <c r="H165" i="4"/>
  <c r="J165" i="4" s="1"/>
  <c r="H128" i="4"/>
  <c r="J128" i="4" s="1"/>
  <c r="H134" i="9"/>
  <c r="J134" i="8"/>
  <c r="H103" i="33"/>
  <c r="H103" i="7" s="1"/>
  <c r="H103" i="8" s="1"/>
  <c r="H150" i="5"/>
  <c r="J150" i="4"/>
  <c r="H189" i="3"/>
  <c r="H189" i="4" s="1"/>
  <c r="J145" i="4"/>
  <c r="H145" i="5"/>
  <c r="H147" i="5"/>
  <c r="J147" i="4"/>
  <c r="J173" i="3"/>
  <c r="J179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i="31" s="1"/>
  <c r="J94" i="43"/>
  <c r="H101" i="33"/>
  <c r="H101" i="7" s="1"/>
  <c r="H101" i="8" s="1"/>
  <c r="H102" i="31"/>
  <c r="J102" i="31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J185" i="4"/>
  <c r="H185" i="5"/>
  <c r="H174" i="5"/>
  <c r="J174" i="4"/>
  <c r="H175" i="4"/>
  <c r="J175" i="3"/>
  <c r="J179" i="4"/>
  <c r="H179" i="5"/>
  <c r="H176" i="3"/>
  <c r="H173" i="5"/>
  <c r="J173" i="4"/>
  <c r="H178" i="5"/>
  <c r="J178" i="4"/>
  <c r="H163" i="4"/>
  <c r="J163" i="3"/>
  <c r="H164" i="5"/>
  <c r="J164" i="4"/>
  <c r="H188" i="3"/>
  <c r="H187" i="3"/>
  <c r="J145" i="3"/>
  <c r="J139" i="4"/>
  <c r="H139" i="5"/>
  <c r="H114" i="5"/>
  <c r="J114" i="4"/>
  <c r="H117" i="5"/>
  <c r="J117" i="4"/>
  <c r="H123" i="5"/>
  <c r="J123" i="4"/>
  <c r="H119" i="5"/>
  <c r="J119" i="4"/>
  <c r="H120" i="5"/>
  <c r="J120" i="4"/>
  <c r="H113" i="4"/>
  <c r="J113" i="3"/>
  <c r="J100" i="43"/>
  <c r="H100" i="31"/>
  <c r="J100" i="31" s="1"/>
  <c r="H95" i="3"/>
  <c r="H95" i="4" s="1"/>
  <c r="H95" i="5" s="1"/>
  <c r="H95" i="33" s="1"/>
  <c r="H95" i="7" s="1"/>
  <c r="H95" i="8" s="1"/>
  <c r="J98" i="43"/>
  <c r="H99" i="3"/>
  <c r="H99" i="4" s="1"/>
  <c r="H99" i="5" s="1"/>
  <c r="H99" i="33" s="1"/>
  <c r="H99" i="7" s="1"/>
  <c r="H99" i="8" s="1"/>
  <c r="J83" i="31"/>
  <c r="J83" i="43"/>
  <c r="I59" i="8"/>
  <c r="I59" i="7"/>
  <c r="I59" i="33"/>
  <c r="I59" i="4"/>
  <c r="I59" i="3"/>
  <c r="I59" i="2"/>
  <c r="G81" i="50"/>
  <c r="G182" i="50"/>
  <c r="H182" i="50" s="1"/>
  <c r="J182" i="50" s="1"/>
  <c r="H174" i="50"/>
  <c r="J174" i="50" s="1"/>
  <c r="G61" i="50"/>
  <c r="B26" i="48"/>
  <c r="H60" i="40" l="1"/>
  <c r="H60" i="27" s="1"/>
  <c r="H60" i="28" s="1"/>
  <c r="H60" i="29" s="1"/>
  <c r="H60" i="30" s="1"/>
  <c r="H60" i="43" s="1"/>
  <c r="H60" i="31" s="1"/>
  <c r="G10" i="20"/>
  <c r="E15" i="10"/>
  <c r="G15" i="10" s="1"/>
  <c r="G79" i="9"/>
  <c r="G80" i="9" s="1"/>
  <c r="E28" i="9"/>
  <c r="G28" i="9" s="1"/>
  <c r="H28" i="9" s="1"/>
  <c r="H15" i="9"/>
  <c r="H112" i="5"/>
  <c r="J112" i="5" s="1"/>
  <c r="J64" i="43"/>
  <c r="H71" i="31"/>
  <c r="J71" i="31" s="1"/>
  <c r="G79" i="19"/>
  <c r="G80" i="19" s="1"/>
  <c r="H80" i="19" s="1"/>
  <c r="E28" i="19"/>
  <c r="G28" i="19" s="1"/>
  <c r="E19" i="9"/>
  <c r="G19" i="9" s="1"/>
  <c r="E27" i="10"/>
  <c r="G27" i="10" s="1"/>
  <c r="G187" i="8"/>
  <c r="E30" i="8"/>
  <c r="G30" i="8" s="1"/>
  <c r="G20" i="8"/>
  <c r="H20" i="8" s="1"/>
  <c r="H19" i="8"/>
  <c r="G15" i="21"/>
  <c r="G95" i="9"/>
  <c r="H95" i="9" s="1"/>
  <c r="G97" i="9"/>
  <c r="H97" i="9" s="1"/>
  <c r="G105" i="9"/>
  <c r="H105" i="9" s="1"/>
  <c r="G103" i="9"/>
  <c r="H103" i="9" s="1"/>
  <c r="G101" i="9"/>
  <c r="H101" i="9" s="1"/>
  <c r="G99" i="9"/>
  <c r="H99" i="9" s="1"/>
  <c r="I59" i="9"/>
  <c r="E27" i="9"/>
  <c r="G27" i="9" s="1"/>
  <c r="H8" i="9"/>
  <c r="H7" i="9"/>
  <c r="H183" i="5"/>
  <c r="H183" i="33" s="1"/>
  <c r="H122" i="5"/>
  <c r="J122" i="5" s="1"/>
  <c r="H104" i="31"/>
  <c r="J104" i="31" s="1"/>
  <c r="J104" i="43"/>
  <c r="J135" i="3"/>
  <c r="H135" i="5"/>
  <c r="J135" i="4"/>
  <c r="J161" i="4"/>
  <c r="H121" i="5"/>
  <c r="J121" i="5" s="1"/>
  <c r="J181" i="3"/>
  <c r="J115" i="4"/>
  <c r="J138" i="4"/>
  <c r="J140" i="4"/>
  <c r="H118" i="5"/>
  <c r="H118" i="33" s="1"/>
  <c r="J184" i="4"/>
  <c r="H155" i="14"/>
  <c r="J155" i="13"/>
  <c r="H156" i="14"/>
  <c r="J156" i="13"/>
  <c r="H131" i="5"/>
  <c r="J131" i="5" s="1"/>
  <c r="J186" i="3"/>
  <c r="H116" i="5"/>
  <c r="J116" i="5" s="1"/>
  <c r="H129" i="5"/>
  <c r="J129" i="5" s="1"/>
  <c r="H165" i="5"/>
  <c r="H165" i="33" s="1"/>
  <c r="J142" i="4"/>
  <c r="H162" i="5"/>
  <c r="J162" i="5" s="1"/>
  <c r="H141" i="5"/>
  <c r="J141" i="5" s="1"/>
  <c r="H128" i="5"/>
  <c r="J128" i="5" s="1"/>
  <c r="J189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 i="5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 i="5"/>
  <c r="J186" i="4"/>
  <c r="J181" i="4"/>
  <c r="H181" i="5"/>
  <c r="H184" i="33"/>
  <c r="J184" i="5"/>
  <c r="H180" i="33"/>
  <c r="J180" i="5"/>
  <c r="H176" i="4"/>
  <c r="J176" i="3"/>
  <c r="H175" i="5"/>
  <c r="J175" i="4"/>
  <c r="J189" i="4"/>
  <c r="H189" i="5"/>
  <c r="H164" i="33"/>
  <c r="J164" i="5"/>
  <c r="H161" i="33"/>
  <c r="J161" i="5"/>
  <c r="H188" i="4"/>
  <c r="J188" i="3"/>
  <c r="H163" i="5"/>
  <c r="J163" i="4"/>
  <c r="H187" i="4"/>
  <c r="J187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5" i="33"/>
  <c r="J115" i="5"/>
  <c r="H119" i="33"/>
  <c r="J119" i="5"/>
  <c r="H117" i="33"/>
  <c r="J117" i="5"/>
  <c r="G10" i="19" l="1"/>
  <c r="H10" i="19" s="1"/>
  <c r="H10" i="20" s="1"/>
  <c r="H112" i="33"/>
  <c r="H112" i="7" s="1"/>
  <c r="H79" i="9"/>
  <c r="H8" i="10"/>
  <c r="G20" i="9"/>
  <c r="H20" i="9" s="1"/>
  <c r="G187" i="9"/>
  <c r="E30" i="9"/>
  <c r="G30" i="9" s="1"/>
  <c r="G32" i="9" s="1"/>
  <c r="E19" i="10"/>
  <c r="G32" i="8"/>
  <c r="H32" i="8" s="1"/>
  <c r="H30" i="8"/>
  <c r="H19" i="9"/>
  <c r="G79" i="20"/>
  <c r="G80" i="20" s="1"/>
  <c r="E28" i="20"/>
  <c r="G28" i="20" s="1"/>
  <c r="E28" i="21"/>
  <c r="G28" i="21" s="1"/>
  <c r="G79" i="21"/>
  <c r="G80" i="21" s="1"/>
  <c r="G15" i="22"/>
  <c r="E28" i="10"/>
  <c r="G28" i="10" s="1"/>
  <c r="H28" i="10" s="1"/>
  <c r="G79" i="10"/>
  <c r="G80" i="10" s="1"/>
  <c r="H15" i="10"/>
  <c r="E15" i="11"/>
  <c r="E8" i="11"/>
  <c r="G9" i="10"/>
  <c r="H9" i="10" s="1"/>
  <c r="G7" i="10"/>
  <c r="H27" i="9"/>
  <c r="H27" i="10" s="1"/>
  <c r="J183" i="5"/>
  <c r="H122" i="33"/>
  <c r="J122" i="33" s="1"/>
  <c r="H162" i="33"/>
  <c r="H162" i="7" s="1"/>
  <c r="J135" i="5"/>
  <c r="H135" i="33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5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 i="12"/>
  <c r="J177" i="11"/>
  <c r="H130" i="7"/>
  <c r="J130" i="33"/>
  <c r="H167" i="15"/>
  <c r="J167" i="14"/>
  <c r="J166" i="14"/>
  <c r="H166" i="15"/>
  <c r="H133" i="7"/>
  <c r="J133" i="33"/>
  <c r="H168" i="15"/>
  <c r="J168" i="14"/>
  <c r="H176" i="5"/>
  <c r="J176" i="4"/>
  <c r="H183" i="7"/>
  <c r="J183" i="33"/>
  <c r="J174" i="33"/>
  <c r="H174" i="7"/>
  <c r="H179" i="7"/>
  <c r="J179" i="33"/>
  <c r="J178" i="33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 i="7"/>
  <c r="J164" i="33"/>
  <c r="J165" i="33"/>
  <c r="H165" i="7"/>
  <c r="H188" i="5"/>
  <c r="J188" i="4"/>
  <c r="J138" i="33"/>
  <c r="H138" i="7"/>
  <c r="J142" i="33"/>
  <c r="H142" i="7"/>
  <c r="H139" i="7"/>
  <c r="J139" i="33"/>
  <c r="H140" i="7"/>
  <c r="J140" i="33"/>
  <c r="H122" i="7"/>
  <c r="J119" i="33"/>
  <c r="H119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H7" i="10" l="1"/>
  <c r="N7" i="10"/>
  <c r="J112" i="33"/>
  <c r="H30" i="9"/>
  <c r="E7" i="11"/>
  <c r="H32" i="9"/>
  <c r="G19" i="10"/>
  <c r="H19" i="10" s="1"/>
  <c r="G15" i="23"/>
  <c r="E15" i="12"/>
  <c r="G15" i="11"/>
  <c r="H15" i="11" s="1"/>
  <c r="H79" i="10"/>
  <c r="E28" i="22"/>
  <c r="G28" i="22" s="1"/>
  <c r="G79" i="22"/>
  <c r="G80" i="22" s="1"/>
  <c r="E9" i="11"/>
  <c r="E8" i="12"/>
  <c r="G8" i="11"/>
  <c r="G10" i="21"/>
  <c r="H10" i="21" s="1"/>
  <c r="G99" i="10"/>
  <c r="H99" i="10" s="1"/>
  <c r="G103" i="10"/>
  <c r="H103" i="10" s="1"/>
  <c r="G97" i="10"/>
  <c r="H97" i="10" s="1"/>
  <c r="G95" i="10"/>
  <c r="H95" i="10" s="1"/>
  <c r="G105" i="10"/>
  <c r="H105" i="10" s="1"/>
  <c r="G101" i="10"/>
  <c r="H101" i="10" s="1"/>
  <c r="I59" i="10"/>
  <c r="J162" i="33"/>
  <c r="J135" i="33"/>
  <c r="H135" i="7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9" i="25"/>
  <c r="J189" i="24"/>
  <c r="J166" i="15"/>
  <c r="H166" i="16"/>
  <c r="J127" i="12"/>
  <c r="H127" i="13"/>
  <c r="H182" i="13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 i="8"/>
  <c r="J162" i="7"/>
  <c r="J165" i="7"/>
  <c r="H165" i="8"/>
  <c r="H188" i="33"/>
  <c r="J188" i="5"/>
  <c r="J164" i="7"/>
  <c r="H164" i="8"/>
  <c r="J163" i="33"/>
  <c r="H163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G7" i="11" l="1"/>
  <c r="E30" i="10"/>
  <c r="G30" i="10" s="1"/>
  <c r="G187" i="10"/>
  <c r="G20" i="10"/>
  <c r="H20" i="10" s="1"/>
  <c r="E19" i="11"/>
  <c r="E28" i="11"/>
  <c r="G28" i="11" s="1"/>
  <c r="H28" i="11" s="1"/>
  <c r="G79" i="11"/>
  <c r="G80" i="11" s="1"/>
  <c r="E15" i="13"/>
  <c r="E15" i="14" s="1"/>
  <c r="G15" i="14" s="1"/>
  <c r="G15" i="12"/>
  <c r="G79" i="23"/>
  <c r="G80" i="23" s="1"/>
  <c r="E28" i="23"/>
  <c r="G28" i="23" s="1"/>
  <c r="G15" i="24"/>
  <c r="E27" i="11"/>
  <c r="G27" i="11" s="1"/>
  <c r="H8" i="11"/>
  <c r="E9" i="12"/>
  <c r="G9" i="11"/>
  <c r="H9" i="11" s="1"/>
  <c r="E10" i="22"/>
  <c r="H135" i="8"/>
  <c r="J135" i="8" s="1"/>
  <c r="J135" i="7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 i="9"/>
  <c r="J173" i="8"/>
  <c r="J181" i="7"/>
  <c r="H181" i="8"/>
  <c r="H184" i="9"/>
  <c r="J184" i="8"/>
  <c r="H183" i="9"/>
  <c r="J183" i="8"/>
  <c r="H189" i="8"/>
  <c r="J189" i="7"/>
  <c r="J176" i="33"/>
  <c r="H176" i="7"/>
  <c r="J174" i="8"/>
  <c r="H174" i="9"/>
  <c r="H180" i="9"/>
  <c r="J180" i="8"/>
  <c r="J186" i="7"/>
  <c r="H186" i="8"/>
  <c r="H185" i="9"/>
  <c r="J185" i="8"/>
  <c r="H179" i="9"/>
  <c r="J179" i="8"/>
  <c r="H175" i="8"/>
  <c r="J175" i="7"/>
  <c r="H188" i="7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E7" i="12" l="1"/>
  <c r="H7" i="11"/>
  <c r="G97" i="11"/>
  <c r="H97" i="11" s="1"/>
  <c r="G95" i="11"/>
  <c r="H95" i="11" s="1"/>
  <c r="G103" i="11"/>
  <c r="H103" i="11" s="1"/>
  <c r="I59" i="11"/>
  <c r="G105" i="11"/>
  <c r="H105" i="11" s="1"/>
  <c r="G101" i="11"/>
  <c r="H101" i="11" s="1"/>
  <c r="G99" i="11"/>
  <c r="H99" i="11" s="1"/>
  <c r="G32" i="10"/>
  <c r="H32" i="10" s="1"/>
  <c r="H30" i="10"/>
  <c r="G79" i="12"/>
  <c r="G80" i="12" s="1"/>
  <c r="E28" i="12"/>
  <c r="G28" i="12" s="1"/>
  <c r="H28" i="12" s="1"/>
  <c r="G15" i="13"/>
  <c r="G15" i="25"/>
  <c r="H15" i="12"/>
  <c r="G79" i="24"/>
  <c r="G80" i="24" s="1"/>
  <c r="E28" i="24"/>
  <c r="G28" i="24" s="1"/>
  <c r="H79" i="11"/>
  <c r="H27" i="11"/>
  <c r="E9" i="13"/>
  <c r="G9" i="12"/>
  <c r="H9" i="12" s="1"/>
  <c r="G10" i="22"/>
  <c r="H10" i="22" s="1"/>
  <c r="E8" i="13"/>
  <c r="G8" i="12"/>
  <c r="E27" i="12" s="1"/>
  <c r="G27" i="12" s="1"/>
  <c r="H135" i="9"/>
  <c r="J135" i="9" s="1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 i="10"/>
  <c r="J129" i="9"/>
  <c r="J131" i="9"/>
  <c r="H131" i="10"/>
  <c r="J127" i="14"/>
  <c r="H127" i="15"/>
  <c r="J182" i="14"/>
  <c r="H182" i="15"/>
  <c r="H133" i="10"/>
  <c r="J133" i="9"/>
  <c r="J168" i="17"/>
  <c r="J177" i="14"/>
  <c r="H177" i="15"/>
  <c r="H132" i="10"/>
  <c r="J132" i="9"/>
  <c r="J166" i="17"/>
  <c r="J167" i="17"/>
  <c r="J186" i="8"/>
  <c r="H186" i="9"/>
  <c r="H174" i="10"/>
  <c r="J174" i="9"/>
  <c r="H175" i="9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 i="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G7" i="12" l="1"/>
  <c r="I59" i="12" s="1"/>
  <c r="E7" i="13"/>
  <c r="G7" i="13" s="1"/>
  <c r="H79" i="12"/>
  <c r="H8" i="12"/>
  <c r="H15" i="13"/>
  <c r="G187" i="11"/>
  <c r="E30" i="11"/>
  <c r="G30" i="11" s="1"/>
  <c r="G32" i="11" s="1"/>
  <c r="H32" i="11" s="1"/>
  <c r="G20" i="11"/>
  <c r="H20" i="11" s="1"/>
  <c r="H19" i="11"/>
  <c r="E19" i="12"/>
  <c r="G15" i="40"/>
  <c r="G79" i="25"/>
  <c r="E28" i="25"/>
  <c r="G28" i="25" s="1"/>
  <c r="E28" i="13"/>
  <c r="G28" i="13" s="1"/>
  <c r="H28" i="13" s="1"/>
  <c r="G79" i="13"/>
  <c r="G80" i="13" s="1"/>
  <c r="H80" i="13" s="1"/>
  <c r="J80" i="13" s="1"/>
  <c r="H27" i="12"/>
  <c r="G8" i="13"/>
  <c r="E27" i="13" s="1"/>
  <c r="G27" i="13" s="1"/>
  <c r="E8" i="14"/>
  <c r="G9" i="13"/>
  <c r="E9" i="14"/>
  <c r="E10" i="23"/>
  <c r="H135" i="10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9" i="28"/>
  <c r="J189" i="27"/>
  <c r="J182" i="15"/>
  <c r="H182" i="16"/>
  <c r="J131" i="10"/>
  <c r="H131" i="11"/>
  <c r="J130" i="10"/>
  <c r="H130" i="11"/>
  <c r="H167" i="19"/>
  <c r="J128" i="10"/>
  <c r="H128" i="11"/>
  <c r="H166" i="19"/>
  <c r="H168" i="19"/>
  <c r="H129" i="11"/>
  <c r="J129" i="10"/>
  <c r="J132" i="10"/>
  <c r="H132" i="11"/>
  <c r="H133" i="11"/>
  <c r="J133" i="10"/>
  <c r="H177" i="16"/>
  <c r="J177" i="15"/>
  <c r="H127" i="16"/>
  <c r="J127" i="15"/>
  <c r="H173" i="11"/>
  <c r="J173" i="10"/>
  <c r="H189" i="10"/>
  <c r="J189" i="9"/>
  <c r="H178" i="11"/>
  <c r="J178" i="10"/>
  <c r="H180" i="11"/>
  <c r="J180" i="10"/>
  <c r="H175" i="10"/>
  <c r="J175" i="9"/>
  <c r="H186" i="10"/>
  <c r="J186" i="9"/>
  <c r="H176" i="9"/>
  <c r="J176" i="8"/>
  <c r="H184" i="11"/>
  <c r="J184" i="10"/>
  <c r="J179" i="10"/>
  <c r="H179" i="11"/>
  <c r="H181" i="10"/>
  <c r="J181" i="9"/>
  <c r="J183" i="10"/>
  <c r="H183" i="11"/>
  <c r="H185" i="11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 i="11"/>
  <c r="J162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H9" i="13" l="1"/>
  <c r="O9" i="13"/>
  <c r="G105" i="12"/>
  <c r="H105" i="12" s="1"/>
  <c r="G99" i="12"/>
  <c r="H99" i="12" s="1"/>
  <c r="H7" i="12"/>
  <c r="H7" i="13" s="1"/>
  <c r="G97" i="12"/>
  <c r="H97" i="12" s="1"/>
  <c r="G103" i="12"/>
  <c r="H103" i="12" s="1"/>
  <c r="G95" i="12"/>
  <c r="H95" i="12" s="1"/>
  <c r="G101" i="12"/>
  <c r="H101" i="12" s="1"/>
  <c r="H30" i="11"/>
  <c r="G19" i="12"/>
  <c r="G79" i="14"/>
  <c r="E28" i="14"/>
  <c r="G28" i="14" s="1"/>
  <c r="H28" i="14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15" i="14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G80" i="25"/>
  <c r="G15" i="27"/>
  <c r="G79" i="27" s="1"/>
  <c r="H79" i="13"/>
  <c r="J79" i="13" s="1"/>
  <c r="G79" i="40"/>
  <c r="E28" i="40"/>
  <c r="G28" i="40" s="1"/>
  <c r="H27" i="13"/>
  <c r="E9" i="15"/>
  <c r="G9" i="14"/>
  <c r="E8" i="15"/>
  <c r="G8" i="14"/>
  <c r="E27" i="14" s="1"/>
  <c r="G27" i="14" s="1"/>
  <c r="G99" i="13"/>
  <c r="G105" i="13"/>
  <c r="G97" i="13"/>
  <c r="G103" i="13"/>
  <c r="G101" i="13"/>
  <c r="G95" i="13"/>
  <c r="I59" i="13"/>
  <c r="G10" i="23"/>
  <c r="H10" i="23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9" i="29"/>
  <c r="J189" i="28"/>
  <c r="H133" i="12"/>
  <c r="J133" i="11"/>
  <c r="J128" i="11"/>
  <c r="H128" i="12"/>
  <c r="H130" i="12"/>
  <c r="J130" i="11"/>
  <c r="H182" i="17"/>
  <c r="J182" i="16"/>
  <c r="J127" i="16"/>
  <c r="H127" i="17"/>
  <c r="H129" i="12"/>
  <c r="J129" i="11"/>
  <c r="J168" i="19"/>
  <c r="H177" i="17"/>
  <c r="J177" i="16"/>
  <c r="J166" i="19"/>
  <c r="J167" i="19"/>
  <c r="J132" i="11"/>
  <c r="H132" i="12"/>
  <c r="J131" i="11"/>
  <c r="H131" i="12"/>
  <c r="H174" i="12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 i="11"/>
  <c r="J181" i="10"/>
  <c r="H184" i="12"/>
  <c r="J184" i="11"/>
  <c r="H186" i="11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 i="11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H9" i="14" l="1"/>
  <c r="H97" i="13"/>
  <c r="H99" i="13"/>
  <c r="H95" i="13"/>
  <c r="H105" i="13"/>
  <c r="H103" i="13"/>
  <c r="H101" i="13"/>
  <c r="G7" i="14"/>
  <c r="H19" i="12"/>
  <c r="G187" i="12"/>
  <c r="E30" i="12"/>
  <c r="G30" i="12" s="1"/>
  <c r="G32" i="12" s="1"/>
  <c r="G20" i="12"/>
  <c r="H20" i="12" s="1"/>
  <c r="E19" i="13"/>
  <c r="G15" i="28"/>
  <c r="E28" i="27"/>
  <c r="G28" i="27" s="1"/>
  <c r="H15" i="27"/>
  <c r="H28" i="40"/>
  <c r="G80" i="40"/>
  <c r="G80" i="14"/>
  <c r="H79" i="14"/>
  <c r="G8" i="15"/>
  <c r="E8" i="16"/>
  <c r="E9" i="16"/>
  <c r="G9" i="15"/>
  <c r="H27" i="14"/>
  <c r="H135" i="22"/>
  <c r="H135" i="23"/>
  <c r="H135" i="18"/>
  <c r="H135" i="19"/>
  <c r="H135" i="24"/>
  <c r="H135" i="20"/>
  <c r="H135" i="16"/>
  <c r="J135" i="16" s="1"/>
  <c r="H135" i="13"/>
  <c r="H135" i="12"/>
  <c r="J135" i="12" s="1"/>
  <c r="H135" i="17"/>
  <c r="J135" i="11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9" i="30"/>
  <c r="J189" i="29"/>
  <c r="H131" i="13"/>
  <c r="J131" i="12"/>
  <c r="H127" i="18"/>
  <c r="J127" i="17"/>
  <c r="H167" i="21"/>
  <c r="H168" i="21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H128" i="13"/>
  <c r="J128" i="12"/>
  <c r="H186" i="12"/>
  <c r="J186" i="11"/>
  <c r="H181" i="12"/>
  <c r="J181" i="11"/>
  <c r="H179" i="13"/>
  <c r="J179" i="12"/>
  <c r="H173" i="13"/>
  <c r="J173" i="12"/>
  <c r="H174" i="13"/>
  <c r="J174" i="12"/>
  <c r="H189" i="12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H79" i="15" l="1"/>
  <c r="J79" i="14"/>
  <c r="H9" i="15"/>
  <c r="E8" i="17"/>
  <c r="E8" i="18" s="1"/>
  <c r="E10" i="40"/>
  <c r="E10" i="27" s="1"/>
  <c r="E10" i="28" s="1"/>
  <c r="E9" i="17"/>
  <c r="E9" i="18" s="1"/>
  <c r="H135" i="30"/>
  <c r="H135" i="29"/>
  <c r="H135" i="14"/>
  <c r="J135" i="14" s="1"/>
  <c r="J135" i="13"/>
  <c r="E7" i="15"/>
  <c r="G15" i="29"/>
  <c r="G79" i="29" s="1"/>
  <c r="I59" i="14"/>
  <c r="H7" i="14"/>
  <c r="G105" i="14"/>
  <c r="H105" i="14" s="1"/>
  <c r="G95" i="14"/>
  <c r="H95" i="14" s="1"/>
  <c r="G103" i="14"/>
  <c r="H103" i="14" s="1"/>
  <c r="G97" i="14"/>
  <c r="H97" i="14" s="1"/>
  <c r="G101" i="14"/>
  <c r="H101" i="14" s="1"/>
  <c r="G99" i="14"/>
  <c r="H99" i="14" s="1"/>
  <c r="E27" i="15"/>
  <c r="G27" i="15" s="1"/>
  <c r="H27" i="15" s="1"/>
  <c r="H79" i="16"/>
  <c r="H79" i="17" s="1"/>
  <c r="H79" i="18" s="1"/>
  <c r="H79" i="19" s="1"/>
  <c r="H79" i="20" s="1"/>
  <c r="H79" i="21" s="1"/>
  <c r="H79" i="22" s="1"/>
  <c r="H79" i="23" s="1"/>
  <c r="H79" i="24" s="1"/>
  <c r="H79" i="25" s="1"/>
  <c r="J79" i="25" s="1"/>
  <c r="J79" i="15"/>
  <c r="G19" i="13"/>
  <c r="G187" i="13" s="1"/>
  <c r="H32" i="12"/>
  <c r="H30" i="12"/>
  <c r="G80" i="27"/>
  <c r="H28" i="27"/>
  <c r="H15" i="28"/>
  <c r="E28" i="28"/>
  <c r="G28" i="28" s="1"/>
  <c r="G79" i="28"/>
  <c r="G80" i="28" s="1"/>
  <c r="H135" i="43"/>
  <c r="J135" i="43" s="1"/>
  <c r="H135" i="40"/>
  <c r="H135" i="27"/>
  <c r="H135" i="25"/>
  <c r="H135" i="31"/>
  <c r="H135" i="28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 i="13"/>
  <c r="J175" i="12"/>
  <c r="H174" i="14"/>
  <c r="J174" i="13"/>
  <c r="H179" i="14"/>
  <c r="J179" i="13"/>
  <c r="H186" i="13"/>
  <c r="J186" i="12"/>
  <c r="H178" i="14"/>
  <c r="J178" i="13"/>
  <c r="H185" i="14"/>
  <c r="J185" i="13"/>
  <c r="H180" i="14"/>
  <c r="J180" i="13"/>
  <c r="H189" i="13"/>
  <c r="J189" i="12"/>
  <c r="H173" i="14"/>
  <c r="J173" i="13"/>
  <c r="H181" i="13"/>
  <c r="J181" i="12"/>
  <c r="H187" i="12"/>
  <c r="J187" i="11"/>
  <c r="H162" i="14"/>
  <c r="J162" i="13"/>
  <c r="H163" i="1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G31" i="48"/>
  <c r="G9" i="16" l="1"/>
  <c r="H9" i="16" s="1"/>
  <c r="G10" i="24"/>
  <c r="H10" i="24" s="1"/>
  <c r="E7" i="16"/>
  <c r="G80" i="29"/>
  <c r="E28" i="29"/>
  <c r="G28" i="29" s="1"/>
  <c r="H15" i="29"/>
  <c r="H79" i="40"/>
  <c r="H79" i="27" s="1"/>
  <c r="H79" i="28" s="1"/>
  <c r="H28" i="28"/>
  <c r="G20" i="13"/>
  <c r="H20" i="13" s="1"/>
  <c r="E30" i="13"/>
  <c r="G30" i="13" s="1"/>
  <c r="G32" i="13" s="1"/>
  <c r="H32" i="13" s="1"/>
  <c r="H19" i="13"/>
  <c r="E19" i="14"/>
  <c r="G9" i="17"/>
  <c r="G10" i="25"/>
  <c r="G8" i="16"/>
  <c r="J156" i="22"/>
  <c r="H156" i="23"/>
  <c r="H156" i="24" s="1"/>
  <c r="J156" i="24" s="1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9" i="43"/>
  <c r="H189" i="31"/>
  <c r="J189" i="31" s="1"/>
  <c r="H133" i="50"/>
  <c r="J133" i="50" s="1"/>
  <c r="H131" i="15"/>
  <c r="J131" i="14"/>
  <c r="J177" i="19"/>
  <c r="H177" i="20"/>
  <c r="H130" i="15"/>
  <c r="J130" i="14"/>
  <c r="H168" i="23"/>
  <c r="J168" i="22"/>
  <c r="J166" i="22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i="15" s="1"/>
  <c r="J135" i="15" s="1"/>
  <c r="J128" i="14"/>
  <c r="H181" i="14"/>
  <c r="J181" i="13"/>
  <c r="H189" i="14"/>
  <c r="J189" i="13"/>
  <c r="H185" i="15"/>
  <c r="J185" i="14"/>
  <c r="H186" i="14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 i="14"/>
  <c r="J175" i="13"/>
  <c r="H183" i="15"/>
  <c r="J183" i="14"/>
  <c r="H165" i="15"/>
  <c r="J165" i="14"/>
  <c r="H163" i="14"/>
  <c r="J163" i="13"/>
  <c r="H187" i="13"/>
  <c r="J187" i="12"/>
  <c r="H188" i="13"/>
  <c r="H188" i="14" s="1"/>
  <c r="J188" i="14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H28" i="29" l="1"/>
  <c r="H10" i="25"/>
  <c r="H9" i="17"/>
  <c r="E7" i="17"/>
  <c r="G7" i="16"/>
  <c r="G103" i="16" s="1"/>
  <c r="G7" i="15"/>
  <c r="G105" i="15" s="1"/>
  <c r="H105" i="15" s="1"/>
  <c r="H79" i="29"/>
  <c r="G15" i="30"/>
  <c r="H15" i="30" s="1"/>
  <c r="E27" i="16"/>
  <c r="G27" i="16" s="1"/>
  <c r="H27" i="16" s="1"/>
  <c r="H30" i="13"/>
  <c r="G19" i="14"/>
  <c r="H19" i="14" s="1"/>
  <c r="G8" i="17"/>
  <c r="E27" i="17" s="1"/>
  <c r="G27" i="17" s="1"/>
  <c r="G15" i="43"/>
  <c r="H155" i="24"/>
  <c r="J155" i="23"/>
  <c r="H156" i="25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 i="15"/>
  <c r="J181" i="14"/>
  <c r="H175" i="15"/>
  <c r="J175" i="14"/>
  <c r="H178" i="16"/>
  <c r="J178" i="15"/>
  <c r="H173" i="16"/>
  <c r="J173" i="15"/>
  <c r="H184" i="16"/>
  <c r="J184" i="15"/>
  <c r="H186" i="15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E7" i="18" l="1"/>
  <c r="G95" i="16"/>
  <c r="N7" i="15"/>
  <c r="G99" i="15"/>
  <c r="H99" i="15" s="1"/>
  <c r="G101" i="15"/>
  <c r="H101" i="15" s="1"/>
  <c r="G97" i="16"/>
  <c r="I59" i="15"/>
  <c r="H7" i="15"/>
  <c r="H7" i="16" s="1"/>
  <c r="G99" i="16"/>
  <c r="I59" i="16"/>
  <c r="G101" i="16"/>
  <c r="G97" i="15"/>
  <c r="H97" i="15" s="1"/>
  <c r="G105" i="16"/>
  <c r="H105" i="16" s="1"/>
  <c r="G103" i="15"/>
  <c r="H103" i="15" s="1"/>
  <c r="H103" i="16" s="1"/>
  <c r="G95" i="15"/>
  <c r="H95" i="15" s="1"/>
  <c r="G79" i="30"/>
  <c r="E28" i="30"/>
  <c r="G28" i="30" s="1"/>
  <c r="H28" i="30" s="1"/>
  <c r="E30" i="14"/>
  <c r="G30" i="14" s="1"/>
  <c r="G20" i="14"/>
  <c r="H20" i="14" s="1"/>
  <c r="G187" i="14"/>
  <c r="H187" i="14" s="1"/>
  <c r="J187" i="14" s="1"/>
  <c r="E19" i="15"/>
  <c r="G10" i="40"/>
  <c r="H10" i="40" s="1"/>
  <c r="G9" i="19"/>
  <c r="G9" i="18"/>
  <c r="H9" i="18" s="1"/>
  <c r="G8" i="18"/>
  <c r="H27" i="17"/>
  <c r="H156" i="40"/>
  <c r="H156" i="27" s="1"/>
  <c r="H156" i="28" s="1"/>
  <c r="J156" i="25"/>
  <c r="E28" i="43"/>
  <c r="G28" i="43" s="1"/>
  <c r="G79" i="43"/>
  <c r="G80" i="43" s="1"/>
  <c r="H15" i="43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7" i="22"/>
  <c r="J177" i="21"/>
  <c r="H131" i="17"/>
  <c r="J131" i="16"/>
  <c r="J167" i="24"/>
  <c r="H167" i="25"/>
  <c r="H168" i="25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 i="16"/>
  <c r="J181" i="15"/>
  <c r="H174" i="17"/>
  <c r="J174" i="16"/>
  <c r="H180" i="17"/>
  <c r="J180" i="16"/>
  <c r="H183" i="17"/>
  <c r="J183" i="16"/>
  <c r="H186" i="16"/>
  <c r="J186" i="15"/>
  <c r="H173" i="17"/>
  <c r="J173" i="16"/>
  <c r="H175" i="16"/>
  <c r="J175" i="15"/>
  <c r="H185" i="17"/>
  <c r="J185" i="16"/>
  <c r="H176" i="15"/>
  <c r="J176" i="14"/>
  <c r="H179" i="17"/>
  <c r="J179" i="16"/>
  <c r="H163" i="16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G7" i="17" l="1"/>
  <c r="G101" i="17" s="1"/>
  <c r="G7" i="18"/>
  <c r="G95" i="18" s="1"/>
  <c r="H95" i="16"/>
  <c r="H99" i="16"/>
  <c r="H101" i="16"/>
  <c r="H97" i="16"/>
  <c r="H28" i="43"/>
  <c r="G80" i="30"/>
  <c r="H79" i="30"/>
  <c r="H79" i="43" s="1"/>
  <c r="E27" i="18"/>
  <c r="G27" i="18" s="1"/>
  <c r="H27" i="18" s="1"/>
  <c r="G19" i="15"/>
  <c r="G32" i="14"/>
  <c r="H32" i="14" s="1"/>
  <c r="H30" i="14"/>
  <c r="G15" i="31"/>
  <c r="E28" i="31" s="1"/>
  <c r="G8" i="19"/>
  <c r="H9" i="19"/>
  <c r="G97" i="18"/>
  <c r="H155" i="40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 i="25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 i="17"/>
  <c r="J189" i="16"/>
  <c r="H176" i="16"/>
  <c r="J176" i="15"/>
  <c r="H175" i="17"/>
  <c r="J175" i="16"/>
  <c r="J186" i="16"/>
  <c r="H186" i="17"/>
  <c r="H180" i="18"/>
  <c r="J180" i="17"/>
  <c r="H181" i="17"/>
  <c r="J181" i="16"/>
  <c r="H184" i="18"/>
  <c r="J184" i="17"/>
  <c r="J161" i="17"/>
  <c r="H188" i="16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G101" i="18" l="1"/>
  <c r="O8" i="18"/>
  <c r="G99" i="18"/>
  <c r="G105" i="18"/>
  <c r="G103" i="18"/>
  <c r="G99" i="17"/>
  <c r="H99" i="17" s="1"/>
  <c r="G103" i="17"/>
  <c r="H103" i="17" s="1"/>
  <c r="H101" i="17"/>
  <c r="G95" i="17"/>
  <c r="H95" i="17" s="1"/>
  <c r="H95" i="18" s="1"/>
  <c r="H7" i="17"/>
  <c r="H7" i="18" s="1"/>
  <c r="I59" i="17"/>
  <c r="G105" i="17"/>
  <c r="H105" i="17" s="1"/>
  <c r="H105" i="18" s="1"/>
  <c r="G97" i="17"/>
  <c r="H97" i="17" s="1"/>
  <c r="H97" i="18" s="1"/>
  <c r="I59" i="18"/>
  <c r="G7" i="19"/>
  <c r="G95" i="19" s="1"/>
  <c r="E27" i="19"/>
  <c r="G27" i="19" s="1"/>
  <c r="H27" i="19" s="1"/>
  <c r="N8" i="19"/>
  <c r="E19" i="16"/>
  <c r="G19" i="16" s="1"/>
  <c r="E30" i="15"/>
  <c r="G30" i="15" s="1"/>
  <c r="G32" i="15" s="1"/>
  <c r="H32" i="15" s="1"/>
  <c r="G187" i="15"/>
  <c r="H187" i="15" s="1"/>
  <c r="J187" i="15" s="1"/>
  <c r="G20" i="15"/>
  <c r="H20" i="15" s="1"/>
  <c r="H19" i="15"/>
  <c r="H15" i="31"/>
  <c r="J15" i="31" s="1"/>
  <c r="G79" i="31"/>
  <c r="G80" i="31" s="1"/>
  <c r="G28" i="31"/>
  <c r="H28" i="31" s="1"/>
  <c r="G9" i="20"/>
  <c r="H9" i="20" s="1"/>
  <c r="G10" i="27"/>
  <c r="H10" i="27" s="1"/>
  <c r="G8" i="20"/>
  <c r="E27" i="20" s="1"/>
  <c r="G27" i="20" s="1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 i="18"/>
  <c r="J175" i="17"/>
  <c r="H189" i="18"/>
  <c r="J189" i="17"/>
  <c r="H174" i="19"/>
  <c r="J174" i="18"/>
  <c r="H173" i="19"/>
  <c r="J173" i="18"/>
  <c r="H179" i="19"/>
  <c r="J179" i="18"/>
  <c r="H181" i="18"/>
  <c r="J181" i="17"/>
  <c r="H176" i="17"/>
  <c r="J176" i="16"/>
  <c r="H178" i="19"/>
  <c r="J178" i="18"/>
  <c r="H183" i="19"/>
  <c r="J183" i="18"/>
  <c r="H185" i="19"/>
  <c r="J185" i="18"/>
  <c r="H164" i="19"/>
  <c r="J164" i="18"/>
  <c r="H165" i="19"/>
  <c r="J165" i="18"/>
  <c r="H161" i="19"/>
  <c r="J161" i="18"/>
  <c r="H162" i="19"/>
  <c r="J162" i="18"/>
  <c r="H163" i="18"/>
  <c r="J163" i="17"/>
  <c r="H188" i="17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101" i="18" l="1"/>
  <c r="H99" i="18"/>
  <c r="H103" i="18"/>
  <c r="G99" i="19"/>
  <c r="G103" i="19"/>
  <c r="O8" i="19"/>
  <c r="G97" i="19"/>
  <c r="H97" i="19" s="1"/>
  <c r="H7" i="19"/>
  <c r="I59" i="19"/>
  <c r="H95" i="19"/>
  <c r="G101" i="19"/>
  <c r="G105" i="19"/>
  <c r="H105" i="19" s="1"/>
  <c r="E7" i="20"/>
  <c r="H79" i="31"/>
  <c r="G10" i="28"/>
  <c r="H10" i="28" s="1"/>
  <c r="H30" i="15"/>
  <c r="H27" i="20"/>
  <c r="E19" i="17"/>
  <c r="H19" i="16"/>
  <c r="G20" i="16"/>
  <c r="H20" i="16" s="1"/>
  <c r="G187" i="16"/>
  <c r="H187" i="16" s="1"/>
  <c r="J187" i="16" s="1"/>
  <c r="E30" i="16"/>
  <c r="G30" i="16" s="1"/>
  <c r="G32" i="16" s="1"/>
  <c r="H32" i="16" s="1"/>
  <c r="G9" i="21"/>
  <c r="H9" i="21" s="1"/>
  <c r="E9" i="22"/>
  <c r="E8" i="22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 i="19"/>
  <c r="J181" i="18"/>
  <c r="H173" i="20"/>
  <c r="J173" i="19"/>
  <c r="H189" i="19"/>
  <c r="J189" i="19" s="1"/>
  <c r="J189" i="18"/>
  <c r="H180" i="20"/>
  <c r="J180" i="19"/>
  <c r="H186" i="19"/>
  <c r="J186" i="18"/>
  <c r="H183" i="20"/>
  <c r="J183" i="19"/>
  <c r="H176" i="18"/>
  <c r="J176" i="17"/>
  <c r="H179" i="20"/>
  <c r="J179" i="19"/>
  <c r="H174" i="20"/>
  <c r="J174" i="19"/>
  <c r="H175" i="19"/>
  <c r="J175" i="18"/>
  <c r="H184" i="20"/>
  <c r="J184" i="19"/>
  <c r="H188" i="18"/>
  <c r="J188" i="17"/>
  <c r="H162" i="20"/>
  <c r="J162" i="19"/>
  <c r="H164" i="20"/>
  <c r="J164" i="19"/>
  <c r="H163" i="19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H101" i="19" l="1"/>
  <c r="H99" i="19"/>
  <c r="H103" i="19"/>
  <c r="G7" i="20"/>
  <c r="G8" i="21"/>
  <c r="E27" i="21" s="1"/>
  <c r="G27" i="21" s="1"/>
  <c r="H27" i="21" s="1"/>
  <c r="H30" i="16"/>
  <c r="G19" i="17"/>
  <c r="E9" i="23"/>
  <c r="G8" i="22"/>
  <c r="E27" i="22" s="1"/>
  <c r="G27" i="22" s="1"/>
  <c r="E8" i="23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 i="20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 i="20"/>
  <c r="J163" i="19"/>
  <c r="H188" i="19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K2" i="47"/>
  <c r="H4" i="45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G7" i="21" l="1"/>
  <c r="G95" i="20"/>
  <c r="H95" i="20" s="1"/>
  <c r="G105" i="20"/>
  <c r="H105" i="20" s="1"/>
  <c r="H7" i="20"/>
  <c r="I59" i="20"/>
  <c r="G103" i="20"/>
  <c r="H103" i="20" s="1"/>
  <c r="G99" i="20"/>
  <c r="H99" i="20" s="1"/>
  <c r="G101" i="20"/>
  <c r="H101" i="20" s="1"/>
  <c r="G97" i="20"/>
  <c r="H97" i="20" s="1"/>
  <c r="E30" i="17"/>
  <c r="G30" i="17" s="1"/>
  <c r="G20" i="17"/>
  <c r="H20" i="17" s="1"/>
  <c r="G187" i="17"/>
  <c r="H187" i="17" s="1"/>
  <c r="J187" i="17" s="1"/>
  <c r="E19" i="18"/>
  <c r="H19" i="17"/>
  <c r="G9" i="23"/>
  <c r="G10" i="29"/>
  <c r="H10" i="29" s="1"/>
  <c r="G8" i="23"/>
  <c r="E27" i="23" s="1"/>
  <c r="G27" i="23" s="1"/>
  <c r="E8" i="24"/>
  <c r="G9" i="22"/>
  <c r="H9" i="22" s="1"/>
  <c r="H27" i="22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 i="21"/>
  <c r="J175" i="20"/>
  <c r="H181" i="21"/>
  <c r="J181" i="20"/>
  <c r="H176" i="20"/>
  <c r="J176" i="19"/>
  <c r="H184" i="22"/>
  <c r="J184" i="21"/>
  <c r="H178" i="22"/>
  <c r="J178" i="21"/>
  <c r="H180" i="22"/>
  <c r="J180" i="21"/>
  <c r="H179" i="22"/>
  <c r="J179" i="21"/>
  <c r="H185" i="22"/>
  <c r="J185" i="21"/>
  <c r="H186" i="21"/>
  <c r="J186" i="20"/>
  <c r="H174" i="22"/>
  <c r="J174" i="21"/>
  <c r="H162" i="22"/>
  <c r="J162" i="21"/>
  <c r="H161" i="22"/>
  <c r="J161" i="21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33" i="48"/>
  <c r="G7" i="22" l="1"/>
  <c r="G103" i="21"/>
  <c r="H103" i="21" s="1"/>
  <c r="G97" i="21"/>
  <c r="H97" i="21" s="1"/>
  <c r="G99" i="21"/>
  <c r="H99" i="21" s="1"/>
  <c r="G95" i="21"/>
  <c r="H95" i="21" s="1"/>
  <c r="G105" i="21"/>
  <c r="H105" i="21" s="1"/>
  <c r="I59" i="21"/>
  <c r="G101" i="21"/>
  <c r="H101" i="21" s="1"/>
  <c r="H7" i="21"/>
  <c r="H9" i="23"/>
  <c r="G19" i="18"/>
  <c r="E30" i="18" s="1"/>
  <c r="G32" i="17"/>
  <c r="H32" i="17" s="1"/>
  <c r="H30" i="17"/>
  <c r="G9" i="24"/>
  <c r="E9" i="40"/>
  <c r="E9" i="27" s="1"/>
  <c r="E9" i="28" s="1"/>
  <c r="G8" i="24"/>
  <c r="E27" i="24" s="1"/>
  <c r="G27" i="24" s="1"/>
  <c r="H27" i="23"/>
  <c r="H156" i="43"/>
  <c r="H156" i="31" s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 i="30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J185" i="22"/>
  <c r="H180" i="23"/>
  <c r="J180" i="22"/>
  <c r="H184" i="23"/>
  <c r="J184" i="22"/>
  <c r="H181" i="22"/>
  <c r="J181" i="21"/>
  <c r="H183" i="23"/>
  <c r="J183" i="22"/>
  <c r="H163" i="22"/>
  <c r="J163" i="21"/>
  <c r="H164" i="23"/>
  <c r="J164" i="22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G7" i="23" l="1"/>
  <c r="G99" i="22"/>
  <c r="H99" i="22" s="1"/>
  <c r="G97" i="22"/>
  <c r="H97" i="22" s="1"/>
  <c r="G95" i="22"/>
  <c r="H95" i="22" s="1"/>
  <c r="G105" i="22"/>
  <c r="H105" i="22" s="1"/>
  <c r="G103" i="22"/>
  <c r="H103" i="22" s="1"/>
  <c r="G101" i="22"/>
  <c r="H101" i="22" s="1"/>
  <c r="H7" i="22"/>
  <c r="I59" i="22"/>
  <c r="E8" i="40"/>
  <c r="H9" i="24"/>
  <c r="G20" i="18"/>
  <c r="H20" i="18" s="1"/>
  <c r="G187" i="18"/>
  <c r="H187" i="18" s="1"/>
  <c r="J187" i="18" s="1"/>
  <c r="G30" i="18"/>
  <c r="G32" i="18" s="1"/>
  <c r="H32" i="18" s="1"/>
  <c r="E19" i="19"/>
  <c r="H19" i="18"/>
  <c r="G9" i="25"/>
  <c r="G10" i="30"/>
  <c r="H10" i="30" s="1"/>
  <c r="H27" i="24"/>
  <c r="H155" i="31"/>
  <c r="J155" i="31" s="1"/>
  <c r="J155" i="43"/>
  <c r="J156" i="3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i="31" s="1"/>
  <c r="J166" i="43"/>
  <c r="J177" i="28"/>
  <c r="H177" i="29"/>
  <c r="J127" i="28"/>
  <c r="H127" i="29"/>
  <c r="H132" i="24"/>
  <c r="J132" i="23"/>
  <c r="H168" i="31"/>
  <c r="J168" i="31" s="1"/>
  <c r="J168" i="43"/>
  <c r="H128" i="24"/>
  <c r="J128" i="23"/>
  <c r="H131" i="24"/>
  <c r="J131" i="23"/>
  <c r="H130" i="24"/>
  <c r="J130" i="23"/>
  <c r="H133" i="24"/>
  <c r="J133" i="23"/>
  <c r="H167" i="31"/>
  <c r="J167" i="31" s="1"/>
  <c r="J167" i="43"/>
  <c r="H181" i="23"/>
  <c r="J181" i="22"/>
  <c r="H180" i="24"/>
  <c r="J180" i="23"/>
  <c r="H174" i="24"/>
  <c r="J174" i="23"/>
  <c r="H175" i="23"/>
  <c r="J175" i="22"/>
  <c r="H178" i="24"/>
  <c r="J178" i="23"/>
  <c r="H186" i="23"/>
  <c r="J186" i="22"/>
  <c r="H183" i="24"/>
  <c r="J183" i="23"/>
  <c r="H184" i="24"/>
  <c r="J184" i="23"/>
  <c r="H185" i="24"/>
  <c r="J185" i="23"/>
  <c r="H173" i="24"/>
  <c r="J173" i="23"/>
  <c r="H176" i="22"/>
  <c r="J176" i="21"/>
  <c r="H179" i="24"/>
  <c r="J179" i="23"/>
  <c r="H161" i="24"/>
  <c r="J161" i="23"/>
  <c r="H188" i="22"/>
  <c r="J188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G7" i="24" l="1"/>
  <c r="G99" i="23"/>
  <c r="H99" i="23" s="1"/>
  <c r="I59" i="23"/>
  <c r="G97" i="23"/>
  <c r="H97" i="23" s="1"/>
  <c r="G105" i="23"/>
  <c r="H105" i="23" s="1"/>
  <c r="G95" i="23"/>
  <c r="H95" i="23" s="1"/>
  <c r="G101" i="23"/>
  <c r="H101" i="23" s="1"/>
  <c r="G103" i="23"/>
  <c r="H103" i="23" s="1"/>
  <c r="H7" i="23"/>
  <c r="E8" i="27"/>
  <c r="G8" i="40"/>
  <c r="E27" i="40" s="1"/>
  <c r="G27" i="40" s="1"/>
  <c r="G8" i="25"/>
  <c r="E27" i="25" s="1"/>
  <c r="G27" i="25" s="1"/>
  <c r="H9" i="25"/>
  <c r="E19" i="20"/>
  <c r="G19" i="19"/>
  <c r="H30" i="18"/>
  <c r="E10" i="43"/>
  <c r="G9" i="40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 i="24"/>
  <c r="J181" i="23"/>
  <c r="H179" i="25"/>
  <c r="J179" i="24"/>
  <c r="H173" i="25"/>
  <c r="J173" i="24"/>
  <c r="H184" i="25"/>
  <c r="J184" i="24"/>
  <c r="H186" i="24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 i="24"/>
  <c r="J163" i="23"/>
  <c r="H188" i="23"/>
  <c r="J188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E8" i="28" l="1"/>
  <c r="E8" i="29" s="1"/>
  <c r="E8" i="30" s="1"/>
  <c r="F8" i="30" s="1"/>
  <c r="G97" i="24"/>
  <c r="H97" i="24" s="1"/>
  <c r="G103" i="24"/>
  <c r="H103" i="24" s="1"/>
  <c r="H7" i="24"/>
  <c r="G99" i="24"/>
  <c r="H99" i="24" s="1"/>
  <c r="G95" i="24"/>
  <c r="H95" i="24" s="1"/>
  <c r="I59" i="24"/>
  <c r="G101" i="24"/>
  <c r="H101" i="24" s="1"/>
  <c r="G105" i="24"/>
  <c r="H105" i="24" s="1"/>
  <c r="E7" i="40"/>
  <c r="G7" i="25"/>
  <c r="H27" i="25"/>
  <c r="H27" i="40" s="1"/>
  <c r="H9" i="40"/>
  <c r="E30" i="19"/>
  <c r="G30" i="19" s="1"/>
  <c r="G32" i="19" s="1"/>
  <c r="H32" i="19" s="1"/>
  <c r="G20" i="19"/>
  <c r="H20" i="19" s="1"/>
  <c r="G187" i="19"/>
  <c r="H187" i="19" s="1"/>
  <c r="J187" i="19" s="1"/>
  <c r="E19" i="21"/>
  <c r="G19" i="20"/>
  <c r="H19" i="19"/>
  <c r="G9" i="27"/>
  <c r="G8" i="50"/>
  <c r="E28" i="50" s="1"/>
  <c r="G28" i="50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 i="25"/>
  <c r="J186" i="24"/>
  <c r="H173" i="40"/>
  <c r="J173" i="25"/>
  <c r="H181" i="25"/>
  <c r="J181" i="24"/>
  <c r="H178" i="40"/>
  <c r="J178" i="25"/>
  <c r="H185" i="40"/>
  <c r="J185" i="25"/>
  <c r="H188" i="24"/>
  <c r="J188" i="23"/>
  <c r="H162" i="40"/>
  <c r="J162" i="25"/>
  <c r="H164" i="40"/>
  <c r="J164" i="25"/>
  <c r="H163" i="25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G8" i="27" l="1"/>
  <c r="E27" i="27" s="1"/>
  <c r="G27" i="27" s="1"/>
  <c r="H27" i="27" s="1"/>
  <c r="G105" i="25"/>
  <c r="H105" i="25" s="1"/>
  <c r="G95" i="25"/>
  <c r="H95" i="25" s="1"/>
  <c r="I59" i="25"/>
  <c r="G99" i="25"/>
  <c r="H99" i="25" s="1"/>
  <c r="G103" i="25"/>
  <c r="H103" i="25" s="1"/>
  <c r="G97" i="25"/>
  <c r="H97" i="25" s="1"/>
  <c r="G101" i="25"/>
  <c r="H101" i="25" s="1"/>
  <c r="H7" i="25"/>
  <c r="E7" i="27"/>
  <c r="G7" i="40"/>
  <c r="G8" i="28"/>
  <c r="H9" i="27"/>
  <c r="H30" i="19"/>
  <c r="H19" i="20"/>
  <c r="G20" i="20"/>
  <c r="H20" i="20" s="1"/>
  <c r="G187" i="20"/>
  <c r="H187" i="20" s="1"/>
  <c r="J187" i="20" s="1"/>
  <c r="E30" i="20"/>
  <c r="G30" i="20" s="1"/>
  <c r="G19" i="21"/>
  <c r="G9" i="28"/>
  <c r="G10" i="43"/>
  <c r="H10" i="43" s="1"/>
  <c r="H10" i="50" s="1"/>
  <c r="G10" i="31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82" i="43"/>
  <c r="H182" i="31"/>
  <c r="J182" i="31" s="1"/>
  <c r="H131" i="27"/>
  <c r="J131" i="40"/>
  <c r="J177" i="43"/>
  <c r="H177" i="31"/>
  <c r="J177" i="31" s="1"/>
  <c r="H121" i="50"/>
  <c r="J121" i="50" s="1"/>
  <c r="H130" i="27"/>
  <c r="J130" i="40"/>
  <c r="H132" i="27"/>
  <c r="J132" i="40"/>
  <c r="H128" i="27"/>
  <c r="J128" i="40"/>
  <c r="H127" i="31"/>
  <c r="J127" i="31" s="1"/>
  <c r="J127" i="43"/>
  <c r="H178" i="27"/>
  <c r="J178" i="40"/>
  <c r="H173" i="27"/>
  <c r="J173" i="40"/>
  <c r="H180" i="27"/>
  <c r="J180" i="40"/>
  <c r="H183" i="27"/>
  <c r="J183" i="40"/>
  <c r="H179" i="27"/>
  <c r="J179" i="40"/>
  <c r="H175" i="40"/>
  <c r="J175" i="25"/>
  <c r="H185" i="27"/>
  <c r="J185" i="40"/>
  <c r="H181" i="40"/>
  <c r="J181" i="25"/>
  <c r="H186" i="40"/>
  <c r="J186" i="25"/>
  <c r="H176" i="25"/>
  <c r="J176" i="24"/>
  <c r="H174" i="27"/>
  <c r="J174" i="40"/>
  <c r="H184" i="27"/>
  <c r="J184" i="40"/>
  <c r="H165" i="27"/>
  <c r="J165" i="40"/>
  <c r="H163" i="40"/>
  <c r="J163" i="25"/>
  <c r="H188" i="25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G97" i="40" l="1"/>
  <c r="H97" i="40" s="1"/>
  <c r="G95" i="40"/>
  <c r="H95" i="40" s="1"/>
  <c r="H7" i="40"/>
  <c r="G105" i="40"/>
  <c r="H105" i="40" s="1"/>
  <c r="G101" i="40"/>
  <c r="H101" i="40" s="1"/>
  <c r="G103" i="40"/>
  <c r="H103" i="40" s="1"/>
  <c r="G99" i="40"/>
  <c r="H99" i="40" s="1"/>
  <c r="I59" i="40"/>
  <c r="G7" i="27"/>
  <c r="E27" i="28"/>
  <c r="G27" i="28" s="1"/>
  <c r="H27" i="28" s="1"/>
  <c r="G8" i="29"/>
  <c r="G32" i="20"/>
  <c r="H32" i="20" s="1"/>
  <c r="H9" i="28"/>
  <c r="E19" i="22"/>
  <c r="G19" i="22" s="1"/>
  <c r="H30" i="20"/>
  <c r="G187" i="21"/>
  <c r="H187" i="21" s="1"/>
  <c r="J187" i="21" s="1"/>
  <c r="E30" i="21"/>
  <c r="G30" i="21" s="1"/>
  <c r="G32" i="21" s="1"/>
  <c r="G20" i="21"/>
  <c r="H20" i="21" s="1"/>
  <c r="H19" i="21"/>
  <c r="H10" i="31"/>
  <c r="J10" i="31" s="1"/>
  <c r="G9" i="29"/>
  <c r="G9" i="30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 i="27"/>
  <c r="J186" i="40"/>
  <c r="H185" i="28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G99" i="27" l="1"/>
  <c r="H99" i="27" s="1"/>
  <c r="G103" i="27"/>
  <c r="H103" i="27" s="1"/>
  <c r="G101" i="27"/>
  <c r="H101" i="27" s="1"/>
  <c r="G105" i="27"/>
  <c r="H105" i="27" s="1"/>
  <c r="G97" i="27"/>
  <c r="H97" i="27" s="1"/>
  <c r="H7" i="27"/>
  <c r="G95" i="27"/>
  <c r="H95" i="27" s="1"/>
  <c r="I59" i="27"/>
  <c r="E7" i="28"/>
  <c r="E7" i="29" s="1"/>
  <c r="O8" i="29"/>
  <c r="E27" i="29"/>
  <c r="G27" i="29" s="1"/>
  <c r="H27" i="29" s="1"/>
  <c r="O15" i="29"/>
  <c r="G8" i="30"/>
  <c r="E27" i="30" s="1"/>
  <c r="G27" i="30" s="1"/>
  <c r="H32" i="21"/>
  <c r="H9" i="29"/>
  <c r="H9" i="30" s="1"/>
  <c r="E19" i="23"/>
  <c r="G19" i="23" s="1"/>
  <c r="H19" i="22"/>
  <c r="E9" i="43"/>
  <c r="H30" i="21"/>
  <c r="E30" i="22"/>
  <c r="G30" i="22" s="1"/>
  <c r="G32" i="22" s="1"/>
  <c r="G20" i="22"/>
  <c r="H20" i="22" s="1"/>
  <c r="G187" i="22"/>
  <c r="H187" i="22" s="1"/>
  <c r="J187" i="22" s="1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 i="28"/>
  <c r="J181" i="27"/>
  <c r="H184" i="29"/>
  <c r="J184" i="28"/>
  <c r="H180" i="29"/>
  <c r="J180" i="28"/>
  <c r="H185" i="29"/>
  <c r="J185" i="28"/>
  <c r="H174" i="29"/>
  <c r="J174" i="28"/>
  <c r="H173" i="29"/>
  <c r="J173" i="28"/>
  <c r="H175" i="28"/>
  <c r="J175" i="27"/>
  <c r="H176" i="27"/>
  <c r="J176" i="40"/>
  <c r="H178" i="29"/>
  <c r="J178" i="28"/>
  <c r="H179" i="29"/>
  <c r="J179" i="28"/>
  <c r="H186" i="28"/>
  <c r="J186" i="27"/>
  <c r="H163" i="28"/>
  <c r="J163" i="27"/>
  <c r="H164" i="29"/>
  <c r="J164" i="28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E7" i="30" l="1"/>
  <c r="F7" i="30" s="1"/>
  <c r="G7" i="29"/>
  <c r="O12" i="29" s="1"/>
  <c r="G7" i="28"/>
  <c r="G9" i="43"/>
  <c r="H9" i="43" s="1"/>
  <c r="H9" i="50" s="1"/>
  <c r="J9" i="50" s="1"/>
  <c r="H27" i="30"/>
  <c r="G8" i="43"/>
  <c r="E27" i="43" s="1"/>
  <c r="G27" i="43" s="1"/>
  <c r="O10" i="29"/>
  <c r="H32" i="22"/>
  <c r="E19" i="24"/>
  <c r="H30" i="22"/>
  <c r="G20" i="23"/>
  <c r="H20" i="23" s="1"/>
  <c r="G187" i="23"/>
  <c r="H187" i="23" s="1"/>
  <c r="J187" i="23" s="1"/>
  <c r="E30" i="23"/>
  <c r="G30" i="23" s="1"/>
  <c r="G32" i="23" s="1"/>
  <c r="H19" i="23"/>
  <c r="G9" i="3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 i="29"/>
  <c r="J186" i="28"/>
  <c r="H178" i="30"/>
  <c r="J178" i="29"/>
  <c r="H175" i="29"/>
  <c r="J175" i="28"/>
  <c r="H174" i="30"/>
  <c r="J174" i="29"/>
  <c r="H180" i="30"/>
  <c r="J180" i="29"/>
  <c r="H181" i="29"/>
  <c r="J181" i="28"/>
  <c r="H161" i="30"/>
  <c r="J161" i="29"/>
  <c r="H188" i="28"/>
  <c r="J188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I59" i="29" l="1"/>
  <c r="G105" i="29"/>
  <c r="G95" i="29"/>
  <c r="G97" i="29"/>
  <c r="G99" i="29"/>
  <c r="G103" i="29"/>
  <c r="G101" i="29"/>
  <c r="G7" i="30"/>
  <c r="E7" i="43"/>
  <c r="F7" i="43" s="1"/>
  <c r="G7" i="43" s="1"/>
  <c r="G101" i="28"/>
  <c r="H101" i="28" s="1"/>
  <c r="G105" i="28"/>
  <c r="H105" i="28" s="1"/>
  <c r="G99" i="28"/>
  <c r="H99" i="28" s="1"/>
  <c r="G103" i="28"/>
  <c r="H103" i="28" s="1"/>
  <c r="H103" i="29" s="1"/>
  <c r="G95" i="28"/>
  <c r="H95" i="28" s="1"/>
  <c r="G97" i="28"/>
  <c r="H97" i="28" s="1"/>
  <c r="H97" i="29" s="1"/>
  <c r="I59" i="28"/>
  <c r="O9" i="28"/>
  <c r="H7" i="28"/>
  <c r="H7" i="29" s="1"/>
  <c r="H27" i="43"/>
  <c r="G8" i="31"/>
  <c r="H32" i="23"/>
  <c r="H9" i="31"/>
  <c r="J9" i="31" s="1"/>
  <c r="H30" i="23"/>
  <c r="G19" i="24"/>
  <c r="AB25" i="49"/>
  <c r="G7" i="31"/>
  <c r="G7" i="50"/>
  <c r="G11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 i="30"/>
  <c r="J175" i="29"/>
  <c r="H186" i="30"/>
  <c r="J186" i="29"/>
  <c r="H184" i="43"/>
  <c r="J184" i="30"/>
  <c r="H173" i="43"/>
  <c r="J173" i="30"/>
  <c r="H179" i="43"/>
  <c r="J179" i="30"/>
  <c r="H181" i="30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H165" i="31" s="1"/>
  <c r="J165" i="30"/>
  <c r="H161" i="43"/>
  <c r="J161" i="30"/>
  <c r="H162" i="43"/>
  <c r="J162" i="30"/>
  <c r="H163" i="30"/>
  <c r="J163" i="29"/>
  <c r="H188" i="29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H105" i="29" l="1"/>
  <c r="H95" i="29"/>
  <c r="G97" i="30"/>
  <c r="G95" i="30"/>
  <c r="G103" i="30"/>
  <c r="H103" i="30" s="1"/>
  <c r="G101" i="30"/>
  <c r="G99" i="30"/>
  <c r="I59" i="30"/>
  <c r="G105" i="30"/>
  <c r="H105" i="30" s="1"/>
  <c r="H97" i="30"/>
  <c r="H99" i="29"/>
  <c r="H7" i="30"/>
  <c r="H101" i="29"/>
  <c r="E27" i="31"/>
  <c r="G27" i="31" s="1"/>
  <c r="H27" i="31" s="1"/>
  <c r="E19" i="25"/>
  <c r="G19" i="25" s="1"/>
  <c r="E30" i="24"/>
  <c r="G30" i="24" s="1"/>
  <c r="G32" i="24" s="1"/>
  <c r="H32" i="24" s="1"/>
  <c r="G187" i="24"/>
  <c r="H187" i="24" s="1"/>
  <c r="J187" i="24" s="1"/>
  <c r="G20" i="24"/>
  <c r="H20" i="24" s="1"/>
  <c r="H19" i="24"/>
  <c r="AC36" i="44"/>
  <c r="AC37" i="44"/>
  <c r="G104" i="50"/>
  <c r="G98" i="50"/>
  <c r="G100" i="50"/>
  <c r="G106" i="50"/>
  <c r="G96" i="50"/>
  <c r="G102" i="50"/>
  <c r="I60" i="50"/>
  <c r="G97" i="43"/>
  <c r="G99" i="43"/>
  <c r="G103" i="43"/>
  <c r="G101" i="43"/>
  <c r="G95" i="43"/>
  <c r="G105" i="43"/>
  <c r="I59" i="43"/>
  <c r="H7" i="43"/>
  <c r="G103" i="31"/>
  <c r="G95" i="31"/>
  <c r="G97" i="31"/>
  <c r="G101" i="3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80" i="50"/>
  <c r="H131" i="31"/>
  <c r="J131" i="31" s="1"/>
  <c r="J131" i="43"/>
  <c r="H82" i="31"/>
  <c r="J82" i="31" s="1"/>
  <c r="H133" i="31"/>
  <c r="J133" i="31" s="1"/>
  <c r="J133" i="43"/>
  <c r="J185" i="43"/>
  <c r="H185" i="31"/>
  <c r="J185" i="31" s="1"/>
  <c r="H129" i="50"/>
  <c r="J129" i="50" s="1"/>
  <c r="H178" i="31"/>
  <c r="J178" i="31" s="1"/>
  <c r="J178" i="43"/>
  <c r="H122" i="50"/>
  <c r="J122" i="50" s="1"/>
  <c r="H181" i="43"/>
  <c r="J181" i="30"/>
  <c r="H173" i="31"/>
  <c r="J173" i="31" s="1"/>
  <c r="J173" i="43"/>
  <c r="H117" i="50"/>
  <c r="J117" i="50" s="1"/>
  <c r="H186" i="43"/>
  <c r="J186" i="30"/>
  <c r="J180" i="43"/>
  <c r="H180" i="31"/>
  <c r="J180" i="31" s="1"/>
  <c r="H124" i="50"/>
  <c r="J124" i="50" s="1"/>
  <c r="H176" i="30"/>
  <c r="J176" i="29"/>
  <c r="J183" i="43"/>
  <c r="H183" i="31"/>
  <c r="J183" i="31" s="1"/>
  <c r="J174" i="43"/>
  <c r="H174" i="31"/>
  <c r="J174" i="31" s="1"/>
  <c r="H118" i="50"/>
  <c r="J118" i="50" s="1"/>
  <c r="J179" i="43"/>
  <c r="H179" i="31"/>
  <c r="J179" i="31" s="1"/>
  <c r="H123" i="50"/>
  <c r="J123" i="50" s="1"/>
  <c r="J184" i="43"/>
  <c r="H184" i="31"/>
  <c r="J184" i="31" s="1"/>
  <c r="H128" i="50"/>
  <c r="J128" i="50" s="1"/>
  <c r="H175" i="43"/>
  <c r="J175" i="30"/>
  <c r="H188" i="30"/>
  <c r="J188" i="29"/>
  <c r="J162" i="43"/>
  <c r="H162" i="31"/>
  <c r="J162" i="31" s="1"/>
  <c r="J164" i="43"/>
  <c r="H164" i="31"/>
  <c r="H163" i="43"/>
  <c r="J163" i="30"/>
  <c r="H161" i="31"/>
  <c r="J161" i="31" s="1"/>
  <c r="J161" i="43"/>
  <c r="J165" i="31"/>
  <c r="J165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H101" i="30" l="1"/>
  <c r="H101" i="43" s="1"/>
  <c r="J101" i="43" s="1"/>
  <c r="H95" i="30"/>
  <c r="H95" i="43" s="1"/>
  <c r="H95" i="31" s="1"/>
  <c r="J95" i="31" s="1"/>
  <c r="H103" i="43"/>
  <c r="J103" i="43" s="1"/>
  <c r="H97" i="43"/>
  <c r="J97" i="43" s="1"/>
  <c r="H105" i="43"/>
  <c r="H105" i="31" s="1"/>
  <c r="J105" i="31" s="1"/>
  <c r="H99" i="30"/>
  <c r="H99" i="43" s="1"/>
  <c r="H30" i="24"/>
  <c r="H19" i="25"/>
  <c r="E30" i="25"/>
  <c r="G30" i="25" s="1"/>
  <c r="G187" i="25"/>
  <c r="H187" i="25" s="1"/>
  <c r="J187" i="25" s="1"/>
  <c r="G20" i="25"/>
  <c r="H20" i="25" s="1"/>
  <c r="AU35" i="44"/>
  <c r="J164" i="31"/>
  <c r="H176" i="43"/>
  <c r="J176" i="30"/>
  <c r="J175" i="43"/>
  <c r="H175" i="31"/>
  <c r="J175" i="31" s="1"/>
  <c r="H119" i="50"/>
  <c r="J119" i="50" s="1"/>
  <c r="H181" i="31"/>
  <c r="J181" i="31" s="1"/>
  <c r="J181" i="43"/>
  <c r="J186" i="43"/>
  <c r="H186" i="31"/>
  <c r="J186" i="31" s="1"/>
  <c r="H130" i="50"/>
  <c r="J130" i="50" s="1"/>
  <c r="H163" i="31"/>
  <c r="J163" i="31" s="1"/>
  <c r="J163" i="43"/>
  <c r="H188" i="43"/>
  <c r="J188" i="30"/>
  <c r="J113" i="43"/>
  <c r="H113" i="31"/>
  <c r="J113" i="31" s="1"/>
  <c r="AN10" i="49"/>
  <c r="AE10" i="49"/>
  <c r="Y13" i="44"/>
  <c r="X10" i="49" s="1"/>
  <c r="AD10" i="49"/>
  <c r="H97" i="31" l="1"/>
  <c r="J97" i="31" s="1"/>
  <c r="H103" i="31"/>
  <c r="J103" i="31" s="1"/>
  <c r="J99" i="43"/>
  <c r="H99" i="31"/>
  <c r="J99" i="31" s="1"/>
  <c r="J95" i="43"/>
  <c r="H101" i="31"/>
  <c r="J101" i="31" s="1"/>
  <c r="J105" i="43"/>
  <c r="G32" i="25"/>
  <c r="H32" i="25" s="1"/>
  <c r="G19" i="40"/>
  <c r="G20" i="40" s="1"/>
  <c r="H30" i="25"/>
  <c r="AD36" i="44"/>
  <c r="AD37" i="44"/>
  <c r="AU36" i="44"/>
  <c r="AU37" i="44"/>
  <c r="AC32" i="49"/>
  <c r="H176" i="31"/>
  <c r="J176" i="31" s="1"/>
  <c r="J176" i="43"/>
  <c r="H120" i="50"/>
  <c r="J120" i="50" s="1"/>
  <c r="H188" i="31"/>
  <c r="J188" i="31" s="1"/>
  <c r="J188" i="43"/>
  <c r="H132" i="50"/>
  <c r="J132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G187" i="40" l="1"/>
  <c r="H187" i="40" s="1"/>
  <c r="J187" i="40" s="1"/>
  <c r="H20" i="40"/>
  <c r="E30" i="40"/>
  <c r="G30" i="40" s="1"/>
  <c r="G32" i="40" s="1"/>
  <c r="H32" i="40" s="1"/>
  <c r="H19" i="40"/>
  <c r="E19" i="27"/>
  <c r="AT10" i="49"/>
  <c r="BB10" i="49"/>
  <c r="AS10" i="49"/>
  <c r="BA10" i="49"/>
  <c r="H30" i="40" l="1"/>
  <c r="G19" i="27"/>
  <c r="C9" i="44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H19" i="27" l="1"/>
  <c r="G187" i="27"/>
  <c r="G20" i="27"/>
  <c r="H20" i="27" s="1"/>
  <c r="E30" i="27"/>
  <c r="G30" i="27" s="1"/>
  <c r="H187" i="27"/>
  <c r="J187" i="27" s="1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G19" i="28" l="1"/>
  <c r="G32" i="27"/>
  <c r="H32" i="27" s="1"/>
  <c r="H30" i="27"/>
  <c r="N34" i="1"/>
  <c r="G32" i="47"/>
  <c r="AT35" i="44"/>
  <c r="AT32" i="49"/>
  <c r="BB32" i="49"/>
  <c r="AS32" i="49"/>
  <c r="BA32" i="49"/>
  <c r="E19" i="29" l="1"/>
  <c r="E30" i="28"/>
  <c r="G30" i="28" s="1"/>
  <c r="G32" i="28" s="1"/>
  <c r="H32" i="28" s="1"/>
  <c r="G187" i="28"/>
  <c r="H187" i="28" s="1"/>
  <c r="J187" i="28" s="1"/>
  <c r="G20" i="28"/>
  <c r="H20" i="28" s="1"/>
  <c r="H19" i="28"/>
  <c r="AI25" i="45"/>
  <c r="AI27" i="45"/>
  <c r="H30" i="28" l="1"/>
  <c r="E19" i="30"/>
  <c r="G19" i="29"/>
  <c r="AD20" i="49"/>
  <c r="G187" i="29" l="1"/>
  <c r="H187" i="29" s="1"/>
  <c r="J187" i="29" s="1"/>
  <c r="E30" i="29"/>
  <c r="G30" i="29" s="1"/>
  <c r="G32" i="29" s="1"/>
  <c r="H32" i="29" s="1"/>
  <c r="G20" i="29"/>
  <c r="H20" i="29" s="1"/>
  <c r="H19" i="29"/>
  <c r="G19" i="30"/>
  <c r="E19" i="43"/>
  <c r="L15" i="44"/>
  <c r="K12" i="49" s="1"/>
  <c r="Y15" i="44"/>
  <c r="X12" i="49" s="1"/>
  <c r="H19" i="30" l="1"/>
  <c r="G20" i="30"/>
  <c r="H20" i="30" s="1"/>
  <c r="E30" i="30"/>
  <c r="G30" i="30" s="1"/>
  <c r="G32" i="30" s="1"/>
  <c r="H32" i="30" s="1"/>
  <c r="G187" i="30"/>
  <c r="H187" i="30" s="1"/>
  <c r="J187" i="30" s="1"/>
  <c r="H30" i="29"/>
  <c r="AX7" i="49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H30" i="30" l="1"/>
  <c r="G19" i="43"/>
  <c r="E20" i="50"/>
  <c r="G20" i="50" s="1"/>
  <c r="G19" i="31"/>
  <c r="E30" i="31" s="1"/>
  <c r="AT26" i="49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G187" i="31" l="1"/>
  <c r="G20" i="31"/>
  <c r="G30" i="31"/>
  <c r="G32" i="31" s="1"/>
  <c r="G21" i="50"/>
  <c r="E31" i="50"/>
  <c r="G31" i="50" s="1"/>
  <c r="G33" i="50" s="1"/>
  <c r="G20" i="43"/>
  <c r="H20" i="43" s="1"/>
  <c r="G187" i="43"/>
  <c r="H187" i="43" s="1"/>
  <c r="E30" i="43"/>
  <c r="G30" i="43" s="1"/>
  <c r="H19" i="43"/>
  <c r="H19" i="31" s="1"/>
  <c r="AU17" i="49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20" i="31" l="1"/>
  <c r="J187" i="43"/>
  <c r="H131" i="50"/>
  <c r="J131" i="50" s="1"/>
  <c r="G32" i="43"/>
  <c r="H32" i="43" s="1"/>
  <c r="H32" i="31" s="1"/>
  <c r="H30" i="43"/>
  <c r="H30" i="31" s="1"/>
  <c r="H187" i="31"/>
  <c r="J187" i="31" s="1"/>
  <c r="H11" i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BA35" i="44" s="1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Y36" i="44"/>
  <c r="Y37" i="44"/>
  <c r="K26" i="49"/>
  <c r="L37" i="44"/>
  <c r="L36" i="44"/>
  <c r="J26" i="49"/>
  <c r="I26" i="49"/>
  <c r="H26" i="49"/>
  <c r="G26" i="49"/>
  <c r="H37" i="44"/>
  <c r="H36" i="44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BH7" i="49"/>
  <c r="AZ10" i="44"/>
  <c r="E2" i="49"/>
  <c r="F3" i="49"/>
  <c r="AZ36" i="1"/>
  <c r="AZ21" i="1"/>
  <c r="H33" i="1"/>
  <c r="J33" i="1" s="1"/>
  <c r="C34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BM5" i="49" l="1"/>
  <c r="BA8" i="44"/>
  <c r="BA5" i="44"/>
  <c r="BM4" i="49"/>
  <c r="BA7" i="44"/>
  <c r="AY37" i="44"/>
  <c r="I36" i="44"/>
  <c r="J37" i="44"/>
  <c r="J36" i="44"/>
  <c r="F36" i="44"/>
  <c r="K37" i="44"/>
  <c r="K36" i="44"/>
  <c r="AY36" i="44"/>
  <c r="AZ36" i="44"/>
  <c r="AZ37" i="44"/>
  <c r="I37" i="44"/>
  <c r="BB34" i="44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C35" i="44"/>
  <c r="C36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BA6" i="44" s="1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C37" i="44" l="1"/>
  <c r="BC10" i="44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BM6" i="49" l="1"/>
  <c r="BA9" i="44"/>
  <c r="O9" i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A10" i="44" s="1"/>
  <c r="BG8" i="49"/>
  <c r="AT11" i="44"/>
  <c r="G7" i="47"/>
  <c r="N9" i="1"/>
  <c r="G8" i="47"/>
  <c r="N10" i="1"/>
  <c r="E9" i="47"/>
  <c r="K11" i="1"/>
  <c r="BK11" i="1"/>
  <c r="BM11" i="1"/>
  <c r="BL11" i="1"/>
  <c r="G12" i="1"/>
  <c r="BM8" i="49" l="1"/>
  <c r="BA11" i="44"/>
  <c r="BC12" i="44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l="1"/>
  <c r="AT12" i="44"/>
  <c r="BA12" i="44" s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10" i="49" l="1"/>
  <c r="BA13" i="44"/>
  <c r="BM9" i="49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BA14" i="44" s="1"/>
  <c r="G11" i="47"/>
  <c r="AN15" i="44"/>
  <c r="AT15" i="44" s="1"/>
  <c r="L14" i="1"/>
  <c r="G12" i="47" s="1"/>
  <c r="E19" i="47"/>
  <c r="BM21" i="1"/>
  <c r="K21" i="1"/>
  <c r="BL21" i="1"/>
  <c r="BK21" i="1"/>
  <c r="BM12" i="49" l="1"/>
  <c r="BA15" i="44"/>
  <c r="BM11" i="49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BA16" i="44" s="1"/>
  <c r="G19" i="1"/>
  <c r="B20" i="44"/>
  <c r="BC20" i="44" s="1"/>
  <c r="G14" i="47"/>
  <c r="N16" i="1"/>
  <c r="BG14" i="49"/>
  <c r="AT17" i="44"/>
  <c r="BA17" i="44" s="1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AT18" i="44"/>
  <c r="BA18" i="44" s="1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M15" i="47"/>
  <c r="Q17" i="1"/>
  <c r="BN17" i="1" s="1"/>
  <c r="R17" i="1"/>
  <c r="R6" i="45"/>
  <c r="R24" i="45" s="1"/>
  <c r="BD16" i="49" s="1"/>
  <c r="D19" i="44"/>
  <c r="AN19" i="44"/>
  <c r="AT19" i="44" s="1"/>
  <c r="BA19" i="44" s="1"/>
  <c r="G21" i="1"/>
  <c r="B22" i="44"/>
  <c r="BC22" i="44" s="1"/>
  <c r="L18" i="1"/>
  <c r="G16" i="47" s="1"/>
  <c r="BM15" i="49"/>
  <c r="AN20" i="44"/>
  <c r="L19" i="1"/>
  <c r="D20" i="44"/>
  <c r="K24" i="1"/>
  <c r="BM24" i="1"/>
  <c r="BK24" i="1"/>
  <c r="BL24" i="1"/>
  <c r="E23" i="47"/>
  <c r="BM25" i="1"/>
  <c r="BK25" i="1"/>
  <c r="BL25" i="1"/>
  <c r="K25" i="1"/>
  <c r="BC21" i="44" l="1"/>
  <c r="BG16" i="49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A20" i="44" s="1"/>
  <c r="BG17" i="49"/>
  <c r="N19" i="1"/>
  <c r="G17" i="47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BA21" i="44" s="1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M18" i="49"/>
  <c r="N21" i="1"/>
  <c r="G19" i="47"/>
  <c r="BG19" i="49"/>
  <c r="AT22" i="44"/>
  <c r="BA22" i="44" s="1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A23" i="44" s="1"/>
  <c r="BG20" i="49"/>
  <c r="BM19" i="49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A24" i="44" s="1"/>
  <c r="BG21" i="49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M21" i="49"/>
  <c r="BG22" i="49"/>
  <c r="AT25" i="44"/>
  <c r="BA25" i="44" s="1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A26" i="44" s="1"/>
  <c r="BG23" i="49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M23" i="49"/>
  <c r="BG24" i="49"/>
  <c r="AT27" i="44"/>
  <c r="BA27" i="44" s="1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M24" i="49"/>
  <c r="BG25" i="49"/>
  <c r="AT28" i="44"/>
  <c r="BA28" i="44" s="1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A29" i="44" s="1"/>
  <c r="BG26" i="49"/>
  <c r="G26" i="47"/>
  <c r="N28" i="1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BA30" i="44" s="1"/>
  <c r="N29" i="1"/>
  <c r="G27" i="47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M27" i="49"/>
  <c r="AT31" i="44"/>
  <c r="BA31" i="44" s="1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6" i="50"/>
  <c r="J86" i="50" s="1"/>
  <c r="Q30" i="1"/>
  <c r="BN30" i="1" s="1"/>
  <c r="O31" i="1"/>
  <c r="E33" i="44"/>
  <c r="O32" i="1"/>
  <c r="I30" i="47" s="1"/>
  <c r="AT32" i="44"/>
  <c r="BA32" i="44" s="1"/>
  <c r="BG29" i="49"/>
  <c r="L32" i="1"/>
  <c r="D33" i="44"/>
  <c r="AN33" i="44"/>
  <c r="BM28" i="49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M29" i="49"/>
  <c r="D34" i="44"/>
  <c r="D36" i="44" s="1"/>
  <c r="L33" i="1"/>
  <c r="AN34" i="44"/>
  <c r="AN37" i="44" s="1"/>
  <c r="N32" i="1"/>
  <c r="G30" i="47"/>
  <c r="BG30" i="49"/>
  <c r="AT33" i="44"/>
  <c r="BA33" i="44" s="1"/>
  <c r="D37" i="44" l="1"/>
  <c r="AN36" i="44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1" i="50"/>
  <c r="J91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3" i="50"/>
  <c r="J93" i="50" s="1"/>
  <c r="J92" i="2"/>
  <c r="H84" i="50"/>
  <c r="J84" i="50" s="1"/>
  <c r="BN32" i="1"/>
  <c r="M30" i="47"/>
  <c r="O33" i="1"/>
  <c r="I31" i="47" s="1"/>
  <c r="E34" i="44"/>
  <c r="N33" i="1"/>
  <c r="N35" i="1" s="1"/>
  <c r="G31" i="47"/>
  <c r="L35" i="1"/>
  <c r="BM30" i="49"/>
  <c r="AT34" i="44"/>
  <c r="BG31" i="49"/>
  <c r="BG35" i="1"/>
  <c r="BO35" i="1" s="1"/>
  <c r="BP35" i="1" s="1"/>
  <c r="AT36" i="44" l="1"/>
  <c r="BA34" i="44"/>
  <c r="BA36" i="44" s="1"/>
  <c r="AT37" i="44"/>
  <c r="AC29" i="49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8" i="50"/>
  <c r="J88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90" i="50"/>
  <c r="J90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3" i="50"/>
  <c r="J103" i="50" s="1"/>
  <c r="H95" i="50"/>
  <c r="J95" i="50" s="1"/>
  <c r="J74" i="2"/>
  <c r="H89" i="50"/>
  <c r="J89" i="50" s="1"/>
  <c r="H85" i="50"/>
  <c r="J85" i="50" s="1"/>
  <c r="J83" i="2"/>
  <c r="H97" i="50"/>
  <c r="J97" i="50" s="1"/>
  <c r="H83" i="50"/>
  <c r="J83" i="50" s="1"/>
  <c r="H78" i="50"/>
  <c r="J78" i="50" s="1"/>
  <c r="H79" i="50"/>
  <c r="J79" i="50" s="1"/>
  <c r="H75" i="50"/>
  <c r="J75" i="50" s="1"/>
  <c r="H77" i="50"/>
  <c r="J77" i="50" s="1"/>
  <c r="H63" i="50"/>
  <c r="J63" i="50" s="1"/>
  <c r="H76" i="50"/>
  <c r="J76" i="50" s="1"/>
  <c r="AH6" i="45"/>
  <c r="AH24" i="45" s="1"/>
  <c r="BD32" i="49" s="1"/>
  <c r="R33" i="1"/>
  <c r="Q33" i="1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2" i="50"/>
  <c r="J92" i="50" s="1"/>
  <c r="H99" i="50"/>
  <c r="J99" i="50" s="1"/>
  <c r="H101" i="50"/>
  <c r="J101" i="50" s="1"/>
  <c r="J94" i="2"/>
  <c r="H105" i="50"/>
  <c r="J105" i="50" s="1"/>
  <c r="H87" i="50"/>
  <c r="J87" i="50" s="1"/>
  <c r="O34" i="1"/>
  <c r="I32" i="47" s="1"/>
  <c r="E35" i="44"/>
  <c r="E37" i="44" l="1"/>
  <c r="E36" i="44"/>
  <c r="J86" i="30"/>
  <c r="J91" i="30"/>
  <c r="J98" i="22"/>
  <c r="J100" i="22"/>
  <c r="J91" i="22"/>
  <c r="J91" i="20"/>
  <c r="J91" i="33"/>
  <c r="J91" i="4"/>
  <c r="J98" i="2"/>
  <c r="J91" i="2"/>
  <c r="J100" i="2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4" i="50"/>
  <c r="J64" i="50" s="1"/>
  <c r="J71" i="2"/>
  <c r="H72" i="50"/>
  <c r="J72" i="50" s="1"/>
  <c r="H66" i="50"/>
  <c r="J66" i="50" s="1"/>
  <c r="J67" i="29" l="1"/>
  <c r="J67" i="30"/>
  <c r="J69" i="29"/>
  <c r="J69" i="30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8" i="50"/>
  <c r="J68" i="50" s="1"/>
  <c r="H70" i="50"/>
  <c r="J70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2" i="50"/>
  <c r="J102" i="50" s="1"/>
  <c r="H96" i="50"/>
  <c r="J96" i="50" s="1"/>
  <c r="H106" i="50"/>
  <c r="J106" i="50" s="1"/>
  <c r="H98" i="50"/>
  <c r="J98" i="50" s="1"/>
  <c r="H104" i="50"/>
  <c r="J104" i="50" s="1"/>
  <c r="H100" i="50"/>
  <c r="J100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5" i="50"/>
  <c r="J65" i="50" s="1"/>
  <c r="J70" i="2"/>
  <c r="H71" i="50"/>
  <c r="J71" i="50" s="1"/>
  <c r="H69" i="50"/>
  <c r="J69" i="50" s="1"/>
  <c r="H67" i="50"/>
  <c r="J67" i="50" s="1"/>
  <c r="J68" i="22" l="1"/>
  <c r="J64" i="22"/>
  <c r="J66" i="22"/>
  <c r="J70" i="22"/>
  <c r="J66" i="2"/>
  <c r="J64" i="2"/>
  <c r="J68" i="2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6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9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G36" i="44" l="1"/>
  <c r="G37" i="44"/>
  <c r="BB5" i="44"/>
  <c r="F2" i="49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B37" i="44" l="1"/>
  <c r="BB36" i="44"/>
  <c r="BC5" i="44"/>
  <c r="G13" i="4"/>
  <c r="H13" i="4" s="1"/>
  <c r="BC37" i="44" l="1"/>
  <c r="BC36" i="44"/>
  <c r="I60" i="4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2" i="31"/>
  <c r="G12" i="8"/>
  <c r="G11" i="40"/>
  <c r="G11" i="10"/>
  <c r="G11" i="18"/>
  <c r="G12" i="25"/>
  <c r="G11" i="28"/>
  <c r="G12" i="11"/>
  <c r="G11" i="13"/>
  <c r="G12" i="21"/>
  <c r="G12" i="23"/>
  <c r="G12" i="22"/>
  <c r="G12" i="19"/>
  <c r="G13" i="19" s="1"/>
  <c r="G12" i="17"/>
  <c r="G11" i="31"/>
  <c r="G11" i="29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2" i="15"/>
  <c r="G11" i="22"/>
  <c r="G12" i="40"/>
  <c r="G11" i="7"/>
  <c r="G12" i="9"/>
  <c r="G12" i="14"/>
  <c r="G12" i="7"/>
  <c r="G13" i="16" l="1"/>
  <c r="G13" i="20"/>
  <c r="G13" i="22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4" i="50"/>
  <c r="G13" i="29"/>
  <c r="G13" i="43"/>
  <c r="G13" i="10"/>
  <c r="G13" i="28"/>
  <c r="G13" i="9"/>
  <c r="G13" i="21"/>
  <c r="G13" i="27"/>
  <c r="G13" i="33"/>
  <c r="H13" i="33" s="1"/>
  <c r="H12" i="31" l="1"/>
  <c r="J12" i="31" s="1"/>
  <c r="H12" i="50"/>
  <c r="H11" i="19"/>
  <c r="H11" i="20" s="1"/>
  <c r="H13" i="7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4" i="50"/>
  <c r="I61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H7" i="50"/>
  <c r="J7" i="50" s="1"/>
  <c r="J12" i="43"/>
  <c r="J9" i="43"/>
  <c r="J10" i="43"/>
  <c r="J15" i="43"/>
  <c r="I16" i="43" s="1"/>
  <c r="H16" i="50"/>
  <c r="J16" i="50" s="1"/>
  <c r="I17" i="50" s="1"/>
  <c r="J18" i="31"/>
  <c r="J18" i="43"/>
  <c r="J20" i="43"/>
  <c r="I20" i="43" s="1"/>
  <c r="H19" i="50"/>
  <c r="J19" i="50" s="1"/>
  <c r="J19" i="43"/>
  <c r="H20" i="50"/>
  <c r="J20" i="50" s="1"/>
  <c r="J19" i="31"/>
  <c r="H21" i="50"/>
  <c r="J21" i="50" s="1"/>
  <c r="I21" i="50" s="1"/>
  <c r="J20" i="31"/>
  <c r="I20" i="31" s="1"/>
  <c r="J22" i="43"/>
  <c r="J24" i="43"/>
  <c r="H24" i="50"/>
  <c r="J24" i="50" s="1"/>
  <c r="J23" i="43"/>
  <c r="J24" i="31"/>
  <c r="H23" i="50"/>
  <c r="J23" i="50" s="1"/>
  <c r="J22" i="31"/>
  <c r="J23" i="31"/>
  <c r="H25" i="50"/>
  <c r="J25" i="50" s="1"/>
  <c r="J27" i="43"/>
  <c r="J28" i="43"/>
  <c r="H29" i="50"/>
  <c r="J29" i="50" s="1"/>
  <c r="J32" i="31"/>
  <c r="J32" i="43"/>
  <c r="J31" i="43"/>
  <c r="J30" i="43"/>
  <c r="J30" i="31"/>
  <c r="J31" i="31"/>
  <c r="H31" i="50"/>
  <c r="J31" i="50" s="1"/>
  <c r="J29" i="43"/>
  <c r="J29" i="31"/>
  <c r="H30" i="50"/>
  <c r="J30" i="50" s="1"/>
  <c r="H28" i="50"/>
  <c r="J28" i="50" s="1"/>
  <c r="J27" i="31"/>
  <c r="H33" i="50"/>
  <c r="J33" i="50" s="1"/>
  <c r="H32" i="50"/>
  <c r="J32" i="50" s="1"/>
  <c r="J28" i="31"/>
  <c r="J42" i="43"/>
  <c r="J41" i="43"/>
  <c r="J35" i="43"/>
  <c r="J40" i="43"/>
  <c r="J43" i="43"/>
  <c r="J41" i="31"/>
  <c r="J44" i="43"/>
  <c r="H41" i="50"/>
  <c r="J41" i="50" s="1"/>
  <c r="J45" i="43"/>
  <c r="J39" i="43"/>
  <c r="J36" i="43"/>
  <c r="J38" i="43"/>
  <c r="J47" i="31"/>
  <c r="J47" i="43"/>
  <c r="H37" i="50"/>
  <c r="J37" i="50" s="1"/>
  <c r="J42" i="31"/>
  <c r="J45" i="31"/>
  <c r="H36" i="50"/>
  <c r="J36" i="50" s="1"/>
  <c r="H46" i="50"/>
  <c r="J46" i="50" s="1"/>
  <c r="J46" i="31"/>
  <c r="J46" i="43"/>
  <c r="H39" i="50"/>
  <c r="J39" i="50" s="1"/>
  <c r="H38" i="50"/>
  <c r="J38" i="50" s="1"/>
  <c r="J37" i="43"/>
  <c r="J37" i="31"/>
  <c r="H47" i="50"/>
  <c r="J47" i="50" s="1"/>
  <c r="J40" i="31"/>
  <c r="J39" i="31"/>
  <c r="H48" i="50"/>
  <c r="J48" i="50" s="1"/>
  <c r="H44" i="50"/>
  <c r="J44" i="50" s="1"/>
  <c r="J35" i="31"/>
  <c r="J44" i="31"/>
  <c r="H42" i="50"/>
  <c r="J42" i="50" s="1"/>
  <c r="J43" i="31"/>
  <c r="H40" i="50"/>
  <c r="J40" i="50" s="1"/>
  <c r="J38" i="31"/>
  <c r="H43" i="50"/>
  <c r="J43" i="50" s="1"/>
  <c r="H45" i="50"/>
  <c r="J45" i="50" s="1"/>
  <c r="J36" i="31"/>
  <c r="J58" i="43"/>
  <c r="J59" i="43"/>
  <c r="H60" i="50"/>
  <c r="J60" i="50" s="1"/>
  <c r="J49" i="43"/>
  <c r="J54" i="43"/>
  <c r="H50" i="50"/>
  <c r="J50" i="50" s="1"/>
  <c r="H59" i="50"/>
  <c r="J59" i="50" s="1"/>
  <c r="J50" i="43"/>
  <c r="J49" i="31"/>
  <c r="H57" i="50"/>
  <c r="J57" i="50" s="1"/>
  <c r="J56" i="43"/>
  <c r="J60" i="43"/>
  <c r="H51" i="50"/>
  <c r="J51" i="50" s="1"/>
  <c r="J53" i="43"/>
  <c r="H54" i="50"/>
  <c r="J54" i="50" s="1"/>
  <c r="J55" i="43"/>
  <c r="J57" i="43"/>
  <c r="H55" i="50"/>
  <c r="J55" i="50" s="1"/>
  <c r="J56" i="31"/>
  <c r="J54" i="31"/>
  <c r="J52" i="43"/>
  <c r="J53" i="31"/>
  <c r="H56" i="50"/>
  <c r="J56" i="50" s="1"/>
  <c r="J51" i="31"/>
  <c r="J51" i="43"/>
  <c r="H53" i="50"/>
  <c r="J53" i="50" s="1"/>
  <c r="J50" i="31"/>
  <c r="J52" i="31"/>
  <c r="H61" i="50"/>
  <c r="J61" i="50" s="1"/>
  <c r="H58" i="50"/>
  <c r="J58" i="50" s="1"/>
  <c r="J57" i="31"/>
  <c r="H52" i="50"/>
  <c r="J52" i="50" s="1"/>
  <c r="J58" i="31"/>
  <c r="J55" i="31"/>
  <c r="J60" i="31"/>
  <c r="J59" i="31"/>
  <c r="J8" i="12"/>
  <c r="H8" i="13"/>
  <c r="H8" i="14" s="1"/>
  <c r="J7" i="31" l="1"/>
  <c r="I9" i="31" s="1"/>
  <c r="J11" i="19"/>
  <c r="H11" i="21"/>
  <c r="J11" i="20"/>
  <c r="H13" i="28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1" i="22" l="1"/>
  <c r="J11" i="21"/>
  <c r="H13" i="31"/>
  <c r="J13" i="31" s="1"/>
  <c r="H14" i="50"/>
  <c r="J14" i="50" s="1"/>
  <c r="J13" i="29"/>
  <c r="J13" i="28"/>
  <c r="J13" i="30"/>
  <c r="H8" i="16"/>
  <c r="J8" i="15"/>
  <c r="H11" i="23" l="1"/>
  <c r="J11" i="22"/>
  <c r="J8" i="16"/>
  <c r="H8" i="17"/>
  <c r="H11" i="24" l="1"/>
  <c r="J11" i="23"/>
  <c r="J8" i="17"/>
  <c r="H8" i="18"/>
  <c r="H11" i="25" l="1"/>
  <c r="J11" i="24"/>
  <c r="H8" i="19"/>
  <c r="J8" i="18"/>
  <c r="H11" i="40" l="1"/>
  <c r="J11" i="25"/>
  <c r="J8" i="19"/>
  <c r="H8" i="20"/>
  <c r="H11" i="27" l="1"/>
  <c r="J11" i="40"/>
  <c r="H8" i="21"/>
  <c r="J8" i="20"/>
  <c r="H11" i="28" l="1"/>
  <c r="J11" i="27"/>
  <c r="H8" i="22"/>
  <c r="J8" i="21"/>
  <c r="H11" i="29" l="1"/>
  <c r="J11" i="28"/>
  <c r="H8" i="23"/>
  <c r="J8" i="22"/>
  <c r="H11" i="30" l="1"/>
  <c r="J11" i="29"/>
  <c r="J8" i="23"/>
  <c r="H8" i="24"/>
  <c r="H11" i="43" l="1"/>
  <c r="H11" i="50" s="1"/>
  <c r="J11" i="30"/>
  <c r="J8" i="24"/>
  <c r="H8" i="25"/>
  <c r="H11" i="31" l="1"/>
  <c r="J11" i="31" s="1"/>
  <c r="J11" i="43"/>
  <c r="J8" i="25"/>
  <c r="H8" i="40"/>
  <c r="H8" i="27" l="1"/>
  <c r="J8" i="40"/>
  <c r="H8" i="28" l="1"/>
  <c r="J8" i="27"/>
  <c r="J8" i="28" l="1"/>
  <c r="H8" i="29"/>
  <c r="J8" i="29" l="1"/>
  <c r="H8" i="30"/>
  <c r="J8" i="30" l="1"/>
  <c r="H8" i="43"/>
  <c r="J8" i="43" l="1"/>
  <c r="H8" i="50"/>
  <c r="J8" i="50" s="1"/>
  <c r="H8" i="31"/>
  <c r="J8" i="31" s="1"/>
  <c r="J135" i="29"/>
</calcChain>
</file>

<file path=xl/sharedStrings.xml><?xml version="1.0" encoding="utf-8"?>
<sst xmlns="http://schemas.openxmlformats.org/spreadsheetml/2006/main" count="10752" uniqueCount="377">
  <si>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</si>
  <si>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</si>
  <si>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</si>
  <si>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</si>
  <si>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</si>
  <si>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</si>
  <si>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</si>
  <si>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</si>
  <si>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</si>
  <si>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</si>
  <si>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</si>
  <si>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</si>
  <si>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</si>
  <si>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</si>
  <si>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</si>
  <si>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</si>
  <si>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</si>
  <si>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</si>
  <si>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</si>
  <si>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</si>
  <si>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</si>
  <si>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</si>
  <si>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</si>
  <si>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</si>
  <si>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</si>
  <si>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</si>
  <si>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</si>
  <si>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</si>
  <si>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</si>
  <si>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</si>
  <si>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</si>
  <si>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</si>
  <si>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</si>
  <si>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</si>
  <si>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</si>
  <si>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</si>
  <si>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</si>
  <si>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</si>
  <si>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</si>
  <si>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</si>
  <si>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</si>
  <si>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</si>
  <si>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</si>
  <si>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</si>
  <si>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</si>
  <si>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</si>
  <si>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</si>
  <si>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</si>
  <si>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</si>
  <si>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</si>
  <si>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</si>
  <si>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</si>
  <si>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</si>
  <si>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</si>
  <si>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</si>
  <si>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</si>
  <si>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</si>
  <si>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</si>
  <si>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</si>
  <si>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</si>
  <si>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</si>
  <si>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</si>
  <si>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</si>
  <si>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</si>
  <si>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</si>
  <si>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</si>
  <si>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</si>
  <si>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</si>
  <si>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</si>
  <si>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</si>
  <si>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</si>
  <si>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</si>
  <si>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</si>
  <si>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</si>
  <si>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</si>
  <si>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</si>
  <si>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</si>
  <si>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</si>
  <si>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</si>
  <si>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</si>
  <si>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</si>
  <si>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</si>
  <si>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</si>
  <si>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</si>
  <si>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</si>
  <si>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</si>
  <si>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</si>
  <si>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</si>
  <si>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</si>
  <si>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</si>
  <si>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</si>
  <si>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</si>
  <si>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</si>
  <si>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</si>
  <si>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</si>
  <si>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</si>
  <si>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</si>
  <si>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</si>
  <si>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</si>
  <si>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</si>
  <si>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</si>
  <si>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</si>
  <si>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</si>
  <si>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</si>
  <si>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</si>
  <si>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</si>
  <si>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</si>
  <si>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</si>
  <si>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</si>
  <si>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</si>
  <si>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</si>
  <si>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</si>
  <si>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</si>
  <si>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</si>
  <si>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</si>
  <si>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</si>
  <si>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</si>
  <si>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</si>
  <si>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</si>
  <si>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</si>
  <si>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</si>
  <si>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</si>
  <si>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</si>
  <si>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</si>
  <si>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</si>
  <si>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</si>
  <si>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</si>
  <si>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</si>
  <si>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</si>
  <si>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</si>
  <si>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</si>
  <si>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</si>
  <si>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</si>
  <si>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</si>
  <si>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</si>
  <si>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</si>
  <si>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</si>
  <si>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</si>
  <si>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</si>
  <si>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</si>
  <si>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</si>
  <si>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</si>
  <si>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</si>
  <si>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</si>
  <si>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</si>
  <si>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</si>
  <si>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</si>
  <si>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</si>
  <si>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</si>
  <si>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</si>
  <si>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</si>
  <si>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</si>
  <si>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</si>
  <si>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</si>
  <si>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</si>
  <si>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</si>
  <si>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</si>
  <si>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</si>
  <si>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</si>
  <si>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</si>
  <si>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</si>
  <si>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</si>
  <si>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</si>
  <si>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</si>
  <si>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</si>
  <si>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</si>
  <si>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</si>
  <si>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</si>
  <si>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</si>
  <si>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</si>
  <si>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</si>
  <si>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</si>
  <si>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</si>
  <si>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</si>
  <si>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</si>
  <si>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</si>
  <si>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</si>
  <si>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</si>
  <si>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</si>
  <si>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</si>
  <si>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</si>
  <si>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</si>
  <si>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</si>
  <si>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</si>
  <si>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</si>
  <si>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</si>
  <si>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</si>
  <si>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</si>
  <si>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</si>
  <si>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</si>
  <si>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</si>
  <si>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</si>
  <si>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</si>
  <si>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</si>
  <si>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</si>
  <si>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</si>
  <si>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</si>
  <si>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</si>
  <si>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</si>
  <si>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</si>
  <si>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</si>
  <si>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</si>
  <si>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</si>
  <si>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</si>
  <si>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</si>
  <si>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</si>
  <si>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</si>
  <si>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</si>
  <si>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</si>
  <si>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</si>
  <si>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</si>
  <si>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</si>
  <si>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</si>
  <si>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</si>
  <si>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</si>
  <si>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</si>
  <si>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</si>
  <si>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</si>
  <si>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</si>
  <si>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</si>
  <si>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</si>
  <si>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</si>
  <si>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</si>
  <si>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</si>
  <si>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</si>
  <si>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</si>
  <si>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</si>
  <si>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</si>
  <si>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</si>
  <si>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</si>
  <si>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</si>
  <si>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</si>
  <si>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</si>
  <si>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</si>
  <si>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</si>
  <si>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</si>
  <si>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</si>
  <si>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</si>
  <si>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</si>
  <si>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</si>
  <si>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</si>
  <si>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</si>
  <si>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</si>
  <si>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</si>
  <si>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</si>
  <si>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</si>
  <si>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</si>
  <si>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</si>
  <si>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</si>
  <si>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</si>
  <si>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</si>
  <si>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</si>
  <si>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</si>
  <si>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</si>
  <si>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</si>
  <si>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</si>
  <si>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</si>
  <si>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</si>
  <si>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</si>
  <si>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</si>
  <si>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</si>
  <si>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</si>
  <si>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</si>
  <si>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</si>
  <si>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</si>
  <si>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</si>
  <si>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</si>
  <si>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</si>
  <si>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</si>
  <si>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</si>
  <si>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</si>
  <si>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</si>
  <si>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</si>
  <si>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</si>
  <si>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</si>
  <si>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</si>
  <si>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</si>
  <si>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</si>
  <si>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</si>
  <si>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</si>
  <si>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</si>
  <si>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</si>
  <si>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</si>
  <si>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</si>
  <si>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</si>
  <si>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</si>
  <si>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</si>
  <si>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</si>
  <si>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</si>
  <si>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</si>
  <si>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</si>
  <si>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</si>
  <si>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</si>
  <si>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</si>
  <si>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</si>
  <si>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</si>
  <si>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</si>
  <si>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</si>
  <si>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</si>
  <si>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</si>
  <si>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</si>
  <si>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</si>
  <si>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</si>
  <si>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</si>
  <si>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</si>
  <si>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</si>
  <si>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</si>
  <si>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</si>
  <si>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</si>
  <si>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</si>
  <si>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</si>
  <si>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</si>
  <si>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</si>
  <si>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</si>
  <si>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</si>
  <si>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</si>
  <si>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</si>
  <si>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</si>
  <si>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</si>
  <si>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</si>
  <si>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</si>
  <si>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</si>
  <si>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</si>
  <si>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</si>
  <si>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</si>
  <si>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</si>
  <si>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</si>
  <si>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</si>
  <si>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</si>
  <si>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</si>
  <si>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</si>
  <si>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</si>
  <si>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</si>
  <si>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</si>
  <si>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</si>
  <si>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</si>
  <si>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</si>
  <si>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</si>
  <si>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</si>
  <si>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</si>
  <si>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</si>
  <si>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</si>
  <si>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</si>
  <si>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</si>
  <si>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</si>
  <si>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</si>
  <si>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</si>
  <si>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</si>
  <si>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</si>
  <si>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Prepaired by--- Ramesh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</si>
  <si>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</si>
  <si>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</si>
  <si>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</si>
  <si>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</si>
  <si>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</si>
  <si>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</si>
  <si>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</si>
  <si>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</si>
  <si>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</si>
  <si>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Cooling Tower ( L.T. Room )</t>
  </si>
  <si>
    <t>sump pump power panel (WTP)</t>
  </si>
  <si>
    <t>Fire pump power panel (WTP)</t>
  </si>
  <si>
    <t>+</t>
  </si>
  <si>
    <t>Need to check</t>
  </si>
  <si>
    <t>meter need to check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</si>
  <si>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</si>
  <si>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</si>
  <si>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6th floor meeting room</t>
  </si>
  <si>
    <t xml:space="preserve">Emergency Power Panel ( capacitor bank area) </t>
  </si>
  <si>
    <t xml:space="preserve"> .</t>
  </si>
  <si>
    <t>Water Tanker strike 9thMay-10-11-12 May</t>
  </si>
  <si>
    <t>Prepaired by---Prakash</t>
  </si>
  <si>
    <t xml:space="preserve">            </t>
  </si>
  <si>
    <t>need to check tonight.</t>
  </si>
  <si>
    <t>Meter Reset</t>
  </si>
  <si>
    <t>Prepaired by---Ramesh</t>
  </si>
  <si>
    <t>Prepaired by--- Devendra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</si>
</sst>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0.0%"/>
    <numFmt numFmtId="168" formatCode="[$-809]d\ mmmm\ yyyy;@"/>
    <numFmt numFmtId="169" formatCode="0.0E+00"/>
    <numFmt numFmtId="170" formatCode="#,##0;[Red]#,##0"/>
    <numFmt numFmtId="171" formatCode="_(* #,##0_);_(* \(#,##0\);_(* &quot;-&quot;??_);_(@_)"/>
    <numFmt numFmtId="172" formatCode="[$-809]dd\ mmmm\ yyyy;@"/>
    <numFmt numFmtId="173" formatCode="0_ ;[Red]\-0\ "/>
  </numFmts>
  <fonts count="89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 Unicode MS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sz val="12"/>
      <color rgb="FFFF0000"/>
      <name val="Cambria"/>
      <family val="2"/>
      <scheme val="major"/>
    </font>
    <font>
      <b/>
      <i/>
      <sz val="20"/>
      <name val="Calibri"/>
      <family val="2"/>
    </font>
    <font>
      <sz val="20"/>
      <color rgb="FFFF0000"/>
      <name val="Calibri"/>
      <family val="2"/>
    </font>
    <font>
      <sz val="20"/>
      <color theme="1"/>
      <name val="Calibri"/>
      <family val="2"/>
    </font>
    <font>
      <b/>
      <sz val="20"/>
      <name val="Calibri"/>
      <family val="2"/>
    </font>
    <font>
      <sz val="20"/>
      <name val="Calibri"/>
      <family val="2"/>
    </font>
    <font>
      <i/>
      <sz val="20"/>
      <color theme="0"/>
      <name val="Calibri"/>
      <family val="2"/>
    </font>
    <font>
      <b/>
      <sz val="20"/>
      <color theme="1"/>
      <name val="Calibri"/>
      <family val="2"/>
    </font>
    <font>
      <b/>
      <sz val="20"/>
      <color rgb="FF7030A0"/>
      <name val="Calibri"/>
      <family val="2"/>
    </font>
    <font>
      <i/>
      <sz val="20"/>
      <name val="Calibri"/>
      <family val="2"/>
    </font>
    <font>
      <b/>
      <sz val="20"/>
      <color indexed="10"/>
      <name val="Calibri"/>
      <family val="2"/>
    </font>
    <font>
      <b/>
      <sz val="20"/>
      <color rgb="FFFF0000"/>
      <name val="Calibri"/>
      <family val="2"/>
    </font>
    <font>
      <b/>
      <sz val="20"/>
      <color indexed="8"/>
      <name val="Calibri"/>
      <family val="2"/>
    </font>
    <font>
      <b/>
      <sz val="20"/>
      <color rgb="FF00B050"/>
      <name val="Calibri"/>
      <family val="2"/>
    </font>
    <font>
      <b/>
      <i/>
      <sz val="20"/>
      <color rgb="FF7030A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43" fontId="73" fillId="0" borderId="0" applyFont="0" applyFill="0" applyBorder="0" applyAlignment="0" applyProtection="0"/>
  </cellStyleXfs>
  <cellXfs count="1000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6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6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6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6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6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6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6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70" fontId="43" fillId="8" borderId="1" xfId="5" applyNumberFormat="1" applyFont="1" applyFill="1" applyBorder="1" applyAlignment="1" applyProtection="1">
      <alignment horizontal="center" vertical="center"/>
    </xf>
    <xf numFmtId="166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1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165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7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6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8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9" fontId="32" fillId="8" borderId="16" xfId="3" applyNumberFormat="1" applyFont="1" applyFill="1" applyBorder="1" applyAlignment="1">
      <alignment vertical="center"/>
    </xf>
    <xf numFmtId="169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16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2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6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2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0" borderId="1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6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70" fillId="0" borderId="1" xfId="0" applyNumberFormat="1" applyFont="1" applyBorder="1"/>
    <xf numFmtId="0" fontId="40" fillId="0" borderId="1" xfId="0" applyFont="1" applyFill="1" applyBorder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66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173" fontId="32" fillId="9" borderId="1" xfId="3" applyNumberFormat="1" applyFont="1" applyFill="1" applyBorder="1" applyAlignment="1">
      <alignment horizontal="center" vertical="center"/>
    </xf>
    <xf numFmtId="173" fontId="32" fillId="9" borderId="1" xfId="3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 wrapText="1" shrinkToFit="1"/>
    </xf>
    <xf numFmtId="173" fontId="38" fillId="12" borderId="1" xfId="3" applyNumberFormat="1" applyFont="1" applyFill="1" applyBorder="1" applyAlignment="1">
      <alignment horizontal="center" vertical="center"/>
    </xf>
    <xf numFmtId="173" fontId="38" fillId="2" borderId="1" xfId="5" applyNumberFormat="1" applyFont="1" applyFill="1" applyBorder="1" applyAlignment="1">
      <alignment horizontal="center" vertical="center"/>
    </xf>
    <xf numFmtId="173" fontId="38" fillId="2" borderId="6" xfId="5" applyNumberFormat="1" applyFont="1" applyFill="1" applyBorder="1" applyAlignment="1">
      <alignment horizontal="center" vertical="center"/>
    </xf>
    <xf numFmtId="173" fontId="38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/>
    </xf>
    <xf numFmtId="173" fontId="45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 vertical="center"/>
    </xf>
    <xf numFmtId="173" fontId="43" fillId="8" borderId="1" xfId="3" applyNumberFormat="1" applyFont="1" applyFill="1" applyBorder="1" applyAlignment="1">
      <alignment horizontal="center"/>
    </xf>
    <xf numFmtId="173" fontId="43" fillId="8" borderId="1" xfId="5" applyNumberFormat="1" applyFont="1" applyFill="1" applyBorder="1" applyAlignment="1" applyProtection="1">
      <alignment horizontal="center" vertical="center"/>
    </xf>
    <xf numFmtId="173" fontId="45" fillId="8" borderId="1" xfId="5" applyNumberFormat="1" applyFont="1" applyFill="1" applyBorder="1" applyAlignment="1" applyProtection="1">
      <alignment horizontal="center" vertical="center"/>
    </xf>
    <xf numFmtId="173" fontId="24" fillId="17" borderId="3" xfId="3" applyNumberFormat="1" applyFont="1" applyFill="1" applyBorder="1" applyAlignment="1">
      <alignment vertical="justify"/>
    </xf>
    <xf numFmtId="173" fontId="38" fillId="12" borderId="1" xfId="3" applyNumberFormat="1" applyFont="1" applyFill="1" applyBorder="1" applyAlignment="1">
      <alignment horizontal="center"/>
    </xf>
    <xf numFmtId="173" fontId="43" fillId="17" borderId="1" xfId="3" applyNumberFormat="1" applyFont="1" applyFill="1" applyBorder="1" applyAlignment="1">
      <alignment horizontal="center"/>
    </xf>
    <xf numFmtId="173" fontId="43" fillId="2" borderId="1" xfId="3" applyNumberFormat="1" applyFont="1" applyFill="1" applyBorder="1" applyAlignment="1">
      <alignment horizontal="center"/>
    </xf>
    <xf numFmtId="173" fontId="43" fillId="0" borderId="0" xfId="0" applyNumberFormat="1" applyFont="1" applyBorder="1"/>
    <xf numFmtId="173" fontId="38" fillId="12" borderId="1" xfId="5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/>
    </xf>
    <xf numFmtId="173" fontId="38" fillId="8" borderId="1" xfId="6" applyNumberFormat="1" applyFont="1" applyFill="1" applyBorder="1" applyAlignment="1">
      <alignment horizontal="center"/>
    </xf>
    <xf numFmtId="173" fontId="38" fillId="8" borderId="6" xfId="6" applyNumberFormat="1" applyFont="1" applyFill="1" applyBorder="1" applyAlignment="1">
      <alignment horizontal="center"/>
    </xf>
    <xf numFmtId="173" fontId="48" fillId="0" borderId="0" xfId="0" applyNumberFormat="1" applyFont="1"/>
    <xf numFmtId="173" fontId="43" fillId="0" borderId="0" xfId="0" applyNumberFormat="1" applyFont="1"/>
    <xf numFmtId="173" fontId="43" fillId="0" borderId="1" xfId="0" applyNumberFormat="1" applyFont="1" applyBorder="1"/>
    <xf numFmtId="173" fontId="32" fillId="2" borderId="1" xfId="5" applyNumberFormat="1" applyFont="1" applyFill="1" applyBorder="1" applyAlignment="1">
      <alignment horizontal="center" vertical="center"/>
    </xf>
    <xf numFmtId="173" fontId="38" fillId="2" borderId="0" xfId="5" applyNumberFormat="1" applyFont="1" applyFill="1" applyBorder="1" applyAlignment="1">
      <alignment horizontal="center" vertical="center"/>
    </xf>
    <xf numFmtId="173" fontId="38" fillId="0" borderId="1" xfId="3" applyNumberFormat="1" applyFont="1" applyFill="1" applyBorder="1" applyAlignment="1">
      <alignment horizontal="center"/>
    </xf>
    <xf numFmtId="173" fontId="43" fillId="0" borderId="1" xfId="0" applyNumberFormat="1" applyFont="1" applyBorder="1" applyAlignment="1">
      <alignment horizontal="center"/>
    </xf>
    <xf numFmtId="173" fontId="43" fillId="0" borderId="1" xfId="0" applyNumberFormat="1" applyFont="1" applyFill="1" applyBorder="1" applyAlignment="1">
      <alignment horizontal="center"/>
    </xf>
    <xf numFmtId="173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72" fillId="0" borderId="16" xfId="1" applyFont="1" applyFill="1" applyBorder="1" applyAlignment="1">
      <alignment vertical="top" wrapText="1"/>
    </xf>
    <xf numFmtId="0" fontId="72" fillId="0" borderId="1" xfId="1" applyFont="1" applyFill="1" applyBorder="1" applyAlignment="1">
      <alignment horizontal="center" vertical="top" wrapText="1"/>
    </xf>
    <xf numFmtId="0" fontId="72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1" fontId="38" fillId="8" borderId="1" xfId="5" applyNumberFormat="1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2" fontId="23" fillId="10" borderId="0" xfId="0" applyNumberFormat="1" applyFont="1" applyFill="1"/>
    <xf numFmtId="0" fontId="31" fillId="2" borderId="1" xfId="3" applyFont="1" applyFill="1" applyBorder="1" applyAlignment="1">
      <alignment horizontal="center"/>
    </xf>
    <xf numFmtId="169" fontId="32" fillId="8" borderId="0" xfId="3" applyNumberFormat="1" applyFont="1" applyFill="1" applyBorder="1" applyAlignment="1">
      <alignment vertical="center"/>
    </xf>
    <xf numFmtId="0" fontId="32" fillId="8" borderId="0" xfId="3" applyFont="1" applyFill="1" applyBorder="1" applyAlignment="1">
      <alignment horizontal="left" vertical="center"/>
    </xf>
    <xf numFmtId="1" fontId="32" fillId="8" borderId="1" xfId="3" applyNumberFormat="1" applyFont="1" applyFill="1" applyBorder="1" applyAlignment="1">
      <alignment horizontal="center"/>
    </xf>
    <xf numFmtId="1" fontId="37" fillId="2" borderId="1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 vertical="justify"/>
    </xf>
    <xf numFmtId="0" fontId="24" fillId="17" borderId="21" xfId="3" applyFont="1" applyFill="1" applyBorder="1" applyAlignment="1">
      <alignment horizontal="center" vertical="justify"/>
    </xf>
    <xf numFmtId="165" fontId="38" fillId="8" borderId="1" xfId="7" applyFont="1" applyFill="1" applyBorder="1" applyAlignment="1">
      <alignment horizontal="center" wrapText="1"/>
    </xf>
    <xf numFmtId="1" fontId="43" fillId="0" borderId="24" xfId="0" applyNumberFormat="1" applyFont="1" applyBorder="1" applyAlignment="1">
      <alignment horizontal="center"/>
    </xf>
    <xf numFmtId="167" fontId="38" fillId="0" borderId="1" xfId="6" applyNumberFormat="1" applyFont="1" applyFill="1" applyBorder="1" applyAlignment="1">
      <alignment horizontal="center"/>
    </xf>
    <xf numFmtId="1" fontId="43" fillId="12" borderId="24" xfId="0" applyNumberFormat="1" applyFont="1" applyFill="1" applyBorder="1" applyAlignment="1">
      <alignment horizontal="center"/>
    </xf>
    <xf numFmtId="0" fontId="74" fillId="0" borderId="0" xfId="0" applyFont="1"/>
    <xf numFmtId="2" fontId="46" fillId="0" borderId="1" xfId="3" applyNumberFormat="1" applyFont="1" applyFill="1" applyBorder="1" applyAlignment="1">
      <alignment horizontal="right"/>
    </xf>
    <xf numFmtId="0" fontId="36" fillId="0" borderId="0" xfId="4" applyFont="1" applyFill="1" applyBorder="1" applyAlignment="1">
      <alignment horizontal="left"/>
    </xf>
    <xf numFmtId="0" fontId="38" fillId="0" borderId="0" xfId="4" applyFont="1" applyFill="1" applyBorder="1" applyAlignment="1">
      <alignment horizontal="center"/>
    </xf>
    <xf numFmtId="2" fontId="38" fillId="0" borderId="0" xfId="3" applyNumberFormat="1" applyFont="1" applyFill="1" applyBorder="1" applyAlignment="1">
      <alignment horizontal="center"/>
    </xf>
    <xf numFmtId="1" fontId="38" fillId="0" borderId="0" xfId="3" applyNumberFormat="1" applyFont="1" applyFill="1" applyBorder="1" applyAlignment="1">
      <alignment horizontal="center"/>
    </xf>
    <xf numFmtId="1" fontId="38" fillId="0" borderId="0" xfId="5" applyNumberFormat="1" applyFont="1" applyFill="1" applyBorder="1" applyAlignment="1" applyProtection="1">
      <alignment horizontal="center"/>
    </xf>
    <xf numFmtId="0" fontId="55" fillId="0" borderId="1" xfId="0" applyFont="1" applyFill="1" applyBorder="1" applyAlignment="1">
      <alignment horizontal="center"/>
    </xf>
    <xf numFmtId="2" fontId="44" fillId="0" borderId="1" xfId="4" applyNumberFormat="1" applyFont="1" applyBorder="1" applyAlignment="1">
      <alignment horizontal="center"/>
    </xf>
    <xf numFmtId="0" fontId="77" fillId="0" borderId="0" xfId="0" applyFont="1"/>
    <xf numFmtId="168" fontId="78" fillId="9" borderId="16" xfId="3" applyNumberFormat="1" applyFont="1" applyFill="1" applyBorder="1" applyAlignment="1">
      <alignment horizontal="left"/>
    </xf>
    <xf numFmtId="9" fontId="78" fillId="9" borderId="16" xfId="3" applyNumberFormat="1" applyFont="1" applyFill="1" applyBorder="1" applyAlignment="1">
      <alignment horizontal="left"/>
    </xf>
    <xf numFmtId="0" fontId="80" fillId="2" borderId="0" xfId="3" applyFont="1" applyFill="1" applyBorder="1" applyAlignment="1">
      <alignment horizontal="center" vertical="center"/>
    </xf>
    <xf numFmtId="0" fontId="77" fillId="0" borderId="0" xfId="0" applyFont="1" applyBorder="1"/>
    <xf numFmtId="0" fontId="78" fillId="9" borderId="16" xfId="3" applyFont="1" applyFill="1" applyBorder="1"/>
    <xf numFmtId="166" fontId="80" fillId="2" borderId="0" xfId="3" applyNumberFormat="1" applyFont="1" applyFill="1" applyBorder="1" applyAlignment="1">
      <alignment horizontal="center"/>
    </xf>
    <xf numFmtId="0" fontId="78" fillId="8" borderId="16" xfId="3" applyFont="1" applyFill="1" applyBorder="1" applyAlignment="1">
      <alignment horizontal="center" vertical="center"/>
    </xf>
    <xf numFmtId="0" fontId="78" fillId="8" borderId="1" xfId="3" applyFont="1" applyFill="1" applyBorder="1" applyAlignment="1">
      <alignment horizontal="center" vertical="center"/>
    </xf>
    <xf numFmtId="2" fontId="78" fillId="2" borderId="1" xfId="3" applyNumberFormat="1" applyFont="1" applyFill="1" applyBorder="1" applyAlignment="1">
      <alignment horizontal="center"/>
    </xf>
    <xf numFmtId="38" fontId="78" fillId="8" borderId="1" xfId="3" applyNumberFormat="1" applyFont="1" applyFill="1" applyBorder="1" applyAlignment="1">
      <alignment horizontal="center" wrapText="1" shrinkToFit="1"/>
    </xf>
    <xf numFmtId="2" fontId="78" fillId="8" borderId="1" xfId="3" applyNumberFormat="1" applyFont="1" applyFill="1" applyBorder="1" applyAlignment="1">
      <alignment horizontal="center"/>
    </xf>
    <xf numFmtId="1" fontId="78" fillId="8" borderId="1" xfId="3" applyNumberFormat="1" applyFont="1" applyFill="1" applyBorder="1" applyAlignment="1">
      <alignment horizontal="center"/>
    </xf>
    <xf numFmtId="166" fontId="78" fillId="8" borderId="12" xfId="3" applyNumberFormat="1" applyFont="1" applyFill="1" applyBorder="1" applyAlignment="1">
      <alignment horizontal="center" wrapText="1" shrinkToFit="1"/>
    </xf>
    <xf numFmtId="166" fontId="75" fillId="2" borderId="0" xfId="3" applyNumberFormat="1" applyFont="1" applyFill="1" applyBorder="1" applyAlignment="1">
      <alignment horizontal="center" vertical="center" wrapText="1" shrinkToFit="1"/>
    </xf>
    <xf numFmtId="0" fontId="81" fillId="0" borderId="0" xfId="0" applyFont="1" applyBorder="1"/>
    <xf numFmtId="0" fontId="81" fillId="0" borderId="0" xfId="0" applyFont="1"/>
    <xf numFmtId="0" fontId="78" fillId="12" borderId="1" xfId="3" applyFont="1" applyFill="1" applyBorder="1" applyAlignment="1">
      <alignment horizontal="center" vertical="center"/>
    </xf>
    <xf numFmtId="0" fontId="78" fillId="12" borderId="1" xfId="3" applyFont="1" applyFill="1" applyBorder="1" applyAlignment="1">
      <alignment horizontal="center"/>
    </xf>
    <xf numFmtId="38" fontId="78" fillId="12" borderId="1" xfId="3" applyNumberFormat="1" applyFont="1" applyFill="1" applyBorder="1" applyAlignment="1">
      <alignment horizontal="center"/>
    </xf>
    <xf numFmtId="0" fontId="78" fillId="12" borderId="12" xfId="3" applyFont="1" applyFill="1" applyBorder="1" applyAlignment="1">
      <alignment horizontal="center"/>
    </xf>
    <xf numFmtId="0" fontId="75" fillId="2" borderId="0" xfId="3" applyFont="1" applyFill="1" applyBorder="1" applyAlignment="1">
      <alignment horizontal="center" vertical="center"/>
    </xf>
    <xf numFmtId="0" fontId="78" fillId="8" borderId="16" xfId="3" applyFont="1" applyFill="1" applyBorder="1" applyAlignment="1">
      <alignment horizontal="left" vertical="center"/>
    </xf>
    <xf numFmtId="0" fontId="78" fillId="8" borderId="1" xfId="3" applyFont="1" applyFill="1" applyBorder="1" applyAlignment="1">
      <alignment horizontal="center"/>
    </xf>
    <xf numFmtId="2" fontId="79" fillId="8" borderId="9" xfId="3" applyNumberFormat="1" applyFont="1" applyFill="1" applyBorder="1" applyAlignment="1">
      <alignment horizontal="center"/>
    </xf>
    <xf numFmtId="2" fontId="77" fillId="0" borderId="0" xfId="0" applyNumberFormat="1" applyFont="1"/>
    <xf numFmtId="1" fontId="77" fillId="0" borderId="0" xfId="0" applyNumberFormat="1" applyFont="1"/>
    <xf numFmtId="0" fontId="78" fillId="8" borderId="20" xfId="3" applyFont="1" applyFill="1" applyBorder="1" applyAlignment="1">
      <alignment horizontal="left" vertical="center"/>
    </xf>
    <xf numFmtId="0" fontId="78" fillId="8" borderId="7" xfId="3" applyFont="1" applyFill="1" applyBorder="1" applyAlignment="1">
      <alignment horizontal="center"/>
    </xf>
    <xf numFmtId="2" fontId="79" fillId="8" borderId="1" xfId="3" applyNumberFormat="1" applyFont="1" applyFill="1" applyBorder="1" applyAlignment="1">
      <alignment horizontal="center"/>
    </xf>
    <xf numFmtId="169" fontId="78" fillId="8" borderId="16" xfId="3" applyNumberFormat="1" applyFont="1" applyFill="1" applyBorder="1" applyAlignment="1">
      <alignment vertical="center"/>
    </xf>
    <xf numFmtId="1" fontId="83" fillId="2" borderId="0" xfId="5" applyNumberFormat="1" applyFont="1" applyFill="1" applyBorder="1" applyAlignment="1" applyProtection="1">
      <alignment horizontal="center"/>
    </xf>
    <xf numFmtId="0" fontId="78" fillId="13" borderId="16" xfId="3" applyFont="1" applyFill="1" applyBorder="1" applyAlignment="1">
      <alignment horizontal="center"/>
    </xf>
    <xf numFmtId="0" fontId="83" fillId="2" borderId="0" xfId="3" applyFont="1" applyFill="1" applyBorder="1" applyAlignment="1">
      <alignment horizontal="center"/>
    </xf>
    <xf numFmtId="0" fontId="78" fillId="8" borderId="16" xfId="3" applyFont="1" applyFill="1" applyBorder="1" applyAlignment="1">
      <alignment horizontal="left"/>
    </xf>
    <xf numFmtId="0" fontId="78" fillId="2" borderId="16" xfId="3" applyFont="1" applyFill="1" applyBorder="1" applyAlignment="1">
      <alignment horizontal="left" vertical="center"/>
    </xf>
    <xf numFmtId="0" fontId="78" fillId="13" borderId="16" xfId="3" applyFont="1" applyFill="1" applyBorder="1" applyAlignment="1">
      <alignment horizontal="center" vertical="center"/>
    </xf>
    <xf numFmtId="0" fontId="84" fillId="2" borderId="13" xfId="3" applyFont="1" applyFill="1" applyBorder="1" applyAlignment="1">
      <alignment horizontal="center"/>
    </xf>
    <xf numFmtId="0" fontId="84" fillId="13" borderId="13" xfId="3" applyFont="1" applyFill="1" applyBorder="1" applyAlignment="1">
      <alignment horizontal="center"/>
    </xf>
    <xf numFmtId="0" fontId="78" fillId="12" borderId="16" xfId="3" applyFont="1" applyFill="1" applyBorder="1" applyAlignment="1">
      <alignment horizontal="left"/>
    </xf>
    <xf numFmtId="1" fontId="76" fillId="2" borderId="0" xfId="0" applyNumberFormat="1" applyFont="1" applyFill="1"/>
    <xf numFmtId="1" fontId="76" fillId="0" borderId="0" xfId="0" applyNumberFormat="1" applyFont="1"/>
    <xf numFmtId="2" fontId="78" fillId="8" borderId="16" xfId="3" applyNumberFormat="1" applyFont="1" applyFill="1" applyBorder="1" applyAlignment="1">
      <alignment horizontal="left" vertical="center"/>
    </xf>
    <xf numFmtId="0" fontId="83" fillId="2" borderId="0" xfId="3" applyFont="1" applyFill="1" applyBorder="1" applyAlignment="1">
      <alignment horizontal="center" vertical="center"/>
    </xf>
    <xf numFmtId="166" fontId="83" fillId="2" borderId="0" xfId="5" applyNumberFormat="1" applyFont="1" applyFill="1" applyBorder="1" applyAlignment="1" applyProtection="1">
      <alignment horizontal="center"/>
    </xf>
    <xf numFmtId="0" fontId="79" fillId="0" borderId="0" xfId="0" applyFont="1" applyBorder="1"/>
    <xf numFmtId="0" fontId="79" fillId="0" borderId="0" xfId="0" applyFont="1"/>
    <xf numFmtId="166" fontId="83" fillId="2" borderId="0" xfId="3" applyNumberFormat="1" applyFont="1" applyFill="1" applyBorder="1" applyAlignment="1">
      <alignment horizontal="center"/>
    </xf>
    <xf numFmtId="0" fontId="77" fillId="0" borderId="1" xfId="0" applyFont="1" applyBorder="1" applyAlignment="1">
      <alignment horizontal="center"/>
    </xf>
    <xf numFmtId="0" fontId="77" fillId="0" borderId="0" xfId="4" applyFont="1"/>
    <xf numFmtId="0" fontId="77" fillId="0" borderId="0" xfId="0" applyFont="1" applyAlignment="1">
      <alignment horizontal="center"/>
    </xf>
    <xf numFmtId="38" fontId="77" fillId="0" borderId="0" xfId="0" applyNumberFormat="1" applyFont="1" applyAlignment="1">
      <alignment horizontal="center"/>
    </xf>
    <xf numFmtId="1" fontId="77" fillId="0" borderId="0" xfId="0" applyNumberFormat="1" applyFont="1" applyAlignment="1">
      <alignment horizontal="center"/>
    </xf>
    <xf numFmtId="0" fontId="81" fillId="0" borderId="1" xfId="0" applyFont="1" applyBorder="1"/>
    <xf numFmtId="38" fontId="77" fillId="0" borderId="1" xfId="0" applyNumberFormat="1" applyFont="1" applyBorder="1" applyAlignment="1">
      <alignment horizontal="center"/>
    </xf>
    <xf numFmtId="1" fontId="81" fillId="0" borderId="1" xfId="0" applyNumberFormat="1" applyFont="1" applyBorder="1" applyAlignment="1">
      <alignment horizontal="center"/>
    </xf>
    <xf numFmtId="0" fontId="81" fillId="0" borderId="2" xfId="0" applyFont="1" applyBorder="1" applyAlignment="1"/>
    <xf numFmtId="1" fontId="77" fillId="0" borderId="0" xfId="0" applyNumberFormat="1" applyFont="1" applyFill="1" applyAlignment="1">
      <alignment horizontal="center"/>
    </xf>
    <xf numFmtId="1" fontId="78" fillId="8" borderId="1" xfId="5" applyNumberFormat="1" applyFont="1" applyFill="1" applyBorder="1" applyAlignment="1">
      <alignment horizontal="center"/>
    </xf>
    <xf numFmtId="0" fontId="85" fillId="0" borderId="16" xfId="4" applyFont="1" applyFill="1" applyBorder="1"/>
    <xf numFmtId="0" fontId="81" fillId="12" borderId="1" xfId="0" applyFont="1" applyFill="1" applyBorder="1" applyAlignment="1">
      <alignment horizontal="left"/>
    </xf>
    <xf numFmtId="0" fontId="81" fillId="12" borderId="1" xfId="0" applyFont="1" applyFill="1" applyBorder="1"/>
    <xf numFmtId="0" fontId="81" fillId="12" borderId="1" xfId="0" applyFont="1" applyFill="1" applyBorder="1" applyAlignment="1">
      <alignment horizontal="center"/>
    </xf>
    <xf numFmtId="1" fontId="81" fillId="12" borderId="1" xfId="0" applyNumberFormat="1" applyFont="1" applyFill="1" applyBorder="1" applyAlignment="1">
      <alignment horizontal="center"/>
    </xf>
    <xf numFmtId="173" fontId="38" fillId="0" borderId="1" xfId="5" applyNumberFormat="1" applyFont="1" applyFill="1" applyBorder="1" applyAlignment="1">
      <alignment horizontal="center" vertical="center"/>
    </xf>
    <xf numFmtId="173" fontId="38" fillId="0" borderId="0" xfId="5" applyNumberFormat="1" applyFont="1" applyFill="1" applyBorder="1" applyAlignment="1">
      <alignment horizontal="center" vertical="center"/>
    </xf>
    <xf numFmtId="173" fontId="43" fillId="12" borderId="0" xfId="0" applyNumberFormat="1" applyFont="1" applyFill="1" applyBorder="1"/>
    <xf numFmtId="1" fontId="38" fillId="10" borderId="1" xfId="5" applyNumberFormat="1" applyFont="1" applyFill="1" applyBorder="1" applyAlignment="1">
      <alignment horizontal="center" vertical="center"/>
    </xf>
    <xf numFmtId="2" fontId="44" fillId="10" borderId="1" xfId="4" applyNumberFormat="1" applyFont="1" applyFill="1" applyBorder="1" applyAlignment="1">
      <alignment horizontal="center"/>
    </xf>
    <xf numFmtId="38" fontId="43" fillId="12" borderId="0" xfId="0" applyNumberFormat="1" applyFont="1" applyFill="1" applyBorder="1"/>
    <xf numFmtId="0" fontId="71" fillId="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81" fillId="0" borderId="1" xfId="0" applyFont="1" applyBorder="1" applyAlignment="1">
      <alignment horizontal="center"/>
    </xf>
    <xf numFmtId="38" fontId="81" fillId="0" borderId="1" xfId="0" applyNumberFormat="1" applyFont="1" applyBorder="1" applyAlignment="1">
      <alignment horizontal="center"/>
    </xf>
    <xf numFmtId="0" fontId="78" fillId="8" borderId="1" xfId="3" applyFont="1" applyFill="1" applyBorder="1" applyAlignment="1">
      <alignment horizontal="left" vertical="center"/>
    </xf>
    <xf numFmtId="1" fontId="78" fillId="0" borderId="1" xfId="5" applyNumberFormat="1" applyFont="1" applyFill="1" applyBorder="1" applyAlignment="1">
      <alignment horizontal="center"/>
    </xf>
    <xf numFmtId="1" fontId="78" fillId="2" borderId="1" xfId="3" applyNumberFormat="1" applyFont="1" applyFill="1" applyBorder="1" applyAlignment="1">
      <alignment horizontal="center"/>
    </xf>
    <xf numFmtId="1" fontId="78" fillId="8" borderId="12" xfId="5" applyNumberFormat="1" applyFont="1" applyFill="1" applyBorder="1" applyAlignment="1" applyProtection="1">
      <alignment horizontal="center"/>
    </xf>
    <xf numFmtId="0" fontId="78" fillId="8" borderId="5" xfId="3" applyFont="1" applyFill="1" applyBorder="1" applyAlignment="1">
      <alignment horizontal="left" vertical="center"/>
    </xf>
    <xf numFmtId="0" fontId="78" fillId="8" borderId="10" xfId="3" applyFont="1" applyFill="1" applyBorder="1" applyAlignment="1">
      <alignment horizontal="left" vertical="center"/>
    </xf>
    <xf numFmtId="1" fontId="78" fillId="2" borderId="7" xfId="3" applyNumberFormat="1" applyFont="1" applyFill="1" applyBorder="1" applyAlignment="1">
      <alignment horizontal="center"/>
    </xf>
    <xf numFmtId="169" fontId="78" fillId="8" borderId="1" xfId="3" applyNumberFormat="1" applyFont="1" applyFill="1" applyBorder="1" applyAlignment="1">
      <alignment vertical="center"/>
    </xf>
    <xf numFmtId="1" fontId="78" fillId="0" borderId="1" xfId="4" applyNumberFormat="1" applyFont="1" applyBorder="1" applyAlignment="1">
      <alignment horizontal="center"/>
    </xf>
    <xf numFmtId="1" fontId="78" fillId="2" borderId="1" xfId="5" applyNumberFormat="1" applyFont="1" applyFill="1" applyBorder="1" applyAlignment="1">
      <alignment horizontal="center"/>
    </xf>
    <xf numFmtId="0" fontId="78" fillId="13" borderId="1" xfId="3" applyFont="1" applyFill="1" applyBorder="1" applyAlignment="1">
      <alignment horizontal="center"/>
    </xf>
    <xf numFmtId="1" fontId="78" fillId="12" borderId="1" xfId="3" applyNumberFormat="1" applyFont="1" applyFill="1" applyBorder="1" applyAlignment="1">
      <alignment horizontal="center"/>
    </xf>
    <xf numFmtId="1" fontId="81" fillId="12" borderId="1" xfId="3" applyNumberFormat="1" applyFont="1" applyFill="1" applyBorder="1" applyAlignment="1">
      <alignment horizontal="center"/>
    </xf>
    <xf numFmtId="1" fontId="78" fillId="12" borderId="12" xfId="3" applyNumberFormat="1" applyFont="1" applyFill="1" applyBorder="1" applyAlignment="1">
      <alignment horizontal="center"/>
    </xf>
    <xf numFmtId="0" fontId="78" fillId="8" borderId="1" xfId="3" applyFont="1" applyFill="1" applyBorder="1" applyAlignment="1">
      <alignment horizontal="left"/>
    </xf>
    <xf numFmtId="1" fontId="86" fillId="2" borderId="1" xfId="4" applyNumberFormat="1" applyFont="1" applyFill="1" applyBorder="1" applyAlignment="1">
      <alignment horizontal="center"/>
    </xf>
    <xf numFmtId="1" fontId="85" fillId="2" borderId="1" xfId="5" applyNumberFormat="1" applyFont="1" applyFill="1" applyBorder="1" applyAlignment="1">
      <alignment horizontal="center"/>
    </xf>
    <xf numFmtId="0" fontId="78" fillId="2" borderId="1" xfId="3" applyFont="1" applyFill="1" applyBorder="1" applyAlignment="1">
      <alignment horizontal="left" vertical="center"/>
    </xf>
    <xf numFmtId="0" fontId="78" fillId="2" borderId="1" xfId="3" applyFont="1" applyFill="1" applyBorder="1" applyAlignment="1">
      <alignment horizontal="center"/>
    </xf>
    <xf numFmtId="1" fontId="78" fillId="2" borderId="1" xfId="4" applyNumberFormat="1" applyFont="1" applyFill="1" applyBorder="1" applyAlignment="1">
      <alignment horizontal="center"/>
    </xf>
    <xf numFmtId="1" fontId="78" fillId="2" borderId="12" xfId="5" applyNumberFormat="1" applyFont="1" applyFill="1" applyBorder="1" applyAlignment="1" applyProtection="1">
      <alignment horizontal="center"/>
    </xf>
    <xf numFmtId="1" fontId="86" fillId="0" borderId="1" xfId="4" applyNumberFormat="1" applyFont="1" applyBorder="1" applyAlignment="1">
      <alignment horizontal="center"/>
    </xf>
    <xf numFmtId="0" fontId="87" fillId="8" borderId="1" xfId="3" applyFont="1" applyFill="1" applyBorder="1" applyAlignment="1">
      <alignment horizontal="center"/>
    </xf>
    <xf numFmtId="1" fontId="87" fillId="8" borderId="1" xfId="3" applyNumberFormat="1" applyFont="1" applyFill="1" applyBorder="1" applyAlignment="1">
      <alignment horizontal="center"/>
    </xf>
    <xf numFmtId="1" fontId="87" fillId="8" borderId="1" xfId="5" applyNumberFormat="1" applyFont="1" applyFill="1" applyBorder="1" applyAlignment="1">
      <alignment horizontal="center"/>
    </xf>
    <xf numFmtId="1" fontId="78" fillId="2" borderId="1" xfId="5" applyNumberFormat="1" applyFont="1" applyFill="1" applyBorder="1" applyAlignment="1" applyProtection="1">
      <alignment horizontal="center"/>
    </xf>
    <xf numFmtId="0" fontId="78" fillId="13" borderId="1" xfId="3" applyFont="1" applyFill="1" applyBorder="1" applyAlignment="1">
      <alignment horizontal="center" vertical="center"/>
    </xf>
    <xf numFmtId="1" fontId="87" fillId="2" borderId="1" xfId="4" applyNumberFormat="1" applyFont="1" applyFill="1" applyBorder="1" applyAlignment="1">
      <alignment horizontal="center"/>
    </xf>
    <xf numFmtId="1" fontId="85" fillId="12" borderId="1" xfId="3" applyNumberFormat="1" applyFont="1" applyFill="1" applyBorder="1" applyAlignment="1">
      <alignment horizontal="center"/>
    </xf>
    <xf numFmtId="0" fontId="84" fillId="2" borderId="3" xfId="3" applyFont="1" applyFill="1" applyBorder="1" applyAlignment="1">
      <alignment horizontal="center"/>
    </xf>
    <xf numFmtId="0" fontId="84" fillId="2" borderId="4" xfId="3" applyFont="1" applyFill="1" applyBorder="1" applyAlignment="1">
      <alignment horizontal="center"/>
    </xf>
    <xf numFmtId="164" fontId="84" fillId="8" borderId="1" xfId="8" applyFont="1" applyFill="1" applyBorder="1" applyAlignment="1">
      <alignment horizontal="center"/>
    </xf>
    <xf numFmtId="1" fontId="84" fillId="8" borderId="1" xfId="3" applyNumberFormat="1" applyFont="1" applyFill="1" applyBorder="1" applyAlignment="1">
      <alignment horizontal="center"/>
    </xf>
    <xf numFmtId="1" fontId="81" fillId="8" borderId="1" xfId="3" applyNumberFormat="1" applyFont="1" applyFill="1" applyBorder="1" applyAlignment="1">
      <alignment horizontal="center"/>
    </xf>
    <xf numFmtId="1" fontId="85" fillId="8" borderId="1" xfId="3" applyNumberFormat="1" applyFont="1" applyFill="1" applyBorder="1" applyAlignment="1">
      <alignment horizontal="center"/>
    </xf>
    <xf numFmtId="0" fontId="84" fillId="8" borderId="1" xfId="3" applyFont="1" applyFill="1" applyBorder="1" applyAlignment="1">
      <alignment horizontal="center"/>
    </xf>
    <xf numFmtId="1" fontId="81" fillId="8" borderId="1" xfId="5" applyNumberFormat="1" applyFont="1" applyFill="1" applyBorder="1" applyAlignment="1" applyProtection="1">
      <alignment horizontal="center"/>
    </xf>
    <xf numFmtId="1" fontId="85" fillId="8" borderId="1" xfId="5" applyNumberFormat="1" applyFont="1" applyFill="1" applyBorder="1" applyAlignment="1" applyProtection="1">
      <alignment horizontal="center"/>
    </xf>
    <xf numFmtId="0" fontId="84" fillId="13" borderId="3" xfId="3" applyFont="1" applyFill="1" applyBorder="1" applyAlignment="1">
      <alignment horizontal="center"/>
    </xf>
    <xf numFmtId="0" fontId="84" fillId="13" borderId="4" xfId="3" applyFont="1" applyFill="1" applyBorder="1" applyAlignment="1">
      <alignment horizontal="center"/>
    </xf>
    <xf numFmtId="0" fontId="87" fillId="2" borderId="1" xfId="3" applyFont="1" applyFill="1" applyBorder="1" applyAlignment="1">
      <alignment horizontal="center"/>
    </xf>
    <xf numFmtId="1" fontId="87" fillId="2" borderId="1" xfId="3" applyNumberFormat="1" applyFont="1" applyFill="1" applyBorder="1" applyAlignment="1">
      <alignment horizontal="center"/>
    </xf>
    <xf numFmtId="43" fontId="87" fillId="8" borderId="1" xfId="19" applyFont="1" applyFill="1" applyBorder="1" applyAlignment="1" applyProtection="1">
      <alignment horizontal="center"/>
    </xf>
    <xf numFmtId="43" fontId="78" fillId="8" borderId="1" xfId="19" applyFont="1" applyFill="1" applyBorder="1" applyAlignment="1">
      <alignment horizontal="center"/>
    </xf>
    <xf numFmtId="43" fontId="87" fillId="2" borderId="1" xfId="19" applyFont="1" applyFill="1" applyBorder="1" applyAlignment="1">
      <alignment horizontal="center"/>
    </xf>
    <xf numFmtId="43" fontId="78" fillId="8" borderId="12" xfId="19" applyFont="1" applyFill="1" applyBorder="1" applyAlignment="1" applyProtection="1">
      <alignment horizontal="center"/>
    </xf>
    <xf numFmtId="0" fontId="75" fillId="17" borderId="3" xfId="3" applyFont="1" applyFill="1" applyBorder="1" applyAlignment="1">
      <alignment vertical="justify"/>
    </xf>
    <xf numFmtId="1" fontId="75" fillId="17" borderId="3" xfId="3" applyNumberFormat="1" applyFont="1" applyFill="1" applyBorder="1" applyAlignment="1">
      <alignment horizontal="center"/>
    </xf>
    <xf numFmtId="1" fontId="75" fillId="17" borderId="21" xfId="3" applyNumberFormat="1" applyFont="1" applyFill="1" applyBorder="1" applyAlignment="1">
      <alignment horizontal="center"/>
    </xf>
    <xf numFmtId="0" fontId="78" fillId="12" borderId="1" xfId="3" applyFont="1" applyFill="1" applyBorder="1" applyAlignment="1">
      <alignment horizontal="left"/>
    </xf>
    <xf numFmtId="2" fontId="78" fillId="8" borderId="1" xfId="3" applyNumberFormat="1" applyFont="1" applyFill="1" applyBorder="1" applyAlignment="1">
      <alignment horizontal="left" vertical="center"/>
    </xf>
    <xf numFmtId="1" fontId="78" fillId="8" borderId="1" xfId="3" applyNumberFormat="1" applyFont="1" applyFill="1" applyBorder="1" applyAlignment="1">
      <alignment horizontal="center" vertical="center"/>
    </xf>
    <xf numFmtId="0" fontId="78" fillId="8" borderId="1" xfId="3" applyFont="1" applyFill="1" applyBorder="1" applyAlignment="1">
      <alignment horizontal="left" vertical="justify"/>
    </xf>
    <xf numFmtId="0" fontId="78" fillId="17" borderId="1" xfId="3" applyFont="1" applyFill="1" applyBorder="1" applyAlignment="1">
      <alignment horizontal="center"/>
    </xf>
    <xf numFmtId="1" fontId="78" fillId="17" borderId="1" xfId="3" applyNumberFormat="1" applyFont="1" applyFill="1" applyBorder="1" applyAlignment="1">
      <alignment horizontal="center"/>
    </xf>
    <xf numFmtId="1" fontId="81" fillId="17" borderId="1" xfId="3" applyNumberFormat="1" applyFont="1" applyFill="1" applyBorder="1" applyAlignment="1">
      <alignment horizontal="center"/>
    </xf>
    <xf numFmtId="1" fontId="78" fillId="17" borderId="12" xfId="3" applyNumberFormat="1" applyFont="1" applyFill="1" applyBorder="1" applyAlignment="1">
      <alignment horizontal="center"/>
    </xf>
    <xf numFmtId="0" fontId="86" fillId="0" borderId="1" xfId="4" applyFont="1" applyBorder="1" applyAlignment="1">
      <alignment horizontal="center"/>
    </xf>
    <xf numFmtId="38" fontId="78" fillId="2" borderId="1" xfId="5" applyNumberFormat="1" applyFont="1" applyFill="1" applyBorder="1" applyAlignment="1">
      <alignment horizontal="center"/>
    </xf>
    <xf numFmtId="38" fontId="81" fillId="2" borderId="1" xfId="3" applyNumberFormat="1" applyFont="1" applyFill="1" applyBorder="1" applyAlignment="1">
      <alignment horizontal="center"/>
    </xf>
    <xf numFmtId="165" fontId="78" fillId="8" borderId="1" xfId="7" applyFont="1" applyFill="1" applyBorder="1" applyAlignment="1">
      <alignment horizontal="center" wrapText="1"/>
    </xf>
    <xf numFmtId="0" fontId="81" fillId="0" borderId="1" xfId="0" applyFont="1" applyBorder="1" applyAlignment="1">
      <alignment horizontal="left"/>
    </xf>
    <xf numFmtId="0" fontId="81" fillId="0" borderId="0" xfId="0" applyFont="1" applyBorder="1" applyAlignment="1">
      <alignment horizontal="center"/>
    </xf>
    <xf numFmtId="38" fontId="81" fillId="0" borderId="0" xfId="0" applyNumberFormat="1" applyFont="1" applyBorder="1" applyAlignment="1">
      <alignment horizontal="center"/>
    </xf>
    <xf numFmtId="1" fontId="81" fillId="0" borderId="0" xfId="0" applyNumberFormat="1" applyFont="1" applyBorder="1" applyAlignment="1">
      <alignment horizontal="center"/>
    </xf>
    <xf numFmtId="1" fontId="81" fillId="0" borderId="24" xfId="0" applyNumberFormat="1" applyFont="1" applyBorder="1" applyAlignment="1">
      <alignment horizontal="center"/>
    </xf>
    <xf numFmtId="38" fontId="81" fillId="17" borderId="1" xfId="3" applyNumberFormat="1" applyFont="1" applyFill="1" applyBorder="1" applyAlignment="1">
      <alignment horizontal="center"/>
    </xf>
    <xf numFmtId="0" fontId="81" fillId="17" borderId="1" xfId="3" applyFont="1" applyFill="1" applyBorder="1" applyAlignment="1">
      <alignment horizontal="center"/>
    </xf>
    <xf numFmtId="0" fontId="81" fillId="17" borderId="12" xfId="3" applyFont="1" applyFill="1" applyBorder="1" applyAlignment="1">
      <alignment horizontal="center"/>
    </xf>
    <xf numFmtId="0" fontId="78" fillId="2" borderId="1" xfId="4" applyFont="1" applyFill="1" applyBorder="1" applyAlignment="1">
      <alignment horizontal="center"/>
    </xf>
    <xf numFmtId="0" fontId="78" fillId="0" borderId="1" xfId="4" applyFont="1" applyBorder="1" applyAlignment="1">
      <alignment horizontal="center"/>
    </xf>
    <xf numFmtId="38" fontId="78" fillId="12" borderId="1" xfId="5" applyNumberFormat="1" applyFont="1" applyFill="1" applyBorder="1" applyAlignment="1">
      <alignment horizontal="center"/>
    </xf>
    <xf numFmtId="1" fontId="78" fillId="12" borderId="1" xfId="5" applyNumberFormat="1" applyFont="1" applyFill="1" applyBorder="1" applyAlignment="1">
      <alignment horizontal="center"/>
    </xf>
    <xf numFmtId="1" fontId="78" fillId="12" borderId="12" xfId="5" applyNumberFormat="1" applyFont="1" applyFill="1" applyBorder="1" applyAlignment="1">
      <alignment horizontal="center"/>
    </xf>
    <xf numFmtId="0" fontId="86" fillId="0" borderId="1" xfId="4" applyFont="1" applyFill="1" applyBorder="1" applyAlignment="1">
      <alignment horizontal="center"/>
    </xf>
    <xf numFmtId="38" fontId="78" fillId="0" borderId="1" xfId="5" applyNumberFormat="1" applyFont="1" applyFill="1" applyBorder="1" applyAlignment="1">
      <alignment horizontal="center"/>
    </xf>
    <xf numFmtId="38" fontId="81" fillId="12" borderId="1" xfId="3" applyNumberFormat="1" applyFont="1" applyFill="1" applyBorder="1" applyAlignment="1">
      <alignment horizontal="center"/>
    </xf>
    <xf numFmtId="0" fontId="81" fillId="12" borderId="1" xfId="3" applyFont="1" applyFill="1" applyBorder="1" applyAlignment="1">
      <alignment horizontal="center"/>
    </xf>
    <xf numFmtId="0" fontId="81" fillId="12" borderId="12" xfId="3" applyFont="1" applyFill="1" applyBorder="1" applyAlignment="1">
      <alignment horizontal="center"/>
    </xf>
    <xf numFmtId="38" fontId="78" fillId="8" borderId="1" xfId="3" applyNumberFormat="1" applyFont="1" applyFill="1" applyBorder="1" applyAlignment="1">
      <alignment horizontal="center"/>
    </xf>
    <xf numFmtId="38" fontId="78" fillId="8" borderId="1" xfId="6" applyNumberFormat="1" applyFont="1" applyFill="1" applyBorder="1" applyAlignment="1">
      <alignment horizontal="center"/>
    </xf>
    <xf numFmtId="167" fontId="78" fillId="0" borderId="1" xfId="6" applyNumberFormat="1" applyFont="1" applyFill="1" applyBorder="1" applyAlignment="1">
      <alignment horizontal="center"/>
    </xf>
    <xf numFmtId="0" fontId="78" fillId="8" borderId="6" xfId="3" applyFont="1" applyFill="1" applyBorder="1" applyAlignment="1">
      <alignment horizontal="center"/>
    </xf>
    <xf numFmtId="2" fontId="78" fillId="8" borderId="6" xfId="3" applyNumberFormat="1" applyFont="1" applyFill="1" applyBorder="1" applyAlignment="1">
      <alignment horizontal="center"/>
    </xf>
    <xf numFmtId="38" fontId="78" fillId="8" borderId="6" xfId="6" applyNumberFormat="1" applyFont="1" applyFill="1" applyBorder="1" applyAlignment="1">
      <alignment horizontal="center"/>
    </xf>
    <xf numFmtId="1" fontId="78" fillId="8" borderId="17" xfId="5" applyNumberFormat="1" applyFont="1" applyFill="1" applyBorder="1" applyAlignment="1" applyProtection="1">
      <alignment horizontal="center"/>
    </xf>
    <xf numFmtId="0" fontId="81" fillId="0" borderId="0" xfId="0" applyFont="1" applyAlignment="1">
      <alignment horizontal="center"/>
    </xf>
    <xf numFmtId="38" fontId="81" fillId="0" borderId="0" xfId="0" applyNumberFormat="1" applyFont="1" applyAlignment="1">
      <alignment horizontal="center"/>
    </xf>
    <xf numFmtId="1" fontId="81" fillId="0" borderId="0" xfId="0" applyNumberFormat="1" applyFont="1" applyAlignment="1">
      <alignment horizontal="center"/>
    </xf>
    <xf numFmtId="0" fontId="78" fillId="0" borderId="1" xfId="0" applyFont="1" applyBorder="1" applyAlignment="1">
      <alignment horizontal="center"/>
    </xf>
    <xf numFmtId="1" fontId="78" fillId="8" borderId="1" xfId="5" applyNumberFormat="1" applyFont="1" applyFill="1" applyBorder="1" applyAlignment="1" applyProtection="1">
      <alignment horizontal="center"/>
    </xf>
    <xf numFmtId="0" fontId="78" fillId="0" borderId="1" xfId="0" applyFont="1" applyFill="1" applyBorder="1" applyAlignment="1">
      <alignment horizontal="center"/>
    </xf>
    <xf numFmtId="0" fontId="81" fillId="0" borderId="3" xfId="0" applyFont="1" applyBorder="1" applyAlignment="1"/>
    <xf numFmtId="0" fontId="81" fillId="0" borderId="4" xfId="0" applyFont="1" applyBorder="1" applyAlignment="1"/>
    <xf numFmtId="0" fontId="81" fillId="0" borderId="1" xfId="0" applyFont="1" applyFill="1" applyBorder="1" applyAlignment="1">
      <alignment horizontal="center"/>
    </xf>
    <xf numFmtId="0" fontId="86" fillId="2" borderId="1" xfId="4" applyFont="1" applyFill="1" applyBorder="1" applyAlignment="1">
      <alignment horizontal="center" wrapText="1"/>
    </xf>
    <xf numFmtId="0" fontId="86" fillId="0" borderId="1" xfId="4" applyFont="1" applyFill="1" applyBorder="1" applyAlignment="1">
      <alignment horizontal="center" wrapText="1"/>
    </xf>
    <xf numFmtId="0" fontId="86" fillId="0" borderId="1" xfId="4" applyFont="1" applyBorder="1" applyAlignment="1">
      <alignment horizontal="center" wrapText="1"/>
    </xf>
    <xf numFmtId="0" fontId="78" fillId="0" borderId="1" xfId="3" applyFont="1" applyFill="1" applyBorder="1" applyAlignment="1">
      <alignment horizontal="center"/>
    </xf>
    <xf numFmtId="1" fontId="78" fillId="0" borderId="1" xfId="3" applyNumberFormat="1" applyFont="1" applyFill="1" applyBorder="1" applyAlignment="1">
      <alignment horizontal="center"/>
    </xf>
    <xf numFmtId="2" fontId="78" fillId="0" borderId="1" xfId="3" applyNumberFormat="1" applyFont="1" applyFill="1" applyBorder="1" applyAlignment="1">
      <alignment horizontal="center"/>
    </xf>
    <xf numFmtId="1" fontId="78" fillId="0" borderId="1" xfId="5" applyNumberFormat="1" applyFont="1" applyFill="1" applyBorder="1" applyAlignment="1" applyProtection="1">
      <alignment horizontal="center"/>
    </xf>
    <xf numFmtId="2" fontId="85" fillId="0" borderId="1" xfId="3" applyNumberFormat="1" applyFont="1" applyFill="1" applyBorder="1" applyAlignment="1">
      <alignment horizontal="center"/>
    </xf>
    <xf numFmtId="0" fontId="78" fillId="0" borderId="1" xfId="4" applyFont="1" applyFill="1" applyBorder="1" applyAlignment="1">
      <alignment horizontal="center"/>
    </xf>
    <xf numFmtId="0" fontId="78" fillId="0" borderId="1" xfId="3" applyFont="1" applyFill="1" applyBorder="1" applyAlignment="1">
      <alignment horizontal="center" vertical="center"/>
    </xf>
    <xf numFmtId="0" fontId="78" fillId="0" borderId="0" xfId="4" applyFont="1" applyFill="1" applyBorder="1" applyAlignment="1">
      <alignment horizontal="center"/>
    </xf>
    <xf numFmtId="0" fontId="78" fillId="0" borderId="0" xfId="3" applyFont="1" applyFill="1" applyBorder="1" applyAlignment="1">
      <alignment horizontal="center"/>
    </xf>
    <xf numFmtId="38" fontId="78" fillId="0" borderId="0" xfId="5" applyNumberFormat="1" applyFont="1" applyFill="1" applyBorder="1" applyAlignment="1">
      <alignment horizontal="center"/>
    </xf>
    <xf numFmtId="1" fontId="78" fillId="0" borderId="0" xfId="3" applyNumberFormat="1" applyFont="1" applyFill="1" applyBorder="1" applyAlignment="1">
      <alignment horizontal="center"/>
    </xf>
    <xf numFmtId="1" fontId="78" fillId="0" borderId="2" xfId="5" applyNumberFormat="1" applyFont="1" applyFill="1" applyBorder="1" applyAlignment="1" applyProtection="1">
      <alignment horizontal="center"/>
    </xf>
    <xf numFmtId="0" fontId="81" fillId="0" borderId="1" xfId="0" applyFont="1" applyFill="1" applyBorder="1"/>
    <xf numFmtId="1" fontId="81" fillId="0" borderId="1" xfId="0" applyNumberFormat="1" applyFont="1" applyFill="1" applyBorder="1" applyAlignment="1">
      <alignment horizontal="center"/>
    </xf>
    <xf numFmtId="0" fontId="85" fillId="0" borderId="1" xfId="0" applyFont="1" applyFill="1" applyBorder="1"/>
    <xf numFmtId="0" fontId="78" fillId="0" borderId="1" xfId="4" applyFont="1" applyFill="1" applyBorder="1"/>
    <xf numFmtId="0" fontId="81" fillId="0" borderId="1" xfId="3" applyFont="1" applyFill="1" applyBorder="1" applyAlignment="1">
      <alignment horizontal="center"/>
    </xf>
    <xf numFmtId="38" fontId="78" fillId="0" borderId="1" xfId="3" applyNumberFormat="1" applyFont="1" applyFill="1" applyBorder="1" applyAlignment="1">
      <alignment horizontal="center"/>
    </xf>
    <xf numFmtId="1" fontId="78" fillId="0" borderId="12" xfId="5" applyNumberFormat="1" applyFont="1" applyFill="1" applyBorder="1" applyAlignment="1" applyProtection="1">
      <alignment horizontal="center"/>
    </xf>
    <xf numFmtId="0" fontId="81" fillId="2" borderId="0" xfId="0" applyFont="1" applyFill="1" applyBorder="1"/>
    <xf numFmtId="0" fontId="81" fillId="0" borderId="4" xfId="0" applyFont="1" applyBorder="1" applyAlignment="1">
      <alignment horizontal="center"/>
    </xf>
    <xf numFmtId="1" fontId="81" fillId="0" borderId="12" xfId="0" applyNumberFormat="1" applyFont="1" applyBorder="1" applyAlignment="1">
      <alignment horizontal="center"/>
    </xf>
    <xf numFmtId="0" fontId="81" fillId="2" borderId="1" xfId="0" applyFont="1" applyFill="1" applyBorder="1" applyAlignment="1">
      <alignment horizontal="left"/>
    </xf>
    <xf numFmtId="38" fontId="81" fillId="0" borderId="1" xfId="0" applyNumberFormat="1" applyFont="1" applyFill="1" applyBorder="1" applyAlignment="1">
      <alignment horizontal="center"/>
    </xf>
    <xf numFmtId="1" fontId="81" fillId="0" borderId="12" xfId="0" applyNumberFormat="1" applyFont="1" applyFill="1" applyBorder="1" applyAlignment="1">
      <alignment horizontal="center"/>
    </xf>
    <xf numFmtId="0" fontId="81" fillId="0" borderId="4" xfId="0" applyFont="1" applyFill="1" applyBorder="1"/>
    <xf numFmtId="0" fontId="81" fillId="0" borderId="4" xfId="0" applyFont="1" applyFill="1" applyBorder="1" applyAlignment="1">
      <alignment horizontal="center"/>
    </xf>
    <xf numFmtId="38" fontId="81" fillId="12" borderId="1" xfId="0" applyNumberFormat="1" applyFont="1" applyFill="1" applyBorder="1" applyAlignment="1">
      <alignment horizontal="center"/>
    </xf>
    <xf numFmtId="172" fontId="78" fillId="9" borderId="1" xfId="3" applyNumberFormat="1" applyFont="1" applyFill="1" applyBorder="1" applyAlignment="1">
      <alignment horizontal="center"/>
    </xf>
    <xf numFmtId="0" fontId="78" fillId="9" borderId="1" xfId="3" applyFont="1" applyFill="1" applyBorder="1" applyAlignment="1">
      <alignment horizontal="center"/>
    </xf>
    <xf numFmtId="9" fontId="78" fillId="9" borderId="1" xfId="4" applyNumberFormat="1" applyFont="1" applyFill="1" applyBorder="1"/>
    <xf numFmtId="38" fontId="78" fillId="9" borderId="1" xfId="3" applyNumberFormat="1" applyFont="1" applyFill="1" applyBorder="1" applyAlignment="1">
      <alignment horizontal="center"/>
    </xf>
    <xf numFmtId="1" fontId="78" fillId="9" borderId="12" xfId="3" applyNumberFormat="1" applyFont="1" applyFill="1" applyBorder="1" applyAlignment="1">
      <alignment horizontal="center"/>
    </xf>
    <xf numFmtId="0" fontId="78" fillId="9" borderId="1" xfId="3" applyFont="1" applyFill="1" applyBorder="1" applyAlignment="1">
      <alignment horizontal="left"/>
    </xf>
    <xf numFmtId="0" fontId="78" fillId="9" borderId="1" xfId="3" applyFont="1" applyFill="1" applyBorder="1" applyAlignment="1"/>
    <xf numFmtId="1" fontId="78" fillId="9" borderId="1" xfId="3" applyNumberFormat="1" applyFont="1" applyFill="1" applyBorder="1" applyAlignment="1">
      <alignment horizontal="center"/>
    </xf>
    <xf numFmtId="9" fontId="78" fillId="9" borderId="1" xfId="3" applyNumberFormat="1" applyFont="1" applyFill="1" applyBorder="1" applyAlignment="1">
      <alignment horizontal="left"/>
    </xf>
    <xf numFmtId="2" fontId="78" fillId="9" borderId="1" xfId="3" applyNumberFormat="1" applyFont="1" applyFill="1" applyBorder="1" applyAlignment="1">
      <alignment horizontal="center"/>
    </xf>
    <xf numFmtId="9" fontId="78" fillId="9" borderId="1" xfId="3" applyNumberFormat="1" applyFont="1" applyFill="1" applyBorder="1" applyAlignment="1">
      <alignment horizontal="center"/>
    </xf>
    <xf numFmtId="0" fontId="0" fillId="10" borderId="0" xfId="0" applyFill="1"/>
    <xf numFmtId="2" fontId="37" fillId="0" borderId="1" xfId="0" applyNumberFormat="1" applyFont="1" applyFill="1" applyBorder="1" applyAlignment="1">
      <alignment horizontal="center"/>
    </xf>
    <xf numFmtId="2" fontId="43" fillId="0" borderId="1" xfId="0" applyNumberFormat="1" applyFont="1" applyFill="1" applyBorder="1" applyAlignment="1">
      <alignment horizontal="center"/>
    </xf>
    <xf numFmtId="0" fontId="38" fillId="8" borderId="12" xfId="5" applyNumberFormat="1" applyFont="1" applyFill="1" applyBorder="1" applyAlignment="1" applyProtection="1">
      <alignment horizontal="center"/>
    </xf>
    <xf numFmtId="1" fontId="78" fillId="10" borderId="1" xfId="4" applyNumberFormat="1" applyFont="1" applyFill="1" applyBorder="1" applyAlignment="1">
      <alignment horizontal="center"/>
    </xf>
    <xf numFmtId="0" fontId="78" fillId="10" borderId="1" xfId="0" applyFont="1" applyFill="1" applyBorder="1" applyAlignment="1">
      <alignment horizontal="center"/>
    </xf>
    <xf numFmtId="2" fontId="43" fillId="0" borderId="1" xfId="0" applyNumberFormat="1" applyFont="1" applyBorder="1" applyAlignment="1">
      <alignment horizontal="center"/>
    </xf>
    <xf numFmtId="2" fontId="38" fillId="0" borderId="1" xfId="4" applyNumberFormat="1" applyFont="1" applyBorder="1" applyAlignment="1">
      <alignment horizontal="center" vertical="center"/>
    </xf>
    <xf numFmtId="0" fontId="43" fillId="10" borderId="1" xfId="3" applyFont="1" applyFill="1" applyBorder="1" applyAlignment="1">
      <alignment horizontal="center"/>
    </xf>
    <xf numFmtId="2" fontId="38" fillId="10" borderId="1" xfId="3" applyNumberFormat="1" applyFont="1" applyFill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78" fillId="13" borderId="13" xfId="3" applyFont="1" applyFill="1" applyBorder="1" applyAlignment="1">
      <alignment horizontal="left"/>
    </xf>
    <xf numFmtId="0" fontId="78" fillId="13" borderId="3" xfId="3" applyFont="1" applyFill="1" applyBorder="1" applyAlignment="1">
      <alignment horizontal="left"/>
    </xf>
    <xf numFmtId="0" fontId="78" fillId="13" borderId="4" xfId="3" applyFont="1" applyFill="1" applyBorder="1" applyAlignment="1">
      <alignment horizontal="left"/>
    </xf>
    <xf numFmtId="0" fontId="86" fillId="0" borderId="2" xfId="4" applyFont="1" applyFill="1" applyBorder="1" applyAlignment="1">
      <alignment horizontal="left"/>
    </xf>
    <xf numFmtId="0" fontId="86" fillId="0" borderId="3" xfId="4" applyFont="1" applyFill="1" applyBorder="1" applyAlignment="1">
      <alignment horizontal="left"/>
    </xf>
    <xf numFmtId="0" fontId="86" fillId="0" borderId="4" xfId="4" applyFont="1" applyFill="1" applyBorder="1" applyAlignment="1">
      <alignment horizontal="left"/>
    </xf>
    <xf numFmtId="0" fontId="86" fillId="0" borderId="1" xfId="4" applyFont="1" applyFill="1" applyBorder="1" applyAlignment="1">
      <alignment horizontal="left"/>
    </xf>
    <xf numFmtId="0" fontId="81" fillId="0" borderId="1" xfId="0" applyFont="1" applyFill="1" applyBorder="1" applyAlignment="1">
      <alignment horizontal="center"/>
    </xf>
    <xf numFmtId="0" fontId="78" fillId="0" borderId="1" xfId="4" applyFont="1" applyFill="1" applyBorder="1" applyAlignment="1">
      <alignment horizontal="left"/>
    </xf>
    <xf numFmtId="0" fontId="78" fillId="0" borderId="2" xfId="4" applyFont="1" applyFill="1" applyBorder="1" applyAlignment="1">
      <alignment horizontal="left"/>
    </xf>
    <xf numFmtId="0" fontId="78" fillId="0" borderId="3" xfId="4" applyFont="1" applyFill="1" applyBorder="1" applyAlignment="1">
      <alignment horizontal="left"/>
    </xf>
    <xf numFmtId="0" fontId="78" fillId="0" borderId="4" xfId="4" applyFont="1" applyFill="1" applyBorder="1" applyAlignment="1">
      <alignment horizontal="left"/>
    </xf>
    <xf numFmtId="0" fontId="81" fillId="0" borderId="2" xfId="0" applyFont="1" applyBorder="1" applyAlignment="1">
      <alignment horizontal="left"/>
    </xf>
    <xf numFmtId="0" fontId="81" fillId="0" borderId="3" xfId="0" applyFont="1" applyBorder="1" applyAlignment="1">
      <alignment horizontal="left"/>
    </xf>
    <xf numFmtId="0" fontId="81" fillId="0" borderId="4" xfId="0" applyFont="1" applyBorder="1" applyAlignment="1">
      <alignment horizontal="left"/>
    </xf>
    <xf numFmtId="0" fontId="78" fillId="8" borderId="13" xfId="3" applyFont="1" applyFill="1" applyBorder="1" applyAlignment="1">
      <alignment horizontal="left"/>
    </xf>
    <xf numFmtId="0" fontId="78" fillId="8" borderId="3" xfId="3" applyFont="1" applyFill="1" applyBorder="1" applyAlignment="1">
      <alignment horizontal="left"/>
    </xf>
    <xf numFmtId="0" fontId="78" fillId="8" borderId="4" xfId="3" applyFont="1" applyFill="1" applyBorder="1" applyAlignment="1">
      <alignment horizontal="left"/>
    </xf>
    <xf numFmtId="0" fontId="85" fillId="8" borderId="14" xfId="3" applyFont="1" applyFill="1" applyBorder="1" applyAlignment="1">
      <alignment horizontal="center"/>
    </xf>
    <xf numFmtId="0" fontId="85" fillId="8" borderId="11" xfId="3" applyFont="1" applyFill="1" applyBorder="1" applyAlignment="1">
      <alignment horizontal="center"/>
    </xf>
    <xf numFmtId="0" fontId="85" fillId="8" borderId="15" xfId="3" applyFont="1" applyFill="1" applyBorder="1" applyAlignment="1">
      <alignment horizontal="center"/>
    </xf>
    <xf numFmtId="0" fontId="82" fillId="12" borderId="13" xfId="3" applyFont="1" applyFill="1" applyBorder="1" applyAlignment="1">
      <alignment horizontal="center" vertical="center"/>
    </xf>
    <xf numFmtId="0" fontId="82" fillId="12" borderId="3" xfId="3" applyFont="1" applyFill="1" applyBorder="1" applyAlignment="1">
      <alignment horizontal="center" vertical="center"/>
    </xf>
    <xf numFmtId="0" fontId="82" fillId="12" borderId="4" xfId="3" applyFont="1" applyFill="1" applyBorder="1" applyAlignment="1">
      <alignment horizontal="center" vertical="center"/>
    </xf>
    <xf numFmtId="0" fontId="82" fillId="12" borderId="13" xfId="3" applyFont="1" applyFill="1" applyBorder="1" applyAlignment="1">
      <alignment horizontal="center"/>
    </xf>
    <xf numFmtId="0" fontId="82" fillId="12" borderId="3" xfId="3" applyFont="1" applyFill="1" applyBorder="1" applyAlignment="1">
      <alignment horizontal="center"/>
    </xf>
    <xf numFmtId="0" fontId="82" fillId="12" borderId="4" xfId="3" applyFont="1" applyFill="1" applyBorder="1" applyAlignment="1">
      <alignment horizontal="center"/>
    </xf>
    <xf numFmtId="0" fontId="78" fillId="9" borderId="2" xfId="3" applyFont="1" applyFill="1" applyBorder="1" applyAlignment="1">
      <alignment horizontal="center"/>
    </xf>
    <xf numFmtId="0" fontId="78" fillId="9" borderId="4" xfId="3" applyFont="1" applyFill="1" applyBorder="1" applyAlignment="1">
      <alignment horizontal="center"/>
    </xf>
    <xf numFmtId="0" fontId="88" fillId="17" borderId="13" xfId="3" applyFont="1" applyFill="1" applyBorder="1" applyAlignment="1">
      <alignment horizontal="center" vertical="center"/>
    </xf>
    <xf numFmtId="0" fontId="88" fillId="17" borderId="3" xfId="3" applyFont="1" applyFill="1" applyBorder="1" applyAlignment="1">
      <alignment horizontal="center" vertical="center"/>
    </xf>
    <xf numFmtId="0" fontId="82" fillId="17" borderId="13" xfId="3" applyFont="1" applyFill="1" applyBorder="1" applyAlignment="1">
      <alignment horizontal="center"/>
    </xf>
    <xf numFmtId="0" fontId="82" fillId="17" borderId="3" xfId="3" applyFont="1" applyFill="1" applyBorder="1" applyAlignment="1">
      <alignment horizontal="center"/>
    </xf>
    <xf numFmtId="0" fontId="82" fillId="17" borderId="4" xfId="3" applyFont="1" applyFill="1" applyBorder="1" applyAlignment="1">
      <alignment horizontal="center"/>
    </xf>
    <xf numFmtId="0" fontId="81" fillId="0" borderId="13" xfId="0" applyFont="1" applyBorder="1" applyAlignment="1">
      <alignment horizontal="left"/>
    </xf>
    <xf numFmtId="0" fontId="78" fillId="0" borderId="13" xfId="4" applyFont="1" applyBorder="1" applyAlignment="1">
      <alignment horizontal="left"/>
    </xf>
    <xf numFmtId="0" fontId="78" fillId="0" borderId="3" xfId="4" applyFont="1" applyBorder="1" applyAlignment="1">
      <alignment horizontal="left"/>
    </xf>
    <xf numFmtId="0" fontId="78" fillId="0" borderId="4" xfId="4" applyFont="1" applyBorder="1" applyAlignment="1">
      <alignment horizontal="left"/>
    </xf>
    <xf numFmtId="0" fontId="78" fillId="12" borderId="13" xfId="3" applyFont="1" applyFill="1" applyBorder="1" applyAlignment="1">
      <alignment horizontal="center" vertical="center"/>
    </xf>
    <xf numFmtId="0" fontId="78" fillId="12" borderId="3" xfId="3" applyFont="1" applyFill="1" applyBorder="1" applyAlignment="1">
      <alignment horizontal="center" vertical="center"/>
    </xf>
    <xf numFmtId="0" fontId="78" fillId="12" borderId="4" xfId="3" applyFont="1" applyFill="1" applyBorder="1" applyAlignment="1">
      <alignment horizontal="center" vertical="center"/>
    </xf>
    <xf numFmtId="0" fontId="78" fillId="12" borderId="13" xfId="3" applyFont="1" applyFill="1" applyBorder="1" applyAlignment="1">
      <alignment horizontal="center"/>
    </xf>
    <xf numFmtId="0" fontId="78" fillId="12" borderId="3" xfId="3" applyFont="1" applyFill="1" applyBorder="1" applyAlignment="1">
      <alignment horizontal="center"/>
    </xf>
    <xf numFmtId="0" fontId="78" fillId="12" borderId="4" xfId="3" applyFont="1" applyFill="1" applyBorder="1" applyAlignment="1">
      <alignment horizontal="center"/>
    </xf>
    <xf numFmtId="0" fontId="78" fillId="8" borderId="0" xfId="3" applyFont="1" applyFill="1" applyBorder="1" applyAlignment="1">
      <alignment vertical="center"/>
    </xf>
    <xf numFmtId="0" fontId="77" fillId="0" borderId="2" xfId="0" applyFont="1" applyBorder="1" applyAlignment="1">
      <alignment horizontal="left"/>
    </xf>
    <xf numFmtId="0" fontId="77" fillId="0" borderId="4" xfId="0" applyFont="1" applyBorder="1" applyAlignment="1">
      <alignment horizontal="left"/>
    </xf>
    <xf numFmtId="0" fontId="78" fillId="0" borderId="2" xfId="4" applyFont="1" applyBorder="1" applyAlignment="1">
      <alignment horizontal="left" vertical="center"/>
    </xf>
    <xf numFmtId="0" fontId="78" fillId="0" borderId="3" xfId="4" applyFont="1" applyBorder="1" applyAlignment="1">
      <alignment horizontal="left" vertical="center"/>
    </xf>
    <xf numFmtId="0" fontId="78" fillId="0" borderId="4" xfId="4" applyFont="1" applyBorder="1" applyAlignment="1">
      <alignment horizontal="left" vertical="center"/>
    </xf>
    <xf numFmtId="0" fontId="78" fillId="8" borderId="19" xfId="3" applyFont="1" applyFill="1" applyBorder="1" applyAlignment="1">
      <alignment horizontal="left"/>
    </xf>
    <xf numFmtId="0" fontId="78" fillId="8" borderId="8" xfId="3" applyFont="1" applyFill="1" applyBorder="1" applyAlignment="1">
      <alignment horizontal="left"/>
    </xf>
    <xf numFmtId="0" fontId="78" fillId="8" borderId="9" xfId="3" applyFont="1" applyFill="1" applyBorder="1" applyAlignment="1">
      <alignment horizontal="left"/>
    </xf>
    <xf numFmtId="0" fontId="81" fillId="12" borderId="0" xfId="0" applyFont="1" applyFill="1" applyAlignment="1">
      <alignment horizontal="center"/>
    </xf>
    <xf numFmtId="0" fontId="81" fillId="12" borderId="2" xfId="0" applyFont="1" applyFill="1" applyBorder="1" applyAlignment="1">
      <alignment horizontal="center"/>
    </xf>
    <xf numFmtId="0" fontId="81" fillId="12" borderId="3" xfId="0" applyFont="1" applyFill="1" applyBorder="1" applyAlignment="1">
      <alignment horizontal="center"/>
    </xf>
    <xf numFmtId="0" fontId="81" fillId="12" borderId="4" xfId="0" applyFont="1" applyFill="1" applyBorder="1" applyAlignment="1">
      <alignment horizontal="center"/>
    </xf>
    <xf numFmtId="0" fontId="81" fillId="0" borderId="2" xfId="0" applyFont="1" applyBorder="1" applyAlignment="1">
      <alignment horizontal="center"/>
    </xf>
    <xf numFmtId="0" fontId="81" fillId="0" borderId="3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81" fillId="0" borderId="1" xfId="0" applyFont="1" applyBorder="1" applyAlignment="1">
      <alignment horizontal="left"/>
    </xf>
    <xf numFmtId="0" fontId="78" fillId="12" borderId="23" xfId="3" applyFont="1" applyFill="1" applyBorder="1" applyAlignment="1">
      <alignment horizontal="center" vertical="center"/>
    </xf>
    <xf numFmtId="0" fontId="78" fillId="12" borderId="0" xfId="3" applyFont="1" applyFill="1" applyBorder="1" applyAlignment="1">
      <alignment horizontal="center" vertical="center"/>
    </xf>
    <xf numFmtId="0" fontId="78" fillId="12" borderId="24" xfId="3" applyFont="1" applyFill="1" applyBorder="1" applyAlignment="1">
      <alignment horizontal="center" vertical="center"/>
    </xf>
    <xf numFmtId="0" fontId="81" fillId="2" borderId="13" xfId="0" applyFont="1" applyFill="1" applyBorder="1" applyAlignment="1">
      <alignment horizontal="left"/>
    </xf>
    <xf numFmtId="0" fontId="81" fillId="2" borderId="3" xfId="0" applyFont="1" applyFill="1" applyBorder="1" applyAlignment="1">
      <alignment horizontal="left"/>
    </xf>
    <xf numFmtId="0" fontId="81" fillId="2" borderId="4" xfId="0" applyFont="1" applyFill="1" applyBorder="1" applyAlignment="1">
      <alignment horizontal="left"/>
    </xf>
    <xf numFmtId="0" fontId="78" fillId="0" borderId="1" xfId="4" applyFont="1" applyBorder="1" applyAlignment="1">
      <alignment horizontal="left"/>
    </xf>
    <xf numFmtId="0" fontId="81" fillId="2" borderId="2" xfId="0" applyFont="1" applyFill="1" applyBorder="1" applyAlignment="1">
      <alignment horizontal="left"/>
    </xf>
    <xf numFmtId="0" fontId="81" fillId="12" borderId="1" xfId="0" applyFont="1" applyFill="1" applyBorder="1" applyAlignment="1">
      <alignment horizontal="center"/>
    </xf>
    <xf numFmtId="0" fontId="86" fillId="0" borderId="2" xfId="4" applyFont="1" applyBorder="1" applyAlignment="1">
      <alignment horizontal="left"/>
    </xf>
    <xf numFmtId="0" fontId="86" fillId="0" borderId="3" xfId="4" applyFont="1" applyBorder="1" applyAlignment="1">
      <alignment horizontal="left"/>
    </xf>
    <xf numFmtId="0" fontId="86" fillId="0" borderId="4" xfId="4" applyFont="1" applyBorder="1" applyAlignment="1">
      <alignment horizontal="left"/>
    </xf>
    <xf numFmtId="0" fontId="86" fillId="0" borderId="2" xfId="4" applyFont="1" applyFill="1" applyBorder="1" applyAlignment="1">
      <alignment horizontal="center"/>
    </xf>
    <xf numFmtId="0" fontId="86" fillId="0" borderId="3" xfId="4" applyFont="1" applyFill="1" applyBorder="1" applyAlignment="1">
      <alignment horizontal="center"/>
    </xf>
    <xf numFmtId="0" fontId="86" fillId="0" borderId="4" xfId="4" applyFont="1" applyFill="1" applyBorder="1" applyAlignment="1">
      <alignment horizontal="center"/>
    </xf>
    <xf numFmtId="0" fontId="81" fillId="11" borderId="13" xfId="0" applyFont="1" applyFill="1" applyBorder="1" applyAlignment="1">
      <alignment horizontal="left"/>
    </xf>
    <xf numFmtId="0" fontId="81" fillId="11" borderId="4" xfId="0" applyFont="1" applyFill="1" applyBorder="1" applyAlignment="1">
      <alignment horizontal="left"/>
    </xf>
    <xf numFmtId="0" fontId="77" fillId="2" borderId="13" xfId="0" applyFont="1" applyFill="1" applyBorder="1" applyAlignment="1">
      <alignment horizontal="left"/>
    </xf>
    <xf numFmtId="0" fontId="77" fillId="2" borderId="4" xfId="0" applyFont="1" applyFill="1" applyBorder="1" applyAlignment="1">
      <alignment horizontal="left"/>
    </xf>
    <xf numFmtId="0" fontId="81" fillId="12" borderId="13" xfId="0" applyFont="1" applyFill="1" applyBorder="1" applyAlignment="1">
      <alignment horizontal="left"/>
    </xf>
    <xf numFmtId="0" fontId="81" fillId="12" borderId="4" xfId="0" applyFont="1" applyFill="1" applyBorder="1" applyAlignment="1">
      <alignment horizontal="left"/>
    </xf>
    <xf numFmtId="0" fontId="78" fillId="2" borderId="20" xfId="0" applyFont="1" applyFill="1" applyBorder="1" applyAlignment="1">
      <alignment horizontal="center"/>
    </xf>
    <xf numFmtId="0" fontId="78" fillId="2" borderId="5" xfId="0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1" xfId="4" applyFont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11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55" fillId="0" borderId="1" xfId="0" applyFont="1" applyFill="1" applyBorder="1" applyAlignment="1">
      <alignment horizontal="center"/>
    </xf>
    <xf numFmtId="0" fontId="36" fillId="0" borderId="2" xfId="4" applyFont="1" applyFill="1" applyBorder="1" applyAlignment="1">
      <alignment horizontal="left"/>
    </xf>
    <xf numFmtId="0" fontId="36" fillId="0" borderId="3" xfId="4" applyFont="1" applyFill="1" applyBorder="1" applyAlignment="1">
      <alignment horizontal="left"/>
    </xf>
    <xf numFmtId="0" fontId="36" fillId="0" borderId="4" xfId="4" applyFont="1" applyFill="1" applyBorder="1" applyAlignment="1">
      <alignment horizontal="left"/>
    </xf>
    <xf numFmtId="0" fontId="36" fillId="0" borderId="1" xfId="4" applyFont="1" applyFill="1" applyBorder="1" applyAlignment="1">
      <alignment horizontal="left"/>
    </xf>
    <xf numFmtId="0" fontId="40" fillId="0" borderId="13" xfId="0" applyFont="1" applyFill="1" applyBorder="1" applyAlignment="1">
      <alignment horizontal="left"/>
    </xf>
    <xf numFmtId="0" fontId="40" fillId="0" borderId="4" xfId="0" applyFont="1" applyFill="1" applyBorder="1" applyAlignment="1">
      <alignment horizontal="left"/>
    </xf>
    <xf numFmtId="0" fontId="36" fillId="0" borderId="2" xfId="4" applyFont="1" applyFill="1" applyBorder="1" applyAlignment="1">
      <alignment horizontal="center"/>
    </xf>
    <xf numFmtId="0" fontId="36" fillId="0" borderId="3" xfId="4" applyFont="1" applyFill="1" applyBorder="1" applyAlignment="1">
      <alignment horizontal="center"/>
    </xf>
    <xf numFmtId="0" fontId="36" fillId="0" borderId="4" xfId="4" applyFont="1" applyFill="1" applyBorder="1" applyAlignment="1">
      <alignment horizontal="center"/>
    </xf>
    <xf numFmtId="0" fontId="32" fillId="0" borderId="2" xfId="4" applyFont="1" applyFill="1" applyBorder="1" applyAlignment="1">
      <alignment horizontal="left"/>
    </xf>
    <xf numFmtId="0" fontId="32" fillId="0" borderId="3" xfId="4" applyFont="1" applyFill="1" applyBorder="1" applyAlignment="1">
      <alignment horizontal="left"/>
    </xf>
    <xf numFmtId="0" fontId="32" fillId="0" borderId="4" xfId="4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9" fontId="32" fillId="8" borderId="13" xfId="3" applyNumberFormat="1" applyFont="1" applyFill="1" applyBorder="1" applyAlignment="1">
      <alignment horizontal="left" vertical="center"/>
    </xf>
    <xf numFmtId="169" fontId="32" fillId="8" borderId="3" xfId="3" applyNumberFormat="1" applyFont="1" applyFill="1" applyBorder="1" applyAlignment="1">
      <alignment horizontal="left" vertical="center"/>
    </xf>
    <xf numFmtId="169" fontId="32" fillId="8" borderId="4" xfId="3" applyNumberFormat="1" applyFont="1" applyFill="1" applyBorder="1" applyAlignment="1">
      <alignment horizontal="left" vertical="center"/>
    </xf>
    <xf numFmtId="0" fontId="40" fillId="11" borderId="3" xfId="0" applyFont="1" applyFill="1" applyBorder="1" applyAlignment="1">
      <alignment horizontal="left"/>
    </xf>
  </cellXfs>
  <cellStyles count="20">
    <cellStyle name="Comma" xfId="19" builtinId="3"/>
    <cellStyle name="Comma 2 2" xfId="10" xr:uid="{00000000-0005-0000-0000-000001000000}"/>
    <cellStyle name="Comma 2 3" xfId="5" xr:uid="{00000000-0005-0000-0000-000002000000}"/>
    <cellStyle name="Comma 3" xfId="7" xr:uid="{00000000-0005-0000-0000-000003000000}"/>
    <cellStyle name="Comma 3 2" xfId="11" xr:uid="{00000000-0005-0000-0000-000004000000}"/>
    <cellStyle name="Currency 2" xfId="8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9" xr:uid="{00000000-0005-0000-0000-000009000000}"/>
    <cellStyle name="Normal 2 2 2" xfId="12" xr:uid="{00000000-0005-0000-0000-00000A000000}"/>
    <cellStyle name="Normal 2 2 2 2" xfId="13" xr:uid="{00000000-0005-0000-0000-00000B000000}"/>
    <cellStyle name="Normal 2 2 3" xfId="14" xr:uid="{00000000-0005-0000-0000-00000C000000}"/>
    <cellStyle name="Normal 2 3" xfId="3" xr:uid="{00000000-0005-0000-0000-00000D000000}"/>
    <cellStyle name="Normal 2 4" xfId="15" xr:uid="{00000000-0005-0000-0000-00000E000000}"/>
    <cellStyle name="Normal 3" xfId="4" xr:uid="{00000000-0005-0000-0000-00000F000000}"/>
    <cellStyle name="Normal 4" xfId="16" xr:uid="{00000000-0005-0000-0000-000010000000}"/>
    <cellStyle name="Normal 4 2" xfId="18" xr:uid="{00000000-0005-0000-0000-000011000000}"/>
    <cellStyle name="Normal 5" xfId="17" xr:uid="{00000000-0005-0000-0000-000012000000}"/>
    <cellStyle name="Percent 2" xfId="6" xr:uid="{00000000-0005-0000-0000-00001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42</c:v>
                </c:pt>
                <c:pt idx="1">
                  <c:v>40.059999999997672</c:v>
                </c:pt>
                <c:pt idx="2">
                  <c:v>41.400000000001455</c:v>
                </c:pt>
                <c:pt idx="3">
                  <c:v>41.599999999998545</c:v>
                </c:pt>
                <c:pt idx="4">
                  <c:v>42</c:v>
                </c:pt>
                <c:pt idx="5">
                  <c:v>44.350000000002183</c:v>
                </c:pt>
                <c:pt idx="6">
                  <c:v>41.950000000000728</c:v>
                </c:pt>
                <c:pt idx="7">
                  <c:v>43.399999999996908</c:v>
                </c:pt>
                <c:pt idx="8">
                  <c:v>44.550000000000182</c:v>
                </c:pt>
                <c:pt idx="9">
                  <c:v>41.960000000000036</c:v>
                </c:pt>
                <c:pt idx="10">
                  <c:v>43.250000000003638</c:v>
                </c:pt>
                <c:pt idx="11">
                  <c:v>40.479999999998654</c:v>
                </c:pt>
                <c:pt idx="12">
                  <c:v>42</c:v>
                </c:pt>
                <c:pt idx="13">
                  <c:v>48</c:v>
                </c:pt>
                <c:pt idx="14">
                  <c:v>43</c:v>
                </c:pt>
                <c:pt idx="15">
                  <c:v>43</c:v>
                </c:pt>
                <c:pt idx="16">
                  <c:v>42.830000000002656</c:v>
                </c:pt>
                <c:pt idx="17">
                  <c:v>42.899999999998727</c:v>
                </c:pt>
                <c:pt idx="18">
                  <c:v>41.339999999997417</c:v>
                </c:pt>
                <c:pt idx="19">
                  <c:v>41.480000000001382</c:v>
                </c:pt>
                <c:pt idx="20">
                  <c:v>38.840000000001965</c:v>
                </c:pt>
                <c:pt idx="21">
                  <c:v>41.170000000000982</c:v>
                </c:pt>
                <c:pt idx="22">
                  <c:v>37.899999999995998</c:v>
                </c:pt>
                <c:pt idx="23">
                  <c:v>41.230000000003201</c:v>
                </c:pt>
                <c:pt idx="24">
                  <c:v>40.360000000000582</c:v>
                </c:pt>
                <c:pt idx="25">
                  <c:v>43.700000000001637</c:v>
                </c:pt>
                <c:pt idx="26">
                  <c:v>38.579999999998108</c:v>
                </c:pt>
                <c:pt idx="27">
                  <c:v>43.809999999997672</c:v>
                </c:pt>
                <c:pt idx="28">
                  <c:v>-1261.3400000000011</c:v>
                </c:pt>
                <c:pt idx="29">
                  <c:v>42.200000000000728</c:v>
                </c:pt>
                <c:pt idx="30">
                  <c:v>42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73093632"/>
        <c:axId val="173095168"/>
      </c:lineChart>
      <c:catAx>
        <c:axId val="17309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095168"/>
        <c:crosses val="autoZero"/>
        <c:auto val="1"/>
        <c:lblAlgn val="ctr"/>
        <c:lblOffset val="100"/>
        <c:noMultiLvlLbl val="0"/>
      </c:catAx>
      <c:valAx>
        <c:axId val="173095168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73093632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22.709999999999127</c:v>
                </c:pt>
                <c:pt idx="1">
                  <c:v>21</c:v>
                </c:pt>
                <c:pt idx="2">
                  <c:v>20.880000000004657</c:v>
                </c:pt>
                <c:pt idx="3">
                  <c:v>17.380000000001019</c:v>
                </c:pt>
                <c:pt idx="4">
                  <c:v>18.619999999998981</c:v>
                </c:pt>
                <c:pt idx="5">
                  <c:v>10.979999999995925</c:v>
                </c:pt>
                <c:pt idx="6">
                  <c:v>10.040000000000873</c:v>
                </c:pt>
                <c:pt idx="7">
                  <c:v>10.359999999996944</c:v>
                </c:pt>
                <c:pt idx="8">
                  <c:v>10.000000000003638</c:v>
                </c:pt>
                <c:pt idx="9">
                  <c:v>10.090000000000146</c:v>
                </c:pt>
                <c:pt idx="10">
                  <c:v>17.269999999996799</c:v>
                </c:pt>
                <c:pt idx="11">
                  <c:v>19.210000000006403</c:v>
                </c:pt>
                <c:pt idx="12">
                  <c:v>21.709999999995489</c:v>
                </c:pt>
                <c:pt idx="13">
                  <c:v>21.060000000004948</c:v>
                </c:pt>
                <c:pt idx="14">
                  <c:v>21.229999999999563</c:v>
                </c:pt>
                <c:pt idx="15">
                  <c:v>22.05000000000291</c:v>
                </c:pt>
                <c:pt idx="16">
                  <c:v>19.999999999996362</c:v>
                </c:pt>
                <c:pt idx="17">
                  <c:v>22</c:v>
                </c:pt>
                <c:pt idx="18">
                  <c:v>18.470000000001164</c:v>
                </c:pt>
                <c:pt idx="19">
                  <c:v>20.529999999998836</c:v>
                </c:pt>
                <c:pt idx="20">
                  <c:v>20.42000000000553</c:v>
                </c:pt>
                <c:pt idx="21">
                  <c:v>18.819999999992433</c:v>
                </c:pt>
                <c:pt idx="22">
                  <c:v>20.030000000006112</c:v>
                </c:pt>
                <c:pt idx="23">
                  <c:v>20.359999999989668</c:v>
                </c:pt>
                <c:pt idx="24">
                  <c:v>20.820000000010623</c:v>
                </c:pt>
                <c:pt idx="25">
                  <c:v>12.859999999989668</c:v>
                </c:pt>
                <c:pt idx="26">
                  <c:v>20.059999999997672</c:v>
                </c:pt>
                <c:pt idx="27">
                  <c:v>20.140000000006694</c:v>
                </c:pt>
                <c:pt idx="28">
                  <c:v>-550.25</c:v>
                </c:pt>
                <c:pt idx="29">
                  <c:v>20.239999999997963</c:v>
                </c:pt>
                <c:pt idx="30">
                  <c:v>20.909999999999854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73132416"/>
        <c:axId val="173142400"/>
      </c:lineChart>
      <c:catAx>
        <c:axId val="173132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142400"/>
        <c:crosses val="autoZero"/>
        <c:auto val="1"/>
        <c:lblAlgn val="ctr"/>
        <c:lblOffset val="100"/>
        <c:noMultiLvlLbl val="0"/>
      </c:catAx>
      <c:valAx>
        <c:axId val="173142400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132416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9286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316</c:v>
                </c:pt>
                <c:pt idx="1">
                  <c:v>316</c:v>
                </c:pt>
                <c:pt idx="2">
                  <c:v>304</c:v>
                </c:pt>
                <c:pt idx="3">
                  <c:v>314</c:v>
                </c:pt>
                <c:pt idx="4">
                  <c:v>307</c:v>
                </c:pt>
                <c:pt idx="5">
                  <c:v>355</c:v>
                </c:pt>
                <c:pt idx="6">
                  <c:v>218</c:v>
                </c:pt>
                <c:pt idx="7">
                  <c:v>195</c:v>
                </c:pt>
                <c:pt idx="8">
                  <c:v>280</c:v>
                </c:pt>
                <c:pt idx="9">
                  <c:v>200</c:v>
                </c:pt>
                <c:pt idx="10">
                  <c:v>360</c:v>
                </c:pt>
                <c:pt idx="11">
                  <c:v>270</c:v>
                </c:pt>
                <c:pt idx="12">
                  <c:v>280</c:v>
                </c:pt>
                <c:pt idx="13">
                  <c:v>290</c:v>
                </c:pt>
                <c:pt idx="14">
                  <c:v>250</c:v>
                </c:pt>
                <c:pt idx="15">
                  <c:v>230</c:v>
                </c:pt>
                <c:pt idx="16">
                  <c:v>283</c:v>
                </c:pt>
                <c:pt idx="17">
                  <c:v>232</c:v>
                </c:pt>
                <c:pt idx="18">
                  <c:v>212</c:v>
                </c:pt>
                <c:pt idx="19">
                  <c:v>253</c:v>
                </c:pt>
                <c:pt idx="20">
                  <c:v>263</c:v>
                </c:pt>
                <c:pt idx="21">
                  <c:v>243</c:v>
                </c:pt>
                <c:pt idx="22">
                  <c:v>182</c:v>
                </c:pt>
                <c:pt idx="23">
                  <c:v>233</c:v>
                </c:pt>
                <c:pt idx="24">
                  <c:v>210</c:v>
                </c:pt>
                <c:pt idx="25">
                  <c:v>212</c:v>
                </c:pt>
                <c:pt idx="26">
                  <c:v>208</c:v>
                </c:pt>
                <c:pt idx="27">
                  <c:v>188</c:v>
                </c:pt>
                <c:pt idx="28">
                  <c:v>-433</c:v>
                </c:pt>
                <c:pt idx="29">
                  <c:v>285</c:v>
                </c:pt>
                <c:pt idx="30">
                  <c:v>350</c:v>
                </c:pt>
                <c:pt idx="31">
                  <c:v>7406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53461888"/>
        <c:axId val="153463424"/>
      </c:lineChart>
      <c:catAx>
        <c:axId val="15346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63424"/>
        <c:crosses val="autoZero"/>
        <c:auto val="1"/>
        <c:lblAlgn val="ctr"/>
        <c:lblOffset val="100"/>
        <c:noMultiLvlLbl val="0"/>
      </c:catAx>
      <c:valAx>
        <c:axId val="153463424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61888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403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1098</c:v>
                </c:pt>
                <c:pt idx="1">
                  <c:v>1043</c:v>
                </c:pt>
                <c:pt idx="2">
                  <c:v>1104</c:v>
                </c:pt>
                <c:pt idx="3">
                  <c:v>1121</c:v>
                </c:pt>
                <c:pt idx="4">
                  <c:v>1118</c:v>
                </c:pt>
                <c:pt idx="5">
                  <c:v>1084.6000000000931</c:v>
                </c:pt>
                <c:pt idx="6">
                  <c:v>1078.5999999998603</c:v>
                </c:pt>
                <c:pt idx="7">
                  <c:v>1052.8000000000466</c:v>
                </c:pt>
                <c:pt idx="8">
                  <c:v>916</c:v>
                </c:pt>
                <c:pt idx="9">
                  <c:v>1061.5</c:v>
                </c:pt>
                <c:pt idx="10">
                  <c:v>1053.5</c:v>
                </c:pt>
                <c:pt idx="11">
                  <c:v>1039</c:v>
                </c:pt>
                <c:pt idx="12">
                  <c:v>1055</c:v>
                </c:pt>
                <c:pt idx="13">
                  <c:v>1050</c:v>
                </c:pt>
                <c:pt idx="14">
                  <c:v>1071</c:v>
                </c:pt>
                <c:pt idx="15">
                  <c:v>1026</c:v>
                </c:pt>
                <c:pt idx="16">
                  <c:v>1015</c:v>
                </c:pt>
                <c:pt idx="17">
                  <c:v>1052</c:v>
                </c:pt>
                <c:pt idx="18">
                  <c:v>1047</c:v>
                </c:pt>
                <c:pt idx="19">
                  <c:v>1014</c:v>
                </c:pt>
                <c:pt idx="20">
                  <c:v>1049.4199999999255</c:v>
                </c:pt>
                <c:pt idx="21">
                  <c:v>974.61000000010245</c:v>
                </c:pt>
                <c:pt idx="22">
                  <c:v>974.46999999997206</c:v>
                </c:pt>
                <c:pt idx="23">
                  <c:v>960.94999999995343</c:v>
                </c:pt>
                <c:pt idx="24">
                  <c:v>1006.8500000000931</c:v>
                </c:pt>
                <c:pt idx="25">
                  <c:v>1100</c:v>
                </c:pt>
                <c:pt idx="26">
                  <c:v>847.95999999996275</c:v>
                </c:pt>
                <c:pt idx="27">
                  <c:v>982.03000000002794</c:v>
                </c:pt>
                <c:pt idx="28">
                  <c:v>1100</c:v>
                </c:pt>
                <c:pt idx="29">
                  <c:v>1100</c:v>
                </c:pt>
                <c:pt idx="30">
                  <c:v>1100</c:v>
                </c:pt>
                <c:pt idx="31">
                  <c:v>32296.290000000037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615168"/>
        <c:axId val="174625152"/>
      </c:lineChart>
      <c:catAx>
        <c:axId val="174615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625152"/>
        <c:crosses val="autoZero"/>
        <c:auto val="1"/>
        <c:lblAlgn val="ctr"/>
        <c:lblOffset val="100"/>
        <c:noMultiLvlLbl val="0"/>
      </c:catAx>
      <c:valAx>
        <c:axId val="174625152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615168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5456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3034</c:v>
                </c:pt>
                <c:pt idx="1">
                  <c:v>2966</c:v>
                </c:pt>
                <c:pt idx="2">
                  <c:v>2963</c:v>
                </c:pt>
                <c:pt idx="3">
                  <c:v>2991</c:v>
                </c:pt>
                <c:pt idx="4">
                  <c:v>3013</c:v>
                </c:pt>
                <c:pt idx="5">
                  <c:v>2982</c:v>
                </c:pt>
                <c:pt idx="6">
                  <c:v>3002</c:v>
                </c:pt>
                <c:pt idx="7">
                  <c:v>939</c:v>
                </c:pt>
                <c:pt idx="8">
                  <c:v>2000</c:v>
                </c:pt>
                <c:pt idx="9">
                  <c:v>3079.0900000000256</c:v>
                </c:pt>
                <c:pt idx="10">
                  <c:v>3101.9500000000116</c:v>
                </c:pt>
                <c:pt idx="11">
                  <c:v>3189.0499999999884</c:v>
                </c:pt>
                <c:pt idx="12">
                  <c:v>3101</c:v>
                </c:pt>
                <c:pt idx="13">
                  <c:v>2986</c:v>
                </c:pt>
                <c:pt idx="14">
                  <c:v>3010</c:v>
                </c:pt>
                <c:pt idx="15">
                  <c:v>3099</c:v>
                </c:pt>
                <c:pt idx="16">
                  <c:v>3142</c:v>
                </c:pt>
                <c:pt idx="17">
                  <c:v>3158</c:v>
                </c:pt>
                <c:pt idx="18">
                  <c:v>3175</c:v>
                </c:pt>
                <c:pt idx="19">
                  <c:v>3213</c:v>
                </c:pt>
                <c:pt idx="20">
                  <c:v>3123.9099999999744</c:v>
                </c:pt>
                <c:pt idx="21">
                  <c:v>3040.2400000000489</c:v>
                </c:pt>
                <c:pt idx="22">
                  <c:v>3028.1199999999953</c:v>
                </c:pt>
                <c:pt idx="23">
                  <c:v>2993.4400000000023</c:v>
                </c:pt>
                <c:pt idx="24">
                  <c:v>2960.1599999999744</c:v>
                </c:pt>
                <c:pt idx="25">
                  <c:v>3027.320000000007</c:v>
                </c:pt>
                <c:pt idx="26">
                  <c:v>2936.4799999999814</c:v>
                </c:pt>
                <c:pt idx="27">
                  <c:v>2949.1199999999953</c:v>
                </c:pt>
                <c:pt idx="28">
                  <c:v>-91400.789999999979</c:v>
                </c:pt>
                <c:pt idx="29">
                  <c:v>2936</c:v>
                </c:pt>
                <c:pt idx="30">
                  <c:v>3217</c:v>
                </c:pt>
                <c:pt idx="31">
                  <c:v>-3044.9099999999744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74736896"/>
        <c:axId val="174738432"/>
      </c:lineChart>
      <c:catAx>
        <c:axId val="174736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738432"/>
        <c:crosses val="autoZero"/>
        <c:auto val="1"/>
        <c:lblAlgn val="ctr"/>
        <c:lblOffset val="100"/>
        <c:noMultiLvlLbl val="0"/>
      </c:catAx>
      <c:valAx>
        <c:axId val="174738432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736896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-0.95000000001164153</c:v>
                </c:pt>
                <c:pt idx="9">
                  <c:v>0</c:v>
                </c:pt>
                <c:pt idx="10">
                  <c:v>0</c:v>
                </c:pt>
                <c:pt idx="11">
                  <c:v>-4.9999999988358468E-2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-0.95000000001164153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0.95000000001164153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759296"/>
        <c:axId val="174781568"/>
      </c:lineChart>
      <c:catAx>
        <c:axId val="174759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781568"/>
        <c:crosses val="autoZero"/>
        <c:auto val="1"/>
        <c:lblAlgn val="ctr"/>
        <c:lblOffset val="100"/>
        <c:noMultiLvlLbl val="0"/>
      </c:catAx>
      <c:valAx>
        <c:axId val="174781568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75929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0.88</c:v>
                </c:pt>
                <c:pt idx="1">
                  <c:v>0.98</c:v>
                </c:pt>
                <c:pt idx="2">
                  <c:v>0.98</c:v>
                </c:pt>
                <c:pt idx="3">
                  <c:v>1</c:v>
                </c:pt>
                <c:pt idx="4">
                  <c:v>0.67</c:v>
                </c:pt>
                <c:pt idx="5">
                  <c:v>0.6633</c:v>
                </c:pt>
                <c:pt idx="6">
                  <c:v>0.75</c:v>
                </c:pt>
                <c:pt idx="7">
                  <c:v>0.65</c:v>
                </c:pt>
                <c:pt idx="8">
                  <c:v>0.65</c:v>
                </c:pt>
                <c:pt idx="9">
                  <c:v>0.91</c:v>
                </c:pt>
                <c:pt idx="10">
                  <c:v>0.72</c:v>
                </c:pt>
                <c:pt idx="11">
                  <c:v>0.6</c:v>
                </c:pt>
                <c:pt idx="12">
                  <c:v>0.66</c:v>
                </c:pt>
                <c:pt idx="13">
                  <c:v>0.56999999999999995</c:v>
                </c:pt>
                <c:pt idx="14">
                  <c:v>0.6</c:v>
                </c:pt>
                <c:pt idx="15">
                  <c:v>0.6</c:v>
                </c:pt>
                <c:pt idx="16">
                  <c:v>0.91</c:v>
                </c:pt>
                <c:pt idx="17">
                  <c:v>0.98</c:v>
                </c:pt>
                <c:pt idx="18">
                  <c:v>0.94</c:v>
                </c:pt>
                <c:pt idx="19">
                  <c:v>0.94</c:v>
                </c:pt>
                <c:pt idx="20">
                  <c:v>0.71</c:v>
                </c:pt>
                <c:pt idx="21">
                  <c:v>0.98</c:v>
                </c:pt>
                <c:pt idx="22">
                  <c:v>0.99</c:v>
                </c:pt>
                <c:pt idx="23">
                  <c:v>1</c:v>
                </c:pt>
                <c:pt idx="24">
                  <c:v>0.98</c:v>
                </c:pt>
                <c:pt idx="25">
                  <c:v>1</c:v>
                </c:pt>
                <c:pt idx="26">
                  <c:v>0.76</c:v>
                </c:pt>
                <c:pt idx="27">
                  <c:v>0.8</c:v>
                </c:pt>
                <c:pt idx="28">
                  <c:v>1</c:v>
                </c:pt>
                <c:pt idx="29">
                  <c:v>0.73</c:v>
                </c:pt>
                <c:pt idx="30">
                  <c:v>31</c:v>
                </c:pt>
                <c:pt idx="31">
                  <c:v>1.7936548387096776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687360"/>
        <c:axId val="174688896"/>
      </c:lineChart>
      <c:catAx>
        <c:axId val="174687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688896"/>
        <c:crosses val="autoZero"/>
        <c:auto val="1"/>
        <c:lblAlgn val="ctr"/>
        <c:lblOffset val="100"/>
        <c:noMultiLvlLbl val="0"/>
      </c:catAx>
      <c:valAx>
        <c:axId val="17468889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7468736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28059</c:v>
                </c:pt>
                <c:pt idx="1">
                  <c:v>28576</c:v>
                </c:pt>
                <c:pt idx="2">
                  <c:v>28813</c:v>
                </c:pt>
                <c:pt idx="3">
                  <c:v>28412</c:v>
                </c:pt>
                <c:pt idx="4">
                  <c:v>27996</c:v>
                </c:pt>
                <c:pt idx="5">
                  <c:v>30439</c:v>
                </c:pt>
                <c:pt idx="6">
                  <c:v>28520</c:v>
                </c:pt>
                <c:pt idx="7">
                  <c:v>25251.660000000033</c:v>
                </c:pt>
                <c:pt idx="8">
                  <c:v>30800.440000000002</c:v>
                </c:pt>
                <c:pt idx="9">
                  <c:v>31010</c:v>
                </c:pt>
                <c:pt idx="10">
                  <c:v>28751</c:v>
                </c:pt>
                <c:pt idx="11">
                  <c:v>30076</c:v>
                </c:pt>
                <c:pt idx="12">
                  <c:v>28733</c:v>
                </c:pt>
                <c:pt idx="13">
                  <c:v>29251</c:v>
                </c:pt>
                <c:pt idx="14">
                  <c:v>28661</c:v>
                </c:pt>
                <c:pt idx="15">
                  <c:v>28628</c:v>
                </c:pt>
                <c:pt idx="16">
                  <c:v>29392</c:v>
                </c:pt>
                <c:pt idx="17">
                  <c:v>29753</c:v>
                </c:pt>
                <c:pt idx="18">
                  <c:v>29068</c:v>
                </c:pt>
                <c:pt idx="19">
                  <c:v>28714</c:v>
                </c:pt>
                <c:pt idx="20">
                  <c:v>27087.109999999986</c:v>
                </c:pt>
                <c:pt idx="21">
                  <c:v>28127</c:v>
                </c:pt>
                <c:pt idx="22">
                  <c:v>27477.640000000014</c:v>
                </c:pt>
                <c:pt idx="23">
                  <c:v>27996.880000000005</c:v>
                </c:pt>
                <c:pt idx="24">
                  <c:v>28030.369999999995</c:v>
                </c:pt>
                <c:pt idx="25">
                  <c:v>27370</c:v>
                </c:pt>
                <c:pt idx="26">
                  <c:v>26539.699999999953</c:v>
                </c:pt>
                <c:pt idx="27">
                  <c:v>28321.690000000061</c:v>
                </c:pt>
                <c:pt idx="28">
                  <c:v>28500</c:v>
                </c:pt>
                <c:pt idx="29">
                  <c:v>28500</c:v>
                </c:pt>
                <c:pt idx="30">
                  <c:v>28500</c:v>
                </c:pt>
                <c:pt idx="31">
                  <c:v>885354.49000000011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74717952"/>
        <c:axId val="174883584"/>
      </c:lineChart>
      <c:catAx>
        <c:axId val="174717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883584"/>
        <c:crosses val="autoZero"/>
        <c:auto val="1"/>
        <c:lblAlgn val="ctr"/>
        <c:lblOffset val="100"/>
        <c:noMultiLvlLbl val="0"/>
      </c:catAx>
      <c:valAx>
        <c:axId val="174883584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717952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11.75</c:v>
                </c:pt>
                <c:pt idx="1">
                  <c:v>11.350000000000364</c:v>
                </c:pt>
                <c:pt idx="2">
                  <c:v>11</c:v>
                </c:pt>
                <c:pt idx="3">
                  <c:v>10.420000000000073</c:v>
                </c:pt>
                <c:pt idx="4">
                  <c:v>11.579999999999927</c:v>
                </c:pt>
                <c:pt idx="5">
                  <c:v>9.8799999999991996</c:v>
                </c:pt>
                <c:pt idx="6">
                  <c:v>10.770000000000437</c:v>
                </c:pt>
                <c:pt idx="7">
                  <c:v>10.909999999999854</c:v>
                </c:pt>
                <c:pt idx="8">
                  <c:v>10.840000000000146</c:v>
                </c:pt>
                <c:pt idx="9">
                  <c:v>10.539999999999964</c:v>
                </c:pt>
                <c:pt idx="10">
                  <c:v>9.8599999999996726</c:v>
                </c:pt>
                <c:pt idx="11">
                  <c:v>13.010000000000218</c:v>
                </c:pt>
                <c:pt idx="12">
                  <c:v>9.1900000000005093</c:v>
                </c:pt>
                <c:pt idx="13">
                  <c:v>11.119999999999891</c:v>
                </c:pt>
                <c:pt idx="14">
                  <c:v>10.880000000000109</c:v>
                </c:pt>
                <c:pt idx="15">
                  <c:v>10.609999999999673</c:v>
                </c:pt>
                <c:pt idx="16">
                  <c:v>10.390000000000327</c:v>
                </c:pt>
                <c:pt idx="17">
                  <c:v>10</c:v>
                </c:pt>
                <c:pt idx="18">
                  <c:v>10</c:v>
                </c:pt>
                <c:pt idx="19">
                  <c:v>11</c:v>
                </c:pt>
                <c:pt idx="20">
                  <c:v>9.6400000000003274</c:v>
                </c:pt>
                <c:pt idx="21">
                  <c:v>10.319999999999709</c:v>
                </c:pt>
                <c:pt idx="22">
                  <c:v>10.039999999999964</c:v>
                </c:pt>
                <c:pt idx="23">
                  <c:v>10.050000000000182</c:v>
                </c:pt>
                <c:pt idx="24">
                  <c:v>10.949999999999818</c:v>
                </c:pt>
                <c:pt idx="25">
                  <c:v>8.7600000000002183</c:v>
                </c:pt>
                <c:pt idx="26">
                  <c:v>9.7399999999997817</c:v>
                </c:pt>
                <c:pt idx="27">
                  <c:v>10.329999999999927</c:v>
                </c:pt>
                <c:pt idx="28">
                  <c:v>-316.98999999999978</c:v>
                </c:pt>
                <c:pt idx="29">
                  <c:v>10.909999999999854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928256"/>
        <c:axId val="174929792"/>
      </c:lineChart>
      <c:catAx>
        <c:axId val="174928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929792"/>
        <c:crosses val="autoZero"/>
        <c:auto val="1"/>
        <c:lblAlgn val="ctr"/>
        <c:lblOffset val="100"/>
        <c:noMultiLvlLbl val="0"/>
      </c:catAx>
      <c:valAx>
        <c:axId val="174929792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92825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50514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299</c:v>
                </c:pt>
                <c:pt idx="1">
                  <c:v>323</c:v>
                </c:pt>
                <c:pt idx="2">
                  <c:v>311.43000000005122</c:v>
                </c:pt>
                <c:pt idx="3">
                  <c:v>321.13000000000466</c:v>
                </c:pt>
                <c:pt idx="4">
                  <c:v>293.17999999993481</c:v>
                </c:pt>
                <c:pt idx="5">
                  <c:v>300.15200000000186</c:v>
                </c:pt>
                <c:pt idx="6">
                  <c:v>291.28099999995902</c:v>
                </c:pt>
                <c:pt idx="7">
                  <c:v>278.50700000009965</c:v>
                </c:pt>
                <c:pt idx="8">
                  <c:v>320.31999999994878</c:v>
                </c:pt>
                <c:pt idx="9">
                  <c:v>318</c:v>
                </c:pt>
                <c:pt idx="10">
                  <c:v>314</c:v>
                </c:pt>
                <c:pt idx="11">
                  <c:v>312</c:v>
                </c:pt>
                <c:pt idx="12">
                  <c:v>311</c:v>
                </c:pt>
                <c:pt idx="13">
                  <c:v>293.52000000001863</c:v>
                </c:pt>
                <c:pt idx="14">
                  <c:v>297.47999999998137</c:v>
                </c:pt>
                <c:pt idx="15">
                  <c:v>300</c:v>
                </c:pt>
                <c:pt idx="16">
                  <c:v>296</c:v>
                </c:pt>
                <c:pt idx="17">
                  <c:v>293.61999999999534</c:v>
                </c:pt>
                <c:pt idx="18">
                  <c:v>299.88000000000466</c:v>
                </c:pt>
                <c:pt idx="19">
                  <c:v>288.39000000001397</c:v>
                </c:pt>
                <c:pt idx="20">
                  <c:v>288.48999999999069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640</c:v>
                </c:pt>
                <c:pt idx="1">
                  <c:v>618.60000000000036</c:v>
                </c:pt>
                <c:pt idx="2">
                  <c:v>602.77000000003318</c:v>
                </c:pt>
                <c:pt idx="3">
                  <c:v>586.96999999986292</c:v>
                </c:pt>
                <c:pt idx="4">
                  <c:v>597.92000000011285</c:v>
                </c:pt>
                <c:pt idx="5">
                  <c:v>477.64800000000105</c:v>
                </c:pt>
                <c:pt idx="6">
                  <c:v>603.41900000003807</c:v>
                </c:pt>
                <c:pt idx="7">
                  <c:v>619.59299999990071</c:v>
                </c:pt>
                <c:pt idx="8">
                  <c:v>567.48000000005413</c:v>
                </c:pt>
                <c:pt idx="9">
                  <c:v>577.59999999999673</c:v>
                </c:pt>
                <c:pt idx="10">
                  <c:v>582</c:v>
                </c:pt>
                <c:pt idx="11">
                  <c:v>593</c:v>
                </c:pt>
                <c:pt idx="12">
                  <c:v>609</c:v>
                </c:pt>
                <c:pt idx="13">
                  <c:v>551.47999999998137</c:v>
                </c:pt>
                <c:pt idx="14">
                  <c:v>593.52000000001863</c:v>
                </c:pt>
                <c:pt idx="15">
                  <c:v>566</c:v>
                </c:pt>
                <c:pt idx="16">
                  <c:v>573</c:v>
                </c:pt>
                <c:pt idx="17">
                  <c:v>596.76999999992404</c:v>
                </c:pt>
                <c:pt idx="18">
                  <c:v>542.06000000010681</c:v>
                </c:pt>
                <c:pt idx="19">
                  <c:v>552.20999999996275</c:v>
                </c:pt>
                <c:pt idx="20">
                  <c:v>547.67999999996391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116</c:v>
                </c:pt>
                <c:pt idx="1">
                  <c:v>130</c:v>
                </c:pt>
                <c:pt idx="2">
                  <c:v>129.10000000000582</c:v>
                </c:pt>
                <c:pt idx="3">
                  <c:v>117.89999999999418</c:v>
                </c:pt>
                <c:pt idx="4">
                  <c:v>113</c:v>
                </c:pt>
                <c:pt idx="5">
                  <c:v>96</c:v>
                </c:pt>
                <c:pt idx="6">
                  <c:v>108</c:v>
                </c:pt>
                <c:pt idx="7">
                  <c:v>105</c:v>
                </c:pt>
                <c:pt idx="8">
                  <c:v>106</c:v>
                </c:pt>
                <c:pt idx="9">
                  <c:v>113</c:v>
                </c:pt>
                <c:pt idx="10">
                  <c:v>109</c:v>
                </c:pt>
                <c:pt idx="11">
                  <c:v>114</c:v>
                </c:pt>
                <c:pt idx="12">
                  <c:v>63</c:v>
                </c:pt>
                <c:pt idx="13">
                  <c:v>132</c:v>
                </c:pt>
                <c:pt idx="14">
                  <c:v>111</c:v>
                </c:pt>
                <c:pt idx="15">
                  <c:v>118</c:v>
                </c:pt>
                <c:pt idx="16">
                  <c:v>103</c:v>
                </c:pt>
                <c:pt idx="17">
                  <c:v>113.63000000000466</c:v>
                </c:pt>
                <c:pt idx="18">
                  <c:v>97.869999999995343</c:v>
                </c:pt>
                <c:pt idx="19">
                  <c:v>96.269999999989523</c:v>
                </c:pt>
                <c:pt idx="20">
                  <c:v>81.880000000004657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287680"/>
        <c:axId val="175301760"/>
      </c:lineChart>
      <c:catAx>
        <c:axId val="17528768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75301760"/>
        <c:crosses val="autoZero"/>
        <c:auto val="1"/>
        <c:lblAlgn val="ctr"/>
        <c:lblOffset val="100"/>
        <c:noMultiLvlLbl val="0"/>
      </c:catAx>
      <c:valAx>
        <c:axId val="17530176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7528768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40341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0.29640435297601436</c:v>
                </c:pt>
                <c:pt idx="1">
                  <c:v>8374</c:v>
                </c:pt>
                <c:pt idx="2">
                  <c:v>8347</c:v>
                </c:pt>
                <c:pt idx="3">
                  <c:v>7679</c:v>
                </c:pt>
                <c:pt idx="4">
                  <c:v>0</c:v>
                </c:pt>
                <c:pt idx="5">
                  <c:v>9008</c:v>
                </c:pt>
                <c:pt idx="6">
                  <c:v>8056.1999999999971</c:v>
                </c:pt>
                <c:pt idx="7">
                  <c:v>2008</c:v>
                </c:pt>
                <c:pt idx="8">
                  <c:v>13570.419999999984</c:v>
                </c:pt>
                <c:pt idx="9">
                  <c:v>10623.720000000045</c:v>
                </c:pt>
                <c:pt idx="10">
                  <c:v>9978.8499999999331</c:v>
                </c:pt>
                <c:pt idx="11">
                  <c:v>10292.750000000044</c:v>
                </c:pt>
                <c:pt idx="12">
                  <c:v>9751</c:v>
                </c:pt>
                <c:pt idx="13">
                  <c:v>9169.3999999999942</c:v>
                </c:pt>
                <c:pt idx="14">
                  <c:v>9511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02714368"/>
        <c:axId val="102724352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830039</c:v>
                </c:pt>
                <c:pt idx="1">
                  <c:v>858615</c:v>
                </c:pt>
                <c:pt idx="2">
                  <c:v>915840</c:v>
                </c:pt>
                <c:pt idx="3">
                  <c:v>887428</c:v>
                </c:pt>
                <c:pt idx="4">
                  <c:v>0</c:v>
                </c:pt>
                <c:pt idx="5">
                  <c:v>974275</c:v>
                </c:pt>
                <c:pt idx="6">
                  <c:v>1002795</c:v>
                </c:pt>
                <c:pt idx="7">
                  <c:v>1028046.66</c:v>
                </c:pt>
                <c:pt idx="8">
                  <c:v>65526</c:v>
                </c:pt>
                <c:pt idx="9">
                  <c:v>96536</c:v>
                </c:pt>
                <c:pt idx="10">
                  <c:v>125287</c:v>
                </c:pt>
                <c:pt idx="11">
                  <c:v>155363</c:v>
                </c:pt>
                <c:pt idx="12">
                  <c:v>184096</c:v>
                </c:pt>
                <c:pt idx="13">
                  <c:v>213347</c:v>
                </c:pt>
                <c:pt idx="14">
                  <c:v>242008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25888"/>
        <c:axId val="102727680"/>
      </c:lineChart>
      <c:catAx>
        <c:axId val="102714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24352"/>
        <c:crosses val="autoZero"/>
        <c:auto val="1"/>
        <c:lblAlgn val="ctr"/>
        <c:lblOffset val="100"/>
        <c:noMultiLvlLbl val="0"/>
      </c:catAx>
      <c:valAx>
        <c:axId val="102724352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14368"/>
        <c:crosses val="autoZero"/>
        <c:crossBetween val="between"/>
        <c:minorUnit val="50"/>
      </c:valAx>
      <c:catAx>
        <c:axId val="102725888"/>
        <c:scaling>
          <c:orientation val="minMax"/>
        </c:scaling>
        <c:delete val="1"/>
        <c:axPos val="b"/>
        <c:majorTickMark val="out"/>
        <c:minorTickMark val="none"/>
        <c:tickLblPos val="none"/>
        <c:crossAx val="102727680"/>
        <c:crosses val="autoZero"/>
        <c:auto val="1"/>
        <c:lblAlgn val="ctr"/>
        <c:lblOffset val="100"/>
        <c:noMultiLvlLbl val="0"/>
      </c:catAx>
      <c:valAx>
        <c:axId val="10272768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25888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80928"/>
        <c:axId val="102782464"/>
      </c:lineChart>
      <c:catAx>
        <c:axId val="102780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82464"/>
        <c:crosses val="autoZero"/>
        <c:auto val="1"/>
        <c:lblAlgn val="ctr"/>
        <c:lblOffset val="100"/>
        <c:noMultiLvlLbl val="0"/>
      </c:catAx>
      <c:valAx>
        <c:axId val="102782464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8092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830039</c:v>
                </c:pt>
                <c:pt idx="1">
                  <c:v>858615</c:v>
                </c:pt>
                <c:pt idx="2">
                  <c:v>915840</c:v>
                </c:pt>
                <c:pt idx="3">
                  <c:v>887428</c:v>
                </c:pt>
                <c:pt idx="4">
                  <c:v>0</c:v>
                </c:pt>
                <c:pt idx="5">
                  <c:v>974275</c:v>
                </c:pt>
                <c:pt idx="6">
                  <c:v>1002795</c:v>
                </c:pt>
                <c:pt idx="7">
                  <c:v>1028046.66</c:v>
                </c:pt>
                <c:pt idx="8">
                  <c:v>65526</c:v>
                </c:pt>
                <c:pt idx="9">
                  <c:v>96536</c:v>
                </c:pt>
                <c:pt idx="10">
                  <c:v>125287</c:v>
                </c:pt>
                <c:pt idx="11">
                  <c:v>155363</c:v>
                </c:pt>
                <c:pt idx="12">
                  <c:v>184096</c:v>
                </c:pt>
                <c:pt idx="13">
                  <c:v>213347</c:v>
                </c:pt>
                <c:pt idx="14">
                  <c:v>242008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02815616"/>
        <c:axId val="102817152"/>
      </c:lineChart>
      <c:catAx>
        <c:axId val="102815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17152"/>
        <c:crosses val="autoZero"/>
        <c:auto val="1"/>
        <c:lblAlgn val="ctr"/>
        <c:lblOffset val="100"/>
        <c:noMultiLvlLbl val="0"/>
      </c:catAx>
      <c:valAx>
        <c:axId val="102817152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156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408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245</c:v>
                </c:pt>
                <c:pt idx="1">
                  <c:v>233</c:v>
                </c:pt>
                <c:pt idx="2">
                  <c:v>302</c:v>
                </c:pt>
                <c:pt idx="3">
                  <c:v>249</c:v>
                </c:pt>
                <c:pt idx="4">
                  <c:v>0</c:v>
                </c:pt>
                <c:pt idx="5">
                  <c:v>176</c:v>
                </c:pt>
                <c:pt idx="6">
                  <c:v>256</c:v>
                </c:pt>
                <c:pt idx="7">
                  <c:v>175</c:v>
                </c:pt>
                <c:pt idx="8">
                  <c:v>222</c:v>
                </c:pt>
                <c:pt idx="9">
                  <c:v>197</c:v>
                </c:pt>
                <c:pt idx="10">
                  <c:v>214</c:v>
                </c:pt>
                <c:pt idx="11">
                  <c:v>190</c:v>
                </c:pt>
                <c:pt idx="12">
                  <c:v>212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236736"/>
        <c:axId val="103238272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830039</c:v>
                </c:pt>
                <c:pt idx="1">
                  <c:v>858615</c:v>
                </c:pt>
                <c:pt idx="2">
                  <c:v>915840</c:v>
                </c:pt>
                <c:pt idx="3">
                  <c:v>887428</c:v>
                </c:pt>
                <c:pt idx="4">
                  <c:v>0</c:v>
                </c:pt>
                <c:pt idx="5">
                  <c:v>974275</c:v>
                </c:pt>
                <c:pt idx="6">
                  <c:v>1002795</c:v>
                </c:pt>
                <c:pt idx="7">
                  <c:v>1028046.66</c:v>
                </c:pt>
                <c:pt idx="8">
                  <c:v>65526</c:v>
                </c:pt>
                <c:pt idx="9">
                  <c:v>96536</c:v>
                </c:pt>
                <c:pt idx="10">
                  <c:v>125287</c:v>
                </c:pt>
                <c:pt idx="11">
                  <c:v>155363</c:v>
                </c:pt>
                <c:pt idx="12">
                  <c:v>184096</c:v>
                </c:pt>
                <c:pt idx="13">
                  <c:v>213347</c:v>
                </c:pt>
                <c:pt idx="14">
                  <c:v>242008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248256"/>
        <c:axId val="103249792"/>
      </c:lineChart>
      <c:catAx>
        <c:axId val="103236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238272"/>
        <c:crosses val="autoZero"/>
        <c:auto val="1"/>
        <c:lblAlgn val="ctr"/>
        <c:lblOffset val="100"/>
        <c:noMultiLvlLbl val="0"/>
      </c:catAx>
      <c:valAx>
        <c:axId val="103238272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236736"/>
        <c:crosses val="autoZero"/>
        <c:crossBetween val="between"/>
      </c:valAx>
      <c:catAx>
        <c:axId val="103248256"/>
        <c:scaling>
          <c:orientation val="minMax"/>
        </c:scaling>
        <c:delete val="1"/>
        <c:axPos val="b"/>
        <c:majorTickMark val="out"/>
        <c:minorTickMark val="none"/>
        <c:tickLblPos val="none"/>
        <c:crossAx val="103249792"/>
        <c:crosses val="autoZero"/>
        <c:auto val="1"/>
        <c:lblAlgn val="ctr"/>
        <c:lblOffset val="100"/>
        <c:noMultiLvlLbl val="0"/>
      </c:catAx>
      <c:valAx>
        <c:axId val="10324979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2482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20</c:v>
                </c:pt>
                <c:pt idx="1">
                  <c:v>27</c:v>
                </c:pt>
                <c:pt idx="2">
                  <c:v>57</c:v>
                </c:pt>
                <c:pt idx="3">
                  <c:v>21</c:v>
                </c:pt>
                <c:pt idx="4">
                  <c:v>0</c:v>
                </c:pt>
                <c:pt idx="5">
                  <c:v>29</c:v>
                </c:pt>
                <c:pt idx="6">
                  <c:v>46</c:v>
                </c:pt>
                <c:pt idx="7">
                  <c:v>39</c:v>
                </c:pt>
                <c:pt idx="8">
                  <c:v>48</c:v>
                </c:pt>
                <c:pt idx="9">
                  <c:v>41</c:v>
                </c:pt>
                <c:pt idx="10">
                  <c:v>44</c:v>
                </c:pt>
                <c:pt idx="11">
                  <c:v>45</c:v>
                </c:pt>
                <c:pt idx="12">
                  <c:v>45</c:v>
                </c:pt>
                <c:pt idx="13">
                  <c:v>47</c:v>
                </c:pt>
                <c:pt idx="14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24</c:v>
                </c:pt>
                <c:pt idx="1">
                  <c:v>8</c:v>
                </c:pt>
                <c:pt idx="2">
                  <c:v>7</c:v>
                </c:pt>
                <c:pt idx="3">
                  <c:v>8</c:v>
                </c:pt>
                <c:pt idx="4">
                  <c:v>0</c:v>
                </c:pt>
                <c:pt idx="5">
                  <c:v>4</c:v>
                </c:pt>
                <c:pt idx="6">
                  <c:v>6</c:v>
                </c:pt>
                <c:pt idx="7">
                  <c:v>6</c:v>
                </c:pt>
                <c:pt idx="8">
                  <c:v>9</c:v>
                </c:pt>
                <c:pt idx="9">
                  <c:v>15</c:v>
                </c:pt>
                <c:pt idx="10">
                  <c:v>8</c:v>
                </c:pt>
                <c:pt idx="11">
                  <c:v>7</c:v>
                </c:pt>
                <c:pt idx="12">
                  <c:v>8</c:v>
                </c:pt>
                <c:pt idx="13">
                  <c:v>214</c:v>
                </c:pt>
                <c:pt idx="14">
                  <c:v>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506304"/>
        <c:axId val="103507840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830039</c:v>
                </c:pt>
                <c:pt idx="1">
                  <c:v>858615</c:v>
                </c:pt>
                <c:pt idx="2">
                  <c:v>915840</c:v>
                </c:pt>
                <c:pt idx="3">
                  <c:v>887428</c:v>
                </c:pt>
                <c:pt idx="4">
                  <c:v>0</c:v>
                </c:pt>
                <c:pt idx="5">
                  <c:v>974275</c:v>
                </c:pt>
                <c:pt idx="6">
                  <c:v>1002795</c:v>
                </c:pt>
                <c:pt idx="7">
                  <c:v>1028046.66</c:v>
                </c:pt>
                <c:pt idx="8">
                  <c:v>65526</c:v>
                </c:pt>
                <c:pt idx="9">
                  <c:v>96536</c:v>
                </c:pt>
                <c:pt idx="10">
                  <c:v>125287</c:v>
                </c:pt>
                <c:pt idx="11">
                  <c:v>155363</c:v>
                </c:pt>
                <c:pt idx="12">
                  <c:v>184096</c:v>
                </c:pt>
                <c:pt idx="13">
                  <c:v>213347</c:v>
                </c:pt>
                <c:pt idx="14">
                  <c:v>242008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509376"/>
        <c:axId val="103515264"/>
      </c:lineChart>
      <c:catAx>
        <c:axId val="103506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507840"/>
        <c:crosses val="autoZero"/>
        <c:auto val="1"/>
        <c:lblAlgn val="ctr"/>
        <c:lblOffset val="100"/>
        <c:noMultiLvlLbl val="0"/>
      </c:catAx>
      <c:valAx>
        <c:axId val="103507840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506304"/>
        <c:crosses val="autoZero"/>
        <c:crossBetween val="between"/>
        <c:majorUnit val="2"/>
      </c:valAx>
      <c:catAx>
        <c:axId val="103509376"/>
        <c:scaling>
          <c:orientation val="minMax"/>
        </c:scaling>
        <c:delete val="1"/>
        <c:axPos val="b"/>
        <c:majorTickMark val="out"/>
        <c:minorTickMark val="none"/>
        <c:tickLblPos val="none"/>
        <c:crossAx val="103515264"/>
        <c:crosses val="autoZero"/>
        <c:auto val="1"/>
        <c:lblAlgn val="ctr"/>
        <c:lblOffset val="100"/>
        <c:noMultiLvlLbl val="0"/>
      </c:catAx>
      <c:valAx>
        <c:axId val="10351526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509376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opLeftCell="A14" workbookViewId="0">
      <selection activeCell="C2" sqref="C2:C32"/>
    </sheetView>
  </sheetViews>
  <sheetFormatPr defaultColWidth="9" defaultRowHeight="1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>
      <c r="A2" s="272" t="s">
        <v>268</v>
      </c>
      <c r="B2" s="273">
        <v>1</v>
      </c>
      <c r="C2" s="273">
        <v>6</v>
      </c>
      <c r="D2" s="274">
        <v>2022</v>
      </c>
      <c r="E2" s="275">
        <f>(IF('Daily HLP'!H4&gt;0,'Daily HLP'!H4,0))</f>
        <v>28059</v>
      </c>
      <c r="F2" s="276">
        <v>9</v>
      </c>
      <c r="G2" s="276">
        <f>(IF('Daily HLP'!L4&gt;0,'Daily HLP'!L4,0))</f>
        <v>1098</v>
      </c>
      <c r="H2" s="276">
        <v>75</v>
      </c>
      <c r="I2" s="276">
        <f>(IF('Daily HLP'!O4&gt;0,'Daily HLP'!O4,0))</f>
        <v>316</v>
      </c>
      <c r="J2" s="276">
        <v>100</v>
      </c>
      <c r="K2" s="281">
        <f>Occupancy!G2</f>
        <v>168</v>
      </c>
      <c r="L2" s="275">
        <f>Occupancy!F2</f>
        <v>401</v>
      </c>
      <c r="M2" s="277" t="e">
        <f>E2*F2+G2*H2+#REF!*#REF!+I2*J2</f>
        <v>#REF!</v>
      </c>
    </row>
    <row r="3" spans="1:13">
      <c r="A3" s="272" t="s">
        <v>268</v>
      </c>
      <c r="B3" s="273">
        <f>B2+1</f>
        <v>2</v>
      </c>
      <c r="C3" s="273">
        <v>6</v>
      </c>
      <c r="D3" s="274">
        <v>2022</v>
      </c>
      <c r="E3" s="275">
        <f>(IF('Daily HLP'!H5&gt;0,'Daily HLP'!H5,0))</f>
        <v>28576</v>
      </c>
      <c r="F3" s="276">
        <v>9</v>
      </c>
      <c r="G3" s="276">
        <f>(IF('Daily HLP'!L5&gt;0,'Daily HLP'!L5,0))</f>
        <v>1043</v>
      </c>
      <c r="H3" s="276">
        <v>75</v>
      </c>
      <c r="I3" s="276">
        <f>(IF('Daily HLP'!O5&gt;0,'Daily HLP'!O5,0))</f>
        <v>316</v>
      </c>
      <c r="J3" s="276">
        <v>100</v>
      </c>
      <c r="K3" s="281">
        <f>Occupancy!G3</f>
        <v>164</v>
      </c>
      <c r="L3" s="275">
        <f>Occupancy!F3</f>
        <v>329</v>
      </c>
      <c r="M3" s="277" t="e">
        <f>E3*F3+G3*H3+#REF!*#REF!+I3*J3</f>
        <v>#REF!</v>
      </c>
    </row>
    <row r="4" spans="1:13">
      <c r="A4" s="272" t="s">
        <v>268</v>
      </c>
      <c r="B4" s="273">
        <f t="shared" ref="B4:B32" si="0">B3+1</f>
        <v>3</v>
      </c>
      <c r="C4" s="273">
        <v>6</v>
      </c>
      <c r="D4" s="274">
        <v>2022</v>
      </c>
      <c r="E4" s="275">
        <f>(IF('Daily HLP'!H6&gt;0,'Daily HLP'!H6,0))</f>
        <v>28813</v>
      </c>
      <c r="F4" s="276">
        <v>9</v>
      </c>
      <c r="G4" s="276">
        <f>(IF('Daily HLP'!L6&gt;0,'Daily HLP'!L6,0))</f>
        <v>1104</v>
      </c>
      <c r="H4" s="276">
        <v>75</v>
      </c>
      <c r="I4" s="276">
        <f>(IF('Daily HLP'!O6&gt;0,'Daily HLP'!O6,0))</f>
        <v>304</v>
      </c>
      <c r="J4" s="276">
        <v>100</v>
      </c>
      <c r="K4" s="281">
        <f>Occupancy!G4</f>
        <v>167</v>
      </c>
      <c r="L4" s="275">
        <f>Occupancy!F4</f>
        <v>329</v>
      </c>
      <c r="M4" s="277" t="e">
        <f>E4*F4+G4*H4+#REF!*#REF!+I4*J4</f>
        <v>#REF!</v>
      </c>
    </row>
    <row r="5" spans="1:13">
      <c r="A5" s="272" t="s">
        <v>268</v>
      </c>
      <c r="B5" s="273">
        <f t="shared" si="0"/>
        <v>4</v>
      </c>
      <c r="C5" s="273">
        <v>6</v>
      </c>
      <c r="D5" s="274">
        <v>2022</v>
      </c>
      <c r="E5" s="275">
        <f>(IF('Daily HLP'!H7&gt;0,'Daily HLP'!H7,0))</f>
        <v>28412</v>
      </c>
      <c r="F5" s="276">
        <v>9</v>
      </c>
      <c r="G5" s="276">
        <f>(IF('Daily HLP'!L7&gt;0,'Daily HLP'!L7,0))</f>
        <v>1121</v>
      </c>
      <c r="H5" s="276">
        <v>75</v>
      </c>
      <c r="I5" s="276">
        <f>(IF('Daily HLP'!O7&gt;0,'Daily HLP'!O7,0))</f>
        <v>314</v>
      </c>
      <c r="J5" s="276">
        <v>100</v>
      </c>
      <c r="K5" s="281">
        <f>Occupancy!G5</f>
        <v>146</v>
      </c>
      <c r="L5" s="275">
        <f>Occupancy!F5</f>
        <v>366</v>
      </c>
      <c r="M5" s="277" t="e">
        <f>E5*F5+G5*H5+#REF!*#REF!+I5*J5</f>
        <v>#REF!</v>
      </c>
    </row>
    <row r="6" spans="1:13">
      <c r="A6" s="272" t="s">
        <v>268</v>
      </c>
      <c r="B6" s="273">
        <f t="shared" si="0"/>
        <v>5</v>
      </c>
      <c r="C6" s="273">
        <v>6</v>
      </c>
      <c r="D6" s="274">
        <v>2022</v>
      </c>
      <c r="E6" s="275">
        <f>(IF('Daily HLP'!H8&gt;0,'Daily HLP'!H8,0))</f>
        <v>27996</v>
      </c>
      <c r="F6" s="276">
        <v>9</v>
      </c>
      <c r="G6" s="276">
        <f>(IF('Daily HLP'!L8&gt;0,'Daily HLP'!L8,0))</f>
        <v>1118</v>
      </c>
      <c r="H6" s="276">
        <v>75</v>
      </c>
      <c r="I6" s="276">
        <f>(IF('Daily HLP'!O8&gt;0,'Daily HLP'!O8,0))</f>
        <v>307</v>
      </c>
      <c r="J6" s="276">
        <v>100</v>
      </c>
      <c r="K6" s="281">
        <f>Occupancy!G6</f>
        <v>90</v>
      </c>
      <c r="L6" s="275">
        <f>Occupancy!F6</f>
        <v>338</v>
      </c>
      <c r="M6" s="277" t="e">
        <f>E6*F6+G6*H6+#REF!*#REF!+I6*J6</f>
        <v>#REF!</v>
      </c>
    </row>
    <row r="7" spans="1:13">
      <c r="A7" s="272" t="s">
        <v>268</v>
      </c>
      <c r="B7" s="273">
        <f t="shared" si="0"/>
        <v>6</v>
      </c>
      <c r="C7" s="273">
        <v>6</v>
      </c>
      <c r="D7" s="274">
        <v>2022</v>
      </c>
      <c r="E7" s="275">
        <f>(IF('Daily HLP'!H9&gt;0,'Daily HLP'!H9,0))</f>
        <v>30439</v>
      </c>
      <c r="F7" s="276">
        <v>9</v>
      </c>
      <c r="G7" s="276">
        <f>(IF('Daily HLP'!L9&gt;0,'Daily HLP'!L9,0))</f>
        <v>1084.6000000000931</v>
      </c>
      <c r="H7" s="276">
        <v>75</v>
      </c>
      <c r="I7" s="276">
        <f>(IF('Daily HLP'!O9&gt;0,'Daily HLP'!O9,0))</f>
        <v>355</v>
      </c>
      <c r="J7" s="276">
        <v>100</v>
      </c>
      <c r="K7" s="281">
        <f>Occupancy!G7</f>
        <v>154</v>
      </c>
      <c r="L7" s="275">
        <f>Occupancy!F7</f>
        <v>420</v>
      </c>
      <c r="M7" s="277" t="e">
        <f>E7*F7+G7*H7+#REF!*#REF!+I7*J7</f>
        <v>#REF!</v>
      </c>
    </row>
    <row r="8" spans="1:13">
      <c r="A8" s="272" t="s">
        <v>268</v>
      </c>
      <c r="B8" s="273">
        <f t="shared" si="0"/>
        <v>7</v>
      </c>
      <c r="C8" s="273">
        <v>6</v>
      </c>
      <c r="D8" s="274">
        <v>2022</v>
      </c>
      <c r="E8" s="275">
        <f>(IF('Daily HLP'!H10&gt;0,'Daily HLP'!H10,0))</f>
        <v>28520</v>
      </c>
      <c r="F8" s="276">
        <v>9</v>
      </c>
      <c r="G8" s="276">
        <f>(IF('Daily HLP'!L10&gt;0,'Daily HLP'!L10,0))</f>
        <v>1078.5999999998603</v>
      </c>
      <c r="H8" s="276">
        <v>75</v>
      </c>
      <c r="I8" s="276">
        <f>(IF('Daily HLP'!O10&gt;0,'Daily HLP'!O10,0))</f>
        <v>218</v>
      </c>
      <c r="J8" s="276">
        <v>100</v>
      </c>
      <c r="K8" s="281">
        <f>Occupancy!G8</f>
        <v>158</v>
      </c>
      <c r="L8" s="275">
        <f>Occupancy!F8</f>
        <v>584</v>
      </c>
      <c r="M8" s="277" t="e">
        <f>E8*F8+G8*H8+#REF!*#REF!+I8*J8</f>
        <v>#REF!</v>
      </c>
    </row>
    <row r="9" spans="1:13">
      <c r="A9" s="272" t="s">
        <v>268</v>
      </c>
      <c r="B9" s="273">
        <f t="shared" si="0"/>
        <v>8</v>
      </c>
      <c r="C9" s="273">
        <v>6</v>
      </c>
      <c r="D9" s="274">
        <v>2022</v>
      </c>
      <c r="E9" s="275">
        <f>(IF('Daily HLP'!H11&gt;0,'Daily HLP'!H11,0))</f>
        <v>25251.660000000033</v>
      </c>
      <c r="F9" s="276">
        <v>9</v>
      </c>
      <c r="G9" s="276">
        <f>(IF('Daily HLP'!L11&gt;0,'Daily HLP'!L11,0))</f>
        <v>1052.8000000000466</v>
      </c>
      <c r="H9" s="276">
        <v>75</v>
      </c>
      <c r="I9" s="276">
        <f>(IF('Daily HLP'!O11&gt;0,'Daily HLP'!O11,0))</f>
        <v>195</v>
      </c>
      <c r="J9" s="276">
        <v>100</v>
      </c>
      <c r="K9" s="281">
        <f>Occupancy!G9</f>
        <v>161</v>
      </c>
      <c r="L9" s="275">
        <f>Occupancy!F9</f>
        <v>681</v>
      </c>
      <c r="M9" s="277" t="e">
        <f>E9*F9+G9*H9+#REF!*#REF!+I9*J9</f>
        <v>#REF!</v>
      </c>
    </row>
    <row r="10" spans="1:13">
      <c r="A10" s="272" t="s">
        <v>268</v>
      </c>
      <c r="B10" s="273">
        <f t="shared" si="0"/>
        <v>9</v>
      </c>
      <c r="C10" s="273">
        <v>6</v>
      </c>
      <c r="D10" s="274">
        <v>2022</v>
      </c>
      <c r="E10" s="275">
        <f>(IF('Daily HLP'!H12&gt;0,'Daily HLP'!H12,0))</f>
        <v>30800.440000000002</v>
      </c>
      <c r="F10" s="276">
        <v>9</v>
      </c>
      <c r="G10" s="276">
        <f>(IF('Daily HLP'!L12&gt;0,'Daily HLP'!L12,0))</f>
        <v>916</v>
      </c>
      <c r="H10" s="276">
        <v>75</v>
      </c>
      <c r="I10" s="276">
        <f>(IF('Daily HLP'!O12&gt;0,'Daily HLP'!O12,0))</f>
        <v>280</v>
      </c>
      <c r="J10" s="276">
        <v>100</v>
      </c>
      <c r="K10" s="281">
        <f>Occupancy!G10</f>
        <v>162</v>
      </c>
      <c r="L10" s="275">
        <f>Occupancy!F10</f>
        <v>337</v>
      </c>
      <c r="M10" s="277" t="e">
        <f>E10*F10+G10*H10+#REF!*#REF!+I10*J10</f>
        <v>#REF!</v>
      </c>
    </row>
    <row r="11" spans="1:13">
      <c r="A11" s="272" t="s">
        <v>268</v>
      </c>
      <c r="B11" s="273">
        <f t="shared" si="0"/>
        <v>10</v>
      </c>
      <c r="C11" s="273">
        <v>6</v>
      </c>
      <c r="D11" s="274">
        <v>2022</v>
      </c>
      <c r="E11" s="275">
        <f>(IF('Daily HLP'!H13&gt;0,'Daily HLP'!H13,0))</f>
        <v>31010</v>
      </c>
      <c r="F11" s="276">
        <v>9</v>
      </c>
      <c r="G11" s="276">
        <f>(IF('Daily HLP'!L13&gt;0,'Daily HLP'!L13,0))</f>
        <v>1061.5</v>
      </c>
      <c r="H11" s="276">
        <v>75</v>
      </c>
      <c r="I11" s="276">
        <f>(IF('Daily HLP'!O13&gt;0,'Daily HLP'!O13,0))</f>
        <v>200</v>
      </c>
      <c r="J11" s="276">
        <v>100</v>
      </c>
      <c r="K11" s="281">
        <f>Occupancy!G11</f>
        <v>162</v>
      </c>
      <c r="L11" s="275">
        <f>Occupancy!F11</f>
        <v>481</v>
      </c>
      <c r="M11" s="277" t="e">
        <f>E11*F11+G11*H11+#REF!*#REF!+I11*J11</f>
        <v>#REF!</v>
      </c>
    </row>
    <row r="12" spans="1:13">
      <c r="A12" s="272" t="s">
        <v>268</v>
      </c>
      <c r="B12" s="273">
        <f t="shared" si="0"/>
        <v>11</v>
      </c>
      <c r="C12" s="273">
        <v>6</v>
      </c>
      <c r="D12" s="274">
        <v>2022</v>
      </c>
      <c r="E12" s="275">
        <f>(IF('Daily HLP'!H14&gt;0,'Daily HLP'!H14,0))</f>
        <v>28751</v>
      </c>
      <c r="F12" s="276">
        <v>9</v>
      </c>
      <c r="G12" s="276">
        <f>(IF('Daily HLP'!L14&gt;0,'Daily HLP'!L14,0))</f>
        <v>1053.5</v>
      </c>
      <c r="H12" s="276">
        <v>75</v>
      </c>
      <c r="I12" s="276">
        <f>(IF('Daily HLP'!O14&gt;0,'Daily HLP'!O14,0))</f>
        <v>360</v>
      </c>
      <c r="J12" s="276">
        <v>100</v>
      </c>
      <c r="K12" s="281">
        <f>Occupancy!G12</f>
        <v>157</v>
      </c>
      <c r="L12" s="275">
        <f>Occupancy!F12</f>
        <v>414</v>
      </c>
      <c r="M12" s="277" t="e">
        <f>E12*F12+G12*H12+#REF!*#REF!+I12*J12</f>
        <v>#REF!</v>
      </c>
    </row>
    <row r="13" spans="1:13">
      <c r="A13" s="272" t="s">
        <v>268</v>
      </c>
      <c r="B13" s="273">
        <f t="shared" si="0"/>
        <v>12</v>
      </c>
      <c r="C13" s="273">
        <v>6</v>
      </c>
      <c r="D13" s="274">
        <v>2022</v>
      </c>
      <c r="E13" s="275">
        <f>(IF('Daily HLP'!H15&gt;0,'Daily HLP'!H15,0))</f>
        <v>30076</v>
      </c>
      <c r="F13" s="276">
        <v>9</v>
      </c>
      <c r="G13" s="276">
        <f>(IF('Daily HLP'!L15&gt;0,'Daily HLP'!L15,0))</f>
        <v>1039</v>
      </c>
      <c r="H13" s="276">
        <v>75</v>
      </c>
      <c r="I13" s="276">
        <f>(IF('Daily HLP'!O15&gt;0,'Daily HLP'!O15,0))</f>
        <v>270</v>
      </c>
      <c r="J13" s="276">
        <v>100</v>
      </c>
      <c r="K13" s="281">
        <f>Occupancy!G13</f>
        <v>141</v>
      </c>
      <c r="L13" s="275">
        <f>Occupancy!F13</f>
        <v>346</v>
      </c>
      <c r="M13" s="277" t="e">
        <f>E13*F13+G13*H13+#REF!*#REF!+I13*J13</f>
        <v>#REF!</v>
      </c>
    </row>
    <row r="14" spans="1:13">
      <c r="A14" s="272" t="s">
        <v>268</v>
      </c>
      <c r="B14" s="273">
        <f t="shared" si="0"/>
        <v>13</v>
      </c>
      <c r="C14" s="273">
        <v>6</v>
      </c>
      <c r="D14" s="274">
        <v>2022</v>
      </c>
      <c r="E14" s="275">
        <f>(IF('Daily HLP'!H16&gt;0,'Daily HLP'!H16,0))</f>
        <v>28733</v>
      </c>
      <c r="F14" s="276">
        <v>9</v>
      </c>
      <c r="G14" s="276">
        <f>(IF('Daily HLP'!L16&gt;0,'Daily HLP'!L16,0))</f>
        <v>1055</v>
      </c>
      <c r="H14" s="276">
        <v>75</v>
      </c>
      <c r="I14" s="276">
        <f>(IF('Daily HLP'!O16&gt;0,'Daily HLP'!O16,0))</f>
        <v>280</v>
      </c>
      <c r="J14" s="276">
        <v>100</v>
      </c>
      <c r="K14" s="281">
        <f>Occupancy!G14</f>
        <v>158</v>
      </c>
      <c r="L14" s="275">
        <f>Occupancy!F14</f>
        <v>728</v>
      </c>
      <c r="M14" s="277" t="e">
        <f>E14*F14+G14*H14+#REF!*#REF!+I14*J14</f>
        <v>#REF!</v>
      </c>
    </row>
    <row r="15" spans="1:13">
      <c r="A15" s="272" t="s">
        <v>268</v>
      </c>
      <c r="B15" s="273">
        <f t="shared" si="0"/>
        <v>14</v>
      </c>
      <c r="C15" s="273">
        <v>6</v>
      </c>
      <c r="D15" s="274">
        <v>2022</v>
      </c>
      <c r="E15" s="275">
        <f>(IF('Daily HLP'!H17&gt;0,'Daily HLP'!H17,0))</f>
        <v>29251</v>
      </c>
      <c r="F15" s="276">
        <v>9</v>
      </c>
      <c r="G15" s="276">
        <f>(IF('Daily HLP'!L17&gt;0,'Daily HLP'!L17,0))</f>
        <v>1050</v>
      </c>
      <c r="H15" s="276">
        <v>75</v>
      </c>
      <c r="I15" s="276">
        <f>(IF('Daily HLP'!O17&gt;0,'Daily HLP'!O17,0))</f>
        <v>290</v>
      </c>
      <c r="J15" s="276">
        <v>100</v>
      </c>
      <c r="K15" s="281">
        <f>Occupancy!G15</f>
        <v>154</v>
      </c>
      <c r="L15" s="275">
        <f>Occupancy!F15</f>
        <v>393</v>
      </c>
      <c r="M15" s="277" t="e">
        <f>E15*F15+G15*H15+#REF!*#REF!+I15*J15</f>
        <v>#REF!</v>
      </c>
    </row>
    <row r="16" spans="1:13">
      <c r="A16" s="272" t="s">
        <v>268</v>
      </c>
      <c r="B16" s="273">
        <f t="shared" si="0"/>
        <v>15</v>
      </c>
      <c r="C16" s="273">
        <v>6</v>
      </c>
      <c r="D16" s="274">
        <v>2022</v>
      </c>
      <c r="E16" s="275">
        <f>(IF('Daily HLP'!H18&gt;0,'Daily HLP'!H18,0))</f>
        <v>28661</v>
      </c>
      <c r="F16" s="276">
        <v>9</v>
      </c>
      <c r="G16" s="276">
        <f>(IF('Daily HLP'!L18&gt;0,'Daily HLP'!L18,0))</f>
        <v>1071</v>
      </c>
      <c r="H16" s="276">
        <v>75</v>
      </c>
      <c r="I16" s="276">
        <f>(IF('Daily HLP'!O18&gt;0,'Daily HLP'!O18,0))</f>
        <v>250</v>
      </c>
      <c r="J16" s="276">
        <v>100</v>
      </c>
      <c r="K16" s="281">
        <f>Occupancy!G16</f>
        <v>157</v>
      </c>
      <c r="L16" s="275">
        <f>Occupancy!F16</f>
        <v>318</v>
      </c>
      <c r="M16" s="277" t="e">
        <f>E16*F16+G16*H16+#REF!*#REF!+I16*J16</f>
        <v>#REF!</v>
      </c>
    </row>
    <row r="17" spans="1:13">
      <c r="A17" s="272" t="s">
        <v>268</v>
      </c>
      <c r="B17" s="273">
        <f t="shared" si="0"/>
        <v>16</v>
      </c>
      <c r="C17" s="273">
        <v>6</v>
      </c>
      <c r="D17" s="274">
        <v>2022</v>
      </c>
      <c r="E17" s="275">
        <f>(IF('Daily HLP'!H19&gt;0,'Daily HLP'!H19,0))</f>
        <v>28628</v>
      </c>
      <c r="F17" s="276">
        <v>9</v>
      </c>
      <c r="G17" s="276">
        <f>(IF('Daily HLP'!L19&gt;0,'Daily HLP'!L19,0))</f>
        <v>1026</v>
      </c>
      <c r="H17" s="276">
        <v>75</v>
      </c>
      <c r="I17" s="276">
        <f>(IF('Daily HLP'!O19&gt;0,'Daily HLP'!O19,0))</f>
        <v>230</v>
      </c>
      <c r="J17" s="276">
        <v>100</v>
      </c>
      <c r="K17" s="281">
        <f>Occupancy!G17</f>
        <v>153</v>
      </c>
      <c r="L17" s="275">
        <f>Occupancy!F17</f>
        <v>549</v>
      </c>
      <c r="M17" s="277" t="e">
        <f>E17*F17+G17*H17+#REF!*#REF!+I17*J17</f>
        <v>#REF!</v>
      </c>
    </row>
    <row r="18" spans="1:13">
      <c r="A18" s="272" t="s">
        <v>268</v>
      </c>
      <c r="B18" s="273">
        <f t="shared" si="0"/>
        <v>17</v>
      </c>
      <c r="C18" s="273">
        <v>6</v>
      </c>
      <c r="D18" s="274">
        <v>2022</v>
      </c>
      <c r="E18" s="275">
        <f>(IF('Daily HLP'!H20&gt;0,'Daily HLP'!H20,0))</f>
        <v>29392</v>
      </c>
      <c r="F18" s="276">
        <v>9</v>
      </c>
      <c r="G18" s="276">
        <f>(IF('Daily HLP'!L20&gt;0,'Daily HLP'!L20,0))</f>
        <v>1015</v>
      </c>
      <c r="H18" s="276">
        <v>75</v>
      </c>
      <c r="I18" s="276">
        <f>(IF('Daily HLP'!O20&gt;0,'Daily HLP'!O20,0))</f>
        <v>283</v>
      </c>
      <c r="J18" s="276">
        <v>100</v>
      </c>
      <c r="K18" s="281">
        <f>Occupancy!G18</f>
        <v>148</v>
      </c>
      <c r="L18" s="275">
        <f>Occupancy!F18</f>
        <v>383</v>
      </c>
      <c r="M18" s="277" t="e">
        <f>E18*F18+G18*H18+#REF!*#REF!+I18*J18</f>
        <v>#REF!</v>
      </c>
    </row>
    <row r="19" spans="1:13">
      <c r="A19" s="272" t="s">
        <v>268</v>
      </c>
      <c r="B19" s="273">
        <f t="shared" si="0"/>
        <v>18</v>
      </c>
      <c r="C19" s="273">
        <v>6</v>
      </c>
      <c r="D19" s="274">
        <v>2022</v>
      </c>
      <c r="E19" s="275">
        <f>(IF('Daily HLP'!H21&gt;0,'Daily HLP'!H21,0))</f>
        <v>29753</v>
      </c>
      <c r="F19" s="276">
        <v>9</v>
      </c>
      <c r="G19" s="276">
        <f>(IF('Daily HLP'!L21&gt;0,'Daily HLP'!L21,0))</f>
        <v>1052</v>
      </c>
      <c r="H19" s="276">
        <v>75</v>
      </c>
      <c r="I19" s="276">
        <f>(IF('Daily HLP'!O21&gt;0,'Daily HLP'!O21,0))</f>
        <v>232</v>
      </c>
      <c r="J19" s="276">
        <v>100</v>
      </c>
      <c r="K19" s="281">
        <f>Occupancy!G19</f>
        <v>164</v>
      </c>
      <c r="L19" s="275">
        <f>Occupancy!F19</f>
        <v>380</v>
      </c>
      <c r="M19" s="277" t="e">
        <f>E19*F19+G19*H19+#REF!*#REF!+I19*J19</f>
        <v>#REF!</v>
      </c>
    </row>
    <row r="20" spans="1:13">
      <c r="A20" s="272" t="s">
        <v>268</v>
      </c>
      <c r="B20" s="273">
        <f t="shared" si="0"/>
        <v>19</v>
      </c>
      <c r="C20" s="273">
        <v>6</v>
      </c>
      <c r="D20" s="274">
        <v>2022</v>
      </c>
      <c r="E20" s="275">
        <f>(IF('Daily HLP'!H22&gt;0,'Daily HLP'!H22,0))</f>
        <v>29068</v>
      </c>
      <c r="F20" s="276">
        <v>9</v>
      </c>
      <c r="G20" s="276">
        <f>(IF('Daily HLP'!L22&gt;0,'Daily HLP'!L22,0))</f>
        <v>1047</v>
      </c>
      <c r="H20" s="276">
        <v>75</v>
      </c>
      <c r="I20" s="276">
        <f>(IF('Daily HLP'!O22&gt;0,'Daily HLP'!O22,0))</f>
        <v>212</v>
      </c>
      <c r="J20" s="276">
        <v>100</v>
      </c>
      <c r="K20" s="281">
        <f>Occupancy!G20</f>
        <v>156</v>
      </c>
      <c r="L20" s="275">
        <f>Occupancy!F20</f>
        <v>642</v>
      </c>
      <c r="M20" s="277" t="e">
        <f>E20*F20+G20*H20+#REF!*#REF!+I20*J20</f>
        <v>#REF!</v>
      </c>
    </row>
    <row r="21" spans="1:13">
      <c r="A21" s="272" t="s">
        <v>268</v>
      </c>
      <c r="B21" s="273">
        <f t="shared" si="0"/>
        <v>20</v>
      </c>
      <c r="C21" s="273">
        <v>6</v>
      </c>
      <c r="D21" s="274">
        <v>2022</v>
      </c>
      <c r="E21" s="275">
        <f>(IF('Daily HLP'!H23&gt;0,'Daily HLP'!H23,0))</f>
        <v>28714</v>
      </c>
      <c r="F21" s="276">
        <v>9</v>
      </c>
      <c r="G21" s="276">
        <f>(IF('Daily HLP'!L23&gt;0,'Daily HLP'!L23,0))</f>
        <v>1014</v>
      </c>
      <c r="H21" s="276">
        <v>75</v>
      </c>
      <c r="I21" s="276">
        <f>(IF('Daily HLP'!O23&gt;0,'Daily HLP'!O23,0))</f>
        <v>253</v>
      </c>
      <c r="J21" s="276">
        <v>100</v>
      </c>
      <c r="K21" s="281">
        <f>Occupancy!G21</f>
        <v>119</v>
      </c>
      <c r="L21" s="275">
        <f>Occupancy!F21</f>
        <v>447</v>
      </c>
      <c r="M21" s="277" t="e">
        <f>E21*F21+G21*H21+#REF!*#REF!+I21*J21</f>
        <v>#REF!</v>
      </c>
    </row>
    <row r="22" spans="1:13">
      <c r="A22" s="272" t="s">
        <v>268</v>
      </c>
      <c r="B22" s="273">
        <f t="shared" si="0"/>
        <v>21</v>
      </c>
      <c r="C22" s="273">
        <v>6</v>
      </c>
      <c r="D22" s="274">
        <v>2022</v>
      </c>
      <c r="E22" s="275">
        <f>(IF('Daily HLP'!H24&gt;0,'Daily HLP'!H24,0))</f>
        <v>27087.109999999986</v>
      </c>
      <c r="F22" s="276">
        <v>9</v>
      </c>
      <c r="G22" s="276">
        <f>(IF('Daily HLP'!L24&gt;0,'Daily HLP'!L24,0))</f>
        <v>1049.4199999999255</v>
      </c>
      <c r="H22" s="276">
        <v>75</v>
      </c>
      <c r="I22" s="276">
        <f>(IF('Daily HLP'!O24&gt;0,'Daily HLP'!O24,0))</f>
        <v>263</v>
      </c>
      <c r="J22" s="276">
        <v>100</v>
      </c>
      <c r="K22" s="281">
        <f>Occupancy!G22</f>
        <v>132</v>
      </c>
      <c r="L22" s="275">
        <f>Occupancy!F22</f>
        <v>389</v>
      </c>
      <c r="M22" s="277" t="e">
        <f>E22*F22+G22*H22+#REF!*#REF!+I22*J22</f>
        <v>#REF!</v>
      </c>
    </row>
    <row r="23" spans="1:13">
      <c r="A23" s="272" t="s">
        <v>268</v>
      </c>
      <c r="B23" s="273">
        <f t="shared" si="0"/>
        <v>22</v>
      </c>
      <c r="C23" s="273">
        <v>6</v>
      </c>
      <c r="D23" s="274">
        <v>2022</v>
      </c>
      <c r="E23" s="275">
        <f>(IF('Daily HLP'!H25&gt;0,'Daily HLP'!H25,0))</f>
        <v>28127</v>
      </c>
      <c r="F23" s="276">
        <v>9</v>
      </c>
      <c r="G23" s="276">
        <f>(IF('Daily HLP'!L25&gt;0,'Daily HLP'!L25,0))</f>
        <v>974.61000000010245</v>
      </c>
      <c r="H23" s="276">
        <v>75</v>
      </c>
      <c r="I23" s="276">
        <f>(IF('Daily HLP'!O25&gt;0,'Daily HLP'!O25,0))</f>
        <v>243</v>
      </c>
      <c r="J23" s="276">
        <v>100</v>
      </c>
      <c r="K23" s="281">
        <f>Occupancy!G23</f>
        <v>139</v>
      </c>
      <c r="L23" s="275">
        <f>Occupancy!F23</f>
        <v>312</v>
      </c>
      <c r="M23" s="277" t="e">
        <f>E23*F23+G23*H23+#REF!*#REF!+I23*J23</f>
        <v>#REF!</v>
      </c>
    </row>
    <row r="24" spans="1:13">
      <c r="A24" s="272" t="s">
        <v>268</v>
      </c>
      <c r="B24" s="273">
        <f t="shared" si="0"/>
        <v>23</v>
      </c>
      <c r="C24" s="273">
        <v>6</v>
      </c>
      <c r="D24" s="274">
        <v>2022</v>
      </c>
      <c r="E24" s="275">
        <f>(IF('Daily HLP'!H26&gt;0,'Daily HLP'!H26,0))</f>
        <v>27477.640000000014</v>
      </c>
      <c r="F24" s="276">
        <v>9</v>
      </c>
      <c r="G24" s="276">
        <f>(IF('Daily HLP'!L26&gt;0,'Daily HLP'!L26,0))</f>
        <v>974.46999999997206</v>
      </c>
      <c r="H24" s="276">
        <v>75</v>
      </c>
      <c r="I24" s="276">
        <f>(IF('Daily HLP'!O26&gt;0,'Daily HLP'!O26,0))</f>
        <v>182</v>
      </c>
      <c r="J24" s="276">
        <v>100</v>
      </c>
      <c r="K24" s="281">
        <f>Occupancy!G24</f>
        <v>129</v>
      </c>
      <c r="L24" s="275">
        <f>Occupancy!F24</f>
        <v>358</v>
      </c>
      <c r="M24" s="277" t="e">
        <f>E24*F24+G24*H24+#REF!*#REF!+I24*J24</f>
        <v>#REF!</v>
      </c>
    </row>
    <row r="25" spans="1:13">
      <c r="A25" s="272" t="s">
        <v>268</v>
      </c>
      <c r="B25" s="273">
        <f t="shared" si="0"/>
        <v>24</v>
      </c>
      <c r="C25" s="273">
        <v>6</v>
      </c>
      <c r="D25" s="274">
        <v>2022</v>
      </c>
      <c r="E25" s="275">
        <f>(IF('Daily HLP'!H27&gt;0,'Daily HLP'!H27,0))</f>
        <v>27996.880000000005</v>
      </c>
      <c r="F25" s="276">
        <v>9</v>
      </c>
      <c r="G25" s="276">
        <f>(IF('Daily HLP'!L27&gt;0,'Daily HLP'!L27,0))</f>
        <v>960.94999999995343</v>
      </c>
      <c r="H25" s="276">
        <v>75</v>
      </c>
      <c r="I25" s="276">
        <f>(IF('Daily HLP'!O27&gt;0,'Daily HLP'!O27,0))</f>
        <v>233</v>
      </c>
      <c r="J25" s="276">
        <v>100</v>
      </c>
      <c r="K25" s="281">
        <f>Occupancy!G25</f>
        <v>122</v>
      </c>
      <c r="L25" s="275">
        <f>Occupancy!F25</f>
        <v>351</v>
      </c>
      <c r="M25" s="277" t="e">
        <f>E25*F25+G25*H25+#REF!*#REF!+I25*J25</f>
        <v>#REF!</v>
      </c>
    </row>
    <row r="26" spans="1:13">
      <c r="A26" s="272" t="s">
        <v>268</v>
      </c>
      <c r="B26" s="273">
        <f>B25+1</f>
        <v>25</v>
      </c>
      <c r="C26" s="273">
        <v>6</v>
      </c>
      <c r="D26" s="274">
        <v>2022</v>
      </c>
      <c r="E26" s="275">
        <f>(IF('Daily HLP'!H28&gt;0,'Daily HLP'!H28,0))</f>
        <v>28030.369999999995</v>
      </c>
      <c r="F26" s="276">
        <v>9</v>
      </c>
      <c r="G26" s="276">
        <f>(IF('Daily HLP'!L28&gt;0,'Daily HLP'!L28,0))</f>
        <v>1006.8500000000931</v>
      </c>
      <c r="H26" s="276">
        <v>75</v>
      </c>
      <c r="I26" s="276">
        <f>(IF('Daily HLP'!O28&gt;0,'Daily HLP'!O28,0))</f>
        <v>210</v>
      </c>
      <c r="J26" s="276">
        <v>100</v>
      </c>
      <c r="K26" s="281">
        <f>Occupancy!G26</f>
        <v>123</v>
      </c>
      <c r="L26" s="275">
        <f>Occupancy!F26</f>
        <v>362</v>
      </c>
      <c r="M26" s="277" t="e">
        <f>E26*F26+G26*H26+#REF!*#REF!+I26*J26</f>
        <v>#REF!</v>
      </c>
    </row>
    <row r="27" spans="1:13">
      <c r="A27" s="272" t="s">
        <v>268</v>
      </c>
      <c r="B27" s="273">
        <f t="shared" si="0"/>
        <v>26</v>
      </c>
      <c r="C27" s="273">
        <v>6</v>
      </c>
      <c r="D27" s="274">
        <v>2022</v>
      </c>
      <c r="E27" s="275">
        <f>(IF('Daily HLP'!H29&gt;0,'Daily HLP'!H29,0))</f>
        <v>27370</v>
      </c>
      <c r="F27" s="276">
        <v>9</v>
      </c>
      <c r="G27" s="276">
        <f>(IF('Daily HLP'!L29&gt;0,'Daily HLP'!L29,0))</f>
        <v>1100</v>
      </c>
      <c r="H27" s="276">
        <v>75</v>
      </c>
      <c r="I27" s="276">
        <f>(IF('Daily HLP'!O29&gt;0,'Daily HLP'!O29,0))</f>
        <v>212</v>
      </c>
      <c r="J27" s="276">
        <v>100</v>
      </c>
      <c r="K27" s="281">
        <f>Occupancy!G27</f>
        <v>97</v>
      </c>
      <c r="L27" s="275">
        <f>Occupancy!F27</f>
        <v>252</v>
      </c>
      <c r="M27" s="277" t="e">
        <f>E27*F27+G27*H27+#REF!*#REF!+I27*J27</f>
        <v>#REF!</v>
      </c>
    </row>
    <row r="28" spans="1:13">
      <c r="A28" s="272" t="s">
        <v>268</v>
      </c>
      <c r="B28" s="273">
        <f t="shared" si="0"/>
        <v>27</v>
      </c>
      <c r="C28" s="273">
        <v>6</v>
      </c>
      <c r="D28" s="274">
        <v>2022</v>
      </c>
      <c r="E28" s="275">
        <f>(IF('Daily HLP'!H30&gt;0,'Daily HLP'!H30,0))</f>
        <v>26539.699999999953</v>
      </c>
      <c r="F28" s="276">
        <v>9</v>
      </c>
      <c r="G28" s="276">
        <f>(IF('Daily HLP'!L30&gt;0,'Daily HLP'!L30,0))</f>
        <v>847.95999999996275</v>
      </c>
      <c r="H28" s="276">
        <v>75</v>
      </c>
      <c r="I28" s="276">
        <f>(IF('Daily HLP'!O30&gt;0,'Daily HLP'!O30,0))</f>
        <v>208</v>
      </c>
      <c r="J28" s="276">
        <v>100</v>
      </c>
      <c r="K28" s="281">
        <f>Occupancy!G28</f>
        <v>105</v>
      </c>
      <c r="L28" s="275">
        <f>Occupancy!F28</f>
        <v>325</v>
      </c>
      <c r="M28" s="277" t="e">
        <f>E28*F28+G28*H28+#REF!*#REF!+I28*J28</f>
        <v>#REF!</v>
      </c>
    </row>
    <row r="29" spans="1:13">
      <c r="A29" s="272" t="s">
        <v>268</v>
      </c>
      <c r="B29" s="273">
        <f t="shared" si="0"/>
        <v>28</v>
      </c>
      <c r="C29" s="273">
        <v>6</v>
      </c>
      <c r="D29" s="274">
        <v>2022</v>
      </c>
      <c r="E29" s="275">
        <f>(IF('Daily HLP'!H31&gt;0,'Daily HLP'!H31,0))</f>
        <v>28321.690000000061</v>
      </c>
      <c r="F29" s="276">
        <v>9</v>
      </c>
      <c r="G29" s="276">
        <f>(IF('Daily HLP'!L31&gt;0,'Daily HLP'!L31,0))</f>
        <v>982.03000000002794</v>
      </c>
      <c r="H29" s="276">
        <v>75</v>
      </c>
      <c r="I29" s="276">
        <f>(IF('Daily HLP'!O31&gt;0,'Daily HLP'!O31,0))</f>
        <v>188</v>
      </c>
      <c r="J29" s="276">
        <v>100</v>
      </c>
      <c r="K29" s="281">
        <f>Occupancy!G29</f>
        <v>129</v>
      </c>
      <c r="L29" s="275">
        <f>Occupancy!F29</f>
        <v>292</v>
      </c>
      <c r="M29" s="277" t="e">
        <f>E29*F29+G29*H29+#REF!*#REF!+I29*J29</f>
        <v>#REF!</v>
      </c>
    </row>
    <row r="30" spans="1:13">
      <c r="A30" s="272" t="s">
        <v>268</v>
      </c>
      <c r="B30" s="273">
        <f t="shared" si="0"/>
        <v>29</v>
      </c>
      <c r="C30" s="273">
        <v>6</v>
      </c>
      <c r="D30" s="274">
        <v>2022</v>
      </c>
      <c r="E30" s="275">
        <f>(IF('Daily HLP'!H32&gt;0,'Daily HLP'!H32,0))</f>
        <v>28500</v>
      </c>
      <c r="F30" s="276">
        <v>9</v>
      </c>
      <c r="G30" s="276">
        <f>(IF('Daily HLP'!L32&gt;0,'Daily HLP'!L32,0))</f>
        <v>1100</v>
      </c>
      <c r="H30" s="276">
        <v>75</v>
      </c>
      <c r="I30" s="276">
        <f>(IF('Daily HLP'!O32&gt;0,'Daily HLP'!O32,0))</f>
        <v>0</v>
      </c>
      <c r="J30" s="276">
        <v>100</v>
      </c>
      <c r="K30" s="281">
        <f>Occupancy!G30</f>
        <v>0</v>
      </c>
      <c r="L30" s="275">
        <f>Occupancy!F30</f>
        <v>0</v>
      </c>
      <c r="M30" s="277" t="e">
        <f>E30*F30+G30*H30+#REF!*#REF!+I30*J30</f>
        <v>#REF!</v>
      </c>
    </row>
    <row r="31" spans="1:13">
      <c r="A31" s="272" t="s">
        <v>268</v>
      </c>
      <c r="B31" s="273">
        <f t="shared" si="0"/>
        <v>30</v>
      </c>
      <c r="C31" s="273">
        <v>6</v>
      </c>
      <c r="D31" s="274">
        <v>2022</v>
      </c>
      <c r="E31" s="275">
        <f>(IF('Daily HLP'!H33&gt;0,'Daily HLP'!H33,0))</f>
        <v>28500</v>
      </c>
      <c r="F31" s="276">
        <v>9</v>
      </c>
      <c r="G31" s="276">
        <f>(IF('Daily HLP'!L33&gt;0,'Daily HLP'!L33,0))</f>
        <v>1100</v>
      </c>
      <c r="H31" s="276">
        <v>75</v>
      </c>
      <c r="I31" s="276">
        <f>(IF('Daily HLP'!O33&gt;0,'Daily HLP'!O33,0))</f>
        <v>285</v>
      </c>
      <c r="J31" s="276">
        <v>100</v>
      </c>
      <c r="K31" s="281">
        <f>Occupancy!G31</f>
        <v>0</v>
      </c>
      <c r="L31" s="275">
        <f>Occupancy!F31</f>
        <v>0</v>
      </c>
      <c r="M31" s="277" t="e">
        <f>E31*F31+G31*H31+#REF!*#REF!+I31*J31</f>
        <v>#REF!</v>
      </c>
    </row>
    <row r="32" spans="1:13" s="275" customFormat="1">
      <c r="A32" s="272" t="s">
        <v>268</v>
      </c>
      <c r="B32" s="273">
        <f t="shared" si="0"/>
        <v>31</v>
      </c>
      <c r="C32" s="273">
        <v>6</v>
      </c>
      <c r="D32" s="274">
        <v>2022</v>
      </c>
      <c r="E32" s="275">
        <f>(IF('Daily HLP'!H34&gt;0,'Daily HLP'!H34,0))</f>
        <v>28500</v>
      </c>
      <c r="F32" s="276">
        <v>9</v>
      </c>
      <c r="G32" s="276">
        <f>(IF('Daily HLP'!L34&gt;0,'Daily HLP'!L34,0))</f>
        <v>1100</v>
      </c>
      <c r="H32" s="276">
        <v>75</v>
      </c>
      <c r="I32" s="276">
        <f>(IF('Daily HLP'!O34&gt;0,'Daily HLP'!O34,0))</f>
        <v>350</v>
      </c>
      <c r="J32" s="276">
        <v>100</v>
      </c>
      <c r="K32" s="281">
        <f>Occupancy!G32</f>
        <v>0</v>
      </c>
      <c r="L32" s="275">
        <f>Occupancy!F32</f>
        <v>0</v>
      </c>
      <c r="M32" s="278"/>
    </row>
    <row r="33" spans="1:13" s="275" customFormat="1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20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>
      <c r="A2" s="287" t="s">
        <v>268</v>
      </c>
      <c r="B2" s="288">
        <v>1</v>
      </c>
      <c r="C2" s="288">
        <v>6</v>
      </c>
      <c r="D2" s="288">
        <v>2022</v>
      </c>
      <c r="E2" s="294">
        <f>(IF('Section Load'!F5&gt;0,'Section Load'!F5,0))</f>
        <v>4475</v>
      </c>
      <c r="F2" s="294">
        <f>(IF('Section Load'!G5&gt;0,'Section Load'!G5,0))</f>
        <v>1714.32</v>
      </c>
      <c r="G2" s="294">
        <f>(IF('Section Load'!H5&gt;0,'Section Load'!H5,0))</f>
        <v>2661.76</v>
      </c>
      <c r="H2" s="294">
        <f>(IF('Section Load'!I5&gt;0,'Section Load'!I5,0))</f>
        <v>3034</v>
      </c>
      <c r="I2" s="294">
        <f>(IF('Section Load'!J5&gt;0,'Section Load'!J5,0))</f>
        <v>8007.6600000000035</v>
      </c>
      <c r="J2" s="294">
        <f>(IF('Section Load'!K5&gt;0,'Section Load'!K5,0))</f>
        <v>2589</v>
      </c>
      <c r="K2" s="294">
        <f>(IF('Section Load'!L5&gt;0,'Section Load'!L5,0))</f>
        <v>815</v>
      </c>
      <c r="L2" s="294">
        <f>(IF('Section Load'!M5&gt;0,'Section Load'!M5,0))</f>
        <v>696</v>
      </c>
      <c r="M2" s="294">
        <f>(IF('Section Load'!N5&gt;0,'Section Load'!N5,0))</f>
        <v>124</v>
      </c>
      <c r="N2" s="294">
        <f>(IF('Section Load'!O5&gt;0,'Section Load'!O5,0))</f>
        <v>149</v>
      </c>
      <c r="O2" s="294">
        <f>(IF('Section Load'!P5&gt;0,'Section Load'!P5,0))</f>
        <v>14</v>
      </c>
      <c r="P2" s="294">
        <f>(IF('Section Load'!Q5&gt;0,'Section Load'!Q5,0))</f>
        <v>223</v>
      </c>
      <c r="Q2" s="294">
        <f>(IF('Section Load'!R5&gt;0,'Section Load'!R5,0))</f>
        <v>174</v>
      </c>
      <c r="R2" s="294">
        <f>(IF('Section Load'!S5&gt;0,'Section Load'!S5,0))</f>
        <v>0</v>
      </c>
      <c r="S2" s="294">
        <f>(IF('Section Load'!T5&gt;0,'Section Load'!T5,0))</f>
        <v>97</v>
      </c>
      <c r="T2" s="294">
        <f>(IF('Section Load'!U5&gt;0,'Section Load'!U5,0))</f>
        <v>251</v>
      </c>
      <c r="U2" s="294">
        <f>(IF('Section Load'!V5&gt;0,'Section Load'!V5,0))</f>
        <v>358</v>
      </c>
      <c r="V2" s="294">
        <f>(IF('Section Load'!W5&gt;0,'Section Load'!W5,0))</f>
        <v>254</v>
      </c>
      <c r="W2" s="294">
        <f>(IF('Section Load'!X5&gt;0,'Section Load'!X5,0))</f>
        <v>28</v>
      </c>
      <c r="X2" s="294">
        <f>(IF('Section Load'!Y5&gt;0,'Section Load'!Y5,0))</f>
        <v>239</v>
      </c>
      <c r="Y2" s="294">
        <f>(IF('Section Load'!Z5&gt;0,'Section Load'!Z5,0))</f>
        <v>272</v>
      </c>
      <c r="Z2" s="294">
        <f>(IF('Section Load'!AA5&gt;0,'Section Load'!AA5,0))</f>
        <v>0</v>
      </c>
      <c r="AA2" s="294">
        <f>(IF('Section Load'!AB5&gt;0,'Section Load'!AB5,0))</f>
        <v>38</v>
      </c>
      <c r="AB2" s="294">
        <f>(IF('Section Load'!AC5&gt;0,'Section Load'!AC5,0))</f>
        <v>0</v>
      </c>
      <c r="AC2" s="294">
        <f>(IF('Section Load'!AD5&gt;0,'Section Load'!AD5,0))</f>
        <v>206</v>
      </c>
      <c r="AD2" s="294">
        <f>(IF('Section Load'!AE5&gt;0,'Section Load'!AE5,0))</f>
        <v>384</v>
      </c>
      <c r="AE2" s="294">
        <f>(IF('Section Load'!AF5&gt;0,'Section Load'!AF5,0))</f>
        <v>237</v>
      </c>
      <c r="AF2" s="294">
        <f>(IF('Section Load'!AG5&gt;0,'Section Load'!AG5,0))</f>
        <v>596</v>
      </c>
      <c r="AG2" s="294">
        <f>(IF('Section Load'!AH5&gt;0,'Section Load'!AH5,0))</f>
        <v>455</v>
      </c>
      <c r="AH2" s="294">
        <f>(IF('Section Load'!AI5&gt;0,'Section Load'!AI5,0))</f>
        <v>467</v>
      </c>
      <c r="AI2" s="294">
        <f>(IF('Section Load'!AJ5&gt;0,'Section Load'!AJ5,0))</f>
        <v>509</v>
      </c>
      <c r="AJ2" s="294">
        <f>(IF('Section Load'!AK5&gt;0,'Section Load'!AK5,0))</f>
        <v>328</v>
      </c>
      <c r="AK2" s="294">
        <f>(IF('Section Load'!AL5&gt;0,'Section Load'!AL5,0))</f>
        <v>713</v>
      </c>
      <c r="AL2" s="294">
        <f>(IF('Section Load'!AM5&gt;0,'Section Load'!AM5,0))</f>
        <v>850</v>
      </c>
      <c r="AM2" s="295">
        <f>(IF('Water Report'!$D$7&gt;0,'Water Report'!$D$7,0))</f>
        <v>190</v>
      </c>
      <c r="AN2" s="295">
        <f>(IF('Water Report'!$D$8&gt;0,'Water Report'!$D$8,0))</f>
        <v>119</v>
      </c>
      <c r="AO2" s="295">
        <f>(IF('Water Report'!$D$9&gt;0,'Water Report'!$D$9,0))</f>
        <v>116</v>
      </c>
      <c r="AP2" s="295">
        <f>(IF('Water Report'!$D$10&gt;0,'Water Report'!$D$10,0))</f>
        <v>18</v>
      </c>
      <c r="AQ2" s="295">
        <f>(IF('Water Report'!$D$11&gt;0,'Water Report'!$D$11,0))</f>
        <v>67</v>
      </c>
      <c r="AR2" s="295">
        <f>(IF('Water Report'!$D$13&gt;0,'Water Report'!$D$13,0))</f>
        <v>15</v>
      </c>
      <c r="AS2" s="295">
        <f>(IF('Water Report'!$D$14&gt;0,'Water Report'!$D$14,0))</f>
        <v>5</v>
      </c>
      <c r="AT2" s="295">
        <f>(IF('Water Report'!$D$15&gt;0,'Water Report'!$D$15,0))</f>
        <v>24</v>
      </c>
      <c r="AU2" s="295">
        <f>(IF('Water Report'!$D$17&gt;0,'Water Report'!$D$17,0))</f>
        <v>1</v>
      </c>
      <c r="AV2" s="295">
        <f>(IF('Water Report'!$D$18&gt;0,'Water Report'!$D$18,0))</f>
        <v>14</v>
      </c>
      <c r="AW2" s="295">
        <f>(IF('Water Report'!$D$19&gt;0,'Water Report'!$D$19,0))</f>
        <v>17</v>
      </c>
      <c r="AX2" s="301">
        <f>(IF('Water Report'!$D$21&gt;0,'Water Report'!$D$21,0))</f>
        <v>103</v>
      </c>
      <c r="AY2" s="301">
        <f>(IF('Water Report'!$D$22&gt;0,'Water Report'!$D$22,0))</f>
        <v>15</v>
      </c>
      <c r="AZ2" s="301">
        <f>(IF('Water Report'!$D$23&gt;0,'Water Report'!$D$23,0))</f>
        <v>20</v>
      </c>
      <c r="BA2" s="301">
        <f>(IF('Water Report'!$D$14&gt;0,'Water Report'!$D$14,0))</f>
        <v>5</v>
      </c>
      <c r="BB2" s="301">
        <f>(IF('Water Report'!$D$15&gt;0,'Water Report'!$D$15,0))</f>
        <v>24</v>
      </c>
      <c r="BC2" s="301">
        <f>(IF('Water Report'!$D$13&gt;0,'Water Report'!$D$13,0))</f>
        <v>15</v>
      </c>
      <c r="BD2" s="301">
        <f>(IF('Water Report'!$D$24&gt;0,'Water Report'!$D$24,0))</f>
        <v>316</v>
      </c>
      <c r="BE2" s="301">
        <f>(IF('Water Report'!$D$25&gt;0,'Water Report'!$D$25,0))</f>
        <v>230</v>
      </c>
      <c r="BF2" s="301">
        <f>(IF('Water Report'!$D$27&gt;0,'Water Report'!$D$27,0))</f>
        <v>138</v>
      </c>
      <c r="BG2" s="296">
        <f>(IF('Section Load'!AN5&gt;0,'Section Load'!AN5,0))</f>
        <v>1098</v>
      </c>
      <c r="BH2" s="296">
        <f>(IF('Section Load'!AO5&gt;0,'Section Load'!AO5,0))</f>
        <v>328</v>
      </c>
      <c r="BI2" s="296">
        <f>(IF('Section Load'!AP5&gt;0,'Section Load'!AP5,0))</f>
        <v>0</v>
      </c>
      <c r="BJ2" s="296">
        <f>(IF('Section Load'!AQ5&gt;0,'Section Load'!AQ5,0))</f>
        <v>105</v>
      </c>
      <c r="BK2" s="296">
        <f>(IF('Section Load'!AR5&gt;0,'Section Load'!AR5,0))</f>
        <v>48</v>
      </c>
      <c r="BL2" s="296">
        <f>(IF('Section Load'!AS5&gt;0,'Section Load'!AS5,0))</f>
        <v>0</v>
      </c>
      <c r="BM2" s="296">
        <f>(IF('Section Load'!AT5&gt;0,'Section Load'!AT5,0))</f>
        <v>617</v>
      </c>
    </row>
    <row r="3" spans="1:65">
      <c r="A3" s="287" t="s">
        <v>268</v>
      </c>
      <c r="B3" s="288">
        <f>B2+1</f>
        <v>2</v>
      </c>
      <c r="C3" s="288">
        <v>6</v>
      </c>
      <c r="D3" s="288">
        <v>2022</v>
      </c>
      <c r="E3" s="294">
        <f>(IF('Section Load'!F6&gt;0,'Section Load'!F6,0))</f>
        <v>3977</v>
      </c>
      <c r="F3" s="294">
        <f>(IF('Section Load'!G6&gt;0,'Section Load'!G6,0))</f>
        <v>1795</v>
      </c>
      <c r="G3" s="294">
        <f>(IF('Section Load'!H6&gt;0,'Section Load'!H6,0))</f>
        <v>2380</v>
      </c>
      <c r="H3" s="294">
        <f>(IF('Section Load'!I6&gt;0,'Section Load'!I6,0))</f>
        <v>2966</v>
      </c>
      <c r="I3" s="294">
        <f>(IF('Section Load'!J6&gt;0,'Section Load'!J6,0))</f>
        <v>8374</v>
      </c>
      <c r="J3" s="294">
        <f>(IF('Section Load'!K6&gt;0,'Section Load'!K6,0))</f>
        <v>3077</v>
      </c>
      <c r="K3" s="294">
        <f>(IF('Section Load'!L6&gt;0,'Section Load'!L6,0))</f>
        <v>850</v>
      </c>
      <c r="L3" s="294">
        <f>(IF('Section Load'!M6&gt;0,'Section Load'!M6,0))</f>
        <v>984</v>
      </c>
      <c r="M3" s="294">
        <f>(IF('Section Load'!N6&gt;0,'Section Load'!N6,0))</f>
        <v>142</v>
      </c>
      <c r="N3" s="294">
        <f>(IF('Section Load'!O6&gt;0,'Section Load'!O6,0))</f>
        <v>173</v>
      </c>
      <c r="O3" s="294">
        <f>(IF('Section Load'!P6&gt;0,'Section Load'!P6,0))</f>
        <v>14</v>
      </c>
      <c r="P3" s="294">
        <f>(IF('Section Load'!Q6&gt;0,'Section Load'!Q6,0))</f>
        <v>192</v>
      </c>
      <c r="Q3" s="294">
        <f>(IF('Section Load'!R6&gt;0,'Section Load'!R6,0))</f>
        <v>163</v>
      </c>
      <c r="R3" s="294">
        <f>(IF('Section Load'!S6&gt;0,'Section Load'!S6,0))</f>
        <v>0</v>
      </c>
      <c r="S3" s="294">
        <f>(IF('Section Load'!T6&gt;0,'Section Load'!T6,0))</f>
        <v>43</v>
      </c>
      <c r="T3" s="294">
        <f>(IF('Section Load'!U6&gt;0,'Section Load'!U6,0))</f>
        <v>236</v>
      </c>
      <c r="U3" s="294">
        <f>(IF('Section Load'!V6&gt;0,'Section Load'!V6,0))</f>
        <v>347</v>
      </c>
      <c r="V3" s="294">
        <f>(IF('Section Load'!W6&gt;0,'Section Load'!W6,0))</f>
        <v>302</v>
      </c>
      <c r="W3" s="294">
        <f>(IF('Section Load'!X6&gt;0,'Section Load'!X6,0))</f>
        <v>29</v>
      </c>
      <c r="X3" s="294">
        <f>(IF('Section Load'!Y6&gt;0,'Section Load'!Y6,0))</f>
        <v>254</v>
      </c>
      <c r="Y3" s="294">
        <f>(IF('Section Load'!Z6&gt;0,'Section Load'!Z6,0))</f>
        <v>244</v>
      </c>
      <c r="Z3" s="294">
        <f>(IF('Section Load'!AA6&gt;0,'Section Load'!AA6,0))</f>
        <v>0</v>
      </c>
      <c r="AA3" s="294">
        <f>(IF('Section Load'!AB6&gt;0,'Section Load'!AB6,0))</f>
        <v>38</v>
      </c>
      <c r="AB3" s="294">
        <f>(IF('Section Load'!AC6&gt;0,'Section Load'!AC6,0))</f>
        <v>0</v>
      </c>
      <c r="AC3" s="294">
        <f>(IF('Section Load'!AD6&gt;0,'Section Load'!AD6,0))</f>
        <v>168</v>
      </c>
      <c r="AD3" s="294">
        <f>(IF('Section Load'!AE6&gt;0,'Section Load'!AE6,0))</f>
        <v>375</v>
      </c>
      <c r="AE3" s="294">
        <f>(IF('Section Load'!AF6&gt;0,'Section Load'!AF6,0))</f>
        <v>250</v>
      </c>
      <c r="AF3" s="294">
        <f>(IF('Section Load'!AG6&gt;0,'Section Load'!AG6,0))</f>
        <v>562</v>
      </c>
      <c r="AG3" s="294">
        <f>(IF('Section Load'!AH6&gt;0,'Section Load'!AH6,0))</f>
        <v>397</v>
      </c>
      <c r="AH3" s="294">
        <f>(IF('Section Load'!AI6&gt;0,'Section Load'!AI6,0))</f>
        <v>442</v>
      </c>
      <c r="AI3" s="294">
        <f>(IF('Section Load'!AJ6&gt;0,'Section Load'!AJ6,0))</f>
        <v>448</v>
      </c>
      <c r="AJ3" s="294">
        <f>(IF('Section Load'!AK6&gt;0,'Section Load'!AK6,0))</f>
        <v>324</v>
      </c>
      <c r="AK3" s="294">
        <f>(IF('Section Load'!AL6&gt;0,'Section Load'!AL6,0))</f>
        <v>320</v>
      </c>
      <c r="AL3" s="294">
        <f>(IF('Section Load'!AM6&gt;0,'Section Load'!AM6,0))</f>
        <v>814</v>
      </c>
      <c r="AM3" s="295">
        <f>(IF('Water Report'!$E$7&gt;0,'Water Report'!$E$7,0))</f>
        <v>165</v>
      </c>
      <c r="AN3" s="295">
        <f>(IF('Water Report'!$E$8&gt;0,'Water Report'!$E$8,0))</f>
        <v>136</v>
      </c>
      <c r="AO3" s="295">
        <f>(IF('Water Report'!$E$9&gt;0,'Water Report'!$E$9,0))</f>
        <v>105</v>
      </c>
      <c r="AP3" s="295">
        <f>(IF('Water Report'!$E$10&gt;0,'Water Report'!$E$10,0))</f>
        <v>24</v>
      </c>
      <c r="AQ3" s="295">
        <f>(IF('Water Report'!$E$11&gt;0,'Water Report'!$E$11,0))</f>
        <v>69</v>
      </c>
      <c r="AR3" s="295">
        <f>(IF('Water Report'!$E$13&gt;0,'Water Report'!$E$13,0))</f>
        <v>17</v>
      </c>
      <c r="AS3" s="295">
        <f>(IF('Water Report'!$E$14&gt;0,'Water Report'!$E$14,0))</f>
        <v>10</v>
      </c>
      <c r="AT3" s="295">
        <f>(IF('Water Report'!$E$15&gt;0,'Water Report'!$E$15,0))</f>
        <v>8</v>
      </c>
      <c r="AU3" s="295">
        <f>(IF('Water Report'!$E$17&gt;0,'Water Report'!$E$17,0))</f>
        <v>2</v>
      </c>
      <c r="AV3" s="295">
        <f>(IF('Water Report'!$E$18&gt;0,'Water Report'!$E$18,0))</f>
        <v>14</v>
      </c>
      <c r="AW3" s="295">
        <f>(IF('Water Report'!$E$19&gt;0,'Water Report'!$E$19,0))</f>
        <v>19</v>
      </c>
      <c r="AX3" s="301">
        <f>(IF('Water Report'!$E$21&gt;0,'Water Report'!$E$21,0))</f>
        <v>92</v>
      </c>
      <c r="AY3" s="301">
        <f>(IF('Water Report'!$E$22&gt;0,'Water Report'!$E$22,0))</f>
        <v>0</v>
      </c>
      <c r="AZ3" s="301">
        <f>(IF('Water Report'!$E$23&gt;0,'Water Report'!$E$23,0))</f>
        <v>7</v>
      </c>
      <c r="BA3" s="301">
        <f>(IF('Water Report'!$E$14&gt;0,'Water Report'!$E$14,0))</f>
        <v>10</v>
      </c>
      <c r="BB3" s="301">
        <f>(IF('Water Report'!$E$15&gt;0,'Water Report'!$E$15,0))</f>
        <v>8</v>
      </c>
      <c r="BC3" s="301">
        <f>(IF('Water Report'!$E$13&gt;0,'Water Report'!$E$13,0))</f>
        <v>17</v>
      </c>
      <c r="BD3" s="301">
        <f>(IF('Water Report'!$E$24&gt;0,'Water Report'!$E$24,0))</f>
        <v>316</v>
      </c>
      <c r="BE3" s="301">
        <f>(IF('Water Report'!$E$25&gt;0,'Water Report'!$E$25,0))</f>
        <v>216</v>
      </c>
      <c r="BF3" s="301">
        <f>(IF('Water Report'!$E$27&gt;0,'Water Report'!$E$27,0))</f>
        <v>116</v>
      </c>
      <c r="BG3" s="296">
        <f>(IF('Section Load'!AN6&gt;0,'Section Load'!AN6,0))</f>
        <v>1043</v>
      </c>
      <c r="BH3" s="296">
        <f>(IF('Section Load'!AO6&gt;0,'Section Load'!AO6,0))</f>
        <v>331</v>
      </c>
      <c r="BI3" s="296">
        <f>(IF('Section Load'!AP6&gt;0,'Section Load'!AP6,0))</f>
        <v>0</v>
      </c>
      <c r="BJ3" s="296">
        <f>(IF('Section Load'!AQ6&gt;0,'Section Load'!AQ6,0))</f>
        <v>98</v>
      </c>
      <c r="BK3" s="296">
        <f>(IF('Section Load'!AR6&gt;0,'Section Load'!AR6,0))</f>
        <v>41</v>
      </c>
      <c r="BL3" s="296">
        <f>(IF('Section Load'!AS6&gt;0,'Section Load'!AS6,0))</f>
        <v>0</v>
      </c>
      <c r="BM3" s="296">
        <f>(IF('Section Load'!AT6&gt;0,'Section Load'!AT6,0))</f>
        <v>573</v>
      </c>
    </row>
    <row r="4" spans="1:65">
      <c r="A4" s="287" t="s">
        <v>268</v>
      </c>
      <c r="B4" s="288">
        <f t="shared" ref="B4:B32" si="0">B3+1</f>
        <v>3</v>
      </c>
      <c r="C4" s="288">
        <v>6</v>
      </c>
      <c r="D4" s="288">
        <v>2022</v>
      </c>
      <c r="E4" s="294">
        <f>(IF('Section Load'!F7&gt;0,'Section Load'!F7,0))</f>
        <v>3797</v>
      </c>
      <c r="F4" s="294">
        <f>(IF('Section Load'!G7&gt;0,'Section Load'!G7,0))</f>
        <v>1844</v>
      </c>
      <c r="G4" s="294">
        <f>(IF('Section Load'!H7&gt;0,'Section Load'!H7,0))</f>
        <v>2426</v>
      </c>
      <c r="H4" s="294">
        <f>(IF('Section Load'!I7&gt;0,'Section Load'!I7,0))</f>
        <v>2963</v>
      </c>
      <c r="I4" s="294">
        <f>(IF('Section Load'!J7&gt;0,'Section Load'!J7,0))</f>
        <v>8347</v>
      </c>
      <c r="J4" s="294">
        <f>(IF('Section Load'!K7&gt;0,'Section Load'!K7,0))</f>
        <v>3116</v>
      </c>
      <c r="K4" s="294">
        <f>(IF('Section Load'!L7&gt;0,'Section Load'!L7,0))</f>
        <v>1131</v>
      </c>
      <c r="L4" s="294">
        <f>(IF('Section Load'!M7&gt;0,'Section Load'!M7,0))</f>
        <v>836</v>
      </c>
      <c r="M4" s="294">
        <f>(IF('Section Load'!N7&gt;0,'Section Load'!N7,0))</f>
        <v>129</v>
      </c>
      <c r="N4" s="294">
        <f>(IF('Section Load'!O7&gt;0,'Section Load'!O7,0))</f>
        <v>159</v>
      </c>
      <c r="O4" s="294">
        <f>(IF('Section Load'!P7&gt;0,'Section Load'!P7,0))</f>
        <v>14</v>
      </c>
      <c r="P4" s="294">
        <f>(IF('Section Load'!Q7&gt;0,'Section Load'!Q7,0))</f>
        <v>205</v>
      </c>
      <c r="Q4" s="294">
        <f>(IF('Section Load'!R7&gt;0,'Section Load'!R7,0))</f>
        <v>163</v>
      </c>
      <c r="R4" s="294">
        <f>(IF('Section Load'!S7&gt;0,'Section Load'!S7,0))</f>
        <v>0</v>
      </c>
      <c r="S4" s="294">
        <f>(IF('Section Load'!T7&gt;0,'Section Load'!T7,0))</f>
        <v>45</v>
      </c>
      <c r="T4" s="294">
        <f>(IF('Section Load'!U7&gt;0,'Section Load'!U7,0))</f>
        <v>262</v>
      </c>
      <c r="U4" s="294">
        <f>(IF('Section Load'!V7&gt;0,'Section Load'!V7,0))</f>
        <v>390</v>
      </c>
      <c r="V4" s="294">
        <f>(IF('Section Load'!W7&gt;0,'Section Load'!W7,0))</f>
        <v>322</v>
      </c>
      <c r="W4" s="294">
        <f>(IF('Section Load'!X7&gt;0,'Section Load'!X7,0))</f>
        <v>34</v>
      </c>
      <c r="X4" s="294">
        <f>(IF('Section Load'!Y7&gt;0,'Section Load'!Y7,0))</f>
        <v>259</v>
      </c>
      <c r="Y4" s="294">
        <f>(IF('Section Load'!Z7&gt;0,'Section Load'!Z7,0))</f>
        <v>326</v>
      </c>
      <c r="Z4" s="294">
        <f>(IF('Section Load'!AA7&gt;0,'Section Load'!AA7,0))</f>
        <v>0</v>
      </c>
      <c r="AA4" s="294">
        <f>(IF('Section Load'!AB7&gt;0,'Section Load'!AB7,0))</f>
        <v>42</v>
      </c>
      <c r="AB4" s="294">
        <f>(IF('Section Load'!AC7&gt;0,'Section Load'!AC7,0))</f>
        <v>0</v>
      </c>
      <c r="AC4" s="294">
        <f>(IF('Section Load'!AD7&gt;0,'Section Load'!AD7,0))</f>
        <v>150</v>
      </c>
      <c r="AD4" s="294">
        <f>(IF('Section Load'!AE7&gt;0,'Section Load'!AE7,0))</f>
        <v>384</v>
      </c>
      <c r="AE4" s="294">
        <f>(IF('Section Load'!AF7&gt;0,'Section Load'!AF7,0))</f>
        <v>230</v>
      </c>
      <c r="AF4" s="294">
        <f>(IF('Section Load'!AG7&gt;0,'Section Load'!AG7,0))</f>
        <v>534</v>
      </c>
      <c r="AG4" s="294">
        <f>(IF('Section Load'!AH7&gt;0,'Section Load'!AH7,0))</f>
        <v>410</v>
      </c>
      <c r="AH4" s="294">
        <f>(IF('Section Load'!AI7&gt;0,'Section Load'!AI7,0))</f>
        <v>430</v>
      </c>
      <c r="AI4" s="294">
        <f>(IF('Section Load'!AJ7&gt;0,'Section Load'!AJ7,0))</f>
        <v>482</v>
      </c>
      <c r="AJ4" s="294">
        <f>(IF('Section Load'!AK7&gt;0,'Section Load'!AK7,0))</f>
        <v>332</v>
      </c>
      <c r="AK4" s="294">
        <f>(IF('Section Load'!AL7&gt;0,'Section Load'!AL7,0))</f>
        <v>327</v>
      </c>
      <c r="AL4" s="294">
        <f>(IF('Section Load'!AM7&gt;0,'Section Load'!AM7,0))</f>
        <v>869</v>
      </c>
      <c r="AM4" s="295">
        <f>(IF('Water Report'!$F$7&gt;0,'Water Report'!$F$7,0))</f>
        <v>170</v>
      </c>
      <c r="AN4" s="295">
        <f>(IF('Water Report'!$F$8&gt;0,'Water Report'!$F$8,0))</f>
        <v>132</v>
      </c>
      <c r="AO4" s="295">
        <f>(IF('Water Report'!$F$9&gt;0,'Water Report'!$G$9,0))</f>
        <v>132</v>
      </c>
      <c r="AP4" s="295">
        <f>(IF('Water Report'!$F$10&gt;0,'Water Report'!$F$10,0))</f>
        <v>31</v>
      </c>
      <c r="AQ4" s="295">
        <f>(IF('Water Report'!$F$11&gt;0,'Water Report'!$F$11,0))</f>
        <v>74</v>
      </c>
      <c r="AR4" s="295">
        <f>(IF('Water Report'!$F$13&gt;0,'Water Report'!$F$13,0))</f>
        <v>15</v>
      </c>
      <c r="AS4" s="295">
        <f>(IF('Water Report'!$F$14&gt;0,'Water Report'!$F$14,0))</f>
        <v>6</v>
      </c>
      <c r="AT4" s="295">
        <f>(IF('Water Report'!$F$15&gt;0,'Water Report'!$F$15,0))</f>
        <v>8</v>
      </c>
      <c r="AU4" s="295">
        <f>(IF('Water Report'!$F$17&gt;0,'Water Report'!$F$17,0))</f>
        <v>0</v>
      </c>
      <c r="AV4" s="295">
        <f>(IF('Water Report'!$F$18&gt;0,'Water Report'!$F$18,0))</f>
        <v>14</v>
      </c>
      <c r="AW4" s="295">
        <f>(IF('Water Report'!$F$19&gt;0,'Water Report'!$F$19,0))</f>
        <v>17</v>
      </c>
      <c r="AX4" s="301">
        <f>(IF('Water Report'!$F$21&gt;0,'Water Report'!$F$21,0))</f>
        <v>128</v>
      </c>
      <c r="AY4" s="301">
        <f>(IF('Water Report'!$F$22&gt;0,'Water Report'!$F$22,0))</f>
        <v>0</v>
      </c>
      <c r="AZ4" s="301">
        <f>(IF('Water Report'!$F$23&gt;0,'Water Report'!$F$23,0))</f>
        <v>18</v>
      </c>
      <c r="BA4" s="301">
        <f>(IF('Water Report'!$F$14&gt;0,'Water Report'!$F$14,0))</f>
        <v>6</v>
      </c>
      <c r="BB4" s="301">
        <f>(IF('Water Report'!$F$15&gt;0,'Water Report'!$F$15,0))</f>
        <v>8</v>
      </c>
      <c r="BC4" s="301">
        <f>(IF('Water Report'!$F$13&gt;0,'Water Report'!$F$13,0))</f>
        <v>15</v>
      </c>
      <c r="BD4" s="301">
        <f>(IF('Water Report'!$F$24&gt;0,'Water Report'!$F$24,0))</f>
        <v>304</v>
      </c>
      <c r="BE4" s="301">
        <f>(IF('Water Report'!$F$25&gt;0,'Water Report'!$F$25,0))</f>
        <v>234</v>
      </c>
      <c r="BF4" s="301">
        <f>(IF('Water Report'!$F$27&gt;0,'Water Report'!$F$27,0))</f>
        <v>161</v>
      </c>
      <c r="BG4" s="296">
        <f>(IF('Section Load'!AN7&gt;0,'Section Load'!AN7,0))</f>
        <v>1104</v>
      </c>
      <c r="BH4" s="296">
        <f>(IF('Section Load'!AO7&gt;0,'Section Load'!AO7,0))</f>
        <v>321</v>
      </c>
      <c r="BI4" s="296">
        <f>(IF('Section Load'!AP7&gt;0,'Section Load'!AP7,0))</f>
        <v>0</v>
      </c>
      <c r="BJ4" s="296">
        <f>(IF('Section Load'!AQ7&gt;0,'Section Load'!AQ7,0))</f>
        <v>135</v>
      </c>
      <c r="BK4" s="296">
        <f>(IF('Section Load'!AR7&gt;0,'Section Load'!AR7,0))</f>
        <v>41</v>
      </c>
      <c r="BL4" s="296">
        <f>(IF('Section Load'!AS7&gt;0,'Section Load'!AS7,0))</f>
        <v>0</v>
      </c>
      <c r="BM4" s="296">
        <f>(IF('Section Load'!AT7&gt;0,'Section Load'!AT7,0))</f>
        <v>607</v>
      </c>
    </row>
    <row r="5" spans="1:65">
      <c r="A5" s="287" t="s">
        <v>268</v>
      </c>
      <c r="B5" s="288">
        <f t="shared" si="0"/>
        <v>4</v>
      </c>
      <c r="C5" s="288">
        <v>6</v>
      </c>
      <c r="D5" s="288">
        <v>2022</v>
      </c>
      <c r="E5" s="294">
        <f>(IF('Section Load'!F8&gt;0,'Section Load'!F8,0))</f>
        <v>3536</v>
      </c>
      <c r="F5" s="294">
        <f>(IF('Section Load'!G8&gt;0,'Section Load'!G8,0))</f>
        <v>1755</v>
      </c>
      <c r="G5" s="294">
        <f>(IF('Section Load'!H8&gt;0,'Section Load'!H8,0))</f>
        <v>2483.9899999999998</v>
      </c>
      <c r="H5" s="294">
        <f>(IF('Section Load'!I8&gt;0,'Section Load'!I8,0))</f>
        <v>2991</v>
      </c>
      <c r="I5" s="294">
        <f>(IF('Section Load'!J8&gt;0,'Section Load'!J8,0))</f>
        <v>7679</v>
      </c>
      <c r="J5" s="294">
        <f>(IF('Section Load'!K8&gt;0,'Section Load'!K8,0))</f>
        <v>3137</v>
      </c>
      <c r="K5" s="294">
        <f>(IF('Section Load'!L8&gt;0,'Section Load'!L8,0))</f>
        <v>941</v>
      </c>
      <c r="L5" s="294">
        <f>(IF('Section Load'!M8&gt;0,'Section Load'!M8,0))</f>
        <v>768</v>
      </c>
      <c r="M5" s="294">
        <f>(IF('Section Load'!N8&gt;0,'Section Load'!N8,0))</f>
        <v>128</v>
      </c>
      <c r="N5" s="294">
        <f>(IF('Section Load'!O8&gt;0,'Section Load'!O8,0))</f>
        <v>157</v>
      </c>
      <c r="O5" s="294">
        <f>(IF('Section Load'!P8&gt;0,'Section Load'!P8,0))</f>
        <v>14</v>
      </c>
      <c r="P5" s="294">
        <f>(IF('Section Load'!Q8&gt;0,'Section Load'!Q8,0))</f>
        <v>198</v>
      </c>
      <c r="Q5" s="294">
        <f>(IF('Section Load'!R8&gt;0,'Section Load'!R8,0))</f>
        <v>166</v>
      </c>
      <c r="R5" s="294">
        <f>(IF('Section Load'!S8&gt;0,'Section Load'!S8,0))</f>
        <v>0</v>
      </c>
      <c r="S5" s="294">
        <f>(IF('Section Load'!T8&gt;0,'Section Load'!T8,0))</f>
        <v>38</v>
      </c>
      <c r="T5" s="294">
        <f>(IF('Section Load'!U8&gt;0,'Section Load'!U8,0))</f>
        <v>237</v>
      </c>
      <c r="U5" s="294">
        <f>(IF('Section Load'!V8&gt;0,'Section Load'!V8,0))</f>
        <v>399</v>
      </c>
      <c r="V5" s="294">
        <f>(IF('Section Load'!W8&gt;0,'Section Load'!W8,0))</f>
        <v>276</v>
      </c>
      <c r="W5" s="294">
        <f>(IF('Section Load'!X8&gt;0,'Section Load'!X8,0))</f>
        <v>29</v>
      </c>
      <c r="X5" s="294">
        <f>(IF('Section Load'!Y8&gt;0,'Section Load'!Y8,0))</f>
        <v>243</v>
      </c>
      <c r="Y5" s="294">
        <f>(IF('Section Load'!Z8&gt;0,'Section Load'!Z8,0))</f>
        <v>304</v>
      </c>
      <c r="Z5" s="294">
        <f>(IF('Section Load'!AA8&gt;0,'Section Load'!AA8,0))</f>
        <v>0</v>
      </c>
      <c r="AA5" s="294">
        <f>(IF('Section Load'!AB8&gt;0,'Section Load'!AB8,0))</f>
        <v>40</v>
      </c>
      <c r="AB5" s="294">
        <f>(IF('Section Load'!AC8&gt;0,'Section Load'!AC8,0))</f>
        <v>0</v>
      </c>
      <c r="AC5" s="294">
        <f>(IF('Section Load'!AD8&gt;0,'Section Load'!AD8,0))</f>
        <v>147</v>
      </c>
      <c r="AD5" s="294">
        <f>(IF('Section Load'!AE8&gt;0,'Section Load'!AE8,0))</f>
        <v>436</v>
      </c>
      <c r="AE5" s="294">
        <f>(IF('Section Load'!AF8&gt;0,'Section Load'!AF8,0))</f>
        <v>235</v>
      </c>
      <c r="AF5" s="294">
        <f>(IF('Section Load'!AG8&gt;0,'Section Load'!AG8,0))</f>
        <v>519</v>
      </c>
      <c r="AG5" s="294">
        <f>(IF('Section Load'!AH8&gt;0,'Section Load'!AH8,0))</f>
        <v>423</v>
      </c>
      <c r="AH5" s="294">
        <f>(IF('Section Load'!AI8&gt;0,'Section Load'!AI8,0))</f>
        <v>449</v>
      </c>
      <c r="AI5" s="294">
        <f>(IF('Section Load'!AJ8&gt;0,'Section Load'!AJ8,0))</f>
        <v>489</v>
      </c>
      <c r="AJ5" s="294">
        <f>(IF('Section Load'!AK8&gt;0,'Section Load'!AK8,0))</f>
        <v>325</v>
      </c>
      <c r="AK5" s="294">
        <f>(IF('Section Load'!AL8&gt;0,'Section Load'!AL8,0))</f>
        <v>326</v>
      </c>
      <c r="AL5" s="294">
        <f>(IF('Section Load'!AM8&gt;0,'Section Load'!AM8,0))</f>
        <v>863</v>
      </c>
      <c r="AM5" s="295">
        <f>(IF('Water Report'!$G$7&gt;0,'Water Report'!$F$7,0))</f>
        <v>170</v>
      </c>
      <c r="AN5" s="295">
        <f>(IF('Water Report'!$G$8&gt;0,'Water Report'!$F$8,0))</f>
        <v>132</v>
      </c>
      <c r="AO5" s="295">
        <f>(IF('Water Report'!$G$9&gt;0,'Water Report'!$H$9,0))</f>
        <v>124</v>
      </c>
      <c r="AP5" s="295">
        <f>(IF('Water Report'!$G$10&gt;0,'Water Report'!$G$10,0))</f>
        <v>31</v>
      </c>
      <c r="AQ5" s="295">
        <f>(IF('Water Report'!$G$11&gt;0,'Water Report'!$G$11,0))</f>
        <v>75</v>
      </c>
      <c r="AR5" s="295">
        <f>(IF('Water Report'!$G$13&gt;0,'Water Report'!$G$13,0))</f>
        <v>29</v>
      </c>
      <c r="AS5" s="295">
        <f>(IF('Water Report'!$G$14&gt;0,'Water Report'!$G$14,0))</f>
        <v>28</v>
      </c>
      <c r="AT5" s="295">
        <f>(IF('Water Report'!$G$15&gt;0,'Water Report'!$G$15,0))</f>
        <v>7</v>
      </c>
      <c r="AU5" s="295">
        <f>(IF('Water Report'!$G$17&gt;0,'Water Report'!$G$17,0))</f>
        <v>0</v>
      </c>
      <c r="AV5" s="295">
        <f>(IF('Water Report'!$G$18&gt;0,'Water Report'!$G$18,0))</f>
        <v>28</v>
      </c>
      <c r="AW5" s="295">
        <f>(IF('Water Report'!$G$19&gt;0,'Water Report'!$G$19,0))</f>
        <v>16</v>
      </c>
      <c r="AX5" s="301">
        <f>(IF('Water Report'!$G$21&gt;0,'Water Report'!$G$21,0))</f>
        <v>71</v>
      </c>
      <c r="AY5" s="301">
        <f>(IF('Water Report'!$G$22&gt;0,'Water Report'!$G$22,0))</f>
        <v>0</v>
      </c>
      <c r="AZ5" s="301">
        <f>(IF('Water Report'!$G$23&gt;0,'Water Report'!$G$23,0))</f>
        <v>18</v>
      </c>
      <c r="BA5" s="301">
        <f>(IF('Water Report'!$G$14&gt;0,'Water Report'!$G$14,0))</f>
        <v>28</v>
      </c>
      <c r="BB5" s="301">
        <f>(IF('Water Report'!$G$15&gt;0,'Water Report'!$G$15,0))</f>
        <v>7</v>
      </c>
      <c r="BC5" s="301">
        <f>(IF('Water Report'!$G$13&gt;0,'Water Report'!$G$13,0))</f>
        <v>29</v>
      </c>
      <c r="BD5" s="301">
        <f>(IF('Water Report'!$G$24&gt;0,'Water Report'!$G$24,0))</f>
        <v>314</v>
      </c>
      <c r="BE5" s="301">
        <f>(IF('Water Report'!$G$25&gt;0,'Water Report'!$G$25,0))</f>
        <v>273</v>
      </c>
      <c r="BF5" s="301">
        <f>(IF('Water Report'!$G$27&gt;0,'Water Report'!$G$27,0))</f>
        <v>118</v>
      </c>
      <c r="BG5" s="296">
        <f>(IF('Section Load'!AN8&gt;0,'Section Load'!AN8,0))</f>
        <v>1121</v>
      </c>
      <c r="BH5" s="296">
        <f>(IF('Section Load'!AO8&gt;0,'Section Load'!AO8,0))</f>
        <v>299</v>
      </c>
      <c r="BI5" s="296">
        <f>(IF('Section Load'!AP8&gt;0,'Section Load'!AP8,0))</f>
        <v>0</v>
      </c>
      <c r="BJ5" s="296">
        <f>(IF('Section Load'!AQ8&gt;0,'Section Load'!AQ8,0))</f>
        <v>116</v>
      </c>
      <c r="BK5" s="296">
        <f>(IF('Section Load'!AR8&gt;0,'Section Load'!AR8,0))</f>
        <v>66</v>
      </c>
      <c r="BL5" s="296">
        <f>(IF('Section Load'!AS8&gt;0,'Section Load'!AS8,0))</f>
        <v>0</v>
      </c>
      <c r="BM5" s="296">
        <f>(IF('Section Load'!AT8&gt;0,'Section Load'!AT8,0))</f>
        <v>640</v>
      </c>
    </row>
    <row r="6" spans="1:65">
      <c r="A6" s="287" t="s">
        <v>268</v>
      </c>
      <c r="B6" s="288">
        <f t="shared" si="0"/>
        <v>5</v>
      </c>
      <c r="C6" s="288">
        <v>6</v>
      </c>
      <c r="D6" s="288">
        <v>2022</v>
      </c>
      <c r="E6" s="294">
        <f>(IF('Section Load'!F9&gt;0,'Section Load'!F9,0))</f>
        <v>3453</v>
      </c>
      <c r="F6" s="294">
        <f>(IF('Section Load'!G9&gt;0,'Section Load'!G9,0))</f>
        <v>1723.68</v>
      </c>
      <c r="G6" s="294">
        <f>(IF('Section Load'!H9&gt;0,'Section Load'!H9,0))</f>
        <v>2433.0100000000002</v>
      </c>
      <c r="H6" s="294">
        <f>(IF('Section Load'!I9&gt;0,'Section Load'!I9,0))</f>
        <v>3013</v>
      </c>
      <c r="I6" s="294">
        <f>(IF('Section Load'!J9&gt;0,'Section Load'!J9,0))</f>
        <v>7126</v>
      </c>
      <c r="J6" s="294">
        <f>(IF('Section Load'!K9&gt;0,'Section Load'!K9,0))</f>
        <v>2981</v>
      </c>
      <c r="K6" s="294">
        <f>(IF('Section Load'!L9&gt;0,'Section Load'!L9,0))</f>
        <v>1674</v>
      </c>
      <c r="L6" s="294">
        <f>(IF('Section Load'!M9&gt;0,'Section Load'!M9,0))</f>
        <v>741</v>
      </c>
      <c r="M6" s="294">
        <f>(IF('Section Load'!N9&gt;0,'Section Load'!N9,0))</f>
        <v>125</v>
      </c>
      <c r="N6" s="294">
        <f>(IF('Section Load'!O9&gt;0,'Section Load'!O9,0))</f>
        <v>152</v>
      </c>
      <c r="O6" s="294">
        <f>(IF('Section Load'!P9&gt;0,'Section Load'!P9,0))</f>
        <v>12</v>
      </c>
      <c r="P6" s="294">
        <f>(IF('Section Load'!Q9&gt;0,'Section Load'!Q9,0))</f>
        <v>211</v>
      </c>
      <c r="Q6" s="294">
        <f>(IF('Section Load'!R9&gt;0,'Section Load'!R9,0))</f>
        <v>169</v>
      </c>
      <c r="R6" s="294">
        <f>(IF('Section Load'!S9&gt;0,'Section Load'!S9,0))</f>
        <v>0</v>
      </c>
      <c r="S6" s="294">
        <f>(IF('Section Load'!T9&gt;0,'Section Load'!T9,0))</f>
        <v>42</v>
      </c>
      <c r="T6" s="294">
        <f>(IF('Section Load'!U9&gt;0,'Section Load'!U9,0))</f>
        <v>248</v>
      </c>
      <c r="U6" s="294">
        <f>(IF('Section Load'!V9&gt;0,'Section Load'!V9,0))</f>
        <v>35</v>
      </c>
      <c r="V6" s="294">
        <f>(IF('Section Load'!W9&gt;0,'Section Load'!W9,0))</f>
        <v>258</v>
      </c>
      <c r="W6" s="294">
        <f>(IF('Section Load'!X9&gt;0,'Section Load'!X9,0))</f>
        <v>26</v>
      </c>
      <c r="X6" s="294">
        <f>(IF('Section Load'!Y9&gt;0,'Section Load'!Y9,0))</f>
        <v>242</v>
      </c>
      <c r="Y6" s="294">
        <f>(IF('Section Load'!Z9&gt;0,'Section Load'!Z9,0))</f>
        <v>320</v>
      </c>
      <c r="Z6" s="294">
        <f>(IF('Section Load'!AA9&gt;0,'Section Load'!AA9,0))</f>
        <v>93</v>
      </c>
      <c r="AA6" s="294">
        <f>(IF('Section Load'!AB9&gt;0,'Section Load'!AB9,0))</f>
        <v>22</v>
      </c>
      <c r="AB6" s="294">
        <f>(IF('Section Load'!AC9&gt;0,'Section Load'!AC9,0))</f>
        <v>0</v>
      </c>
      <c r="AC6" s="294">
        <f>(IF('Section Load'!AD9&gt;0,'Section Load'!AD9,0))</f>
        <v>145</v>
      </c>
      <c r="AD6" s="294">
        <f>(IF('Section Load'!AE9&gt;0,'Section Load'!AE9,0))</f>
        <v>403</v>
      </c>
      <c r="AE6" s="294">
        <f>(IF('Section Load'!AF9&gt;0,'Section Load'!AF9,0))</f>
        <v>237</v>
      </c>
      <c r="AF6" s="294">
        <f>(IF('Section Load'!AG9&gt;0,'Section Load'!AG9,0))</f>
        <v>511</v>
      </c>
      <c r="AG6" s="294">
        <f>(IF('Section Load'!AH9&gt;0,'Section Load'!AH9,0))</f>
        <v>428</v>
      </c>
      <c r="AH6" s="294">
        <f>(IF('Section Load'!AI9&gt;0,'Section Load'!AI9,0))</f>
        <v>401</v>
      </c>
      <c r="AI6" s="294">
        <f>(IF('Section Load'!AJ9&gt;0,'Section Load'!AJ9,0))</f>
        <v>558</v>
      </c>
      <c r="AJ6" s="294">
        <f>(IF('Section Load'!AK9&gt;0,'Section Load'!AK9,0))</f>
        <v>317</v>
      </c>
      <c r="AK6" s="294">
        <f>(IF('Section Load'!AL9&gt;0,'Section Load'!AL9,0))</f>
        <v>0</v>
      </c>
      <c r="AL6" s="294">
        <f>(IF('Section Load'!AM9&gt;0,'Section Load'!AM9,0))</f>
        <v>867</v>
      </c>
      <c r="AM6" s="295">
        <f>(IF('Water Report'!$H$7&gt;0,'Water Report'!$H$7,0))</f>
        <v>225</v>
      </c>
      <c r="AN6" s="295">
        <f>(IF('Water Report'!$H$8&gt;0,'Water Report'!$H$8,0))</f>
        <v>156</v>
      </c>
      <c r="AO6" s="295">
        <f>(IF('Water Report'!$H$9&gt;0,'Water Report'!$H$9,0))</f>
        <v>124</v>
      </c>
      <c r="AP6" s="295">
        <f>(IF('Water Report'!$H$10&gt;0,'Water Report'!$H$10,0))</f>
        <v>28</v>
      </c>
      <c r="AQ6" s="295">
        <f>(IF('Water Report'!$H$11&gt;0,'Water Report'!$H$11,0))</f>
        <v>60</v>
      </c>
      <c r="AR6" s="295">
        <f>(IF('Water Report'!$H$13&gt;0,'Water Report'!$H$13,0))</f>
        <v>39</v>
      </c>
      <c r="AS6" s="295">
        <f>(IF('Water Report'!$H$14&gt;0,'Water Report'!$H$14,0))</f>
        <v>9</v>
      </c>
      <c r="AT6" s="295">
        <f>(IF('Water Report'!$H$15&gt;0,'Water Report'!$H$15,0))</f>
        <v>6</v>
      </c>
      <c r="AU6" s="295">
        <f>(IF('Water Report'!$H$17&gt;0,'Water Report'!$H$17,0))</f>
        <v>0</v>
      </c>
      <c r="AV6" s="295">
        <f>(IF('Water Report'!$H$18&gt;0,'Water Report'!$H$18,0))</f>
        <v>0</v>
      </c>
      <c r="AW6" s="295">
        <f>(IF('Water Report'!$H$19&gt;0,'Water Report'!$H$19,0))</f>
        <v>15</v>
      </c>
      <c r="AX6" s="301">
        <f>(IF('Water Report'!$H$21&gt;0,'Water Report'!$H$21,0))</f>
        <v>91</v>
      </c>
      <c r="AY6" s="301">
        <f>(IF('Water Report'!$H$22&gt;0,'Water Report'!$H$22,0))</f>
        <v>0</v>
      </c>
      <c r="AZ6" s="301">
        <f>(IF('Water Report'!$H$23&gt;0,'Water Report'!$H$23,0))</f>
        <v>0</v>
      </c>
      <c r="BA6" s="301">
        <f>(IF('Water Report'!$H$14&gt;0,'Water Report'!$H$14,0))</f>
        <v>9</v>
      </c>
      <c r="BB6" s="301">
        <f>(IF('Water Report'!$H$15&gt;0,'Water Report'!$H$15,0))</f>
        <v>6</v>
      </c>
      <c r="BC6" s="301">
        <f>(IF('Water Report'!$H$13&gt;0,'Water Report'!$H$13,0))</f>
        <v>39</v>
      </c>
      <c r="BD6" s="301">
        <f>(IF('Water Report'!$H$24&gt;0,'Water Report'!$H$24,0))</f>
        <v>307</v>
      </c>
      <c r="BE6" s="301">
        <f>(IF('Water Report'!$H$25&gt;0,'Water Report'!$H$25,0))</f>
        <v>227</v>
      </c>
      <c r="BF6" s="301">
        <f>(IF('Water Report'!$H$27&gt;0,'Water Report'!$H$27,0))</f>
        <v>130</v>
      </c>
      <c r="BG6" s="296">
        <f>(IF('Section Load'!AN9&gt;0,'Section Load'!AN9,0))</f>
        <v>1118</v>
      </c>
      <c r="BH6" s="296">
        <f>(IF('Section Load'!AO9&gt;0,'Section Load'!AO9,0))</f>
        <v>323</v>
      </c>
      <c r="BI6" s="296">
        <f>(IF('Section Load'!AP9&gt;0,'Section Load'!AP9,0))</f>
        <v>0</v>
      </c>
      <c r="BJ6" s="296">
        <f>(IF('Section Load'!AQ9&gt;0,'Section Load'!AQ9,0))</f>
        <v>130</v>
      </c>
      <c r="BK6" s="296">
        <f>(IF('Section Load'!AR9&gt;0,'Section Load'!AR9,0))</f>
        <v>46</v>
      </c>
      <c r="BL6" s="296">
        <f>(IF('Section Load'!AS9&gt;0,'Section Load'!AS9,0))</f>
        <v>0.3999999999996362</v>
      </c>
      <c r="BM6" s="296">
        <f>(IF('Section Load'!AT9&gt;0,'Section Load'!AT9,0))</f>
        <v>618.60000000000036</v>
      </c>
    </row>
    <row r="7" spans="1:65">
      <c r="A7" s="287" t="s">
        <v>268</v>
      </c>
      <c r="B7" s="288">
        <f t="shared" si="0"/>
        <v>6</v>
      </c>
      <c r="C7" s="288">
        <v>6</v>
      </c>
      <c r="D7" s="288">
        <v>2022</v>
      </c>
      <c r="E7" s="294">
        <f>(IF('Section Load'!F10&gt;0,'Section Load'!F10,0))</f>
        <v>3689</v>
      </c>
      <c r="F7" s="294">
        <f>(IF('Section Load'!G10&gt;0,'Section Load'!G10,0))</f>
        <v>1752</v>
      </c>
      <c r="G7" s="294">
        <f>(IF('Section Load'!H10&gt;0,'Section Load'!H10,0))</f>
        <v>2232</v>
      </c>
      <c r="H7" s="294">
        <f>(IF('Section Load'!I10&gt;0,'Section Load'!I10,0))</f>
        <v>2982</v>
      </c>
      <c r="I7" s="294">
        <f>(IF('Section Load'!J10&gt;0,'Section Load'!J10,0))</f>
        <v>9008</v>
      </c>
      <c r="J7" s="294">
        <f>(IF('Section Load'!K10&gt;0,'Section Load'!K10,0))</f>
        <v>3199.5800000000017</v>
      </c>
      <c r="K7" s="294">
        <f>(IF('Section Load'!L10&gt;0,'Section Load'!L10,0))</f>
        <v>1586</v>
      </c>
      <c r="L7" s="294">
        <f>(IF('Section Load'!M10&gt;0,'Section Load'!M10,0))</f>
        <v>1086</v>
      </c>
      <c r="M7" s="294">
        <f>(IF('Section Load'!N10&gt;0,'Section Load'!N10,0))</f>
        <v>128</v>
      </c>
      <c r="N7" s="294">
        <f>(IF('Section Load'!O10&gt;0,'Section Load'!O10,0))</f>
        <v>153</v>
      </c>
      <c r="O7" s="294">
        <f>(IF('Section Load'!P10&gt;0,'Section Load'!P10,0))</f>
        <v>15.690000000000055</v>
      </c>
      <c r="P7" s="294">
        <f>(IF('Section Load'!Q10&gt;0,'Section Load'!Q10,0))</f>
        <v>204.89999999999418</v>
      </c>
      <c r="Q7" s="294">
        <f>(IF('Section Load'!R10&gt;0,'Section Load'!R10,0))</f>
        <v>146.5</v>
      </c>
      <c r="R7" s="294">
        <f>(IF('Section Load'!S10&gt;0,'Section Load'!S10,0))</f>
        <v>0.40999999999985448</v>
      </c>
      <c r="S7" s="294">
        <f>(IF('Section Load'!T10&gt;0,'Section Load'!T10,0))</f>
        <v>67</v>
      </c>
      <c r="T7" s="294">
        <f>(IF('Section Load'!U10&gt;0,'Section Load'!U10,0))</f>
        <v>241</v>
      </c>
      <c r="U7" s="294">
        <f>(IF('Section Load'!V10&gt;0,'Section Load'!V10,0))</f>
        <v>791.47999999998137</v>
      </c>
      <c r="V7" s="294">
        <f>(IF('Section Load'!W10&gt;0,'Section Load'!W10,0))</f>
        <v>300.28000000002794</v>
      </c>
      <c r="W7" s="294">
        <f>(IF('Section Load'!X10&gt;0,'Section Load'!X10,0))</f>
        <v>29.279999999999745</v>
      </c>
      <c r="X7" s="294">
        <f>(IF('Section Load'!Y10&gt;0,'Section Load'!Y10,0))</f>
        <v>250.69999999999709</v>
      </c>
      <c r="Y7" s="294">
        <f>(IF('Section Load'!Z10&gt;0,'Section Load'!Z10,0))</f>
        <v>275</v>
      </c>
      <c r="Z7" s="294">
        <f>(IF('Section Load'!AA10&gt;0,'Section Load'!AA10,0))</f>
        <v>189.64000000001397</v>
      </c>
      <c r="AA7" s="294">
        <f>(IF('Section Load'!AB10&gt;0,'Section Load'!AB10,0))</f>
        <v>33.69999999999709</v>
      </c>
      <c r="AB7" s="294">
        <f>(IF('Section Load'!AC10&gt;0,'Section Load'!AC10,0))</f>
        <v>0</v>
      </c>
      <c r="AC7" s="294">
        <f>(IF('Section Load'!AD10&gt;0,'Section Load'!AD10,0))</f>
        <v>162.400000000006</v>
      </c>
      <c r="AD7" s="294">
        <f>(IF('Section Load'!AE10&gt;0,'Section Load'!AE10,0))</f>
        <v>425.40000000000146</v>
      </c>
      <c r="AE7" s="294">
        <f>(IF('Section Load'!AF10&gt;0,'Section Load'!AF10,0))</f>
        <v>212.29999999999927</v>
      </c>
      <c r="AF7" s="294">
        <f>(IF('Section Load'!AG10&gt;0,'Section Load'!AG10,0))</f>
        <v>534.70000000000073</v>
      </c>
      <c r="AG7" s="294">
        <f>(IF('Section Load'!AH10&gt;0,'Section Load'!AH10,0))</f>
        <v>416.59999999999854</v>
      </c>
      <c r="AH7" s="294">
        <f>(IF('Section Load'!AI10&gt;0,'Section Load'!AI10,0))</f>
        <v>493.20000000000073</v>
      </c>
      <c r="AI7" s="294">
        <f>(IF('Section Load'!AJ10&gt;0,'Section Load'!AJ10,0))</f>
        <v>435.70000000000073</v>
      </c>
      <c r="AJ7" s="294">
        <f>(IF('Section Load'!AK10&gt;0,'Section Load'!AK10,0))</f>
        <v>298.39999999999964</v>
      </c>
      <c r="AK7" s="294">
        <f>(IF('Section Load'!AL10&gt;0,'Section Load'!AL10,0))</f>
        <v>178</v>
      </c>
      <c r="AL7" s="294">
        <f>(IF('Section Load'!AM10&gt;0,'Section Load'!AM10,0))</f>
        <v>867</v>
      </c>
      <c r="AM7" s="295">
        <f>(IF('Water Report'!$I$7&gt;0,'Water Report'!$I$7,0))</f>
        <v>100</v>
      </c>
      <c r="AN7" s="295">
        <f>(IF('Water Report'!$I$8&gt;0,'Water Report'!$I$8,0))</f>
        <v>153</v>
      </c>
      <c r="AO7" s="295">
        <f>(IF('Water Report'!$I$9&gt;0,'Water Report'!$I$9,0))</f>
        <v>106</v>
      </c>
      <c r="AP7" s="295">
        <f>(IF('Water Report'!$I$10&gt;0,'Water Report'!$I$10,0))</f>
        <v>25</v>
      </c>
      <c r="AQ7" s="295">
        <f>(IF('Water Report'!$I$11&gt;0,'Water Report'!$I$11,0))</f>
        <v>12</v>
      </c>
      <c r="AR7" s="295">
        <f>(IF('Water Report'!$I$13&gt;0,'Water Report'!$I$13,0))</f>
        <v>17</v>
      </c>
      <c r="AS7" s="295">
        <f>(IF('Water Report'!$I$14&gt;0,'Water Report'!$I$14,0))</f>
        <v>12</v>
      </c>
      <c r="AT7" s="295">
        <f>(IF('Water Report'!$I$15&gt;0,'Water Report'!$I$15,0))</f>
        <v>4</v>
      </c>
      <c r="AU7" s="295">
        <f>(IF('Water Report'!$I$17&gt;0,'Water Report'!$I$17,0))</f>
        <v>2</v>
      </c>
      <c r="AV7" s="295">
        <f>(IF('Water Report'!$I$18&gt;0,'Water Report'!$I$18,0))</f>
        <v>13</v>
      </c>
      <c r="AW7" s="295">
        <f>(IF('Water Report'!$I$19&gt;0,'Water Report'!$I$19,0))</f>
        <v>13</v>
      </c>
      <c r="AX7" s="301">
        <f>(IF('Water Report'!$I$21&gt;0,'Water Report'!$I$21,0))</f>
        <v>133.69999999999709</v>
      </c>
      <c r="AY7" s="301">
        <f>(IF('Water Report'!$I$22&gt;0,'Water Report'!$I$22,0))</f>
        <v>0</v>
      </c>
      <c r="AZ7" s="301">
        <f>(IF('Water Report'!$I$23&gt;0,'Water Report'!$I$23,0))</f>
        <v>5</v>
      </c>
      <c r="BA7" s="301">
        <f>(IF('Water Report'!$I$14&gt;0,'Water Report'!$I$14,0))</f>
        <v>12</v>
      </c>
      <c r="BB7" s="301">
        <f>(IF('Water Report'!$I$15&gt;0,'Water Report'!$I$15,0))</f>
        <v>4</v>
      </c>
      <c r="BC7" s="301">
        <f>(IF('Water Report'!$I$13&gt;0,'Water Report'!$I$13,0))</f>
        <v>17</v>
      </c>
      <c r="BD7" s="301">
        <f>(IF('Water Report'!$I$24&gt;0,'Water Report'!$I$24,0))</f>
        <v>355</v>
      </c>
      <c r="BE7" s="301">
        <f>(IF('Water Report'!$I$25&gt;0,'Water Report'!$I$25,0))</f>
        <v>159</v>
      </c>
      <c r="BF7" s="301">
        <f>(IF('Water Report'!$I$27&gt;0,'Water Report'!$I$27,0))</f>
        <v>155.69999999999709</v>
      </c>
      <c r="BG7" s="296">
        <f>(IF('Section Load'!AN10&gt;0,'Section Load'!AN10,0))</f>
        <v>1084.6000000000931</v>
      </c>
      <c r="BH7" s="296">
        <f>(IF('Section Load'!AO10&gt;0,'Section Load'!AO10,0))</f>
        <v>311.43000000005122</v>
      </c>
      <c r="BI7" s="296">
        <f>(IF('Section Load'!AP10&gt;0,'Section Load'!AP10,0))</f>
        <v>0</v>
      </c>
      <c r="BJ7" s="296">
        <f>(IF('Section Load'!AQ10&gt;0,'Section Load'!AQ10,0))</f>
        <v>129.10000000000582</v>
      </c>
      <c r="BK7" s="296">
        <f>(IF('Section Load'!AR10&gt;0,'Section Load'!AR10,0))</f>
        <v>41.30000000000291</v>
      </c>
      <c r="BL7" s="296">
        <f>(IF('Section Load'!AS10&gt;0,'Section Load'!AS10,0))</f>
        <v>0</v>
      </c>
      <c r="BM7" s="296">
        <f>(IF('Section Load'!AT10&gt;0,'Section Load'!AT10,0))</f>
        <v>602.77000000003318</v>
      </c>
    </row>
    <row r="8" spans="1:65">
      <c r="A8" s="287" t="s">
        <v>268</v>
      </c>
      <c r="B8" s="288">
        <f t="shared" si="0"/>
        <v>7</v>
      </c>
      <c r="C8" s="288">
        <v>6</v>
      </c>
      <c r="D8" s="288">
        <v>2022</v>
      </c>
      <c r="E8" s="294">
        <f>(IF('Section Load'!F11&gt;0,'Section Load'!F11,0))</f>
        <v>3639</v>
      </c>
      <c r="F8" s="294">
        <f>(IF('Section Load'!G11&gt;0,'Section Load'!G11,0))</f>
        <v>1684</v>
      </c>
      <c r="G8" s="294">
        <f>(IF('Section Load'!H11&gt;0,'Section Load'!H11,0))</f>
        <v>2322</v>
      </c>
      <c r="H8" s="294">
        <f>(IF('Section Load'!I11&gt;0,'Section Load'!I11,0))</f>
        <v>3002</v>
      </c>
      <c r="I8" s="294">
        <f>(IF('Section Load'!J11&gt;0,'Section Load'!J11,0))</f>
        <v>8056.1999999999971</v>
      </c>
      <c r="J8" s="294">
        <f>(IF('Section Load'!K11&gt;0,'Section Load'!K11,0))</f>
        <v>3153.9199999999983</v>
      </c>
      <c r="K8" s="294">
        <f>(IF('Section Load'!L11&gt;0,'Section Load'!L11,0))</f>
        <v>1080</v>
      </c>
      <c r="L8" s="294">
        <f>(IF('Section Load'!M11&gt;0,'Section Load'!M11,0))</f>
        <v>1022</v>
      </c>
      <c r="M8" s="294">
        <f>(IF('Section Load'!N11&gt;0,'Section Load'!N11,0))</f>
        <v>124.60000000000036</v>
      </c>
      <c r="N8" s="294">
        <f>(IF('Section Load'!O11&gt;0,'Section Load'!O11,0))</f>
        <v>155</v>
      </c>
      <c r="O8" s="294">
        <f>(IF('Section Load'!P11&gt;0,'Section Load'!P11,0))</f>
        <v>15.009999999999991</v>
      </c>
      <c r="P8" s="294">
        <f>(IF('Section Load'!Q11&gt;0,'Section Load'!Q11,0))</f>
        <v>189</v>
      </c>
      <c r="Q8" s="294">
        <f>(IF('Section Load'!R11&gt;0,'Section Load'!R11,0))</f>
        <v>142.40000000000146</v>
      </c>
      <c r="R8" s="294">
        <f>(IF('Section Load'!S11&gt;0,'Section Load'!S11,0))</f>
        <v>2.9999999999745341E-2</v>
      </c>
      <c r="S8" s="294">
        <f>(IF('Section Load'!T11&gt;0,'Section Load'!T11,0))</f>
        <v>20</v>
      </c>
      <c r="T8" s="294">
        <f>(IF('Section Load'!U11&gt;0,'Section Load'!U11,0))</f>
        <v>235</v>
      </c>
      <c r="U8" s="294">
        <f>(IF('Section Load'!V11&gt;0,'Section Load'!V11,0))</f>
        <v>340.40000000002328</v>
      </c>
      <c r="V8" s="294">
        <f>(IF('Section Load'!W11&gt;0,'Section Load'!W11,0))</f>
        <v>293.03999999992084</v>
      </c>
      <c r="W8" s="294">
        <f>(IF('Section Load'!X11&gt;0,'Section Load'!X11,0))</f>
        <v>28.199999999999818</v>
      </c>
      <c r="X8" s="294">
        <f>(IF('Section Load'!Y11&gt;0,'Section Load'!Y11,0))</f>
        <v>231.80000000000291</v>
      </c>
      <c r="Y8" s="294">
        <f>(IF('Section Load'!Z11&gt;0,'Section Load'!Z11,0))</f>
        <v>293</v>
      </c>
      <c r="Z8" s="294">
        <f>(IF('Section Load'!AA11&gt;0,'Section Load'!AA11,0))</f>
        <v>175.9199999999837</v>
      </c>
      <c r="AA8" s="294">
        <f>(IF('Section Load'!AB11&gt;0,'Section Load'!AB11,0))</f>
        <v>31.30000000000291</v>
      </c>
      <c r="AB8" s="294">
        <f>(IF('Section Load'!AC11&gt;0,'Section Load'!AC11,0))</f>
        <v>0</v>
      </c>
      <c r="AC8" s="294">
        <f>(IF('Section Load'!AD11&gt;0,'Section Load'!AD11,0))</f>
        <v>163.19999999999436</v>
      </c>
      <c r="AD8" s="294">
        <f>(IF('Section Load'!AE11&gt;0,'Section Load'!AE11,0))</f>
        <v>383.69999999999709</v>
      </c>
      <c r="AE8" s="294">
        <f>(IF('Section Load'!AF11&gt;0,'Section Load'!AF11,0))</f>
        <v>213.5</v>
      </c>
      <c r="AF8" s="294">
        <f>(IF('Section Load'!AG11&gt;0,'Section Load'!AG11,0))</f>
        <v>585</v>
      </c>
      <c r="AG8" s="294">
        <f>(IF('Section Load'!AH11&gt;0,'Section Load'!AH11,0))</f>
        <v>404</v>
      </c>
      <c r="AH8" s="294">
        <f>(IF('Section Load'!AI11&gt;0,'Section Load'!AI11,0))</f>
        <v>447.89999999999782</v>
      </c>
      <c r="AI8" s="294">
        <f>(IF('Section Load'!AJ11&gt;0,'Section Load'!AJ11,0))</f>
        <v>446.79999999999927</v>
      </c>
      <c r="AJ8" s="294">
        <f>(IF('Section Load'!AK11&gt;0,'Section Load'!AK11,0))</f>
        <v>262.70000000000073</v>
      </c>
      <c r="AK8" s="294">
        <f>(IF('Section Load'!AL11&gt;0,'Section Load'!AL11,0))</f>
        <v>302.79999999999927</v>
      </c>
      <c r="AL8" s="294">
        <f>(IF('Section Load'!AM11&gt;0,'Section Load'!AM11,0))</f>
        <v>819</v>
      </c>
      <c r="AM8" s="295">
        <f>(IF('Water Report'!$J$7&gt;0,'Water Report'!$J$7,0))</f>
        <v>172.40000000002328</v>
      </c>
      <c r="AN8" s="295">
        <f>(IF('Water Report'!$J$8&gt;0,'Water Report'!$J$8,0))</f>
        <v>145</v>
      </c>
      <c r="AO8" s="295">
        <f>(IF('Water Report'!$J$9&gt;0,'Water Report'!$J$9,0))</f>
        <v>157</v>
      </c>
      <c r="AP8" s="295">
        <f>(IF('Water Report'!$J$10&gt;0,'Water Report'!$J$10,0))</f>
        <v>32</v>
      </c>
      <c r="AQ8" s="295">
        <f>(IF('Water Report'!$J$11&gt;0,'Water Report'!$J$11,0))</f>
        <v>15</v>
      </c>
      <c r="AR8" s="295">
        <f>(IF('Water Report'!$J$13&gt;0,'Water Report'!$J$13,0))</f>
        <v>21</v>
      </c>
      <c r="AS8" s="295">
        <f>(IF('Water Report'!$J$14&gt;0,'Water Report'!$J$14,0))</f>
        <v>25</v>
      </c>
      <c r="AT8" s="295">
        <f>(IF('Water Report'!$J$15&gt;0,'Water Report'!$J$15,0))</f>
        <v>6</v>
      </c>
      <c r="AU8" s="295">
        <f>(IF('Water Report'!$J$17&gt;0,'Water Report'!$J$17,0))</f>
        <v>1</v>
      </c>
      <c r="AV8" s="295">
        <f>(IF('Water Report'!$J$18&gt;0,'Water Report'!$J$18,0))</f>
        <v>15</v>
      </c>
      <c r="AW8" s="295">
        <f>(IF('Water Report'!$J$19&gt;0,'Water Report'!$J$19,0))</f>
        <v>14</v>
      </c>
      <c r="AX8" s="301">
        <f>(IF('Water Report'!$J$21&gt;0,'Water Report'!$J$21,0))</f>
        <v>115.30000000000291</v>
      </c>
      <c r="AY8" s="301">
        <f>(IF('Water Report'!$J$22&gt;0,'Water Report'!$J$22,0))</f>
        <v>93</v>
      </c>
      <c r="AZ8" s="301">
        <f>(IF('Water Report'!$J$23&gt;0,'Water Report'!$J$23,0))</f>
        <v>20</v>
      </c>
      <c r="BA8" s="301">
        <f>(IF('Water Report'!$J$14&gt;0,'Water Report'!$J$14,0))</f>
        <v>25</v>
      </c>
      <c r="BB8" s="301">
        <f>(IF('Water Report'!$J$15&gt;0,'Water Report'!$J$15,0))</f>
        <v>6</v>
      </c>
      <c r="BC8" s="301">
        <f>(IF('Water Report'!$J$13&gt;0,'Water Report'!$J$13,0))</f>
        <v>21</v>
      </c>
      <c r="BD8" s="301">
        <f>(IF('Water Report'!$J$24&gt;0,'Water Report'!$J$24,0))</f>
        <v>218</v>
      </c>
      <c r="BE8" s="301">
        <f>(IF('Water Report'!$J$25&gt;0,'Water Report'!$J$25,0))</f>
        <v>235</v>
      </c>
      <c r="BF8" s="301">
        <f>(IF('Water Report'!$J$27&gt;0,'Water Report'!$J$27,0))</f>
        <v>156.30000000000291</v>
      </c>
      <c r="BG8" s="296">
        <f>(IF('Section Load'!AN11&gt;0,'Section Load'!AN11,0))</f>
        <v>1078.5999999998603</v>
      </c>
      <c r="BH8" s="296">
        <f>(IF('Section Load'!AO11&gt;0,'Section Load'!AO11,0))</f>
        <v>321.13000000000466</v>
      </c>
      <c r="BI8" s="296">
        <f>(IF('Section Load'!AP11&gt;0,'Section Load'!AP11,0))</f>
        <v>0</v>
      </c>
      <c r="BJ8" s="296">
        <f>(IF('Section Load'!AQ11&gt;0,'Section Load'!AQ11,0))</f>
        <v>117.89999999999418</v>
      </c>
      <c r="BK8" s="296">
        <f>(IF('Section Load'!AR11&gt;0,'Section Load'!AR11,0))</f>
        <v>52.599999999998545</v>
      </c>
      <c r="BL8" s="296">
        <f>(IF('Section Load'!AS11&gt;0,'Section Load'!AS11,0))</f>
        <v>0</v>
      </c>
      <c r="BM8" s="296">
        <f>(IF('Section Load'!AT11&gt;0,'Section Load'!AT11,0))</f>
        <v>586.96999999986292</v>
      </c>
    </row>
    <row r="9" spans="1:65">
      <c r="A9" s="287" t="s">
        <v>268</v>
      </c>
      <c r="B9" s="288">
        <f t="shared" si="0"/>
        <v>8</v>
      </c>
      <c r="C9" s="288">
        <v>6</v>
      </c>
      <c r="D9" s="288">
        <v>2022</v>
      </c>
      <c r="E9" s="294">
        <f>(IF('Section Load'!F12&gt;0,'Section Load'!F12,0))</f>
        <v>1259</v>
      </c>
      <c r="F9" s="294">
        <f>(IF('Section Load'!G12&gt;0,'Section Load'!G12,0))</f>
        <v>572</v>
      </c>
      <c r="G9" s="294">
        <f>(IF('Section Load'!H12&gt;0,'Section Load'!H12,0))</f>
        <v>735</v>
      </c>
      <c r="H9" s="294">
        <f>(IF('Section Load'!I12&gt;0,'Section Load'!I12,0))</f>
        <v>939</v>
      </c>
      <c r="I9" s="294">
        <f>(IF('Section Load'!J12&gt;0,'Section Load'!J12,0))</f>
        <v>2008</v>
      </c>
      <c r="J9" s="294">
        <f>(IF('Section Load'!K12&gt;0,'Section Load'!K12,0))</f>
        <v>3336.7300000000032</v>
      </c>
      <c r="K9" s="294">
        <f>(IF('Section Load'!L12&gt;0,'Section Load'!L12,0))</f>
        <v>419</v>
      </c>
      <c r="L9" s="294">
        <f>(IF('Section Load'!M12&gt;0,'Section Load'!M12,0))</f>
        <v>301</v>
      </c>
      <c r="M9" s="294">
        <f>(IF('Section Load'!N12&gt;0,'Section Load'!N12,0))</f>
        <v>35.699999999998909</v>
      </c>
      <c r="N9" s="294">
        <f>(IF('Section Load'!O12&gt;0,'Section Load'!O12,0))</f>
        <v>165</v>
      </c>
      <c r="O9" s="294">
        <f>(IF('Section Load'!P12&gt;0,'Section Load'!P12,0))</f>
        <v>4.0399999999999636</v>
      </c>
      <c r="P9" s="294">
        <f>(IF('Section Load'!Q12&gt;0,'Section Load'!Q12,0))</f>
        <v>70.30000000000291</v>
      </c>
      <c r="Q9" s="294">
        <f>(IF('Section Load'!R12&gt;0,'Section Load'!R12,0))</f>
        <v>44.099999999998545</v>
      </c>
      <c r="R9" s="294">
        <f>(IF('Section Load'!S12&gt;0,'Section Load'!S12,0))</f>
        <v>0</v>
      </c>
      <c r="S9" s="294">
        <f>(IF('Section Load'!T12&gt;0,'Section Load'!T12,0))</f>
        <v>44</v>
      </c>
      <c r="T9" s="294">
        <f>(IF('Section Load'!U12&gt;0,'Section Load'!U12,0))</f>
        <v>249</v>
      </c>
      <c r="U9" s="294">
        <f>(IF('Section Load'!V12&gt;0,'Section Load'!V12,0))</f>
        <v>389.11999999999534</v>
      </c>
      <c r="V9" s="294">
        <f>(IF('Section Load'!W12&gt;0,'Section Load'!W12,0))</f>
        <v>324.80000000004657</v>
      </c>
      <c r="W9" s="294">
        <f>(IF('Section Load'!X12&gt;0,'Section Load'!X12,0))</f>
        <v>2.5200000000004366</v>
      </c>
      <c r="X9" s="294">
        <f>(IF('Section Load'!Y12&gt;0,'Section Load'!Y12,0))</f>
        <v>23.69999999999709</v>
      </c>
      <c r="Y9" s="294">
        <f>(IF('Section Load'!Z12&gt;0,'Section Load'!Z12,0))</f>
        <v>293</v>
      </c>
      <c r="Z9" s="294">
        <f>(IF('Section Load'!AA12&gt;0,'Section Load'!AA12,0))</f>
        <v>191.64000000001397</v>
      </c>
      <c r="AA9" s="294">
        <f>(IF('Section Load'!AB12&gt;0,'Section Load'!AB12,0))</f>
        <v>32.80000000000291</v>
      </c>
      <c r="AB9" s="294">
        <f>(IF('Section Load'!AC12&gt;0,'Section Load'!AC12,0))</f>
        <v>0</v>
      </c>
      <c r="AC9" s="294">
        <f>(IF('Section Load'!AD12&gt;0,'Section Load'!AD12,0))</f>
        <v>212.19999999999709</v>
      </c>
      <c r="AD9" s="294">
        <f>(IF('Section Load'!AE12&gt;0,'Section Load'!AE12,0))</f>
        <v>118.70000000000437</v>
      </c>
      <c r="AE9" s="294">
        <f>(IF('Section Load'!AF12&gt;0,'Section Load'!AF12,0))</f>
        <v>59.299999999999272</v>
      </c>
      <c r="AF9" s="294">
        <f>(IF('Section Load'!AG12&gt;0,'Section Load'!AG12,0))</f>
        <v>180.09999999999854</v>
      </c>
      <c r="AG9" s="294">
        <f>(IF('Section Load'!AH12&gt;0,'Section Load'!AH12,0))</f>
        <v>146.60000000000218</v>
      </c>
      <c r="AH9" s="294">
        <f>(IF('Section Load'!AI12&gt;0,'Section Load'!AI12,0))</f>
        <v>130.10000000000218</v>
      </c>
      <c r="AI9" s="294">
        <f>(IF('Section Load'!AJ12&gt;0,'Section Load'!AJ12,0))</f>
        <v>130.40000000000146</v>
      </c>
      <c r="AJ9" s="294">
        <f>(IF('Section Load'!AK12&gt;0,'Section Load'!AK12,0))</f>
        <v>73.799999999999272</v>
      </c>
      <c r="AK9" s="294">
        <f>(IF('Section Load'!AL12&gt;0,'Section Load'!AL12,0))</f>
        <v>96.700000000000728</v>
      </c>
      <c r="AL9" s="294">
        <f>(IF('Section Load'!AM12&gt;0,'Section Load'!AM12,0))</f>
        <v>320</v>
      </c>
      <c r="AM9" s="295">
        <f>(IF('Water Report'!$K$7&gt;0,'Water Report'!$K$7,0))</f>
        <v>87.599999999976717</v>
      </c>
      <c r="AN9" s="295">
        <f>(IF('Water Report'!$K$8&gt;0,'Water Report'!$K$8,0))</f>
        <v>81</v>
      </c>
      <c r="AO9" s="295">
        <f>(IF('Water Report'!$K$9&gt;0,'Water Report'!$K$9,0))</f>
        <v>92</v>
      </c>
      <c r="AP9" s="295">
        <f>(IF('Water Report'!$K$10&gt;0,'Water Report'!$K$10,0))</f>
        <v>25</v>
      </c>
      <c r="AQ9" s="295">
        <f>(IF('Water Report'!$K$11&gt;0,'Water Report'!$K$11,0))</f>
        <v>13</v>
      </c>
      <c r="AR9" s="295">
        <f>(IF('Water Report'!$K$13&gt;0,'Water Report'!$K$13,0))</f>
        <v>31</v>
      </c>
      <c r="AS9" s="295">
        <f>(IF('Water Report'!$K$14&gt;0,'Water Report'!$K$14,0))</f>
        <v>8</v>
      </c>
      <c r="AT9" s="295">
        <f>(IF('Water Report'!$K$15&gt;0,'Water Report'!$K$15,0))</f>
        <v>6</v>
      </c>
      <c r="AU9" s="295">
        <f>(IF('Water Report'!$K$17&gt;0,'Water Report'!$K$17,0))</f>
        <v>3</v>
      </c>
      <c r="AV9" s="295">
        <f>(IF('Water Report'!$K$18&gt;0,'Water Report'!$K$18,0))</f>
        <v>15</v>
      </c>
      <c r="AW9" s="295">
        <f>(IF('Water Report'!$K$19&gt;0,'Water Report'!$K$19,0))</f>
        <v>13</v>
      </c>
      <c r="AX9" s="301">
        <f>(IF('Water Report'!$K$21&gt;0,'Water Report'!$K$21,0))</f>
        <v>106</v>
      </c>
      <c r="AY9" s="301">
        <f>(IF('Water Report'!$K$22&gt;0,'Water Report'!$K$22,0))</f>
        <v>34</v>
      </c>
      <c r="AZ9" s="301">
        <f>(IF('Water Report'!$K$23&gt;0,'Water Report'!$K$23,0))</f>
        <v>4</v>
      </c>
      <c r="BA9" s="301">
        <f>(IF('Water Report'!$K$14&gt;0,'Water Report'!$K$14,0))</f>
        <v>8</v>
      </c>
      <c r="BB9" s="301">
        <f>(IF('Water Report'!$K$15&gt;0,'Water Report'!$K$15,0))</f>
        <v>6</v>
      </c>
      <c r="BC9" s="301">
        <f>(IF('Water Report'!$K$13&gt;0,'Water Report'!$K$13,0))</f>
        <v>31</v>
      </c>
      <c r="BD9" s="301">
        <f>(IF('Water Report'!$K$24&gt;0,'Water Report'!$K$24,0))</f>
        <v>195</v>
      </c>
      <c r="BE9" s="301">
        <f>(IF('Water Report'!$K$25&gt;0,'Water Report'!$K$25,0))</f>
        <v>144</v>
      </c>
      <c r="BF9" s="301">
        <f>(IF('Water Report'!$K$27&gt;0,'Water Report'!$K$27,0))</f>
        <v>141</v>
      </c>
      <c r="BG9" s="296">
        <f>(IF('Section Load'!AN12&gt;0,'Section Load'!AN12,0))</f>
        <v>1052.8000000000466</v>
      </c>
      <c r="BH9" s="296">
        <f>(IF('Section Load'!AO12&gt;0,'Section Load'!AO12,0))</f>
        <v>293.17999999993481</v>
      </c>
      <c r="BI9" s="296">
        <f>(IF('Section Load'!AP12&gt;0,'Section Load'!AP12,0))</f>
        <v>0</v>
      </c>
      <c r="BJ9" s="296">
        <f>(IF('Section Load'!AQ12&gt;0,'Section Load'!AQ12,0))</f>
        <v>113</v>
      </c>
      <c r="BK9" s="296">
        <f>(IF('Section Load'!AR12&gt;0,'Section Load'!AR12,0))</f>
        <v>49.099999999998545</v>
      </c>
      <c r="BL9" s="296">
        <f>(IF('Section Load'!AS12&gt;0,'Section Load'!AS12,0))</f>
        <v>0</v>
      </c>
      <c r="BM9" s="296">
        <f>(IF('Section Load'!AT12&gt;0,'Section Load'!AT12,0))</f>
        <v>597.92000000011285</v>
      </c>
    </row>
    <row r="10" spans="1:65">
      <c r="A10" s="287" t="s">
        <v>268</v>
      </c>
      <c r="B10" s="288">
        <f t="shared" si="0"/>
        <v>9</v>
      </c>
      <c r="C10" s="288">
        <v>6</v>
      </c>
      <c r="D10" s="288">
        <v>2022</v>
      </c>
      <c r="E10" s="294">
        <f>(IF('Section Load'!F13&gt;0,'Section Load'!F13,0))</f>
        <v>3675.8999999999651</v>
      </c>
      <c r="F10" s="294">
        <f>(IF('Section Load'!G13&gt;0,'Section Load'!G13,0))</f>
        <v>3107.32</v>
      </c>
      <c r="G10" s="294">
        <f>(IF('Section Load'!H13&gt;0,'Section Load'!H13,0))</f>
        <v>2250.7899999999881</v>
      </c>
      <c r="H10" s="294">
        <f>(IF('Section Load'!I13&gt;0,'Section Load'!I13,0))</f>
        <v>2000</v>
      </c>
      <c r="I10" s="294">
        <f>(IF('Section Load'!J13&gt;0,'Section Load'!J13,0))</f>
        <v>13570.419999999984</v>
      </c>
      <c r="J10" s="294">
        <f>(IF('Section Load'!K13&gt;0,'Section Load'!K13,0))</f>
        <v>3248.6299999999974</v>
      </c>
      <c r="K10" s="294">
        <f>(IF('Section Load'!L13&gt;0,'Section Load'!L13,0))</f>
        <v>1886.929999999993</v>
      </c>
      <c r="L10" s="294">
        <f>(IF('Section Load'!M13&gt;0,'Section Load'!M13,0))</f>
        <v>1629</v>
      </c>
      <c r="M10" s="294">
        <f>(IF('Section Load'!N13&gt;0,'Section Load'!N13,0))</f>
        <v>125</v>
      </c>
      <c r="N10" s="294">
        <f>(IF('Section Load'!O13&gt;0,'Section Load'!O13,0))</f>
        <v>149</v>
      </c>
      <c r="O10" s="294">
        <f>(IF('Section Load'!P13&gt;0,'Section Load'!P13,0))</f>
        <v>15</v>
      </c>
      <c r="P10" s="294">
        <f>(IF('Section Load'!Q13&gt;0,'Section Load'!Q13,0))</f>
        <v>342.30000000000291</v>
      </c>
      <c r="Q10" s="294">
        <f>(IF('Section Load'!R13&gt;0,'Section Load'!R13,0))</f>
        <v>251.90000000000146</v>
      </c>
      <c r="R10" s="294">
        <f>(IF('Section Load'!S13&gt;0,'Section Load'!S13,0))</f>
        <v>0.5</v>
      </c>
      <c r="S10" s="294">
        <f>(IF('Section Load'!T13&gt;0,'Section Load'!T13,0))</f>
        <v>41</v>
      </c>
      <c r="T10" s="294">
        <f>(IF('Section Load'!U13&gt;0,'Section Load'!U13,0))</f>
        <v>226</v>
      </c>
      <c r="U10" s="294">
        <f>(IF('Section Load'!V13&gt;0,'Section Load'!V13,0))</f>
        <v>382.23999999999069</v>
      </c>
      <c r="V10" s="294">
        <f>(IF('Section Load'!W13&gt;0,'Section Load'!W13,0))</f>
        <v>283.68000000005122</v>
      </c>
      <c r="W10" s="294">
        <f>(IF('Section Load'!X13&gt;0,'Section Load'!X13,0))</f>
        <v>50</v>
      </c>
      <c r="X10" s="294">
        <f>(IF('Section Load'!Y13&gt;0,'Section Load'!Y13,0))</f>
        <v>226.2100000000064</v>
      </c>
      <c r="Y10" s="294">
        <f>(IF('Section Load'!Z13&gt;0,'Section Load'!Z13,0))</f>
        <v>311</v>
      </c>
      <c r="Z10" s="294">
        <f>(IF('Section Load'!AA13&gt;0,'Section Load'!AA13,0))</f>
        <v>187.23999999999069</v>
      </c>
      <c r="AA10" s="294">
        <f>(IF('Section Load'!AB13&gt;0,'Section Load'!AB13,0))</f>
        <v>38.209999999991851</v>
      </c>
      <c r="AB10" s="294">
        <f>(IF('Section Load'!AC13&gt;0,'Section Load'!AC13,0))</f>
        <v>0</v>
      </c>
      <c r="AC10" s="294">
        <f>(IF('Section Load'!AD13&gt;0,'Section Load'!AD13,0))</f>
        <v>174.70000000000528</v>
      </c>
      <c r="AD10" s="294">
        <f>(IF('Section Load'!AE13&gt;0,'Section Load'!AE13,0))</f>
        <v>517.29999999999563</v>
      </c>
      <c r="AE10" s="294">
        <f>(IF('Section Load'!AF13&gt;0,'Section Load'!AF13,0))</f>
        <v>395.70000000000073</v>
      </c>
      <c r="AF10" s="294">
        <f>(IF('Section Load'!AG13&gt;0,'Section Load'!AG13,0))</f>
        <v>1040.7999999999993</v>
      </c>
      <c r="AG10" s="294">
        <f>(IF('Section Load'!AH13&gt;0,'Section Load'!AH13,0))</f>
        <v>741.20000000000073</v>
      </c>
      <c r="AH10" s="294">
        <f>(IF('Section Load'!AI13&gt;0,'Section Load'!AI13,0))</f>
        <v>724.79999999999927</v>
      </c>
      <c r="AI10" s="294">
        <f>(IF('Section Load'!AJ13&gt;0,'Section Load'!AJ13,0))</f>
        <v>751.69999999999709</v>
      </c>
      <c r="AJ10" s="294">
        <f>(IF('Section Load'!AK13&gt;0,'Section Load'!AK13,0))</f>
        <v>474.80000000000109</v>
      </c>
      <c r="AK10" s="294">
        <f>(IF('Section Load'!AL13&gt;0,'Section Load'!AL13,0))</f>
        <v>980.8700000000008</v>
      </c>
      <c r="AL10" s="294">
        <f>(IF('Section Load'!AM13&gt;0,'Section Load'!AM13,0))</f>
        <v>1437.25</v>
      </c>
      <c r="AM10" s="295">
        <f>(IF('Water Report'!$L$7&gt;0,'Water Report'!$L$7,0))</f>
        <v>127</v>
      </c>
      <c r="AN10" s="295">
        <f>(IF('Water Report'!$L$8&gt;0,'Water Report'!$L$8,0))</f>
        <v>129</v>
      </c>
      <c r="AO10" s="295">
        <f>(IF('Water Report'!$L$9&gt;0,'Water Report'!$L$9,0))</f>
        <v>119</v>
      </c>
      <c r="AP10" s="295">
        <f>(IF('Water Report'!$L$10&gt;0,'Water Report'!$L$10,0))</f>
        <v>31</v>
      </c>
      <c r="AQ10" s="295">
        <f>(IF('Water Report'!$L$11&gt;0,'Water Report'!$L$11,0))</f>
        <v>15</v>
      </c>
      <c r="AR10" s="295">
        <f>(IF('Water Report'!$L$13&gt;0,'Water Report'!$L$13,0))</f>
        <v>40</v>
      </c>
      <c r="AS10" s="295">
        <f>(IF('Water Report'!$L$14&gt;0,'Water Report'!$L$14,0))</f>
        <v>8</v>
      </c>
      <c r="AT10" s="295">
        <f>(IF('Water Report'!$L$15&gt;0,'Water Report'!$L$15,0))</f>
        <v>9</v>
      </c>
      <c r="AU10" s="295">
        <f>(IF('Water Report'!$L$17&gt;0,'Water Report'!$L$17,0))</f>
        <v>0</v>
      </c>
      <c r="AV10" s="295">
        <f>(IF('Water Report'!$L$18&gt;0,'Water Report'!$L$18,0))</f>
        <v>13</v>
      </c>
      <c r="AW10" s="295">
        <f>(IF('Water Report'!$L$19&gt;0,'Water Report'!$L$19,0))</f>
        <v>13</v>
      </c>
      <c r="AX10" s="301">
        <f>(IF('Water Report'!$L$21&gt;0,'Water Report'!$L$21,0))</f>
        <v>137</v>
      </c>
      <c r="AY10" s="301">
        <f>(IF('Water Report'!$L$22&gt;0,'Water Report'!$L$22,0))</f>
        <v>30</v>
      </c>
      <c r="AZ10" s="301">
        <f>(IF('Water Report'!$L$23&gt;0,'Water Report'!$L$23,0))</f>
        <v>30</v>
      </c>
      <c r="BA10" s="301">
        <f>(IF('Water Report'!$L$14&gt;0,'Water Report'!$L$14,0))</f>
        <v>8</v>
      </c>
      <c r="BB10" s="301">
        <f>(IF('Water Report'!$L$15&gt;0,'Water Report'!$L$15,0))</f>
        <v>9</v>
      </c>
      <c r="BC10" s="301">
        <f>(IF('Water Report'!$L$13&gt;0,'Water Report'!$L$13,0))</f>
        <v>40</v>
      </c>
      <c r="BD10" s="301">
        <f>(IF('Water Report'!$L$24&gt;0,'Water Report'!$L$24,0))</f>
        <v>280</v>
      </c>
      <c r="BE10" s="301">
        <f>(IF('Water Report'!$L$25&gt;0,'Water Report'!$L$25,0))</f>
        <v>182</v>
      </c>
      <c r="BF10" s="301">
        <f>(IF('Water Report'!$L$27&gt;0,'Water Report'!$L$27,0))</f>
        <v>207</v>
      </c>
      <c r="BG10" s="296">
        <f>(IF('Section Load'!AN13&gt;0,'Section Load'!AN13,0))</f>
        <v>916</v>
      </c>
      <c r="BH10" s="296">
        <f>(IF('Section Load'!AO13&gt;0,'Section Load'!AO13,0))</f>
        <v>300.15200000000186</v>
      </c>
      <c r="BI10" s="296">
        <f>(IF('Section Load'!AP13&gt;0,'Section Load'!AP13,0))</f>
        <v>0</v>
      </c>
      <c r="BJ10" s="296">
        <f>(IF('Section Load'!AQ13&gt;0,'Section Load'!AQ13,0))</f>
        <v>96</v>
      </c>
      <c r="BK10" s="296">
        <f>(IF('Section Load'!AR13&gt;0,'Section Load'!AR13,0))</f>
        <v>43</v>
      </c>
      <c r="BL10" s="296">
        <f>(IF('Section Load'!AS13&gt;0,'Section Load'!AS13,0))</f>
        <v>0</v>
      </c>
      <c r="BM10" s="296">
        <f>(IF('Section Load'!AT13&gt;0,'Section Load'!AT13,0))</f>
        <v>477.64800000000105</v>
      </c>
    </row>
    <row r="11" spans="1:65">
      <c r="A11" s="287" t="s">
        <v>268</v>
      </c>
      <c r="B11" s="288">
        <f t="shared" si="0"/>
        <v>10</v>
      </c>
      <c r="C11" s="288">
        <v>6</v>
      </c>
      <c r="D11" s="288">
        <v>2022</v>
      </c>
      <c r="E11" s="294">
        <f>(IF('Section Load'!F14&gt;0,'Section Load'!F14,0))</f>
        <v>3797.0500000000466</v>
      </c>
      <c r="F11" s="294">
        <f>(IF('Section Load'!G14&gt;0,'Section Load'!G14,0))</f>
        <v>1758.1300000000047</v>
      </c>
      <c r="G11" s="294">
        <f>(IF('Section Load'!H14&gt;0,'Section Load'!H14,0))</f>
        <v>2457.4500000000116</v>
      </c>
      <c r="H11" s="294">
        <f>(IF('Section Load'!I14&gt;0,'Section Load'!I14,0))</f>
        <v>3079.0900000000256</v>
      </c>
      <c r="I11" s="294">
        <f>(IF('Section Load'!J14&gt;0,'Section Load'!J14,0))</f>
        <v>10623.720000000045</v>
      </c>
      <c r="J11" s="294">
        <f>(IF('Section Load'!K14&gt;0,'Section Load'!K14,0))</f>
        <v>3197.0399999999936</v>
      </c>
      <c r="K11" s="294">
        <f>(IF('Section Load'!L14&gt;0,'Section Load'!L14,0))</f>
        <v>1407.179999999993</v>
      </c>
      <c r="L11" s="294">
        <f>(IF('Section Load'!M14&gt;0,'Section Load'!M14,0))</f>
        <v>985.79999999998836</v>
      </c>
      <c r="M11" s="294">
        <f>(IF('Section Load'!N14&gt;0,'Section Load'!N14,0))</f>
        <v>150</v>
      </c>
      <c r="N11" s="294">
        <f>(IF('Section Load'!O14&gt;0,'Section Load'!O14,0))</f>
        <v>150</v>
      </c>
      <c r="O11" s="294">
        <f>(IF('Section Load'!P14&gt;0,'Section Load'!P14,0))</f>
        <v>2.5</v>
      </c>
      <c r="P11" s="294">
        <f>(IF('Section Load'!Q14&gt;0,'Section Load'!Q14,0))</f>
        <v>206.39999999999418</v>
      </c>
      <c r="Q11" s="294">
        <f>(IF('Section Load'!R14&gt;0,'Section Load'!R14,0))</f>
        <v>142</v>
      </c>
      <c r="R11" s="294">
        <f>(IF('Section Load'!S14&gt;0,'Section Load'!S14,0))</f>
        <v>0</v>
      </c>
      <c r="S11" s="294">
        <f>(IF('Section Load'!T14&gt;0,'Section Load'!T14,0))</f>
        <v>39</v>
      </c>
      <c r="T11" s="294">
        <f>(IF('Section Load'!U14&gt;0,'Section Load'!U14,0))</f>
        <v>244</v>
      </c>
      <c r="U11" s="294">
        <f>(IF('Section Load'!V14&gt;0,'Section Load'!V14,0))</f>
        <v>357.19999999995343</v>
      </c>
      <c r="V11" s="294">
        <f>(IF('Section Load'!W14&gt;0,'Section Load'!W14,0))</f>
        <v>252.47999999998137</v>
      </c>
      <c r="W11" s="294">
        <f>(IF('Section Load'!X14&gt;0,'Section Load'!X14,0))</f>
        <v>22.399999999999636</v>
      </c>
      <c r="X11" s="294">
        <f>(IF('Section Load'!Y14&gt;0,'Section Load'!Y14,0))</f>
        <v>249.58999999999651</v>
      </c>
      <c r="Y11" s="294">
        <f>(IF('Section Load'!Z14&gt;0,'Section Load'!Z14,0))</f>
        <v>288</v>
      </c>
      <c r="Z11" s="294">
        <f>(IF('Section Load'!AA14&gt;0,'Section Load'!AA14,0))</f>
        <v>180.0800000000163</v>
      </c>
      <c r="AA11" s="294">
        <f>(IF('Section Load'!AB14&gt;0,'Section Load'!AB14,0))</f>
        <v>36.990000000005239</v>
      </c>
      <c r="AB11" s="294">
        <f>(IF('Section Load'!AC14&gt;0,'Section Load'!AC14,0))</f>
        <v>0</v>
      </c>
      <c r="AC11" s="294">
        <f>(IF('Section Load'!AD14&gt;0,'Section Load'!AD14,0))</f>
        <v>168.79999999999745</v>
      </c>
      <c r="AD11" s="294">
        <f>(IF('Section Load'!AE14&gt;0,'Section Load'!AE14,0))</f>
        <v>468.09999999999854</v>
      </c>
      <c r="AE11" s="294">
        <f>(IF('Section Load'!AF14&gt;0,'Section Load'!AF14,0))</f>
        <v>169.60000000000218</v>
      </c>
      <c r="AF11" s="294">
        <f>(IF('Section Load'!AG14&gt;0,'Section Load'!AG14,0))</f>
        <v>622.30000000000291</v>
      </c>
      <c r="AG11" s="294">
        <f>(IF('Section Load'!AH14&gt;0,'Section Load'!AH14,0))</f>
        <v>447.09999999999854</v>
      </c>
      <c r="AH11" s="294">
        <f>(IF('Section Load'!AI14&gt;0,'Section Load'!AI14,0))</f>
        <v>431</v>
      </c>
      <c r="AI11" s="294">
        <f>(IF('Section Load'!AJ14&gt;0,'Section Load'!AJ14,0))</f>
        <v>434.40000000000146</v>
      </c>
      <c r="AJ11" s="294">
        <f>(IF('Section Load'!AK14&gt;0,'Section Load'!AK14,0))</f>
        <v>302</v>
      </c>
      <c r="AK11" s="294">
        <f>(IF('Section Load'!AL14&gt;0,'Section Load'!AL14,0))</f>
        <v>309.42999999999847</v>
      </c>
      <c r="AL11" s="294">
        <f>(IF('Section Load'!AM14&gt;0,'Section Load'!AM14,0))</f>
        <v>848.5</v>
      </c>
      <c r="AM11" s="295">
        <f>(IF('Water Report'!$M$7&gt;0,'Water Report'!$M$7,0))</f>
        <v>131</v>
      </c>
      <c r="AN11" s="295">
        <f>(IF('Water Report'!$M$8&gt;0,'Water Report'!$M$8,0))</f>
        <v>105</v>
      </c>
      <c r="AO11" s="295">
        <f>(IF('Water Report'!$M$9&gt;0,'Water Report'!$M$9,0))</f>
        <v>116</v>
      </c>
      <c r="AP11" s="295">
        <f>(IF('Water Report'!$M$10&gt;0,'Water Report'!$M$10,0))</f>
        <v>23</v>
      </c>
      <c r="AQ11" s="295">
        <f>(IF('Water Report'!$M$11&gt;0,'Water Report'!$M$11,0))</f>
        <v>2</v>
      </c>
      <c r="AR11" s="295">
        <f>(IF('Water Report'!$M$13&gt;0,'Water Report'!$M$13,0))</f>
        <v>31</v>
      </c>
      <c r="AS11" s="295">
        <f>(IF('Water Report'!$M$14&gt;0,'Water Report'!$M$14,0))</f>
        <v>10</v>
      </c>
      <c r="AT11" s="295">
        <f>(IF('Water Report'!$M$15&gt;0,'Water Report'!$M$15,0))</f>
        <v>15</v>
      </c>
      <c r="AU11" s="295">
        <f>(IF('Water Report'!$M$17&gt;0,'Water Report'!$M$17,0))</f>
        <v>2</v>
      </c>
      <c r="AV11" s="295">
        <f>(IF('Water Report'!$M$18&gt;0,'Water Report'!$M$18,0))</f>
        <v>17</v>
      </c>
      <c r="AW11" s="295">
        <f>(IF('Water Report'!$M$19&gt;0,'Water Report'!$M$19,0))</f>
        <v>13</v>
      </c>
      <c r="AX11" s="301">
        <f>(IF('Water Report'!$M$21&gt;0,'Water Report'!$M$21,0))</f>
        <v>110</v>
      </c>
      <c r="AY11" s="301">
        <f>(IF('Water Report'!$M$22&gt;0,'Water Report'!$M$22,0))</f>
        <v>29</v>
      </c>
      <c r="AZ11" s="301">
        <f>(IF('Water Report'!$M$23&gt;0,'Water Report'!$M$23,0))</f>
        <v>3</v>
      </c>
      <c r="BA11" s="301">
        <f>(IF('Water Report'!$M$14&gt;0,'Water Report'!$M$14,0))</f>
        <v>10</v>
      </c>
      <c r="BB11" s="301">
        <f>(IF('Water Report'!$M$15&gt;0,'Water Report'!$M$15,0))</f>
        <v>15</v>
      </c>
      <c r="BC11" s="301">
        <f>(IF('Water Report'!$M$13&gt;0,'Water Report'!$M$13,0))</f>
        <v>31</v>
      </c>
      <c r="BD11" s="301">
        <f>(IF('Water Report'!$M$24&gt;0,'Water Report'!$M$24,0))</f>
        <v>200</v>
      </c>
      <c r="BE11" s="301">
        <f>(IF('Water Report'!$M$25&gt;0,'Water Report'!$M$25,0))</f>
        <v>166</v>
      </c>
      <c r="BF11" s="301">
        <f>(IF('Water Report'!$M$27&gt;0,'Water Report'!$M$27,0))</f>
        <v>144</v>
      </c>
      <c r="BG11" s="296">
        <f>(IF('Section Load'!AN14&gt;0,'Section Load'!AN14,0))</f>
        <v>1061.5</v>
      </c>
      <c r="BH11" s="296">
        <f>(IF('Section Load'!AO14&gt;0,'Section Load'!AO14,0))</f>
        <v>291.28099999995902</v>
      </c>
      <c r="BI11" s="296">
        <f>(IF('Section Load'!AP14&gt;0,'Section Load'!AP14,0))</f>
        <v>0.80000000000291038</v>
      </c>
      <c r="BJ11" s="296">
        <f>(IF('Section Load'!AQ14&gt;0,'Section Load'!AQ14,0))</f>
        <v>108</v>
      </c>
      <c r="BK11" s="296">
        <f>(IF('Section Load'!AR14&gt;0,'Section Load'!AR14,0))</f>
        <v>58</v>
      </c>
      <c r="BL11" s="296">
        <f>(IF('Section Load'!AS14&gt;0,'Section Load'!AS14,0))</f>
        <v>0</v>
      </c>
      <c r="BM11" s="296">
        <f>(IF('Section Load'!AT14&gt;0,'Section Load'!AT14,0))</f>
        <v>603.41900000003807</v>
      </c>
    </row>
    <row r="12" spans="1:65">
      <c r="A12" s="287" t="s">
        <v>268</v>
      </c>
      <c r="B12" s="288">
        <f t="shared" si="0"/>
        <v>11</v>
      </c>
      <c r="C12" s="288">
        <v>6</v>
      </c>
      <c r="D12" s="288">
        <v>2022</v>
      </c>
      <c r="E12" s="294">
        <f>(IF('Section Load'!F15&gt;0,'Section Load'!F15,0))</f>
        <v>3749.109999999986</v>
      </c>
      <c r="F12" s="294">
        <f>(IF('Section Load'!G15&gt;0,'Section Load'!G15,0))</f>
        <v>1739.1199999999953</v>
      </c>
      <c r="G12" s="294">
        <f>(IF('Section Load'!H15&gt;0,'Section Load'!H15,0))</f>
        <v>2491.7000000000116</v>
      </c>
      <c r="H12" s="294">
        <f>(IF('Section Load'!I15&gt;0,'Section Load'!I15,0))</f>
        <v>3101.9500000000116</v>
      </c>
      <c r="I12" s="294">
        <f>(IF('Section Load'!J15&gt;0,'Section Load'!J15,0))</f>
        <v>9978.8499999999331</v>
      </c>
      <c r="J12" s="294">
        <f>(IF('Section Load'!K15&gt;0,'Section Load'!K15,0))</f>
        <v>3247.2000000000116</v>
      </c>
      <c r="K12" s="294">
        <f>(IF('Section Load'!L15&gt;0,'Section Load'!L15,0))</f>
        <v>995.78000000002794</v>
      </c>
      <c r="L12" s="294">
        <f>(IF('Section Load'!M15&gt;0,'Section Load'!M15,0))</f>
        <v>719.10000000000582</v>
      </c>
      <c r="M12" s="294">
        <f>(IF('Section Load'!N15&gt;0,'Section Load'!N15,0))</f>
        <v>150</v>
      </c>
      <c r="N12" s="294">
        <f>(IF('Section Load'!O15&gt;0,'Section Load'!O15,0))</f>
        <v>152</v>
      </c>
      <c r="O12" s="294">
        <f>(IF('Section Load'!P15&gt;0,'Section Load'!P15,0))</f>
        <v>3</v>
      </c>
      <c r="P12" s="294">
        <f>(IF('Section Load'!Q15&gt;0,'Section Load'!Q15,0))</f>
        <v>209.05000000000291</v>
      </c>
      <c r="Q12" s="294">
        <f>(IF('Section Load'!R15&gt;0,'Section Load'!R15,0))</f>
        <v>142.29999999999927</v>
      </c>
      <c r="R12" s="294">
        <f>(IF('Section Load'!S15&gt;0,'Section Load'!S15,0))</f>
        <v>0.22000000000025466</v>
      </c>
      <c r="S12" s="294">
        <f>(IF('Section Load'!T15&gt;0,'Section Load'!T15,0))</f>
        <v>71</v>
      </c>
      <c r="T12" s="294">
        <f>(IF('Section Load'!U15&gt;0,'Section Load'!U15,0))</f>
        <v>241</v>
      </c>
      <c r="U12" s="294">
        <f>(IF('Section Load'!V15&gt;0,'Section Load'!V15,0))</f>
        <v>417.96000000007916</v>
      </c>
      <c r="V12" s="294">
        <f>(IF('Section Load'!W15&gt;0,'Section Load'!W15,0))</f>
        <v>265.52000000001863</v>
      </c>
      <c r="W12" s="294">
        <f>(IF('Section Load'!X15&gt;0,'Section Load'!X15,0))</f>
        <v>29.5600000000004</v>
      </c>
      <c r="X12" s="294">
        <f>(IF('Section Load'!Y15&gt;0,'Section Load'!Y15,0))</f>
        <v>242.40000000000146</v>
      </c>
      <c r="Y12" s="294">
        <f>(IF('Section Load'!Z15&gt;0,'Section Load'!Z15,0))</f>
        <v>299</v>
      </c>
      <c r="Z12" s="294">
        <f>(IF('Section Load'!AA15&gt;0,'Section Load'!AA15,0))</f>
        <v>144.47999999998137</v>
      </c>
      <c r="AA12" s="294">
        <f>(IF('Section Load'!AB15&gt;0,'Section Load'!AB15,0))</f>
        <v>22.899999999994179</v>
      </c>
      <c r="AB12" s="294">
        <f>(IF('Section Load'!AC15&gt;0,'Section Load'!AC15,0))</f>
        <v>0</v>
      </c>
      <c r="AC12" s="294">
        <f>(IF('Section Load'!AD15&gt;0,'Section Load'!AD15,0))</f>
        <v>189.50000000000273</v>
      </c>
      <c r="AD12" s="294">
        <f>(IF('Section Load'!AE15&gt;0,'Section Load'!AE15,0))</f>
        <v>475.80000000000291</v>
      </c>
      <c r="AE12" s="294">
        <f>(IF('Section Load'!AF15&gt;0,'Section Load'!AF15,0))</f>
        <v>216.79999999999927</v>
      </c>
      <c r="AF12" s="294">
        <f>(IF('Section Load'!AG15&gt;0,'Section Load'!AG15,0))</f>
        <v>628.23999999999796</v>
      </c>
      <c r="AG12" s="294">
        <f>(IF('Section Load'!AH15&gt;0,'Section Load'!AH15,0))</f>
        <v>449.40000000000146</v>
      </c>
      <c r="AH12" s="294">
        <f>(IF('Section Load'!AI15&gt;0,'Section Load'!AI15,0))</f>
        <v>411.59999999999854</v>
      </c>
      <c r="AI12" s="294">
        <f>(IF('Section Load'!AJ15&gt;0,'Section Load'!AJ15,0))</f>
        <v>448.40000000000146</v>
      </c>
      <c r="AJ12" s="294">
        <f>(IF('Section Load'!AK15&gt;0,'Section Load'!AK15,0))</f>
        <v>317.29999999999927</v>
      </c>
      <c r="AK12" s="294">
        <f>(IF('Section Load'!AL15&gt;0,'Section Load'!AL15,0))</f>
        <v>307.20000000000073</v>
      </c>
      <c r="AL12" s="294">
        <f>(IF('Section Load'!AM15&gt;0,'Section Load'!AM15,0))</f>
        <v>866.25</v>
      </c>
      <c r="AM12" s="295">
        <f>(IF('Water Report'!$N$7&gt;0,'Water Report'!$N$7,0))</f>
        <v>142</v>
      </c>
      <c r="AN12" s="295">
        <f>(IF('Water Report'!$N$8&gt;0,'Water Report'!$N$8,0))</f>
        <v>121</v>
      </c>
      <c r="AO12" s="295">
        <f>(IF('Water Report'!$N$9&gt;0,'Water Report'!$N$9,0))</f>
        <v>129</v>
      </c>
      <c r="AP12" s="295">
        <f>(IF('Water Report'!$N$10&gt;0,'Water Report'!$N$10,0))</f>
        <v>33</v>
      </c>
      <c r="AQ12" s="295">
        <f>(IF('Water Report'!$N$11&gt;0,'Water Report'!$N$11,0))</f>
        <v>0</v>
      </c>
      <c r="AR12" s="295">
        <f>(IF('Water Report'!$N$13&gt;0,'Water Report'!$N$13,0))</f>
        <v>36</v>
      </c>
      <c r="AS12" s="295">
        <f>(IF('Water Report'!$N$14&gt;0,'Water Report'!$N$14,0))</f>
        <v>8</v>
      </c>
      <c r="AT12" s="295">
        <f>(IF('Water Report'!$N$15&gt;0,'Water Report'!$N$15,0))</f>
        <v>8</v>
      </c>
      <c r="AU12" s="295">
        <f>(IF('Water Report'!$N$17&gt;0,'Water Report'!$N$17,0))</f>
        <v>1</v>
      </c>
      <c r="AV12" s="295">
        <f>(IF('Water Report'!$N$18&gt;0,'Water Report'!$N$18,0))</f>
        <v>16</v>
      </c>
      <c r="AW12" s="295">
        <f>(IF('Water Report'!$N$19&gt;0,'Water Report'!$N$19,0))</f>
        <v>13</v>
      </c>
      <c r="AX12" s="301">
        <f>(IF('Water Report'!$N$21&gt;0,'Water Report'!$N$21,0))</f>
        <v>135</v>
      </c>
      <c r="AY12" s="301">
        <f>(IF('Water Report'!$N$22&gt;0,'Water Report'!$N$22,0))</f>
        <v>1</v>
      </c>
      <c r="AZ12" s="301">
        <f>(IF('Water Report'!$N$23&gt;0,'Water Report'!$N$23,0))</f>
        <v>4</v>
      </c>
      <c r="BA12" s="301">
        <f>(IF('Water Report'!$N$14&gt;0,'Water Report'!$N$14,0))</f>
        <v>8</v>
      </c>
      <c r="BB12" s="301">
        <f>(IF('Water Report'!$N$15&gt;0,'Water Report'!$N$15,0))</f>
        <v>8</v>
      </c>
      <c r="BC12" s="301">
        <f>(IF('Water Report'!$N$13&gt;0,'Water Report'!$N$13,0))</f>
        <v>36</v>
      </c>
      <c r="BD12" s="301">
        <f>(IF('Water Report'!$N$24&gt;0,'Water Report'!$N$24,0))</f>
        <v>360</v>
      </c>
      <c r="BE12" s="301">
        <f>(IF('Water Report'!$N$25&gt;0,'Water Report'!$N$25,0))</f>
        <v>178</v>
      </c>
      <c r="BF12" s="301">
        <f>(IF('Water Report'!$N$27&gt;0,'Water Report'!$N$27,0))</f>
        <v>175</v>
      </c>
      <c r="BG12" s="296">
        <f>(IF('Section Load'!AN15&gt;0,'Section Load'!AN15,0))</f>
        <v>1053.5</v>
      </c>
      <c r="BH12" s="296">
        <f>(IF('Section Load'!AO15&gt;0,'Section Load'!AO15,0))</f>
        <v>278.50700000009965</v>
      </c>
      <c r="BI12" s="296">
        <f>(IF('Section Load'!AP15&gt;0,'Section Load'!AP15,0))</f>
        <v>0</v>
      </c>
      <c r="BJ12" s="296">
        <f>(IF('Section Load'!AQ15&gt;0,'Section Load'!AQ15,0))</f>
        <v>105</v>
      </c>
      <c r="BK12" s="296">
        <f>(IF('Section Load'!AR15&gt;0,'Section Load'!AR15,0))</f>
        <v>50</v>
      </c>
      <c r="BL12" s="296">
        <f>(IF('Section Load'!AS15&gt;0,'Section Load'!AS15,0))</f>
        <v>0.3999999999996362</v>
      </c>
      <c r="BM12" s="296">
        <f>(IF('Section Load'!AT15&gt;0,'Section Load'!AT15,0))</f>
        <v>619.59299999990071</v>
      </c>
    </row>
    <row r="13" spans="1:65">
      <c r="A13" s="287" t="s">
        <v>268</v>
      </c>
      <c r="B13" s="288">
        <f t="shared" si="0"/>
        <v>12</v>
      </c>
      <c r="C13" s="288">
        <v>6</v>
      </c>
      <c r="D13" s="288">
        <v>2022</v>
      </c>
      <c r="E13" s="294">
        <f>(IF('Section Load'!F16&gt;0,'Section Load'!F16,0))</f>
        <v>3949.9400000000023</v>
      </c>
      <c r="F13" s="294">
        <f>(IF('Section Load'!G16&gt;0,'Section Load'!G16,0))</f>
        <v>1720.75</v>
      </c>
      <c r="G13" s="294">
        <f>(IF('Section Load'!H16&gt;0,'Section Load'!H16,0))</f>
        <v>2523.2999999999884</v>
      </c>
      <c r="H13" s="294">
        <f>(IF('Section Load'!I16&gt;0,'Section Load'!I16,0))</f>
        <v>3189.0499999999884</v>
      </c>
      <c r="I13" s="294">
        <f>(IF('Section Load'!J16&gt;0,'Section Load'!J16,0))</f>
        <v>10292.750000000044</v>
      </c>
      <c r="J13" s="294">
        <f>(IF('Section Load'!K16&gt;0,'Section Load'!K16,0))</f>
        <v>3313.8999999999942</v>
      </c>
      <c r="K13" s="294">
        <f>(IF('Section Load'!L16&gt;0,'Section Load'!L16,0))</f>
        <v>949.10999999998603</v>
      </c>
      <c r="L13" s="294">
        <f>(IF('Section Load'!M16&gt;0,'Section Load'!M16,0))</f>
        <v>955.10000000000582</v>
      </c>
      <c r="M13" s="294">
        <f>(IF('Section Load'!N16&gt;0,'Section Load'!N16,0))</f>
        <v>179</v>
      </c>
      <c r="N13" s="294">
        <f>(IF('Section Load'!O16&gt;0,'Section Load'!O16,0))</f>
        <v>150</v>
      </c>
      <c r="O13" s="294">
        <f>(IF('Section Load'!P16&gt;0,'Section Load'!P16,0))</f>
        <v>3</v>
      </c>
      <c r="P13" s="294">
        <f>(IF('Section Load'!Q16&gt;0,'Section Load'!Q16,0))</f>
        <v>215.05000000000291</v>
      </c>
      <c r="Q13" s="294">
        <f>(IF('Section Load'!R16&gt;0,'Section Load'!R16,0))</f>
        <v>162.79999999999927</v>
      </c>
      <c r="R13" s="294">
        <f>(IF('Section Load'!S16&gt;0,'Section Load'!S16,0))</f>
        <v>0.27999999999974534</v>
      </c>
      <c r="S13" s="294">
        <f>(IF('Section Load'!T16&gt;0,'Section Load'!T16,0))</f>
        <v>89</v>
      </c>
      <c r="T13" s="294">
        <f>(IF('Section Load'!U16&gt;0,'Section Load'!U16,0))</f>
        <v>240</v>
      </c>
      <c r="U13" s="294">
        <f>(IF('Section Load'!V16&gt;0,'Section Load'!V16,0))</f>
        <v>230.59999999997672</v>
      </c>
      <c r="V13" s="294">
        <f>(IF('Section Load'!W16&gt;0,'Section Load'!W16,0))</f>
        <v>288.19999999995343</v>
      </c>
      <c r="W13" s="294">
        <f>(IF('Section Load'!X16&gt;0,'Section Load'!X16,0))</f>
        <v>22.039999999999964</v>
      </c>
      <c r="X13" s="294">
        <f>(IF('Section Load'!Y16&gt;0,'Section Load'!Y16,0))</f>
        <v>240.59999999999854</v>
      </c>
      <c r="Y13" s="294">
        <f>(IF('Section Load'!Z16&gt;0,'Section Load'!Z16,0))</f>
        <v>317</v>
      </c>
      <c r="Z13" s="294">
        <f>(IF('Section Load'!AA16&gt;0,'Section Load'!AA16,0))</f>
        <v>34.71999999997206</v>
      </c>
      <c r="AA13" s="294">
        <f>(IF('Section Load'!AB16&gt;0,'Section Load'!AB16,0))</f>
        <v>17.100000000005821</v>
      </c>
      <c r="AB13" s="294">
        <f>(IF('Section Load'!AC16&gt;0,'Section Load'!AC16,0))</f>
        <v>0</v>
      </c>
      <c r="AC13" s="294">
        <f>(IF('Section Load'!AD16&gt;0,'Section Load'!AD16,0))</f>
        <v>167.19999999999709</v>
      </c>
      <c r="AD13" s="294">
        <f>(IF('Section Load'!AE16&gt;0,'Section Load'!AE16,0))</f>
        <v>462</v>
      </c>
      <c r="AE13" s="294">
        <f>(IF('Section Load'!AF16&gt;0,'Section Load'!AF16,0))</f>
        <v>267.79999999999927</v>
      </c>
      <c r="AF13" s="294">
        <f>(IF('Section Load'!AG16&gt;0,'Section Load'!AG16,0))</f>
        <v>608.86000000000058</v>
      </c>
      <c r="AG13" s="294">
        <f>(IF('Section Load'!AH16&gt;0,'Section Load'!AH16,0))</f>
        <v>448.09999999999854</v>
      </c>
      <c r="AH13" s="294">
        <f>(IF('Section Load'!AI16&gt;0,'Section Load'!AI16,0))</f>
        <v>442.40000000000146</v>
      </c>
      <c r="AI13" s="294">
        <f>(IF('Section Load'!AJ16&gt;0,'Section Load'!AJ16,0))</f>
        <v>498.59999999999854</v>
      </c>
      <c r="AJ13" s="294">
        <f>(IF('Section Load'!AK16&gt;0,'Section Load'!AK16,0))</f>
        <v>324</v>
      </c>
      <c r="AK13" s="294">
        <f>(IF('Section Load'!AL16&gt;0,'Section Load'!AL16,0))</f>
        <v>316</v>
      </c>
      <c r="AL13" s="294">
        <f>(IF('Section Load'!AM16&gt;0,'Section Load'!AM16,0))</f>
        <v>908</v>
      </c>
      <c r="AM13" s="295">
        <f>(IF('Water Report'!$O$7&gt;0,'Water Report'!$O$7,0))</f>
        <v>122</v>
      </c>
      <c r="AN13" s="295">
        <f>(IF('Water Report'!$O$8&gt;0,'Water Report'!$O$8,0))</f>
        <v>154</v>
      </c>
      <c r="AO13" s="295">
        <f>(IF('Water Report'!$O$9&gt;0,'Water Report'!$O$9,0))</f>
        <v>109</v>
      </c>
      <c r="AP13" s="295">
        <f>(IF('Water Report'!$O$10&gt;0,'Water Report'!$O$10,0))</f>
        <v>29</v>
      </c>
      <c r="AQ13" s="295">
        <f>(IF('Water Report'!$O$11&gt;0,'Water Report'!$O$11,0))</f>
        <v>0</v>
      </c>
      <c r="AR13" s="295">
        <f>(IF('Water Report'!$O$13&gt;0,'Water Report'!$O$13,0))</f>
        <v>37</v>
      </c>
      <c r="AS13" s="295">
        <f>(IF('Water Report'!$O$14&gt;0,'Water Report'!$O$14,0))</f>
        <v>8</v>
      </c>
      <c r="AT13" s="295">
        <f>(IF('Water Report'!$O$15&gt;0,'Water Report'!$O$15,0))</f>
        <v>7</v>
      </c>
      <c r="AU13" s="295">
        <f>(IF('Water Report'!$O$17&gt;0,'Water Report'!$O$17,0))</f>
        <v>0</v>
      </c>
      <c r="AV13" s="295">
        <f>(IF('Water Report'!$O$18&gt;0,'Water Report'!$O$18,0))</f>
        <v>16</v>
      </c>
      <c r="AW13" s="295">
        <f>(IF('Water Report'!$O$19&gt;0,'Water Report'!$O$19,0))</f>
        <v>14</v>
      </c>
      <c r="AX13" s="301">
        <f>(IF('Water Report'!$O$21&gt;0,'Water Report'!$O$21,0))</f>
        <v>76</v>
      </c>
      <c r="AY13" s="301">
        <f>(IF('Water Report'!$O$22&gt;0,'Water Report'!$O$22,0))</f>
        <v>16</v>
      </c>
      <c r="AZ13" s="301">
        <f>(IF('Water Report'!$O$23&gt;0,'Water Report'!$O$23,0))</f>
        <v>6</v>
      </c>
      <c r="BA13" s="301">
        <f>(IF('Water Report'!$O$14&gt;0,'Water Report'!$O$14,0))</f>
        <v>8</v>
      </c>
      <c r="BB13" s="301">
        <f>(IF('Water Report'!$O$15&gt;0,'Water Report'!$O$15,0))</f>
        <v>7</v>
      </c>
      <c r="BC13" s="301">
        <f>(IF('Water Report'!$O$13&gt;0,'Water Report'!$O$13,0))</f>
        <v>37</v>
      </c>
      <c r="BD13" s="301">
        <f>(IF('Water Report'!$O$24&gt;0,'Water Report'!$O$24,0))</f>
        <v>270</v>
      </c>
      <c r="BE13" s="301">
        <f>(IF('Water Report'!$O$25&gt;0,'Water Report'!$O$25,0))</f>
        <v>153</v>
      </c>
      <c r="BF13" s="301">
        <f>(IF('Water Report'!$O$27&gt;0,'Water Report'!$O$27,0))</f>
        <v>119</v>
      </c>
      <c r="BG13" s="296">
        <f>(IF('Section Load'!AN16&gt;0,'Section Load'!AN16,0))</f>
        <v>1039</v>
      </c>
      <c r="BH13" s="296">
        <f>(IF('Section Load'!AO16&gt;0,'Section Load'!AO16,0))</f>
        <v>320.31999999994878</v>
      </c>
      <c r="BI13" s="296">
        <f>(IF('Section Load'!AP16&gt;0,'Section Load'!AP16,0))</f>
        <v>0.19999999999708962</v>
      </c>
      <c r="BJ13" s="296">
        <f>(IF('Section Load'!AQ16&gt;0,'Section Load'!AQ16,0))</f>
        <v>106</v>
      </c>
      <c r="BK13" s="296">
        <f>(IF('Section Load'!AR16&gt;0,'Section Load'!AR16,0))</f>
        <v>45</v>
      </c>
      <c r="BL13" s="296">
        <f>(IF('Section Load'!AS16&gt;0,'Section Load'!AS16,0))</f>
        <v>0</v>
      </c>
      <c r="BM13" s="296">
        <f>(IF('Section Load'!AT16&gt;0,'Section Load'!AT16,0))</f>
        <v>567.48000000005413</v>
      </c>
    </row>
    <row r="14" spans="1:65">
      <c r="A14" s="287" t="s">
        <v>268</v>
      </c>
      <c r="B14" s="288">
        <f t="shared" si="0"/>
        <v>13</v>
      </c>
      <c r="C14" s="288">
        <v>6</v>
      </c>
      <c r="D14" s="288">
        <v>2022</v>
      </c>
      <c r="E14" s="294">
        <f>(IF('Section Load'!F17&gt;0,'Section Load'!F17,0))</f>
        <v>3857</v>
      </c>
      <c r="F14" s="294">
        <f>(IF('Section Load'!G17&gt;0,'Section Load'!G17,0))</f>
        <v>1681</v>
      </c>
      <c r="G14" s="294">
        <f>(IF('Section Load'!H17&gt;0,'Section Load'!H17,0))</f>
        <v>2350</v>
      </c>
      <c r="H14" s="294">
        <f>(IF('Section Load'!I17&gt;0,'Section Load'!I17,0))</f>
        <v>3101</v>
      </c>
      <c r="I14" s="294">
        <f>(IF('Section Load'!J17&gt;0,'Section Load'!J17,0))</f>
        <v>9751</v>
      </c>
      <c r="J14" s="294">
        <f>(IF('Section Load'!K17&gt;0,'Section Load'!K17,0))</f>
        <v>3231</v>
      </c>
      <c r="K14" s="294">
        <f>(IF('Section Load'!L17&gt;0,'Section Load'!L17,0))</f>
        <v>945</v>
      </c>
      <c r="L14" s="294">
        <f>(IF('Section Load'!M17&gt;0,'Section Load'!M17,0))</f>
        <v>703</v>
      </c>
      <c r="M14" s="294">
        <f>(IF('Section Load'!N17&gt;0,'Section Load'!N17,0))</f>
        <v>151</v>
      </c>
      <c r="N14" s="294">
        <f>(IF('Section Load'!O17&gt;0,'Section Load'!O17,0))</f>
        <v>137</v>
      </c>
      <c r="O14" s="294">
        <f>(IF('Section Load'!P17&gt;0,'Section Load'!P17,0))</f>
        <v>16</v>
      </c>
      <c r="P14" s="294">
        <f>(IF('Section Load'!Q17&gt;0,'Section Load'!Q17,0))</f>
        <v>222</v>
      </c>
      <c r="Q14" s="294">
        <f>(IF('Section Load'!R17&gt;0,'Section Load'!R17,0))</f>
        <v>149</v>
      </c>
      <c r="R14" s="294">
        <f>(IF('Section Load'!S17&gt;0,'Section Load'!S17,0))</f>
        <v>0</v>
      </c>
      <c r="S14" s="294">
        <f>(IF('Section Load'!T17&gt;0,'Section Load'!T17,0))</f>
        <v>79</v>
      </c>
      <c r="T14" s="294">
        <f>(IF('Section Load'!U17&gt;0,'Section Load'!U17,0))</f>
        <v>232</v>
      </c>
      <c r="U14" s="294">
        <f>(IF('Section Load'!V17&gt;0,'Section Load'!V17,0))</f>
        <v>473</v>
      </c>
      <c r="V14" s="294">
        <f>(IF('Section Load'!W17&gt;0,'Section Load'!W17,0))</f>
        <v>226</v>
      </c>
      <c r="W14" s="294">
        <f>(IF('Section Load'!X17&gt;0,'Section Load'!X17,0))</f>
        <v>33</v>
      </c>
      <c r="X14" s="294">
        <f>(IF('Section Load'!Y17&gt;0,'Section Load'!Y17,0))</f>
        <v>239</v>
      </c>
      <c r="Y14" s="294">
        <f>(IF('Section Load'!Z17&gt;0,'Section Load'!Z17,0))</f>
        <v>253</v>
      </c>
      <c r="Z14" s="294">
        <f>(IF('Section Load'!AA17&gt;0,'Section Load'!AA17,0))</f>
        <v>12.28000000002794</v>
      </c>
      <c r="AA14" s="294">
        <f>(IF('Section Load'!AB17&gt;0,'Section Load'!AB17,0))</f>
        <v>35</v>
      </c>
      <c r="AB14" s="294">
        <f>(IF('Section Load'!AC17&gt;0,'Section Load'!AC17,0))</f>
        <v>0</v>
      </c>
      <c r="AC14" s="294">
        <f>(IF('Section Load'!AD17&gt;0,'Section Load'!AD17,0))</f>
        <v>176</v>
      </c>
      <c r="AD14" s="294">
        <f>(IF('Section Load'!AE17&gt;0,'Section Load'!AE17,0))</f>
        <v>422</v>
      </c>
      <c r="AE14" s="294">
        <f>(IF('Section Load'!AF17&gt;0,'Section Load'!AF17,0))</f>
        <v>231</v>
      </c>
      <c r="AF14" s="294">
        <f>(IF('Section Load'!AG17&gt;0,'Section Load'!AG17,0))</f>
        <v>655</v>
      </c>
      <c r="AG14" s="294">
        <f>(IF('Section Load'!AH17&gt;0,'Section Load'!AH17,0))</f>
        <v>443</v>
      </c>
      <c r="AH14" s="294">
        <f>(IF('Section Load'!AI17&gt;0,'Section Load'!AI17,0))</f>
        <v>456</v>
      </c>
      <c r="AI14" s="294">
        <f>(IF('Section Load'!AJ17&gt;0,'Section Load'!AJ17,0))</f>
        <v>447</v>
      </c>
      <c r="AJ14" s="294">
        <f>(IF('Section Load'!AK17&gt;0,'Section Load'!AK17,0))</f>
        <v>315</v>
      </c>
      <c r="AK14" s="294">
        <f>(IF('Section Load'!AL17&gt;0,'Section Load'!AL17,0))</f>
        <v>317</v>
      </c>
      <c r="AL14" s="294">
        <f>(IF('Section Load'!AM17&gt;0,'Section Load'!AM17,0))</f>
        <v>864</v>
      </c>
      <c r="AM14" s="295">
        <f>(IF('Water Report'!$P$7&gt;0,'Water Report'!$P$7,0))</f>
        <v>133</v>
      </c>
      <c r="AN14" s="295">
        <f>(IF('Water Report'!$P$8&gt;0,'Water Report'!$P$8,0))</f>
        <v>92</v>
      </c>
      <c r="AO14" s="295">
        <f>(IF('Water Report'!$P$9&gt;0,'Water Report'!$P$9,0))</f>
        <v>136</v>
      </c>
      <c r="AP14" s="295">
        <f>(IF('Water Report'!$P$10&gt;0,'Water Report'!$P$10,0))</f>
        <v>23</v>
      </c>
      <c r="AQ14" s="295">
        <f>(IF('Water Report'!$P$11&gt;0,'Water Report'!$P$11,0))</f>
        <v>0</v>
      </c>
      <c r="AR14" s="295">
        <f>(IF('Water Report'!$P$13&gt;0,'Water Report'!$P$13,0))</f>
        <v>38</v>
      </c>
      <c r="AS14" s="295">
        <f>(IF('Water Report'!$P$14&gt;0,'Water Report'!$P$14,0))</f>
        <v>7</v>
      </c>
      <c r="AT14" s="295">
        <f>(IF('Water Report'!$P$15&gt;0,'Water Report'!$P$15,0))</f>
        <v>8</v>
      </c>
      <c r="AU14" s="295">
        <f>(IF('Water Report'!$P$17&gt;0,'Water Report'!$P$17,0))</f>
        <v>0</v>
      </c>
      <c r="AV14" s="295">
        <f>(IF('Water Report'!$P$18&gt;0,'Water Report'!$P$18,0))</f>
        <v>15</v>
      </c>
      <c r="AW14" s="295">
        <f>(IF('Water Report'!$P$19&gt;0,'Water Report'!$P$19,0))</f>
        <v>10</v>
      </c>
      <c r="AX14" s="301">
        <f>(IF('Water Report'!$P$21&gt;0,'Water Report'!$P$21,0))</f>
        <v>78</v>
      </c>
      <c r="AY14" s="301">
        <f>(IF('Water Report'!$P$22&gt;0,'Water Report'!$P$22,0))</f>
        <v>0</v>
      </c>
      <c r="AZ14" s="301">
        <f>(IF('Water Report'!$P$23&gt;0,'Water Report'!$P$23,0))</f>
        <v>0</v>
      </c>
      <c r="BA14" s="301">
        <f>(IF('Water Report'!$P$14&gt;0,'Water Report'!$P$14,0))</f>
        <v>7</v>
      </c>
      <c r="BB14" s="301">
        <f>(IF('Water Report'!$P$15&gt;0,'Water Report'!$P$15,0))</f>
        <v>8</v>
      </c>
      <c r="BC14" s="301">
        <f>(IF('Water Report'!$P$13&gt;0,'Water Report'!$P$13,0))</f>
        <v>38</v>
      </c>
      <c r="BD14" s="301">
        <f>(IF('Water Report'!$P$24&gt;0,'Water Report'!$P$24,0))</f>
        <v>280</v>
      </c>
      <c r="BE14" s="301">
        <f>(IF('Water Report'!$P$25&gt;0,'Water Report'!$P$25,0))</f>
        <v>174</v>
      </c>
      <c r="BF14" s="301">
        <f>(IF('Water Report'!$P$27&gt;0,'Water Report'!$P$27,0))</f>
        <v>116</v>
      </c>
      <c r="BG14" s="296">
        <f>(IF('Section Load'!AN17&gt;0,'Section Load'!AN17,0))</f>
        <v>1055</v>
      </c>
      <c r="BH14" s="296">
        <f>(IF('Section Load'!AO17&gt;0,'Section Load'!AO17,0))</f>
        <v>318</v>
      </c>
      <c r="BI14" s="296">
        <f>(IF('Section Load'!AP17&gt;0,'Section Load'!AP17,0))</f>
        <v>0</v>
      </c>
      <c r="BJ14" s="296">
        <f>(IF('Section Load'!AQ17&gt;0,'Section Load'!AQ17,0))</f>
        <v>113</v>
      </c>
      <c r="BK14" s="296">
        <f>(IF('Section Load'!AR17&gt;0,'Section Load'!AR17,0))</f>
        <v>47</v>
      </c>
      <c r="BL14" s="296">
        <f>(IF('Section Load'!AS17&gt;0,'Section Load'!AS17,0))</f>
        <v>0</v>
      </c>
      <c r="BM14" s="296">
        <f>(IF('Section Load'!AT17&gt;0,'Section Load'!AT17,0))</f>
        <v>577.59999999999673</v>
      </c>
    </row>
    <row r="15" spans="1:65">
      <c r="A15" s="287" t="s">
        <v>268</v>
      </c>
      <c r="B15" s="288">
        <f t="shared" si="0"/>
        <v>14</v>
      </c>
      <c r="C15" s="288">
        <v>6</v>
      </c>
      <c r="D15" s="288">
        <v>2022</v>
      </c>
      <c r="E15" s="294">
        <f>(IF('Section Load'!F18&gt;0,'Section Load'!F18,0))</f>
        <v>3734</v>
      </c>
      <c r="F15" s="294">
        <f>(IF('Section Load'!G18&gt;0,'Section Load'!G18,0))</f>
        <v>1688</v>
      </c>
      <c r="G15" s="294">
        <f>(IF('Section Load'!H18&gt;0,'Section Load'!H18,0))</f>
        <v>2405</v>
      </c>
      <c r="H15" s="294">
        <f>(IF('Section Load'!I18&gt;0,'Section Load'!I18,0))</f>
        <v>2986</v>
      </c>
      <c r="I15" s="294">
        <f>(IF('Section Load'!J18&gt;0,'Section Load'!J18,0))</f>
        <v>9169.3999999999942</v>
      </c>
      <c r="J15" s="294">
        <f>(IF('Section Load'!K18&gt;0,'Section Load'!K18,0))</f>
        <v>3212</v>
      </c>
      <c r="K15" s="294">
        <f>(IF('Section Load'!L18&gt;0,'Section Load'!L18,0))</f>
        <v>953</v>
      </c>
      <c r="L15" s="294">
        <f>(IF('Section Load'!M18&gt;0,'Section Load'!M18,0))</f>
        <v>1123</v>
      </c>
      <c r="M15" s="294">
        <f>(IF('Section Load'!N18&gt;0,'Section Load'!N18,0))</f>
        <v>160</v>
      </c>
      <c r="N15" s="294">
        <f>(IF('Section Load'!O18&gt;0,'Section Load'!O18,0))</f>
        <v>133</v>
      </c>
      <c r="O15" s="294">
        <f>(IF('Section Load'!P18&gt;0,'Section Load'!P18,0))</f>
        <v>16</v>
      </c>
      <c r="P15" s="294">
        <f>(IF('Section Load'!Q18&gt;0,'Section Load'!Q18,0))</f>
        <v>171</v>
      </c>
      <c r="Q15" s="294">
        <f>(IF('Section Load'!R18&gt;0,'Section Load'!R18,0))</f>
        <v>156</v>
      </c>
      <c r="R15" s="294">
        <f>(IF('Section Load'!S18&gt;0,'Section Load'!S18,0))</f>
        <v>0</v>
      </c>
      <c r="S15" s="294">
        <f>(IF('Section Load'!T18&gt;0,'Section Load'!T18,0))</f>
        <v>10</v>
      </c>
      <c r="T15" s="294">
        <f>(IF('Section Load'!U18&gt;0,'Section Load'!U18,0))</f>
        <v>248</v>
      </c>
      <c r="U15" s="294">
        <f>(IF('Section Load'!V18&gt;0,'Section Load'!V18,0))</f>
        <v>551</v>
      </c>
      <c r="V15" s="294">
        <f>(IF('Section Load'!W18&gt;0,'Section Load'!W18,0))</f>
        <v>357</v>
      </c>
      <c r="W15" s="294">
        <f>(IF('Section Load'!X18&gt;0,'Section Load'!X18,0))</f>
        <v>31</v>
      </c>
      <c r="X15" s="294">
        <f>(IF('Section Load'!Y18&gt;0,'Section Load'!Y18,0))</f>
        <v>245</v>
      </c>
      <c r="Y15" s="294">
        <f>(IF('Section Load'!Z18&gt;0,'Section Load'!Z18,0))</f>
        <v>273</v>
      </c>
      <c r="Z15" s="294">
        <f>(IF('Section Load'!AA18&gt;0,'Section Load'!AA18,0))</f>
        <v>8</v>
      </c>
      <c r="AA15" s="294">
        <f>(IF('Section Load'!AB18&gt;0,'Section Load'!AB18,0))</f>
        <v>38</v>
      </c>
      <c r="AB15" s="294">
        <f>(IF('Section Load'!AC18&gt;0,'Section Load'!AC18,0))</f>
        <v>0</v>
      </c>
      <c r="AC15" s="294">
        <f>(IF('Section Load'!AD18&gt;0,'Section Load'!AD18,0))</f>
        <v>207</v>
      </c>
      <c r="AD15" s="294">
        <f>(IF('Section Load'!AE18&gt;0,'Section Load'!AE18,0))</f>
        <v>357</v>
      </c>
      <c r="AE15" s="294">
        <f>(IF('Section Load'!AF18&gt;0,'Section Load'!AF18,0))</f>
        <v>223</v>
      </c>
      <c r="AF15" s="294">
        <f>(IF('Section Load'!AG18&gt;0,'Section Load'!AG18,0))</f>
        <v>673</v>
      </c>
      <c r="AG15" s="294">
        <f>(IF('Section Load'!AH18&gt;0,'Section Load'!AH18,0))</f>
        <v>422</v>
      </c>
      <c r="AH15" s="294">
        <f>(IF('Section Load'!AI18&gt;0,'Section Load'!AI18,0))</f>
        <v>422</v>
      </c>
      <c r="AI15" s="294">
        <f>(IF('Section Load'!AJ18&gt;0,'Section Load'!AJ18,0))</f>
        <v>445</v>
      </c>
      <c r="AJ15" s="294">
        <f>(IF('Section Load'!AK18&gt;0,'Section Load'!AK18,0))</f>
        <v>284</v>
      </c>
      <c r="AK15" s="294">
        <f>(IF('Section Load'!AL18&gt;0,'Section Load'!AL18,0))</f>
        <v>309</v>
      </c>
      <c r="AL15" s="294">
        <f>(IF('Section Load'!AM18&gt;0,'Section Load'!AM18,0))</f>
        <v>754</v>
      </c>
      <c r="AM15" s="295">
        <f>(IF('Water Report'!$Q$7&gt;0,'Water Report'!$Q$7,0))</f>
        <v>135</v>
      </c>
      <c r="AN15" s="295">
        <f>(IF('Water Report'!$Q$8&gt;0,'Water Report'!$Q$8,0))</f>
        <v>152</v>
      </c>
      <c r="AO15" s="295">
        <f>(IF('Water Report'!$Q$9&gt;0,'Water Report'!$Q$9,0))</f>
        <v>128</v>
      </c>
      <c r="AP15" s="295">
        <f>(IF('Water Report'!$Q$10&gt;0,'Water Report'!$Q$10,0))</f>
        <v>30</v>
      </c>
      <c r="AQ15" s="295">
        <f>(IF('Water Report'!$Q$11&gt;0,'Water Report'!$Q$11,0))</f>
        <v>1</v>
      </c>
      <c r="AR15" s="295">
        <f>(IF('Water Report'!$Q$13&gt;0,'Water Report'!$Q$13,0))</f>
        <v>40</v>
      </c>
      <c r="AS15" s="295">
        <f>(IF('Water Report'!$Q$14&gt;0,'Water Report'!$Q$14,0))</f>
        <v>7</v>
      </c>
      <c r="AT15" s="295">
        <f>(IF('Water Report'!$Q$15&gt;0,'Water Report'!$Q$15,0))</f>
        <v>8</v>
      </c>
      <c r="AU15" s="295">
        <f>(IF('Water Report'!$Q$17&gt;0,'Water Report'!$Q$17,0))</f>
        <v>0</v>
      </c>
      <c r="AV15" s="295">
        <f>(IF('Water Report'!$Q$18&gt;0,'Water Report'!$Q$18,0))</f>
        <v>16</v>
      </c>
      <c r="AW15" s="295">
        <f>(IF('Water Report'!$Q$19&gt;0,'Water Report'!$Q$19,0))</f>
        <v>15</v>
      </c>
      <c r="AX15" s="301">
        <f>(IF('Water Report'!$Q$21&gt;0,'Water Report'!$Q$21,0))</f>
        <v>155</v>
      </c>
      <c r="AY15" s="301">
        <f>(IF('Water Report'!$Q$22&gt;0,'Water Report'!$Q$22,0))</f>
        <v>0</v>
      </c>
      <c r="AZ15" s="301">
        <f>(IF('Water Report'!$Q$23&gt;0,'Water Report'!$Q$23,0))</f>
        <v>2</v>
      </c>
      <c r="BA15" s="301">
        <f>(IF('Water Report'!$Q$14&gt;0,'Water Report'!$Q$14,0))</f>
        <v>7</v>
      </c>
      <c r="BB15" s="301">
        <f>(IF('Water Report'!$Q$15&gt;0,'Water Report'!$Q$15,0))</f>
        <v>8</v>
      </c>
      <c r="BC15" s="301">
        <f>(IF('Water Report'!$Q$13&gt;0,'Water Report'!$Q$13,0))</f>
        <v>40</v>
      </c>
      <c r="BD15" s="301">
        <f>(IF('Water Report'!$Q$24&gt;0,'Water Report'!$Q$24,0))</f>
        <v>290</v>
      </c>
      <c r="BE15" s="301">
        <f>(IF('Water Report'!$Q$25&gt;0,'Water Report'!$Q$25,0))</f>
        <v>174</v>
      </c>
      <c r="BF15" s="301">
        <f>(IF('Water Report'!$Q$27&gt;0,'Water Report'!$Q$27,0))</f>
        <v>197</v>
      </c>
      <c r="BG15" s="296">
        <f>(IF('Section Load'!AN18&gt;0,'Section Load'!AN18,0))</f>
        <v>1050</v>
      </c>
      <c r="BH15" s="296">
        <f>(IF('Section Load'!AO18&gt;0,'Section Load'!AO18,0))</f>
        <v>314</v>
      </c>
      <c r="BI15" s="296">
        <f>(IF('Section Load'!AP18&gt;0,'Section Load'!AP18,0))</f>
        <v>0</v>
      </c>
      <c r="BJ15" s="296">
        <f>(IF('Section Load'!AQ18&gt;0,'Section Load'!AQ18,0))</f>
        <v>109</v>
      </c>
      <c r="BK15" s="296">
        <f>(IF('Section Load'!AR18&gt;0,'Section Load'!AR18,0))</f>
        <v>45</v>
      </c>
      <c r="BL15" s="296">
        <f>(IF('Section Load'!AS18&gt;0,'Section Load'!AS18,0))</f>
        <v>0</v>
      </c>
      <c r="BM15" s="296">
        <f>(IF('Section Load'!AT18&gt;0,'Section Load'!AT18,0))</f>
        <v>582</v>
      </c>
    </row>
    <row r="16" spans="1:65">
      <c r="A16" s="287" t="s">
        <v>268</v>
      </c>
      <c r="B16" s="288">
        <f t="shared" si="0"/>
        <v>15</v>
      </c>
      <c r="C16" s="288">
        <v>6</v>
      </c>
      <c r="D16" s="288">
        <v>2022</v>
      </c>
      <c r="E16" s="294">
        <f>(IF('Section Load'!F19&gt;0,'Section Load'!F19,0))</f>
        <v>3640</v>
      </c>
      <c r="F16" s="294">
        <f>(IF('Section Load'!G19&gt;0,'Section Load'!G19,0))</f>
        <v>1655</v>
      </c>
      <c r="G16" s="294">
        <f>(IF('Section Load'!H19&gt;0,'Section Load'!H19,0))</f>
        <v>2311</v>
      </c>
      <c r="H16" s="294">
        <f>(IF('Section Load'!I19&gt;0,'Section Load'!I19,0))</f>
        <v>3010</v>
      </c>
      <c r="I16" s="294">
        <f>(IF('Section Load'!J19&gt;0,'Section Load'!J19,0))</f>
        <v>9511</v>
      </c>
      <c r="J16" s="294">
        <f>(IF('Section Load'!K19&gt;0,'Section Load'!K19,0))</f>
        <v>3224</v>
      </c>
      <c r="K16" s="294">
        <f>(IF('Section Load'!L19&gt;0,'Section Load'!L19,0))</f>
        <v>977</v>
      </c>
      <c r="L16" s="294">
        <f>(IF('Section Load'!M19&gt;0,'Section Load'!M19,0))</f>
        <v>699</v>
      </c>
      <c r="M16" s="294">
        <f>(IF('Section Load'!N19&gt;0,'Section Load'!N19,0))</f>
        <v>154</v>
      </c>
      <c r="N16" s="294">
        <f>(IF('Section Load'!O19&gt;0,'Section Load'!O19,0))</f>
        <v>132</v>
      </c>
      <c r="O16" s="294">
        <f>(IF('Section Load'!P19&gt;0,'Section Load'!P19,0))</f>
        <v>16</v>
      </c>
      <c r="P16" s="294">
        <f>(IF('Section Load'!Q19&gt;0,'Section Load'!Q19,0))</f>
        <v>201</v>
      </c>
      <c r="Q16" s="294">
        <f>(IF('Section Load'!R19&gt;0,'Section Load'!R19,0))</f>
        <v>118</v>
      </c>
      <c r="R16" s="294">
        <f>(IF('Section Load'!S19&gt;0,'Section Load'!S19,0))</f>
        <v>0</v>
      </c>
      <c r="S16" s="294">
        <f>(IF('Section Load'!T19&gt;0,'Section Load'!T19,0))</f>
        <v>40</v>
      </c>
      <c r="T16" s="294">
        <f>(IF('Section Load'!U19&gt;0,'Section Load'!U19,0))</f>
        <v>243</v>
      </c>
      <c r="U16" s="294">
        <f>(IF('Section Load'!V19&gt;0,'Section Load'!V19,0))</f>
        <v>371</v>
      </c>
      <c r="V16" s="294">
        <f>(IF('Section Load'!W19&gt;0,'Section Load'!W19,0))</f>
        <v>258</v>
      </c>
      <c r="W16" s="294">
        <f>(IF('Section Load'!X19&gt;0,'Section Load'!X19,0))</f>
        <v>30</v>
      </c>
      <c r="X16" s="294">
        <f>(IF('Section Load'!Y19&gt;0,'Section Load'!Y19,0))</f>
        <v>239</v>
      </c>
      <c r="Y16" s="294">
        <f>(IF('Section Load'!Z19&gt;0,'Section Load'!Z19,0))</f>
        <v>272</v>
      </c>
      <c r="Z16" s="294">
        <f>(IF('Section Load'!AA19&gt;0,'Section Load'!AA19,0))</f>
        <v>7</v>
      </c>
      <c r="AA16" s="294">
        <f>(IF('Section Load'!AB19&gt;0,'Section Load'!AB19,0))</f>
        <v>43</v>
      </c>
      <c r="AB16" s="294">
        <f>(IF('Section Load'!AC19&gt;0,'Section Load'!AC19,0))</f>
        <v>0</v>
      </c>
      <c r="AC16" s="294">
        <f>(IF('Section Load'!AD19&gt;0,'Section Load'!AD19,0))</f>
        <v>151</v>
      </c>
      <c r="AD16" s="294">
        <f>(IF('Section Load'!AE19&gt;0,'Section Load'!AE19,0))</f>
        <v>396</v>
      </c>
      <c r="AE16" s="294">
        <f>(IF('Section Load'!AF19&gt;0,'Section Load'!AF19,0))</f>
        <v>176</v>
      </c>
      <c r="AF16" s="294">
        <f>(IF('Section Load'!AG19&gt;0,'Section Load'!AG19,0))</f>
        <v>645</v>
      </c>
      <c r="AG16" s="294">
        <f>(IF('Section Load'!AH19&gt;0,'Section Load'!AH19,0))</f>
        <v>426</v>
      </c>
      <c r="AH16" s="294">
        <f>(IF('Section Load'!AI19&gt;0,'Section Load'!AI19,0))</f>
        <v>421</v>
      </c>
      <c r="AI16" s="294">
        <f>(IF('Section Load'!AJ19&gt;0,'Section Load'!AJ19,0))</f>
        <v>457</v>
      </c>
      <c r="AJ16" s="294">
        <f>(IF('Section Load'!AK19&gt;0,'Section Load'!AK19,0))</f>
        <v>309</v>
      </c>
      <c r="AK16" s="294">
        <f>(IF('Section Load'!AL19&gt;0,'Section Load'!AL19,0))</f>
        <v>323</v>
      </c>
      <c r="AL16" s="294">
        <f>(IF('Section Load'!AM19&gt;0,'Section Load'!AM19,0))</f>
        <v>725</v>
      </c>
      <c r="AM16" s="295">
        <f>(IF('Water Report'!$R$7&gt;0,'Water Report'!$R$7,0))</f>
        <v>132</v>
      </c>
      <c r="AN16" s="295">
        <f>(IF('Water Report'!$R$8&gt;0,'Water Report'!$R$8,0))</f>
        <v>142</v>
      </c>
      <c r="AO16" s="295">
        <f>(IF('Water Report'!$R$9&gt;0,'Water Report'!$R$9,0))</f>
        <v>107</v>
      </c>
      <c r="AP16" s="295">
        <f>(IF('Water Report'!$R$10&gt;0,'Water Report'!$R$10,0))</f>
        <v>19</v>
      </c>
      <c r="AQ16" s="295">
        <f>(IF('Water Report'!$R$11&gt;0,'Water Report'!$R$11,0))</f>
        <v>0</v>
      </c>
      <c r="AR16" s="295">
        <f>(IF('Water Report'!$R$13&gt;0,'Water Report'!$R$13,0))</f>
        <v>33</v>
      </c>
      <c r="AS16" s="295">
        <f>(IF('Water Report'!$R$14&gt;0,'Water Report'!$R$14,0))</f>
        <v>22</v>
      </c>
      <c r="AT16" s="295">
        <f>(IF('Water Report'!$R$15&gt;0,'Water Report'!$R$15,0))</f>
        <v>5</v>
      </c>
      <c r="AU16" s="295">
        <f>(IF('Water Report'!$R$17&gt;0,'Water Report'!$R$17,0))</f>
        <v>0</v>
      </c>
      <c r="AV16" s="295">
        <f>(IF('Water Report'!$R$18&gt;0,'Water Report'!$R$18,0))</f>
        <v>14</v>
      </c>
      <c r="AW16" s="295">
        <f>(IF('Water Report'!$R$19&gt;0,'Water Report'!$R$19,0))</f>
        <v>14</v>
      </c>
      <c r="AX16" s="301">
        <f>(IF('Water Report'!$R$21&gt;0,'Water Report'!$R$21,0))</f>
        <v>110</v>
      </c>
      <c r="AY16" s="301">
        <f>(IF('Water Report'!$R$22&gt;0,'Water Report'!$R$22,0))</f>
        <v>0</v>
      </c>
      <c r="AZ16" s="301">
        <f>(IF('Water Report'!$R$23&gt;0,'Water Report'!$R$23,0))</f>
        <v>1</v>
      </c>
      <c r="BA16" s="301">
        <f>(IF('Water Report'!$R$14&gt;0,'Water Report'!$R$14,0))</f>
        <v>22</v>
      </c>
      <c r="BB16" s="301">
        <f>(IF('Water Report'!$R$15&gt;0,'Water Report'!$R$15,0))</f>
        <v>5</v>
      </c>
      <c r="BC16" s="301">
        <f>(IF('Water Report'!$R$13&gt;0,'Water Report'!$R$13,0))</f>
        <v>33</v>
      </c>
      <c r="BD16" s="301">
        <f>(IF('Water Report'!$R$24&gt;0,'Water Report'!$R$24,0))</f>
        <v>250</v>
      </c>
      <c r="BE16" s="301">
        <f>(IF('Water Report'!$R$25&gt;0,'Water Report'!$R$25,0))</f>
        <v>153</v>
      </c>
      <c r="BF16" s="301">
        <f>(IF('Water Report'!$R$27&gt;0,'Water Report'!$R$27,0))</f>
        <v>144</v>
      </c>
      <c r="BG16" s="296">
        <f>(IF('Section Load'!AN19&gt;0,'Section Load'!AN19,0))</f>
        <v>1071</v>
      </c>
      <c r="BH16" s="296">
        <f>(IF('Section Load'!AO19&gt;0,'Section Load'!AO19,0))</f>
        <v>312</v>
      </c>
      <c r="BI16" s="296">
        <f>(IF('Section Load'!AP19&gt;0,'Section Load'!AP19,0))</f>
        <v>0</v>
      </c>
      <c r="BJ16" s="296">
        <f>(IF('Section Load'!AQ19&gt;0,'Section Load'!AQ19,0))</f>
        <v>114</v>
      </c>
      <c r="BK16" s="296">
        <f>(IF('Section Load'!AR19&gt;0,'Section Load'!AR19,0))</f>
        <v>52</v>
      </c>
      <c r="BL16" s="296">
        <f>(IF('Section Load'!AS19&gt;0,'Section Load'!AS19,0))</f>
        <v>0</v>
      </c>
      <c r="BM16" s="296">
        <f>(IF('Section Load'!AT19&gt;0,'Section Load'!AT19,0))</f>
        <v>593</v>
      </c>
    </row>
    <row r="17" spans="1:65">
      <c r="A17" s="287" t="s">
        <v>268</v>
      </c>
      <c r="B17" s="288">
        <f t="shared" si="0"/>
        <v>16</v>
      </c>
      <c r="C17" s="288">
        <v>6</v>
      </c>
      <c r="D17" s="288">
        <v>2022</v>
      </c>
      <c r="E17" s="294">
        <f>(IF('Section Load'!F20&gt;0,'Section Load'!F20,0))</f>
        <v>3360</v>
      </c>
      <c r="F17" s="294">
        <f>(IF('Section Load'!G20&gt;0,'Section Load'!G20,0))</f>
        <v>1666</v>
      </c>
      <c r="G17" s="294">
        <f>(IF('Section Load'!H20&gt;0,'Section Load'!H20,0))</f>
        <v>2366</v>
      </c>
      <c r="H17" s="294">
        <f>(IF('Section Load'!I20&gt;0,'Section Load'!I20,0))</f>
        <v>3099</v>
      </c>
      <c r="I17" s="294">
        <f>(IF('Section Load'!J20&gt;0,'Section Load'!J20,0))</f>
        <v>10363</v>
      </c>
      <c r="J17" s="294">
        <f>(IF('Section Load'!K20&gt;0,'Section Load'!K20,0))</f>
        <v>3266</v>
      </c>
      <c r="K17" s="294">
        <f>(IF('Section Load'!L20&gt;0,'Section Load'!L20,0))</f>
        <v>861</v>
      </c>
      <c r="L17" s="294">
        <f>(IF('Section Load'!M20&gt;0,'Section Load'!M20,0))</f>
        <v>634</v>
      </c>
      <c r="M17" s="294">
        <f>(IF('Section Load'!N20&gt;0,'Section Load'!N20,0))</f>
        <v>146</v>
      </c>
      <c r="N17" s="294">
        <f>(IF('Section Load'!O20&gt;0,'Section Load'!O20,0))</f>
        <v>124</v>
      </c>
      <c r="O17" s="294">
        <f>(IF('Section Load'!P20&gt;0,'Section Load'!P20,0))</f>
        <v>17</v>
      </c>
      <c r="P17" s="294">
        <f>(IF('Section Load'!Q20&gt;0,'Section Load'!Q20,0))</f>
        <v>206</v>
      </c>
      <c r="Q17" s="294">
        <f>(IF('Section Load'!R20&gt;0,'Section Load'!R20,0))</f>
        <v>149</v>
      </c>
      <c r="R17" s="294">
        <f>(IF('Section Load'!S20&gt;0,'Section Load'!S20,0))</f>
        <v>0</v>
      </c>
      <c r="S17" s="294">
        <f>(IF('Section Load'!T20&gt;0,'Section Load'!T20,0))</f>
        <v>45</v>
      </c>
      <c r="T17" s="294">
        <f>(IF('Section Load'!U20&gt;0,'Section Load'!U20,0))</f>
        <v>237</v>
      </c>
      <c r="U17" s="294">
        <f>(IF('Section Load'!V20&gt;0,'Section Load'!V20,0))</f>
        <v>366</v>
      </c>
      <c r="V17" s="294">
        <f>(IF('Section Load'!W20&gt;0,'Section Load'!W20,0))</f>
        <v>240</v>
      </c>
      <c r="W17" s="294">
        <f>(IF('Section Load'!X20&gt;0,'Section Load'!X20,0))</f>
        <v>28</v>
      </c>
      <c r="X17" s="294">
        <f>(IF('Section Load'!Y20&gt;0,'Section Load'!Y20,0))</f>
        <v>248</v>
      </c>
      <c r="Y17" s="294">
        <f>(IF('Section Load'!Z20&gt;0,'Section Load'!Z20,0))</f>
        <v>272</v>
      </c>
      <c r="Z17" s="294">
        <f>(IF('Section Load'!AA20&gt;0,'Section Load'!AA20,0))</f>
        <v>6</v>
      </c>
      <c r="AA17" s="294">
        <f>(IF('Section Load'!AB20&gt;0,'Section Load'!AB20,0))</f>
        <v>41</v>
      </c>
      <c r="AB17" s="294">
        <f>(IF('Section Load'!AC20&gt;0,'Section Load'!AC20,0))</f>
        <v>0</v>
      </c>
      <c r="AC17" s="294">
        <f>(IF('Section Load'!AD20&gt;0,'Section Load'!AD20,0))</f>
        <v>197</v>
      </c>
      <c r="AD17" s="294">
        <f>(IF('Section Load'!AE20&gt;0,'Section Load'!AE20,0))</f>
        <v>395</v>
      </c>
      <c r="AE17" s="294">
        <f>(IF('Section Load'!AF20&gt;0,'Section Load'!AF20,0))</f>
        <v>220</v>
      </c>
      <c r="AF17" s="294">
        <f>(IF('Section Load'!AG20&gt;0,'Section Load'!AG20,0))</f>
        <v>667</v>
      </c>
      <c r="AG17" s="294">
        <f>(IF('Section Load'!AH20&gt;0,'Section Load'!AH20,0))</f>
        <v>435</v>
      </c>
      <c r="AH17" s="294">
        <f>(IF('Section Load'!AI20&gt;0,'Section Load'!AI20,0))</f>
        <v>431</v>
      </c>
      <c r="AI17" s="294">
        <f>(IF('Section Load'!AJ20&gt;0,'Section Load'!AJ20,0))</f>
        <v>448</v>
      </c>
      <c r="AJ17" s="294">
        <f>(IF('Section Load'!AK20&gt;0,'Section Load'!AK20,0))</f>
        <v>302</v>
      </c>
      <c r="AK17" s="294">
        <f>(IF('Section Load'!AL20&gt;0,'Section Load'!AL20,0))</f>
        <v>324</v>
      </c>
      <c r="AL17" s="294">
        <f>(IF('Section Load'!AM20&gt;0,'Section Load'!AM20,0))</f>
        <v>622</v>
      </c>
      <c r="AM17" s="295">
        <f>(IF('Water Report'!$S$7&gt;0,'Water Report'!$S$7,0))</f>
        <v>123</v>
      </c>
      <c r="AN17" s="295">
        <f>(IF('Water Report'!$S$8&gt;0,'Water Report'!$S$8,0))</f>
        <v>127</v>
      </c>
      <c r="AO17" s="295">
        <f>(IF('Water Report'!$S$9&gt;0,'Water Report'!$S$9,0))</f>
        <v>123</v>
      </c>
      <c r="AP17" s="295">
        <f>(IF('Water Report'!$S$10&gt;0,'Water Report'!$D$10,0))</f>
        <v>18</v>
      </c>
      <c r="AQ17" s="295">
        <f>(IF('Water Report'!$S$11&gt;0,'Water Report'!$D$11,0))</f>
        <v>0</v>
      </c>
      <c r="AR17" s="295">
        <f>(IF('Water Report'!$S$13&gt;0,'Water Report'!$D$13,0))</f>
        <v>15</v>
      </c>
      <c r="AS17" s="295">
        <f>(IF('Water Report'!$S$14&gt;0,'Water Report'!$D$14,0))</f>
        <v>5</v>
      </c>
      <c r="AT17" s="295">
        <f>(IF('Water Report'!$S$15&gt;0,'Water Report'!$D$15,0))</f>
        <v>24</v>
      </c>
      <c r="AU17" s="295">
        <f>(IF('Water Report'!$S$17&gt;0,'Water Report'!$D$17,0))</f>
        <v>0</v>
      </c>
      <c r="AV17" s="295">
        <f>(IF('Water Report'!$S$18&gt;0,'Water Report'!$D$18,0))</f>
        <v>14</v>
      </c>
      <c r="AW17" s="295">
        <f>(IF('Water Report'!$S$19&gt;0,'Water Report'!$D$19,0))</f>
        <v>17</v>
      </c>
      <c r="AX17" s="301">
        <f>(IF('Water Report'!$S$21&gt;0,'Water Report'!$D$21,0))</f>
        <v>103</v>
      </c>
      <c r="AY17" s="301">
        <f>(IF('Water Report'!$S$22&gt;0,'Water Report'!$D$22,0))</f>
        <v>0</v>
      </c>
      <c r="AZ17" s="301">
        <f>(IF('Water Report'!$S$23&gt;0,'Water Report'!$D$23,0))</f>
        <v>20</v>
      </c>
      <c r="BA17" s="301">
        <f>(IF('Water Report'!$S$14&gt;0,'Water Report'!$D$14,0))</f>
        <v>5</v>
      </c>
      <c r="BB17" s="301">
        <f>(IF('Water Report'!$S$15&gt;0,'Water Report'!$D$15,0))</f>
        <v>24</v>
      </c>
      <c r="BC17" s="301">
        <f>(IF('Water Report'!$S$13&gt;0,'Water Report'!$D$13,0))</f>
        <v>15</v>
      </c>
      <c r="BD17" s="301">
        <f>(IF('Water Report'!$S$24&gt;0,'Water Report'!$D$24,0))</f>
        <v>316</v>
      </c>
      <c r="BE17" s="301">
        <f>(IF('Water Report'!$S$25&gt;0,'Water Report'!$D$25,0))</f>
        <v>230</v>
      </c>
      <c r="BF17" s="301">
        <f>(IF('Water Report'!$S$27&gt;0,'Water Report'!$D$27,0))</f>
        <v>138</v>
      </c>
      <c r="BG17" s="296">
        <f>(IF('Section Load'!AN20&gt;0,'Section Load'!AN20,0))</f>
        <v>1026</v>
      </c>
      <c r="BH17" s="296">
        <f>(IF('Section Load'!AO20&gt;0,'Section Load'!AO20,0))</f>
        <v>311</v>
      </c>
      <c r="BI17" s="296">
        <f>(IF('Section Load'!AP20&gt;0,'Section Load'!AP20,0))</f>
        <v>0</v>
      </c>
      <c r="BJ17" s="296">
        <f>(IF('Section Load'!AQ20&gt;0,'Section Load'!AQ20,0))</f>
        <v>63</v>
      </c>
      <c r="BK17" s="296">
        <f>(IF('Section Load'!AR20&gt;0,'Section Load'!AR20,0))</f>
        <v>43</v>
      </c>
      <c r="BL17" s="296">
        <f>(IF('Section Load'!AS20&gt;0,'Section Load'!AS20,0))</f>
        <v>0</v>
      </c>
      <c r="BM17" s="296">
        <f>(IF('Section Load'!AT20&gt;0,'Section Load'!AT20,0))</f>
        <v>609</v>
      </c>
    </row>
    <row r="18" spans="1:65">
      <c r="A18" s="287" t="s">
        <v>268</v>
      </c>
      <c r="B18" s="288">
        <f t="shared" si="0"/>
        <v>17</v>
      </c>
      <c r="C18" s="288">
        <v>6</v>
      </c>
      <c r="D18" s="288">
        <v>2022</v>
      </c>
      <c r="E18" s="294">
        <f>(IF('Section Load'!F21&gt;0,'Section Load'!F21,0))</f>
        <v>3494</v>
      </c>
      <c r="F18" s="294">
        <f>(IF('Section Load'!G21&gt;0,'Section Load'!G21,0))</f>
        <v>1704</v>
      </c>
      <c r="G18" s="294">
        <f>(IF('Section Load'!H21&gt;0,'Section Load'!H21,0))</f>
        <v>2355</v>
      </c>
      <c r="H18" s="294">
        <f>(IF('Section Load'!I21&gt;0,'Section Load'!I21,0))</f>
        <v>3142</v>
      </c>
      <c r="I18" s="294">
        <f>(IF('Section Load'!J21&gt;0,'Section Load'!J21,0))</f>
        <v>10550</v>
      </c>
      <c r="J18" s="294">
        <f>(IF('Section Load'!K21&gt;0,'Section Load'!K21,0))</f>
        <v>3226</v>
      </c>
      <c r="K18" s="294">
        <f>(IF('Section Load'!L21&gt;0,'Section Load'!L21,0))</f>
        <v>1457</v>
      </c>
      <c r="L18" s="294">
        <f>(IF('Section Load'!M21&gt;0,'Section Load'!M21,0))</f>
        <v>721</v>
      </c>
      <c r="M18" s="294">
        <f>(IF('Section Load'!N21&gt;0,'Section Load'!N21,0))</f>
        <v>134</v>
      </c>
      <c r="N18" s="294">
        <f>(IF('Section Load'!O21&gt;0,'Section Load'!O21,0))</f>
        <v>210</v>
      </c>
      <c r="O18" s="294">
        <f>(IF('Section Load'!P21&gt;0,'Section Load'!P21,0))</f>
        <v>18</v>
      </c>
      <c r="P18" s="294">
        <f>(IF('Section Load'!Q21&gt;0,'Section Load'!Q21,0))</f>
        <v>217</v>
      </c>
      <c r="Q18" s="294">
        <f>(IF('Section Load'!R21&gt;0,'Section Load'!R21,0))</f>
        <v>138</v>
      </c>
      <c r="R18" s="294">
        <f>(IF('Section Load'!S21&gt;0,'Section Load'!S21,0))</f>
        <v>0</v>
      </c>
      <c r="S18" s="294">
        <f>(IF('Section Load'!T21&gt;0,'Section Load'!T21,0))</f>
        <v>44</v>
      </c>
      <c r="T18" s="294">
        <f>(IF('Section Load'!U21&gt;0,'Section Load'!U21,0))</f>
        <v>244</v>
      </c>
      <c r="U18" s="294">
        <f>(IF('Section Load'!V21&gt;0,'Section Load'!V21,0))</f>
        <v>411</v>
      </c>
      <c r="V18" s="294">
        <f>(IF('Section Load'!W21&gt;0,'Section Load'!W21,0))</f>
        <v>314</v>
      </c>
      <c r="W18" s="294">
        <f>(IF('Section Load'!X21&gt;0,'Section Load'!X21,0))</f>
        <v>32</v>
      </c>
      <c r="X18" s="294">
        <f>(IF('Section Load'!Y21&gt;0,'Section Load'!Y21,0))</f>
        <v>222</v>
      </c>
      <c r="Y18" s="294">
        <f>(IF('Section Load'!Z21&gt;0,'Section Load'!Z21,0))</f>
        <v>262</v>
      </c>
      <c r="Z18" s="294">
        <f>(IF('Section Load'!AA21&gt;0,'Section Load'!AA21,0))</f>
        <v>15</v>
      </c>
      <c r="AA18" s="294">
        <f>(IF('Section Load'!AB21&gt;0,'Section Load'!AB21,0))</f>
        <v>39</v>
      </c>
      <c r="AB18" s="294">
        <f>(IF('Section Load'!AC21&gt;0,'Section Load'!AC21,0))</f>
        <v>4.9999999999272404E-2</v>
      </c>
      <c r="AC18" s="294">
        <f>(IF('Section Load'!AD21&gt;0,'Section Load'!AD21,0))</f>
        <v>184</v>
      </c>
      <c r="AD18" s="294">
        <f>(IF('Section Load'!AE21&gt;0,'Section Load'!AE21,0))</f>
        <v>372</v>
      </c>
      <c r="AE18" s="294">
        <f>(IF('Section Load'!AF21&gt;0,'Section Load'!AF21,0))</f>
        <v>273</v>
      </c>
      <c r="AF18" s="294">
        <f>(IF('Section Load'!AG21&gt;0,'Section Load'!AG21,0))</f>
        <v>669</v>
      </c>
      <c r="AG18" s="294">
        <f>(IF('Section Load'!AH21&gt;0,'Section Load'!AH21,0))</f>
        <v>459</v>
      </c>
      <c r="AH18" s="294">
        <f>(IF('Section Load'!AI21&gt;0,'Section Load'!AI21,0))</f>
        <v>425</v>
      </c>
      <c r="AI18" s="294">
        <f>(IF('Section Load'!AJ21&gt;0,'Section Load'!AJ21,0))</f>
        <v>454</v>
      </c>
      <c r="AJ18" s="294">
        <f>(IF('Section Load'!AK21&gt;0,'Section Load'!AK21,0))</f>
        <v>314</v>
      </c>
      <c r="AK18" s="294">
        <f>(IF('Section Load'!AL21&gt;0,'Section Load'!AL21,0))</f>
        <v>317</v>
      </c>
      <c r="AL18" s="294">
        <f>(IF('Section Load'!AM21&gt;0,'Section Load'!AM21,0))</f>
        <v>609</v>
      </c>
      <c r="AM18" s="295">
        <f>(IF('Water Report'!$T$7&gt;0,'Water Report'!$T$7,0))</f>
        <v>117</v>
      </c>
      <c r="AN18" s="295">
        <f>(IF('Water Report'!$T$8&gt;0,'Water Report'!$T$8,0))</f>
        <v>109</v>
      </c>
      <c r="AO18" s="295">
        <f>(IF('Water Report'!$T$9&gt;0,'Water Report'!$T$9,0))</f>
        <v>119</v>
      </c>
      <c r="AP18" s="295">
        <f>(IF('Water Report'!$T$10&gt;0,'Water Report'!$T$10,0))</f>
        <v>20</v>
      </c>
      <c r="AQ18" s="295">
        <f>(IF('Water Report'!$T$11&gt;0,'Water Report'!$T$11,0))</f>
        <v>0</v>
      </c>
      <c r="AR18" s="295">
        <f>(IF('Water Report'!$T$13&gt;0,'Water Report'!$T$13,0))</f>
        <v>66</v>
      </c>
      <c r="AS18" s="295">
        <f>(IF('Water Report'!$T$14&gt;0,'Water Report'!$T$14,0))</f>
        <v>7</v>
      </c>
      <c r="AT18" s="295">
        <f>(IF('Water Report'!$T$15&gt;0,'Water Report'!$T$15,0))</f>
        <v>6</v>
      </c>
      <c r="AU18" s="295">
        <f>(IF('Water Report'!$T$17&gt;0,'Water Report'!$T$17,0))</f>
        <v>0</v>
      </c>
      <c r="AV18" s="295">
        <f>(IF('Water Report'!$T$18&gt;0,'Water Report'!$T$18,0))</f>
        <v>14</v>
      </c>
      <c r="AW18" s="295">
        <f>(IF('Water Report'!$T$19&gt;0,'Water Report'!$T$19,0))</f>
        <v>12</v>
      </c>
      <c r="AX18" s="301">
        <f>(IF('Water Report'!$T$21&gt;0,'Water Report'!$T$21,0))</f>
        <v>64</v>
      </c>
      <c r="AY18" s="301">
        <f>(IF('Water Report'!$T$22&gt;0,'Water Report'!$T$22,0))</f>
        <v>0</v>
      </c>
      <c r="AZ18" s="301">
        <f>(IF('Water Report'!$T$23&gt;0,'Water Report'!$T$23,0))</f>
        <v>2</v>
      </c>
      <c r="BA18" s="301">
        <f>(IF('Water Report'!$T$14&gt;0,'Water Report'!$T$14,0))</f>
        <v>7</v>
      </c>
      <c r="BB18" s="301">
        <f>(IF('Water Report'!$T$15&gt;0,'Water Report'!$T$15,0))</f>
        <v>6</v>
      </c>
      <c r="BC18" s="301">
        <f>(IF('Water Report'!$T$13&gt;0,'Water Report'!$T$13,0))</f>
        <v>66</v>
      </c>
      <c r="BD18" s="301">
        <f>(IF('Water Report'!$T$24&gt;0,'Water Report'!$T$24,0))</f>
        <v>283</v>
      </c>
      <c r="BE18" s="301">
        <f>(IF('Water Report'!$T$25&gt;0,'Water Report'!$T$25,0))</f>
        <v>152</v>
      </c>
      <c r="BF18" s="301">
        <f>(IF('Water Report'!$T$27&gt;0,'Water Report'!$T$27,0))</f>
        <v>132</v>
      </c>
      <c r="BG18" s="296">
        <f>(IF('Section Load'!AN21&gt;0,'Section Load'!AN21,0))</f>
        <v>1015</v>
      </c>
      <c r="BH18" s="296">
        <f>(IF('Section Load'!AO21&gt;0,'Section Load'!AO21,0))</f>
        <v>293.52000000001863</v>
      </c>
      <c r="BI18" s="296">
        <f>(IF('Section Load'!AP21&gt;0,'Section Load'!AP21,0))</f>
        <v>0</v>
      </c>
      <c r="BJ18" s="296">
        <f>(IF('Section Load'!AQ21&gt;0,'Section Load'!AQ21,0))</f>
        <v>132</v>
      </c>
      <c r="BK18" s="296">
        <f>(IF('Section Load'!AR21&gt;0,'Section Load'!AR21,0))</f>
        <v>38</v>
      </c>
      <c r="BL18" s="296">
        <f>(IF('Section Load'!AS21&gt;0,'Section Load'!AS21,0))</f>
        <v>0</v>
      </c>
      <c r="BM18" s="296">
        <f>(IF('Section Load'!AT21&gt;0,'Section Load'!AT21,0))</f>
        <v>551.47999999998137</v>
      </c>
    </row>
    <row r="19" spans="1:65">
      <c r="A19" s="287" t="s">
        <v>268</v>
      </c>
      <c r="B19" s="288">
        <f t="shared" si="0"/>
        <v>18</v>
      </c>
      <c r="C19" s="288">
        <v>6</v>
      </c>
      <c r="D19" s="288">
        <v>2022</v>
      </c>
      <c r="E19" s="294">
        <f>(IF('Section Load'!F22&gt;0,'Section Load'!F22,0))</f>
        <v>3488</v>
      </c>
      <c r="F19" s="294">
        <f>(IF('Section Load'!G22&gt;0,'Section Load'!G22,0))</f>
        <v>1729</v>
      </c>
      <c r="G19" s="294">
        <f>(IF('Section Load'!H22&gt;0,'Section Load'!H22,0))</f>
        <v>2397</v>
      </c>
      <c r="H19" s="294">
        <f>(IF('Section Load'!I22&gt;0,'Section Load'!I22,0))</f>
        <v>3158</v>
      </c>
      <c r="I19" s="294">
        <f>(IF('Section Load'!J22&gt;0,'Section Load'!J22,0))</f>
        <v>10831</v>
      </c>
      <c r="J19" s="294">
        <f>(IF('Section Load'!K22&gt;0,'Section Load'!K22,0))</f>
        <v>3098</v>
      </c>
      <c r="K19" s="294">
        <f>(IF('Section Load'!L22&gt;0,'Section Load'!L22,0))</f>
        <v>1503</v>
      </c>
      <c r="L19" s="294">
        <f>(IF('Section Load'!M22&gt;0,'Section Load'!M22,0))</f>
        <v>1045</v>
      </c>
      <c r="M19" s="294">
        <f>(IF('Section Load'!N22&gt;0,'Section Load'!N22,0))</f>
        <v>134</v>
      </c>
      <c r="N19" s="294">
        <f>(IF('Section Load'!O22&gt;0,'Section Load'!O22,0))</f>
        <v>149</v>
      </c>
      <c r="O19" s="294">
        <f>(IF('Section Load'!P22&gt;0,'Section Load'!P22,0))</f>
        <v>15</v>
      </c>
      <c r="P19" s="294">
        <f>(IF('Section Load'!Q22&gt;0,'Section Load'!Q22,0))</f>
        <v>214</v>
      </c>
      <c r="Q19" s="294">
        <f>(IF('Section Load'!R22&gt;0,'Section Load'!R22,0))</f>
        <v>145</v>
      </c>
      <c r="R19" s="294">
        <f>(IF('Section Load'!S22&gt;0,'Section Load'!S22,0))</f>
        <v>0</v>
      </c>
      <c r="S19" s="294">
        <f>(IF('Section Load'!T22&gt;0,'Section Load'!T22,0))</f>
        <v>45</v>
      </c>
      <c r="T19" s="294">
        <f>(IF('Section Load'!U22&gt;0,'Section Load'!U22,0))</f>
        <v>231</v>
      </c>
      <c r="U19" s="294">
        <f>(IF('Section Load'!V22&gt;0,'Section Load'!V22,0))</f>
        <v>430</v>
      </c>
      <c r="V19" s="294">
        <f>(IF('Section Load'!W22&gt;0,'Section Load'!W22,0))</f>
        <v>327</v>
      </c>
      <c r="W19" s="294">
        <f>(IF('Section Load'!X22&gt;0,'Section Load'!X22,0))</f>
        <v>27</v>
      </c>
      <c r="X19" s="294">
        <f>(IF('Section Load'!Y22&gt;0,'Section Load'!Y22,0))</f>
        <v>244</v>
      </c>
      <c r="Y19" s="294">
        <f>(IF('Section Load'!Z22&gt;0,'Section Load'!Z22,0))</f>
        <v>287</v>
      </c>
      <c r="Z19" s="294">
        <f>(IF('Section Load'!AA22&gt;0,'Section Load'!AA22,0))</f>
        <v>3</v>
      </c>
      <c r="AA19" s="294">
        <f>(IF('Section Load'!AB22&gt;0,'Section Load'!AB22,0))</f>
        <v>42</v>
      </c>
      <c r="AB19" s="294">
        <f>(IF('Section Load'!AC22&gt;0,'Section Load'!AC22,0))</f>
        <v>0</v>
      </c>
      <c r="AC19" s="294">
        <f>(IF('Section Load'!AD22&gt;0,'Section Load'!AD22,0))</f>
        <v>172</v>
      </c>
      <c r="AD19" s="294">
        <f>(IF('Section Load'!AE22&gt;0,'Section Load'!AE22,0))</f>
        <v>409</v>
      </c>
      <c r="AE19" s="294">
        <f>(IF('Section Load'!AF22&gt;0,'Section Load'!AF22,0))</f>
        <v>280</v>
      </c>
      <c r="AF19" s="294">
        <f>(IF('Section Load'!AG22&gt;0,'Section Load'!AG22,0))</f>
        <v>650</v>
      </c>
      <c r="AG19" s="294">
        <f>(IF('Section Load'!AH22&gt;0,'Section Load'!AH22,0))</f>
        <v>447</v>
      </c>
      <c r="AH19" s="294">
        <f>(IF('Section Load'!AI22&gt;0,'Section Load'!AI22,0))</f>
        <v>435</v>
      </c>
      <c r="AI19" s="294">
        <f>(IF('Section Load'!AJ22&gt;0,'Section Load'!AJ22,0))</f>
        <v>461</v>
      </c>
      <c r="AJ19" s="294">
        <f>(IF('Section Load'!AK22&gt;0,'Section Load'!AK22,0))</f>
        <v>314</v>
      </c>
      <c r="AK19" s="294">
        <f>(IF('Section Load'!AL22&gt;0,'Section Load'!AL22,0))</f>
        <v>314</v>
      </c>
      <c r="AL19" s="294">
        <f>(IF('Section Load'!AM22&gt;0,'Section Load'!AM22,0))</f>
        <v>628</v>
      </c>
      <c r="AM19" s="295">
        <f>(IF('Water Report'!$U$7&gt;0,'Water Report'!$U$7,0))</f>
        <v>118</v>
      </c>
      <c r="AN19" s="295">
        <f>(IF('Water Report'!$U$8&gt;0,'Water Report'!$U$8,0))</f>
        <v>168</v>
      </c>
      <c r="AO19" s="295">
        <f>(IF('Water Report'!$U$9&gt;0,'Water Report'!$U$9,0))</f>
        <v>112</v>
      </c>
      <c r="AP19" s="295">
        <f>(IF('Water Report'!$U$10&gt;0,'Water Report'!$U$10,0))</f>
        <v>24</v>
      </c>
      <c r="AQ19" s="295">
        <f>(IF('Water Report'!$U$11&gt;0,'Water Report'!$U$11,0))</f>
        <v>0</v>
      </c>
      <c r="AR19" s="295">
        <f>(IF('Water Report'!$U$13&gt;0,'Water Report'!$U$13,0))</f>
        <v>59</v>
      </c>
      <c r="AS19" s="295">
        <f>(IF('Water Report'!$U$14&gt;0,'Water Report'!$U$14,0))</f>
        <v>9</v>
      </c>
      <c r="AT19" s="295">
        <f>(IF('Water Report'!$U$15&gt;0,'Water Report'!$U$15,0))</f>
        <v>7</v>
      </c>
      <c r="AU19" s="295">
        <f>(IF('Water Report'!$U$17&gt;0,'Water Report'!$U$17,0))</f>
        <v>0</v>
      </c>
      <c r="AV19" s="295">
        <f>(IF('Water Report'!$U$18&gt;0,'Water Report'!$U$18,0))</f>
        <v>15</v>
      </c>
      <c r="AW19" s="295">
        <f>(IF('Water Report'!$U$19&gt;0,'Water Report'!$U$19,0))</f>
        <v>14</v>
      </c>
      <c r="AX19" s="301">
        <f>(IF('Water Report'!$U$21&gt;0,'Water Report'!$U$21,0))</f>
        <v>108</v>
      </c>
      <c r="AY19" s="301">
        <f>(IF('Water Report'!$U$22&gt;0,'Water Report'!$U$22,0))</f>
        <v>0</v>
      </c>
      <c r="AZ19" s="301">
        <f>(IF('Water Report'!$U$23&gt;0,'Water Report'!$U$23,0))</f>
        <v>3</v>
      </c>
      <c r="BA19" s="301">
        <f>(IF('Water Report'!$U$14&gt;0,'Water Report'!$U$14,0))</f>
        <v>9</v>
      </c>
      <c r="BB19" s="301">
        <f>(IF('Water Report'!$U$15&gt;0,'Water Report'!$U$15,0))</f>
        <v>7</v>
      </c>
      <c r="BC19" s="301">
        <f>(IF('Water Report'!$U$13&gt;0,'Water Report'!$U$13,0))</f>
        <v>59</v>
      </c>
      <c r="BD19" s="301">
        <f>(IF('Water Report'!$U$24&gt;0,'Water Report'!$U$24,0))</f>
        <v>232</v>
      </c>
      <c r="BE19" s="301">
        <f>(IF('Water Report'!$U$25&gt;0,'Water Report'!$U$25,0))</f>
        <v>152</v>
      </c>
      <c r="BF19" s="301">
        <f>(IF('Water Report'!$U$27&gt;0,'Water Report'!$U$27,0))</f>
        <v>170</v>
      </c>
      <c r="BG19" s="296">
        <f>(IF('Section Load'!AN22&gt;0,'Section Load'!AN22,0))</f>
        <v>1052</v>
      </c>
      <c r="BH19" s="296">
        <f>(IF('Section Load'!AO22&gt;0,'Section Load'!AO22,0))</f>
        <v>297.47999999998137</v>
      </c>
      <c r="BI19" s="296">
        <f>(IF('Section Load'!AP22&gt;0,'Section Load'!AP22,0))</f>
        <v>0</v>
      </c>
      <c r="BJ19" s="296">
        <f>(IF('Section Load'!AQ22&gt;0,'Section Load'!AQ22,0))</f>
        <v>111</v>
      </c>
      <c r="BK19" s="296">
        <f>(IF('Section Load'!AR22&gt;0,'Section Load'!AR22,0))</f>
        <v>50</v>
      </c>
      <c r="BL19" s="296">
        <f>(IF('Section Load'!AS22&gt;0,'Section Load'!AS22,0))</f>
        <v>0</v>
      </c>
      <c r="BM19" s="296">
        <f>(IF('Section Load'!AT22&gt;0,'Section Load'!AT22,0))</f>
        <v>593.52000000001863</v>
      </c>
    </row>
    <row r="20" spans="1:65">
      <c r="A20" s="287" t="s">
        <v>268</v>
      </c>
      <c r="B20" s="288">
        <f t="shared" si="0"/>
        <v>19</v>
      </c>
      <c r="C20" s="288">
        <v>6</v>
      </c>
      <c r="D20" s="288">
        <v>2022</v>
      </c>
      <c r="E20" s="294">
        <f>(IF('Section Load'!F23&gt;0,'Section Load'!F23,0))</f>
        <v>3557</v>
      </c>
      <c r="F20" s="294">
        <f>(IF('Section Load'!G23&gt;0,'Section Load'!G23,0))</f>
        <v>1734</v>
      </c>
      <c r="G20" s="294">
        <f>(IF('Section Load'!H23&gt;0,'Section Load'!H23,0))</f>
        <v>2342</v>
      </c>
      <c r="H20" s="294">
        <f>(IF('Section Load'!I23&gt;0,'Section Load'!I23,0))</f>
        <v>3175</v>
      </c>
      <c r="I20" s="294">
        <f>(IF('Section Load'!J23&gt;0,'Section Load'!J23,0))</f>
        <v>10354</v>
      </c>
      <c r="J20" s="294">
        <f>(IF('Section Load'!K23&gt;0,'Section Load'!K23,0))</f>
        <v>3130</v>
      </c>
      <c r="K20" s="294">
        <f>(IF('Section Load'!L23&gt;0,'Section Load'!L23,0))</f>
        <v>958</v>
      </c>
      <c r="L20" s="294">
        <f>(IF('Section Load'!M23&gt;0,'Section Load'!M23,0))</f>
        <v>1321</v>
      </c>
      <c r="M20" s="294">
        <f>(IF('Section Load'!N23&gt;0,'Section Load'!N23,0))</f>
        <v>137</v>
      </c>
      <c r="N20" s="294">
        <f>(IF('Section Load'!O23&gt;0,'Section Load'!O23,0))</f>
        <v>150</v>
      </c>
      <c r="O20" s="294">
        <f>(IF('Section Load'!P23&gt;0,'Section Load'!P23,0))</f>
        <v>14</v>
      </c>
      <c r="P20" s="294">
        <f>(IF('Section Load'!Q23&gt;0,'Section Load'!Q23,0))</f>
        <v>221</v>
      </c>
      <c r="Q20" s="294">
        <f>(IF('Section Load'!R23&gt;0,'Section Load'!R23,0))</f>
        <v>148</v>
      </c>
      <c r="R20" s="294">
        <f>(IF('Section Load'!S23&gt;0,'Section Load'!S23,0))</f>
        <v>0</v>
      </c>
      <c r="S20" s="294">
        <f>(IF('Section Load'!T23&gt;0,'Section Load'!T23,0))</f>
        <v>38</v>
      </c>
      <c r="T20" s="294">
        <f>(IF('Section Load'!U23&gt;0,'Section Load'!U23,0))</f>
        <v>250</v>
      </c>
      <c r="U20" s="294">
        <f>(IF('Section Load'!V23&gt;0,'Section Load'!V23,0))</f>
        <v>381</v>
      </c>
      <c r="V20" s="294">
        <f>(IF('Section Load'!W23&gt;0,'Section Load'!W23,0))</f>
        <v>517</v>
      </c>
      <c r="W20" s="294">
        <f>(IF('Section Load'!X23&gt;0,'Section Load'!X23,0))</f>
        <v>28</v>
      </c>
      <c r="X20" s="294">
        <f>(IF('Section Load'!Y23&gt;0,'Section Load'!Y23,0))</f>
        <v>216</v>
      </c>
      <c r="Y20" s="294">
        <f>(IF('Section Load'!Z23&gt;0,'Section Load'!Z23,0))</f>
        <v>291</v>
      </c>
      <c r="Z20" s="294">
        <f>(IF('Section Load'!AA23&gt;0,'Section Load'!AA23,0))</f>
        <v>10</v>
      </c>
      <c r="AA20" s="294">
        <f>(IF('Section Load'!AB23&gt;0,'Section Load'!AB23,0))</f>
        <v>16</v>
      </c>
      <c r="AB20" s="294">
        <f>(IF('Section Load'!AC23&gt;0,'Section Load'!AC23,0))</f>
        <v>0</v>
      </c>
      <c r="AC20" s="294">
        <f>(IF('Section Load'!AD23&gt;0,'Section Load'!AD23,0))</f>
        <v>164</v>
      </c>
      <c r="AD20" s="294">
        <f>(IF('Section Load'!AE23&gt;0,'Section Load'!AE23,0))</f>
        <v>482</v>
      </c>
      <c r="AE20" s="294">
        <f>(IF('Section Load'!AF23&gt;0,'Section Load'!AF23,0))</f>
        <v>285</v>
      </c>
      <c r="AF20" s="294">
        <f>(IF('Section Load'!AG23&gt;0,'Section Load'!AG23,0))</f>
        <v>643</v>
      </c>
      <c r="AG20" s="294">
        <f>(IF('Section Load'!AH23&gt;0,'Section Load'!AH23,0))</f>
        <v>461</v>
      </c>
      <c r="AH20" s="294">
        <f>(IF('Section Load'!AI23&gt;0,'Section Load'!AI23,0))</f>
        <v>431</v>
      </c>
      <c r="AI20" s="294">
        <f>(IF('Section Load'!AJ23&gt;0,'Section Load'!AJ23,0))</f>
        <v>455</v>
      </c>
      <c r="AJ20" s="294">
        <f>(IF('Section Load'!AK23&gt;0,'Section Load'!AK23,0))</f>
        <v>277</v>
      </c>
      <c r="AK20" s="294">
        <f>(IF('Section Load'!AL23&gt;0,'Section Load'!AL23,0))</f>
        <v>314</v>
      </c>
      <c r="AL20" s="294">
        <f>(IF('Section Load'!AM23&gt;0,'Section Load'!AM23,0))</f>
        <v>623</v>
      </c>
      <c r="AM20" s="295">
        <f>(IF('Water Report'!$V$7&gt;0,'Water Report'!$V$7,0))</f>
        <v>116</v>
      </c>
      <c r="AN20" s="295">
        <f>(IF('Water Report'!$V$8&gt;0,'Water Report'!$V$8,0))</f>
        <v>157</v>
      </c>
      <c r="AO20" s="295">
        <f>(IF('Water Report'!$V$9&gt;0,'Water Report'!$V$9,0))</f>
        <v>110</v>
      </c>
      <c r="AP20" s="295">
        <f>(IF('Water Report'!$V$10&gt;0,'Water Report'!$V$10,0))</f>
        <v>23</v>
      </c>
      <c r="AQ20" s="295">
        <f>(IF('Water Report'!$V$11&gt;0,'Water Report'!$V$11,0))</f>
        <v>0</v>
      </c>
      <c r="AR20" s="295">
        <f>(IF('Water Report'!$V$13&gt;0,'Water Report'!$V$13,0))</f>
        <v>45</v>
      </c>
      <c r="AS20" s="295">
        <f>(IF('Water Report'!$V$14&gt;0,'Water Report'!$V$14,0))</f>
        <v>11</v>
      </c>
      <c r="AT20" s="295">
        <f>(IF('Water Report'!$V$15&gt;0,'Water Report'!$V$15,0))</f>
        <v>8</v>
      </c>
      <c r="AU20" s="295">
        <f>(IF('Water Report'!$V$17&gt;0,'Water Report'!$V$17,0))</f>
        <v>0</v>
      </c>
      <c r="AV20" s="295">
        <f>(IF('Water Report'!$V$18&gt;0,'Water Report'!$V$18,0))</f>
        <v>16</v>
      </c>
      <c r="AW20" s="295">
        <f>(IF('Water Report'!$V$19&gt;0,'Water Report'!$V$19,0))</f>
        <v>11</v>
      </c>
      <c r="AX20" s="301">
        <f>(IF('Water Report'!$V$21&gt;0,'Water Report'!$V$21,0))</f>
        <v>111</v>
      </c>
      <c r="AY20" s="301">
        <f>(IF('Water Report'!$V$22&gt;0,'Water Report'!$V$22,0))</f>
        <v>0</v>
      </c>
      <c r="AZ20" s="301">
        <f>(IF('Water Report'!$V$23&gt;0,'Water Report'!$V$23,0))</f>
        <v>2</v>
      </c>
      <c r="BA20" s="301">
        <f>(IF('Water Report'!$V$14&gt;0,'Water Report'!$V$14,0))</f>
        <v>11</v>
      </c>
      <c r="BB20" s="301">
        <f>(IF('Water Report'!$V$15&gt;0,'Water Report'!$V$15,0))</f>
        <v>8</v>
      </c>
      <c r="BC20" s="301">
        <f>(IF('Water Report'!$V$13&gt;0,'Water Report'!$V$13,0))</f>
        <v>45</v>
      </c>
      <c r="BD20" s="301">
        <f>(IF('Water Report'!$V$24&gt;0,'Water Report'!$V$24,0))</f>
        <v>212</v>
      </c>
      <c r="BE20" s="301">
        <f>(IF('Water Report'!$V$25&gt;0,'Water Report'!$V$25,0))</f>
        <v>152</v>
      </c>
      <c r="BF20" s="301">
        <f>(IF('Water Report'!$V$27&gt;0,'Water Report'!$V$27,0))</f>
        <v>158</v>
      </c>
      <c r="BG20" s="296">
        <f>(IF('Section Load'!AN23&gt;0,'Section Load'!AN23,0))</f>
        <v>1047</v>
      </c>
      <c r="BH20" s="296">
        <f>(IF('Section Load'!AO23&gt;0,'Section Load'!AO23,0))</f>
        <v>300</v>
      </c>
      <c r="BI20" s="296">
        <f>(IF('Section Load'!AP23&gt;0,'Section Load'!AP23,0))</f>
        <v>0</v>
      </c>
      <c r="BJ20" s="296">
        <f>(IF('Section Load'!AQ23&gt;0,'Section Load'!AQ23,0))</f>
        <v>118</v>
      </c>
      <c r="BK20" s="296">
        <f>(IF('Section Load'!AR23&gt;0,'Section Load'!AR23,0))</f>
        <v>63</v>
      </c>
      <c r="BL20" s="296">
        <f>(IF('Section Load'!AS23&gt;0,'Section Load'!AS23,0))</f>
        <v>0</v>
      </c>
      <c r="BM20" s="296">
        <f>(IF('Section Load'!AT23&gt;0,'Section Load'!AT23,0))</f>
        <v>566</v>
      </c>
    </row>
    <row r="21" spans="1:65">
      <c r="A21" s="287" t="s">
        <v>268</v>
      </c>
      <c r="B21" s="288">
        <f t="shared" si="0"/>
        <v>20</v>
      </c>
      <c r="C21" s="288">
        <v>6</v>
      </c>
      <c r="D21" s="288">
        <v>2022</v>
      </c>
      <c r="E21" s="294">
        <f>(IF('Section Load'!F24&gt;0,'Section Load'!F24,0))</f>
        <v>3591</v>
      </c>
      <c r="F21" s="294">
        <f>(IF('Section Load'!G24&gt;0,'Section Load'!G24,0))</f>
        <v>1669</v>
      </c>
      <c r="G21" s="294">
        <f>(IF('Section Load'!H24&gt;0,'Section Load'!H24,0))</f>
        <v>2341</v>
      </c>
      <c r="H21" s="294">
        <f>(IF('Section Load'!I24&gt;0,'Section Load'!I24,0))</f>
        <v>3213</v>
      </c>
      <c r="I21" s="294">
        <f>(IF('Section Load'!J24&gt;0,'Section Load'!J24,0))</f>
        <v>9993</v>
      </c>
      <c r="J21" s="294">
        <f>(IF('Section Load'!K24&gt;0,'Section Load'!K24,0))</f>
        <v>3092</v>
      </c>
      <c r="K21" s="294">
        <f>(IF('Section Load'!L24&gt;0,'Section Load'!L24,0))</f>
        <v>1133</v>
      </c>
      <c r="L21" s="294">
        <f>(IF('Section Load'!M24&gt;0,'Section Load'!M24,0))</f>
        <v>1199</v>
      </c>
      <c r="M21" s="294">
        <f>(IF('Section Load'!N24&gt;0,'Section Load'!N24,0))</f>
        <v>147</v>
      </c>
      <c r="N21" s="294">
        <f>(IF('Section Load'!O24&gt;0,'Section Load'!O24,0))</f>
        <v>152</v>
      </c>
      <c r="O21" s="294">
        <f>(IF('Section Load'!P24&gt;0,'Section Load'!P24,0))</f>
        <v>16</v>
      </c>
      <c r="P21" s="294">
        <f>(IF('Section Load'!Q24&gt;0,'Section Load'!Q24,0))</f>
        <v>203</v>
      </c>
      <c r="Q21" s="294">
        <f>(IF('Section Load'!R24&gt;0,'Section Load'!R24,0))</f>
        <v>114</v>
      </c>
      <c r="R21" s="294">
        <f>(IF('Section Load'!S24&gt;0,'Section Load'!S24,0))</f>
        <v>0</v>
      </c>
      <c r="S21" s="294">
        <f>(IF('Section Load'!T24&gt;0,'Section Load'!T24,0))</f>
        <v>47</v>
      </c>
      <c r="T21" s="294">
        <f>(IF('Section Load'!U24&gt;0,'Section Load'!U24,0))</f>
        <v>239</v>
      </c>
      <c r="U21" s="294">
        <f>(IF('Section Load'!V24&gt;0,'Section Load'!V24,0))</f>
        <v>410</v>
      </c>
      <c r="V21" s="294">
        <f>(IF('Section Load'!W24&gt;0,'Section Load'!W24,0))</f>
        <v>560</v>
      </c>
      <c r="W21" s="294">
        <f>(IF('Section Load'!X24&gt;0,'Section Load'!X24,0))</f>
        <v>29</v>
      </c>
      <c r="X21" s="294">
        <f>(IF('Section Load'!Y24&gt;0,'Section Load'!Y24,0))</f>
        <v>254</v>
      </c>
      <c r="Y21" s="294">
        <f>(IF('Section Load'!Z24&gt;0,'Section Load'!Z24,0))</f>
        <v>294</v>
      </c>
      <c r="Z21" s="294">
        <f>(IF('Section Load'!AA24&gt;0,'Section Load'!AA24,0))</f>
        <v>244</v>
      </c>
      <c r="AA21" s="294">
        <f>(IF('Section Load'!AB24&gt;0,'Section Load'!AB24,0))</f>
        <v>41</v>
      </c>
      <c r="AB21" s="294">
        <f>(IF('Section Load'!AC24&gt;0,'Section Load'!AC24,0))</f>
        <v>0</v>
      </c>
      <c r="AC21" s="294">
        <f>(IF('Section Load'!AD24&gt;0,'Section Load'!AD24,0))</f>
        <v>174</v>
      </c>
      <c r="AD21" s="294">
        <f>(IF('Section Load'!AE24&gt;0,'Section Load'!AE24,0))</f>
        <v>455</v>
      </c>
      <c r="AE21" s="294">
        <f>(IF('Section Load'!AF24&gt;0,'Section Load'!AF24,0))</f>
        <v>292</v>
      </c>
      <c r="AF21" s="294">
        <f>(IF('Section Load'!AG24&gt;0,'Section Load'!AG24,0))</f>
        <v>639</v>
      </c>
      <c r="AG21" s="294">
        <f>(IF('Section Load'!AH24&gt;0,'Section Load'!AH24,0))</f>
        <v>468</v>
      </c>
      <c r="AH21" s="294">
        <f>(IF('Section Load'!AI24&gt;0,'Section Load'!AI24,0))</f>
        <v>428</v>
      </c>
      <c r="AI21" s="294">
        <f>(IF('Section Load'!AJ24&gt;0,'Section Load'!AJ24,0))</f>
        <v>473</v>
      </c>
      <c r="AJ21" s="294">
        <f>(IF('Section Load'!AK24&gt;0,'Section Load'!AK24,0))</f>
        <v>280</v>
      </c>
      <c r="AK21" s="294">
        <f>(IF('Section Load'!AL24&gt;0,'Section Load'!AL24,0))</f>
        <v>313</v>
      </c>
      <c r="AL21" s="294">
        <f>(IF('Section Load'!AM24&gt;0,'Section Load'!AM24,0))</f>
        <v>619</v>
      </c>
      <c r="AM21" s="295">
        <f>(IF('Water Report'!$W$7&gt;0,'Water Report'!$W$7,0))</f>
        <v>125</v>
      </c>
      <c r="AN21" s="295">
        <f>(IF('Water Report'!$W$8&gt;0,'Water Report'!$W$8,0))</f>
        <v>145</v>
      </c>
      <c r="AO21" s="295">
        <f>(IF('Water Report'!$W$9&gt;0,'Water Report'!$W$9,0))</f>
        <v>117</v>
      </c>
      <c r="AP21" s="295">
        <f>(IF('Water Report'!$W$10&gt;0,'Water Report'!$W$10,0))</f>
        <v>23</v>
      </c>
      <c r="AQ21" s="295">
        <f>(IF('Water Report'!$W$11&gt;0,'Water Report'!$W$11,0))</f>
        <v>0</v>
      </c>
      <c r="AR21" s="295">
        <f>(IF('Water Report'!$W$13&gt;0,'Water Report'!$W$13,0))</f>
        <v>36</v>
      </c>
      <c r="AS21" s="295">
        <f>(IF('Water Report'!$W$14&gt;0,'Water Report'!$W$14,0))</f>
        <v>7</v>
      </c>
      <c r="AT21" s="295">
        <f>(IF('Water Report'!$W$15&gt;0,'Water Report'!$W$15,0))</f>
        <v>20</v>
      </c>
      <c r="AU21" s="295">
        <f>(IF('Water Report'!$W$17&gt;0,'Water Report'!$W$17,0))</f>
        <v>0</v>
      </c>
      <c r="AV21" s="295">
        <f>(IF('Water Report'!$W$18&gt;0,'Water Report'!$W$18,0))</f>
        <v>14</v>
      </c>
      <c r="AW21" s="295">
        <f>(IF('Water Report'!$W$19&gt;0,'Water Report'!$W$19,0))</f>
        <v>11</v>
      </c>
      <c r="AX21" s="301">
        <f>(IF('Water Report'!$W$21&gt;0,'Water Report'!$W$21,0))</f>
        <v>110</v>
      </c>
      <c r="AY21" s="301">
        <f>(IF('Water Report'!$W$22&gt;0,'Water Report'!$W$22,0))</f>
        <v>0</v>
      </c>
      <c r="AZ21" s="301">
        <f>(IF('Water Report'!$W$23&gt;0,'Water Report'!$W$23,0))</f>
        <v>2</v>
      </c>
      <c r="BA21" s="301">
        <f>(IF('Water Report'!$W$14&gt;0,'Water Report'!$W$14,0))</f>
        <v>7</v>
      </c>
      <c r="BB21" s="301">
        <f>(IF('Water Report'!$W$15&gt;0,'Water Report'!$W$15,0))</f>
        <v>20</v>
      </c>
      <c r="BC21" s="301">
        <f>(IF('Water Report'!$W$13&gt;0,'Water Report'!$W$13,0))</f>
        <v>36</v>
      </c>
      <c r="BD21" s="301">
        <f>(IF('Water Report'!$W$24&gt;0,'Water Report'!$W$24,0))</f>
        <v>253</v>
      </c>
      <c r="BE21" s="301">
        <f>(IF('Water Report'!$W$25&gt;0,'Water Report'!$W$25,0))</f>
        <v>167</v>
      </c>
      <c r="BF21" s="301">
        <f>(IF('Water Report'!$W$27&gt;0,'Water Report'!$W$27,0))</f>
        <v>148</v>
      </c>
      <c r="BG21" s="296">
        <f>(IF('Section Load'!AN24&gt;0,'Section Load'!AN24,0))</f>
        <v>1014</v>
      </c>
      <c r="BH21" s="296">
        <f>(IF('Section Load'!AO24&gt;0,'Section Load'!AO24,0))</f>
        <v>296</v>
      </c>
      <c r="BI21" s="296">
        <f>(IF('Section Load'!AP24&gt;0,'Section Load'!AP24,0))</f>
        <v>0</v>
      </c>
      <c r="BJ21" s="296">
        <f>(IF('Section Load'!AQ24&gt;0,'Section Load'!AQ24,0))</f>
        <v>103</v>
      </c>
      <c r="BK21" s="296">
        <f>(IF('Section Load'!AR24&gt;0,'Section Load'!AR24,0))</f>
        <v>42</v>
      </c>
      <c r="BL21" s="296">
        <f>(IF('Section Load'!AS24&gt;0,'Section Load'!AS24,0))</f>
        <v>0</v>
      </c>
      <c r="BM21" s="296">
        <f>(IF('Section Load'!AT24&gt;0,'Section Load'!AT24,0))</f>
        <v>573</v>
      </c>
    </row>
    <row r="22" spans="1:65">
      <c r="A22" s="287" t="s">
        <v>268</v>
      </c>
      <c r="B22" s="288">
        <f t="shared" si="0"/>
        <v>21</v>
      </c>
      <c r="C22" s="288">
        <v>6</v>
      </c>
      <c r="D22" s="288">
        <v>2022</v>
      </c>
      <c r="E22" s="294">
        <f>(IF('Section Load'!F25&gt;0,'Section Load'!F25,0))</f>
        <v>3632.070000000007</v>
      </c>
      <c r="F22" s="294">
        <f>(IF('Section Load'!G25&gt;0,'Section Load'!G25,0))</f>
        <v>1661.0499999999884</v>
      </c>
      <c r="G22" s="294">
        <f>(IF('Section Load'!H25&gt;0,'Section Load'!H25,0))</f>
        <v>2383.1500000000233</v>
      </c>
      <c r="H22" s="294">
        <f>(IF('Section Load'!I25&gt;0,'Section Load'!I25,0))</f>
        <v>3123.9099999999744</v>
      </c>
      <c r="I22" s="294">
        <f>(IF('Section Load'!J25&gt;0,'Section Load'!J25,0))</f>
        <v>7747.2600000000384</v>
      </c>
      <c r="J22" s="294">
        <f>(IF('Section Load'!K25&gt;0,'Section Load'!K25,0))</f>
        <v>3040.2299999999959</v>
      </c>
      <c r="K22" s="294">
        <f>(IF('Section Load'!L25&gt;0,'Section Load'!L25,0))</f>
        <v>1132.4100000000035</v>
      </c>
      <c r="L22" s="294">
        <f>(IF('Section Load'!M25&gt;0,'Section Load'!M25,0))</f>
        <v>811.32999999998719</v>
      </c>
      <c r="M22" s="294">
        <f>(IF('Section Load'!N25&gt;0,'Section Load'!N25,0))</f>
        <v>138</v>
      </c>
      <c r="N22" s="294">
        <f>(IF('Section Load'!O25&gt;0,'Section Load'!O25,0))</f>
        <v>170</v>
      </c>
      <c r="O22" s="294">
        <f>(IF('Section Load'!P25&gt;0,'Section Load'!P25,0))</f>
        <v>18.090000000000032</v>
      </c>
      <c r="P22" s="294">
        <f>(IF('Section Load'!Q25&gt;0,'Section Load'!Q25,0))</f>
        <v>221.75</v>
      </c>
      <c r="Q22" s="294">
        <f>(IF('Section Load'!R25&gt;0,'Section Load'!R25,0))</f>
        <v>137.79000000000087</v>
      </c>
      <c r="R22" s="294">
        <f>(IF('Section Load'!S25&gt;0,'Section Load'!S25,0))</f>
        <v>0</v>
      </c>
      <c r="S22" s="294">
        <f>(IF('Section Load'!T25&gt;0,'Section Load'!T25,0))</f>
        <v>45</v>
      </c>
      <c r="T22" s="294">
        <f>(IF('Section Load'!U25&gt;0,'Section Load'!U25,0))</f>
        <v>255</v>
      </c>
      <c r="U22" s="294">
        <f>(IF('Section Load'!V25&gt;0,'Section Load'!V25,0))</f>
        <v>380.43999999994412</v>
      </c>
      <c r="V22" s="294">
        <f>(IF('Section Load'!W25&gt;0,'Section Load'!W25,0))</f>
        <v>292.07999999995809</v>
      </c>
      <c r="W22" s="294">
        <f>(IF('Section Load'!X25&gt;0,'Section Load'!X25,0))</f>
        <v>32.1899999999996</v>
      </c>
      <c r="X22" s="294">
        <f>(IF('Section Load'!Y25&gt;0,'Section Load'!Y25,0))</f>
        <v>240.40000000000146</v>
      </c>
      <c r="Y22" s="294">
        <f>(IF('Section Load'!Z25&gt;0,'Section Load'!Z25,0))</f>
        <v>283</v>
      </c>
      <c r="Z22" s="294">
        <f>(IF('Section Load'!AA25&gt;0,'Section Load'!AA25,0))</f>
        <v>225.23999999999069</v>
      </c>
      <c r="AA22" s="294">
        <f>(IF('Section Load'!AB25&gt;0,'Section Load'!AB25,0))</f>
        <v>40.19999999999709</v>
      </c>
      <c r="AB22" s="294">
        <f>(IF('Section Load'!AC25&gt;0,'Section Load'!AC25,0))</f>
        <v>0</v>
      </c>
      <c r="AC22" s="294">
        <f>(IF('Section Load'!AD25&gt;0,'Section Load'!AD25,0))</f>
        <v>178.10000000000002</v>
      </c>
      <c r="AD22" s="294">
        <f>(IF('Section Load'!AE25&gt;0,'Section Load'!AE25,0))</f>
        <v>419.19000000000233</v>
      </c>
      <c r="AE22" s="294">
        <f>(IF('Section Load'!AF25&gt;0,'Section Load'!AF25,0))</f>
        <v>339.56000000000131</v>
      </c>
      <c r="AF22" s="294">
        <f>(IF('Section Load'!AG25&gt;0,'Section Load'!AG25,0))</f>
        <v>668.65000000000146</v>
      </c>
      <c r="AG22" s="294">
        <f>(IF('Section Load'!AH25&gt;0,'Section Load'!AH25,0))</f>
        <v>392.15000000000146</v>
      </c>
      <c r="AH22" s="294">
        <f>(IF('Section Load'!AI25&gt;0,'Section Load'!AI25,0))</f>
        <v>426.56000000000131</v>
      </c>
      <c r="AI22" s="294">
        <f>(IF('Section Load'!AJ25&gt;0,'Section Load'!AJ25,0))</f>
        <v>461.20999999999913</v>
      </c>
      <c r="AJ22" s="294">
        <f>(IF('Section Load'!AK25&gt;0,'Section Load'!AK25,0))</f>
        <v>236.02000000000044</v>
      </c>
      <c r="AK22" s="294">
        <f>(IF('Section Load'!AL25&gt;0,'Section Load'!AL25,0))</f>
        <v>315.31000000000131</v>
      </c>
      <c r="AL22" s="294">
        <f>(IF('Section Load'!AM25&gt;0,'Section Load'!AM25,0))</f>
        <v>623.91000000000349</v>
      </c>
      <c r="AM22" s="295">
        <f>(IF('Water Report'!$X$7&gt;0,'Water Report'!$X$7,0))</f>
        <v>103</v>
      </c>
      <c r="AN22" s="295">
        <f>(IF('Water Report'!$X$8&gt;0,'Water Report'!$X$8,0))</f>
        <v>115</v>
      </c>
      <c r="AO22" s="295">
        <f>(IF('Water Report'!$X$9&gt;0,'Water Report'!$X$9,0))</f>
        <v>102</v>
      </c>
      <c r="AP22" s="295">
        <f>(IF('Water Report'!$X$10&gt;0,'Water Report'!$X$10,0))</f>
        <v>15</v>
      </c>
      <c r="AQ22" s="295">
        <f>(IF('Water Report'!$X$11&gt;0,'Water Report'!$X$11,0))</f>
        <v>0</v>
      </c>
      <c r="AR22" s="295">
        <f>(IF('Water Report'!$X$13&gt;0,'Water Report'!$X$13,0))</f>
        <v>33</v>
      </c>
      <c r="AS22" s="295">
        <f>(IF('Water Report'!$X$14&gt;0,'Water Report'!$X$14,0))</f>
        <v>3</v>
      </c>
      <c r="AT22" s="295">
        <f>(IF('Water Report'!$X$15&gt;0,'Water Report'!$X$15,0))</f>
        <v>5</v>
      </c>
      <c r="AU22" s="295">
        <f>(IF('Water Report'!$X$17&gt;0,'Water Report'!$X$17,0))</f>
        <v>0</v>
      </c>
      <c r="AV22" s="295">
        <f>(IF('Water Report'!$X$18&gt;0,'Water Report'!$X$18,0))</f>
        <v>17</v>
      </c>
      <c r="AW22" s="295">
        <f>(IF('Water Report'!$X$19&gt;0,'Water Report'!$X$19,0))</f>
        <v>13</v>
      </c>
      <c r="AX22" s="301">
        <f>(IF('Water Report'!$X$21&gt;0,'Water Report'!$X$21,0))</f>
        <v>116</v>
      </c>
      <c r="AY22" s="301">
        <f>(IF('Water Report'!$X$22&gt;0,'Water Report'!$X$22,0))</f>
        <v>0</v>
      </c>
      <c r="AZ22" s="301">
        <f>(IF('Water Report'!$X$23&gt;0,'Water Report'!$X$23,0))</f>
        <v>0</v>
      </c>
      <c r="BA22" s="301">
        <f>(IF('Water Report'!$X$14&gt;0,'Water Report'!$X$14,0))</f>
        <v>3</v>
      </c>
      <c r="BB22" s="301">
        <f>(IF('Water Report'!$X$15&gt;0,'Water Report'!$X$15,0))</f>
        <v>5</v>
      </c>
      <c r="BC22" s="301">
        <f>(IF('Water Report'!$X$13&gt;0,'Water Report'!$X$13,0))</f>
        <v>33</v>
      </c>
      <c r="BD22" s="301">
        <f>(IF('Water Report'!$X$24&gt;0,'Water Report'!$X$24,0))</f>
        <v>263</v>
      </c>
      <c r="BE22" s="301">
        <f>(IF('Water Report'!$X$25&gt;0,'Water Report'!$X$25,0))</f>
        <v>125</v>
      </c>
      <c r="BF22" s="301">
        <f>(IF('Water Report'!$X$27&gt;0,'Water Report'!$X$27,0))</f>
        <v>149</v>
      </c>
      <c r="BG22" s="296">
        <f>(IF('Section Load'!AN25&gt;0,'Section Load'!AN25,0))</f>
        <v>1049.4199999999255</v>
      </c>
      <c r="BH22" s="296">
        <f>(IF('Section Load'!AO25&gt;0,'Section Load'!AO25,0))</f>
        <v>293.61999999999534</v>
      </c>
      <c r="BI22" s="296">
        <f>(IF('Section Load'!AP25&gt;0,'Section Load'!AP25,0))</f>
        <v>0</v>
      </c>
      <c r="BJ22" s="296">
        <f>(IF('Section Load'!AQ25&gt;0,'Section Load'!AQ25,0))</f>
        <v>113.63000000000466</v>
      </c>
      <c r="BK22" s="296">
        <f>(IF('Section Load'!AR25&gt;0,'Section Load'!AR25,0))</f>
        <v>45.400000000001455</v>
      </c>
      <c r="BL22" s="296">
        <f>(IF('Section Load'!AS25&gt;0,'Section Load'!AS25,0))</f>
        <v>0</v>
      </c>
      <c r="BM22" s="296">
        <f>(IF('Section Load'!AT25&gt;0,'Section Load'!AT25,0))</f>
        <v>596.76999999992404</v>
      </c>
    </row>
    <row r="23" spans="1:65">
      <c r="A23" s="287" t="s">
        <v>268</v>
      </c>
      <c r="B23" s="288">
        <f t="shared" si="0"/>
        <v>22</v>
      </c>
      <c r="C23" s="288">
        <v>6</v>
      </c>
      <c r="D23" s="288">
        <v>2022</v>
      </c>
      <c r="E23" s="294">
        <f>(IF('Section Load'!F26&gt;0,'Section Load'!F26,0))</f>
        <v>3530.4400000000023</v>
      </c>
      <c r="F23" s="294">
        <f>(IF('Section Load'!G26&gt;0,'Section Load'!G26,0))</f>
        <v>1658.7399999999907</v>
      </c>
      <c r="G23" s="294">
        <f>(IF('Section Load'!H26&gt;0,'Section Load'!H26,0))</f>
        <v>2286.3999999999651</v>
      </c>
      <c r="H23" s="294">
        <f>(IF('Section Load'!I26&gt;0,'Section Load'!I26,0))</f>
        <v>3040.2400000000489</v>
      </c>
      <c r="I23" s="294">
        <f>(IF('Section Load'!J26&gt;0,'Section Load'!J26,0))</f>
        <v>8692.7099999999773</v>
      </c>
      <c r="J23" s="294">
        <f>(IF('Section Load'!K26&gt;0,'Section Load'!K26,0))</f>
        <v>3050.0600000000268</v>
      </c>
      <c r="K23" s="294">
        <f>(IF('Section Load'!L26&gt;0,'Section Load'!L26,0))</f>
        <v>1142.5</v>
      </c>
      <c r="L23" s="294">
        <f>(IF('Section Load'!M26&gt;0,'Section Load'!M26,0))</f>
        <v>719.92000000001281</v>
      </c>
      <c r="M23" s="294">
        <f>(IF('Section Load'!N26&gt;0,'Section Load'!N26,0))</f>
        <v>129</v>
      </c>
      <c r="N23" s="294">
        <f>(IF('Section Load'!O26&gt;0,'Section Load'!O26,0))</f>
        <v>172</v>
      </c>
      <c r="O23" s="294">
        <f>(IF('Section Load'!P26&gt;0,'Section Load'!P26,0))</f>
        <v>17.069999999999936</v>
      </c>
      <c r="P23" s="294">
        <f>(IF('Section Load'!Q26&gt;0,'Section Load'!Q26,0))</f>
        <v>200.22999999999593</v>
      </c>
      <c r="Q23" s="294">
        <f>(IF('Section Load'!R26&gt;0,'Section Load'!R26,0))</f>
        <v>102.95999999999913</v>
      </c>
      <c r="R23" s="294">
        <f>(IF('Section Load'!S26&gt;0,'Section Load'!S26,0))</f>
        <v>0</v>
      </c>
      <c r="S23" s="294">
        <f>(IF('Section Load'!T26&gt;0,'Section Load'!T26,0))</f>
        <v>46</v>
      </c>
      <c r="T23" s="294">
        <f>(IF('Section Load'!U26&gt;0,'Section Load'!U26,0))</f>
        <v>253</v>
      </c>
      <c r="U23" s="294">
        <f>(IF('Section Load'!V26&gt;0,'Section Load'!V26,0))</f>
        <v>365.44000000006054</v>
      </c>
      <c r="V23" s="294">
        <f>(IF('Section Load'!W26&gt;0,'Section Load'!W26,0))</f>
        <v>315.52000000001863</v>
      </c>
      <c r="W23" s="294">
        <f>(IF('Section Load'!X26&gt;0,'Section Load'!X26,0))</f>
        <v>28.420000000000073</v>
      </c>
      <c r="X23" s="294">
        <f>(IF('Section Load'!Y26&gt;0,'Section Load'!Y26,0))</f>
        <v>275.12999999999738</v>
      </c>
      <c r="Y23" s="294">
        <f>(IF('Section Load'!Z26&gt;0,'Section Load'!Z26,0))</f>
        <v>284</v>
      </c>
      <c r="Z23" s="294">
        <f>(IF('Section Load'!AA26&gt;0,'Section Load'!AA26,0))</f>
        <v>181.76000000000931</v>
      </c>
      <c r="AA23" s="294">
        <f>(IF('Section Load'!AB26&gt;0,'Section Load'!AB26,0))</f>
        <v>43.30000000000291</v>
      </c>
      <c r="AB23" s="294">
        <f>(IF('Section Load'!AC26&gt;0,'Section Load'!AC26,0))</f>
        <v>0.18999999999869033</v>
      </c>
      <c r="AC23" s="294">
        <f>(IF('Section Load'!AD26&gt;0,'Section Load'!AD26,0))</f>
        <v>163.59999999999957</v>
      </c>
      <c r="AD23" s="294">
        <f>(IF('Section Load'!AE26&gt;0,'Section Load'!AE26,0))</f>
        <v>406.79999999999563</v>
      </c>
      <c r="AE23" s="294">
        <f>(IF('Section Load'!AF26&gt;0,'Section Load'!AF26,0))</f>
        <v>278.40999999999985</v>
      </c>
      <c r="AF23" s="294">
        <f>(IF('Section Load'!AG26&gt;0,'Section Load'!AG26,0))</f>
        <v>658.15999999999622</v>
      </c>
      <c r="AG23" s="294">
        <f>(IF('Section Load'!AH26&gt;0,'Section Load'!AH26,0))</f>
        <v>296.62999999999738</v>
      </c>
      <c r="AH23" s="294">
        <f>(IF('Section Load'!AI26&gt;0,'Section Load'!AI26,0))</f>
        <v>433.55999999999767</v>
      </c>
      <c r="AI23" s="294">
        <f>(IF('Section Load'!AJ26&gt;0,'Section Load'!AJ26,0))</f>
        <v>471.59999999999854</v>
      </c>
      <c r="AJ23" s="294">
        <f>(IF('Section Load'!AK26&gt;0,'Section Load'!AK26,0))</f>
        <v>295.31999999999971</v>
      </c>
      <c r="AK23" s="294">
        <f>(IF('Section Load'!AL26&gt;0,'Section Load'!AL26,0))</f>
        <v>312.40999999999985</v>
      </c>
      <c r="AL23" s="294">
        <f>(IF('Section Load'!AM26&gt;0,'Section Load'!AM26,0))</f>
        <v>605.13999999998487</v>
      </c>
      <c r="AM23" s="295">
        <f>(IF('Water Report'!$Y$7&gt;0,'Water Report'!$Y$7,0))</f>
        <v>95</v>
      </c>
      <c r="AN23" s="295">
        <f>(IF('Water Report'!$Y$8&gt;0,'Water Report'!$Y$8,0))</f>
        <v>133</v>
      </c>
      <c r="AO23" s="295">
        <f>(IF('Water Report'!$Y$9&gt;0,'Water Report'!$Y$9,0))</f>
        <v>100</v>
      </c>
      <c r="AP23" s="295">
        <f>(IF('Water Report'!$Y$10&gt;0,'Water Report'!$Y$10,0))</f>
        <v>19</v>
      </c>
      <c r="AQ23" s="295">
        <f>(IF('Water Report'!$Y$11&gt;0,'Water Report'!$Y$11,0))</f>
        <v>0</v>
      </c>
      <c r="AR23" s="295">
        <f>(IF('Water Report'!$Y$13&gt;0,'Water Report'!$Y$13,0))</f>
        <v>51</v>
      </c>
      <c r="AS23" s="295">
        <f>(IF('Water Report'!$Y$14&gt;0,'Water Report'!$Y$14,0))</f>
        <v>5</v>
      </c>
      <c r="AT23" s="295">
        <f>(IF('Water Report'!$Y$15&gt;0,'Water Report'!$Y$15,0))</f>
        <v>6</v>
      </c>
      <c r="AU23" s="295">
        <f>(IF('Water Report'!$Y$17&gt;0,'Water Report'!$Y$17,0))</f>
        <v>0</v>
      </c>
      <c r="AV23" s="295">
        <f>(IF('Water Report'!$Y$18&gt;0,'Water Report'!$Y$18,0))</f>
        <v>16</v>
      </c>
      <c r="AW23" s="295">
        <f>(IF('Water Report'!$Y$19&gt;0,'Water Report'!$Y$19,0))</f>
        <v>11</v>
      </c>
      <c r="AX23" s="301">
        <f>(IF('Water Report'!$Y$21&gt;0,'Water Report'!$Y$21,0))</f>
        <v>115</v>
      </c>
      <c r="AY23" s="301">
        <f>(IF('Water Report'!$Y$22&gt;0,'Water Report'!$Y$22,0))</f>
        <v>0</v>
      </c>
      <c r="AZ23" s="301">
        <f>(IF('Water Report'!$Y$23&gt;0,'Water Report'!$Y$23,0))</f>
        <v>3</v>
      </c>
      <c r="BA23" s="301">
        <f>(IF('Water Report'!$Y$14&gt;0,'Water Report'!$Y$14,0))</f>
        <v>5</v>
      </c>
      <c r="BB23" s="301">
        <f>(IF('Water Report'!$Y$15&gt;0,'Water Report'!$Y$15,0))</f>
        <v>6</v>
      </c>
      <c r="BC23" s="301">
        <f>(IF('Water Report'!$Y$13&gt;0,'Water Report'!$Y$13,0))</f>
        <v>51</v>
      </c>
      <c r="BD23" s="301">
        <f>(IF('Water Report'!$Y$24&gt;0,'Water Report'!$Y$24,0))</f>
        <v>243</v>
      </c>
      <c r="BE23" s="301">
        <f>(IF('Water Report'!$Y$25&gt;0,'Water Report'!$Y$25,0))</f>
        <v>130</v>
      </c>
      <c r="BF23" s="301">
        <f>(IF('Water Report'!$Y$27&gt;0,'Water Report'!$Y$27,0))</f>
        <v>169</v>
      </c>
      <c r="BG23" s="296">
        <f>(IF('Section Load'!AN26&gt;0,'Section Load'!AN26,0))</f>
        <v>974.61000000010245</v>
      </c>
      <c r="BH23" s="296">
        <f>(IF('Section Load'!AO26&gt;0,'Section Load'!AO26,0))</f>
        <v>299.88000000000466</v>
      </c>
      <c r="BI23" s="296">
        <f>(IF('Section Load'!AP26&gt;0,'Section Load'!AP26,0))</f>
        <v>0</v>
      </c>
      <c r="BJ23" s="296">
        <f>(IF('Section Load'!AQ26&gt;0,'Section Load'!AQ26,0))</f>
        <v>97.869999999995343</v>
      </c>
      <c r="BK23" s="296">
        <f>(IF('Section Load'!AR26&gt;0,'Section Load'!AR26,0))</f>
        <v>34.799999999995634</v>
      </c>
      <c r="BL23" s="296">
        <f>(IF('Section Load'!AS26&gt;0,'Section Load'!AS26,0))</f>
        <v>0</v>
      </c>
      <c r="BM23" s="296">
        <f>(IF('Section Load'!AT26&gt;0,'Section Load'!AT26,0))</f>
        <v>542.06000000010681</v>
      </c>
    </row>
    <row r="24" spans="1:65">
      <c r="A24" s="287" t="s">
        <v>268</v>
      </c>
      <c r="B24" s="288">
        <f t="shared" si="0"/>
        <v>23</v>
      </c>
      <c r="C24" s="288">
        <v>6</v>
      </c>
      <c r="D24" s="288">
        <v>2022</v>
      </c>
      <c r="E24" s="294">
        <f>(IF('Section Load'!F27&gt;0,'Section Load'!F27,0))</f>
        <v>3675.1599999999744</v>
      </c>
      <c r="F24" s="294">
        <f>(IF('Section Load'!G27&gt;0,'Section Load'!G27,0))</f>
        <v>1637.1100000000442</v>
      </c>
      <c r="G24" s="294">
        <f>(IF('Section Load'!H27&gt;0,'Section Load'!H27,0))</f>
        <v>2279.8400000000256</v>
      </c>
      <c r="H24" s="294">
        <f>(IF('Section Load'!I27&gt;0,'Section Load'!I27,0))</f>
        <v>3028.1199999999953</v>
      </c>
      <c r="I24" s="294">
        <f>(IF('Section Load'!J27&gt;0,'Section Load'!J27,0))</f>
        <v>7278.6699999999983</v>
      </c>
      <c r="J24" s="294">
        <f>(IF('Section Load'!K27&gt;0,'Section Load'!K27,0))</f>
        <v>3016.6300000000047</v>
      </c>
      <c r="K24" s="294">
        <f>(IF('Section Load'!L27&gt;0,'Section Load'!L27,0))</f>
        <v>1188.2799999999988</v>
      </c>
      <c r="L24" s="294">
        <f>(IF('Section Load'!M27&gt;0,'Section Load'!M27,0))</f>
        <v>775.07999999998719</v>
      </c>
      <c r="M24" s="294">
        <f>(IF('Section Load'!N27&gt;0,'Section Load'!N27,0))</f>
        <v>135</v>
      </c>
      <c r="N24" s="294">
        <f>(IF('Section Load'!O27&gt;0,'Section Load'!O27,0))</f>
        <v>150</v>
      </c>
      <c r="O24" s="294">
        <f>(IF('Section Load'!P27&gt;0,'Section Load'!P27,0))</f>
        <v>16.970000000000027</v>
      </c>
      <c r="P24" s="294">
        <f>(IF('Section Load'!Q27&gt;0,'Section Load'!Q27,0))</f>
        <v>217.30000000000291</v>
      </c>
      <c r="Q24" s="294">
        <f>(IF('Section Load'!R27&gt;0,'Section Load'!R27,0))</f>
        <v>93.400000000001455</v>
      </c>
      <c r="R24" s="294">
        <f>(IF('Section Load'!S27&gt;0,'Section Load'!S27,0))</f>
        <v>0.31000000000040018</v>
      </c>
      <c r="S24" s="294">
        <f>(IF('Section Load'!T27&gt;0,'Section Load'!T27,0))</f>
        <v>72</v>
      </c>
      <c r="T24" s="294">
        <f>(IF('Section Load'!U27&gt;0,'Section Load'!U27,0))</f>
        <v>231</v>
      </c>
      <c r="U24" s="294">
        <f>(IF('Section Load'!V27&gt;0,'Section Load'!V27,0))</f>
        <v>364.11999999999534</v>
      </c>
      <c r="V24" s="294">
        <f>(IF('Section Load'!W27&gt;0,'Section Load'!W27,0))</f>
        <v>307.04000000003725</v>
      </c>
      <c r="W24" s="294">
        <f>(IF('Section Load'!X27&gt;0,'Section Load'!X27,0))</f>
        <v>28.530000000000655</v>
      </c>
      <c r="X24" s="294">
        <f>(IF('Section Load'!Y27&gt;0,'Section Load'!Y27,0))</f>
        <v>295.88999999999942</v>
      </c>
      <c r="Y24" s="294">
        <f>(IF('Section Load'!Z27&gt;0,'Section Load'!Z27,0))</f>
        <v>243</v>
      </c>
      <c r="Z24" s="294">
        <f>(IF('Section Load'!AA27&gt;0,'Section Load'!AA27,0))</f>
        <v>194.52000000001863</v>
      </c>
      <c r="AA24" s="294">
        <f>(IF('Section Load'!AB27&gt;0,'Section Load'!AB27,0))</f>
        <v>46.899999999994179</v>
      </c>
      <c r="AB24" s="294">
        <f>(IF('Section Load'!AC27&gt;0,'Section Load'!AC27,0))</f>
        <v>0</v>
      </c>
      <c r="AC24" s="294">
        <f>(IF('Section Load'!AD27&gt;0,'Section Load'!AD27,0))</f>
        <v>192.20000000000005</v>
      </c>
      <c r="AD24" s="294">
        <f>(IF('Section Load'!AE27&gt;0,'Section Load'!AE27,0))</f>
        <v>398.77000000000407</v>
      </c>
      <c r="AE24" s="294">
        <f>(IF('Section Load'!AF27&gt;0,'Section Load'!AF27,0))</f>
        <v>305.02000000000044</v>
      </c>
      <c r="AF24" s="294">
        <f>(IF('Section Load'!AG27&gt;0,'Section Load'!AG27,0))</f>
        <v>667.38999999999942</v>
      </c>
      <c r="AG24" s="294">
        <f>(IF('Section Load'!AH27&gt;0,'Section Load'!AH27,0))</f>
        <v>272.88000000000102</v>
      </c>
      <c r="AH24" s="294">
        <f>(IF('Section Load'!AI27&gt;0,'Section Load'!AI27,0))</f>
        <v>436.11000000000058</v>
      </c>
      <c r="AI24" s="294">
        <f>(IF('Section Load'!AJ27&gt;0,'Section Load'!AJ27,0))</f>
        <v>465.19000000000233</v>
      </c>
      <c r="AJ24" s="294">
        <f>(IF('Section Load'!AK27&gt;0,'Section Load'!AK27,0))</f>
        <v>275.61999999999898</v>
      </c>
      <c r="AK24" s="294">
        <f>(IF('Section Load'!AL27&gt;0,'Section Load'!AL27,0))</f>
        <v>313.44999999999709</v>
      </c>
      <c r="AL24" s="294">
        <f>(IF('Section Load'!AM27&gt;0,'Section Load'!AM27,0))</f>
        <v>607.44000000000233</v>
      </c>
      <c r="AM24" s="295">
        <f>(IF('Water Report'!$Z$7&gt;0,'Water Report'!$Z$7,0))</f>
        <v>109</v>
      </c>
      <c r="AN24" s="295">
        <f>(IF('Water Report'!$Z$8&gt;0,'Water Report'!$Z$8,0))</f>
        <v>136</v>
      </c>
      <c r="AO24" s="295">
        <f>(IF('Water Report'!$Z$9&gt;0,'Water Report'!$Z$9,0))</f>
        <v>119</v>
      </c>
      <c r="AP24" s="295">
        <f>(IF('Water Report'!$Z$10&gt;0,'Water Report'!$Z$10,0))</f>
        <v>20</v>
      </c>
      <c r="AQ24" s="295">
        <f>(IF('Water Report'!$Z$11&gt;0,'Water Report'!$Z$11,0))</f>
        <v>0</v>
      </c>
      <c r="AR24" s="295">
        <f>(IF('Water Report'!$Z$13&gt;0,'Water Report'!$Z$13,0))</f>
        <v>32</v>
      </c>
      <c r="AS24" s="295">
        <f>(IF('Water Report'!$Z$14&gt;0,'Water Report'!$Z$14,0))</f>
        <v>5</v>
      </c>
      <c r="AT24" s="295">
        <f>(IF('Water Report'!$Z$15&gt;0,'Water Report'!$Z$15,0))</f>
        <v>10</v>
      </c>
      <c r="AU24" s="295">
        <f>(IF('Water Report'!$Z$17&gt;0,'Water Report'!$Z$17,0))</f>
        <v>0</v>
      </c>
      <c r="AV24" s="295">
        <f>(IF('Water Report'!$Z$18&gt;0,'Water Report'!$Z$18,0))</f>
        <v>16</v>
      </c>
      <c r="AW24" s="295">
        <f>(IF('Water Report'!$Z$19&gt;0,'Water Report'!$Z$19,0))</f>
        <v>13</v>
      </c>
      <c r="AX24" s="301">
        <f>(IF('Water Report'!$Z$21&gt;0,'Water Report'!$Z$21,0))</f>
        <v>13</v>
      </c>
      <c r="AY24" s="301">
        <f>(IF('Water Report'!$Z$22&gt;0,'Water Report'!$Z$22,0))</f>
        <v>0</v>
      </c>
      <c r="AZ24" s="301">
        <f>(IF('Water Report'!$Z$23&gt;0,'Water Report'!$Z$23,0))</f>
        <v>5</v>
      </c>
      <c r="BA24" s="301">
        <f>(IF('Water Report'!$Z$14&gt;0,'Water Report'!$Z$14,0))</f>
        <v>5</v>
      </c>
      <c r="BB24" s="301">
        <f>(IF('Water Report'!$Z$15&gt;0,'Water Report'!$Z$15,0))</f>
        <v>10</v>
      </c>
      <c r="BC24" s="301">
        <f>(IF('Water Report'!$Z$13&gt;0,'Water Report'!$Z$13,0))</f>
        <v>32</v>
      </c>
      <c r="BD24" s="301">
        <f>(IF('Water Report'!$Z$24&gt;0,'Water Report'!$Z$24,0))</f>
        <v>182</v>
      </c>
      <c r="BE24" s="301">
        <f>(IF('Water Report'!$Z$25&gt;0,'Water Report'!$Z$25,0))</f>
        <v>154</v>
      </c>
      <c r="BF24" s="301">
        <f>(IF('Water Report'!$Z$27&gt;0,'Water Report'!$Z$27,0))</f>
        <v>50</v>
      </c>
      <c r="BG24" s="296">
        <f>(IF('Section Load'!AN27&gt;0,'Section Load'!AN27,0))</f>
        <v>974.46999999997206</v>
      </c>
      <c r="BH24" s="296">
        <f>(IF('Section Load'!AO27&gt;0,'Section Load'!AO27,0))</f>
        <v>288.39000000001397</v>
      </c>
      <c r="BI24" s="296">
        <f>(IF('Section Load'!AP27&gt;0,'Section Load'!AP27,0))</f>
        <v>0</v>
      </c>
      <c r="BJ24" s="296">
        <f>(IF('Section Load'!AQ27&gt;0,'Section Load'!AQ27,0))</f>
        <v>96.269999999989523</v>
      </c>
      <c r="BK24" s="296">
        <f>(IF('Section Load'!AR27&gt;0,'Section Load'!AR27,0))</f>
        <v>37.600000000005821</v>
      </c>
      <c r="BL24" s="296">
        <f>(IF('Section Load'!AS27&gt;0,'Section Load'!AS27,0))</f>
        <v>0</v>
      </c>
      <c r="BM24" s="296">
        <f>(IF('Section Load'!AT27&gt;0,'Section Load'!AT27,0))</f>
        <v>552.20999999996275</v>
      </c>
    </row>
    <row r="25" spans="1:65">
      <c r="A25" s="287" t="s">
        <v>268</v>
      </c>
      <c r="B25" s="288">
        <f t="shared" si="0"/>
        <v>24</v>
      </c>
      <c r="C25" s="288">
        <v>6</v>
      </c>
      <c r="D25" s="288">
        <v>2022</v>
      </c>
      <c r="E25" s="294">
        <f>(IF('Section Load'!F28&gt;0,'Section Load'!F28,0))</f>
        <v>3671.1600000000326</v>
      </c>
      <c r="F25" s="294">
        <f>(IF('Section Load'!G28&gt;0,'Section Load'!G28,0))</f>
        <v>1628.0499999999884</v>
      </c>
      <c r="G25" s="294">
        <f>(IF('Section Load'!H28&gt;0,'Section Load'!H28,0))</f>
        <v>2248.5199999999604</v>
      </c>
      <c r="H25" s="294">
        <f>(IF('Section Load'!I28&gt;0,'Section Load'!I28,0))</f>
        <v>2993.4400000000023</v>
      </c>
      <c r="I25" s="294">
        <f>(IF('Section Load'!J28&gt;0,'Section Load'!J28,0))</f>
        <v>8471.2600000000384</v>
      </c>
      <c r="J25" s="294">
        <f>(IF('Section Load'!K28&gt;0,'Section Load'!K28,0))</f>
        <v>3230.1399999999994</v>
      </c>
      <c r="K25" s="294">
        <f>(IF('Section Load'!L28&gt;0,'Section Load'!L28,0))</f>
        <v>1022.7200000000012</v>
      </c>
      <c r="L25" s="294">
        <f>(IF('Section Load'!M28&gt;0,'Section Load'!M28,0))</f>
        <v>820.62000000002445</v>
      </c>
      <c r="M25" s="294">
        <f>(IF('Section Load'!N28&gt;0,'Section Load'!N28,0))</f>
        <v>130</v>
      </c>
      <c r="N25" s="294">
        <f>(IF('Section Load'!O28&gt;0,'Section Load'!O28,0))</f>
        <v>147</v>
      </c>
      <c r="O25" s="294">
        <f>(IF('Section Load'!P28&gt;0,'Section Load'!P28,0))</f>
        <v>15.57000000000005</v>
      </c>
      <c r="P25" s="294">
        <f>(IF('Section Load'!Q28&gt;0,'Section Load'!Q28,0))</f>
        <v>199.11000000000058</v>
      </c>
      <c r="Q25" s="294">
        <f>(IF('Section Load'!R28&gt;0,'Section Load'!R28,0))</f>
        <v>84.489999999997963</v>
      </c>
      <c r="R25" s="294">
        <f>(IF('Section Load'!S28&gt;0,'Section Load'!S28,0))</f>
        <v>0</v>
      </c>
      <c r="S25" s="294">
        <f>(IF('Section Load'!T28&gt;0,'Section Load'!T28,0))</f>
        <v>50</v>
      </c>
      <c r="T25" s="294">
        <f>(IF('Section Load'!U28&gt;0,'Section Load'!U28,0))</f>
        <v>231</v>
      </c>
      <c r="U25" s="294">
        <f>(IF('Section Load'!V28&gt;0,'Section Load'!V28,0))</f>
        <v>370.28000000002794</v>
      </c>
      <c r="V25" s="294">
        <f>(IF('Section Load'!W28&gt;0,'Section Load'!W28,0))</f>
        <v>262.88000000000466</v>
      </c>
      <c r="W25" s="294">
        <f>(IF('Section Load'!X28&gt;0,'Section Load'!X28,0))</f>
        <v>27.589999999999236</v>
      </c>
      <c r="X25" s="294">
        <f>(IF('Section Load'!Y28&gt;0,'Section Load'!Y28,0))</f>
        <v>289.01000000000204</v>
      </c>
      <c r="Y25" s="294">
        <f>(IF('Section Load'!Z28&gt;0,'Section Load'!Z28,0))</f>
        <v>254</v>
      </c>
      <c r="Z25" s="294">
        <f>(IF('Section Load'!AA28&gt;0,'Section Load'!AA28,0))</f>
        <v>34</v>
      </c>
      <c r="AA25" s="294">
        <f>(IF('Section Load'!AB28&gt;0,'Section Load'!AB28,0))</f>
        <v>40.5</v>
      </c>
      <c r="AB25" s="294">
        <f>(IF('Section Load'!AC28&gt;0,'Section Load'!AC28,0))</f>
        <v>0</v>
      </c>
      <c r="AC25" s="294">
        <f>(IF('Section Load'!AD28&gt;0,'Section Load'!AD28,0))</f>
        <v>152.29999999999995</v>
      </c>
      <c r="AD25" s="294">
        <f>(IF('Section Load'!AE28&gt;0,'Section Load'!AE28,0))</f>
        <v>395.34999999999854</v>
      </c>
      <c r="AE25" s="294">
        <f>(IF('Section Load'!AF28&gt;0,'Section Load'!AF28,0))</f>
        <v>297.57999999999811</v>
      </c>
      <c r="AF25" s="294">
        <f>(IF('Section Load'!AG28&gt;0,'Section Load'!AG28,0))</f>
        <v>636.59000000000378</v>
      </c>
      <c r="AG25" s="294">
        <f>(IF('Section Load'!AH28&gt;0,'Section Load'!AH28,0))</f>
        <v>251.40000000000146</v>
      </c>
      <c r="AH25" s="294">
        <f>(IF('Section Load'!AI28&gt;0,'Section Load'!AI28,0))</f>
        <v>454.68999999999869</v>
      </c>
      <c r="AI25" s="294">
        <f>(IF('Section Load'!AJ28&gt;0,'Section Load'!AJ28,0))</f>
        <v>451.52999999999884</v>
      </c>
      <c r="AJ25" s="294">
        <f>(IF('Section Load'!AK28&gt;0,'Section Load'!AK28,0))</f>
        <v>276.31999999999971</v>
      </c>
      <c r="AK25" s="294">
        <f>(IF('Section Load'!AL28&gt;0,'Section Load'!AL28,0))</f>
        <v>314.15000000000146</v>
      </c>
      <c r="AL25" s="294">
        <f>(IF('Section Load'!AM28&gt;0,'Section Load'!AM28,0))</f>
        <v>612.46000000002095</v>
      </c>
      <c r="AM25" s="295">
        <f>(IF('Water Report'!$AA$7&gt;0,'Water Report'!$AA$7,0))</f>
        <v>103</v>
      </c>
      <c r="AN25" s="295">
        <f>(IF('Water Report'!$AA$8&gt;0,'Water Report'!$AA$8,0))</f>
        <v>66</v>
      </c>
      <c r="AO25" s="295">
        <f>(IF('Water Report'!$AA$9&gt;0,'Water Report'!$AA$9,0))</f>
        <v>97</v>
      </c>
      <c r="AP25" s="295">
        <f>(IF('Water Report'!$AA$10&gt;0,'Water Report'!$AA$10,0))</f>
        <v>19</v>
      </c>
      <c r="AQ25" s="295">
        <f>(IF('Water Report'!$AA$11&gt;0,'Water Report'!$AA$11,0))</f>
        <v>0</v>
      </c>
      <c r="AR25" s="295">
        <f>(IF('Water Report'!$AA$13&gt;0,'Water Report'!$AA$13,0))</f>
        <v>38</v>
      </c>
      <c r="AS25" s="295">
        <f>(IF('Water Report'!$AA$14&gt;0,'Water Report'!$AA$14,0))</f>
        <v>4</v>
      </c>
      <c r="AT25" s="295">
        <f>(IF('Water Report'!$AA$15&gt;0,'Water Report'!$AA$15,0))</f>
        <v>8</v>
      </c>
      <c r="AU25" s="295">
        <f>(IF('Water Report'!$AA$17&gt;0,'Water Report'!$AA$17,0))</f>
        <v>0</v>
      </c>
      <c r="AV25" s="295">
        <f>(IF('Water Report'!$AA$18&gt;0,'Water Report'!$AA$18,0))</f>
        <v>15</v>
      </c>
      <c r="AW25" s="295">
        <f>(IF('Water Report'!$AA$19&gt;0,'Water Report'!$AA$19,0))</f>
        <v>13</v>
      </c>
      <c r="AX25" s="301">
        <f>(IF('Water Report'!$AA$21&gt;0,'Water Report'!$AA$21,0))</f>
        <v>86</v>
      </c>
      <c r="AY25" s="301">
        <f>(IF('Water Report'!$AA$22&gt;0,'Water Report'!$AA$22,0))</f>
        <v>0</v>
      </c>
      <c r="AZ25" s="301">
        <f>(IF('Water Report'!$AA$23&gt;0,'Water Report'!$AA$23,0))</f>
        <v>7</v>
      </c>
      <c r="BA25" s="301">
        <f>(IF('Water Report'!$AA$14&gt;0,'Water Report'!$AA$14,0))</f>
        <v>4</v>
      </c>
      <c r="BB25" s="301">
        <f>(IF('Water Report'!$AA$15&gt;0,'Water Report'!$AA$15,0))</f>
        <v>8</v>
      </c>
      <c r="BC25" s="301">
        <f>(IF('Water Report'!$AA$13&gt;0,'Water Report'!$AA$13,0))</f>
        <v>38</v>
      </c>
      <c r="BD25" s="301">
        <f>(IF('Water Report'!$AA$24&gt;0,'Water Report'!$AA$24,0))</f>
        <v>233</v>
      </c>
      <c r="BE25" s="301">
        <f>(IF('Water Report'!$AA$25&gt;0,'Water Report'!$AA$25,0))</f>
        <v>128</v>
      </c>
      <c r="BF25" s="301">
        <f>(IF('Water Report'!$AA$27&gt;0,'Water Report'!$AA$27,0))</f>
        <v>131</v>
      </c>
      <c r="BG25" s="296">
        <f>(IF('Section Load'!AN28&gt;0,'Section Load'!AN28,0))</f>
        <v>960.94999999995343</v>
      </c>
      <c r="BH25" s="296">
        <f>(IF('Section Load'!AO28&gt;0,'Section Load'!AO28,0))</f>
        <v>288.48999999999069</v>
      </c>
      <c r="BI25" s="296">
        <f>(IF('Section Load'!AP28&gt;0,'Section Load'!AP28,0))</f>
        <v>0</v>
      </c>
      <c r="BJ25" s="296">
        <f>(IF('Section Load'!AQ28&gt;0,'Section Load'!AQ28,0))</f>
        <v>81.880000000004657</v>
      </c>
      <c r="BK25" s="296">
        <f>(IF('Section Load'!AR28&gt;0,'Section Load'!AR28,0))</f>
        <v>42.899999999994179</v>
      </c>
      <c r="BL25" s="296">
        <f>(IF('Section Load'!AS28&gt;0,'Section Load'!AS28,0))</f>
        <v>0</v>
      </c>
      <c r="BM25" s="296">
        <f>(IF('Section Load'!AT28&gt;0,'Section Load'!AT28,0))</f>
        <v>547.67999999996391</v>
      </c>
    </row>
    <row r="26" spans="1:65">
      <c r="A26" s="287" t="s">
        <v>268</v>
      </c>
      <c r="B26" s="288">
        <f>B25+1</f>
        <v>25</v>
      </c>
      <c r="C26" s="288">
        <v>6</v>
      </c>
      <c r="D26" s="288">
        <v>2022</v>
      </c>
      <c r="E26" s="294">
        <f>(IF('Section Load'!F29&gt;0,'Section Load'!F29,0))</f>
        <v>3607.7699999999604</v>
      </c>
      <c r="F26" s="294">
        <f>(IF('Section Load'!G29&gt;0,'Section Load'!G29,0))</f>
        <v>1600.5999999999767</v>
      </c>
      <c r="G26" s="294">
        <f>(IF('Section Load'!H29&gt;0,'Section Load'!H29,0))</f>
        <v>2187.640000000014</v>
      </c>
      <c r="H26" s="294">
        <f>(IF('Section Load'!I29&gt;0,'Section Load'!I29,0))</f>
        <v>2960.1599999999744</v>
      </c>
      <c r="I26" s="294">
        <f>(IF('Section Load'!J29&gt;0,'Section Load'!J29,0))</f>
        <v>7947.6399999998976</v>
      </c>
      <c r="J26" s="294">
        <f>(IF('Section Load'!K29&gt;0,'Section Load'!K29,0))</f>
        <v>3334.1100000000006</v>
      </c>
      <c r="K26" s="294">
        <f>(IF('Section Load'!L29&gt;0,'Section Load'!L29,0))</f>
        <v>1015.5599999999977</v>
      </c>
      <c r="L26" s="294">
        <f>(IF('Section Load'!M29&gt;0,'Section Load'!M29,0))</f>
        <v>981.95999999999185</v>
      </c>
      <c r="M26" s="294">
        <f>(IF('Section Load'!N29&gt;0,'Section Load'!N29,0))</f>
        <v>125</v>
      </c>
      <c r="N26" s="294">
        <f>(IF('Section Load'!O29&gt;0,'Section Load'!O29,0))</f>
        <v>148</v>
      </c>
      <c r="O26" s="294">
        <f>(IF('Section Load'!P29&gt;0,'Section Load'!P29,0))</f>
        <v>17.25</v>
      </c>
      <c r="P26" s="294">
        <f>(IF('Section Load'!Q29&gt;0,'Section Load'!Q29,0))</f>
        <v>190</v>
      </c>
      <c r="Q26" s="294">
        <f>(IF('Section Load'!R29&gt;0,'Section Load'!R29,0))</f>
        <v>74.38300000000163</v>
      </c>
      <c r="R26" s="294">
        <f>(IF('Section Load'!S29&gt;0,'Section Load'!S29,0))</f>
        <v>0.75999999999930878</v>
      </c>
      <c r="S26" s="294">
        <f>(IF('Section Load'!T29&gt;0,'Section Load'!T29,0))</f>
        <v>42</v>
      </c>
      <c r="T26" s="294">
        <f>(IF('Section Load'!U29&gt;0,'Section Load'!U29,0))</f>
        <v>229</v>
      </c>
      <c r="U26" s="294">
        <f>(IF('Section Load'!V29&gt;0,'Section Load'!V29,0))</f>
        <v>393.19999999995343</v>
      </c>
      <c r="V26" s="294">
        <f>(IF('Section Load'!W29&gt;0,'Section Load'!W29,0))</f>
        <v>315.52000000001863</v>
      </c>
      <c r="W26" s="294">
        <f>(IF('Section Load'!X29&gt;0,'Section Load'!X29,0))</f>
        <v>26.800000000000182</v>
      </c>
      <c r="X26" s="294">
        <f>(IF('Section Load'!Y29&gt;0,'Section Load'!Y29,0))</f>
        <v>272.66999999999825</v>
      </c>
      <c r="Y26" s="294">
        <f>(IF('Section Load'!Z29&gt;0,'Section Load'!Z29,0))</f>
        <v>274</v>
      </c>
      <c r="Z26" s="294">
        <f>(IF('Section Load'!AA29&gt;0,'Section Load'!AA29,0))</f>
        <v>2.6399999999557622</v>
      </c>
      <c r="AA26" s="294">
        <f>(IF('Section Load'!AB29&gt;0,'Section Load'!AB29,0))</f>
        <v>23.900000000008731</v>
      </c>
      <c r="AB26" s="294">
        <f>(IF('Section Load'!AC29&gt;0,'Section Load'!AC29,0))</f>
        <v>0</v>
      </c>
      <c r="AC26" s="294">
        <f>(IF('Section Load'!AD29&gt;0,'Section Load'!AD29,0))</f>
        <v>178.10000000000014</v>
      </c>
      <c r="AD26" s="294">
        <f>(IF('Section Load'!AE29&gt;0,'Section Load'!AE29,0))</f>
        <v>436.62999999999738</v>
      </c>
      <c r="AE26" s="294">
        <f>(IF('Section Load'!AF29&gt;0,'Section Load'!AF29,0))</f>
        <v>277.22999999999956</v>
      </c>
      <c r="AF26" s="294">
        <f>(IF('Section Load'!AG29&gt;0,'Section Load'!AG29,0))</f>
        <v>654.0199999999968</v>
      </c>
      <c r="AG26" s="294">
        <f>(IF('Section Load'!AH29&gt;0,'Section Load'!AH29,0))</f>
        <v>244.22999999999956</v>
      </c>
      <c r="AH26" s="294">
        <f>(IF('Section Load'!AI29&gt;0,'Section Load'!AI29,0))</f>
        <v>443.14000000000306</v>
      </c>
      <c r="AI26" s="294">
        <f>(IF('Section Load'!AJ29&gt;0,'Section Load'!AJ29,0))</f>
        <v>439.15000000000146</v>
      </c>
      <c r="AJ26" s="294">
        <f>(IF('Section Load'!AK29&gt;0,'Section Load'!AK29,0))</f>
        <v>254.2400000000016</v>
      </c>
      <c r="AK26" s="294">
        <f>(IF('Section Load'!AL29&gt;0,'Section Load'!AL29,0))</f>
        <v>312.5</v>
      </c>
      <c r="AL26" s="294">
        <f>(IF('Section Load'!AM29&gt;0,'Section Load'!AM29,0))</f>
        <v>604.25999999998021</v>
      </c>
      <c r="AM26" s="295">
        <f>(IF('Water Report'!$AB$7&gt;0,'Water Report'!$AB$7,0))</f>
        <v>108</v>
      </c>
      <c r="AN26" s="295">
        <f>(IF('Water Report'!$AB$8&gt;0,'Water Report'!$AB$8,0))</f>
        <v>114</v>
      </c>
      <c r="AO26" s="295">
        <f>(IF('Water Report'!$AB$9&gt;0,'Water Report'!$AB$9,0))</f>
        <v>103</v>
      </c>
      <c r="AP26" s="295">
        <f>(IF('Water Report'!$AB$10&gt;0,'Water Report'!$AB$10,0))</f>
        <v>16</v>
      </c>
      <c r="AQ26" s="295">
        <f>(IF('Water Report'!$AB$11&gt;0,'Water Report'!$AB$11,0))</f>
        <v>0</v>
      </c>
      <c r="AR26" s="295">
        <f>(IF('Water Report'!$AB$13&gt;0,'Water Report'!$AB$13,0))</f>
        <v>37</v>
      </c>
      <c r="AS26" s="295">
        <f>(IF('Water Report'!$AB$14&gt;0,'Water Report'!$AB$14,0))</f>
        <v>3</v>
      </c>
      <c r="AT26" s="295">
        <f>(IF('Water Report'!$AB$15&gt;0,'Water Report'!$AB$15,0))</f>
        <v>7</v>
      </c>
      <c r="AU26" s="295">
        <f>(IF('Water Report'!$AB$17&gt;0,'Water Report'!$AB$17,0))</f>
        <v>0</v>
      </c>
      <c r="AV26" s="295">
        <f>(IF('Water Report'!$AB$18&gt;0,'Water Report'!$AB$18,0))</f>
        <v>16</v>
      </c>
      <c r="AW26" s="295">
        <f>(IF('Water Report'!$AB$19&gt;0,'Water Report'!$AB$19,0))</f>
        <v>11</v>
      </c>
      <c r="AX26" s="301">
        <f>(IF('Water Report'!$AB$21&gt;0,'Water Report'!$AB$21,0))</f>
        <v>104</v>
      </c>
      <c r="AY26" s="301">
        <f>(IF('Water Report'!$AB$22&gt;0,'Water Report'!$AB$22,0))</f>
        <v>0</v>
      </c>
      <c r="AZ26" s="301">
        <f>(IF('Water Report'!$AB$23&gt;0,'Water Report'!$AB$23,0))</f>
        <v>8</v>
      </c>
      <c r="BA26" s="301">
        <f>(IF('Water Report'!$AB$14&gt;0,'Water Report'!$AB$14,0))</f>
        <v>3</v>
      </c>
      <c r="BB26" s="301">
        <f>(IF('Water Report'!$AB$15&gt;0,'Water Report'!$AB$15,0))</f>
        <v>7</v>
      </c>
      <c r="BC26" s="301">
        <f>(IF('Water Report'!$AB$13&gt;0,'Water Report'!$AB$13,0))</f>
        <v>37</v>
      </c>
      <c r="BD26" s="301">
        <f>(IF('Water Report'!$AB$24&gt;0,'Water Report'!$AB$24,0))</f>
        <v>210</v>
      </c>
      <c r="BE26" s="301">
        <f>(IF('Water Report'!$AB$25&gt;0,'Water Report'!$AB$25,0))</f>
        <v>128</v>
      </c>
      <c r="BF26" s="301">
        <f>(IF('Water Report'!$AB$27&gt;0,'Water Report'!$AB$27,0))</f>
        <v>149</v>
      </c>
      <c r="BG26" s="296">
        <f>(IF('Section Load'!AN29&gt;0,'Section Load'!AN29,0))</f>
        <v>1006.8500000000931</v>
      </c>
      <c r="BH26" s="296">
        <f>(IF('Section Load'!AO29&gt;0,'Section Load'!AO29,0))</f>
        <v>282.31999999994878</v>
      </c>
      <c r="BI26" s="296">
        <f>(IF('Section Load'!AP29&gt;0,'Section Load'!AP29,0))</f>
        <v>0</v>
      </c>
      <c r="BJ26" s="296">
        <f>(IF('Section Load'!AQ29&gt;0,'Section Load'!AQ29,0))</f>
        <v>92.350000000005821</v>
      </c>
      <c r="BK26" s="296">
        <f>(IF('Section Load'!AR29&gt;0,'Section Load'!AR29,0))</f>
        <v>40.30000000000291</v>
      </c>
      <c r="BL26" s="296">
        <f>(IF('Section Load'!AS29&gt;0,'Section Load'!AS29,0))</f>
        <v>0</v>
      </c>
      <c r="BM26" s="296">
        <f>(IF('Section Load'!AT29&gt;0,'Section Load'!AT29,0))</f>
        <v>591.88000000013562</v>
      </c>
    </row>
    <row r="27" spans="1:65">
      <c r="A27" s="287" t="s">
        <v>268</v>
      </c>
      <c r="B27" s="288">
        <f t="shared" si="0"/>
        <v>26</v>
      </c>
      <c r="C27" s="288">
        <v>6</v>
      </c>
      <c r="D27" s="288">
        <v>2022</v>
      </c>
      <c r="E27" s="294">
        <f>(IF('Section Load'!F30&gt;0,'Section Load'!F30,0))</f>
        <v>3670.0800000000163</v>
      </c>
      <c r="F27" s="294">
        <f>(IF('Section Load'!G30&gt;0,'Section Load'!G30,0))</f>
        <v>1521.0599999999977</v>
      </c>
      <c r="G27" s="294">
        <f>(IF('Section Load'!H30&gt;0,'Section Load'!H30,0))</f>
        <v>2136.8800000000047</v>
      </c>
      <c r="H27" s="294">
        <f>(IF('Section Load'!I30&gt;0,'Section Load'!I30,0))</f>
        <v>3027.320000000007</v>
      </c>
      <c r="I27" s="294">
        <f>(IF('Section Load'!J30&gt;0,'Section Load'!J30,0))</f>
        <v>8322.7800000000279</v>
      </c>
      <c r="J27" s="294">
        <f>(IF('Section Load'!K30&gt;0,'Section Load'!K30,0))</f>
        <v>3246.9900000000052</v>
      </c>
      <c r="K27" s="294">
        <f>(IF('Section Load'!L30&gt;0,'Section Load'!L30,0))</f>
        <v>982.63999999998487</v>
      </c>
      <c r="L27" s="294">
        <f>(IF('Section Load'!M30&gt;0,'Section Load'!M30,0))</f>
        <v>727.57999999998719</v>
      </c>
      <c r="M27" s="294">
        <f>(IF('Section Load'!N30&gt;0,'Section Load'!N30,0))</f>
        <v>96</v>
      </c>
      <c r="N27" s="294">
        <f>(IF('Section Load'!O30&gt;0,'Section Load'!O30,0))</f>
        <v>142</v>
      </c>
      <c r="O27" s="294">
        <f>(IF('Section Load'!P30&gt;0,'Section Load'!P30,0))</f>
        <v>15.849999999999909</v>
      </c>
      <c r="P27" s="294">
        <f>(IF('Section Load'!Q30&gt;0,'Section Load'!Q30,0))</f>
        <v>190.32000000000698</v>
      </c>
      <c r="Q27" s="294">
        <f>(IF('Section Load'!R30&gt;0,'Section Load'!R30,0))</f>
        <v>73.676999999996042</v>
      </c>
      <c r="R27" s="294">
        <f>(IF('Section Load'!S30&gt;0,'Section Load'!S30,0))</f>
        <v>0.48000000000047294</v>
      </c>
      <c r="S27" s="294">
        <f>(IF('Section Load'!T30&gt;0,'Section Load'!T30,0))</f>
        <v>44</v>
      </c>
      <c r="T27" s="294">
        <f>(IF('Section Load'!U30&gt;0,'Section Load'!U30,0))</f>
        <v>235</v>
      </c>
      <c r="U27" s="294">
        <f>(IF('Section Load'!V30&gt;0,'Section Load'!V30,0))</f>
        <v>372.52000000001863</v>
      </c>
      <c r="V27" s="294">
        <f>(IF('Section Load'!W30&gt;0,'Section Load'!W30,0))</f>
        <v>306</v>
      </c>
      <c r="W27" s="294">
        <f>(IF('Section Load'!X30&gt;0,'Section Load'!X30,0))</f>
        <v>26.670000000000073</v>
      </c>
      <c r="X27" s="294">
        <f>(IF('Section Load'!Y30&gt;0,'Section Load'!Y30,0))</f>
        <v>279.25</v>
      </c>
      <c r="Y27" s="294">
        <f>(IF('Section Load'!Z30&gt;0,'Section Load'!Z30,0))</f>
        <v>290</v>
      </c>
      <c r="Z27" s="294">
        <f>(IF('Section Load'!AA30&gt;0,'Section Load'!AA30,0))</f>
        <v>2.8000000000465661</v>
      </c>
      <c r="AA27" s="294">
        <f>(IF('Section Load'!AB30&gt;0,'Section Load'!AB30,0))</f>
        <v>36.599999999991269</v>
      </c>
      <c r="AB27" s="294">
        <f>(IF('Section Load'!AC30&gt;0,'Section Load'!AC30,0))</f>
        <v>0</v>
      </c>
      <c r="AC27" s="294">
        <f>(IF('Section Load'!AD30&gt;0,'Section Load'!AD30,0))</f>
        <v>195.69999999999982</v>
      </c>
      <c r="AD27" s="294">
        <f>(IF('Section Load'!AE30&gt;0,'Section Load'!AE30,0))</f>
        <v>451.26000000000204</v>
      </c>
      <c r="AE27" s="294">
        <f>(IF('Section Load'!AF30&gt;0,'Section Load'!AF30,0))</f>
        <v>323.20000000000073</v>
      </c>
      <c r="AF27" s="294">
        <f>(IF('Section Load'!AG30&gt;0,'Section Load'!AG30,0))</f>
        <v>644.4800000000032</v>
      </c>
      <c r="AG27" s="294">
        <f>(IF('Section Load'!AH30&gt;0,'Section Load'!AH30,0))</f>
        <v>247.25</v>
      </c>
      <c r="AH27" s="294">
        <f>(IF('Section Load'!AI30&gt;0,'Section Load'!AI30,0))</f>
        <v>441.63999999999942</v>
      </c>
      <c r="AI27" s="294">
        <f>(IF('Section Load'!AJ30&gt;0,'Section Load'!AJ30,0))</f>
        <v>443.55000000000291</v>
      </c>
      <c r="AJ27" s="294">
        <f>(IF('Section Load'!AK30&gt;0,'Section Load'!AK30,0))</f>
        <v>252.86000000000058</v>
      </c>
      <c r="AK27" s="294">
        <f>(IF('Section Load'!AL30&gt;0,'Section Load'!AL30,0))</f>
        <v>314.15000000000146</v>
      </c>
      <c r="AL27" s="294">
        <f>(IF('Section Load'!AM30&gt;0,'Section Load'!AM30,0))</f>
        <v>610.77999999999884</v>
      </c>
      <c r="AM27" s="295">
        <f>(IF('Water Report'!$AC$7&gt;0,'Water Report'!$AC$7,0))</f>
        <v>82</v>
      </c>
      <c r="AN27" s="295">
        <f>(IF('Water Report'!$AC$8&gt;0,'Water Report'!$AC$8,0))</f>
        <v>149</v>
      </c>
      <c r="AO27" s="295">
        <f>(IF('Water Report'!$AC$9&gt;0,'Water Report'!$AC$9,0))</f>
        <v>98</v>
      </c>
      <c r="AP27" s="295">
        <f>(IF('Water Report'!$AC$10&gt;0,'Water Report'!$AC$10,0))</f>
        <v>21</v>
      </c>
      <c r="AQ27" s="295">
        <f>(IF('Water Report'!$AC$11&gt;0,'Water Report'!$AC$11,0))</f>
        <v>0</v>
      </c>
      <c r="AR27" s="295">
        <f>(IF('Water Report'!$AC$13&gt;0,'Water Report'!$AC$13,0))</f>
        <v>55</v>
      </c>
      <c r="AS27" s="295">
        <f>(IF('Water Report'!$AC$14&gt;0,'Water Report'!$AC$14,0))</f>
        <v>6</v>
      </c>
      <c r="AT27" s="295">
        <f>(IF('Water Report'!$AC$15&gt;0,'Water Report'!$AC$15,0))</f>
        <v>5</v>
      </c>
      <c r="AU27" s="295">
        <f>(IF('Water Report'!$AC$17&gt;0,'Water Report'!$AC$17,0))</f>
        <v>0</v>
      </c>
      <c r="AV27" s="295">
        <f>(IF('Water Report'!$AC$18&gt;0,'Water Report'!$AC$18,0))</f>
        <v>13</v>
      </c>
      <c r="AW27" s="295">
        <f>(IF('Water Report'!$AC$19&gt;0,'Water Report'!$AC$19,0))</f>
        <v>11</v>
      </c>
      <c r="AX27" s="301">
        <f>(IF('Water Report'!$AC$21&gt;0,'Water Report'!$AC$21,0))</f>
        <v>77</v>
      </c>
      <c r="AY27" s="301">
        <f>(IF('Water Report'!$AC$22&gt;0,'Water Report'!$AC$22,0))</f>
        <v>0</v>
      </c>
      <c r="AZ27" s="301">
        <f>(IF('Water Report'!$AC$23&gt;0,'Water Report'!$AC$23,0))</f>
        <v>14</v>
      </c>
      <c r="BA27" s="301">
        <f>(IF('Water Report'!$AC$14&gt;0,'Water Report'!$AC$14,0))</f>
        <v>6</v>
      </c>
      <c r="BB27" s="301">
        <f>(IF('Water Report'!$AC$15&gt;0,'Water Report'!$AC$15,0))</f>
        <v>5</v>
      </c>
      <c r="BC27" s="301">
        <f>(IF('Water Report'!$AC$13&gt;0,'Water Report'!$AC$13,0))</f>
        <v>55</v>
      </c>
      <c r="BD27" s="301">
        <f>(IF('Water Report'!$AC$24&gt;0,'Water Report'!$AC$24,0))</f>
        <v>212</v>
      </c>
      <c r="BE27" s="301">
        <f>(IF('Water Report'!$AC$25&gt;0,'Water Report'!$AC$25,0))</f>
        <v>130</v>
      </c>
      <c r="BF27" s="301">
        <f>(IF('Water Report'!$AC$27&gt;0,'Water Report'!$AC$27,0))</f>
        <v>146</v>
      </c>
      <c r="BG27" s="296">
        <f>(IF('Section Load'!AN30&gt;0,'Section Load'!AN30,0))</f>
        <v>1100</v>
      </c>
      <c r="BH27" s="296">
        <f>(IF('Section Load'!AO30&gt;0,'Section Load'!AO30,0))</f>
        <v>289.94000000006054</v>
      </c>
      <c r="BI27" s="296">
        <f>(IF('Section Load'!AP30&gt;0,'Section Load'!AP30,0))</f>
        <v>0</v>
      </c>
      <c r="BJ27" s="296">
        <f>(IF('Section Load'!AQ30&gt;0,'Section Load'!AQ30,0))</f>
        <v>107</v>
      </c>
      <c r="BK27" s="296">
        <f>(IF('Section Load'!AR30&gt;0,'Section Load'!AR30,0))</f>
        <v>37</v>
      </c>
      <c r="BL27" s="296">
        <f>(IF('Section Load'!AS30&gt;0,'Section Load'!AS30,0))</f>
        <v>0</v>
      </c>
      <c r="BM27" s="296">
        <f>(IF('Section Load'!AT30&gt;0,'Section Load'!AT30,0))</f>
        <v>666.05999999993946</v>
      </c>
    </row>
    <row r="28" spans="1:65">
      <c r="A28" s="287" t="s">
        <v>268</v>
      </c>
      <c r="B28" s="288">
        <f t="shared" si="0"/>
        <v>27</v>
      </c>
      <c r="C28" s="288">
        <v>6</v>
      </c>
      <c r="D28" s="288">
        <v>2022</v>
      </c>
      <c r="E28" s="294">
        <f>(IF('Section Load'!F31&gt;0,'Section Load'!F31,0))</f>
        <v>3533.5599999999977</v>
      </c>
      <c r="F28" s="294">
        <f>(IF('Section Load'!G31&gt;0,'Section Load'!G31,0))</f>
        <v>1542.640000000014</v>
      </c>
      <c r="G28" s="294">
        <f>(IF('Section Load'!H31&gt;0,'Section Load'!H31,0))</f>
        <v>2060.9199999999837</v>
      </c>
      <c r="H28" s="294">
        <f>(IF('Section Load'!I31&gt;0,'Section Load'!I31,0))</f>
        <v>2936.4799999999814</v>
      </c>
      <c r="I28" s="294">
        <f>(IF('Section Load'!J31&gt;0,'Section Load'!J31,0))</f>
        <v>7334.7300000000396</v>
      </c>
      <c r="J28" s="294">
        <f>(IF('Section Load'!K31&gt;0,'Section Load'!K31,0))</f>
        <v>3128.2699999999895</v>
      </c>
      <c r="K28" s="294">
        <f>(IF('Section Load'!L31&gt;0,'Section Load'!L31,0))</f>
        <v>977.12000000002445</v>
      </c>
      <c r="L28" s="294">
        <f>(IF('Section Load'!M31&gt;0,'Section Load'!M31,0))</f>
        <v>658.64000000001397</v>
      </c>
      <c r="M28" s="294">
        <f>(IF('Section Load'!N31&gt;0,'Section Load'!N31,0))</f>
        <v>93</v>
      </c>
      <c r="N28" s="294">
        <f>(IF('Section Load'!O31&gt;0,'Section Load'!O31,0))</f>
        <v>138</v>
      </c>
      <c r="O28" s="294">
        <f>(IF('Section Load'!P31&gt;0,'Section Load'!P31,0))</f>
        <v>14.970000000000027</v>
      </c>
      <c r="P28" s="294">
        <f>(IF('Section Load'!Q31&gt;0,'Section Load'!Q31,0))</f>
        <v>188.43999999998778</v>
      </c>
      <c r="Q28" s="294">
        <f>(IF('Section Load'!R31&gt;0,'Section Load'!R31,0))</f>
        <v>72.580000000001746</v>
      </c>
      <c r="R28" s="294">
        <f>(IF('Section Load'!S31&gt;0,'Section Load'!S31,0))</f>
        <v>0</v>
      </c>
      <c r="S28" s="294">
        <f>(IF('Section Load'!T31&gt;0,'Section Load'!T31,0))</f>
        <v>38</v>
      </c>
      <c r="T28" s="294">
        <f>(IF('Section Load'!U31&gt;0,'Section Load'!U31,0))</f>
        <v>234</v>
      </c>
      <c r="U28" s="294">
        <f>(IF('Section Load'!V31&gt;0,'Section Load'!V31,0))</f>
        <v>370</v>
      </c>
      <c r="V28" s="294">
        <f>(IF('Section Load'!W31&gt;0,'Section Load'!W31,0))</f>
        <v>217.52000000001863</v>
      </c>
      <c r="W28" s="294">
        <f>(IF('Section Load'!X31&gt;0,'Section Load'!X31,0))</f>
        <v>27.980000000000473</v>
      </c>
      <c r="X28" s="294">
        <f>(IF('Section Load'!Y31&gt;0,'Section Load'!Y31,0))</f>
        <v>288.4800000000032</v>
      </c>
      <c r="Y28" s="294">
        <f>(IF('Section Load'!Z31&gt;0,'Section Load'!Z31,0))</f>
        <v>256</v>
      </c>
      <c r="Z28" s="294">
        <f>(IF('Section Load'!AA31&gt;0,'Section Load'!AA31,0))</f>
        <v>7.5999999999767169</v>
      </c>
      <c r="AA28" s="294">
        <f>(IF('Section Load'!AB31&gt;0,'Section Load'!AB31,0))</f>
        <v>27.100000000005821</v>
      </c>
      <c r="AB28" s="294">
        <f>(IF('Section Load'!AC31&gt;0,'Section Load'!AC31,0))</f>
        <v>0</v>
      </c>
      <c r="AC28" s="294">
        <f>(IF('Section Load'!AD31&gt;0,'Section Load'!AD31,0))</f>
        <v>175.70000000000073</v>
      </c>
      <c r="AD28" s="294">
        <f>(IF('Section Load'!AE31&gt;0,'Section Load'!AE31,0))</f>
        <v>370.37999999999738</v>
      </c>
      <c r="AE28" s="294">
        <f>(IF('Section Load'!AF31&gt;0,'Section Load'!AF31,0))</f>
        <v>288.40999999999985</v>
      </c>
      <c r="AF28" s="294">
        <f>(IF('Section Load'!AG31&gt;0,'Section Load'!AG31,0))</f>
        <v>654.30999999999767</v>
      </c>
      <c r="AG28" s="294">
        <f>(IF('Section Load'!AH31&gt;0,'Section Load'!AH31,0))</f>
        <v>234.45999999999913</v>
      </c>
      <c r="AH28" s="294">
        <f>(IF('Section Load'!AI31&gt;0,'Section Load'!AI31,0))</f>
        <v>435.77999999999884</v>
      </c>
      <c r="AI28" s="294">
        <f>(IF('Section Load'!AJ31&gt;0,'Section Load'!AJ31,0))</f>
        <v>456.36999999999534</v>
      </c>
      <c r="AJ28" s="294">
        <f>(IF('Section Load'!AK31&gt;0,'Section Load'!AK31,0))</f>
        <v>289.73999999999796</v>
      </c>
      <c r="AK28" s="294">
        <f>(IF('Section Load'!AL31&gt;0,'Section Load'!AL31,0))</f>
        <v>309.72999999999956</v>
      </c>
      <c r="AL28" s="294">
        <f>(IF('Section Load'!AM31&gt;0,'Section Load'!AM31,0))</f>
        <v>602.26000000000931</v>
      </c>
      <c r="AM28" s="295">
        <f>(IF('Water Report'!$AD$7&gt;0,'Water Report'!$AD$7,0))</f>
        <v>87</v>
      </c>
      <c r="AN28" s="295">
        <f>(IF('Water Report'!$AD$8&gt;0,'Water Report'!$AD$8,0))</f>
        <v>131</v>
      </c>
      <c r="AO28" s="295">
        <f>(IF('Water Report'!$AD$9&gt;0,'Water Report'!$AD$9,0))</f>
        <v>77</v>
      </c>
      <c r="AP28" s="295">
        <f>(IF('Water Report'!$AD$10&gt;0,'Water Report'!AD$10,0))</f>
        <v>18</v>
      </c>
      <c r="AQ28" s="295">
        <f>(IF('Water Report'!$AD$11&gt;0,'Water Report'!AE$11,0))</f>
        <v>0</v>
      </c>
      <c r="AR28" s="295">
        <f>(IF('Water Report'!$AD$13&gt;0,'Water Report'!AF$13,0))</f>
        <v>-1045</v>
      </c>
      <c r="AS28" s="295">
        <f>(IF('Water Report'!$AD$14&gt;0,'Water Report'!AG$14,0))</f>
        <v>9</v>
      </c>
      <c r="AT28" s="295">
        <f>(IF('Water Report'!$AD$15&gt;0,'Water Report'!AH$15,0))</f>
        <v>23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847.95999999996275</v>
      </c>
      <c r="BH28" s="296">
        <f>(IF('Section Load'!AO31&gt;0,'Section Load'!AO31,0))</f>
        <v>285.04000000003725</v>
      </c>
      <c r="BI28" s="296">
        <f>(IF('Section Load'!AP31&gt;0,'Section Load'!AP31,0))</f>
        <v>0</v>
      </c>
      <c r="BJ28" s="296">
        <f>(IF('Section Load'!AQ31&gt;0,'Section Load'!AQ31,0))</f>
        <v>85</v>
      </c>
      <c r="BK28" s="296">
        <f>(IF('Section Load'!AR31&gt;0,'Section Load'!AR31,0))</f>
        <v>42</v>
      </c>
      <c r="BL28" s="296">
        <f>(IF('Section Load'!AS31&gt;0,'Section Load'!AS31,0))</f>
        <v>0</v>
      </c>
      <c r="BM28" s="296">
        <f>(IF('Section Load'!AT31&gt;0,'Section Load'!AT31,0))</f>
        <v>437.7199999999284</v>
      </c>
    </row>
    <row r="29" spans="1:65">
      <c r="A29" s="287" t="s">
        <v>268</v>
      </c>
      <c r="B29" s="288">
        <f t="shared" si="0"/>
        <v>28</v>
      </c>
      <c r="C29" s="288">
        <v>6</v>
      </c>
      <c r="D29" s="288">
        <v>2022</v>
      </c>
      <c r="E29" s="294">
        <f>(IF('Section Load'!F32&gt;0,'Section Load'!F32,0))</f>
        <v>3748.1599999999744</v>
      </c>
      <c r="F29" s="294">
        <f>(IF('Section Load'!G32&gt;0,'Section Load'!G32,0))</f>
        <v>1587.2199999999721</v>
      </c>
      <c r="G29" s="294">
        <f>(IF('Section Load'!H32&gt;0,'Section Load'!H32,0))</f>
        <v>2172.4400000000023</v>
      </c>
      <c r="H29" s="294">
        <f>(IF('Section Load'!I32&gt;0,'Section Load'!I32,0))</f>
        <v>2949.1199999999953</v>
      </c>
      <c r="I29" s="294">
        <f>(IF('Section Load'!J32&gt;0,'Section Load'!J32,0))</f>
        <v>8796.6900000000023</v>
      </c>
      <c r="J29" s="294">
        <f>(IF('Section Load'!K32&gt;0,'Section Load'!K32,0))</f>
        <v>3156.9099999999744</v>
      </c>
      <c r="K29" s="294">
        <f>(IF('Section Load'!L32&gt;0,'Section Load'!L32,0))</f>
        <v>1071.8799999999756</v>
      </c>
      <c r="L29" s="294">
        <f>(IF('Section Load'!M32&gt;0,'Section Load'!M32,0))</f>
        <v>890.66000000000349</v>
      </c>
      <c r="M29" s="294">
        <f>(IF('Section Load'!N32&gt;0,'Section Load'!N32,0))</f>
        <v>81</v>
      </c>
      <c r="N29" s="294">
        <f>(IF('Section Load'!O32&gt;0,'Section Load'!O32,0))</f>
        <v>126</v>
      </c>
      <c r="O29" s="294">
        <f>(IF('Section Load'!P32&gt;0,'Section Load'!P32,0))</f>
        <v>9.2300000000000182</v>
      </c>
      <c r="P29" s="294">
        <f>(IF('Section Load'!Q32&gt;0,'Section Load'!Q32,0))</f>
        <v>208.02999999999884</v>
      </c>
      <c r="Q29" s="294">
        <f>(IF('Section Load'!R32&gt;0,'Section Load'!R32,0))</f>
        <v>86.760000000002037</v>
      </c>
      <c r="R29" s="294">
        <f>(IF('Section Load'!S32&gt;0,'Section Load'!S32,0))</f>
        <v>0</v>
      </c>
      <c r="S29" s="294">
        <f>(IF('Section Load'!T32&gt;0,'Section Load'!T32,0))</f>
        <v>45</v>
      </c>
      <c r="T29" s="294">
        <f>(IF('Section Load'!U32&gt;0,'Section Load'!U32,0))</f>
        <v>246</v>
      </c>
      <c r="U29" s="294">
        <f>(IF('Section Load'!V32&gt;0,'Section Load'!V32,0))</f>
        <v>512.28000000002794</v>
      </c>
      <c r="V29" s="294">
        <f>(IF('Section Load'!W32&gt;0,'Section Load'!W32,0))</f>
        <v>367.51999999990221</v>
      </c>
      <c r="W29" s="294">
        <f>(IF('Section Load'!X32&gt;0,'Section Load'!X32,0))</f>
        <v>32.25</v>
      </c>
      <c r="X29" s="294">
        <f>(IF('Section Load'!Y32&gt;0,'Section Load'!Y32,0))</f>
        <v>284.02999999999884</v>
      </c>
      <c r="Y29" s="294">
        <f>(IF('Section Load'!Z32&gt;0,'Section Load'!Z32,0))</f>
        <v>280</v>
      </c>
      <c r="Z29" s="294">
        <f>(IF('Section Load'!AA32&gt;0,'Section Load'!AA32,0))</f>
        <v>5.4400000000023283</v>
      </c>
      <c r="AA29" s="294">
        <f>(IF('Section Load'!AB32&gt;0,'Section Load'!AB32,0))</f>
        <v>43.600000000005821</v>
      </c>
      <c r="AB29" s="294">
        <f>(IF('Section Load'!AC32&gt;0,'Section Load'!AC32,0))</f>
        <v>0.26000000000203727</v>
      </c>
      <c r="AC29" s="294">
        <f>(IF('Section Load'!AD32&gt;0,'Section Load'!AD32,0))</f>
        <v>160.99999999999977</v>
      </c>
      <c r="AD29" s="294">
        <f>(IF('Section Load'!AE32&gt;0,'Section Load'!AE32,0))</f>
        <v>396.42000000000553</v>
      </c>
      <c r="AE29" s="294">
        <f>(IF('Section Load'!AF32&gt;0,'Section Load'!AF32,0))</f>
        <v>296.52999999999884</v>
      </c>
      <c r="AF29" s="294">
        <f>(IF('Section Load'!AG32&gt;0,'Section Load'!AG32,0))</f>
        <v>635.38999999999942</v>
      </c>
      <c r="AG29" s="294">
        <f>(IF('Section Load'!AH32&gt;0,'Section Load'!AH32,0))</f>
        <v>248.0099999999984</v>
      </c>
      <c r="AH29" s="294">
        <f>(IF('Section Load'!AI32&gt;0,'Section Load'!AI32,0))</f>
        <v>420.65000000000146</v>
      </c>
      <c r="AI29" s="294">
        <f>(IF('Section Load'!AJ32&gt;0,'Section Load'!AJ32,0))</f>
        <v>422.52999999999884</v>
      </c>
      <c r="AJ29" s="294">
        <f>(IF('Section Load'!AK32&gt;0,'Section Load'!AK32,0))</f>
        <v>284.63000000000102</v>
      </c>
      <c r="AK29" s="294">
        <f>(IF('Section Load'!AL32&gt;0,'Section Load'!AL32,0))</f>
        <v>315.29999999999927</v>
      </c>
      <c r="AL29" s="294">
        <f>(IF('Section Load'!AM32&gt;0,'Section Load'!AM32,0))</f>
        <v>612.45999999999185</v>
      </c>
      <c r="AM29" s="295">
        <f>(IF('Water Report'!$AE$7&gt;0,'Water Report'!$AE$7,0))</f>
        <v>87</v>
      </c>
      <c r="AN29" s="295">
        <f>(IF('Water Report'!$AE$8&gt;0,'Water Report'!$AE$8,0))</f>
        <v>108</v>
      </c>
      <c r="AO29" s="295">
        <f>(IF('Water Report'!$AE$9&gt;0,'Water Report'!$AE$9,0))</f>
        <v>91</v>
      </c>
      <c r="AP29" s="295">
        <f>(IF('Water Report'!$AE$10&gt;0,'Water Report'!$AE$10,0))</f>
        <v>16</v>
      </c>
      <c r="AQ29" s="295">
        <f>(IF('Water Report'!$AE$11&gt;0,'Water Report'!$AE$11,0))</f>
        <v>0</v>
      </c>
      <c r="AR29" s="295">
        <f>(IF('Water Report'!$AE$13&gt;0,'Water Report'!$AE$13,0))</f>
        <v>39</v>
      </c>
      <c r="AS29" s="295">
        <f>(IF('Water Report'!$AE$14&gt;0,'Water Report'!$AE$14,0))</f>
        <v>3</v>
      </c>
      <c r="AT29" s="295">
        <f>(IF('Water Report'!$AE$15&gt;0,'Water Report'!$AE$15,0))</f>
        <v>8</v>
      </c>
      <c r="AU29" s="295">
        <f>(IF('Water Report'!$AE$17&gt;0,'Water Report'!$AE$17,0))</f>
        <v>0</v>
      </c>
      <c r="AV29" s="295">
        <f>(IF('Water Report'!$AE$18&gt;0,'Water Report'!$AE$18,0))</f>
        <v>16</v>
      </c>
      <c r="AW29" s="295">
        <f>(IF('Water Report'!$AE$19&gt;0,'Water Report'!$AE$19,0))</f>
        <v>12</v>
      </c>
      <c r="AX29" s="301">
        <f>(IF('Water Report'!$AE$21&gt;0,'Water Report'!$AE$21,0))</f>
        <v>85</v>
      </c>
      <c r="AY29" s="301">
        <f>(IF('Water Report'!$AE$22&gt;0,'Water Report'!$AE$22,0))</f>
        <v>0</v>
      </c>
      <c r="AZ29" s="301">
        <f>(IF('Water Report'!$AE$23&gt;0,'Water Report'!$AE$23,0))</f>
        <v>13</v>
      </c>
      <c r="BA29" s="301">
        <f>(IF('Water Report'!$AE$14&gt;0,'Water Report'!$AE$14,0))</f>
        <v>3</v>
      </c>
      <c r="BB29" s="301">
        <f>(IF('Water Report'!$AE$15&gt;0,'Water Report'!$AE$15,0))</f>
        <v>8</v>
      </c>
      <c r="BC29" s="301">
        <f>(IF('Water Report'!$AE$13&gt;0,'Water Report'!$AE$13,0))</f>
        <v>39</v>
      </c>
      <c r="BD29" s="301">
        <f>(IF('Water Report'!$AE$24&gt;0,'Water Report'!$AE$24,0))</f>
        <v>188</v>
      </c>
      <c r="BE29" s="301">
        <f>(IF('Water Report'!$AE$25&gt;0,'Water Report'!$AE$25,0))</f>
        <v>118</v>
      </c>
      <c r="BF29" s="301">
        <f>(IF('Water Report'!$AE$27&gt;0,'Water Report'!$AE$27,0))</f>
        <v>137</v>
      </c>
      <c r="BG29" s="296">
        <f>(IF('Section Load'!AN32&gt;0,'Section Load'!AN32,0))</f>
        <v>982.03000000002794</v>
      </c>
      <c r="BH29" s="296">
        <f>(IF('Section Load'!AO32&gt;0,'Section Load'!AO32,0))</f>
        <v>283.76999999990221</v>
      </c>
      <c r="BI29" s="296">
        <f>(IF('Section Load'!AP32&gt;0,'Section Load'!AP32,0))</f>
        <v>0</v>
      </c>
      <c r="BJ29" s="296">
        <f>(IF('Section Load'!AQ32&gt;0,'Section Load'!AQ32,0))</f>
        <v>98.329999999987194</v>
      </c>
      <c r="BK29" s="296">
        <f>(IF('Section Load'!AR32&gt;0,'Section Load'!AR32,0))</f>
        <v>42.80000000000291</v>
      </c>
      <c r="BL29" s="296">
        <f>(IF('Section Load'!AS32&gt;0,'Section Load'!AS32,0))</f>
        <v>0</v>
      </c>
      <c r="BM29" s="296">
        <f>(IF('Section Load'!AT32&gt;0,'Section Load'!AT32,0))</f>
        <v>557.13000000013562</v>
      </c>
    </row>
    <row r="30" spans="1:65">
      <c r="A30" s="287" t="s">
        <v>268</v>
      </c>
      <c r="B30" s="288">
        <f t="shared" si="0"/>
        <v>29</v>
      </c>
      <c r="C30" s="288">
        <v>6</v>
      </c>
      <c r="D30" s="288">
        <v>2022</v>
      </c>
      <c r="E30" s="294">
        <f>(IF('Section Load'!F33&gt;0,'Section Load'!F33,0))</f>
        <v>0</v>
      </c>
      <c r="F30" s="294">
        <f>(IF('Section Load'!G33&gt;0,'Section Load'!G33,0))</f>
        <v>0</v>
      </c>
      <c r="G30" s="294">
        <f>(IF('Section Load'!H33&gt;0,'Section Load'!H33,0))</f>
        <v>0</v>
      </c>
      <c r="H30" s="294">
        <f>(IF('Section Load'!I33&gt;0,'Section Load'!I33,0))</f>
        <v>0</v>
      </c>
      <c r="I30" s="294">
        <f>(IF('Section Load'!J33&gt;0,'Section Load'!J33,0))</f>
        <v>0</v>
      </c>
      <c r="J30" s="294">
        <f>(IF('Section Load'!K33&gt;0,'Section Load'!K33,0))</f>
        <v>0</v>
      </c>
      <c r="K30" s="294">
        <f>(IF('Section Load'!L33&gt;0,'Section Load'!L33,0))</f>
        <v>0</v>
      </c>
      <c r="L30" s="294">
        <f>(IF('Section Load'!M33&gt;0,'Section Load'!M33,0))</f>
        <v>0</v>
      </c>
      <c r="M30" s="294">
        <f>(IF('Section Load'!N33&gt;0,'Section Load'!N33,0))</f>
        <v>0</v>
      </c>
      <c r="N30" s="294">
        <f>(IF('Section Load'!O33&gt;0,'Section Load'!O33,0))</f>
        <v>0</v>
      </c>
      <c r="O30" s="294">
        <f>(IF('Section Load'!P33&gt;0,'Section Load'!P33,0))</f>
        <v>0</v>
      </c>
      <c r="P30" s="294">
        <f>(IF('Section Load'!Q33&gt;0,'Section Load'!Q33,0))</f>
        <v>0</v>
      </c>
      <c r="Q30" s="294">
        <f>(IF('Section Load'!R33&gt;0,'Section Load'!R33,0))</f>
        <v>0</v>
      </c>
      <c r="R30" s="294">
        <f>(IF('Section Load'!S33&gt;0,'Section Load'!S33,0))</f>
        <v>0</v>
      </c>
      <c r="S30" s="294">
        <f>(IF('Section Load'!T33&gt;0,'Section Load'!T33,0))</f>
        <v>0</v>
      </c>
      <c r="T30" s="294">
        <f>(IF('Section Load'!U33&gt;0,'Section Load'!U33,0))</f>
        <v>0</v>
      </c>
      <c r="U30" s="294">
        <f>(IF('Section Load'!V33&gt;0,'Section Load'!V33,0))</f>
        <v>0</v>
      </c>
      <c r="V30" s="294">
        <f>(IF('Section Load'!W33&gt;0,'Section Load'!W33,0))</f>
        <v>0</v>
      </c>
      <c r="W30" s="294">
        <f>(IF('Section Load'!X33&gt;0,'Section Load'!X33,0))</f>
        <v>0</v>
      </c>
      <c r="X30" s="294">
        <f>(IF('Section Load'!Y33&gt;0,'Section Load'!Y33,0))</f>
        <v>0</v>
      </c>
      <c r="Y30" s="294">
        <f>(IF('Section Load'!Z33&gt;0,'Section Load'!Z33,0))</f>
        <v>0</v>
      </c>
      <c r="Z30" s="294">
        <f>(IF('Section Load'!AA33&gt;0,'Section Load'!AA33,0))</f>
        <v>0</v>
      </c>
      <c r="AA30" s="294">
        <f>(IF('Section Load'!AB33&gt;0,'Section Load'!AB33,0))</f>
        <v>0</v>
      </c>
      <c r="AB30" s="294">
        <f>(IF('Section Load'!AC33&gt;0,'Section Load'!AC33,0))</f>
        <v>0</v>
      </c>
      <c r="AC30" s="294">
        <f>(IF('Section Load'!AD33&gt;0,'Section Load'!AD33,0))</f>
        <v>94729.8</v>
      </c>
      <c r="AD30" s="294">
        <f>(IF('Section Load'!AE33&gt;0,'Section Load'!AE33,0))</f>
        <v>0</v>
      </c>
      <c r="AE30" s="294">
        <f>(IF('Section Load'!AF33&gt;0,'Section Load'!AF33,0))</f>
        <v>0</v>
      </c>
      <c r="AF30" s="294">
        <f>(IF('Section Load'!AG33&gt;0,'Section Load'!AG33,0))</f>
        <v>0</v>
      </c>
      <c r="AG30" s="294">
        <f>(IF('Section Load'!AH33&gt;0,'Section Load'!AH33,0))</f>
        <v>0</v>
      </c>
      <c r="AH30" s="294">
        <f>(IF('Section Load'!AI33&gt;0,'Section Load'!AI33,0))</f>
        <v>0</v>
      </c>
      <c r="AI30" s="294">
        <f>(IF('Section Load'!AJ33&gt;0,'Section Load'!AJ33,0))</f>
        <v>0</v>
      </c>
      <c r="AJ30" s="294">
        <f>(IF('Section Load'!AK33&gt;0,'Section Load'!AK33,0))</f>
        <v>0</v>
      </c>
      <c r="AK30" s="294">
        <f>(IF('Section Load'!AL33&gt;0,'Section Load'!AL33,0))</f>
        <v>0</v>
      </c>
      <c r="AL30" s="294">
        <f>(IF('Section Load'!AM33&gt;0,'Section Load'!AM33,0))</f>
        <v>0</v>
      </c>
      <c r="AM30" s="295">
        <f>(IF('Water Report'!$AF$7&gt;0,'Water Report'!$AF$7,0))</f>
        <v>0</v>
      </c>
      <c r="AN30" s="295">
        <f>(IF('Water Report'!$AF$8&gt;0,'Water Report'!$AF$8,0))</f>
        <v>0</v>
      </c>
      <c r="AO30" s="295">
        <f>(IF('Water Report'!$AF$9&gt;0,'Water Report'!$AF$9,0))</f>
        <v>0</v>
      </c>
      <c r="AP30" s="295">
        <f>(IF('Water Report'!$AF$10&gt;0,'Water Report'!$AF$10,0))</f>
        <v>0</v>
      </c>
      <c r="AQ30" s="295">
        <f>(IF('Water Report'!$AF$11&gt;0,'Water Report'!$AF$11,0))</f>
        <v>0</v>
      </c>
      <c r="AR30" s="295">
        <f>(IF('Water Report'!$AF$13&gt;0,'Water Report'!$AF$13,0))</f>
        <v>0</v>
      </c>
      <c r="AS30" s="295">
        <f>(IF('Water Report'!$AF$14&gt;0,'Water Report'!$AF$14,0))</f>
        <v>0</v>
      </c>
      <c r="AT30" s="295">
        <f>(IF('Water Report'!$AF$15&gt;0,'Water Report'!$AF$15,0))</f>
        <v>0</v>
      </c>
      <c r="AU30" s="295">
        <f>(IF('Water Report'!$AF$17&gt;0,'Water Report'!$AF$17,0))</f>
        <v>19</v>
      </c>
      <c r="AV30" s="295">
        <f>(IF('Water Report'!$AF$18&gt;0,'Water Report'!$AF$18,0))</f>
        <v>0</v>
      </c>
      <c r="AW30" s="295">
        <f>(IF('Water Report'!$AF$19&gt;0,'Water Report'!$AF$19,0))</f>
        <v>0</v>
      </c>
      <c r="AX30" s="301">
        <f>(IF('Water Report'!$AF$21&gt;0,'Water Report'!$AF$21,0))</f>
        <v>0</v>
      </c>
      <c r="AY30" s="301">
        <f>(IF('Water Report'!$AF$22&gt;0,'Water Report'!$AF$22,0))</f>
        <v>0</v>
      </c>
      <c r="AZ30" s="301">
        <f>(IF('Water Report'!$AF$23&gt;0,'Water Report'!$AF$23,0))</f>
        <v>0</v>
      </c>
      <c r="BA30" s="301">
        <f>(IF('Water Report'!$AF$14&gt;0,'Water Report'!$AF$14,0))</f>
        <v>0</v>
      </c>
      <c r="BB30" s="301">
        <f>(IF('Water Report'!$AF$15&gt;0,'Water Report'!$AF$15,0))</f>
        <v>0</v>
      </c>
      <c r="BC30" s="301">
        <f>(IF('Water Report'!$AF$13&gt;0,'Water Report'!$AF$13,0))</f>
        <v>0</v>
      </c>
      <c r="BD30" s="301">
        <f>(IF('Water Report'!$AF$24&gt;0,'Water Report'!$AF$24,0))</f>
        <v>0</v>
      </c>
      <c r="BE30" s="301">
        <f>(IF('Water Report'!$AF$25&gt;0,'Water Report'!$AF$25,0))</f>
        <v>0</v>
      </c>
      <c r="BF30" s="301">
        <f>(IF('Water Report'!$AF$27&gt;0,'Water Report'!$AF$27,0))</f>
        <v>0</v>
      </c>
      <c r="BG30" s="296">
        <f>(IF('Section Load'!AN33&gt;0,'Section Load'!AN33,0))</f>
        <v>1100</v>
      </c>
      <c r="BH30" s="296">
        <f>(IF('Section Load'!AO33&gt;0,'Section Load'!AO33,0))</f>
        <v>0</v>
      </c>
      <c r="BI30" s="296">
        <f>(IF('Section Load'!AP33&gt;0,'Section Load'!AP33,0))</f>
        <v>0.80000000000291038</v>
      </c>
      <c r="BJ30" s="296">
        <f>(IF('Section Load'!AQ33&gt;0,'Section Load'!AQ33,0))</f>
        <v>0</v>
      </c>
      <c r="BK30" s="296">
        <f>(IF('Section Load'!AR33&gt;0,'Section Load'!AR33,0))</f>
        <v>0</v>
      </c>
      <c r="BL30" s="296">
        <f>(IF('Section Load'!AS33&gt;0,'Section Load'!AS33,0))</f>
        <v>0</v>
      </c>
      <c r="BM30" s="296">
        <f>(IF('Section Load'!AT33&gt;0,'Section Load'!AT33,0))</f>
        <v>14804.28999999995</v>
      </c>
    </row>
    <row r="31" spans="1:65">
      <c r="A31" s="287" t="s">
        <v>268</v>
      </c>
      <c r="B31" s="288">
        <f t="shared" si="0"/>
        <v>30</v>
      </c>
      <c r="C31" s="288">
        <v>6</v>
      </c>
      <c r="D31" s="288">
        <v>2022</v>
      </c>
      <c r="E31" s="294">
        <f>(IF('Section Load'!F34&gt;0,'Section Load'!F34,0))</f>
        <v>4146</v>
      </c>
      <c r="F31" s="294">
        <f>(IF('Section Load'!G34&gt;0,'Section Load'!G34,0))</f>
        <v>1640.68</v>
      </c>
      <c r="G31" s="294">
        <f>(IF('Section Load'!H34&gt;0,'Section Load'!H34,0))</f>
        <v>2258</v>
      </c>
      <c r="H31" s="294">
        <f>(IF('Section Load'!I34&gt;0,'Section Load'!I34,0))</f>
        <v>2936</v>
      </c>
      <c r="I31" s="294">
        <f>(IF('Section Load'!J34&gt;0,'Section Load'!J34,0))</f>
        <v>8492</v>
      </c>
      <c r="J31" s="294">
        <f>(IF('Section Load'!K34&gt;0,'Section Load'!K34,0))</f>
        <v>2519.0499999999993</v>
      </c>
      <c r="K31" s="294">
        <f>(IF('Section Load'!L34&gt;0,'Section Load'!L34,0))</f>
        <v>1233</v>
      </c>
      <c r="L31" s="294">
        <f>(IF('Section Load'!M34&gt;0,'Section Load'!M34,0))</f>
        <v>925</v>
      </c>
      <c r="M31" s="294">
        <f>(IF('Section Load'!N34&gt;0,'Section Load'!N34,0))</f>
        <v>125.60000000000036</v>
      </c>
      <c r="N31" s="294">
        <f>(IF('Section Load'!O34&gt;0,'Section Load'!O34,0))</f>
        <v>157</v>
      </c>
      <c r="O31" s="294">
        <f>(IF('Section Load'!P34&gt;0,'Section Load'!P34,0))</f>
        <v>9.6499999999999773</v>
      </c>
      <c r="P31" s="294">
        <f>(IF('Section Load'!Q34&gt;0,'Section Load'!Q34,0))</f>
        <v>199.19999999999709</v>
      </c>
      <c r="Q31" s="294">
        <f>(IF('Section Load'!R34&gt;0,'Section Load'!R34,0))</f>
        <v>129.20000000000073</v>
      </c>
      <c r="R31" s="294">
        <f>(IF('Section Load'!S34&gt;0,'Section Load'!S34,0))</f>
        <v>9.0000000000145519E-2</v>
      </c>
      <c r="S31" s="294">
        <f>(IF('Section Load'!T34&gt;0,'Section Load'!T34,0))</f>
        <v>37</v>
      </c>
      <c r="T31" s="294">
        <f>(IF('Section Load'!U34&gt;0,'Section Load'!U34,0))</f>
        <v>240</v>
      </c>
      <c r="U31" s="294">
        <f>(IF('Section Load'!V34&gt;0,'Section Load'!V34,0))</f>
        <v>390.56000000005588</v>
      </c>
      <c r="V31" s="294">
        <f>(IF('Section Load'!W34&gt;0,'Section Load'!W34,0))</f>
        <v>306.95999999996275</v>
      </c>
      <c r="W31" s="294">
        <f>(IF('Section Load'!X34&gt;0,'Section Load'!X34,0))</f>
        <v>24.170000000000073</v>
      </c>
      <c r="X31" s="294">
        <f>(IF('Section Load'!Y34&gt;0,'Section Load'!Y34,0))</f>
        <v>251.78000000000247</v>
      </c>
      <c r="Y31" s="294">
        <f>(IF('Section Load'!Z34&gt;0,'Section Load'!Z34,0))</f>
        <v>260</v>
      </c>
      <c r="Z31" s="294">
        <f>(IF('Section Load'!AA34&gt;0,'Section Load'!AA34,0))</f>
        <v>0</v>
      </c>
      <c r="AA31" s="294">
        <f>(IF('Section Load'!AB34&gt;0,'Section Load'!AB34,0))</f>
        <v>44.19999999999709</v>
      </c>
      <c r="AB31" s="294">
        <f>(IF('Section Load'!AC34&gt;0,'Section Load'!AC34,0))</f>
        <v>0</v>
      </c>
      <c r="AC31" s="294">
        <f>(IF('Section Load'!AD34&gt;0,'Section Load'!AD34,0))</f>
        <v>197.50000000000546</v>
      </c>
      <c r="AD31" s="294">
        <f>(IF('Section Load'!AE34&gt;0,'Section Load'!AE34,0))</f>
        <v>392.19999999999709</v>
      </c>
      <c r="AE31" s="294">
        <f>(IF('Section Load'!AF34&gt;0,'Section Load'!AF34,0))</f>
        <v>226.40000000000146</v>
      </c>
      <c r="AF31" s="294">
        <f>(IF('Section Load'!AG34&gt;0,'Section Load'!AG34,0))</f>
        <v>547.90000000000146</v>
      </c>
      <c r="AG31" s="294">
        <f>(IF('Section Load'!AH34&gt;0,'Section Load'!AH34,0))</f>
        <v>381.59999999999854</v>
      </c>
      <c r="AH31" s="294">
        <f>(IF('Section Load'!AI34&gt;0,'Section Load'!AI34,0))</f>
        <v>408.59999999999854</v>
      </c>
      <c r="AI31" s="294">
        <f>(IF('Section Load'!AJ34&gt;0,'Section Load'!AJ34,0))</f>
        <v>460.40000000000146</v>
      </c>
      <c r="AJ31" s="294">
        <f>(IF('Section Load'!AK34&gt;0,'Section Load'!AK34,0))</f>
        <v>271.29999999999927</v>
      </c>
      <c r="AK31" s="294">
        <f>(IF('Section Load'!AL34&gt;0,'Section Load'!AL34,0))</f>
        <v>294.09000000000015</v>
      </c>
      <c r="AL31" s="294">
        <f>(IF('Section Load'!AM34&gt;0,'Section Load'!AM34,0))</f>
        <v>830</v>
      </c>
      <c r="AM31" s="295">
        <f>(IF('Water Report'!$AG$7&gt;0,'Water Report'!$AG$7,0))</f>
        <v>190</v>
      </c>
      <c r="AN31" s="295">
        <f>(IF('Water Report'!$AG$8&gt;0,'Water Report'!$AG$8,0))</f>
        <v>164</v>
      </c>
      <c r="AO31" s="295">
        <f>(IF('Water Report'!$AG$9&gt;0,'Water Report'!$AG$9,0))</f>
        <v>105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1100</v>
      </c>
      <c r="BH31" s="296">
        <f>(IF('Section Load'!AO34&gt;0,'Section Load'!AO34,0))</f>
        <v>329</v>
      </c>
      <c r="BI31" s="296">
        <f>(IF('Section Load'!AP34&gt;0,'Section Load'!AP34,0))</f>
        <v>0</v>
      </c>
      <c r="BJ31" s="296">
        <f>(IF('Section Load'!AQ34&gt;0,'Section Load'!AQ34,0))</f>
        <v>108.51000000000931</v>
      </c>
      <c r="BK31" s="296">
        <f>(IF('Section Load'!AR34&gt;0,'Section Load'!AR34,0))</f>
        <v>48</v>
      </c>
      <c r="BL31" s="296">
        <f>(IF('Section Load'!AS34&gt;0,'Section Load'!AS34,0))</f>
        <v>0.3999999999996362</v>
      </c>
      <c r="BM31" s="296">
        <f>(IF('Section Load'!AT34&gt;0,'Section Load'!AT34,0))</f>
        <v>614.08999999999105</v>
      </c>
    </row>
    <row r="32" spans="1:65">
      <c r="A32" s="287" t="s">
        <v>268</v>
      </c>
      <c r="B32" s="288">
        <f t="shared" si="0"/>
        <v>31</v>
      </c>
      <c r="C32" s="288">
        <v>6</v>
      </c>
      <c r="D32" s="288">
        <v>2022</v>
      </c>
      <c r="E32" s="294">
        <f>(IF('Section Load'!F35&gt;0,'Section Load'!F35,0))</f>
        <v>3730</v>
      </c>
      <c r="F32" s="294">
        <f>(IF('Section Load'!G35&gt;0,'Section Load'!G35,0))</f>
        <v>1790</v>
      </c>
      <c r="G32" s="294">
        <f>(IF('Section Load'!H35&gt;0,'Section Load'!H35,0))</f>
        <v>2284</v>
      </c>
      <c r="H32" s="294">
        <f>(IF('Section Load'!I35&gt;0,'Section Load'!I35,0))</f>
        <v>3217</v>
      </c>
      <c r="I32" s="294">
        <f>(IF('Section Load'!J35&gt;0,'Section Load'!J35,0))</f>
        <v>8088</v>
      </c>
      <c r="J32" s="294">
        <f>(IF('Section Load'!K35&gt;0,'Section Load'!K35,0))</f>
        <v>2524</v>
      </c>
      <c r="K32" s="294">
        <f>(IF('Section Load'!L35&gt;0,'Section Load'!L35,0))</f>
        <v>933</v>
      </c>
      <c r="L32" s="294">
        <f>(IF('Section Load'!M35&gt;0,'Section Load'!M35,0))</f>
        <v>797</v>
      </c>
      <c r="M32" s="294">
        <f>(IF('Section Load'!N35&gt;0,'Section Load'!N35,0))</f>
        <v>112</v>
      </c>
      <c r="N32" s="294">
        <f>(IF('Section Load'!O35&gt;0,'Section Load'!O35,0))</f>
        <v>141</v>
      </c>
      <c r="O32" s="294">
        <f>(IF('Section Load'!P35&gt;0,'Section Load'!P35,0))</f>
        <v>12</v>
      </c>
      <c r="P32" s="294">
        <f>(IF('Section Load'!Q35&gt;0,'Section Load'!Q35,0))</f>
        <v>190</v>
      </c>
      <c r="Q32" s="294">
        <f>(IF('Section Load'!R35&gt;0,'Section Load'!R35,0))</f>
        <v>138</v>
      </c>
      <c r="R32" s="294">
        <f>(IF('Section Load'!S35&gt;0,'Section Load'!S35,0))</f>
        <v>0</v>
      </c>
      <c r="S32" s="294">
        <f>(IF('Section Load'!T35&gt;0,'Section Load'!T35,0))</f>
        <v>36</v>
      </c>
      <c r="T32" s="294">
        <f>(IF('Section Load'!U35&gt;0,'Section Load'!U35,0))</f>
        <v>252</v>
      </c>
      <c r="U32" s="294">
        <f>(IF('Section Load'!V35&gt;0,'Section Load'!V35,0))</f>
        <v>374</v>
      </c>
      <c r="V32" s="294">
        <f>(IF('Section Load'!W35&gt;0,'Section Load'!W35,0))</f>
        <v>293</v>
      </c>
      <c r="W32" s="294">
        <f>(IF('Section Load'!X35&gt;0,'Section Load'!X35,0))</f>
        <v>31</v>
      </c>
      <c r="X32" s="294">
        <f>(IF('Section Load'!Y35&gt;0,'Section Load'!Y35,0))</f>
        <v>256.91999999999825</v>
      </c>
      <c r="Y32" s="294">
        <f>(IF('Section Load'!Z35&gt;0,'Section Load'!Z35,0))</f>
        <v>288</v>
      </c>
      <c r="Z32" s="294">
        <f>(IF('Section Load'!AA35&gt;0,'Section Load'!AA35,0))</f>
        <v>3.2800000000279397</v>
      </c>
      <c r="AA32" s="294">
        <f>(IF('Section Load'!AB35&gt;0,'Section Load'!AB35,0))</f>
        <v>42</v>
      </c>
      <c r="AB32" s="294">
        <f>(IF('Section Load'!AC35&gt;0,'Section Load'!AC35,0))</f>
        <v>11.389999999999418</v>
      </c>
      <c r="AC32" s="294">
        <f>(IF('Section Load'!AD35&gt;0,'Section Load'!AD35,0))</f>
        <v>192</v>
      </c>
      <c r="AD32" s="294">
        <f>(IF('Section Load'!AE35&gt;0,'Section Load'!AE35,0))</f>
        <v>382</v>
      </c>
      <c r="AE32" s="294">
        <f>(IF('Section Load'!AF35&gt;0,'Section Load'!AF35,0))</f>
        <v>240</v>
      </c>
      <c r="AF32" s="294">
        <f>(IF('Section Load'!AG35&gt;0,'Section Load'!AG35,0))</f>
        <v>611</v>
      </c>
      <c r="AG32" s="294">
        <f>(IF('Section Load'!AH35&gt;0,'Section Load'!AH35,0))</f>
        <v>388</v>
      </c>
      <c r="AH32" s="294">
        <f>(IF('Section Load'!AI35&gt;0,'Section Load'!AI35,0))</f>
        <v>405</v>
      </c>
      <c r="AI32" s="294">
        <f>(IF('Section Load'!AJ35&gt;0,'Section Load'!AJ35,0))</f>
        <v>443</v>
      </c>
      <c r="AJ32" s="294">
        <f>(IF('Section Load'!AK35&gt;0,'Section Load'!AK35,0))</f>
        <v>269</v>
      </c>
      <c r="AK32" s="294">
        <f>(IF('Section Load'!AL35&gt;0,'Section Load'!AL35,0))</f>
        <v>331</v>
      </c>
      <c r="AL32" s="294">
        <f>(IF('Section Load'!AM35&gt;0,'Section Load'!AM35,0))</f>
        <v>849</v>
      </c>
      <c r="AM32" s="295">
        <f>(IF('Water Report'!$AH$7&gt;0,'Water Report'!$AH$7,0))</f>
        <v>150</v>
      </c>
      <c r="AN32" s="295">
        <f>(IF('Water Report'!$AH$8&gt;0,'Water Report'!$AH$8,0))</f>
        <v>117</v>
      </c>
      <c r="AO32" s="295">
        <f>(IF('Water Report'!$AH$9&gt;0,'Water Report'!$AH$9,0))</f>
        <v>105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>
        <f>(IF('Section Load'!AN35&gt;0,'Section Load'!AN35,0))</f>
        <v>1100</v>
      </c>
      <c r="BH32" s="296">
        <f>(IF('Section Load'!AO35&gt;0,'Section Load'!AO35,0))</f>
        <v>324</v>
      </c>
      <c r="BI32" s="296">
        <f>(IF('Section Load'!AP35&gt;0,'Section Load'!AP35,0))</f>
        <v>0</v>
      </c>
      <c r="BJ32" s="296">
        <f>(IF('Section Load'!AQ35&gt;0,'Section Load'!AQ35,0))</f>
        <v>99</v>
      </c>
      <c r="BK32" s="296">
        <f>(IF('Section Load'!AR35&gt;0,'Section Load'!AR35,0))</f>
        <v>47</v>
      </c>
      <c r="BL32" s="296">
        <f>(IF('Section Load'!AS35&gt;0,'Section Load'!AS35,0))</f>
        <v>0</v>
      </c>
      <c r="BM32" s="296">
        <f>(IF('Section Load'!AT35&gt;0,'Section Load'!AT35,0))</f>
        <v>630.39999999999964</v>
      </c>
    </row>
    <row r="35" spans="45:4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W5" sqref="W5:X5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>
      <c r="A1" s="765"/>
      <c r="B1" s="765"/>
      <c r="C1" s="765"/>
      <c r="D1" s="765"/>
      <c r="E1" s="765"/>
      <c r="F1" s="765"/>
      <c r="G1" s="765"/>
      <c r="H1" s="765"/>
      <c r="I1" s="765"/>
      <c r="J1" s="765"/>
      <c r="K1" s="765"/>
      <c r="L1" s="765"/>
      <c r="M1" s="765"/>
      <c r="N1" s="765"/>
      <c r="O1" s="765"/>
      <c r="P1" s="765"/>
      <c r="Q1" s="765"/>
      <c r="R1" s="765"/>
      <c r="S1" s="765"/>
      <c r="T1" s="765"/>
      <c r="U1" s="765"/>
      <c r="V1" s="765"/>
      <c r="W1" s="765"/>
      <c r="X1" s="765"/>
      <c r="Y1" s="765"/>
      <c r="Z1" s="765"/>
      <c r="AA1" s="765"/>
      <c r="AB1" s="765"/>
      <c r="AC1" s="765"/>
      <c r="AD1" s="765"/>
      <c r="AE1" s="765"/>
      <c r="AF1" s="765"/>
      <c r="AG1" s="765"/>
      <c r="AH1" s="765"/>
      <c r="AI1" s="765"/>
      <c r="AJ1" s="765"/>
      <c r="AK1" s="765"/>
      <c r="AL1" s="765"/>
      <c r="AM1" s="765"/>
      <c r="AN1" s="765"/>
      <c r="AO1" s="765"/>
      <c r="AP1" s="765"/>
      <c r="AQ1" s="765"/>
      <c r="AR1" s="765"/>
      <c r="AS1" s="765"/>
      <c r="AT1" s="765"/>
      <c r="AU1" s="765"/>
      <c r="AV1" s="765"/>
      <c r="AW1" s="765"/>
      <c r="AX1" s="765"/>
      <c r="AY1" s="765"/>
      <c r="AZ1" s="765"/>
      <c r="BA1" s="765"/>
      <c r="BB1" s="765"/>
      <c r="BC1" s="765"/>
      <c r="BD1" s="765"/>
      <c r="BE1" s="765"/>
      <c r="BF1" s="765"/>
      <c r="BG1" s="765"/>
      <c r="BH1" s="765"/>
      <c r="BI1" s="765"/>
      <c r="BJ1" s="765"/>
      <c r="BK1" s="765"/>
      <c r="BL1" s="765"/>
      <c r="BM1" s="765"/>
      <c r="BN1" s="765"/>
    </row>
    <row r="2" spans="1:69" ht="28.5" customHeight="1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66" t="s">
        <v>5</v>
      </c>
      <c r="I2" s="766"/>
      <c r="J2" s="766"/>
      <c r="K2" s="44"/>
      <c r="L2" s="767" t="s">
        <v>6</v>
      </c>
      <c r="M2" s="767"/>
      <c r="N2" s="767"/>
      <c r="O2" s="768" t="s">
        <v>7</v>
      </c>
      <c r="P2" s="768"/>
      <c r="Q2" s="768"/>
      <c r="R2" s="44" t="s">
        <v>8</v>
      </c>
      <c r="S2" s="769" t="s">
        <v>9</v>
      </c>
      <c r="T2" s="769"/>
      <c r="U2" s="769"/>
      <c r="V2" s="770" t="s">
        <v>10</v>
      </c>
      <c r="W2" s="771"/>
      <c r="X2" s="772"/>
      <c r="Y2" s="263"/>
      <c r="Z2" s="773" t="s">
        <v>11</v>
      </c>
      <c r="AA2" s="773"/>
      <c r="AB2" s="773"/>
      <c r="AC2" s="773"/>
      <c r="AD2" s="264"/>
      <c r="AE2" s="264" t="s">
        <v>12</v>
      </c>
      <c r="AF2" s="264" t="s">
        <v>13</v>
      </c>
      <c r="AG2" s="773" t="s">
        <v>14</v>
      </c>
      <c r="AH2" s="773"/>
      <c r="AI2" s="773"/>
      <c r="AJ2" s="264" t="s">
        <v>15</v>
      </c>
      <c r="AK2" s="773" t="s">
        <v>16</v>
      </c>
      <c r="AL2" s="773"/>
      <c r="AM2" s="773"/>
      <c r="AN2" s="264" t="s">
        <v>17</v>
      </c>
      <c r="AO2" s="5" t="s">
        <v>18</v>
      </c>
      <c r="AP2" s="774" t="s">
        <v>19</v>
      </c>
      <c r="AQ2" s="775"/>
      <c r="AR2" s="775"/>
      <c r="AS2" s="775"/>
      <c r="AT2" s="775"/>
      <c r="AU2" s="775"/>
      <c r="AV2" s="775"/>
      <c r="AW2" s="775"/>
      <c r="AX2" s="775"/>
      <c r="AY2" s="776"/>
      <c r="AZ2" s="774" t="s">
        <v>20</v>
      </c>
      <c r="BA2" s="775"/>
      <c r="BB2" s="775"/>
      <c r="BC2" s="775"/>
      <c r="BD2" s="775"/>
      <c r="BE2" s="775"/>
      <c r="BF2" s="775"/>
      <c r="BG2" s="775"/>
      <c r="BH2" s="775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>
      <c r="A4" s="16">
        <v>1</v>
      </c>
      <c r="B4" s="17">
        <v>1</v>
      </c>
      <c r="C4" s="18"/>
      <c r="D4" s="19">
        <f>'1'!D3</f>
        <v>29</v>
      </c>
      <c r="E4" s="50">
        <f>'1'!D4</f>
        <v>0.78</v>
      </c>
      <c r="F4" s="50">
        <f>'1'!D2</f>
        <v>0.88</v>
      </c>
      <c r="G4" s="19">
        <f>'1'!G7</f>
        <v>27016</v>
      </c>
      <c r="H4" s="19">
        <f>'1'!G8</f>
        <v>28059</v>
      </c>
      <c r="I4" s="19">
        <v>9</v>
      </c>
      <c r="J4" s="49">
        <f>H4*I4</f>
        <v>252531</v>
      </c>
      <c r="K4" s="45">
        <f>H4/202</f>
        <v>138.90594059405942</v>
      </c>
      <c r="L4" s="19">
        <f>'1'!G15</f>
        <v>1098</v>
      </c>
      <c r="M4" s="19">
        <v>56.2</v>
      </c>
      <c r="N4" s="45">
        <f>L4*M4</f>
        <v>61707.600000000006</v>
      </c>
      <c r="O4" s="19">
        <f>'1'!G20</f>
        <v>316</v>
      </c>
      <c r="P4" s="19">
        <v>108</v>
      </c>
      <c r="Q4" s="46">
        <f t="shared" ref="Q4:Q33" si="0">O4*P4</f>
        <v>34128</v>
      </c>
      <c r="R4" s="47">
        <f t="shared" ref="R4:R34" si="1">O4/(F4*202/100)</f>
        <v>177.7677767776778</v>
      </c>
      <c r="S4" s="19">
        <f>'1'!G24</f>
        <v>0</v>
      </c>
      <c r="T4" s="19">
        <v>69</v>
      </c>
      <c r="U4" s="48">
        <f>S4*T4</f>
        <v>0</v>
      </c>
      <c r="V4" s="22">
        <f>'1'!G65</f>
        <v>116</v>
      </c>
      <c r="W4" s="22">
        <f>'1'!G66</f>
        <v>18</v>
      </c>
      <c r="X4" s="22">
        <f>'1'!G67</f>
        <v>67</v>
      </c>
      <c r="Y4" s="22">
        <f>V4+W4+X4</f>
        <v>201</v>
      </c>
      <c r="Z4" s="19">
        <f>'1'!G84</f>
        <v>0</v>
      </c>
      <c r="AA4" s="19">
        <f>'1'!G85</f>
        <v>18</v>
      </c>
      <c r="AB4" s="19">
        <f>'1'!G86</f>
        <v>24</v>
      </c>
      <c r="AC4" s="19">
        <f>'1'!G87</f>
        <v>0</v>
      </c>
      <c r="AD4" s="19">
        <f>Z4+AA4+AB4+AC4</f>
        <v>42</v>
      </c>
      <c r="AE4" s="23">
        <f t="shared" ref="AE4:AE33" si="2">AU4+AV4+BE4+BF4</f>
        <v>8007.6600000000035</v>
      </c>
      <c r="AF4" s="23">
        <f>AE4/AD4</f>
        <v>190.65857142857152</v>
      </c>
      <c r="AG4" s="19">
        <f>'1'!G88</f>
        <v>11.119999999998981</v>
      </c>
      <c r="AH4" s="19">
        <f>'1'!G89</f>
        <v>11.590000000000146</v>
      </c>
      <c r="AI4" s="19">
        <f>'1'!G90</f>
        <v>0</v>
      </c>
      <c r="AJ4" s="19">
        <f>AG4+AH4+AI4</f>
        <v>22.709999999999127</v>
      </c>
      <c r="AK4" s="19">
        <f>'1'!G91</f>
        <v>0</v>
      </c>
      <c r="AL4" s="19">
        <f>'1'!G92</f>
        <v>11.75</v>
      </c>
      <c r="AM4" s="19"/>
      <c r="AN4" s="19">
        <f>AK4+AL4</f>
        <v>11.75</v>
      </c>
      <c r="AO4" s="52">
        <f>'1'!G74</f>
        <v>328</v>
      </c>
      <c r="AP4" s="55">
        <f>'1'!G35</f>
        <v>0</v>
      </c>
      <c r="AQ4" s="19">
        <f>'1'!G37</f>
        <v>1714</v>
      </c>
      <c r="AR4" s="19">
        <f>'1'!G38</f>
        <v>2662</v>
      </c>
      <c r="AS4" s="19">
        <f>'1'!G39</f>
        <v>3034</v>
      </c>
      <c r="AT4" s="19">
        <f>'1'!G40</f>
        <v>254</v>
      </c>
      <c r="AU4" s="19">
        <f>'1'!G41</f>
        <v>0</v>
      </c>
      <c r="AV4" s="19">
        <f>'1'!G42</f>
        <v>4596</v>
      </c>
      <c r="AW4" s="19">
        <f>'1'!G43</f>
        <v>0</v>
      </c>
      <c r="AX4" s="19">
        <f>'1'!G44</f>
        <v>0</v>
      </c>
      <c r="AY4" s="56">
        <f>'1'!G36</f>
        <v>696</v>
      </c>
      <c r="AZ4" s="55">
        <f>'1'!G49</f>
        <v>4475</v>
      </c>
      <c r="BA4" s="19">
        <f>'1'!G51</f>
        <v>0.31999999999999318</v>
      </c>
      <c r="BB4" s="19">
        <f>'1'!G52</f>
        <v>-0.24000000000000021</v>
      </c>
      <c r="BC4" s="19">
        <f>'1'!G53</f>
        <v>0</v>
      </c>
      <c r="BD4" s="19">
        <f>'1'!G54</f>
        <v>460</v>
      </c>
      <c r="BE4" s="19">
        <f>'1'!G55</f>
        <v>3412</v>
      </c>
      <c r="BF4" s="19">
        <f>'1'!G56</f>
        <v>-0.33999999999650754</v>
      </c>
      <c r="BG4" s="19">
        <f>'1'!G57</f>
        <v>2589</v>
      </c>
      <c r="BH4" s="56">
        <f>'1'!G50</f>
        <v>815</v>
      </c>
      <c r="BI4" s="60">
        <f>SUM(AU4,AV4,BE4,BF4)</f>
        <v>8007.6600000000035</v>
      </c>
      <c r="BJ4" s="60">
        <f>'1'!G133</f>
        <v>850</v>
      </c>
      <c r="BK4" s="23">
        <f>SUM(AP4,AU4,AV4,AW4,AZ4,BE4,BF4,BG4)/H4%</f>
        <v>53.714173705406481</v>
      </c>
      <c r="BL4" s="23">
        <f>SUM(AS4,BC4)/H4%</f>
        <v>10.812929897715529</v>
      </c>
      <c r="BM4" s="24">
        <f>(AR4+BB4)/H4</f>
        <v>9.4862967318863831E-2</v>
      </c>
      <c r="BN4" s="25">
        <f>J4+N4+Q4+U4</f>
        <v>348366.6</v>
      </c>
      <c r="BO4" s="38">
        <f>SUM(AU4,AV4,AW4,BE4,BF4,BG4,BJ4)</f>
        <v>11446.660000000003</v>
      </c>
      <c r="BP4">
        <f>BO4/(AD4*280)</f>
        <v>0.97335544217687109</v>
      </c>
      <c r="BQ4" s="38">
        <f>SUM(AU4,AV4,BE4,BF4)/(AD4*400)</f>
        <v>0.4766464285714288</v>
      </c>
    </row>
    <row r="5" spans="1:69">
      <c r="A5" s="16">
        <v>2</v>
      </c>
      <c r="B5" s="26">
        <v>2</v>
      </c>
      <c r="C5" s="26"/>
      <c r="D5" s="19">
        <f>'2'!D3</f>
        <v>28</v>
      </c>
      <c r="E5" s="50">
        <f>'2'!D4</f>
        <v>0.79</v>
      </c>
      <c r="F5" s="50">
        <f>'2'!D2</f>
        <v>0.98</v>
      </c>
      <c r="G5" s="19">
        <f>'2'!G7</f>
        <v>27481</v>
      </c>
      <c r="H5" s="19">
        <f>'2'!G8</f>
        <v>28576</v>
      </c>
      <c r="I5" s="19">
        <v>9</v>
      </c>
      <c r="J5" s="49">
        <f t="shared" ref="J5:J34" si="3">H5*I5</f>
        <v>257184</v>
      </c>
      <c r="K5" s="45">
        <f t="shared" ref="K5:K33" si="4">H5/202</f>
        <v>141.46534653465346</v>
      </c>
      <c r="L5" s="19">
        <f>'2'!G15</f>
        <v>1043</v>
      </c>
      <c r="M5" s="19">
        <v>56.2</v>
      </c>
      <c r="N5" s="45">
        <f t="shared" ref="N5:N33" si="5">L5*M5</f>
        <v>58616.600000000006</v>
      </c>
      <c r="O5" s="19">
        <f>'2'!G20</f>
        <v>316</v>
      </c>
      <c r="P5" s="19">
        <v>108</v>
      </c>
      <c r="Q5" s="46">
        <f t="shared" si="0"/>
        <v>34128</v>
      </c>
      <c r="R5" s="47">
        <f t="shared" si="1"/>
        <v>159.62820771873106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448248</v>
      </c>
      <c r="W5" s="22">
        <f>'2'!G66</f>
        <v>24</v>
      </c>
      <c r="X5" s="22">
        <f>'2'!G67</f>
        <v>69</v>
      </c>
      <c r="Y5" s="22">
        <f t="shared" ref="Y5:Y33" si="7">V5+W5+X5</f>
        <v>448341</v>
      </c>
      <c r="Z5" s="19">
        <f>'2'!G84</f>
        <v>0</v>
      </c>
      <c r="AA5" s="19">
        <f>'2'!G85</f>
        <v>24</v>
      </c>
      <c r="AB5" s="19">
        <f>'2'!G86</f>
        <v>16</v>
      </c>
      <c r="AC5" s="19">
        <f>'2'!G87</f>
        <v>5.9999999997671694E-2</v>
      </c>
      <c r="AD5" s="19">
        <f t="shared" ref="AD5:AD33" si="8">Z5+AA5+AB5+AC5</f>
        <v>40.059999999997672</v>
      </c>
      <c r="AE5" s="23">
        <f t="shared" si="2"/>
        <v>8374</v>
      </c>
      <c r="AF5" s="23">
        <f t="shared" ref="AF5:AF33" si="9">AE5/AD5</f>
        <v>209.03644533201415</v>
      </c>
      <c r="AG5" s="19">
        <f>'2'!G88</f>
        <v>11</v>
      </c>
      <c r="AH5" s="19">
        <f>'2'!G89</f>
        <v>10</v>
      </c>
      <c r="AI5" s="19">
        <f>'2'!G90</f>
        <v>0</v>
      </c>
      <c r="AJ5" s="19">
        <f t="shared" ref="AJ5:AJ33" si="10">AG5+AH5+AI5</f>
        <v>21</v>
      </c>
      <c r="AK5" s="19">
        <f>'2'!G91</f>
        <v>0.3500000000003638</v>
      </c>
      <c r="AL5" s="19">
        <f>'2'!G92</f>
        <v>11</v>
      </c>
      <c r="AM5" s="19"/>
      <c r="AN5" s="19">
        <f t="shared" ref="AN5:AN33" si="11">AK5+AL5</f>
        <v>11.350000000000364</v>
      </c>
      <c r="AO5" s="52">
        <f>'2'!G74</f>
        <v>331</v>
      </c>
      <c r="AP5" s="55">
        <f>'2'!G35</f>
        <v>0</v>
      </c>
      <c r="AQ5" s="19">
        <f>'2'!G37</f>
        <v>1795</v>
      </c>
      <c r="AR5" s="19">
        <f>'2'!G38</f>
        <v>2380</v>
      </c>
      <c r="AS5" s="19">
        <f>'2'!G39</f>
        <v>2966</v>
      </c>
      <c r="AT5" s="19">
        <f>'2'!G40</f>
        <v>144</v>
      </c>
      <c r="AU5" s="19">
        <f>'2'!G41</f>
        <v>0</v>
      </c>
      <c r="AV5" s="19">
        <f>'2'!G42</f>
        <v>5968</v>
      </c>
      <c r="AW5" s="19">
        <f>'2'!G43</f>
        <v>0</v>
      </c>
      <c r="AX5" s="19">
        <f>'2'!G44</f>
        <v>0</v>
      </c>
      <c r="AY5" s="56">
        <f>'2'!G36</f>
        <v>984</v>
      </c>
      <c r="AZ5" s="55">
        <f>'2'!G49</f>
        <v>3977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462</v>
      </c>
      <c r="BE5" s="19">
        <f>'2'!G55</f>
        <v>2406</v>
      </c>
      <c r="BF5" s="19">
        <f>'2'!G56</f>
        <v>0</v>
      </c>
      <c r="BG5" s="19">
        <f>'2'!G57</f>
        <v>3077</v>
      </c>
      <c r="BH5" s="56">
        <f>'2'!G50</f>
        <v>850</v>
      </c>
      <c r="BI5" s="60">
        <f t="shared" ref="BI5:BI32" si="12">SUM(AU5,AV5,BE5,BF5)</f>
        <v>8374</v>
      </c>
      <c r="BJ5" s="60">
        <f>'2'!G133</f>
        <v>814</v>
      </c>
      <c r="BK5" s="23">
        <f t="shared" ref="BK5:BK33" si="13">SUM(AP5,AU5,AV5,AW5,AZ5,BE5,BF5,BG5)/H5%</f>
        <v>53.98936170212766</v>
      </c>
      <c r="BL5" s="23">
        <f t="shared" ref="BL5:BL33" si="14">SUM(AS5,BC5)/H5%</f>
        <v>10.379339305711087</v>
      </c>
      <c r="BM5" s="24">
        <f t="shared" ref="BM5:BM33" si="15">(AR5+BB5)/H5</f>
        <v>8.328667413213886E-2</v>
      </c>
      <c r="BN5" s="25">
        <f t="shared" ref="BN5:BN33" si="16">J5+N5+Q5+U5</f>
        <v>349928.6</v>
      </c>
      <c r="BO5" s="38">
        <f t="shared" ref="BO5:BO35" si="17">SUM(AU5,AV5,AW5,BE5,BF5,BG5,BJ5)</f>
        <v>12265</v>
      </c>
      <c r="BP5">
        <f t="shared" ref="BP5:BP35" si="18">BO5/(AD5*280)</f>
        <v>1.0934491120462799</v>
      </c>
    </row>
    <row r="6" spans="1:69">
      <c r="A6" s="16">
        <v>3</v>
      </c>
      <c r="B6" s="26">
        <v>3</v>
      </c>
      <c r="C6" s="26"/>
      <c r="D6" s="19">
        <f>'3'!D3</f>
        <v>29</v>
      </c>
      <c r="E6" s="50">
        <f>'3'!D4</f>
        <v>0.78</v>
      </c>
      <c r="F6" s="50">
        <f>'3'!D2</f>
        <v>0.98</v>
      </c>
      <c r="G6" s="19">
        <f>'3'!G7</f>
        <v>27665</v>
      </c>
      <c r="H6" s="19">
        <f>'3'!G8</f>
        <v>28813</v>
      </c>
      <c r="I6" s="19">
        <v>9</v>
      </c>
      <c r="J6" s="49">
        <f t="shared" si="3"/>
        <v>259317</v>
      </c>
      <c r="K6" s="45">
        <f t="shared" si="4"/>
        <v>142.63861386138615</v>
      </c>
      <c r="L6" s="19">
        <f>'3'!G15</f>
        <v>1104</v>
      </c>
      <c r="M6" s="19">
        <v>56.2</v>
      </c>
      <c r="N6" s="45">
        <f t="shared" si="5"/>
        <v>62044.800000000003</v>
      </c>
      <c r="O6" s="19">
        <f>'3'!G20</f>
        <v>304</v>
      </c>
      <c r="P6" s="19">
        <v>108</v>
      </c>
      <c r="Q6" s="46">
        <f t="shared" si="0"/>
        <v>32832</v>
      </c>
      <c r="R6" s="47">
        <f t="shared" si="1"/>
        <v>153.56637704586785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115</v>
      </c>
      <c r="W6" s="22">
        <f>'3'!G66</f>
        <v>31</v>
      </c>
      <c r="X6" s="22">
        <f>'3'!G67</f>
        <v>74</v>
      </c>
      <c r="Y6" s="22">
        <f>V6+W6+X6</f>
        <v>220</v>
      </c>
      <c r="Z6" s="19">
        <f>'3'!G84</f>
        <v>0</v>
      </c>
      <c r="AA6" s="19">
        <f>'3'!G85</f>
        <v>24</v>
      </c>
      <c r="AB6" s="19">
        <f>'3'!G86</f>
        <v>17.400000000001455</v>
      </c>
      <c r="AC6" s="19">
        <f>'3'!G87</f>
        <v>0</v>
      </c>
      <c r="AD6" s="19">
        <f t="shared" si="8"/>
        <v>41.400000000001455</v>
      </c>
      <c r="AE6" s="23">
        <f t="shared" si="2"/>
        <v>8347</v>
      </c>
      <c r="AF6" s="23">
        <f t="shared" si="9"/>
        <v>201.61835748791563</v>
      </c>
      <c r="AG6" s="19">
        <f>'3'!G88</f>
        <v>10</v>
      </c>
      <c r="AH6" s="19">
        <f>'3'!G89</f>
        <v>11</v>
      </c>
      <c r="AI6" s="19">
        <f>'3'!G90</f>
        <v>-0.11999999999534339</v>
      </c>
      <c r="AJ6" s="19">
        <f t="shared" si="10"/>
        <v>20.880000000004657</v>
      </c>
      <c r="AK6" s="19">
        <f>'3'!G91</f>
        <v>0</v>
      </c>
      <c r="AL6" s="19">
        <f>'3'!G92</f>
        <v>11</v>
      </c>
      <c r="AM6" s="19"/>
      <c r="AN6" s="19">
        <f t="shared" si="11"/>
        <v>11</v>
      </c>
      <c r="AO6" s="52">
        <f>'3'!G74</f>
        <v>321</v>
      </c>
      <c r="AP6" s="55">
        <f>'3'!G35</f>
        <v>0</v>
      </c>
      <c r="AQ6" s="19">
        <f>'3'!G37</f>
        <v>1844</v>
      </c>
      <c r="AR6" s="19">
        <f>'3'!G38</f>
        <v>2426</v>
      </c>
      <c r="AS6" s="19">
        <f>'3'!G39</f>
        <v>2963</v>
      </c>
      <c r="AT6" s="19">
        <f>'3'!G40</f>
        <v>128</v>
      </c>
      <c r="AU6" s="19">
        <f>'3'!G41</f>
        <v>0</v>
      </c>
      <c r="AV6" s="19">
        <f>'3'!G42</f>
        <v>5762</v>
      </c>
      <c r="AW6" s="19">
        <f>'3'!G43</f>
        <v>0</v>
      </c>
      <c r="AX6" s="19">
        <f>'3'!G44</f>
        <v>0</v>
      </c>
      <c r="AY6" s="56">
        <f>'3'!G36</f>
        <v>836</v>
      </c>
      <c r="AZ6" s="55">
        <f>'3'!G49</f>
        <v>3797</v>
      </c>
      <c r="BA6" s="19">
        <f>'3'!G51</f>
        <v>0</v>
      </c>
      <c r="BB6" s="19">
        <f>'3'!G52</f>
        <v>0</v>
      </c>
      <c r="BC6" s="19">
        <f>'3'!G53</f>
        <v>0</v>
      </c>
      <c r="BD6" s="19">
        <f>'3'!G54</f>
        <v>463</v>
      </c>
      <c r="BE6" s="19">
        <f>'3'!G55</f>
        <v>2585</v>
      </c>
      <c r="BF6" s="19">
        <f>'3'!G56</f>
        <v>0</v>
      </c>
      <c r="BG6" s="19">
        <f>'3'!G57</f>
        <v>3116</v>
      </c>
      <c r="BH6" s="56">
        <f>'3'!G50</f>
        <v>1131</v>
      </c>
      <c r="BI6" s="60">
        <f t="shared" si="12"/>
        <v>8347</v>
      </c>
      <c r="BJ6" s="60">
        <f>'3'!G133</f>
        <v>869</v>
      </c>
      <c r="BK6" s="23">
        <f t="shared" si="13"/>
        <v>52.962204560441471</v>
      </c>
      <c r="BL6" s="23">
        <f t="shared" si="14"/>
        <v>10.283552563079166</v>
      </c>
      <c r="BM6" s="24">
        <f t="shared" si="15"/>
        <v>8.4198105022038658E-2</v>
      </c>
      <c r="BN6" s="25">
        <f t="shared" si="16"/>
        <v>354193.8</v>
      </c>
      <c r="BO6" s="38">
        <f t="shared" si="17"/>
        <v>12332</v>
      </c>
      <c r="BP6">
        <f t="shared" si="18"/>
        <v>1.063837129054483</v>
      </c>
    </row>
    <row r="7" spans="1:69">
      <c r="A7" s="16">
        <v>4</v>
      </c>
      <c r="B7" s="27">
        <v>4</v>
      </c>
      <c r="C7" s="27"/>
      <c r="D7" s="19">
        <f>'4'!D3</f>
        <v>29</v>
      </c>
      <c r="E7" s="50">
        <f>'4'!D4</f>
        <v>0.78</v>
      </c>
      <c r="F7" s="50">
        <f>'4'!D2</f>
        <v>1</v>
      </c>
      <c r="G7" s="19">
        <f>'4'!G7</f>
        <v>27198</v>
      </c>
      <c r="H7" s="19">
        <f>'4'!G8</f>
        <v>28412</v>
      </c>
      <c r="I7" s="19">
        <v>9</v>
      </c>
      <c r="J7" s="49">
        <f t="shared" si="3"/>
        <v>255708</v>
      </c>
      <c r="K7" s="45">
        <f t="shared" si="4"/>
        <v>140.65346534653466</v>
      </c>
      <c r="L7" s="19">
        <f>'4'!G15</f>
        <v>1121</v>
      </c>
      <c r="M7" s="19">
        <v>56.2</v>
      </c>
      <c r="N7" s="45">
        <f t="shared" si="5"/>
        <v>63000.200000000004</v>
      </c>
      <c r="O7" s="19">
        <f>'4'!G20</f>
        <v>314</v>
      </c>
      <c r="P7" s="19">
        <v>108</v>
      </c>
      <c r="Q7" s="46">
        <f t="shared" si="0"/>
        <v>33912</v>
      </c>
      <c r="R7" s="47">
        <f t="shared" si="1"/>
        <v>155.44554455445544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132</v>
      </c>
      <c r="W7" s="22">
        <f>'4'!G66</f>
        <v>31</v>
      </c>
      <c r="X7" s="22">
        <f>'4'!G67</f>
        <v>75</v>
      </c>
      <c r="Y7" s="22">
        <f t="shared" si="7"/>
        <v>238</v>
      </c>
      <c r="Z7" s="19">
        <f>'4'!G84</f>
        <v>0</v>
      </c>
      <c r="AA7" s="19">
        <f>'4'!G85</f>
        <v>18</v>
      </c>
      <c r="AB7" s="19">
        <f>'4'!G86</f>
        <v>23.599999999998545</v>
      </c>
      <c r="AC7" s="19">
        <f>'4'!G87</f>
        <v>0</v>
      </c>
      <c r="AD7" s="19">
        <f t="shared" si="8"/>
        <v>41.599999999998545</v>
      </c>
      <c r="AE7" s="23">
        <f t="shared" si="2"/>
        <v>7679</v>
      </c>
      <c r="AF7" s="23">
        <f t="shared" si="9"/>
        <v>184.59134615385261</v>
      </c>
      <c r="AG7" s="19">
        <f>'4'!G88</f>
        <v>7.3800000000010186</v>
      </c>
      <c r="AH7" s="19">
        <f>'4'!G89</f>
        <v>10</v>
      </c>
      <c r="AI7" s="19">
        <f>'4'!G90</f>
        <v>0</v>
      </c>
      <c r="AJ7" s="19">
        <f t="shared" si="10"/>
        <v>17.380000000001019</v>
      </c>
      <c r="AK7" s="19">
        <f>'4'!G91</f>
        <v>0</v>
      </c>
      <c r="AL7" s="19">
        <f>'4'!G92</f>
        <v>10.420000000000073</v>
      </c>
      <c r="AM7" s="19"/>
      <c r="AN7" s="19">
        <f t="shared" si="11"/>
        <v>10.420000000000073</v>
      </c>
      <c r="AO7" s="52">
        <f>'4'!G74</f>
        <v>299</v>
      </c>
      <c r="AP7" s="55">
        <f>'4'!G35</f>
        <v>0</v>
      </c>
      <c r="AQ7" s="19">
        <f>'4'!G37</f>
        <v>1755</v>
      </c>
      <c r="AR7" s="19">
        <f>'4'!G38</f>
        <v>2484</v>
      </c>
      <c r="AS7" s="19">
        <f>'4'!G39</f>
        <v>2991</v>
      </c>
      <c r="AT7" s="19">
        <f>'4'!G40</f>
        <v>248</v>
      </c>
      <c r="AU7" s="19">
        <f>'4'!G41</f>
        <v>0</v>
      </c>
      <c r="AV7" s="19">
        <f>'4'!G42</f>
        <v>4112</v>
      </c>
      <c r="AW7" s="19">
        <f>'4'!G43</f>
        <v>0</v>
      </c>
      <c r="AX7" s="19">
        <f>'4'!G44</f>
        <v>0</v>
      </c>
      <c r="AY7" s="56">
        <f>'4'!G36</f>
        <v>768</v>
      </c>
      <c r="AZ7" s="55">
        <f>'4'!G49</f>
        <v>3536</v>
      </c>
      <c r="BA7" s="19">
        <f>'4'!G51</f>
        <v>0</v>
      </c>
      <c r="BB7" s="19">
        <f>'4'!G52</f>
        <v>-9.9999999999997868E-3</v>
      </c>
      <c r="BC7" s="19">
        <f>'4'!G53</f>
        <v>0</v>
      </c>
      <c r="BD7" s="19">
        <f>'4'!G54</f>
        <v>459</v>
      </c>
      <c r="BE7" s="19">
        <f>'4'!G55</f>
        <v>3567</v>
      </c>
      <c r="BF7" s="19">
        <f>'4'!G56</f>
        <v>0</v>
      </c>
      <c r="BG7" s="19">
        <f>'4'!G57</f>
        <v>3137</v>
      </c>
      <c r="BH7" s="56">
        <f>'4'!G50</f>
        <v>941</v>
      </c>
      <c r="BI7" s="60">
        <f t="shared" si="12"/>
        <v>7679</v>
      </c>
      <c r="BJ7" s="60">
        <f>'3'!G133</f>
        <v>869</v>
      </c>
      <c r="BK7" s="23">
        <f t="shared" si="13"/>
        <v>50.51386737998029</v>
      </c>
      <c r="BL7" s="23">
        <f t="shared" si="14"/>
        <v>10.527242010418133</v>
      </c>
      <c r="BM7" s="24">
        <f t="shared" si="15"/>
        <v>8.7427495424468524E-2</v>
      </c>
      <c r="BN7" s="25">
        <f t="shared" si="16"/>
        <v>352620.2</v>
      </c>
      <c r="BO7" s="38">
        <f t="shared" si="17"/>
        <v>11685</v>
      </c>
      <c r="BP7">
        <f t="shared" si="18"/>
        <v>1.003176510989046</v>
      </c>
    </row>
    <row r="8" spans="1:69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0.67</v>
      </c>
      <c r="G8" s="19">
        <f>'5'!G7</f>
        <v>26832</v>
      </c>
      <c r="H8" s="19">
        <f>'5'!G8</f>
        <v>27996</v>
      </c>
      <c r="I8" s="19">
        <v>9</v>
      </c>
      <c r="J8" s="49">
        <f t="shared" si="3"/>
        <v>251964</v>
      </c>
      <c r="K8" s="45">
        <f t="shared" si="4"/>
        <v>138.59405940594058</v>
      </c>
      <c r="L8" s="19">
        <f>'5'!G15</f>
        <v>1118</v>
      </c>
      <c r="M8" s="19">
        <v>56.2</v>
      </c>
      <c r="N8" s="45">
        <f t="shared" si="5"/>
        <v>62831.600000000006</v>
      </c>
      <c r="O8" s="19">
        <f>'5'!G20</f>
        <v>307</v>
      </c>
      <c r="P8" s="19">
        <v>108</v>
      </c>
      <c r="Q8" s="46">
        <f t="shared" si="0"/>
        <v>33156</v>
      </c>
      <c r="R8" s="47">
        <f t="shared" si="1"/>
        <v>226.83611644746566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124</v>
      </c>
      <c r="W8" s="22">
        <f>'5'!G66</f>
        <v>28</v>
      </c>
      <c r="X8" s="22">
        <f>'5'!G67</f>
        <v>60</v>
      </c>
      <c r="Y8" s="22">
        <f t="shared" si="7"/>
        <v>212</v>
      </c>
      <c r="Z8" s="19">
        <f>'5'!G84</f>
        <v>0</v>
      </c>
      <c r="AA8" s="19">
        <f>'5'!G85</f>
        <v>18</v>
      </c>
      <c r="AB8" s="19">
        <f>'5'!G86</f>
        <v>24</v>
      </c>
      <c r="AC8" s="19">
        <f>'5'!G87</f>
        <v>0</v>
      </c>
      <c r="AD8" s="19">
        <f t="shared" si="8"/>
        <v>42</v>
      </c>
      <c r="AE8" s="23">
        <f t="shared" si="2"/>
        <v>7126</v>
      </c>
      <c r="AF8" s="23">
        <f t="shared" si="9"/>
        <v>169.66666666666666</v>
      </c>
      <c r="AG8" s="19">
        <f>'5'!G88</f>
        <v>7.6199999999989814</v>
      </c>
      <c r="AH8" s="19">
        <f>'5'!G89</f>
        <v>11</v>
      </c>
      <c r="AI8" s="19">
        <f>'5'!G90</f>
        <v>0</v>
      </c>
      <c r="AJ8" s="19">
        <f t="shared" si="10"/>
        <v>18.619999999998981</v>
      </c>
      <c r="AK8" s="19">
        <f>'5'!G91</f>
        <v>0</v>
      </c>
      <c r="AL8" s="19">
        <f>'5'!G92</f>
        <v>11.579999999999927</v>
      </c>
      <c r="AM8" s="19"/>
      <c r="AN8" s="19">
        <f t="shared" si="11"/>
        <v>11.579999999999927</v>
      </c>
      <c r="AO8" s="52">
        <f>'5'!G74</f>
        <v>323</v>
      </c>
      <c r="AP8" s="55">
        <f>'5'!G35</f>
        <v>0</v>
      </c>
      <c r="AQ8" s="19">
        <f>'5'!G37</f>
        <v>1724</v>
      </c>
      <c r="AR8" s="19">
        <f>'5'!G38</f>
        <v>2433</v>
      </c>
      <c r="AS8" s="19">
        <f>'5'!G39</f>
        <v>3013</v>
      </c>
      <c r="AT8" s="19">
        <f>'5'!G40</f>
        <v>193</v>
      </c>
      <c r="AU8" s="19">
        <f>'5'!G41</f>
        <v>0</v>
      </c>
      <c r="AV8" s="19">
        <f>'5'!G42</f>
        <v>3775</v>
      </c>
      <c r="AW8" s="19">
        <f>'5'!G43</f>
        <v>0</v>
      </c>
      <c r="AX8" s="19">
        <f>'5'!G44</f>
        <v>0</v>
      </c>
      <c r="AY8" s="56">
        <f>'5'!G36</f>
        <v>741</v>
      </c>
      <c r="AZ8" s="55">
        <f>'5'!G49</f>
        <v>3453</v>
      </c>
      <c r="BA8" s="19">
        <f>'5'!G51</f>
        <v>-0.31999999999999318</v>
      </c>
      <c r="BB8" s="19">
        <f>'5'!G52</f>
        <v>9.9999999999997868E-3</v>
      </c>
      <c r="BC8" s="19">
        <f>'5'!G53</f>
        <v>0</v>
      </c>
      <c r="BD8" s="19">
        <f>'5'!G54</f>
        <v>464</v>
      </c>
      <c r="BE8" s="19">
        <f>'5'!G55</f>
        <v>3351</v>
      </c>
      <c r="BF8" s="19">
        <f>'5'!G56</f>
        <v>0</v>
      </c>
      <c r="BG8" s="19">
        <f>'5'!G57</f>
        <v>2981</v>
      </c>
      <c r="BH8" s="56">
        <f>'5'!G50</f>
        <v>1674</v>
      </c>
      <c r="BI8" s="60">
        <f t="shared" si="12"/>
        <v>7126</v>
      </c>
      <c r="BJ8" s="60">
        <f>'5'!G133</f>
        <v>867</v>
      </c>
      <c r="BK8" s="23">
        <f t="shared" si="13"/>
        <v>48.435490784397771</v>
      </c>
      <c r="BL8" s="23">
        <f t="shared" si="14"/>
        <v>10.762251750250037</v>
      </c>
      <c r="BM8" s="24">
        <f t="shared" si="15"/>
        <v>8.6905629375625099E-2</v>
      </c>
      <c r="BN8" s="25">
        <f t="shared" si="16"/>
        <v>347951.6</v>
      </c>
      <c r="BO8" s="38">
        <f t="shared" si="17"/>
        <v>10974</v>
      </c>
      <c r="BP8">
        <f t="shared" si="18"/>
        <v>0.93316326530612248</v>
      </c>
    </row>
    <row r="9" spans="1:69">
      <c r="A9" s="16">
        <v>6</v>
      </c>
      <c r="B9" s="17">
        <v>6</v>
      </c>
      <c r="C9" s="26"/>
      <c r="D9" s="19">
        <f>'6'!D3</f>
        <v>25</v>
      </c>
      <c r="E9" s="50">
        <f>'6'!D4</f>
        <v>0.78</v>
      </c>
      <c r="F9" s="50">
        <f>'6'!D2</f>
        <v>0.6633</v>
      </c>
      <c r="G9" s="19">
        <f>'6'!G7</f>
        <v>29279</v>
      </c>
      <c r="H9" s="19">
        <f>'6'!G8</f>
        <v>30439</v>
      </c>
      <c r="I9" s="19">
        <v>9</v>
      </c>
      <c r="J9" s="49">
        <f t="shared" si="3"/>
        <v>273951</v>
      </c>
      <c r="K9" s="45">
        <f t="shared" si="4"/>
        <v>150.6881188118812</v>
      </c>
      <c r="L9" s="19">
        <f>'6'!G15</f>
        <v>1084.6000000000931</v>
      </c>
      <c r="M9" s="19">
        <v>56.2</v>
      </c>
      <c r="N9" s="45">
        <f t="shared" si="5"/>
        <v>60954.520000005235</v>
      </c>
      <c r="O9" s="19">
        <f>'6'!G20</f>
        <v>355</v>
      </c>
      <c r="P9" s="19">
        <v>108</v>
      </c>
      <c r="Q9" s="46">
        <f t="shared" si="0"/>
        <v>38340</v>
      </c>
      <c r="R9" s="47">
        <f t="shared" si="1"/>
        <v>264.95186832116048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106</v>
      </c>
      <c r="W9" s="22">
        <f>'6'!G66</f>
        <v>25</v>
      </c>
      <c r="X9" s="22">
        <f>'6'!G67</f>
        <v>12</v>
      </c>
      <c r="Y9" s="22">
        <f t="shared" si="7"/>
        <v>143</v>
      </c>
      <c r="Z9" s="19">
        <f>'6'!G84</f>
        <v>0</v>
      </c>
      <c r="AA9" s="19">
        <f>'6'!G85</f>
        <v>24.159999999999854</v>
      </c>
      <c r="AB9" s="19">
        <f>'6'!G86</f>
        <v>20.190000000002328</v>
      </c>
      <c r="AC9" s="19">
        <f>'6'!G87</f>
        <v>0</v>
      </c>
      <c r="AD9" s="19">
        <f t="shared" si="8"/>
        <v>44.350000000002183</v>
      </c>
      <c r="AE9" s="23">
        <f t="shared" si="2"/>
        <v>9008</v>
      </c>
      <c r="AF9" s="23">
        <f t="shared" si="9"/>
        <v>203.11161217586374</v>
      </c>
      <c r="AG9" s="19">
        <f>'6'!G88</f>
        <v>1.9500000000007276</v>
      </c>
      <c r="AH9" s="19">
        <f>'6'!G89</f>
        <v>8.9099999999998545</v>
      </c>
      <c r="AI9" s="19">
        <f>'6'!G90</f>
        <v>0.11999999999534339</v>
      </c>
      <c r="AJ9" s="19">
        <f t="shared" si="10"/>
        <v>10.979999999995925</v>
      </c>
      <c r="AK9" s="19">
        <f>'6'!G91</f>
        <v>-0.3500000000003638</v>
      </c>
      <c r="AL9" s="19">
        <f>'6'!G92</f>
        <v>10.229999999999563</v>
      </c>
      <c r="AM9" s="19"/>
      <c r="AN9" s="19">
        <f t="shared" si="11"/>
        <v>9.8799999999991996</v>
      </c>
      <c r="AO9" s="52">
        <f>'6'!G74</f>
        <v>311.43000000005122</v>
      </c>
      <c r="AP9" s="55">
        <f>'6'!G35</f>
        <v>0</v>
      </c>
      <c r="AQ9" s="19">
        <f>'6'!G37</f>
        <v>1752</v>
      </c>
      <c r="AR9" s="19">
        <f>'6'!G38</f>
        <v>2232</v>
      </c>
      <c r="AS9" s="19">
        <f>'6'!G39</f>
        <v>2982</v>
      </c>
      <c r="AT9" s="19">
        <f>'6'!G40</f>
        <v>141.89999999999418</v>
      </c>
      <c r="AU9" s="19">
        <f>'6'!G41</f>
        <v>0</v>
      </c>
      <c r="AV9" s="19">
        <f>'6'!G42</f>
        <v>5945</v>
      </c>
      <c r="AW9" s="19">
        <f>'6'!G43</f>
        <v>0</v>
      </c>
      <c r="AX9" s="19">
        <f>'6'!G44</f>
        <v>0</v>
      </c>
      <c r="AY9" s="56">
        <f>'6'!G36</f>
        <v>1086</v>
      </c>
      <c r="AZ9" s="55">
        <f>'6'!G49</f>
        <v>3689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459.60000000000582</v>
      </c>
      <c r="BE9" s="19">
        <f>'6'!G55</f>
        <v>3063</v>
      </c>
      <c r="BF9" s="19">
        <f>'6'!G56</f>
        <v>0</v>
      </c>
      <c r="BG9" s="19">
        <f>'6'!G57</f>
        <v>3199.5800000000017</v>
      </c>
      <c r="BH9" s="56">
        <f>'6'!G50</f>
        <v>1586</v>
      </c>
      <c r="BI9" s="60">
        <f t="shared" si="12"/>
        <v>9008</v>
      </c>
      <c r="BJ9" s="60">
        <f>'6'!G133</f>
        <v>867</v>
      </c>
      <c r="BK9" s="23">
        <f t="shared" si="13"/>
        <v>52.224383192614745</v>
      </c>
      <c r="BL9" s="23">
        <f t="shared" si="14"/>
        <v>9.7966424652583868</v>
      </c>
      <c r="BM9" s="24">
        <f t="shared" si="15"/>
        <v>7.3326981832517499E-2</v>
      </c>
      <c r="BN9" s="25">
        <f t="shared" si="16"/>
        <v>373245.52000000526</v>
      </c>
      <c r="BO9" s="38">
        <f t="shared" si="17"/>
        <v>13074.580000000002</v>
      </c>
      <c r="BP9">
        <f t="shared" si="18"/>
        <v>1.0528732485101755</v>
      </c>
    </row>
    <row r="10" spans="1:69">
      <c r="A10" s="16">
        <v>7</v>
      </c>
      <c r="B10" s="26">
        <v>7</v>
      </c>
      <c r="C10" s="27"/>
      <c r="D10" s="19">
        <f>'7'!D3</f>
        <v>32</v>
      </c>
      <c r="E10" s="50">
        <f>'7'!D4</f>
        <v>0.7</v>
      </c>
      <c r="F10" s="50">
        <f>'7'!D2</f>
        <v>0.75</v>
      </c>
      <c r="G10" s="19">
        <f>'7'!G7</f>
        <v>27360</v>
      </c>
      <c r="H10" s="19">
        <f>'7'!G8</f>
        <v>28520</v>
      </c>
      <c r="I10" s="19">
        <v>9</v>
      </c>
      <c r="J10" s="49">
        <f t="shared" si="3"/>
        <v>256680</v>
      </c>
      <c r="K10" s="45">
        <f t="shared" si="4"/>
        <v>141.1881188118812</v>
      </c>
      <c r="L10" s="19">
        <f>'7'!G15</f>
        <v>1078.5999999998603</v>
      </c>
      <c r="M10" s="19">
        <v>56.2</v>
      </c>
      <c r="N10" s="45">
        <f t="shared" si="5"/>
        <v>60617.319999992149</v>
      </c>
      <c r="O10" s="19">
        <f>'7'!G20</f>
        <v>218</v>
      </c>
      <c r="P10" s="19">
        <v>108</v>
      </c>
      <c r="Q10" s="46">
        <f t="shared" si="0"/>
        <v>23544</v>
      </c>
      <c r="R10" s="47">
        <f t="shared" si="1"/>
        <v>143.8943894389439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157</v>
      </c>
      <c r="W10" s="22">
        <f>'7'!G66</f>
        <v>32</v>
      </c>
      <c r="X10" s="22">
        <f>'7'!G67</f>
        <v>15</v>
      </c>
      <c r="Y10" s="22">
        <f t="shared" si="7"/>
        <v>204</v>
      </c>
      <c r="Z10" s="19">
        <f>'7'!G84</f>
        <v>0</v>
      </c>
      <c r="AA10" s="19">
        <f>'7'!G85</f>
        <v>17.840000000000146</v>
      </c>
      <c r="AB10" s="19">
        <f>'7'!G86</f>
        <v>24.110000000000582</v>
      </c>
      <c r="AC10" s="19">
        <f>'7'!G87</f>
        <v>0</v>
      </c>
      <c r="AD10" s="19">
        <f t="shared" si="8"/>
        <v>41.950000000000728</v>
      </c>
      <c r="AE10" s="23">
        <f t="shared" si="2"/>
        <v>8056.1999999999971</v>
      </c>
      <c r="AF10" s="23">
        <f t="shared" si="9"/>
        <v>192.04290822407287</v>
      </c>
      <c r="AG10" s="19">
        <f>'7'!G88</f>
        <v>0</v>
      </c>
      <c r="AH10" s="19">
        <f>'7'!G89</f>
        <v>10.040000000000873</v>
      </c>
      <c r="AI10" s="19">
        <f>'7'!G90</f>
        <v>0</v>
      </c>
      <c r="AJ10" s="19">
        <f t="shared" si="10"/>
        <v>10.040000000000873</v>
      </c>
      <c r="AK10" s="19">
        <f>'7'!G91</f>
        <v>0</v>
      </c>
      <c r="AL10" s="19">
        <f>'7'!G92</f>
        <v>10.770000000000437</v>
      </c>
      <c r="AM10" s="19"/>
      <c r="AN10" s="19">
        <f t="shared" si="11"/>
        <v>10.770000000000437</v>
      </c>
      <c r="AO10" s="52">
        <f>'7'!G74</f>
        <v>321.13000000000466</v>
      </c>
      <c r="AP10" s="55">
        <f>'7'!G35</f>
        <v>0</v>
      </c>
      <c r="AQ10" s="19">
        <f>'7'!G37</f>
        <v>1684</v>
      </c>
      <c r="AR10" s="19">
        <f>'7'!G38</f>
        <v>2322</v>
      </c>
      <c r="AS10" s="19">
        <f>'7'!G39</f>
        <v>3002</v>
      </c>
      <c r="AT10" s="19">
        <f>'7'!G40</f>
        <v>471.10000000000582</v>
      </c>
      <c r="AU10" s="19">
        <f>'7'!G41</f>
        <v>0</v>
      </c>
      <c r="AV10" s="19">
        <f>'7'!G42</f>
        <v>4189</v>
      </c>
      <c r="AW10" s="19">
        <f>'7'!G43</f>
        <v>0</v>
      </c>
      <c r="AX10" s="19">
        <f>'7'!G44</f>
        <v>0</v>
      </c>
      <c r="AY10" s="56">
        <f>'7'!G36</f>
        <v>1022</v>
      </c>
      <c r="AZ10" s="55">
        <f>'7'!G49</f>
        <v>3639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461</v>
      </c>
      <c r="BE10" s="19">
        <f>'7'!G55</f>
        <v>3867</v>
      </c>
      <c r="BF10" s="19">
        <f>'7'!G56</f>
        <v>0.19999999999708962</v>
      </c>
      <c r="BG10" s="19">
        <f>'7'!G57</f>
        <v>3153.9199999999983</v>
      </c>
      <c r="BH10" s="56">
        <f>'7'!G50</f>
        <v>1080</v>
      </c>
      <c r="BI10" s="60">
        <f t="shared" si="12"/>
        <v>8056.1999999999971</v>
      </c>
      <c r="BJ10" s="60">
        <f>'7'!G133</f>
        <v>819</v>
      </c>
      <c r="BK10" s="23">
        <f t="shared" si="13"/>
        <v>52.065638148667588</v>
      </c>
      <c r="BL10" s="23">
        <f t="shared" si="14"/>
        <v>10.525946704067321</v>
      </c>
      <c r="BM10" s="24">
        <f t="shared" si="15"/>
        <v>8.1416549789621318E-2</v>
      </c>
      <c r="BN10" s="25">
        <f t="shared" si="16"/>
        <v>340841.31999999215</v>
      </c>
      <c r="BO10" s="38">
        <f t="shared" si="17"/>
        <v>12029.119999999995</v>
      </c>
      <c r="BP10">
        <f t="shared" si="18"/>
        <v>1.0241035246041024</v>
      </c>
    </row>
    <row r="11" spans="1:69">
      <c r="A11" s="16">
        <v>8</v>
      </c>
      <c r="B11" s="26">
        <v>8</v>
      </c>
      <c r="C11" s="18"/>
      <c r="D11" s="19">
        <f>'8'!D3</f>
        <v>32</v>
      </c>
      <c r="E11" s="50">
        <f>'8'!D4</f>
        <v>0.7</v>
      </c>
      <c r="F11" s="50">
        <f>'8'!D2</f>
        <v>0.65</v>
      </c>
      <c r="G11" s="19">
        <f>'8'!G7</f>
        <v>24092</v>
      </c>
      <c r="H11" s="19">
        <f>'8'!G8</f>
        <v>25251.660000000033</v>
      </c>
      <c r="I11" s="19">
        <v>9</v>
      </c>
      <c r="J11" s="49">
        <f t="shared" si="3"/>
        <v>227264.94000000029</v>
      </c>
      <c r="K11" s="45">
        <f t="shared" si="4"/>
        <v>125.00821782178234</v>
      </c>
      <c r="L11" s="19">
        <f>'8'!G15</f>
        <v>1052.8000000000466</v>
      </c>
      <c r="M11" s="19">
        <v>56.2</v>
      </c>
      <c r="N11" s="45">
        <f t="shared" si="5"/>
        <v>59167.36000000262</v>
      </c>
      <c r="O11" s="19">
        <f>'8'!G20</f>
        <v>195</v>
      </c>
      <c r="P11" s="19">
        <v>108</v>
      </c>
      <c r="Q11" s="46">
        <f t="shared" si="0"/>
        <v>21060</v>
      </c>
      <c r="R11" s="47">
        <f t="shared" si="1"/>
        <v>148.51485148514848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92</v>
      </c>
      <c r="W11" s="22">
        <f>'8'!G66</f>
        <v>25</v>
      </c>
      <c r="X11" s="22">
        <f>'8'!G67</f>
        <v>13</v>
      </c>
      <c r="Y11" s="22">
        <f t="shared" si="7"/>
        <v>130</v>
      </c>
      <c r="Z11" s="19">
        <f>'8'!G84</f>
        <v>0</v>
      </c>
      <c r="AA11" s="19">
        <f>'8'!G85</f>
        <v>19.199999999999818</v>
      </c>
      <c r="AB11" s="19">
        <f>'8'!G86</f>
        <v>24.19999999999709</v>
      </c>
      <c r="AC11" s="19">
        <f>'8'!G87</f>
        <v>0</v>
      </c>
      <c r="AD11" s="19">
        <f t="shared" si="8"/>
        <v>43.399999999996908</v>
      </c>
      <c r="AE11" s="23">
        <f t="shared" si="2"/>
        <v>2008</v>
      </c>
      <c r="AF11" s="23">
        <f t="shared" si="9"/>
        <v>46.26728110599408</v>
      </c>
      <c r="AG11" s="19">
        <f>'8'!G88</f>
        <v>2.9999999998835847E-2</v>
      </c>
      <c r="AH11" s="19">
        <f>'8'!G89</f>
        <v>10.329999999998108</v>
      </c>
      <c r="AI11" s="19">
        <f>'8'!G90</f>
        <v>0</v>
      </c>
      <c r="AJ11" s="19">
        <f t="shared" si="10"/>
        <v>10.359999999996944</v>
      </c>
      <c r="AK11" s="19">
        <f>'8'!G91</f>
        <v>0</v>
      </c>
      <c r="AL11" s="19">
        <f>'8'!G92</f>
        <v>10.909999999999854</v>
      </c>
      <c r="AM11" s="19"/>
      <c r="AN11" s="19">
        <f t="shared" si="11"/>
        <v>10.909999999999854</v>
      </c>
      <c r="AO11" s="52">
        <f>'8'!G74</f>
        <v>293.17999999993481</v>
      </c>
      <c r="AP11" s="55">
        <f>'8'!G35</f>
        <v>0</v>
      </c>
      <c r="AQ11" s="19">
        <f>'8'!G37</f>
        <v>572</v>
      </c>
      <c r="AR11" s="19">
        <f>'8'!G38</f>
        <v>735</v>
      </c>
      <c r="AS11" s="19">
        <f>'8'!G39</f>
        <v>939</v>
      </c>
      <c r="AT11" s="19">
        <f>'8'!G40</f>
        <v>143.5</v>
      </c>
      <c r="AU11" s="19">
        <f>'8'!G41</f>
        <v>0</v>
      </c>
      <c r="AV11" s="19">
        <f>'8'!G42</f>
        <v>777</v>
      </c>
      <c r="AW11" s="19">
        <f>'8'!G43</f>
        <v>0</v>
      </c>
      <c r="AX11" s="23">
        <f>'8'!G44</f>
        <v>0</v>
      </c>
      <c r="AY11" s="56">
        <f>'8'!G36</f>
        <v>301</v>
      </c>
      <c r="AZ11" s="55">
        <f>'8'!G49</f>
        <v>1259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155.19999999999709</v>
      </c>
      <c r="BE11" s="19">
        <f>'8'!G55</f>
        <v>1231</v>
      </c>
      <c r="BF11" s="19">
        <f>'8'!G56</f>
        <v>0</v>
      </c>
      <c r="BG11" s="19">
        <f>'8'!G57</f>
        <v>3336.7300000000032</v>
      </c>
      <c r="BH11" s="56">
        <f>'8'!G50</f>
        <v>419</v>
      </c>
      <c r="BI11" s="60">
        <f t="shared" si="12"/>
        <v>2008</v>
      </c>
      <c r="BJ11" s="60">
        <f>'8'!G133</f>
        <v>320</v>
      </c>
      <c r="BK11" s="23">
        <f t="shared" si="13"/>
        <v>26.151666860713295</v>
      </c>
      <c r="BL11" s="23">
        <f t="shared" si="14"/>
        <v>3.718567412993834</v>
      </c>
      <c r="BM11" s="24">
        <f t="shared" si="15"/>
        <v>2.910699732215621E-2</v>
      </c>
      <c r="BN11" s="25">
        <f t="shared" si="16"/>
        <v>307492.3000000029</v>
      </c>
      <c r="BO11" s="38">
        <f t="shared" si="17"/>
        <v>5664.7300000000032</v>
      </c>
      <c r="BP11">
        <f t="shared" si="18"/>
        <v>0.46615618828179778</v>
      </c>
    </row>
    <row r="12" spans="1:69">
      <c r="A12" s="16">
        <v>9</v>
      </c>
      <c r="B12" s="27">
        <v>9</v>
      </c>
      <c r="C12" s="26"/>
      <c r="D12" s="19">
        <f>'9 taken physical reading &amp; Adj'!D3</f>
        <v>32</v>
      </c>
      <c r="E12" s="50">
        <f>'9 taken physical reading &amp; Adj'!D4</f>
        <v>0.7</v>
      </c>
      <c r="F12" s="50">
        <f>'9 taken physical reading &amp; Adj'!D2</f>
        <v>0.65</v>
      </c>
      <c r="G12" s="19">
        <f>'9 taken physical reading &amp; Adj'!G7</f>
        <v>29596</v>
      </c>
      <c r="H12" s="19">
        <f>'9 taken physical reading &amp; Adj'!G8</f>
        <v>30800.440000000002</v>
      </c>
      <c r="I12" s="19">
        <v>9</v>
      </c>
      <c r="J12" s="49">
        <f t="shared" si="3"/>
        <v>277203.96000000002</v>
      </c>
      <c r="K12" s="45">
        <f t="shared" si="4"/>
        <v>152.47742574257427</v>
      </c>
      <c r="L12" s="19">
        <f>'9 taken physical reading &amp; Adj'!G15</f>
        <v>916</v>
      </c>
      <c r="M12" s="19">
        <v>56.2</v>
      </c>
      <c r="N12" s="45">
        <f t="shared" si="5"/>
        <v>51479.200000000004</v>
      </c>
      <c r="O12" s="19">
        <f>'9 taken physical reading &amp; Adj'!G20</f>
        <v>280</v>
      </c>
      <c r="P12" s="19">
        <v>108</v>
      </c>
      <c r="Q12" s="46">
        <f t="shared" si="0"/>
        <v>30240</v>
      </c>
      <c r="R12" s="47">
        <f t="shared" si="1"/>
        <v>213.25209444021323</v>
      </c>
      <c r="S12" s="19">
        <f>'9 taken physical reading &amp; Adj'!G24</f>
        <v>0</v>
      </c>
      <c r="T12" s="19">
        <v>69</v>
      </c>
      <c r="U12" s="48">
        <f t="shared" si="6"/>
        <v>0</v>
      </c>
      <c r="V12" s="22">
        <f>'9 taken physical reading &amp; Adj'!G65</f>
        <v>119</v>
      </c>
      <c r="W12" s="22">
        <f>'9 taken physical reading &amp; Adj'!G66</f>
        <v>31</v>
      </c>
      <c r="X12" s="22">
        <f>'9 taken physical reading &amp; Adj'!G67</f>
        <v>15</v>
      </c>
      <c r="Y12" s="22">
        <f t="shared" si="7"/>
        <v>165</v>
      </c>
      <c r="Z12" s="19">
        <f>'9 taken physical reading &amp; Adj'!G84</f>
        <v>11</v>
      </c>
      <c r="AA12" s="19">
        <f>'9 taken physical reading &amp; Adj'!G85</f>
        <v>19.050000000000182</v>
      </c>
      <c r="AB12" s="19">
        <f>'9 taken physical reading &amp; Adj'!G86</f>
        <v>14.5</v>
      </c>
      <c r="AC12" s="19">
        <f>'9 taken physical reading &amp; Adj'!G87</f>
        <v>0</v>
      </c>
      <c r="AD12" s="19">
        <f t="shared" si="8"/>
        <v>44.550000000000182</v>
      </c>
      <c r="AE12" s="23">
        <f t="shared" si="2"/>
        <v>13570.419999999984</v>
      </c>
      <c r="AF12" s="23">
        <f t="shared" si="9"/>
        <v>304.61099887766392</v>
      </c>
      <c r="AG12" s="19">
        <f>'9 taken physical reading &amp; Adj'!G88</f>
        <v>-2.9999999998835847E-2</v>
      </c>
      <c r="AH12" s="19">
        <f>'9 taken physical reading &amp; Adj'!G89</f>
        <v>10.030000000002474</v>
      </c>
      <c r="AI12" s="19">
        <f>'9 taken physical reading &amp; Adj'!G90</f>
        <v>0</v>
      </c>
      <c r="AJ12" s="19">
        <f t="shared" si="10"/>
        <v>10.000000000003638</v>
      </c>
      <c r="AK12" s="19">
        <f>'9 taken physical reading &amp; Adj'!G91</f>
        <v>0</v>
      </c>
      <c r="AL12" s="19">
        <f>'9 taken physical reading &amp; Adj'!G92</f>
        <v>10.840000000000146</v>
      </c>
      <c r="AM12" s="19"/>
      <c r="AN12" s="19">
        <f t="shared" si="11"/>
        <v>10.840000000000146</v>
      </c>
      <c r="AO12" s="52">
        <f>'9 taken physical reading &amp; Adj'!G74</f>
        <v>300.15200000000186</v>
      </c>
      <c r="AP12" s="55">
        <f>'9 taken physical reading &amp; Adj'!G35</f>
        <v>-0.95000000001164153</v>
      </c>
      <c r="AQ12" s="19">
        <f>'9 taken physical reading &amp; Adj'!G37</f>
        <v>3107</v>
      </c>
      <c r="AR12" s="19">
        <f>'9 taken physical reading &amp; Adj'!G38</f>
        <v>2250.5499999999884</v>
      </c>
      <c r="AS12" s="19">
        <f>'9 taken physical reading &amp; Adj'!G39</f>
        <v>2000</v>
      </c>
      <c r="AT12" s="19">
        <f>'9 taken physical reading &amp; Adj'!G40</f>
        <v>253.61100000000442</v>
      </c>
      <c r="AU12" s="19">
        <f>'9 taken physical reading &amp; Adj'!G41</f>
        <v>2709.2799999999988</v>
      </c>
      <c r="AV12" s="19">
        <f>'9 taken physical reading &amp; Adj'!G42</f>
        <v>5892.2299999999814</v>
      </c>
      <c r="AW12" s="19">
        <f>'9 taken physical reading &amp; Adj'!G43</f>
        <v>0</v>
      </c>
      <c r="AX12" s="23">
        <f>'9 taken physical reading &amp; Adj'!G44</f>
        <v>0</v>
      </c>
      <c r="AY12" s="56">
        <f>'9 taken physical reading &amp; Adj'!G36</f>
        <v>1629</v>
      </c>
      <c r="AZ12" s="55">
        <f>'9 taken physical reading &amp; Adj'!G49</f>
        <v>3676.8499999999767</v>
      </c>
      <c r="BA12" s="19">
        <f>'9 taken physical reading &amp; Adj'!G51</f>
        <v>0.31999999999999318</v>
      </c>
      <c r="BB12" s="19">
        <f>'9 taken physical reading &amp; Adj'!G52</f>
        <v>0.24000000000000021</v>
      </c>
      <c r="BC12" s="19">
        <f>'9 taken physical reading &amp; Adj'!G53</f>
        <v>0</v>
      </c>
      <c r="BD12" s="19">
        <f>'9 taken physical reading &amp; Adj'!G54</f>
        <v>767.41000000000349</v>
      </c>
      <c r="BE12" s="19">
        <f>'9 taken physical reading &amp; Adj'!G55</f>
        <v>4968.9100000000035</v>
      </c>
      <c r="BF12" s="19">
        <f>'9 taken physical reading &amp; Adj'!G56</f>
        <v>0</v>
      </c>
      <c r="BG12" s="19">
        <f>'9 taken physical reading &amp; Adj'!G57</f>
        <v>3248.6299999999974</v>
      </c>
      <c r="BH12" s="56">
        <f>'9 taken physical reading &amp; Adj'!G50</f>
        <v>1886.929999999993</v>
      </c>
      <c r="BI12" s="60">
        <f t="shared" si="12"/>
        <v>13570.419999999984</v>
      </c>
      <c r="BJ12" s="60">
        <f>'8'!G133</f>
        <v>320</v>
      </c>
      <c r="BK12" s="23">
        <f t="shared" si="13"/>
        <v>66.541094867475735</v>
      </c>
      <c r="BL12" s="23">
        <f t="shared" si="14"/>
        <v>6.4934137304532005</v>
      </c>
      <c r="BM12" s="24">
        <f t="shared" si="15"/>
        <v>7.307655345183342E-2</v>
      </c>
      <c r="BN12" s="25">
        <f t="shared" si="16"/>
        <v>358923.16000000003</v>
      </c>
      <c r="BO12" s="38">
        <f t="shared" si="17"/>
        <v>17139.049999999981</v>
      </c>
      <c r="BP12">
        <f t="shared" si="18"/>
        <v>1.3739818823152086</v>
      </c>
    </row>
    <row r="13" spans="1:69">
      <c r="A13" s="16">
        <v>10</v>
      </c>
      <c r="B13" s="27">
        <v>10</v>
      </c>
      <c r="C13" s="26"/>
      <c r="D13" s="19">
        <f>'10'!D3</f>
        <v>25</v>
      </c>
      <c r="E13" s="50">
        <f>'10'!D4</f>
        <v>0.78</v>
      </c>
      <c r="F13" s="50">
        <f>'10'!D2</f>
        <v>0.91</v>
      </c>
      <c r="G13" s="19">
        <f>'10'!G7</f>
        <v>30002</v>
      </c>
      <c r="H13" s="19">
        <f>'10'!G8</f>
        <v>31010</v>
      </c>
      <c r="I13" s="19">
        <v>9</v>
      </c>
      <c r="J13" s="49">
        <f t="shared" si="3"/>
        <v>279090</v>
      </c>
      <c r="K13" s="45">
        <f t="shared" si="4"/>
        <v>153.51485148514851</v>
      </c>
      <c r="L13" s="19">
        <f>'10'!G15</f>
        <v>1061.5</v>
      </c>
      <c r="M13" s="19">
        <v>56.2</v>
      </c>
      <c r="N13" s="45">
        <f t="shared" si="5"/>
        <v>59656.3</v>
      </c>
      <c r="O13" s="19">
        <f>'10'!G20</f>
        <v>200</v>
      </c>
      <c r="P13" s="19">
        <v>108</v>
      </c>
      <c r="Q13" s="46">
        <f t="shared" si="0"/>
        <v>21600</v>
      </c>
      <c r="R13" s="47">
        <f t="shared" si="1"/>
        <v>108.80208900010881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116</v>
      </c>
      <c r="W13" s="22">
        <f>'10'!G66</f>
        <v>23</v>
      </c>
      <c r="X13" s="22">
        <f>'10'!G67</f>
        <v>2</v>
      </c>
      <c r="Y13" s="22">
        <f t="shared" si="7"/>
        <v>141</v>
      </c>
      <c r="Z13" s="19">
        <f>'10'!G84</f>
        <v>18</v>
      </c>
      <c r="AA13" s="19">
        <f>'10'!G85</f>
        <v>23.960000000000036</v>
      </c>
      <c r="AB13" s="19">
        <f>'10'!G86</f>
        <v>0</v>
      </c>
      <c r="AC13" s="19">
        <f>'10'!G87</f>
        <v>0</v>
      </c>
      <c r="AD13" s="19">
        <f t="shared" si="8"/>
        <v>41.960000000000036</v>
      </c>
      <c r="AE13" s="23">
        <f t="shared" si="2"/>
        <v>10623.720000000045</v>
      </c>
      <c r="AF13" s="23">
        <f t="shared" si="9"/>
        <v>253.18684461391888</v>
      </c>
      <c r="AG13" s="19">
        <f>'10'!G88</f>
        <v>0</v>
      </c>
      <c r="AH13" s="19">
        <f>'10'!G89</f>
        <v>10.090000000000146</v>
      </c>
      <c r="AI13" s="19">
        <f>'10'!G90</f>
        <v>0</v>
      </c>
      <c r="AJ13" s="19">
        <f t="shared" si="10"/>
        <v>10.090000000000146</v>
      </c>
      <c r="AK13" s="19">
        <f>'10'!G91</f>
        <v>0</v>
      </c>
      <c r="AL13" s="19">
        <f>'10'!G92</f>
        <v>10.539999999999964</v>
      </c>
      <c r="AM13" s="19"/>
      <c r="AN13" s="19">
        <f t="shared" si="11"/>
        <v>10.539999999999964</v>
      </c>
      <c r="AO13" s="52">
        <f>'10'!G74</f>
        <v>291.28099999995902</v>
      </c>
      <c r="AP13" s="55">
        <f>'10'!G35</f>
        <v>0</v>
      </c>
      <c r="AQ13" s="19">
        <f>'10'!G37</f>
        <v>1758.1300000000047</v>
      </c>
      <c r="AR13" s="19">
        <f>'10'!G38</f>
        <v>2457.4500000000116</v>
      </c>
      <c r="AS13" s="19">
        <f>'10'!G39</f>
        <v>3079.0900000000256</v>
      </c>
      <c r="AT13" s="19">
        <f>'10'!G40</f>
        <v>323.88899999999558</v>
      </c>
      <c r="AU13" s="19">
        <f>'10'!G41</f>
        <v>4647.25</v>
      </c>
      <c r="AV13" s="19">
        <f>'10'!G42</f>
        <v>5976.6700000000419</v>
      </c>
      <c r="AW13" s="19">
        <f>'10'!G43</f>
        <v>0</v>
      </c>
      <c r="AX13" s="23">
        <f>'10'!G44</f>
        <v>0</v>
      </c>
      <c r="AY13" s="56">
        <f>'10'!G36</f>
        <v>985.79999999998836</v>
      </c>
      <c r="AZ13" s="55">
        <f>'10'!G49</f>
        <v>3797.0500000000466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462.08999999999651</v>
      </c>
      <c r="BE13" s="19">
        <f>'10'!G55</f>
        <v>0</v>
      </c>
      <c r="BF13" s="19">
        <f>'10'!G56</f>
        <v>-0.19999999999708962</v>
      </c>
      <c r="BG13" s="19">
        <f>'10'!G57</f>
        <v>3197.0399999999936</v>
      </c>
      <c r="BH13" s="56">
        <f>'10'!G50</f>
        <v>1407.179999999993</v>
      </c>
      <c r="BI13" s="60">
        <f t="shared" si="12"/>
        <v>10623.720000000045</v>
      </c>
      <c r="BJ13" s="60">
        <f>'8'!G133</f>
        <v>320</v>
      </c>
      <c r="BK13" s="23">
        <f t="shared" si="13"/>
        <v>56.813318284424646</v>
      </c>
      <c r="BL13" s="23">
        <f t="shared" si="14"/>
        <v>9.9293453724605794</v>
      </c>
      <c r="BM13" s="24">
        <f t="shared" si="15"/>
        <v>7.9247017091261265E-2</v>
      </c>
      <c r="BN13" s="25">
        <f t="shared" si="16"/>
        <v>360346.3</v>
      </c>
      <c r="BO13" s="38">
        <f t="shared" si="17"/>
        <v>14140.760000000038</v>
      </c>
      <c r="BP13">
        <f t="shared" si="18"/>
        <v>1.2035918561895704</v>
      </c>
    </row>
    <row r="14" spans="1:69">
      <c r="A14" s="16">
        <v>11</v>
      </c>
      <c r="B14" s="17">
        <v>11</v>
      </c>
      <c r="C14" s="27"/>
      <c r="D14" s="19">
        <f>'11'!D3</f>
        <v>31</v>
      </c>
      <c r="E14" s="50">
        <f>'11'!D4</f>
        <v>0.78</v>
      </c>
      <c r="F14" s="50">
        <f>'11'!D2</f>
        <v>0.72</v>
      </c>
      <c r="G14" s="19">
        <f>'11'!G7</f>
        <v>27818.300000000047</v>
      </c>
      <c r="H14" s="19">
        <f>'11'!G8</f>
        <v>28751</v>
      </c>
      <c r="I14" s="19">
        <v>9</v>
      </c>
      <c r="J14" s="49">
        <f t="shared" si="3"/>
        <v>258759</v>
      </c>
      <c r="K14" s="45">
        <f t="shared" si="4"/>
        <v>142.33168316831683</v>
      </c>
      <c r="L14" s="19">
        <f>'11'!G15</f>
        <v>1053.5</v>
      </c>
      <c r="M14" s="19">
        <v>56.2</v>
      </c>
      <c r="N14" s="45">
        <f t="shared" si="5"/>
        <v>59206.700000000004</v>
      </c>
      <c r="O14" s="19">
        <f>'11'!G20</f>
        <v>360</v>
      </c>
      <c r="P14" s="19">
        <v>108</v>
      </c>
      <c r="Q14" s="46">
        <f t="shared" si="0"/>
        <v>38880</v>
      </c>
      <c r="R14" s="47">
        <f t="shared" si="1"/>
        <v>247.52475247524754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129</v>
      </c>
      <c r="W14" s="22">
        <f>'11'!G66</f>
        <v>33</v>
      </c>
      <c r="X14" s="22">
        <f>'11'!G67</f>
        <v>0</v>
      </c>
      <c r="Y14" s="22">
        <f t="shared" si="7"/>
        <v>162</v>
      </c>
      <c r="Z14" s="19">
        <f>'11'!G84</f>
        <v>24.160000000003492</v>
      </c>
      <c r="AA14" s="19">
        <f>'11'!G85</f>
        <v>19.090000000000146</v>
      </c>
      <c r="AB14" s="19">
        <f>'11'!G86</f>
        <v>0</v>
      </c>
      <c r="AC14" s="19">
        <f>'11'!G87</f>
        <v>0</v>
      </c>
      <c r="AD14" s="19">
        <f t="shared" si="8"/>
        <v>43.250000000003638</v>
      </c>
      <c r="AE14" s="23">
        <f t="shared" si="2"/>
        <v>9978.8499999999331</v>
      </c>
      <c r="AF14" s="23">
        <f t="shared" si="9"/>
        <v>230.72485549130852</v>
      </c>
      <c r="AG14" s="19">
        <f>'11'!G88</f>
        <v>0</v>
      </c>
      <c r="AH14" s="19">
        <f>'11'!G89</f>
        <v>10.489999999997963</v>
      </c>
      <c r="AI14" s="19">
        <f>'11'!G90</f>
        <v>6.7799999999988358</v>
      </c>
      <c r="AJ14" s="19">
        <f t="shared" si="10"/>
        <v>17.269999999996799</v>
      </c>
      <c r="AK14" s="19">
        <f>'11'!G91</f>
        <v>0</v>
      </c>
      <c r="AL14" s="19">
        <f>'11'!G92</f>
        <v>9.8599999999996726</v>
      </c>
      <c r="AM14" s="19"/>
      <c r="AN14" s="19">
        <f t="shared" si="11"/>
        <v>9.8599999999996726</v>
      </c>
      <c r="AO14" s="52">
        <f>'11'!G74</f>
        <v>278.50700000009965</v>
      </c>
      <c r="AP14" s="55">
        <f>'11'!G35</f>
        <v>0</v>
      </c>
      <c r="AQ14" s="19">
        <f>'11'!G37</f>
        <v>1739.1199999999953</v>
      </c>
      <c r="AR14" s="19">
        <f>'11'!G38</f>
        <v>2491.7000000000116</v>
      </c>
      <c r="AS14" s="19">
        <f>'11'!G39</f>
        <v>3101.9500000000116</v>
      </c>
      <c r="AT14" s="19">
        <f>'11'!G40</f>
        <v>197.30000000000291</v>
      </c>
      <c r="AU14" s="19">
        <f>'11'!G41</f>
        <v>5293.3300000000017</v>
      </c>
      <c r="AV14" s="19">
        <f>'11'!G42</f>
        <v>4321.9299999999348</v>
      </c>
      <c r="AW14" s="19">
        <f>'11'!G43</f>
        <v>0</v>
      </c>
      <c r="AX14" s="23">
        <f>'11'!G44</f>
        <v>0</v>
      </c>
      <c r="AY14" s="56">
        <f>'11'!G36</f>
        <v>719.10000000000582</v>
      </c>
      <c r="AZ14" s="55">
        <f>'11'!G49</f>
        <v>3749.109999999986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453.22999999999593</v>
      </c>
      <c r="BE14" s="19">
        <f>'11'!G55</f>
        <v>363.58999999999651</v>
      </c>
      <c r="BF14" s="19">
        <f>'11'!G56</f>
        <v>0</v>
      </c>
      <c r="BG14" s="19">
        <f>'11'!G57</f>
        <v>3247.2000000000116</v>
      </c>
      <c r="BH14" s="56">
        <f>'11'!G50</f>
        <v>995.78000000002794</v>
      </c>
      <c r="BI14" s="60">
        <f t="shared" si="12"/>
        <v>9978.8499999999331</v>
      </c>
      <c r="BJ14" s="60">
        <f>'11'!G133</f>
        <v>866.25</v>
      </c>
      <c r="BK14" s="23">
        <f t="shared" si="13"/>
        <v>59.041981148481554</v>
      </c>
      <c r="BL14" s="23">
        <f t="shared" si="14"/>
        <v>10.789016034224938</v>
      </c>
      <c r="BM14" s="24">
        <f t="shared" si="15"/>
        <v>8.6664811658725319E-2</v>
      </c>
      <c r="BN14" s="25">
        <f t="shared" si="16"/>
        <v>356845.7</v>
      </c>
      <c r="BO14" s="38">
        <f t="shared" si="17"/>
        <v>14092.299999999945</v>
      </c>
      <c r="BP14">
        <f t="shared" si="18"/>
        <v>1.1636911643269001</v>
      </c>
    </row>
    <row r="15" spans="1:69">
      <c r="A15" s="16">
        <v>12</v>
      </c>
      <c r="B15" s="26">
        <v>12</v>
      </c>
      <c r="C15" s="27"/>
      <c r="D15" s="19">
        <f>'12'!D3</f>
        <v>30</v>
      </c>
      <c r="E15" s="50">
        <f>'12'!D4</f>
        <v>0.77</v>
      </c>
      <c r="F15" s="50">
        <f>'12'!D2</f>
        <v>0.6</v>
      </c>
      <c r="G15" s="19">
        <f>'12'!G7</f>
        <v>29391.699999999953</v>
      </c>
      <c r="H15" s="19">
        <f>'12'!G8</f>
        <v>30076</v>
      </c>
      <c r="I15" s="19">
        <v>9</v>
      </c>
      <c r="J15" s="49">
        <f t="shared" si="3"/>
        <v>270684</v>
      </c>
      <c r="K15" s="45">
        <f t="shared" si="4"/>
        <v>148.8910891089109</v>
      </c>
      <c r="L15" s="19">
        <f>'12'!G15</f>
        <v>1039</v>
      </c>
      <c r="M15" s="19">
        <v>56.2</v>
      </c>
      <c r="N15" s="41">
        <f t="shared" si="5"/>
        <v>58391.8</v>
      </c>
      <c r="O15" s="19">
        <f>'12'!G20</f>
        <v>270</v>
      </c>
      <c r="P15" s="19">
        <v>108</v>
      </c>
      <c r="Q15" s="46">
        <f t="shared" si="0"/>
        <v>29160</v>
      </c>
      <c r="R15" s="47">
        <f t="shared" si="1"/>
        <v>222.77227722772278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109</v>
      </c>
      <c r="W15" s="22">
        <f>'12'!G66</f>
        <v>29</v>
      </c>
      <c r="X15" s="22">
        <f>'12'!G67</f>
        <v>0</v>
      </c>
      <c r="Y15" s="22">
        <f t="shared" si="7"/>
        <v>138</v>
      </c>
      <c r="Z15" s="19">
        <f>'12'!G84</f>
        <v>23.839999999996508</v>
      </c>
      <c r="AA15" s="19">
        <f>'12'!G85</f>
        <v>16.699999999999818</v>
      </c>
      <c r="AB15" s="19">
        <f>'12'!G86</f>
        <v>0</v>
      </c>
      <c r="AC15" s="19">
        <f>'12'!G87</f>
        <v>-5.9999999997671694E-2</v>
      </c>
      <c r="AD15" s="19">
        <f t="shared" si="8"/>
        <v>40.479999999998654</v>
      </c>
      <c r="AE15" s="23">
        <f t="shared" si="2"/>
        <v>10292.750000000044</v>
      </c>
      <c r="AF15" s="23">
        <f t="shared" si="9"/>
        <v>254.26753952570124</v>
      </c>
      <c r="AG15" s="19">
        <f>'12'!G88</f>
        <v>0</v>
      </c>
      <c r="AH15" s="19">
        <f>'12'!G89</f>
        <v>10.110000000000582</v>
      </c>
      <c r="AI15" s="19">
        <f>'12'!G90</f>
        <v>9.1000000000058208</v>
      </c>
      <c r="AJ15" s="19">
        <f t="shared" si="10"/>
        <v>19.210000000006403</v>
      </c>
      <c r="AK15" s="19">
        <f>'12'!G91</f>
        <v>0</v>
      </c>
      <c r="AL15" s="19">
        <f>'12'!G92</f>
        <v>13.010000000000218</v>
      </c>
      <c r="AM15" s="19"/>
      <c r="AN15" s="19">
        <f t="shared" si="11"/>
        <v>13.010000000000218</v>
      </c>
      <c r="AO15" s="52">
        <f>'12'!G74</f>
        <v>320.31999999994878</v>
      </c>
      <c r="AP15" s="55">
        <f>'12'!G35</f>
        <v>-4.9999999988358468E-2</v>
      </c>
      <c r="AQ15" s="19">
        <f>'12'!G37</f>
        <v>1720.75</v>
      </c>
      <c r="AR15" s="19">
        <f>'12'!G38</f>
        <v>2523.2999999999884</v>
      </c>
      <c r="AS15" s="19">
        <f>'12'!G39</f>
        <v>3189.0499999999884</v>
      </c>
      <c r="AT15" s="19">
        <f>'12'!G40</f>
        <v>376.69999999999709</v>
      </c>
      <c r="AU15" s="19">
        <f>'12'!G41</f>
        <v>5653.1399999999994</v>
      </c>
      <c r="AV15" s="19">
        <f>'12'!G42</f>
        <v>4639.1700000000419</v>
      </c>
      <c r="AW15" s="19">
        <f>'12'!G43</f>
        <v>0</v>
      </c>
      <c r="AX15" s="23">
        <f>'12'!G44</f>
        <v>0</v>
      </c>
      <c r="AY15" s="56">
        <f>'12'!G36</f>
        <v>955.10000000000582</v>
      </c>
      <c r="AZ15" s="55">
        <f>'12'!G49</f>
        <v>3949.9899999999907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473.47000000000116</v>
      </c>
      <c r="BE15" s="19">
        <f>'12'!G55</f>
        <v>0.5</v>
      </c>
      <c r="BF15" s="19">
        <f>'12'!G56</f>
        <v>-5.9999999997671694E-2</v>
      </c>
      <c r="BG15" s="19">
        <f>'12'!G57</f>
        <v>3313.8999999999942</v>
      </c>
      <c r="BH15" s="56">
        <f>'12'!G50</f>
        <v>949.10999999998603</v>
      </c>
      <c r="BI15" s="60">
        <f t="shared" si="12"/>
        <v>10292.750000000044</v>
      </c>
      <c r="BJ15" s="60">
        <f>'12'!G133</f>
        <v>908</v>
      </c>
      <c r="BK15" s="23">
        <f t="shared" si="13"/>
        <v>58.374085649687594</v>
      </c>
      <c r="BL15" s="23">
        <f t="shared" si="14"/>
        <v>10.603304960766021</v>
      </c>
      <c r="BM15" s="24">
        <f t="shared" si="15"/>
        <v>8.3897459768585855E-2</v>
      </c>
      <c r="BN15" s="25">
        <f t="shared" si="16"/>
        <v>358235.8</v>
      </c>
      <c r="BO15" s="38">
        <f t="shared" si="17"/>
        <v>14514.650000000038</v>
      </c>
      <c r="BP15">
        <f t="shared" si="18"/>
        <v>1.2805838862225192</v>
      </c>
    </row>
    <row r="16" spans="1:69">
      <c r="A16" s="16">
        <v>13</v>
      </c>
      <c r="B16" s="26">
        <v>13</v>
      </c>
      <c r="C16" s="26"/>
      <c r="D16" s="19">
        <f>'13'!D3</f>
        <v>30</v>
      </c>
      <c r="E16" s="50">
        <f>'13'!D4</f>
        <v>0.77</v>
      </c>
      <c r="F16" s="50">
        <f>'13'!D2</f>
        <v>0.66</v>
      </c>
      <c r="G16" s="19">
        <f>'13'!G7</f>
        <v>27798</v>
      </c>
      <c r="H16" s="19">
        <f>'13'!G8</f>
        <v>28733</v>
      </c>
      <c r="I16" s="19">
        <v>9</v>
      </c>
      <c r="J16" s="49">
        <f t="shared" si="3"/>
        <v>258597</v>
      </c>
      <c r="K16" s="45">
        <f t="shared" si="4"/>
        <v>142.24257425742573</v>
      </c>
      <c r="L16" s="19">
        <f>'13'!G15</f>
        <v>1055</v>
      </c>
      <c r="M16" s="19">
        <v>56.2</v>
      </c>
      <c r="N16" s="41">
        <f t="shared" si="5"/>
        <v>59291</v>
      </c>
      <c r="O16" s="19">
        <f>'13'!G20</f>
        <v>280</v>
      </c>
      <c r="P16" s="19">
        <v>108</v>
      </c>
      <c r="Q16" s="46">
        <f t="shared" si="0"/>
        <v>30240</v>
      </c>
      <c r="R16" s="47">
        <f t="shared" si="1"/>
        <v>210.02100210021004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136</v>
      </c>
      <c r="W16" s="22">
        <f>'13'!G66</f>
        <v>23</v>
      </c>
      <c r="X16" s="22">
        <f>'13'!G67</f>
        <v>0</v>
      </c>
      <c r="Y16" s="22">
        <f t="shared" si="7"/>
        <v>159</v>
      </c>
      <c r="Z16" s="19">
        <f>'13'!G84</f>
        <v>24</v>
      </c>
      <c r="AA16" s="19">
        <f>'13'!G85</f>
        <v>18</v>
      </c>
      <c r="AB16" s="19">
        <f>'13'!G86</f>
        <v>0</v>
      </c>
      <c r="AC16" s="19">
        <f>'13'!G87</f>
        <v>0</v>
      </c>
      <c r="AD16" s="19">
        <f t="shared" si="8"/>
        <v>42</v>
      </c>
      <c r="AE16" s="23">
        <f t="shared" si="2"/>
        <v>9751</v>
      </c>
      <c r="AF16" s="23">
        <f t="shared" si="9"/>
        <v>232.16666666666666</v>
      </c>
      <c r="AG16" s="19">
        <f>'13'!G88</f>
        <v>0</v>
      </c>
      <c r="AH16" s="19">
        <f>'13'!G89</f>
        <v>10.229999999999563</v>
      </c>
      <c r="AI16" s="19">
        <f>'13'!G90</f>
        <v>11.479999999995925</v>
      </c>
      <c r="AJ16" s="19">
        <f t="shared" si="10"/>
        <v>21.709999999995489</v>
      </c>
      <c r="AK16" s="19">
        <f>'13'!G91</f>
        <v>0.3500000000003638</v>
      </c>
      <c r="AL16" s="19">
        <f>'13'!G92</f>
        <v>8.8400000000001455</v>
      </c>
      <c r="AM16" s="19"/>
      <c r="AN16" s="19">
        <f t="shared" si="11"/>
        <v>9.1900000000005093</v>
      </c>
      <c r="AO16" s="52">
        <f>'13'!G74</f>
        <v>318</v>
      </c>
      <c r="AP16" s="55">
        <f>'13'!G35</f>
        <v>0</v>
      </c>
      <c r="AQ16" s="19">
        <f>'13'!G37</f>
        <v>1681</v>
      </c>
      <c r="AR16" s="19">
        <f>'13'!G38</f>
        <v>2350</v>
      </c>
      <c r="AS16" s="19">
        <f>'13'!G39</f>
        <v>3101</v>
      </c>
      <c r="AT16" s="19">
        <f>'13'!G40</f>
        <v>236</v>
      </c>
      <c r="AU16" s="19">
        <f>'13'!G41</f>
        <v>5485</v>
      </c>
      <c r="AV16" s="19">
        <f>'13'!G42</f>
        <v>4266</v>
      </c>
      <c r="AW16" s="19">
        <f>'13'!G43</f>
        <v>0</v>
      </c>
      <c r="AX16" s="23">
        <f>'13'!G44</f>
        <v>0</v>
      </c>
      <c r="AY16" s="56">
        <f>'13'!G36</f>
        <v>703</v>
      </c>
      <c r="AZ16" s="55">
        <f>'13'!G49</f>
        <v>3857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465</v>
      </c>
      <c r="BE16" s="19">
        <f>'13'!G55</f>
        <v>0</v>
      </c>
      <c r="BF16" s="19">
        <f>'13'!G56</f>
        <v>0</v>
      </c>
      <c r="BG16" s="19">
        <f>'13'!G57</f>
        <v>3231</v>
      </c>
      <c r="BH16" s="56">
        <f>'13'!G50</f>
        <v>945</v>
      </c>
      <c r="BI16" s="60">
        <f t="shared" si="12"/>
        <v>9751</v>
      </c>
      <c r="BJ16" s="60">
        <f>'13'!G133</f>
        <v>864</v>
      </c>
      <c r="BK16" s="23">
        <f t="shared" si="13"/>
        <v>58.605088226081513</v>
      </c>
      <c r="BL16" s="23">
        <f t="shared" si="14"/>
        <v>10.792468590122855</v>
      </c>
      <c r="BM16" s="24">
        <f t="shared" si="15"/>
        <v>8.1787491734242851E-2</v>
      </c>
      <c r="BN16" s="25">
        <f t="shared" si="16"/>
        <v>348128</v>
      </c>
      <c r="BO16" s="38">
        <f t="shared" si="17"/>
        <v>13846</v>
      </c>
      <c r="BP16">
        <f t="shared" si="18"/>
        <v>1.1773809523809524</v>
      </c>
    </row>
    <row r="17" spans="1:68">
      <c r="A17" s="16">
        <v>14</v>
      </c>
      <c r="B17" s="17">
        <v>14</v>
      </c>
      <c r="C17" s="27"/>
      <c r="D17" s="19">
        <f>'14'!D3</f>
        <v>30</v>
      </c>
      <c r="E17" s="50">
        <f>'14'!D4</f>
        <v>0.77</v>
      </c>
      <c r="F17" s="50">
        <f>'14'!D2</f>
        <v>0.56999999999999995</v>
      </c>
      <c r="G17" s="19">
        <f>'14'!G7</f>
        <v>28180</v>
      </c>
      <c r="H17" s="19">
        <f>'14'!G8</f>
        <v>29251</v>
      </c>
      <c r="I17" s="19">
        <v>9</v>
      </c>
      <c r="J17" s="49">
        <f t="shared" si="3"/>
        <v>263259</v>
      </c>
      <c r="K17" s="45">
        <f t="shared" si="4"/>
        <v>144.80693069306932</v>
      </c>
      <c r="L17" s="19">
        <f>'14'!G15</f>
        <v>1050</v>
      </c>
      <c r="M17" s="19">
        <v>56.2</v>
      </c>
      <c r="N17" s="41">
        <f t="shared" si="5"/>
        <v>59010</v>
      </c>
      <c r="O17" s="19">
        <f>'14'!G20</f>
        <v>290</v>
      </c>
      <c r="P17" s="19">
        <v>108</v>
      </c>
      <c r="Q17" s="46">
        <f t="shared" si="0"/>
        <v>31320</v>
      </c>
      <c r="R17" s="47">
        <f t="shared" si="1"/>
        <v>251.8672919923572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128</v>
      </c>
      <c r="W17" s="22">
        <f>'14'!G66</f>
        <v>30</v>
      </c>
      <c r="X17" s="22">
        <f>'14'!G67</f>
        <v>1</v>
      </c>
      <c r="Y17" s="22">
        <f>V17+W17+X17</f>
        <v>159</v>
      </c>
      <c r="Z17" s="19">
        <f>'14'!G84</f>
        <v>24</v>
      </c>
      <c r="AA17" s="19">
        <f>'14'!G85</f>
        <v>14</v>
      </c>
      <c r="AB17" s="19">
        <f>'14'!G86</f>
        <v>0</v>
      </c>
      <c r="AC17" s="19">
        <f>'14'!G87</f>
        <v>10</v>
      </c>
      <c r="AD17" s="19">
        <f t="shared" si="8"/>
        <v>48</v>
      </c>
      <c r="AE17" s="23">
        <f t="shared" si="2"/>
        <v>9169.3999999999942</v>
      </c>
      <c r="AF17" s="23">
        <f t="shared" si="9"/>
        <v>191.02916666666655</v>
      </c>
      <c r="AG17" s="19">
        <f>'14'!G88</f>
        <v>0</v>
      </c>
      <c r="AH17" s="19">
        <f>'14'!G89</f>
        <v>9.569999999999709</v>
      </c>
      <c r="AI17" s="19">
        <f>'14'!G90</f>
        <v>11.490000000005239</v>
      </c>
      <c r="AJ17" s="19">
        <f t="shared" si="10"/>
        <v>21.060000000004948</v>
      </c>
      <c r="AK17" s="19">
        <f>'14'!G91</f>
        <v>0</v>
      </c>
      <c r="AL17" s="19">
        <f>'14'!G92</f>
        <v>11.119999999999891</v>
      </c>
      <c r="AM17" s="19"/>
      <c r="AN17" s="19">
        <f t="shared" si="11"/>
        <v>11.119999999999891</v>
      </c>
      <c r="AO17" s="52">
        <f>'14'!G44</f>
        <v>0</v>
      </c>
      <c r="AP17" s="55">
        <f>'14'!G35</f>
        <v>0</v>
      </c>
      <c r="AQ17" s="19">
        <f>'14'!G37</f>
        <v>1688</v>
      </c>
      <c r="AR17" s="19">
        <f>'14'!G38</f>
        <v>2405</v>
      </c>
      <c r="AS17" s="19">
        <f>'14'!G39</f>
        <v>2986</v>
      </c>
      <c r="AT17" s="19">
        <f>'14'!G40</f>
        <v>426</v>
      </c>
      <c r="AU17" s="19">
        <f>'14'!G41</f>
        <v>5445</v>
      </c>
      <c r="AV17" s="19">
        <f>'14'!G42</f>
        <v>2384</v>
      </c>
      <c r="AW17" s="19">
        <f>'14'!G43</f>
        <v>0</v>
      </c>
      <c r="AX17" s="23">
        <f>'14'!G44</f>
        <v>0</v>
      </c>
      <c r="AY17" s="56">
        <f>'14'!G36</f>
        <v>1123</v>
      </c>
      <c r="AZ17" s="55">
        <f>'14'!G49</f>
        <v>3734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462</v>
      </c>
      <c r="BE17" s="19">
        <f>'14'!G55</f>
        <v>0</v>
      </c>
      <c r="BF17" s="19">
        <f>'14'!G56</f>
        <v>1340.3999999999942</v>
      </c>
      <c r="BG17" s="19">
        <f>'14'!G57</f>
        <v>3212</v>
      </c>
      <c r="BH17" s="56">
        <f>'14'!G50</f>
        <v>953</v>
      </c>
      <c r="BI17" s="60">
        <f t="shared" si="12"/>
        <v>9169.3999999999942</v>
      </c>
      <c r="BJ17" s="60">
        <f>'14'!G133</f>
        <v>754</v>
      </c>
      <c r="BK17" s="23">
        <f t="shared" si="13"/>
        <v>55.093501076886241</v>
      </c>
      <c r="BL17" s="23">
        <f t="shared" si="14"/>
        <v>10.208198010324434</v>
      </c>
      <c r="BM17" s="24">
        <f t="shared" si="15"/>
        <v>8.2219411302177706E-2</v>
      </c>
      <c r="BN17" s="25">
        <f t="shared" si="16"/>
        <v>353589</v>
      </c>
      <c r="BO17" s="38">
        <f t="shared" si="17"/>
        <v>13135.399999999994</v>
      </c>
      <c r="BP17">
        <f t="shared" si="18"/>
        <v>0.97733630952380912</v>
      </c>
    </row>
    <row r="18" spans="1:68">
      <c r="A18" s="16">
        <v>15</v>
      </c>
      <c r="B18" s="26">
        <v>15</v>
      </c>
      <c r="C18" s="18"/>
      <c r="D18" s="19">
        <f>'15'!D3</f>
        <v>30</v>
      </c>
      <c r="E18" s="50">
        <f>'15'!D4</f>
        <v>0.77</v>
      </c>
      <c r="F18" s="50">
        <f>'15'!D2</f>
        <v>0.6</v>
      </c>
      <c r="G18" s="19">
        <f>'15'!G7</f>
        <v>27537</v>
      </c>
      <c r="H18" s="19">
        <f>'15'!G8</f>
        <v>28661</v>
      </c>
      <c r="I18" s="19">
        <v>9</v>
      </c>
      <c r="J18" s="49">
        <f t="shared" si="3"/>
        <v>257949</v>
      </c>
      <c r="K18" s="45">
        <f t="shared" si="4"/>
        <v>141.88613861386139</v>
      </c>
      <c r="L18" s="19">
        <f>'15'!G15</f>
        <v>1071</v>
      </c>
      <c r="M18" s="19">
        <v>56.2</v>
      </c>
      <c r="N18" s="41">
        <f t="shared" si="5"/>
        <v>60190.200000000004</v>
      </c>
      <c r="O18" s="19">
        <f>'15'!G20</f>
        <v>250</v>
      </c>
      <c r="P18" s="19">
        <v>108</v>
      </c>
      <c r="Q18" s="46">
        <f t="shared" si="0"/>
        <v>27000</v>
      </c>
      <c r="R18" s="47">
        <f t="shared" si="1"/>
        <v>206.27062706270627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107</v>
      </c>
      <c r="W18" s="22">
        <f>'15'!G66</f>
        <v>19</v>
      </c>
      <c r="X18" s="22">
        <f>'15'!G67</f>
        <v>0</v>
      </c>
      <c r="Y18" s="22">
        <f t="shared" si="7"/>
        <v>126</v>
      </c>
      <c r="Z18" s="19">
        <f>'15'!G84</f>
        <v>19</v>
      </c>
      <c r="AA18" s="19">
        <f>'15'!G85</f>
        <v>18</v>
      </c>
      <c r="AB18" s="19">
        <f>'15'!G86</f>
        <v>0</v>
      </c>
      <c r="AC18" s="19">
        <f>'15'!G87</f>
        <v>6</v>
      </c>
      <c r="AD18" s="19">
        <f t="shared" si="8"/>
        <v>43</v>
      </c>
      <c r="AE18" s="23">
        <f t="shared" si="2"/>
        <v>9511</v>
      </c>
      <c r="AF18" s="23">
        <f t="shared" si="9"/>
        <v>221.18604651162789</v>
      </c>
      <c r="AG18" s="19">
        <f>'15'!G88</f>
        <v>0</v>
      </c>
      <c r="AH18" s="19">
        <f>'15'!G89</f>
        <v>9.2000000000007276</v>
      </c>
      <c r="AI18" s="19">
        <f>'15'!G90</f>
        <v>12.029999999998836</v>
      </c>
      <c r="AJ18" s="19">
        <f t="shared" si="10"/>
        <v>21.229999999999563</v>
      </c>
      <c r="AK18" s="19">
        <f>'15'!G91</f>
        <v>0</v>
      </c>
      <c r="AL18" s="19">
        <f>'15'!G92</f>
        <v>10.880000000000109</v>
      </c>
      <c r="AM18" s="19"/>
      <c r="AN18" s="19">
        <f t="shared" si="11"/>
        <v>10.880000000000109</v>
      </c>
      <c r="AO18" s="52">
        <f>'15'!G74</f>
        <v>312</v>
      </c>
      <c r="AP18" s="55">
        <f>'15'!G35</f>
        <v>0</v>
      </c>
      <c r="AQ18" s="19">
        <f>'15'!G37</f>
        <v>1655</v>
      </c>
      <c r="AR18" s="19">
        <f>'15'!G38</f>
        <v>2311</v>
      </c>
      <c r="AS18" s="19">
        <f>'15'!G39</f>
        <v>3010</v>
      </c>
      <c r="AT18" s="19">
        <f>'15'!G40</f>
        <v>388</v>
      </c>
      <c r="AU18" s="19">
        <f>'15'!G41</f>
        <v>4462</v>
      </c>
      <c r="AV18" s="19">
        <f>'15'!G42</f>
        <v>4288</v>
      </c>
      <c r="AW18" s="19">
        <f>'15'!G43</f>
        <v>0</v>
      </c>
      <c r="AX18" s="23">
        <f>'15'!G44</f>
        <v>0</v>
      </c>
      <c r="AY18" s="56">
        <f>'15'!G36</f>
        <v>699</v>
      </c>
      <c r="AZ18" s="55">
        <f>'15'!G49</f>
        <v>3640</v>
      </c>
      <c r="BA18" s="19">
        <f>'15'!G51</f>
        <v>0</v>
      </c>
      <c r="BB18" s="19">
        <f>'15'!G52</f>
        <v>0</v>
      </c>
      <c r="BC18" s="19">
        <f>'15'!G53</f>
        <v>0</v>
      </c>
      <c r="BD18" s="19">
        <f>'15'!G54</f>
        <v>466</v>
      </c>
      <c r="BE18" s="19">
        <f>'15'!G55</f>
        <v>0</v>
      </c>
      <c r="BF18" s="19">
        <f>'15'!G56</f>
        <v>761</v>
      </c>
      <c r="BG18" s="19">
        <f>'15'!G57</f>
        <v>3224</v>
      </c>
      <c r="BH18" s="56">
        <f>'15'!G50</f>
        <v>977</v>
      </c>
      <c r="BI18" s="60">
        <f t="shared" si="12"/>
        <v>9511</v>
      </c>
      <c r="BJ18" s="60">
        <f>'15'!G133</f>
        <v>725</v>
      </c>
      <c r="BK18" s="23">
        <f t="shared" si="13"/>
        <v>57.133386832280799</v>
      </c>
      <c r="BL18" s="23">
        <f t="shared" si="14"/>
        <v>10.502075991765814</v>
      </c>
      <c r="BM18" s="24">
        <f t="shared" si="15"/>
        <v>8.0632217996580713E-2</v>
      </c>
      <c r="BN18" s="25">
        <f t="shared" si="16"/>
        <v>345139.20000000001</v>
      </c>
      <c r="BO18" s="38">
        <f t="shared" si="17"/>
        <v>13460</v>
      </c>
      <c r="BP18">
        <f t="shared" si="18"/>
        <v>1.1179401993355482</v>
      </c>
    </row>
    <row r="19" spans="1:68">
      <c r="A19" s="16">
        <v>16</v>
      </c>
      <c r="B19" s="26">
        <v>16</v>
      </c>
      <c r="C19" s="26"/>
      <c r="D19" s="19">
        <f>'16'!D3</f>
        <v>30</v>
      </c>
      <c r="E19" s="50">
        <f>'16'!D4</f>
        <v>0.77</v>
      </c>
      <c r="F19" s="50">
        <f>'16'!D2</f>
        <v>0.6</v>
      </c>
      <c r="G19" s="19">
        <f>'16'!G7</f>
        <v>27812</v>
      </c>
      <c r="H19" s="19">
        <f>'16'!G8</f>
        <v>28628</v>
      </c>
      <c r="I19" s="19">
        <v>9</v>
      </c>
      <c r="J19" s="49">
        <f t="shared" si="3"/>
        <v>257652</v>
      </c>
      <c r="K19" s="45">
        <f t="shared" si="4"/>
        <v>141.72277227722773</v>
      </c>
      <c r="L19" s="19">
        <f>'16'!G15</f>
        <v>1026</v>
      </c>
      <c r="M19" s="19">
        <v>56.2</v>
      </c>
      <c r="N19" s="41">
        <f t="shared" si="5"/>
        <v>57661.200000000004</v>
      </c>
      <c r="O19" s="19">
        <f>'16'!G20</f>
        <v>230</v>
      </c>
      <c r="P19" s="19">
        <v>108</v>
      </c>
      <c r="Q19" s="46">
        <f t="shared" si="0"/>
        <v>24840</v>
      </c>
      <c r="R19" s="47">
        <f t="shared" si="1"/>
        <v>189.76897689768978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123</v>
      </c>
      <c r="W19" s="22">
        <f>'16'!G66</f>
        <v>22</v>
      </c>
      <c r="X19" s="22">
        <f>'16'!G67</f>
        <v>0</v>
      </c>
      <c r="Y19" s="22">
        <f t="shared" si="7"/>
        <v>145</v>
      </c>
      <c r="Z19" s="19">
        <f>'16'!G84</f>
        <v>24</v>
      </c>
      <c r="AA19" s="19">
        <f>'16'!G85</f>
        <v>19</v>
      </c>
      <c r="AB19" s="19">
        <f>'16'!G86</f>
        <v>0</v>
      </c>
      <c r="AC19" s="19">
        <f>'16'!G87</f>
        <v>0</v>
      </c>
      <c r="AD19" s="19">
        <f t="shared" si="8"/>
        <v>43</v>
      </c>
      <c r="AE19" s="23">
        <f t="shared" si="2"/>
        <v>10363</v>
      </c>
      <c r="AF19" s="23">
        <f t="shared" si="9"/>
        <v>241</v>
      </c>
      <c r="AG19" s="19">
        <f>'16'!G88</f>
        <v>0</v>
      </c>
      <c r="AH19" s="19">
        <f>'16'!G89</f>
        <v>10.889999999999418</v>
      </c>
      <c r="AI19" s="19">
        <f>'16'!G90</f>
        <v>11.160000000003492</v>
      </c>
      <c r="AJ19" s="19">
        <f t="shared" si="10"/>
        <v>22.05000000000291</v>
      </c>
      <c r="AK19" s="19">
        <f>'16'!G91</f>
        <v>0</v>
      </c>
      <c r="AL19" s="19">
        <f>'16'!G92</f>
        <v>10.609999999999673</v>
      </c>
      <c r="AM19" s="19"/>
      <c r="AN19" s="19">
        <f t="shared" si="11"/>
        <v>10.609999999999673</v>
      </c>
      <c r="AO19" s="52">
        <f>'16'!G74</f>
        <v>311</v>
      </c>
      <c r="AP19" s="55">
        <f>'16'!G35</f>
        <v>0</v>
      </c>
      <c r="AQ19" s="19">
        <f>'16'!G37</f>
        <v>1666</v>
      </c>
      <c r="AR19" s="19">
        <f>'16'!G38</f>
        <v>2366</v>
      </c>
      <c r="AS19" s="19">
        <f>'16'!G39</f>
        <v>3099</v>
      </c>
      <c r="AT19" s="19">
        <f>'16'!G40</f>
        <v>230</v>
      </c>
      <c r="AU19" s="19">
        <f>'16'!G41</f>
        <v>5818</v>
      </c>
      <c r="AV19" s="19">
        <f>'16'!G42</f>
        <v>4545</v>
      </c>
      <c r="AW19" s="19">
        <f>'16'!G43</f>
        <v>0</v>
      </c>
      <c r="AX19" s="23">
        <f>'16'!G44</f>
        <v>0</v>
      </c>
      <c r="AY19" s="56">
        <f>'16'!G36</f>
        <v>634</v>
      </c>
      <c r="AZ19" s="55">
        <f>'16'!G49</f>
        <v>3360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468</v>
      </c>
      <c r="BE19" s="19">
        <f>'16'!G55</f>
        <v>0</v>
      </c>
      <c r="BF19" s="19">
        <f>'16'!G56</f>
        <v>0</v>
      </c>
      <c r="BG19" s="19">
        <f>'16'!G57</f>
        <v>3266</v>
      </c>
      <c r="BH19" s="56">
        <f>'16'!G50</f>
        <v>861</v>
      </c>
      <c r="BI19" s="60">
        <f t="shared" si="12"/>
        <v>10363</v>
      </c>
      <c r="BJ19" s="60">
        <f>'16'!G133</f>
        <v>622</v>
      </c>
      <c r="BK19" s="23">
        <f t="shared" si="13"/>
        <v>59.343998882213221</v>
      </c>
      <c r="BL19" s="23">
        <f t="shared" si="14"/>
        <v>10.825066368590193</v>
      </c>
      <c r="BM19" s="24">
        <f t="shared" si="15"/>
        <v>8.2646360206790559E-2</v>
      </c>
      <c r="BN19" s="25">
        <f t="shared" si="16"/>
        <v>340153.2</v>
      </c>
      <c r="BO19" s="38">
        <f t="shared" si="17"/>
        <v>14251</v>
      </c>
      <c r="BP19">
        <f t="shared" si="18"/>
        <v>1.1836378737541529</v>
      </c>
    </row>
    <row r="20" spans="1:68">
      <c r="A20" s="16">
        <v>17</v>
      </c>
      <c r="B20" s="27">
        <v>17</v>
      </c>
      <c r="C20" s="26"/>
      <c r="D20" s="19">
        <f>'17'!D3</f>
        <v>28</v>
      </c>
      <c r="E20" s="50">
        <f>'17'!D4</f>
        <v>0.79</v>
      </c>
      <c r="F20" s="50">
        <f>'17'!D2</f>
        <v>0.91</v>
      </c>
      <c r="G20" s="19">
        <f>'17'!G7</f>
        <v>28799</v>
      </c>
      <c r="H20" s="19">
        <f>'17'!G8</f>
        <v>29392</v>
      </c>
      <c r="I20" s="19">
        <v>9</v>
      </c>
      <c r="J20" s="49">
        <f t="shared" si="3"/>
        <v>264528</v>
      </c>
      <c r="K20" s="45">
        <f t="shared" si="4"/>
        <v>145.50495049504951</v>
      </c>
      <c r="L20" s="19">
        <f>'17'!G15</f>
        <v>1015</v>
      </c>
      <c r="M20" s="19">
        <v>56.2</v>
      </c>
      <c r="N20" s="41">
        <f t="shared" si="5"/>
        <v>57043</v>
      </c>
      <c r="O20" s="19">
        <f>'17'!G20</f>
        <v>283</v>
      </c>
      <c r="P20" s="19">
        <v>108</v>
      </c>
      <c r="Q20" s="46">
        <f t="shared" si="0"/>
        <v>30564</v>
      </c>
      <c r="R20" s="47">
        <f t="shared" si="1"/>
        <v>153.95495593515398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119</v>
      </c>
      <c r="W20" s="22">
        <f>'17'!G66</f>
        <v>20</v>
      </c>
      <c r="X20" s="22">
        <f>'17'!G67</f>
        <v>0</v>
      </c>
      <c r="Y20" s="22">
        <f t="shared" si="7"/>
        <v>139</v>
      </c>
      <c r="Z20" s="19">
        <f>'17'!G84</f>
        <v>24.440000000002328</v>
      </c>
      <c r="AA20" s="19">
        <f>'17'!G85</f>
        <v>18.390000000000327</v>
      </c>
      <c r="AB20" s="19">
        <f>'17'!G86</f>
        <v>0</v>
      </c>
      <c r="AC20" s="19">
        <f>'17'!G87</f>
        <v>0</v>
      </c>
      <c r="AD20" s="19">
        <f t="shared" si="8"/>
        <v>42.830000000002656</v>
      </c>
      <c r="AE20" s="23">
        <f t="shared" si="2"/>
        <v>10550</v>
      </c>
      <c r="AF20" s="23">
        <f t="shared" si="9"/>
        <v>246.32267102496721</v>
      </c>
      <c r="AG20" s="19">
        <f>'17'!G88</f>
        <v>4.9999999999272404E-2</v>
      </c>
      <c r="AH20" s="19">
        <f>'17'!G89</f>
        <v>10.110000000000582</v>
      </c>
      <c r="AI20" s="19">
        <f>'17'!G90</f>
        <v>9.8399999999965075</v>
      </c>
      <c r="AJ20" s="19">
        <f t="shared" si="10"/>
        <v>19.999999999996362</v>
      </c>
      <c r="AK20" s="19">
        <f>'17'!G91</f>
        <v>0</v>
      </c>
      <c r="AL20" s="19">
        <f>'17'!G92</f>
        <v>10.390000000000327</v>
      </c>
      <c r="AM20" s="19"/>
      <c r="AN20" s="19">
        <f t="shared" si="11"/>
        <v>10.390000000000327</v>
      </c>
      <c r="AO20" s="52">
        <f>'17'!G74</f>
        <v>293.52000000001863</v>
      </c>
      <c r="AP20" s="55">
        <f>'17'!G35</f>
        <v>0</v>
      </c>
      <c r="AQ20" s="19">
        <f>'17'!G37</f>
        <v>1704</v>
      </c>
      <c r="AR20" s="19">
        <f>'17'!G38</f>
        <v>2355</v>
      </c>
      <c r="AS20" s="19">
        <f>'17'!G39</f>
        <v>3142</v>
      </c>
      <c r="AT20" s="19">
        <f>'17'!G40</f>
        <v>461</v>
      </c>
      <c r="AU20" s="19">
        <f>'17'!G41</f>
        <v>6066</v>
      </c>
      <c r="AV20" s="19">
        <f>'17'!G42</f>
        <v>4484</v>
      </c>
      <c r="AW20" s="19">
        <f>'17'!G43</f>
        <v>0</v>
      </c>
      <c r="AX20" s="23">
        <f>'17'!G44</f>
        <v>0</v>
      </c>
      <c r="AY20" s="56">
        <f>'17'!G36</f>
        <v>721</v>
      </c>
      <c r="AZ20" s="55">
        <f>'17'!G49</f>
        <v>3494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437</v>
      </c>
      <c r="BE20" s="19">
        <f>'17'!G55</f>
        <v>0</v>
      </c>
      <c r="BF20" s="19">
        <f>'17'!G56</f>
        <v>0</v>
      </c>
      <c r="BG20" s="19">
        <f>'17'!G57</f>
        <v>3226</v>
      </c>
      <c r="BH20" s="56">
        <f>'17'!G50</f>
        <v>1457</v>
      </c>
      <c r="BI20" s="60">
        <f t="shared" si="12"/>
        <v>10550</v>
      </c>
      <c r="BJ20" s="60">
        <f>'17'!G133</f>
        <v>609</v>
      </c>
      <c r="BK20" s="23">
        <f t="shared" si="13"/>
        <v>58.757485029940113</v>
      </c>
      <c r="BL20" s="23">
        <f t="shared" si="14"/>
        <v>10.689983669025585</v>
      </c>
      <c r="BM20" s="24">
        <f t="shared" si="15"/>
        <v>8.0123843222645624E-2</v>
      </c>
      <c r="BN20" s="25">
        <f t="shared" si="16"/>
        <v>352135</v>
      </c>
      <c r="BO20" s="38">
        <f t="shared" si="17"/>
        <v>14385</v>
      </c>
      <c r="BP20">
        <f t="shared" si="18"/>
        <v>1.1995096894699233</v>
      </c>
    </row>
    <row r="21" spans="1:68">
      <c r="A21" s="16">
        <v>18</v>
      </c>
      <c r="B21" s="27">
        <v>18</v>
      </c>
      <c r="C21" s="27"/>
      <c r="D21" s="19">
        <f>'18 '!D3</f>
        <v>28</v>
      </c>
      <c r="E21" s="50">
        <f>'18 '!D4</f>
        <v>0.78</v>
      </c>
      <c r="F21" s="50">
        <f>'18 '!D2</f>
        <v>0.98</v>
      </c>
      <c r="G21" s="19">
        <f>'18 '!G7</f>
        <v>29411</v>
      </c>
      <c r="H21" s="19">
        <f>'18 '!G8</f>
        <v>29753</v>
      </c>
      <c r="I21" s="19">
        <v>9</v>
      </c>
      <c r="J21" s="49">
        <f t="shared" si="3"/>
        <v>267777</v>
      </c>
      <c r="K21" s="45">
        <f t="shared" si="4"/>
        <v>147.29207920792078</v>
      </c>
      <c r="L21" s="19">
        <f>'18 '!G15</f>
        <v>1052</v>
      </c>
      <c r="M21" s="19">
        <v>56.2</v>
      </c>
      <c r="N21" s="41">
        <f t="shared" si="5"/>
        <v>59122.400000000001</v>
      </c>
      <c r="O21" s="19">
        <f>'18 '!G20</f>
        <v>232</v>
      </c>
      <c r="P21" s="19">
        <v>108</v>
      </c>
      <c r="Q21" s="46">
        <f t="shared" si="0"/>
        <v>25056</v>
      </c>
      <c r="R21" s="47">
        <f t="shared" si="1"/>
        <v>117.19539300868863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112</v>
      </c>
      <c r="W21" s="22">
        <f>'18 '!G66</f>
        <v>24</v>
      </c>
      <c r="X21" s="22">
        <f>'18 '!G67</f>
        <v>0</v>
      </c>
      <c r="Y21" s="22">
        <f t="shared" si="7"/>
        <v>136</v>
      </c>
      <c r="Z21" s="19">
        <f>'18 '!G84</f>
        <v>24.139999999999418</v>
      </c>
      <c r="AA21" s="19">
        <f>'18 '!G85</f>
        <v>18.759999999999309</v>
      </c>
      <c r="AB21" s="19">
        <f>'18 '!G86</f>
        <v>0</v>
      </c>
      <c r="AC21" s="19">
        <f>'18 '!G87</f>
        <v>0</v>
      </c>
      <c r="AD21" s="19">
        <f t="shared" si="8"/>
        <v>42.899999999998727</v>
      </c>
      <c r="AE21" s="23">
        <f t="shared" si="2"/>
        <v>10831</v>
      </c>
      <c r="AF21" s="23">
        <f t="shared" si="9"/>
        <v>252.47086247086997</v>
      </c>
      <c r="AG21" s="19">
        <f>'18 '!G88</f>
        <v>0</v>
      </c>
      <c r="AH21" s="19">
        <f>'18 '!G89</f>
        <v>10</v>
      </c>
      <c r="AI21" s="19">
        <f>'18 '!G90</f>
        <v>12</v>
      </c>
      <c r="AJ21" s="19">
        <f t="shared" si="10"/>
        <v>22</v>
      </c>
      <c r="AK21" s="19">
        <f>'18 '!G91</f>
        <v>0</v>
      </c>
      <c r="AL21" s="19">
        <f>'18 '!G92</f>
        <v>10</v>
      </c>
      <c r="AM21" s="19"/>
      <c r="AN21" s="19">
        <f t="shared" si="11"/>
        <v>10</v>
      </c>
      <c r="AO21" s="52">
        <f>'18 '!G74</f>
        <v>297.47999999998137</v>
      </c>
      <c r="AP21" s="55">
        <f>'18 '!G35</f>
        <v>1</v>
      </c>
      <c r="AQ21" s="19">
        <f>'18 '!G37</f>
        <v>1729</v>
      </c>
      <c r="AR21" s="19">
        <f>'18 '!G38</f>
        <v>2397</v>
      </c>
      <c r="AS21" s="19">
        <f>'18 '!G39</f>
        <v>3158</v>
      </c>
      <c r="AT21" s="19">
        <f>'18 '!G40</f>
        <v>829</v>
      </c>
      <c r="AU21" s="19">
        <f>'18 '!G41</f>
        <v>6250</v>
      </c>
      <c r="AV21" s="19">
        <f>'18 '!G42</f>
        <v>4581</v>
      </c>
      <c r="AW21" s="19">
        <f>'18 '!G43</f>
        <v>0</v>
      </c>
      <c r="AX21" s="23">
        <f>'18 '!G44</f>
        <v>0</v>
      </c>
      <c r="AY21" s="56">
        <f>'18 '!G36</f>
        <v>1045</v>
      </c>
      <c r="AZ21" s="55">
        <f>'18 '!G49</f>
        <v>3487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367</v>
      </c>
      <c r="BE21" s="19">
        <f>'18 '!G55</f>
        <v>0</v>
      </c>
      <c r="BF21" s="19">
        <f>'18 '!G56</f>
        <v>0</v>
      </c>
      <c r="BG21" s="19">
        <f>'18 '!G57</f>
        <v>3098</v>
      </c>
      <c r="BH21" s="56">
        <f>'18 '!G50</f>
        <v>1503</v>
      </c>
      <c r="BI21" s="60">
        <f t="shared" si="12"/>
        <v>10831</v>
      </c>
      <c r="BJ21" s="60">
        <f>'18 '!G133</f>
        <v>628</v>
      </c>
      <c r="BK21" s="23">
        <f t="shared" si="13"/>
        <v>58.53863475952005</v>
      </c>
      <c r="BL21" s="23">
        <f t="shared" si="14"/>
        <v>10.614055725473062</v>
      </c>
      <c r="BM21" s="24">
        <f t="shared" si="15"/>
        <v>8.0563304540718583E-2</v>
      </c>
      <c r="BN21" s="25">
        <f t="shared" si="16"/>
        <v>351955.4</v>
      </c>
      <c r="BO21" s="38">
        <f t="shared" si="17"/>
        <v>14557</v>
      </c>
      <c r="BP21">
        <f t="shared" si="18"/>
        <v>1.2118714618714979</v>
      </c>
    </row>
    <row r="22" spans="1:68">
      <c r="A22" s="16">
        <v>19</v>
      </c>
      <c r="B22" s="17">
        <v>19</v>
      </c>
      <c r="C22" s="27"/>
      <c r="D22" s="19">
        <f>'19'!D3</f>
        <v>27</v>
      </c>
      <c r="E22" s="50">
        <f>'19'!D4</f>
        <v>0.78</v>
      </c>
      <c r="F22" s="50">
        <f>'19'!D2</f>
        <v>0.94</v>
      </c>
      <c r="G22" s="19">
        <f>'19'!G7</f>
        <v>28720</v>
      </c>
      <c r="H22" s="19">
        <f>'19'!G8</f>
        <v>29068</v>
      </c>
      <c r="I22" s="19">
        <v>9</v>
      </c>
      <c r="J22" s="49">
        <f t="shared" si="3"/>
        <v>261612</v>
      </c>
      <c r="K22" s="45">
        <f t="shared" si="4"/>
        <v>143.9009900990099</v>
      </c>
      <c r="L22" s="19">
        <f>'19'!G15</f>
        <v>1047</v>
      </c>
      <c r="M22" s="19">
        <v>56.2</v>
      </c>
      <c r="N22" s="41">
        <f t="shared" si="5"/>
        <v>58841.4</v>
      </c>
      <c r="O22" s="19">
        <f>'19'!G20</f>
        <v>212</v>
      </c>
      <c r="P22" s="19">
        <v>108</v>
      </c>
      <c r="Q22" s="46">
        <f t="shared" si="0"/>
        <v>22896</v>
      </c>
      <c r="R22" s="47">
        <f t="shared" si="1"/>
        <v>111.64946281862228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110</v>
      </c>
      <c r="W22" s="22">
        <f>'19'!G66</f>
        <v>23</v>
      </c>
      <c r="X22" s="22">
        <f>'19'!G67</f>
        <v>0</v>
      </c>
      <c r="Y22" s="22">
        <f t="shared" si="7"/>
        <v>133</v>
      </c>
      <c r="Z22" s="19">
        <f>'19'!G84</f>
        <v>23.94999999999709</v>
      </c>
      <c r="AA22" s="19">
        <f>'19'!G85</f>
        <v>17.390000000000327</v>
      </c>
      <c r="AB22" s="19">
        <f>'19'!G86</f>
        <v>0</v>
      </c>
      <c r="AC22" s="19">
        <f>'19'!G87</f>
        <v>0</v>
      </c>
      <c r="AD22" s="19">
        <f t="shared" si="8"/>
        <v>41.339999999997417</v>
      </c>
      <c r="AE22" s="23">
        <f t="shared" si="2"/>
        <v>10354</v>
      </c>
      <c r="AF22" s="23">
        <f t="shared" si="9"/>
        <v>250.45960328980763</v>
      </c>
      <c r="AG22" s="19">
        <f>'19'!G88</f>
        <v>0</v>
      </c>
      <c r="AH22" s="19">
        <f>'19'!G89</f>
        <v>9.4700000000011642</v>
      </c>
      <c r="AI22" s="19">
        <f>'19'!G90</f>
        <v>9</v>
      </c>
      <c r="AJ22" s="19">
        <f t="shared" si="10"/>
        <v>18.470000000001164</v>
      </c>
      <c r="AK22" s="19">
        <f>'19'!G91</f>
        <v>0</v>
      </c>
      <c r="AL22" s="19">
        <f>'19'!G92</f>
        <v>10</v>
      </c>
      <c r="AM22" s="19"/>
      <c r="AN22" s="19">
        <f t="shared" si="11"/>
        <v>10</v>
      </c>
      <c r="AO22" s="52">
        <f>'19'!G74</f>
        <v>300</v>
      </c>
      <c r="AP22" s="55">
        <f>'19'!G35</f>
        <v>0</v>
      </c>
      <c r="AQ22" s="19">
        <f>'19'!G37</f>
        <v>1734</v>
      </c>
      <c r="AR22" s="19">
        <f>'19'!G38</f>
        <v>2342</v>
      </c>
      <c r="AS22" s="19">
        <f>'19'!G39</f>
        <v>3175</v>
      </c>
      <c r="AT22" s="19">
        <f>'19'!G40</f>
        <v>327</v>
      </c>
      <c r="AU22" s="19">
        <f>'19'!G41</f>
        <v>6017</v>
      </c>
      <c r="AV22" s="19">
        <f>'19'!G42</f>
        <v>4337</v>
      </c>
      <c r="AW22" s="19">
        <f>'19'!G43</f>
        <v>0</v>
      </c>
      <c r="AX22" s="23">
        <f>'19'!G44</f>
        <v>0</v>
      </c>
      <c r="AY22" s="56">
        <f>'19'!G36</f>
        <v>1321</v>
      </c>
      <c r="AZ22" s="55">
        <f>'19'!G49</f>
        <v>3557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367</v>
      </c>
      <c r="BE22" s="19">
        <f>'19'!G55</f>
        <v>0</v>
      </c>
      <c r="BF22" s="19">
        <f>'19'!G56</f>
        <v>0</v>
      </c>
      <c r="BG22" s="19">
        <f>'19'!G57</f>
        <v>3130</v>
      </c>
      <c r="BH22" s="56">
        <f>'19'!G50</f>
        <v>958</v>
      </c>
      <c r="BI22" s="60">
        <f t="shared" si="12"/>
        <v>10354</v>
      </c>
      <c r="BJ22" s="60">
        <f>'19'!G133</f>
        <v>623</v>
      </c>
      <c r="BK22" s="23">
        <f t="shared" si="13"/>
        <v>58.624604375946056</v>
      </c>
      <c r="BL22" s="23">
        <f t="shared" si="14"/>
        <v>10.922664097977156</v>
      </c>
      <c r="BM22" s="24">
        <f t="shared" si="15"/>
        <v>8.056969863767717E-2</v>
      </c>
      <c r="BN22" s="25">
        <f t="shared" si="16"/>
        <v>343349.4</v>
      </c>
      <c r="BO22" s="38">
        <f t="shared" si="17"/>
        <v>14107</v>
      </c>
      <c r="BP22">
        <f t="shared" si="18"/>
        <v>1.2187262423112242</v>
      </c>
    </row>
    <row r="23" spans="1:68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0.94</v>
      </c>
      <c r="G23" s="19">
        <f>'20'!G7</f>
        <v>28424</v>
      </c>
      <c r="H23" s="19">
        <f>'20'!G8</f>
        <v>28714</v>
      </c>
      <c r="I23" s="19">
        <v>9</v>
      </c>
      <c r="J23" s="49">
        <f t="shared" si="3"/>
        <v>258426</v>
      </c>
      <c r="K23" s="45">
        <f t="shared" si="4"/>
        <v>142.14851485148515</v>
      </c>
      <c r="L23" s="19">
        <f>'20'!G15</f>
        <v>1014</v>
      </c>
      <c r="M23" s="19">
        <v>56.2</v>
      </c>
      <c r="N23" s="41">
        <f t="shared" si="5"/>
        <v>56986.8</v>
      </c>
      <c r="O23" s="19">
        <f>'20'!G20</f>
        <v>253</v>
      </c>
      <c r="P23" s="19">
        <v>108</v>
      </c>
      <c r="Q23" s="46">
        <f t="shared" si="0"/>
        <v>27324</v>
      </c>
      <c r="R23" s="47">
        <f t="shared" si="1"/>
        <v>133.24204760901623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117</v>
      </c>
      <c r="W23" s="22">
        <f>'20'!G66</f>
        <v>23</v>
      </c>
      <c r="X23" s="22">
        <f>'20'!G67</f>
        <v>0</v>
      </c>
      <c r="Y23" s="22">
        <f t="shared" si="7"/>
        <v>140</v>
      </c>
      <c r="Z23" s="19">
        <f>'20'!G84</f>
        <v>17.470000000001164</v>
      </c>
      <c r="AA23" s="19">
        <f>'20'!G85</f>
        <v>24.010000000000218</v>
      </c>
      <c r="AB23" s="19">
        <f>'20'!G86</f>
        <v>0</v>
      </c>
      <c r="AC23" s="19">
        <f>'20'!G87</f>
        <v>0</v>
      </c>
      <c r="AD23" s="19">
        <f t="shared" si="8"/>
        <v>41.480000000001382</v>
      </c>
      <c r="AE23" s="23">
        <f t="shared" si="2"/>
        <v>9993</v>
      </c>
      <c r="AF23" s="23">
        <f t="shared" si="9"/>
        <v>240.91128254579718</v>
      </c>
      <c r="AG23" s="19">
        <f>'20'!G88</f>
        <v>0</v>
      </c>
      <c r="AH23" s="19">
        <f>'20'!G89</f>
        <v>10.529999999998836</v>
      </c>
      <c r="AI23" s="19">
        <f>'20'!G90</f>
        <v>10</v>
      </c>
      <c r="AJ23" s="19">
        <f t="shared" si="10"/>
        <v>20.529999999998836</v>
      </c>
      <c r="AK23" s="19">
        <f>'20'!G91</f>
        <v>0</v>
      </c>
      <c r="AL23" s="19">
        <f>'20'!G92</f>
        <v>11</v>
      </c>
      <c r="AM23" s="19"/>
      <c r="AN23" s="19">
        <f t="shared" si="11"/>
        <v>11</v>
      </c>
      <c r="AO23" s="52">
        <f>'20'!G74</f>
        <v>296</v>
      </c>
      <c r="AP23" s="55">
        <f>'20'!G35</f>
        <v>0</v>
      </c>
      <c r="AQ23" s="19">
        <f>'20'!G37</f>
        <v>1669</v>
      </c>
      <c r="AR23" s="19">
        <f>'20'!G38</f>
        <v>2341</v>
      </c>
      <c r="AS23" s="19">
        <f>'20'!G39</f>
        <v>3213</v>
      </c>
      <c r="AT23" s="19">
        <f>'20'!G40</f>
        <v>650</v>
      </c>
      <c r="AU23" s="19">
        <f>'20'!G41</f>
        <v>4189</v>
      </c>
      <c r="AV23" s="19">
        <f>'20'!G42</f>
        <v>5804</v>
      </c>
      <c r="AW23" s="19">
        <f>'20'!G43</f>
        <v>0</v>
      </c>
      <c r="AX23" s="23">
        <f>'20'!G44</f>
        <v>0</v>
      </c>
      <c r="AY23" s="56">
        <f>'20'!G36</f>
        <v>1199</v>
      </c>
      <c r="AZ23" s="55">
        <f>'20'!G49</f>
        <v>3591</v>
      </c>
      <c r="BA23" s="19">
        <f>'20'!G51</f>
        <v>0</v>
      </c>
      <c r="BB23" s="19">
        <f>'20'!G52</f>
        <v>0</v>
      </c>
      <c r="BC23" s="19">
        <f>'20'!G588</f>
        <v>0</v>
      </c>
      <c r="BD23" s="19">
        <f>'20'!G54</f>
        <v>366</v>
      </c>
      <c r="BE23" s="19">
        <f>'20'!G55</f>
        <v>0</v>
      </c>
      <c r="BF23" s="19">
        <f>'20'!G56</f>
        <v>0</v>
      </c>
      <c r="BG23" s="19">
        <f>'20'!G57</f>
        <v>3092</v>
      </c>
      <c r="BH23" s="56">
        <f>'20'!G50</f>
        <v>1133</v>
      </c>
      <c r="BI23" s="60">
        <f t="shared" si="12"/>
        <v>9993</v>
      </c>
      <c r="BJ23" s="60">
        <f>'20'!G133</f>
        <v>619</v>
      </c>
      <c r="BK23" s="23">
        <f t="shared" si="13"/>
        <v>58.076199763181727</v>
      </c>
      <c r="BL23" s="23">
        <f t="shared" si="14"/>
        <v>11.189663578742078</v>
      </c>
      <c r="BM23" s="24">
        <f t="shared" si="15"/>
        <v>8.152817440969562E-2</v>
      </c>
      <c r="BN23" s="25">
        <f t="shared" si="16"/>
        <v>342736.8</v>
      </c>
      <c r="BO23" s="38">
        <f t="shared" si="17"/>
        <v>13704</v>
      </c>
      <c r="BP23">
        <f t="shared" si="18"/>
        <v>1.179914588786295</v>
      </c>
    </row>
    <row r="24" spans="1:68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0.71</v>
      </c>
      <c r="G24" s="19">
        <f>'21'!G7</f>
        <v>26675.109999999986</v>
      </c>
      <c r="H24" s="19">
        <f>'21'!G8</f>
        <v>27087.109999999986</v>
      </c>
      <c r="I24" s="19">
        <v>9</v>
      </c>
      <c r="J24" s="49">
        <f t="shared" si="3"/>
        <v>243783.98999999987</v>
      </c>
      <c r="K24" s="45">
        <f t="shared" si="4"/>
        <v>134.09460396039597</v>
      </c>
      <c r="L24" s="19">
        <f>'21'!G15</f>
        <v>1049.4199999999255</v>
      </c>
      <c r="M24" s="19">
        <v>56.2</v>
      </c>
      <c r="N24" s="41">
        <f t="shared" si="5"/>
        <v>58977.403999995819</v>
      </c>
      <c r="O24" s="19">
        <f>'21'!G20</f>
        <v>263</v>
      </c>
      <c r="P24" s="19">
        <v>108</v>
      </c>
      <c r="Q24" s="46">
        <f t="shared" si="0"/>
        <v>28404</v>
      </c>
      <c r="R24" s="47">
        <f t="shared" si="1"/>
        <v>183.37749267884536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102</v>
      </c>
      <c r="W24" s="22">
        <f>'21'!G66</f>
        <v>15</v>
      </c>
      <c r="X24" s="22">
        <f>'21'!G67</f>
        <v>0</v>
      </c>
      <c r="Y24" s="22">
        <f t="shared" si="7"/>
        <v>117</v>
      </c>
      <c r="Z24" s="19">
        <f>'21'!G84</f>
        <v>24.239999999997963</v>
      </c>
      <c r="AA24" s="19">
        <f>'21'!G85</f>
        <v>1.0000000000218279E-2</v>
      </c>
      <c r="AB24" s="19">
        <f>'21'!G86</f>
        <v>2.1500000000014552</v>
      </c>
      <c r="AC24" s="19">
        <f>'21'!G87</f>
        <v>12.440000000002328</v>
      </c>
      <c r="AD24" s="19">
        <f t="shared" si="8"/>
        <v>38.840000000001965</v>
      </c>
      <c r="AE24" s="23">
        <f t="shared" si="2"/>
        <v>7747.2600000000384</v>
      </c>
      <c r="AF24" s="23">
        <f t="shared" si="9"/>
        <v>199.46601441811654</v>
      </c>
      <c r="AG24" s="19">
        <f>'21'!G88</f>
        <v>-4.9999999999272404E-2</v>
      </c>
      <c r="AH24" s="19">
        <f>'21'!G89</f>
        <v>9.9500000000007276</v>
      </c>
      <c r="AI24" s="19">
        <f>'21'!G90</f>
        <v>10.520000000004075</v>
      </c>
      <c r="AJ24" s="19">
        <f t="shared" si="10"/>
        <v>20.42000000000553</v>
      </c>
      <c r="AK24" s="19">
        <f>'21'!G91</f>
        <v>0</v>
      </c>
      <c r="AL24" s="19">
        <f>'21'!G92</f>
        <v>9.6400000000003274</v>
      </c>
      <c r="AM24" s="19"/>
      <c r="AN24" s="19">
        <f t="shared" si="11"/>
        <v>9.6400000000003274</v>
      </c>
      <c r="AO24" s="52">
        <f>'21'!G74</f>
        <v>293.61999999999534</v>
      </c>
      <c r="AP24" s="55">
        <f>'21'!G35</f>
        <v>0</v>
      </c>
      <c r="AQ24" s="19">
        <f>'21'!G37</f>
        <v>1661.0499999999884</v>
      </c>
      <c r="AR24" s="19">
        <f>'21'!G38</f>
        <v>2383.1500000000233</v>
      </c>
      <c r="AS24" s="19">
        <f>'21'!G39</f>
        <v>3123.9099999999744</v>
      </c>
      <c r="AT24" s="19">
        <f>'21'!G40</f>
        <v>387.58999999999651</v>
      </c>
      <c r="AU24" s="19">
        <f>'21'!G41</f>
        <v>5860.9700000000012</v>
      </c>
      <c r="AV24" s="19">
        <f>'21'!G42</f>
        <v>25.03000000002794</v>
      </c>
      <c r="AW24" s="19">
        <f>'21'!G43</f>
        <v>0</v>
      </c>
      <c r="AX24" s="23">
        <f>'21'!G44</f>
        <v>0</v>
      </c>
      <c r="AY24" s="56">
        <f>'21'!G36</f>
        <v>811.32999999998719</v>
      </c>
      <c r="AZ24" s="55">
        <f>'21'!G49</f>
        <v>3632.070000000007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358.42999999999302</v>
      </c>
      <c r="BE24" s="19">
        <f>'21'!G55</f>
        <v>-0.48999999999068677</v>
      </c>
      <c r="BF24" s="19">
        <f>'21'!G56</f>
        <v>1861.75</v>
      </c>
      <c r="BG24" s="19">
        <f>'21'!G57</f>
        <v>3040.2299999999959</v>
      </c>
      <c r="BH24" s="56">
        <f>'21'!G50</f>
        <v>1132.4100000000035</v>
      </c>
      <c r="BI24" s="60">
        <f t="shared" si="12"/>
        <v>7747.2600000000384</v>
      </c>
      <c r="BJ24" s="60">
        <f>'21'!G133</f>
        <v>623.91000000000349</v>
      </c>
      <c r="BK24" s="23">
        <f t="shared" si="13"/>
        <v>53.234029027090926</v>
      </c>
      <c r="BL24" s="23">
        <f t="shared" si="14"/>
        <v>11.532828714469636</v>
      </c>
      <c r="BM24" s="24">
        <f t="shared" si="15"/>
        <v>8.7980962162446441E-2</v>
      </c>
      <c r="BN24" s="25">
        <f t="shared" si="16"/>
        <v>331165.39399999566</v>
      </c>
      <c r="BO24" s="38">
        <f t="shared" si="17"/>
        <v>11411.400000000038</v>
      </c>
      <c r="BP24">
        <f t="shared" si="18"/>
        <v>1.0493048403707022</v>
      </c>
    </row>
    <row r="25" spans="1:68">
      <c r="A25" s="16">
        <v>22</v>
      </c>
      <c r="B25" s="27">
        <v>22</v>
      </c>
      <c r="C25" s="28"/>
      <c r="D25" s="19">
        <f>'22'!D3</f>
        <v>29</v>
      </c>
      <c r="E25" s="50">
        <f>'22'!D4</f>
        <v>0.79</v>
      </c>
      <c r="F25" s="50">
        <f>'22'!D2</f>
        <v>0.98</v>
      </c>
      <c r="G25" s="19">
        <f>'22'!G7</f>
        <v>27647.580000000016</v>
      </c>
      <c r="H25" s="19">
        <f>'22'!G8</f>
        <v>28127</v>
      </c>
      <c r="I25" s="19">
        <v>9</v>
      </c>
      <c r="J25" s="49">
        <f t="shared" si="3"/>
        <v>253143</v>
      </c>
      <c r="K25" s="45">
        <f t="shared" si="4"/>
        <v>139.24257425742573</v>
      </c>
      <c r="L25" s="19">
        <f>'22'!G15</f>
        <v>974.61000000010245</v>
      </c>
      <c r="M25" s="19">
        <v>56.2</v>
      </c>
      <c r="N25" s="41">
        <f t="shared" si="5"/>
        <v>54773.082000005757</v>
      </c>
      <c r="O25" s="19">
        <f>'22'!G20</f>
        <v>243</v>
      </c>
      <c r="P25" s="19">
        <v>108</v>
      </c>
      <c r="Q25" s="46">
        <f t="shared" si="0"/>
        <v>26244</v>
      </c>
      <c r="R25" s="47">
        <f t="shared" si="1"/>
        <v>122.75207112547989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100</v>
      </c>
      <c r="W25" s="22">
        <f>'22'!G66</f>
        <v>19</v>
      </c>
      <c r="X25" s="22">
        <f>'22'!G67</f>
        <v>0</v>
      </c>
      <c r="Y25" s="22">
        <f t="shared" si="7"/>
        <v>119</v>
      </c>
      <c r="Z25" s="19">
        <f>'22'!G84</f>
        <v>23.990000000005239</v>
      </c>
      <c r="AA25" s="19">
        <f>'22'!G85</f>
        <v>-0.41000000000076398</v>
      </c>
      <c r="AB25" s="19">
        <f>'22'!G86</f>
        <v>16.989999999997963</v>
      </c>
      <c r="AC25" s="19">
        <f>'22'!G87</f>
        <v>0.59999999999854481</v>
      </c>
      <c r="AD25" s="19">
        <f t="shared" si="8"/>
        <v>41.170000000000982</v>
      </c>
      <c r="AE25" s="23">
        <f t="shared" si="2"/>
        <v>8692.7099999999773</v>
      </c>
      <c r="AF25" s="23">
        <f t="shared" si="9"/>
        <v>211.14185086227278</v>
      </c>
      <c r="AG25" s="19">
        <f>'22'!G88</f>
        <v>0.18999999999869033</v>
      </c>
      <c r="AH25" s="19">
        <f>'22'!G89</f>
        <v>8.9799999999995634</v>
      </c>
      <c r="AI25" s="19">
        <f>'22'!G90</f>
        <v>9.6499999999941792</v>
      </c>
      <c r="AJ25" s="19">
        <f t="shared" si="10"/>
        <v>18.819999999992433</v>
      </c>
      <c r="AK25" s="19">
        <f>'22'!G91</f>
        <v>0</v>
      </c>
      <c r="AL25" s="19">
        <f>'22'!G92</f>
        <v>10.319999999999709</v>
      </c>
      <c r="AM25" s="19"/>
      <c r="AN25" s="19">
        <f t="shared" si="11"/>
        <v>10.319999999999709</v>
      </c>
      <c r="AO25" s="52">
        <f>'22'!G74</f>
        <v>299.88000000000466</v>
      </c>
      <c r="AP25" s="55">
        <f>'22'!G35</f>
        <v>0</v>
      </c>
      <c r="AQ25" s="19">
        <f>'22'!G37</f>
        <v>1658.7399999999907</v>
      </c>
      <c r="AR25" s="19">
        <f>'22'!G38</f>
        <v>2286.3999999999651</v>
      </c>
      <c r="AS25" s="19">
        <f>'22'!G39</f>
        <v>3040.2400000000489</v>
      </c>
      <c r="AT25" s="19">
        <f>'22'!G40</f>
        <v>327.41999999999825</v>
      </c>
      <c r="AU25" s="19">
        <f>'22'!G41</f>
        <v>5996.2699999999895</v>
      </c>
      <c r="AV25" s="19">
        <f>'22'!G42</f>
        <v>0</v>
      </c>
      <c r="AW25" s="19">
        <f>'22'!G43</f>
        <v>3.0000000027939677E-2</v>
      </c>
      <c r="AX25" s="23">
        <f>'22'!G44</f>
        <v>0</v>
      </c>
      <c r="AY25" s="56">
        <f>'22'!G36</f>
        <v>719.92000000001281</v>
      </c>
      <c r="AZ25" s="55">
        <f>'22'!G49</f>
        <v>3530.4400000000023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352.22000000000116</v>
      </c>
      <c r="BE25" s="19">
        <f>'22'!G55</f>
        <v>2663.2399999999907</v>
      </c>
      <c r="BF25" s="19">
        <f>'22'!G56</f>
        <v>33.19999999999709</v>
      </c>
      <c r="BG25" s="19">
        <f>'22'!G57</f>
        <v>3050.0299999999988</v>
      </c>
      <c r="BH25" s="56">
        <f>'22'!G50</f>
        <v>1142.5</v>
      </c>
      <c r="BI25" s="60">
        <f t="shared" si="12"/>
        <v>8692.7099999999773</v>
      </c>
      <c r="BJ25" s="60">
        <f>'22'!G133</f>
        <v>605.13999999998487</v>
      </c>
      <c r="BK25" s="23">
        <f t="shared" si="13"/>
        <v>54.300885270380796</v>
      </c>
      <c r="BL25" s="23">
        <f t="shared" si="14"/>
        <v>10.80897358410086</v>
      </c>
      <c r="BM25" s="24">
        <f t="shared" si="15"/>
        <v>8.1288441710810427E-2</v>
      </c>
      <c r="BN25" s="25">
        <f t="shared" si="16"/>
        <v>334160.08200000576</v>
      </c>
      <c r="BO25" s="38">
        <f t="shared" si="17"/>
        <v>12347.909999999989</v>
      </c>
      <c r="BP25">
        <f t="shared" si="18"/>
        <v>1.0711605191019549</v>
      </c>
    </row>
    <row r="26" spans="1:68">
      <c r="A26" s="16">
        <v>23</v>
      </c>
      <c r="B26" s="27">
        <v>23</v>
      </c>
      <c r="C26" s="28"/>
      <c r="D26" s="19">
        <f>'23'!D3</f>
        <v>29</v>
      </c>
      <c r="E26" s="50">
        <f>'23'!D4</f>
        <v>0.79</v>
      </c>
      <c r="F26" s="50">
        <f>'23'!D2</f>
        <v>0.99</v>
      </c>
      <c r="G26" s="19">
        <f>'23'!G7</f>
        <v>27010.539999999979</v>
      </c>
      <c r="H26" s="19">
        <f>'23'!G8</f>
        <v>27477.640000000014</v>
      </c>
      <c r="I26" s="19">
        <v>9</v>
      </c>
      <c r="J26" s="49">
        <f t="shared" si="3"/>
        <v>247298.76000000013</v>
      </c>
      <c r="K26" s="45">
        <f t="shared" si="4"/>
        <v>136.02792079207927</v>
      </c>
      <c r="L26" s="19">
        <f>'23'!G15</f>
        <v>974.46999999997206</v>
      </c>
      <c r="M26" s="19">
        <v>56.2</v>
      </c>
      <c r="N26" s="41">
        <f t="shared" si="5"/>
        <v>54765.213999998436</v>
      </c>
      <c r="O26" s="19">
        <f>'23'!G20</f>
        <v>182</v>
      </c>
      <c r="P26" s="19">
        <v>108</v>
      </c>
      <c r="Q26" s="46">
        <f t="shared" si="0"/>
        <v>19656</v>
      </c>
      <c r="R26" s="47">
        <f t="shared" si="1"/>
        <v>91.009100910091021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119</v>
      </c>
      <c r="W26" s="22">
        <f>'23'!G66</f>
        <v>20</v>
      </c>
      <c r="X26" s="22">
        <f>'23'!G67</f>
        <v>0</v>
      </c>
      <c r="Y26" s="22">
        <f t="shared" si="7"/>
        <v>139</v>
      </c>
      <c r="Z26" s="19">
        <f>'23'!G84</f>
        <v>-0.23000000000320142</v>
      </c>
      <c r="AA26" s="19">
        <f>'23'!G85</f>
        <v>14.100000000000364</v>
      </c>
      <c r="AB26" s="19">
        <f>'23'!G86</f>
        <v>24.069999999999709</v>
      </c>
      <c r="AC26" s="19">
        <f>'23'!G87</f>
        <v>-4.0000000000873115E-2</v>
      </c>
      <c r="AD26" s="19">
        <f t="shared" si="8"/>
        <v>37.899999999995998</v>
      </c>
      <c r="AE26" s="23">
        <f t="shared" si="2"/>
        <v>7278.6699999999983</v>
      </c>
      <c r="AF26" s="23">
        <f t="shared" si="9"/>
        <v>192.04934036941336</v>
      </c>
      <c r="AG26" s="19">
        <f>'23'!G88</f>
        <v>0</v>
      </c>
      <c r="AH26" s="19">
        <f>'23'!G89</f>
        <v>9.6500000000014552</v>
      </c>
      <c r="AI26" s="19">
        <f>'23'!G90</f>
        <v>10.380000000004657</v>
      </c>
      <c r="AJ26" s="19">
        <f t="shared" si="10"/>
        <v>20.030000000006112</v>
      </c>
      <c r="AK26" s="19">
        <f>'23'!G91</f>
        <v>0</v>
      </c>
      <c r="AL26" s="19">
        <f>'23'!G92</f>
        <v>10.039999999999964</v>
      </c>
      <c r="AM26" s="19"/>
      <c r="AN26" s="19">
        <f t="shared" si="11"/>
        <v>10.039999999999964</v>
      </c>
      <c r="AO26" s="52">
        <f>'23'!G74</f>
        <v>288.39000000001397</v>
      </c>
      <c r="AP26" s="55">
        <f>'23'!G35</f>
        <v>0</v>
      </c>
      <c r="AQ26" s="19">
        <f>'23'!G37</f>
        <v>1637.1100000000442</v>
      </c>
      <c r="AR26" s="19">
        <f>'23'!G38</f>
        <v>2279.8400000000256</v>
      </c>
      <c r="AS26" s="19">
        <f>'23'!G39</f>
        <v>3028.1199999999953</v>
      </c>
      <c r="AT26" s="19">
        <f>'23'!G40</f>
        <v>319.02999999999884</v>
      </c>
      <c r="AU26" s="19">
        <f>'23'!G41</f>
        <v>91.170000000012806</v>
      </c>
      <c r="AV26" s="19">
        <f>'23'!G42</f>
        <v>3240.7199999999721</v>
      </c>
      <c r="AW26" s="19">
        <f>'23'!G43</f>
        <v>0</v>
      </c>
      <c r="AX26" s="23">
        <f>'23'!G44</f>
        <v>0</v>
      </c>
      <c r="AY26" s="56">
        <f>'23'!G36</f>
        <v>775.07999999998719</v>
      </c>
      <c r="AZ26" s="55">
        <f>'23'!G49</f>
        <v>3675.1599999999744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350.22000000000116</v>
      </c>
      <c r="BE26" s="19">
        <f>'23'!G55</f>
        <v>3945.6000000000058</v>
      </c>
      <c r="BF26" s="19">
        <f>'23'!G56</f>
        <v>1.180000000007567</v>
      </c>
      <c r="BG26" s="19">
        <f>'23'!G57</f>
        <v>3016.6300000000047</v>
      </c>
      <c r="BH26" s="56">
        <f>'23'!G50</f>
        <v>1188.2799999999988</v>
      </c>
      <c r="BI26" s="60">
        <f t="shared" si="12"/>
        <v>7278.6699999999983</v>
      </c>
      <c r="BJ26" s="60">
        <f>'23'!G133</f>
        <v>607.44000000000233</v>
      </c>
      <c r="BK26" s="23">
        <f t="shared" si="13"/>
        <v>50.843012718704991</v>
      </c>
      <c r="BL26" s="23">
        <f t="shared" si="14"/>
        <v>11.020305965141089</v>
      </c>
      <c r="BM26" s="24">
        <f t="shared" si="15"/>
        <v>8.297073547801137E-2</v>
      </c>
      <c r="BN26" s="25">
        <f t="shared" si="16"/>
        <v>321719.97399999853</v>
      </c>
      <c r="BO26" s="38">
        <f t="shared" si="17"/>
        <v>10902.740000000005</v>
      </c>
      <c r="BP26">
        <f t="shared" si="18"/>
        <v>1.0273972860913265</v>
      </c>
    </row>
    <row r="27" spans="1:68">
      <c r="A27" s="16">
        <v>24</v>
      </c>
      <c r="B27" s="17">
        <v>24</v>
      </c>
      <c r="C27" s="28"/>
      <c r="D27" s="19">
        <f>'24'!D3</f>
        <v>29</v>
      </c>
      <c r="E27" s="50">
        <f>'24'!D4</f>
        <v>0.79</v>
      </c>
      <c r="F27" s="50">
        <f>'24'!D2</f>
        <v>1</v>
      </c>
      <c r="G27" s="19">
        <f>'24'!G7</f>
        <v>27507.160000000033</v>
      </c>
      <c r="H27" s="19">
        <f>'24'!G8</f>
        <v>27996.880000000005</v>
      </c>
      <c r="I27" s="19">
        <v>9</v>
      </c>
      <c r="J27" s="49">
        <f t="shared" si="3"/>
        <v>251971.92000000004</v>
      </c>
      <c r="K27" s="45">
        <f t="shared" si="4"/>
        <v>138.59841584158417</v>
      </c>
      <c r="L27" s="19">
        <f>'24'!G15</f>
        <v>960.94999999995343</v>
      </c>
      <c r="M27" s="19">
        <v>56.2</v>
      </c>
      <c r="N27" s="41">
        <f t="shared" si="5"/>
        <v>54005.389999997387</v>
      </c>
      <c r="O27" s="19">
        <f>'24'!G20</f>
        <v>233</v>
      </c>
      <c r="P27" s="19">
        <v>108</v>
      </c>
      <c r="Q27" s="46">
        <f t="shared" si="0"/>
        <v>25164</v>
      </c>
      <c r="R27" s="47">
        <f t="shared" si="1"/>
        <v>115.34653465346534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97</v>
      </c>
      <c r="W27" s="22">
        <f>'24'!G66</f>
        <v>19</v>
      </c>
      <c r="X27" s="22">
        <f>'24'!G67</f>
        <v>0</v>
      </c>
      <c r="Y27" s="22">
        <f t="shared" si="7"/>
        <v>116</v>
      </c>
      <c r="Z27" s="19">
        <f>'24'!G84</f>
        <v>0</v>
      </c>
      <c r="AA27" s="19">
        <f>'24'!G85</f>
        <v>24.069999999999709</v>
      </c>
      <c r="AB27" s="19">
        <f>'24'!G86</f>
        <v>17.110000000000582</v>
      </c>
      <c r="AC27" s="19">
        <f>'24'!G87</f>
        <v>5.0000000002910383E-2</v>
      </c>
      <c r="AD27" s="19">
        <f t="shared" si="8"/>
        <v>41.230000000003201</v>
      </c>
      <c r="AE27" s="23">
        <f t="shared" si="2"/>
        <v>8471.2600000000384</v>
      </c>
      <c r="AF27" s="23">
        <f t="shared" si="9"/>
        <v>205.46349745329567</v>
      </c>
      <c r="AG27" s="19">
        <f>'24'!G88</f>
        <v>0</v>
      </c>
      <c r="AH27" s="19">
        <f>'24'!G89</f>
        <v>9.7599999999983993</v>
      </c>
      <c r="AI27" s="19">
        <f>'24'!G90</f>
        <v>10.599999999991269</v>
      </c>
      <c r="AJ27" s="19">
        <f t="shared" si="10"/>
        <v>20.359999999989668</v>
      </c>
      <c r="AK27" s="19">
        <f>'24'!G91</f>
        <v>0</v>
      </c>
      <c r="AL27" s="19">
        <f>'24'!G92</f>
        <v>10.050000000000182</v>
      </c>
      <c r="AM27" s="19"/>
      <c r="AN27" s="19">
        <f t="shared" si="11"/>
        <v>10.050000000000182</v>
      </c>
      <c r="AO27" s="52">
        <f>'24'!G74</f>
        <v>288.48999999999069</v>
      </c>
      <c r="AP27" s="55">
        <f>'24'!G35</f>
        <v>0</v>
      </c>
      <c r="AQ27" s="19">
        <f>'24'!G37</f>
        <v>1628.0499999999884</v>
      </c>
      <c r="AR27" s="19">
        <f>'24'!G38</f>
        <v>2248.5199999999604</v>
      </c>
      <c r="AS27" s="19">
        <f>'24'!G39</f>
        <v>2993.4400000000023</v>
      </c>
      <c r="AT27" s="19">
        <f>'24'!G40</f>
        <v>298.78000000001339</v>
      </c>
      <c r="AU27" s="19">
        <f>'24'!G41</f>
        <v>0</v>
      </c>
      <c r="AV27" s="19">
        <f>'24'!G42</f>
        <v>5814.8000000000466</v>
      </c>
      <c r="AW27" s="19">
        <f>'24'!G43</f>
        <v>0</v>
      </c>
      <c r="AX27" s="23">
        <f>'24'!G44</f>
        <v>0</v>
      </c>
      <c r="AY27" s="56">
        <f>'24'!G36</f>
        <v>820.62000000002445</v>
      </c>
      <c r="AZ27" s="55">
        <f>'24'!G49</f>
        <v>3671.1600000000326</v>
      </c>
      <c r="BA27" s="19">
        <f>'24'!G51</f>
        <v>0</v>
      </c>
      <c r="BB27" s="19">
        <f>'24'!G52</f>
        <v>0</v>
      </c>
      <c r="BC27" s="19">
        <f>'24'!G53</f>
        <v>0</v>
      </c>
      <c r="BD27" s="19">
        <f>'24'!G54</f>
        <v>355.61000000000058</v>
      </c>
      <c r="BE27" s="19">
        <f>'24'!G55</f>
        <v>2656.4599999999919</v>
      </c>
      <c r="BF27" s="19">
        <f>'24'!G56</f>
        <v>0</v>
      </c>
      <c r="BG27" s="19">
        <f>'24'!G57</f>
        <v>3230.1399999999994</v>
      </c>
      <c r="BH27" s="56">
        <f>'24'!G50</f>
        <v>1022.7200000000012</v>
      </c>
      <c r="BI27" s="60">
        <f t="shared" si="12"/>
        <v>8471.2600000000384</v>
      </c>
      <c r="BJ27" s="60">
        <f>'24'!G133</f>
        <v>612.46000000002095</v>
      </c>
      <c r="BK27" s="23">
        <f t="shared" si="13"/>
        <v>54.908118333185939</v>
      </c>
      <c r="BL27" s="23">
        <f t="shared" si="14"/>
        <v>10.692048542551891</v>
      </c>
      <c r="BM27" s="24">
        <f t="shared" si="15"/>
        <v>8.0313234903316377E-2</v>
      </c>
      <c r="BN27" s="25">
        <f t="shared" si="16"/>
        <v>331141.30999999744</v>
      </c>
      <c r="BO27" s="38">
        <f t="shared" si="17"/>
        <v>12313.860000000059</v>
      </c>
      <c r="BP27">
        <f t="shared" si="18"/>
        <v>1.0666522296523944</v>
      </c>
    </row>
    <row r="28" spans="1:68">
      <c r="A28" s="16">
        <v>25</v>
      </c>
      <c r="B28" s="26">
        <v>25</v>
      </c>
      <c r="C28" s="28"/>
      <c r="D28" s="19">
        <f>'25'!D3</f>
        <v>28</v>
      </c>
      <c r="E28" s="50">
        <f>'25'!D4</f>
        <v>0.79</v>
      </c>
      <c r="F28" s="50">
        <f>'25'!D2</f>
        <v>0.98</v>
      </c>
      <c r="G28" s="19">
        <f>'25'!G7</f>
        <v>27558.609999999986</v>
      </c>
      <c r="H28" s="19">
        <f>'25'!G8</f>
        <v>28030.369999999995</v>
      </c>
      <c r="I28" s="19">
        <v>9</v>
      </c>
      <c r="J28" s="49">
        <f t="shared" si="3"/>
        <v>252273.32999999996</v>
      </c>
      <c r="K28" s="45">
        <f t="shared" si="4"/>
        <v>138.76420792079205</v>
      </c>
      <c r="L28" s="19">
        <f>'25'!G15</f>
        <v>1006.8500000000931</v>
      </c>
      <c r="M28" s="19">
        <v>56.2</v>
      </c>
      <c r="N28" s="41">
        <f t="shared" si="5"/>
        <v>56584.97000000524</v>
      </c>
      <c r="O28" s="19">
        <f>'25'!G20</f>
        <v>210</v>
      </c>
      <c r="P28" s="19">
        <v>108</v>
      </c>
      <c r="Q28" s="46">
        <f t="shared" si="0"/>
        <v>22680</v>
      </c>
      <c r="R28" s="47">
        <f t="shared" si="1"/>
        <v>106.08203677510608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103</v>
      </c>
      <c r="W28" s="22">
        <f>'25'!G66</f>
        <v>16</v>
      </c>
      <c r="X28" s="22">
        <f>'25'!G67</f>
        <v>-1</v>
      </c>
      <c r="Y28" s="22">
        <f t="shared" si="7"/>
        <v>118</v>
      </c>
      <c r="Z28" s="19">
        <f>'25'!G84</f>
        <v>0</v>
      </c>
      <c r="AA28" s="19">
        <f>'25'!G85</f>
        <v>16.680000000000291</v>
      </c>
      <c r="AB28" s="19">
        <f>'25'!G86</f>
        <v>23.680000000000291</v>
      </c>
      <c r="AC28" s="19">
        <f>'25'!G87</f>
        <v>0</v>
      </c>
      <c r="AD28" s="19">
        <f t="shared" si="8"/>
        <v>40.360000000000582</v>
      </c>
      <c r="AE28" s="23">
        <f t="shared" si="2"/>
        <v>3765.1199999999953</v>
      </c>
      <c r="AF28" s="23">
        <f t="shared" si="9"/>
        <v>93.288404360751755</v>
      </c>
      <c r="AG28" s="19">
        <f>'25'!G88</f>
        <v>0</v>
      </c>
      <c r="AH28" s="19">
        <f>'25'!G89</f>
        <v>10.06000000000131</v>
      </c>
      <c r="AI28" s="19">
        <f>'25'!G90</f>
        <v>10.760000000009313</v>
      </c>
      <c r="AJ28" s="19">
        <f t="shared" si="10"/>
        <v>20.820000000010623</v>
      </c>
      <c r="AK28" s="19">
        <f>'25'!G91</f>
        <v>0</v>
      </c>
      <c r="AL28" s="19">
        <f>'25'!G92</f>
        <v>10.949999999999818</v>
      </c>
      <c r="AM28" s="19"/>
      <c r="AN28" s="19">
        <f t="shared" si="11"/>
        <v>10.949999999999818</v>
      </c>
      <c r="AO28" s="52">
        <f>'25'!G74</f>
        <v>282.31999999994878</v>
      </c>
      <c r="AP28" s="55">
        <f>'25'!G35</f>
        <v>-0.95000000001164153</v>
      </c>
      <c r="AQ28" s="19">
        <f>'25'!G37</f>
        <v>1600.5999999999767</v>
      </c>
      <c r="AR28" s="19">
        <f>'25'!G38</f>
        <v>2187.640000000014</v>
      </c>
      <c r="AS28" s="19">
        <f>'25'!G39</f>
        <v>2960.1599999999744</v>
      </c>
      <c r="AT28" s="19">
        <f>'25'!G40</f>
        <v>293.8799999999901</v>
      </c>
      <c r="AU28" s="19">
        <f>'25'!G41</f>
        <v>0</v>
      </c>
      <c r="AV28" s="19"/>
      <c r="AW28" s="19">
        <f>'25'!G43</f>
        <v>0</v>
      </c>
      <c r="AX28" s="23">
        <f>'25'!G44</f>
        <v>0</v>
      </c>
      <c r="AY28" s="56">
        <f>'25'!G36</f>
        <v>981.95999999999185</v>
      </c>
      <c r="AZ28" s="55">
        <f>'25'!G49</f>
        <v>3608.7199999999721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355.61000000000058</v>
      </c>
      <c r="BE28" s="19">
        <f>'25'!G55</f>
        <v>3765.1199999999953</v>
      </c>
      <c r="BF28" s="19">
        <f>'25'!G56</f>
        <v>0</v>
      </c>
      <c r="BG28" s="19">
        <f>'25'!G57</f>
        <v>3334.1100000000006</v>
      </c>
      <c r="BH28" s="56">
        <f>'25'!G50</f>
        <v>1015.5599999999977</v>
      </c>
      <c r="BI28" s="60">
        <f t="shared" si="12"/>
        <v>3765.1199999999953</v>
      </c>
      <c r="BJ28" s="60">
        <f>'25'!G133</f>
        <v>604.25999999998021</v>
      </c>
      <c r="BK28" s="23">
        <f t="shared" si="13"/>
        <v>38.197854684044337</v>
      </c>
      <c r="BL28" s="23">
        <f t="shared" si="14"/>
        <v>10.560545579669391</v>
      </c>
      <c r="BM28" s="24">
        <f t="shared" si="15"/>
        <v>7.8045348670032336E-2</v>
      </c>
      <c r="BN28" s="25">
        <f t="shared" si="16"/>
        <v>331538.30000000517</v>
      </c>
      <c r="BO28" s="38">
        <f t="shared" si="17"/>
        <v>7703.4899999999761</v>
      </c>
      <c r="BP28">
        <f t="shared" si="18"/>
        <v>0.68167651847655608</v>
      </c>
    </row>
    <row r="29" spans="1:68">
      <c r="A29" s="16">
        <v>26</v>
      </c>
      <c r="B29" s="26">
        <v>26</v>
      </c>
      <c r="C29" s="29"/>
      <c r="D29" s="19">
        <f>'26'!D3</f>
        <v>28</v>
      </c>
      <c r="E29" s="50">
        <f>'26'!D4</f>
        <v>0.79</v>
      </c>
      <c r="F29" s="50">
        <f>'26'!D2</f>
        <v>1</v>
      </c>
      <c r="G29" s="19">
        <f>'26'!G7</f>
        <v>26900.400000000023</v>
      </c>
      <c r="H29" s="19">
        <f>'26'!G8</f>
        <v>27370</v>
      </c>
      <c r="I29" s="19">
        <v>9</v>
      </c>
      <c r="J29" s="49">
        <f t="shared" si="3"/>
        <v>246330</v>
      </c>
      <c r="K29" s="45">
        <f t="shared" si="4"/>
        <v>135.49504950495049</v>
      </c>
      <c r="L29" s="19">
        <f>'26'!G15</f>
        <v>1100</v>
      </c>
      <c r="M29" s="19">
        <v>56.2</v>
      </c>
      <c r="N29" s="41">
        <f t="shared" si="5"/>
        <v>61820</v>
      </c>
      <c r="O29" s="19">
        <f>'26'!G20</f>
        <v>212</v>
      </c>
      <c r="P29" s="19">
        <v>108</v>
      </c>
      <c r="Q29" s="46">
        <f t="shared" si="0"/>
        <v>22896</v>
      </c>
      <c r="R29" s="47">
        <f t="shared" si="1"/>
        <v>104.95049504950495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98</v>
      </c>
      <c r="W29" s="22">
        <f>'26'!G66</f>
        <v>21</v>
      </c>
      <c r="X29" s="22">
        <f>'26'!G67</f>
        <v>0</v>
      </c>
      <c r="Y29" s="22">
        <f t="shared" si="7"/>
        <v>119</v>
      </c>
      <c r="Z29" s="19">
        <f>'26'!G84</f>
        <v>0</v>
      </c>
      <c r="AA29" s="19">
        <f>'26'!G85</f>
        <v>24.300000000000182</v>
      </c>
      <c r="AB29" s="19">
        <f>'26'!G86</f>
        <v>19.400000000001455</v>
      </c>
      <c r="AC29" s="19">
        <f>'26'!G87</f>
        <v>0</v>
      </c>
      <c r="AD29" s="19">
        <f t="shared" si="8"/>
        <v>43.700000000001637</v>
      </c>
      <c r="AE29" s="23">
        <f t="shared" si="2"/>
        <v>8322.7800000000279</v>
      </c>
      <c r="AF29" s="23">
        <f t="shared" si="9"/>
        <v>190.45263157894087</v>
      </c>
      <c r="AG29" s="19">
        <f>'26'!G88</f>
        <v>0</v>
      </c>
      <c r="AH29" s="19">
        <f>'26'!G89</f>
        <v>9.9799999999995634</v>
      </c>
      <c r="AI29" s="19">
        <f>'26'!G90</f>
        <v>2.8799999999901047</v>
      </c>
      <c r="AJ29" s="19">
        <f t="shared" si="10"/>
        <v>12.859999999989668</v>
      </c>
      <c r="AK29" s="19">
        <f>'26'!G91</f>
        <v>0</v>
      </c>
      <c r="AL29" s="19">
        <f>'26'!G92</f>
        <v>8.7600000000002183</v>
      </c>
      <c r="AM29" s="19"/>
      <c r="AN29" s="19">
        <f t="shared" si="11"/>
        <v>8.7600000000002183</v>
      </c>
      <c r="AO29" s="52">
        <f>'26'!G74</f>
        <v>289.94000000006054</v>
      </c>
      <c r="AP29" s="55">
        <f>'26'!G35</f>
        <v>0</v>
      </c>
      <c r="AQ29" s="19">
        <f>'26'!G37</f>
        <v>1521.0599999999977</v>
      </c>
      <c r="AR29" s="19">
        <f>'26'!G38</f>
        <v>2136.8800000000047</v>
      </c>
      <c r="AS29" s="19">
        <f>'26'!G39</f>
        <v>3027.320000000007</v>
      </c>
      <c r="AT29" s="19">
        <f>'26'!G40</f>
        <v>306.80000000000291</v>
      </c>
      <c r="AU29" s="19">
        <f>'26'!G41</f>
        <v>0</v>
      </c>
      <c r="AV29" s="19">
        <f>'26'!G42</f>
        <v>5534</v>
      </c>
      <c r="AW29" s="19">
        <f>'26'!G43</f>
        <v>0</v>
      </c>
      <c r="AX29" s="23">
        <f>'26'!G44</f>
        <v>0</v>
      </c>
      <c r="AY29" s="56">
        <f>'26'!G36</f>
        <v>727.57999999998719</v>
      </c>
      <c r="AZ29" s="55">
        <f>'26'!G49</f>
        <v>3670.0800000000163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353.41000000000349</v>
      </c>
      <c r="BE29" s="19">
        <f>'26'!G55</f>
        <v>2788.7800000000279</v>
      </c>
      <c r="BF29" s="19">
        <f>'26'!G56</f>
        <v>0</v>
      </c>
      <c r="BG29" s="19">
        <f>'26'!G57</f>
        <v>3246.9900000000052</v>
      </c>
      <c r="BH29" s="56">
        <f>'26'!G50</f>
        <v>982.63999999998487</v>
      </c>
      <c r="BI29" s="60">
        <f t="shared" si="12"/>
        <v>8322.7800000000279</v>
      </c>
      <c r="BJ29" s="60">
        <f>'26'!G133</f>
        <v>610.77999999999884</v>
      </c>
      <c r="BK29" s="23">
        <f t="shared" si="13"/>
        <v>55.680854950676107</v>
      </c>
      <c r="BL29" s="23">
        <f t="shared" si="14"/>
        <v>11.060723419802729</v>
      </c>
      <c r="BM29" s="24">
        <f t="shared" si="15"/>
        <v>7.8073803434417416E-2</v>
      </c>
      <c r="BN29" s="25">
        <f t="shared" si="16"/>
        <v>331046</v>
      </c>
      <c r="BO29" s="38">
        <f t="shared" si="17"/>
        <v>12180.550000000032</v>
      </c>
      <c r="BP29">
        <f t="shared" si="18"/>
        <v>0.99546829029091011</v>
      </c>
    </row>
    <row r="30" spans="1:68">
      <c r="A30" s="16">
        <v>27</v>
      </c>
      <c r="B30" s="17">
        <v>27</v>
      </c>
      <c r="C30" s="28"/>
      <c r="D30" s="19">
        <f>'27'!D3</f>
        <v>32</v>
      </c>
      <c r="E30" s="50">
        <f>'27'!D4</f>
        <v>0.76</v>
      </c>
      <c r="F30" s="50">
        <f>'27'!D2</f>
        <v>0.76</v>
      </c>
      <c r="G30" s="19">
        <f>'27'!G7</f>
        <v>26119.5</v>
      </c>
      <c r="H30" s="19">
        <f>'27'!G8</f>
        <v>26539.699999999953</v>
      </c>
      <c r="I30" s="19">
        <v>9</v>
      </c>
      <c r="J30" s="49">
        <f t="shared" si="3"/>
        <v>238857.29999999958</v>
      </c>
      <c r="K30" s="45">
        <f t="shared" si="4"/>
        <v>131.3846534653463</v>
      </c>
      <c r="L30" s="19">
        <f>'27'!G15</f>
        <v>847.95999999996275</v>
      </c>
      <c r="M30" s="19">
        <v>56.2</v>
      </c>
      <c r="N30" s="41">
        <f t="shared" si="5"/>
        <v>47655.351999997911</v>
      </c>
      <c r="O30" s="19">
        <f>'27'!G20</f>
        <v>208</v>
      </c>
      <c r="P30" s="19">
        <v>108</v>
      </c>
      <c r="Q30" s="46">
        <f t="shared" si="0"/>
        <v>22464</v>
      </c>
      <c r="R30" s="47">
        <f t="shared" si="1"/>
        <v>135.48723293381968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77</v>
      </c>
      <c r="W30" s="22">
        <f>'27'!G66</f>
        <v>18</v>
      </c>
      <c r="X30" s="22">
        <f>'27'!G67</f>
        <v>0</v>
      </c>
      <c r="Y30" s="22">
        <f t="shared" si="7"/>
        <v>95</v>
      </c>
      <c r="Z30" s="19">
        <f>'27'!G84</f>
        <v>0</v>
      </c>
      <c r="AA30" s="19">
        <f>'27'!G85</f>
        <v>14.979999999999563</v>
      </c>
      <c r="AB30" s="19">
        <f>'27'!G86</f>
        <v>23.599999999998545</v>
      </c>
      <c r="AC30" s="19">
        <f>'27'!G87</f>
        <v>0</v>
      </c>
      <c r="AD30" s="19">
        <f t="shared" si="8"/>
        <v>38.579999999998108</v>
      </c>
      <c r="AE30" s="23">
        <f t="shared" si="2"/>
        <v>7334.7300000000396</v>
      </c>
      <c r="AF30" s="23">
        <f t="shared" si="9"/>
        <v>190.1174183514878</v>
      </c>
      <c r="AG30" s="19">
        <f>'27'!G88</f>
        <v>0</v>
      </c>
      <c r="AH30" s="19">
        <f>'27'!G89</f>
        <v>9.1699999999982538</v>
      </c>
      <c r="AI30" s="19">
        <f>'27'!G90</f>
        <v>10.889999999999418</v>
      </c>
      <c r="AJ30" s="19">
        <f t="shared" si="10"/>
        <v>20.059999999997672</v>
      </c>
      <c r="AK30" s="19">
        <f>'27'!G91</f>
        <v>0</v>
      </c>
      <c r="AL30" s="19">
        <f>'27'!G92</f>
        <v>9.7399999999997817</v>
      </c>
      <c r="AM30" s="19"/>
      <c r="AN30" s="19">
        <f t="shared" si="11"/>
        <v>9.7399999999997817</v>
      </c>
      <c r="AO30" s="52">
        <f>'27'!G74</f>
        <v>285.04000000003725</v>
      </c>
      <c r="AP30" s="55">
        <f>'27'!G35</f>
        <v>0</v>
      </c>
      <c r="AQ30" s="19">
        <f>'27'!G37</f>
        <v>1542.640000000014</v>
      </c>
      <c r="AR30" s="19">
        <f>'27'!G38</f>
        <v>2060.9199999999837</v>
      </c>
      <c r="AS30" s="19">
        <f>'27'!G39</f>
        <v>2936.4799999999814</v>
      </c>
      <c r="AT30" s="19">
        <f>'27'!G40</f>
        <v>349.61000000000058</v>
      </c>
      <c r="AU30" s="19">
        <f>'27'!G41</f>
        <v>0</v>
      </c>
      <c r="AV30" s="19">
        <f>'27'!G42</f>
        <v>3519.4400000000605</v>
      </c>
      <c r="AW30" s="19">
        <f>'27'!G43</f>
        <v>0</v>
      </c>
      <c r="AX30" s="23">
        <f>'27'!G44</f>
        <v>0</v>
      </c>
      <c r="AY30" s="56">
        <f>'27'!G36</f>
        <v>658.64000000001397</v>
      </c>
      <c r="AZ30" s="55">
        <f>'27'!G49</f>
        <v>3533.5599999999977</v>
      </c>
      <c r="BA30" s="19">
        <f>'27'!G51</f>
        <v>0</v>
      </c>
      <c r="BB30" s="19">
        <f>'27'!G52</f>
        <v>0</v>
      </c>
      <c r="BC30" s="19">
        <f>'27'!G53</f>
        <v>0</v>
      </c>
      <c r="BD30" s="19">
        <f>'27'!G54</f>
        <v>348.8799999999901</v>
      </c>
      <c r="BE30" s="19">
        <f>'27'!G55</f>
        <v>3815.289999999979</v>
      </c>
      <c r="BF30" s="19">
        <f>'27'!G56</f>
        <v>0</v>
      </c>
      <c r="BG30" s="19">
        <f>'27'!G57</f>
        <v>3128.2699999999895</v>
      </c>
      <c r="BH30" s="56">
        <f>'27'!G50</f>
        <v>977.12000000002445</v>
      </c>
      <c r="BI30" s="60">
        <f t="shared" si="12"/>
        <v>7334.7300000000396</v>
      </c>
      <c r="BJ30" s="60">
        <f>'27'!G133</f>
        <v>602.26000000000931</v>
      </c>
      <c r="BK30" s="23">
        <f t="shared" si="13"/>
        <v>52.738199753576907</v>
      </c>
      <c r="BL30" s="23">
        <f t="shared" si="14"/>
        <v>11.064480759013804</v>
      </c>
      <c r="BM30" s="24">
        <f t="shared" si="15"/>
        <v>7.7654231208340238E-2</v>
      </c>
      <c r="BN30" s="25">
        <f t="shared" si="16"/>
        <v>308976.6519999975</v>
      </c>
      <c r="BO30" s="38">
        <f t="shared" si="17"/>
        <v>11065.260000000038</v>
      </c>
      <c r="BP30">
        <f t="shared" si="18"/>
        <v>1.0243334814486207</v>
      </c>
    </row>
    <row r="31" spans="1:68">
      <c r="A31" s="16">
        <v>28</v>
      </c>
      <c r="B31" s="26">
        <v>28</v>
      </c>
      <c r="C31" s="28"/>
      <c r="D31" s="19">
        <f>'28'!D3</f>
        <v>32</v>
      </c>
      <c r="E31" s="50">
        <f>'28'!D4</f>
        <v>0.7</v>
      </c>
      <c r="F31" s="50">
        <f>'28'!D2</f>
        <v>0.8</v>
      </c>
      <c r="G31" s="19">
        <f>'28'!G7</f>
        <v>27825.049999999988</v>
      </c>
      <c r="H31" s="19">
        <f>'28'!G8</f>
        <v>28321.690000000061</v>
      </c>
      <c r="I31" s="19">
        <v>9</v>
      </c>
      <c r="J31" s="49">
        <f t="shared" si="3"/>
        <v>254895.21000000054</v>
      </c>
      <c r="K31" s="45">
        <f t="shared" si="4"/>
        <v>140.20638613861416</v>
      </c>
      <c r="L31" s="19">
        <f>'28'!G15</f>
        <v>982.03000000002794</v>
      </c>
      <c r="M31" s="19">
        <v>56.2</v>
      </c>
      <c r="N31" s="41">
        <f t="shared" si="5"/>
        <v>55190.086000001575</v>
      </c>
      <c r="O31" s="19">
        <f>'28'!G20</f>
        <v>188</v>
      </c>
      <c r="P31" s="19">
        <v>108</v>
      </c>
      <c r="Q31" s="46">
        <f t="shared" si="0"/>
        <v>20304</v>
      </c>
      <c r="R31" s="47">
        <f t="shared" si="1"/>
        <v>116.33663366336631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91</v>
      </c>
      <c r="W31" s="22">
        <f>'28'!G66</f>
        <v>16</v>
      </c>
      <c r="X31" s="22">
        <f>'28'!G67</f>
        <v>0</v>
      </c>
      <c r="Y31" s="22">
        <f t="shared" si="7"/>
        <v>107</v>
      </c>
      <c r="Z31" s="19">
        <f>'28'!G84</f>
        <v>0</v>
      </c>
      <c r="AA31" s="19">
        <f>'28'!G85</f>
        <v>24.25</v>
      </c>
      <c r="AB31" s="19">
        <f>'28'!G86</f>
        <v>19.559999999997672</v>
      </c>
      <c r="AC31" s="19">
        <f>'28'!G87</f>
        <v>0</v>
      </c>
      <c r="AD31" s="19">
        <f t="shared" si="8"/>
        <v>43.809999999997672</v>
      </c>
      <c r="AE31" s="23">
        <f t="shared" si="2"/>
        <v>8796.6900000000023</v>
      </c>
      <c r="AF31" s="23">
        <f t="shared" si="9"/>
        <v>200.79182834970257</v>
      </c>
      <c r="AG31" s="19">
        <f>'28'!G88</f>
        <v>0.26000000000203727</v>
      </c>
      <c r="AH31" s="19">
        <f>'28'!G89</f>
        <v>9.25</v>
      </c>
      <c r="AI31" s="19">
        <f>'28'!G90</f>
        <v>10.630000000004657</v>
      </c>
      <c r="AJ31" s="19">
        <f t="shared" si="10"/>
        <v>20.140000000006694</v>
      </c>
      <c r="AK31" s="19">
        <f>'28'!G91</f>
        <v>10.039999999999964</v>
      </c>
      <c r="AL31" s="19">
        <f>'28'!G92</f>
        <v>0.28999999999996362</v>
      </c>
      <c r="AM31" s="19"/>
      <c r="AN31" s="19">
        <f t="shared" si="11"/>
        <v>10.329999999999927</v>
      </c>
      <c r="AO31" s="52">
        <f>'28'!G74</f>
        <v>283.76999999990221</v>
      </c>
      <c r="AP31" s="55">
        <f>'28'!G35</f>
        <v>0</v>
      </c>
      <c r="AQ31" s="19">
        <f>'28'!G37</f>
        <v>1587.2199999999721</v>
      </c>
      <c r="AR31" s="19">
        <f>'28'!G38</f>
        <v>2172.4400000000023</v>
      </c>
      <c r="AS31" s="19">
        <f>'28'!G39</f>
        <v>2949.1199999999953</v>
      </c>
      <c r="AT31" s="19">
        <f>'28'!G40</f>
        <v>394.86999999999534</v>
      </c>
      <c r="AU31" s="19">
        <f>'28'!G41</f>
        <v>0</v>
      </c>
      <c r="AV31" s="19">
        <f>'28'!G42</f>
        <v>5879.5200000000186</v>
      </c>
      <c r="AW31" s="86">
        <f>'28'!G43</f>
        <v>-3.0000000027939677E-2</v>
      </c>
      <c r="AX31" s="23">
        <f>'28'!G44</f>
        <v>0</v>
      </c>
      <c r="AY31" s="56">
        <f>'28'!G36</f>
        <v>890.66000000000349</v>
      </c>
      <c r="AZ31" s="55">
        <f>'28'!G49</f>
        <v>3748.1599999999744</v>
      </c>
      <c r="BA31" s="19">
        <f>'28'!G51</f>
        <v>0</v>
      </c>
      <c r="BB31" s="19">
        <f>'28'!G52</f>
        <v>0</v>
      </c>
      <c r="BC31" s="19">
        <f>'28'!G53</f>
        <v>0</v>
      </c>
      <c r="BD31" s="19">
        <f>'28'!G54</f>
        <v>354.19999999999709</v>
      </c>
      <c r="BE31" s="19">
        <f>'28'!G55</f>
        <v>2917.1699999999837</v>
      </c>
      <c r="BF31" s="19">
        <f>'28'!G56</f>
        <v>0</v>
      </c>
      <c r="BG31" s="19">
        <f>'28'!G57</f>
        <v>3156.9400000000023</v>
      </c>
      <c r="BH31" s="56">
        <f>'28'!G50</f>
        <v>1071.8799999999756</v>
      </c>
      <c r="BI31" s="60">
        <f t="shared" si="12"/>
        <v>8796.6900000000023</v>
      </c>
      <c r="BJ31" s="60">
        <f>'28'!G133</f>
        <v>612.45999999999185</v>
      </c>
      <c r="BK31" s="23">
        <f>SUM(AP31,AU31,AV31,AW31,AZ31,BE31,BF31,BG31)/H31%</f>
        <v>55.440759361464373</v>
      </c>
      <c r="BL31" s="23">
        <f t="shared" si="14"/>
        <v>10.412937928492225</v>
      </c>
      <c r="BM31" s="24">
        <f t="shared" si="15"/>
        <v>7.6705874543503499E-2</v>
      </c>
      <c r="BN31" s="25">
        <f t="shared" si="16"/>
        <v>330389.29600000213</v>
      </c>
      <c r="BO31" s="38">
        <f t="shared" si="17"/>
        <v>12566.059999999969</v>
      </c>
      <c r="BP31">
        <f t="shared" si="18"/>
        <v>1.0243959304790684</v>
      </c>
    </row>
    <row r="32" spans="1:68">
      <c r="A32" s="16">
        <v>29</v>
      </c>
      <c r="B32" s="26">
        <v>29</v>
      </c>
      <c r="C32" s="28"/>
      <c r="D32" s="19">
        <f>'29'!D3</f>
        <v>27</v>
      </c>
      <c r="E32" s="50">
        <f>'29'!D4</f>
        <v>0.79</v>
      </c>
      <c r="F32" s="50">
        <f>'29'!D2</f>
        <v>1</v>
      </c>
      <c r="G32" s="19">
        <f>'29'!G7</f>
        <v>28300</v>
      </c>
      <c r="H32" s="19">
        <f>'29'!G8</f>
        <v>28500</v>
      </c>
      <c r="I32" s="19">
        <v>9</v>
      </c>
      <c r="J32" s="49">
        <f t="shared" si="3"/>
        <v>256500</v>
      </c>
      <c r="K32" s="45">
        <f t="shared" si="4"/>
        <v>141.0891089108911</v>
      </c>
      <c r="L32" s="19">
        <f>'29'!G15</f>
        <v>1100</v>
      </c>
      <c r="M32" s="19">
        <v>56.2</v>
      </c>
      <c r="N32" s="41">
        <f t="shared" si="5"/>
        <v>61820</v>
      </c>
      <c r="O32" s="19">
        <f>'29'!G20</f>
        <v>-433</v>
      </c>
      <c r="P32" s="19">
        <v>108</v>
      </c>
      <c r="Q32" s="46">
        <f t="shared" si="0"/>
        <v>-46764</v>
      </c>
      <c r="R32" s="47">
        <f t="shared" si="1"/>
        <v>-214.35643564356437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-3369</v>
      </c>
      <c r="W32" s="22">
        <f>'29'!G66</f>
        <v>-701</v>
      </c>
      <c r="X32" s="22">
        <f>'29'!G67</f>
        <v>-542</v>
      </c>
      <c r="Y32" s="22">
        <f t="shared" si="7"/>
        <v>-4612</v>
      </c>
      <c r="Z32" s="19">
        <f>'29'!G84</f>
        <v>-306</v>
      </c>
      <c r="AA32" s="19">
        <f>'29'!G85</f>
        <v>-555.1899999999996</v>
      </c>
      <c r="AB32" s="19">
        <f>'29'!G86</f>
        <v>-371.09999999999854</v>
      </c>
      <c r="AC32" s="19">
        <f>'29'!G87</f>
        <v>-29.05000000000291</v>
      </c>
      <c r="AD32" s="19">
        <f t="shared" si="8"/>
        <v>-1261.3400000000011</v>
      </c>
      <c r="AE32" s="23">
        <f t="shared" si="2"/>
        <v>-267765.74</v>
      </c>
      <c r="AF32" s="23">
        <f t="shared" si="9"/>
        <v>212.28672681434011</v>
      </c>
      <c r="AG32" s="19">
        <f>'29'!G88</f>
        <v>-59.040000000000873</v>
      </c>
      <c r="AH32" s="19">
        <f>'29'!G89</f>
        <v>-301.34999999999854</v>
      </c>
      <c r="AI32" s="19">
        <f>'29'!G90</f>
        <v>-189.86000000000058</v>
      </c>
      <c r="AJ32" s="19">
        <f t="shared" si="10"/>
        <v>-550.25</v>
      </c>
      <c r="AK32" s="19">
        <f>'29'!G91</f>
        <v>-10.039999999999964</v>
      </c>
      <c r="AL32" s="19">
        <f>'29'!G92</f>
        <v>-306.94999999999982</v>
      </c>
      <c r="AM32" s="19"/>
      <c r="AN32" s="19">
        <f t="shared" si="11"/>
        <v>-316.98999999999978</v>
      </c>
      <c r="AO32" s="52">
        <f>'29'!G74</f>
        <v>-9124.4499999999534</v>
      </c>
      <c r="AP32" s="55">
        <f>'29'!G35</f>
        <v>0.95000000001164153</v>
      </c>
      <c r="AQ32" s="19">
        <f>'29'!G37</f>
        <v>-50958.469999999972</v>
      </c>
      <c r="AR32" s="19">
        <f>'29'!G38</f>
        <v>-70561.789999999979</v>
      </c>
      <c r="AS32" s="19">
        <f>'29'!G39</f>
        <v>-91400.789999999979</v>
      </c>
      <c r="AT32" s="19">
        <f>'29'!G40</f>
        <v>-9549.679999999993</v>
      </c>
      <c r="AU32" s="19">
        <f>'29'!G41</f>
        <v>-73983.41</v>
      </c>
      <c r="AV32" s="19">
        <f>'29'!G42</f>
        <v>-132759.03000000003</v>
      </c>
      <c r="AW32" s="19">
        <f>'29'!G43</f>
        <v>0</v>
      </c>
      <c r="AX32" s="23">
        <f>'29'!G44</f>
        <v>0</v>
      </c>
      <c r="AY32" s="56">
        <f>'29'!G36</f>
        <v>-26275.790000000008</v>
      </c>
      <c r="AZ32" s="55">
        <f>'29'!G49</f>
        <v>-111663.34999999998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-12740.789999999994</v>
      </c>
      <c r="BE32" s="19">
        <f>'29'!G55</f>
        <v>-57026.169999999984</v>
      </c>
      <c r="BF32" s="19">
        <f>'29'!G56</f>
        <v>-3997.1300000000047</v>
      </c>
      <c r="BG32" s="19">
        <f>'29'!G57</f>
        <v>-95136.39</v>
      </c>
      <c r="BH32" s="56">
        <f>'29'!G50</f>
        <v>-33221.109999999986</v>
      </c>
      <c r="BI32" s="60">
        <f t="shared" si="12"/>
        <v>-267765.74</v>
      </c>
      <c r="BJ32" s="60">
        <f>'29'!G133</f>
        <v>-22330.709999999992</v>
      </c>
      <c r="BK32" s="23">
        <f t="shared" si="13"/>
        <v>-1665.1387017543859</v>
      </c>
      <c r="BL32" s="23">
        <f t="shared" si="14"/>
        <v>-320.70452631578939</v>
      </c>
      <c r="BM32" s="24">
        <f t="shared" si="15"/>
        <v>-2.4758522807017536</v>
      </c>
      <c r="BN32" s="25">
        <f t="shared" si="16"/>
        <v>271556</v>
      </c>
      <c r="BO32" s="38">
        <f t="shared" si="17"/>
        <v>-385232.83999999997</v>
      </c>
      <c r="BP32">
        <f t="shared" si="18"/>
        <v>1.0907697935755387</v>
      </c>
    </row>
    <row r="33" spans="1:68">
      <c r="A33" s="16">
        <v>30</v>
      </c>
      <c r="B33" s="27">
        <v>30</v>
      </c>
      <c r="C33" s="28"/>
      <c r="D33" s="19">
        <f>'30'!D3</f>
        <v>31</v>
      </c>
      <c r="E33" s="50">
        <f>'30'!D4</f>
        <v>0.78</v>
      </c>
      <c r="F33" s="50">
        <f>'30'!D2</f>
        <v>0.73</v>
      </c>
      <c r="G33" s="19">
        <f>'30'!G7</f>
        <v>28299.999999999942</v>
      </c>
      <c r="H33" s="19">
        <f>'30'!G8</f>
        <v>28500</v>
      </c>
      <c r="I33" s="19">
        <v>9</v>
      </c>
      <c r="J33" s="49">
        <f t="shared" si="3"/>
        <v>256500</v>
      </c>
      <c r="K33" s="45">
        <f t="shared" si="4"/>
        <v>141.0891089108911</v>
      </c>
      <c r="L33" s="19">
        <f>'30'!G15</f>
        <v>1100</v>
      </c>
      <c r="M33" s="19">
        <v>56.2</v>
      </c>
      <c r="N33" s="41">
        <f t="shared" si="5"/>
        <v>61820</v>
      </c>
      <c r="O33" s="19">
        <f>'30'!G20</f>
        <v>285</v>
      </c>
      <c r="P33" s="19">
        <v>108</v>
      </c>
      <c r="Q33" s="46">
        <f t="shared" si="0"/>
        <v>30780</v>
      </c>
      <c r="R33" s="47">
        <f t="shared" si="1"/>
        <v>193.27275193272752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105</v>
      </c>
      <c r="W33" s="22">
        <f>'30'!G66</f>
        <v>21</v>
      </c>
      <c r="X33" s="22">
        <f>'30'!G67</f>
        <v>71</v>
      </c>
      <c r="Y33" s="22">
        <f t="shared" si="7"/>
        <v>197</v>
      </c>
      <c r="Z33" s="19">
        <f>'30'!G84</f>
        <v>0</v>
      </c>
      <c r="AA33" s="19">
        <f>'30'!G85</f>
        <v>23.659999999999854</v>
      </c>
      <c r="AB33" s="19">
        <f>'30'!G86</f>
        <v>18.540000000000873</v>
      </c>
      <c r="AC33" s="19">
        <f>'30'!G87</f>
        <v>0</v>
      </c>
      <c r="AD33" s="19">
        <f t="shared" si="8"/>
        <v>42.200000000000728</v>
      </c>
      <c r="AE33" s="23">
        <f t="shared" si="2"/>
        <v>8492</v>
      </c>
      <c r="AF33" s="23">
        <f t="shared" si="9"/>
        <v>201.2322274881482</v>
      </c>
      <c r="AG33" s="19">
        <f>'30'!G88</f>
        <v>0</v>
      </c>
      <c r="AH33" s="19">
        <f>'30'!G89</f>
        <v>9.569999999999709</v>
      </c>
      <c r="AI33" s="19">
        <f>'30'!G90</f>
        <v>10.669999999998254</v>
      </c>
      <c r="AJ33" s="19">
        <f t="shared" si="10"/>
        <v>20.239999999997963</v>
      </c>
      <c r="AK33" s="19">
        <f>'30'!G91</f>
        <v>-0.3500000000003638</v>
      </c>
      <c r="AL33" s="19">
        <f>'30'!G92</f>
        <v>11.260000000000218</v>
      </c>
      <c r="AM33" s="19"/>
      <c r="AN33" s="19">
        <f t="shared" si="11"/>
        <v>10.909999999999854</v>
      </c>
      <c r="AO33" s="52">
        <f>'30'!G74</f>
        <v>329</v>
      </c>
      <c r="AP33" s="55">
        <f>'30'!G35</f>
        <v>0</v>
      </c>
      <c r="AQ33" s="19">
        <f>'30'!G37</f>
        <v>1641</v>
      </c>
      <c r="AR33" s="19">
        <f>'30'!G38</f>
        <v>2258</v>
      </c>
      <c r="AS33" s="19">
        <f>'30'!G39</f>
        <v>2936</v>
      </c>
      <c r="AT33" s="19">
        <f>'30'!G40</f>
        <v>169.69999999999709</v>
      </c>
      <c r="AU33" s="19">
        <f>'30'!G41</f>
        <v>0</v>
      </c>
      <c r="AV33" s="19">
        <f>'30'!G42</f>
        <v>5763</v>
      </c>
      <c r="AW33" s="19">
        <f>'30'!G43</f>
        <v>0</v>
      </c>
      <c r="AX33" s="23">
        <f>'30'!G44</f>
        <v>0</v>
      </c>
      <c r="AY33" s="56">
        <f>'30'!G36</f>
        <v>925</v>
      </c>
      <c r="AZ33" s="55">
        <f>'30'!G49</f>
        <v>4146</v>
      </c>
      <c r="BA33" s="19">
        <f>'30'!G51</f>
        <v>-0.31999999999999318</v>
      </c>
      <c r="BB33" s="19">
        <f>'30'!G52</f>
        <v>0</v>
      </c>
      <c r="BC33" s="19">
        <f>'30'!G53</f>
        <v>0</v>
      </c>
      <c r="BD33" s="19">
        <f>'30'!G54</f>
        <v>498.09999999999854</v>
      </c>
      <c r="BE33" s="19">
        <f>'30'!G55</f>
        <v>2729</v>
      </c>
      <c r="BF33" s="19">
        <f>'30'!G56</f>
        <v>0</v>
      </c>
      <c r="BG33" s="19">
        <f>'30'!G57</f>
        <v>2519.0499999999993</v>
      </c>
      <c r="BH33" s="56">
        <f>'30'!G50</f>
        <v>1233</v>
      </c>
      <c r="BI33" s="60">
        <f t="shared" ref="BI33" si="19">SUM(AU33,AV33,BE33,BF33)</f>
        <v>8492</v>
      </c>
      <c r="BJ33" s="60">
        <f>'30'!G133</f>
        <v>830</v>
      </c>
      <c r="BK33" s="23">
        <f t="shared" si="13"/>
        <v>53.182631578947365</v>
      </c>
      <c r="BL33" s="23">
        <f t="shared" si="14"/>
        <v>10.301754385964912</v>
      </c>
      <c r="BM33" s="24">
        <f t="shared" si="15"/>
        <v>7.9228070175438592E-2</v>
      </c>
      <c r="BN33" s="25">
        <f t="shared" si="16"/>
        <v>349100</v>
      </c>
      <c r="BO33" s="38">
        <f t="shared" si="17"/>
        <v>11841.05</v>
      </c>
      <c r="BP33">
        <f t="shared" si="18"/>
        <v>1.0021200067704634</v>
      </c>
    </row>
    <row r="34" spans="1:68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31</v>
      </c>
      <c r="G34" s="19">
        <f>'31'!G7</f>
        <v>28300</v>
      </c>
      <c r="H34" s="19">
        <f>'31'!G8</f>
        <v>28500</v>
      </c>
      <c r="I34" s="19">
        <v>9</v>
      </c>
      <c r="J34" s="49">
        <f t="shared" si="3"/>
        <v>256500</v>
      </c>
      <c r="K34" s="45">
        <f t="shared" ref="K34" si="20">H34/202</f>
        <v>141.0891089108911</v>
      </c>
      <c r="L34" s="19">
        <f>'31'!G15</f>
        <v>1100</v>
      </c>
      <c r="M34" s="19">
        <v>56.2</v>
      </c>
      <c r="N34" s="41">
        <f t="shared" ref="N34" si="21">L34*M34</f>
        <v>61820</v>
      </c>
      <c r="O34" s="19">
        <f>'31'!G20</f>
        <v>350</v>
      </c>
      <c r="P34" s="19">
        <v>108</v>
      </c>
      <c r="Q34" s="46">
        <f t="shared" ref="Q34" si="22">O34*P34</f>
        <v>37800</v>
      </c>
      <c r="R34" s="47">
        <f t="shared" si="1"/>
        <v>5.5892686042797832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105</v>
      </c>
      <c r="W34" s="22">
        <f>'31'!G66</f>
        <v>22</v>
      </c>
      <c r="X34" s="22">
        <f>'31'!G67</f>
        <v>69</v>
      </c>
      <c r="Y34" s="22">
        <f t="shared" ref="Y34" si="24">V34+W34+X34</f>
        <v>196</v>
      </c>
      <c r="Z34" s="19">
        <f>'31'!G84</f>
        <v>0</v>
      </c>
      <c r="AA34" s="19">
        <f>'31'!G85</f>
        <v>24</v>
      </c>
      <c r="AB34" s="19">
        <f>'31'!G86</f>
        <v>18</v>
      </c>
      <c r="AC34" s="19">
        <f>'31'!G87</f>
        <v>0</v>
      </c>
      <c r="AD34" s="19">
        <f t="shared" ref="AD34" si="25">Z34+AA34+AB34+AC34</f>
        <v>42</v>
      </c>
      <c r="AE34" s="23">
        <f t="shared" ref="AE34" si="26">AU34+AV34+BE34+BF34</f>
        <v>8088</v>
      </c>
      <c r="AF34" s="23">
        <f t="shared" ref="AF34" si="27">AE34/AD34</f>
        <v>192.57142857142858</v>
      </c>
      <c r="AG34" s="19">
        <f>'31'!G88</f>
        <v>9.5200000000004366</v>
      </c>
      <c r="AH34" s="19">
        <f>'31'!G89</f>
        <v>11.389999999999418</v>
      </c>
      <c r="AI34" s="19">
        <f>'31'!G90</f>
        <v>0</v>
      </c>
      <c r="AJ34" s="19">
        <f t="shared" ref="AJ34" si="28">AG34+AH34+AI34</f>
        <v>20.909999999999854</v>
      </c>
      <c r="AK34" s="19">
        <f>'31'!G91</f>
        <v>0</v>
      </c>
      <c r="AL34" s="19">
        <f>'31'!G92</f>
        <v>11.149999999999636</v>
      </c>
      <c r="AM34" s="19"/>
      <c r="AN34" s="19">
        <f t="shared" ref="AN34" si="29">AK34+AL34</f>
        <v>11.149999999999636</v>
      </c>
      <c r="AO34" s="52">
        <f>'31'!G74</f>
        <v>324</v>
      </c>
      <c r="AP34" s="55">
        <f>'31'!G35</f>
        <v>0</v>
      </c>
      <c r="AQ34" s="19">
        <f>'31'!G37</f>
        <v>1790</v>
      </c>
      <c r="AR34" s="19">
        <f>'31'!G38</f>
        <v>2284</v>
      </c>
      <c r="AS34" s="19">
        <f>'31'!G39</f>
        <v>3217</v>
      </c>
      <c r="AT34" s="19">
        <f>'31'!G40</f>
        <v>280</v>
      </c>
      <c r="AU34" s="19">
        <f>'31'!G41</f>
        <v>0</v>
      </c>
      <c r="AV34" s="19">
        <f>'31'!G42</f>
        <v>5157</v>
      </c>
      <c r="AW34" s="19">
        <f>'31'!G43</f>
        <v>0</v>
      </c>
      <c r="AX34" s="23">
        <f>'31'!G44</f>
        <v>0</v>
      </c>
      <c r="AY34" s="56">
        <f>'31'!G36</f>
        <v>797</v>
      </c>
      <c r="AZ34" s="55">
        <f>'31'!G49</f>
        <v>3730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484.40000000000146</v>
      </c>
      <c r="BE34" s="19">
        <f>'31'!G55</f>
        <v>2931</v>
      </c>
      <c r="BF34" s="19">
        <f>'31'!G56</f>
        <v>0</v>
      </c>
      <c r="BG34" s="19">
        <f>'31'!G57</f>
        <v>2524</v>
      </c>
      <c r="BH34" s="56">
        <f>'31'!G50</f>
        <v>933</v>
      </c>
      <c r="BI34" s="60">
        <f t="shared" ref="BI34" si="30">SUM(AU34,AV34,BE34,BF34)</f>
        <v>8088</v>
      </c>
      <c r="BJ34" s="60">
        <f>'31'!G133</f>
        <v>849</v>
      </c>
      <c r="BK34" s="23">
        <f t="shared" ref="BK34" si="31">SUM(AP34,AU34,AV34,AW34,AZ34,BE34,BF34,BG34)/H34%</f>
        <v>50.322807017543859</v>
      </c>
      <c r="BL34" s="23">
        <f t="shared" ref="BL34" si="32">SUM(AS34,BC34)/H34%</f>
        <v>11.287719298245614</v>
      </c>
      <c r="BM34" s="24">
        <f t="shared" ref="BM34" si="33">(AR34+BB34)/H34</f>
        <v>8.0140350877192984E-2</v>
      </c>
      <c r="BN34" s="25">
        <f t="shared" ref="BN34" si="34">J34+N34+Q34+U34</f>
        <v>356120</v>
      </c>
      <c r="BO34" s="38">
        <f t="shared" ref="BO34" si="35">SUM(AU34,AV34,AW34,BE34,BF34,BG34,BJ34)</f>
        <v>11461</v>
      </c>
      <c r="BP34">
        <f t="shared" ref="BP34" si="36">BO34/(AD34*280)</f>
        <v>0.97457482993197275</v>
      </c>
    </row>
    <row r="35" spans="1:68">
      <c r="A35" s="16" t="s">
        <v>196</v>
      </c>
      <c r="B35" s="30"/>
      <c r="C35" s="31"/>
      <c r="D35" s="32">
        <f>AVERAGE(D4:D34)</f>
        <v>28.967741935483872</v>
      </c>
      <c r="E35" s="33"/>
      <c r="F35" s="73">
        <f>AVERAGE(F4:F34)</f>
        <v>1.7936548387096776</v>
      </c>
      <c r="G35" s="34">
        <f>SUM(G4:G34)</f>
        <v>862555.95</v>
      </c>
      <c r="H35" s="34">
        <f t="shared" ref="H35:BN35" si="37">SUM(H4:H34)</f>
        <v>885354.49000000011</v>
      </c>
      <c r="I35" s="19">
        <v>9</v>
      </c>
      <c r="J35" s="34">
        <f t="shared" si="37"/>
        <v>7968190.4100000011</v>
      </c>
      <c r="K35" s="34">
        <f t="shared" si="37"/>
        <v>4382.94301980198</v>
      </c>
      <c r="L35" s="34">
        <f t="shared" si="37"/>
        <v>32296.290000000037</v>
      </c>
      <c r="M35" s="34">
        <f t="shared" si="37"/>
        <v>1742.200000000001</v>
      </c>
      <c r="N35" s="34">
        <f t="shared" si="37"/>
        <v>1815051.4980000022</v>
      </c>
      <c r="O35" s="34">
        <f t="shared" si="37"/>
        <v>7406</v>
      </c>
      <c r="P35" s="34">
        <f t="shared" si="37"/>
        <v>3348</v>
      </c>
      <c r="Q35" s="34">
        <f t="shared" si="37"/>
        <v>799848</v>
      </c>
      <c r="R35" s="34">
        <f t="shared" si="37"/>
        <v>4556.7732850403081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448143</v>
      </c>
      <c r="W35" s="34">
        <f t="shared" si="37"/>
        <v>0</v>
      </c>
      <c r="X35" s="34">
        <f t="shared" si="37"/>
        <v>0</v>
      </c>
      <c r="Y35" s="34">
        <f t="shared" si="37"/>
        <v>448143</v>
      </c>
      <c r="Z35" s="34">
        <f t="shared" si="37"/>
        <v>0</v>
      </c>
      <c r="AA35" s="34">
        <f t="shared" si="37"/>
        <v>0</v>
      </c>
      <c r="AB35" s="34">
        <f t="shared" si="37"/>
        <v>0</v>
      </c>
      <c r="AC35" s="34">
        <f t="shared" si="37"/>
        <v>0</v>
      </c>
      <c r="AD35" s="34">
        <f t="shared" si="37"/>
        <v>0</v>
      </c>
      <c r="AE35" s="34">
        <f t="shared" si="37"/>
        <v>-7182.5199999998731</v>
      </c>
      <c r="AF35" s="34">
        <f t="shared" si="37"/>
        <v>6404.1910948778441</v>
      </c>
      <c r="AG35" s="34">
        <f t="shared" si="37"/>
        <v>0</v>
      </c>
      <c r="AH35" s="34">
        <f t="shared" si="37"/>
        <v>0</v>
      </c>
      <c r="AI35" s="34">
        <f t="shared" si="37"/>
        <v>0</v>
      </c>
      <c r="AJ35" s="34">
        <f t="shared" si="37"/>
        <v>0</v>
      </c>
      <c r="AK35" s="34">
        <f t="shared" si="37"/>
        <v>0</v>
      </c>
      <c r="AL35" s="34">
        <f t="shared" si="37"/>
        <v>0</v>
      </c>
      <c r="AM35" s="34">
        <f t="shared" si="37"/>
        <v>0</v>
      </c>
      <c r="AN35" s="34">
        <f t="shared" si="37"/>
        <v>0</v>
      </c>
      <c r="AO35" s="34">
        <f t="shared" si="37"/>
        <v>-314</v>
      </c>
      <c r="AP35" s="34">
        <f t="shared" si="37"/>
        <v>0</v>
      </c>
      <c r="AQ35" s="34">
        <f t="shared" si="37"/>
        <v>0</v>
      </c>
      <c r="AR35" s="34">
        <f t="shared" si="37"/>
        <v>-2000</v>
      </c>
      <c r="AS35" s="34">
        <f t="shared" si="37"/>
        <v>-3044.9099999999744</v>
      </c>
      <c r="AT35" s="34">
        <f t="shared" si="37"/>
        <v>0</v>
      </c>
      <c r="AU35" s="34">
        <f t="shared" si="37"/>
        <v>0</v>
      </c>
      <c r="AV35" s="34">
        <f t="shared" si="37"/>
        <v>-7182.5199999999022</v>
      </c>
      <c r="AW35" s="34">
        <f t="shared" si="37"/>
        <v>0</v>
      </c>
      <c r="AX35" s="34">
        <f t="shared" si="37"/>
        <v>0</v>
      </c>
      <c r="AY35" s="34">
        <f t="shared" si="37"/>
        <v>0</v>
      </c>
      <c r="AZ35" s="34">
        <f t="shared" si="37"/>
        <v>-3000</v>
      </c>
      <c r="BA35" s="34">
        <f t="shared" si="37"/>
        <v>0</v>
      </c>
      <c r="BB35" s="34">
        <f t="shared" si="37"/>
        <v>0</v>
      </c>
      <c r="BC35" s="34">
        <f t="shared" si="37"/>
        <v>0</v>
      </c>
      <c r="BD35" s="34">
        <f t="shared" si="37"/>
        <v>8.2899999999935972</v>
      </c>
      <c r="BE35" s="34">
        <f t="shared" si="37"/>
        <v>0</v>
      </c>
      <c r="BF35" s="34">
        <f t="shared" si="37"/>
        <v>0</v>
      </c>
      <c r="BG35" s="34">
        <f t="shared" si="37"/>
        <v>-1814.0000000000036</v>
      </c>
      <c r="BH35" s="34">
        <f t="shared" si="37"/>
        <v>0</v>
      </c>
      <c r="BI35" s="34">
        <f t="shared" si="37"/>
        <v>-7182.5199999998731</v>
      </c>
      <c r="BJ35" s="34">
        <f t="shared" si="37"/>
        <v>-1639.75</v>
      </c>
      <c r="BK35" s="34">
        <f t="shared" si="37"/>
        <v>-51.289383828301531</v>
      </c>
      <c r="BL35" s="34">
        <f t="shared" si="37"/>
        <v>-11.596479898917783</v>
      </c>
      <c r="BM35" s="34">
        <f t="shared" si="37"/>
        <v>-7.996348329987904E-2</v>
      </c>
      <c r="BN35" s="34">
        <f t="shared" si="37"/>
        <v>10583089.908000004</v>
      </c>
      <c r="BO35" s="38">
        <f t="shared" si="17"/>
        <v>-10636.269999999906</v>
      </c>
      <c r="BP35" t="e">
        <f t="shared" si="18"/>
        <v>#DIV/0!</v>
      </c>
    </row>
    <row r="36" spans="1:68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0</v>
      </c>
      <c r="E36" s="35">
        <f t="shared" si="38"/>
        <v>0</v>
      </c>
      <c r="F36" s="35">
        <f t="shared" si="38"/>
        <v>3.0000000000000027E-2</v>
      </c>
      <c r="G36" s="35"/>
      <c r="H36" s="35">
        <f t="shared" ref="H36:AN36" si="39">H18-H17</f>
        <v>-590</v>
      </c>
      <c r="I36" s="35">
        <f t="shared" si="39"/>
        <v>0</v>
      </c>
      <c r="J36" s="42">
        <f t="shared" si="39"/>
        <v>-5310</v>
      </c>
      <c r="K36" s="42">
        <f t="shared" si="39"/>
        <v>-2.9207920792079278</v>
      </c>
      <c r="L36" s="35">
        <f t="shared" si="39"/>
        <v>21</v>
      </c>
      <c r="M36" s="35">
        <f t="shared" si="39"/>
        <v>0</v>
      </c>
      <c r="N36" s="42">
        <f t="shared" si="39"/>
        <v>1180.2000000000044</v>
      </c>
      <c r="O36" s="35">
        <f t="shared" si="39"/>
        <v>-40</v>
      </c>
      <c r="P36" s="35">
        <f t="shared" si="39"/>
        <v>0</v>
      </c>
      <c r="Q36" s="42">
        <f t="shared" si="39"/>
        <v>-4320</v>
      </c>
      <c r="R36" s="42">
        <f t="shared" si="39"/>
        <v>-45.596664929650927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-21</v>
      </c>
      <c r="W36" s="35">
        <f t="shared" si="39"/>
        <v>-11</v>
      </c>
      <c r="X36" s="35">
        <f t="shared" si="39"/>
        <v>-1</v>
      </c>
      <c r="Y36" s="35">
        <f t="shared" si="39"/>
        <v>-33</v>
      </c>
      <c r="Z36" s="35">
        <f t="shared" si="39"/>
        <v>-5</v>
      </c>
      <c r="AA36" s="35">
        <f t="shared" si="39"/>
        <v>4</v>
      </c>
      <c r="AB36" s="35">
        <f t="shared" si="39"/>
        <v>0</v>
      </c>
      <c r="AC36" s="35">
        <f t="shared" si="39"/>
        <v>-4</v>
      </c>
      <c r="AD36" s="35">
        <f t="shared" si="39"/>
        <v>-5</v>
      </c>
      <c r="AE36" s="35">
        <f t="shared" si="39"/>
        <v>341.60000000000582</v>
      </c>
      <c r="AF36" s="35">
        <f t="shared" si="39"/>
        <v>30.156879844961338</v>
      </c>
      <c r="AG36" s="35">
        <f t="shared" si="39"/>
        <v>0</v>
      </c>
      <c r="AH36" s="35">
        <f t="shared" si="39"/>
        <v>-0.36999999999898137</v>
      </c>
      <c r="AI36" s="35">
        <f t="shared" si="39"/>
        <v>0.53999999999359716</v>
      </c>
      <c r="AJ36" s="35">
        <f t="shared" si="39"/>
        <v>0.16999999999461579</v>
      </c>
      <c r="AK36" s="35">
        <f t="shared" si="39"/>
        <v>0</v>
      </c>
      <c r="AL36" s="35">
        <f t="shared" si="39"/>
        <v>-0.23999999999978172</v>
      </c>
      <c r="AM36" s="35">
        <f t="shared" si="39"/>
        <v>0</v>
      </c>
      <c r="AN36" s="35">
        <f t="shared" si="39"/>
        <v>-0.23999999999978172</v>
      </c>
      <c r="AO36" s="35"/>
      <c r="AP36" s="35">
        <f t="shared" ref="AP36:AW36" si="40">AP18-AP17</f>
        <v>0</v>
      </c>
      <c r="AQ36" s="35">
        <f t="shared" si="40"/>
        <v>-33</v>
      </c>
      <c r="AR36" s="35">
        <f t="shared" si="40"/>
        <v>-94</v>
      </c>
      <c r="AS36" s="35">
        <f t="shared" si="40"/>
        <v>24</v>
      </c>
      <c r="AT36" s="35">
        <f t="shared" si="40"/>
        <v>-38</v>
      </c>
      <c r="AU36" s="35">
        <f t="shared" si="40"/>
        <v>-983</v>
      </c>
      <c r="AV36" s="35">
        <f t="shared" si="40"/>
        <v>1904</v>
      </c>
      <c r="AW36" s="35">
        <f t="shared" si="40"/>
        <v>0</v>
      </c>
      <c r="AX36" s="35"/>
      <c r="AY36" s="35"/>
      <c r="AZ36" s="35">
        <f t="shared" ref="AZ36:BG36" si="41">AZ18-AZ17</f>
        <v>-94</v>
      </c>
      <c r="BA36" s="35">
        <f t="shared" si="41"/>
        <v>0</v>
      </c>
      <c r="BB36" s="35">
        <f t="shared" si="41"/>
        <v>0</v>
      </c>
      <c r="BC36" s="35">
        <f t="shared" si="41"/>
        <v>0</v>
      </c>
      <c r="BD36" s="35">
        <f t="shared" si="41"/>
        <v>4</v>
      </c>
      <c r="BE36" s="35">
        <f t="shared" si="41"/>
        <v>0</v>
      </c>
      <c r="BF36" s="35">
        <f t="shared" si="41"/>
        <v>-579.39999999999418</v>
      </c>
      <c r="BG36" s="35">
        <f t="shared" si="41"/>
        <v>12</v>
      </c>
      <c r="BH36" s="35"/>
      <c r="BI36" s="35"/>
      <c r="BJ36" s="35"/>
      <c r="BK36" s="35">
        <f>BK18-BK17</f>
        <v>2.0398857553945575</v>
      </c>
      <c r="BL36" s="35">
        <f>BL18-BL17</f>
        <v>0.29387798144137989</v>
      </c>
      <c r="BM36" s="35"/>
      <c r="BN36" s="35">
        <f>BN18-BN17</f>
        <v>-8449.7999999999884</v>
      </c>
      <c r="BO36" s="35">
        <f>BO18-BO17</f>
        <v>324.60000000000582</v>
      </c>
    </row>
    <row r="37" spans="1:68">
      <c r="F37" s="38">
        <f>AVERAGE(F4:F35)</f>
        <v>1.7936548387096776</v>
      </c>
      <c r="G37" s="38"/>
      <c r="H37" s="38">
        <f>AVERAGE(H4:H35)</f>
        <v>55334.655625000007</v>
      </c>
    </row>
    <row r="38" spans="1:68">
      <c r="B38" s="36" t="s">
        <v>66</v>
      </c>
      <c r="F38" s="72">
        <f>AVERAGE(F4:F35)</f>
        <v>1.7936548387096776</v>
      </c>
      <c r="G38" s="72"/>
    </row>
    <row r="41" spans="1:68">
      <c r="BI41">
        <f>(BI31+BJ31)/400</f>
        <v>23.522874999999985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topLeftCell="A16" workbookViewId="0">
      <selection activeCell="G31" sqref="G31"/>
    </sheetView>
  </sheetViews>
  <sheetFormatPr defaultRowHeight="15.7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380" t="s">
        <v>353</v>
      </c>
    </row>
    <row r="2" spans="1:17">
      <c r="A2" s="248">
        <v>1</v>
      </c>
      <c r="B2" s="381">
        <f>C2/202%</f>
        <v>78.712871287128706</v>
      </c>
      <c r="C2" s="381">
        <v>159</v>
      </c>
      <c r="D2" s="381">
        <v>9</v>
      </c>
      <c r="E2" s="381">
        <f>(C2+D2)/202%</f>
        <v>83.168316831683171</v>
      </c>
      <c r="F2" s="382">
        <v>401</v>
      </c>
      <c r="G2" s="382">
        <f>C2+D2</f>
        <v>168</v>
      </c>
      <c r="H2" s="383">
        <f>C2/202%</f>
        <v>78.712871287128706</v>
      </c>
      <c r="I2" s="384"/>
      <c r="J2" s="383">
        <f>'Section Load'!C5/G2</f>
        <v>167.01785714285714</v>
      </c>
      <c r="K2">
        <f>10/202</f>
        <v>4.9504950495049507E-2</v>
      </c>
    </row>
    <row r="3" spans="1:17">
      <c r="A3" s="248">
        <v>2</v>
      </c>
      <c r="B3" s="381">
        <f t="shared" ref="B3:B32" si="0">C3/202%</f>
        <v>76.732673267326732</v>
      </c>
      <c r="C3" s="381">
        <v>155</v>
      </c>
      <c r="D3" s="381">
        <v>9</v>
      </c>
      <c r="E3" s="381">
        <f t="shared" ref="E3:E32" si="1">(C3+D3)/202%</f>
        <v>81.188118811881182</v>
      </c>
      <c r="F3" s="382">
        <v>329</v>
      </c>
      <c r="G3" s="382">
        <f t="shared" ref="G3:G31" si="2">C3+D3</f>
        <v>164</v>
      </c>
      <c r="H3" s="383">
        <f t="shared" ref="H3:H32" si="3">C3/202%</f>
        <v>76.732673267326732</v>
      </c>
      <c r="I3" s="384"/>
      <c r="J3" s="383">
        <f>'Section Load'!C6/G3</f>
        <v>174.2439024390244</v>
      </c>
    </row>
    <row r="4" spans="1:17">
      <c r="A4" s="248">
        <v>3</v>
      </c>
      <c r="B4" s="381">
        <f t="shared" si="0"/>
        <v>78.712871287128706</v>
      </c>
      <c r="C4" s="381">
        <v>159</v>
      </c>
      <c r="D4" s="381">
        <v>8</v>
      </c>
      <c r="E4" s="381">
        <f t="shared" si="1"/>
        <v>82.67326732673267</v>
      </c>
      <c r="F4" s="382">
        <v>329</v>
      </c>
      <c r="G4" s="382">
        <f t="shared" si="2"/>
        <v>167</v>
      </c>
      <c r="H4" s="383">
        <f t="shared" si="3"/>
        <v>78.712871287128706</v>
      </c>
      <c r="I4" s="384"/>
      <c r="J4" s="383">
        <f>'Section Load'!C7/G4</f>
        <v>172.53293413173654</v>
      </c>
      <c r="Q4" s="403">
        <f>C2/202</f>
        <v>0.78712871287128716</v>
      </c>
    </row>
    <row r="5" spans="1:17">
      <c r="A5" s="248">
        <v>4</v>
      </c>
      <c r="B5" s="381">
        <f t="shared" si="0"/>
        <v>67.32673267326733</v>
      </c>
      <c r="C5" s="381">
        <v>136</v>
      </c>
      <c r="D5" s="381">
        <v>10</v>
      </c>
      <c r="E5" s="381">
        <f t="shared" si="1"/>
        <v>72.277227722772281</v>
      </c>
      <c r="F5" s="382">
        <v>366</v>
      </c>
      <c r="G5" s="382">
        <f t="shared" si="2"/>
        <v>146</v>
      </c>
      <c r="H5" s="383">
        <f t="shared" si="3"/>
        <v>67.32673267326733</v>
      </c>
      <c r="I5" s="384"/>
      <c r="J5" s="383">
        <f>'Section Load'!C8/G5</f>
        <v>194.60273972602741</v>
      </c>
    </row>
    <row r="6" spans="1:17">
      <c r="A6" s="248">
        <v>5</v>
      </c>
      <c r="B6" s="381">
        <f t="shared" si="0"/>
        <v>38.118811881188115</v>
      </c>
      <c r="C6" s="381">
        <v>77</v>
      </c>
      <c r="D6" s="381">
        <v>13</v>
      </c>
      <c r="E6" s="381">
        <f t="shared" si="1"/>
        <v>44.554455445544555</v>
      </c>
      <c r="F6" s="382">
        <v>338</v>
      </c>
      <c r="G6" s="382">
        <f t="shared" si="2"/>
        <v>90</v>
      </c>
      <c r="H6" s="383">
        <f t="shared" si="3"/>
        <v>38.118811881188115</v>
      </c>
      <c r="I6" s="384"/>
      <c r="J6" s="383">
        <f>'Section Load'!C9/G6</f>
        <v>311.06666666666666</v>
      </c>
    </row>
    <row r="7" spans="1:17">
      <c r="A7" s="248">
        <v>6</v>
      </c>
      <c r="B7" s="381">
        <f t="shared" si="0"/>
        <v>71.78217821782178</v>
      </c>
      <c r="C7" s="381">
        <v>145</v>
      </c>
      <c r="D7" s="381">
        <v>9</v>
      </c>
      <c r="E7" s="381">
        <f t="shared" si="1"/>
        <v>76.237623762376231</v>
      </c>
      <c r="F7" s="382">
        <v>420</v>
      </c>
      <c r="G7" s="382">
        <f t="shared" si="2"/>
        <v>154</v>
      </c>
      <c r="H7" s="383">
        <f t="shared" si="3"/>
        <v>71.78217821782178</v>
      </c>
      <c r="I7" s="384"/>
      <c r="J7" s="383">
        <f>'Section Load'!C10/G7</f>
        <v>197.65584415584416</v>
      </c>
    </row>
    <row r="8" spans="1:17">
      <c r="A8" s="248">
        <v>7</v>
      </c>
      <c r="B8" s="381">
        <f t="shared" si="0"/>
        <v>75.742574257425744</v>
      </c>
      <c r="C8" s="381">
        <v>153</v>
      </c>
      <c r="D8" s="381">
        <v>5</v>
      </c>
      <c r="E8" s="381">
        <f t="shared" si="1"/>
        <v>78.21782178217822</v>
      </c>
      <c r="F8" s="382">
        <v>584</v>
      </c>
      <c r="G8" s="382">
        <f t="shared" si="2"/>
        <v>158</v>
      </c>
      <c r="H8" s="383">
        <f t="shared" si="3"/>
        <v>75.742574257425744</v>
      </c>
      <c r="I8" s="384"/>
      <c r="J8" s="383">
        <f>'Section Load'!C11/G8</f>
        <v>180.50632911392404</v>
      </c>
      <c r="K8" s="535"/>
    </row>
    <row r="9" spans="1:17">
      <c r="A9" s="248">
        <v>8</v>
      </c>
      <c r="B9" s="381">
        <f t="shared" si="0"/>
        <v>76.732673267326732</v>
      </c>
      <c r="C9" s="381">
        <v>155</v>
      </c>
      <c r="D9" s="381">
        <v>6</v>
      </c>
      <c r="E9" s="381">
        <f t="shared" si="1"/>
        <v>79.702970297029708</v>
      </c>
      <c r="F9" s="382">
        <v>681</v>
      </c>
      <c r="G9" s="382">
        <f t="shared" si="2"/>
        <v>161</v>
      </c>
      <c r="H9" s="383">
        <f t="shared" si="3"/>
        <v>76.732673267326732</v>
      </c>
      <c r="I9" s="384"/>
      <c r="J9" s="383">
        <f>'Section Load'!C12/G9</f>
        <v>156.84260869565239</v>
      </c>
    </row>
    <row r="10" spans="1:17">
      <c r="A10" s="248">
        <v>9</v>
      </c>
      <c r="B10" s="381">
        <f t="shared" si="0"/>
        <v>77.722772277227719</v>
      </c>
      <c r="C10" s="381">
        <v>157</v>
      </c>
      <c r="D10" s="381">
        <v>5</v>
      </c>
      <c r="E10" s="381">
        <f t="shared" si="1"/>
        <v>80.198019801980195</v>
      </c>
      <c r="F10" s="382">
        <v>337</v>
      </c>
      <c r="G10" s="382">
        <f t="shared" si="2"/>
        <v>162</v>
      </c>
      <c r="H10" s="383">
        <f t="shared" si="3"/>
        <v>77.722772277227719</v>
      </c>
      <c r="I10" s="384"/>
      <c r="J10" s="383">
        <f>'Section Load'!C13/G10</f>
        <v>190.12617283950618</v>
      </c>
      <c r="K10" s="755" t="s">
        <v>370</v>
      </c>
      <c r="L10" s="755"/>
    </row>
    <row r="11" spans="1:17">
      <c r="A11" s="248">
        <v>10</v>
      </c>
      <c r="B11" s="381">
        <f t="shared" si="0"/>
        <v>77.722772277227719</v>
      </c>
      <c r="C11" s="381">
        <v>157</v>
      </c>
      <c r="D11" s="381">
        <v>5</v>
      </c>
      <c r="E11" s="381">
        <f t="shared" si="1"/>
        <v>80.198019801980195</v>
      </c>
      <c r="F11" s="382">
        <v>481</v>
      </c>
      <c r="G11" s="382">
        <f t="shared" si="2"/>
        <v>162</v>
      </c>
      <c r="H11" s="383">
        <f t="shared" si="3"/>
        <v>77.722772277227719</v>
      </c>
      <c r="I11" s="384"/>
      <c r="J11" s="383">
        <f>'Section Load'!C14/G11</f>
        <v>191.41975308641975</v>
      </c>
      <c r="K11" s="755"/>
      <c r="L11" s="755"/>
    </row>
    <row r="12" spans="1:17">
      <c r="A12" s="248">
        <v>11</v>
      </c>
      <c r="B12" s="381">
        <f t="shared" si="0"/>
        <v>74.752475247524757</v>
      </c>
      <c r="C12" s="381">
        <v>151</v>
      </c>
      <c r="D12" s="381">
        <v>6</v>
      </c>
      <c r="E12" s="381">
        <f t="shared" si="1"/>
        <v>77.722772277227719</v>
      </c>
      <c r="F12" s="382">
        <v>414</v>
      </c>
      <c r="G12" s="382">
        <f t="shared" si="2"/>
        <v>157</v>
      </c>
      <c r="H12" s="383">
        <f t="shared" si="3"/>
        <v>74.752475247524757</v>
      </c>
      <c r="I12" s="384"/>
      <c r="J12" s="383">
        <f>'Section Load'!C15/G12</f>
        <v>183.12738853503186</v>
      </c>
      <c r="K12" s="755"/>
      <c r="L12" s="755"/>
    </row>
    <row r="13" spans="1:17">
      <c r="A13" s="248">
        <v>12</v>
      </c>
      <c r="B13" s="381">
        <f t="shared" si="0"/>
        <v>67.32673267326733</v>
      </c>
      <c r="C13" s="381">
        <v>136</v>
      </c>
      <c r="D13" s="381">
        <v>5</v>
      </c>
      <c r="E13" s="381">
        <f t="shared" si="1"/>
        <v>69.801980198019805</v>
      </c>
      <c r="F13" s="381">
        <v>346</v>
      </c>
      <c r="G13" s="382">
        <f t="shared" si="2"/>
        <v>141</v>
      </c>
      <c r="H13" s="383">
        <f t="shared" si="3"/>
        <v>67.32673267326733</v>
      </c>
      <c r="I13" s="384"/>
      <c r="J13" s="383">
        <f>'Section Load'!C16/G13</f>
        <v>213.3049645390071</v>
      </c>
    </row>
    <row r="14" spans="1:17">
      <c r="A14" s="248">
        <v>13</v>
      </c>
      <c r="B14" s="381">
        <f t="shared" si="0"/>
        <v>76.237623762376231</v>
      </c>
      <c r="C14" s="381">
        <v>154</v>
      </c>
      <c r="D14" s="381">
        <v>4</v>
      </c>
      <c r="E14" s="381">
        <f t="shared" si="1"/>
        <v>78.21782178217822</v>
      </c>
      <c r="F14" s="381">
        <v>728</v>
      </c>
      <c r="G14" s="382">
        <f t="shared" si="2"/>
        <v>158</v>
      </c>
      <c r="H14" s="383">
        <f t="shared" si="3"/>
        <v>76.237623762376231</v>
      </c>
      <c r="I14" s="384"/>
      <c r="J14" s="383">
        <f>'Section Load'!C17/G14</f>
        <v>181.85443037974684</v>
      </c>
    </row>
    <row r="15" spans="1:17">
      <c r="A15" s="248">
        <v>14</v>
      </c>
      <c r="B15" s="381">
        <f t="shared" si="0"/>
        <v>74.752475247524757</v>
      </c>
      <c r="C15" s="381">
        <v>151</v>
      </c>
      <c r="D15" s="381">
        <v>3</v>
      </c>
      <c r="E15" s="381">
        <f t="shared" si="1"/>
        <v>76.237623762376231</v>
      </c>
      <c r="F15" s="381">
        <v>393</v>
      </c>
      <c r="G15" s="382">
        <f t="shared" si="2"/>
        <v>154</v>
      </c>
      <c r="H15" s="383">
        <f t="shared" si="3"/>
        <v>74.752475247524757</v>
      </c>
      <c r="I15" s="384"/>
      <c r="J15" s="383">
        <f>'Section Load'!C18/G15</f>
        <v>189.94155844155844</v>
      </c>
    </row>
    <row r="16" spans="1:17">
      <c r="A16" s="248">
        <v>15</v>
      </c>
      <c r="B16" s="381">
        <f t="shared" si="0"/>
        <v>76.237623762376231</v>
      </c>
      <c r="C16" s="381">
        <v>154</v>
      </c>
      <c r="D16" s="381">
        <v>3</v>
      </c>
      <c r="E16" s="381">
        <f t="shared" si="1"/>
        <v>77.722772277227719</v>
      </c>
      <c r="F16" s="381">
        <v>318</v>
      </c>
      <c r="G16" s="382">
        <f t="shared" si="2"/>
        <v>157</v>
      </c>
      <c r="H16" s="383">
        <f t="shared" si="3"/>
        <v>76.237623762376231</v>
      </c>
      <c r="I16" s="384"/>
      <c r="J16" s="383">
        <f>'Section Load'!C19/G16</f>
        <v>182.55414012738854</v>
      </c>
    </row>
    <row r="17" spans="1:10">
      <c r="A17" s="248">
        <v>16</v>
      </c>
      <c r="B17" s="381">
        <f t="shared" si="0"/>
        <v>74.257425742574256</v>
      </c>
      <c r="C17" s="381">
        <v>150</v>
      </c>
      <c r="D17" s="381">
        <v>3</v>
      </c>
      <c r="E17" s="381">
        <f t="shared" si="1"/>
        <v>75.742574257425744</v>
      </c>
      <c r="F17" s="381">
        <v>549</v>
      </c>
      <c r="G17" s="382">
        <f t="shared" si="2"/>
        <v>153</v>
      </c>
      <c r="H17" s="383">
        <f t="shared" si="3"/>
        <v>74.257425742574256</v>
      </c>
      <c r="I17" s="384"/>
      <c r="J17" s="383">
        <f>'Section Load'!C20/G17</f>
        <v>187.11111111111111</v>
      </c>
    </row>
    <row r="18" spans="1:10">
      <c r="A18" s="248">
        <v>17</v>
      </c>
      <c r="B18" s="381">
        <f t="shared" si="0"/>
        <v>71.287128712871294</v>
      </c>
      <c r="C18" s="381">
        <v>144</v>
      </c>
      <c r="D18" s="381">
        <v>4</v>
      </c>
      <c r="E18" s="381">
        <f t="shared" si="1"/>
        <v>73.267326732673268</v>
      </c>
      <c r="F18" s="381">
        <v>383</v>
      </c>
      <c r="G18" s="382">
        <f t="shared" si="2"/>
        <v>148</v>
      </c>
      <c r="H18" s="383">
        <f t="shared" si="3"/>
        <v>71.287128712871294</v>
      </c>
      <c r="I18" s="384"/>
      <c r="J18" s="383">
        <f>'Section Load'!C21/G18</f>
        <v>198.59459459459458</v>
      </c>
    </row>
    <row r="19" spans="1:10">
      <c r="A19" s="248">
        <v>18</v>
      </c>
      <c r="B19" s="381">
        <f t="shared" si="0"/>
        <v>78.712871287128706</v>
      </c>
      <c r="C19" s="385">
        <v>159</v>
      </c>
      <c r="D19" s="385">
        <v>5</v>
      </c>
      <c r="E19" s="381">
        <f t="shared" si="1"/>
        <v>81.188118811881182</v>
      </c>
      <c r="F19" s="385">
        <v>380</v>
      </c>
      <c r="G19" s="382">
        <f t="shared" si="2"/>
        <v>164</v>
      </c>
      <c r="H19" s="383">
        <f t="shared" si="3"/>
        <v>78.712871287128706</v>
      </c>
      <c r="I19" s="384"/>
      <c r="J19" s="383">
        <f>'Section Load'!C22/G19</f>
        <v>181.42073170731706</v>
      </c>
    </row>
    <row r="20" spans="1:10">
      <c r="A20" s="248">
        <v>19</v>
      </c>
      <c r="B20" s="381">
        <f t="shared" si="0"/>
        <v>75.247524752475243</v>
      </c>
      <c r="C20" s="381">
        <v>152</v>
      </c>
      <c r="D20" s="381">
        <v>4</v>
      </c>
      <c r="E20" s="381">
        <f t="shared" si="1"/>
        <v>77.227722772277232</v>
      </c>
      <c r="F20" s="381">
        <v>642</v>
      </c>
      <c r="G20" s="382">
        <f t="shared" si="2"/>
        <v>156</v>
      </c>
      <c r="H20" s="383">
        <f t="shared" si="3"/>
        <v>75.247524752475243</v>
      </c>
      <c r="I20" s="384"/>
      <c r="J20" s="383">
        <f>'Section Load'!C23/G20</f>
        <v>186.33333333333334</v>
      </c>
    </row>
    <row r="21" spans="1:10">
      <c r="A21" s="248">
        <v>20</v>
      </c>
      <c r="B21" s="381">
        <f t="shared" si="0"/>
        <v>55.940594059405939</v>
      </c>
      <c r="C21" s="381">
        <v>113</v>
      </c>
      <c r="D21" s="381">
        <v>6</v>
      </c>
      <c r="E21" s="381">
        <f t="shared" si="1"/>
        <v>58.910891089108908</v>
      </c>
      <c r="F21" s="381">
        <v>447</v>
      </c>
      <c r="G21" s="382">
        <f t="shared" si="2"/>
        <v>119</v>
      </c>
      <c r="H21" s="383">
        <f t="shared" si="3"/>
        <v>55.940594059405939</v>
      </c>
      <c r="I21" s="384"/>
      <c r="J21" s="383">
        <f>'Section Load'!C24/G21</f>
        <v>241.29411764705881</v>
      </c>
    </row>
    <row r="22" spans="1:10">
      <c r="A22" s="248">
        <v>21</v>
      </c>
      <c r="B22" s="381">
        <f t="shared" si="0"/>
        <v>62.871287128712872</v>
      </c>
      <c r="C22" s="381">
        <v>127</v>
      </c>
      <c r="D22" s="381">
        <v>5</v>
      </c>
      <c r="E22" s="381">
        <f t="shared" si="1"/>
        <v>65.346534653465341</v>
      </c>
      <c r="F22" s="381">
        <v>389</v>
      </c>
      <c r="G22" s="382">
        <f t="shared" si="2"/>
        <v>132</v>
      </c>
      <c r="H22" s="383">
        <f t="shared" si="3"/>
        <v>62.871287128712872</v>
      </c>
      <c r="I22" s="384"/>
      <c r="J22" s="383">
        <f>'Section Load'!C25/G22</f>
        <v>205.20537878787869</v>
      </c>
    </row>
    <row r="23" spans="1:10">
      <c r="A23" s="248">
        <v>22</v>
      </c>
      <c r="B23" s="381">
        <v>83</v>
      </c>
      <c r="C23" s="381">
        <v>135</v>
      </c>
      <c r="D23" s="381">
        <v>4</v>
      </c>
      <c r="E23" s="381">
        <f t="shared" si="1"/>
        <v>68.811881188118818</v>
      </c>
      <c r="F23" s="381">
        <v>312</v>
      </c>
      <c r="G23" s="382">
        <f t="shared" si="2"/>
        <v>139</v>
      </c>
      <c r="H23" s="383">
        <f t="shared" si="3"/>
        <v>66.831683168316829</v>
      </c>
      <c r="I23" s="384"/>
      <c r="J23" s="383">
        <f>'Section Load'!C26/G23</f>
        <v>202.35251798561151</v>
      </c>
    </row>
    <row r="24" spans="1:10">
      <c r="A24" s="248">
        <v>23</v>
      </c>
      <c r="B24" s="381">
        <v>98</v>
      </c>
      <c r="C24" s="381">
        <v>127</v>
      </c>
      <c r="D24" s="381">
        <v>2</v>
      </c>
      <c r="E24" s="381">
        <f t="shared" si="1"/>
        <v>63.861386138613859</v>
      </c>
      <c r="F24" s="381">
        <v>358</v>
      </c>
      <c r="G24" s="382">
        <f t="shared" si="2"/>
        <v>129</v>
      </c>
      <c r="H24" s="383">
        <f t="shared" si="3"/>
        <v>62.871287128712872</v>
      </c>
      <c r="I24" s="384"/>
      <c r="J24" s="383">
        <f>'Section Load'!C27/G24</f>
        <v>213.00496124031019</v>
      </c>
    </row>
    <row r="25" spans="1:10">
      <c r="A25" s="248">
        <v>24</v>
      </c>
      <c r="B25" s="381">
        <f t="shared" si="0"/>
        <v>59.405940594059409</v>
      </c>
      <c r="C25" s="381">
        <v>120</v>
      </c>
      <c r="D25" s="381">
        <v>2</v>
      </c>
      <c r="E25" s="381">
        <f t="shared" si="1"/>
        <v>60.396039603960396</v>
      </c>
      <c r="F25" s="381">
        <v>351</v>
      </c>
      <c r="G25" s="382">
        <f t="shared" si="2"/>
        <v>122</v>
      </c>
      <c r="H25" s="383">
        <f t="shared" si="3"/>
        <v>59.405940594059409</v>
      </c>
      <c r="I25" s="384"/>
      <c r="J25" s="383">
        <f>'Section Load'!C28/G25</f>
        <v>229.48262295081972</v>
      </c>
    </row>
    <row r="26" spans="1:10">
      <c r="A26" s="248">
        <v>25</v>
      </c>
      <c r="B26" s="381">
        <f t="shared" si="0"/>
        <v>59.900990099009903</v>
      </c>
      <c r="C26" s="381">
        <v>121</v>
      </c>
      <c r="D26" s="381">
        <v>2</v>
      </c>
      <c r="E26" s="381">
        <f t="shared" si="1"/>
        <v>60.89108910891089</v>
      </c>
      <c r="F26" s="381">
        <v>362</v>
      </c>
      <c r="G26" s="382">
        <f t="shared" si="2"/>
        <v>123</v>
      </c>
      <c r="H26" s="383">
        <f t="shared" si="3"/>
        <v>59.900990099009903</v>
      </c>
      <c r="I26" s="384"/>
      <c r="J26" s="383">
        <f>'Section Load'!C29/G26</f>
        <v>227.88918699186988</v>
      </c>
    </row>
    <row r="27" spans="1:10">
      <c r="A27" s="248">
        <v>26</v>
      </c>
      <c r="B27" s="381">
        <f t="shared" si="0"/>
        <v>46.534653465346537</v>
      </c>
      <c r="C27" s="381">
        <v>94</v>
      </c>
      <c r="D27" s="381">
        <v>3</v>
      </c>
      <c r="E27" s="381">
        <f t="shared" si="1"/>
        <v>48.019801980198018</v>
      </c>
      <c r="F27" s="381">
        <v>252</v>
      </c>
      <c r="G27" s="382">
        <f t="shared" si="2"/>
        <v>97</v>
      </c>
      <c r="H27" s="383">
        <f t="shared" si="3"/>
        <v>46.534653465346537</v>
      </c>
      <c r="I27" s="384"/>
      <c r="J27" s="383">
        <f>'Section Load'!C30/G27</f>
        <v>282.16494845360825</v>
      </c>
    </row>
    <row r="28" spans="1:10">
      <c r="A28" s="248">
        <v>27</v>
      </c>
      <c r="B28" s="381">
        <f t="shared" si="0"/>
        <v>50.990099009900987</v>
      </c>
      <c r="C28" s="381">
        <v>103</v>
      </c>
      <c r="D28" s="381">
        <v>2</v>
      </c>
      <c r="E28" s="381">
        <f t="shared" si="1"/>
        <v>51.980198019801982</v>
      </c>
      <c r="F28" s="381">
        <v>325</v>
      </c>
      <c r="G28" s="382">
        <f t="shared" si="2"/>
        <v>105</v>
      </c>
      <c r="H28" s="383">
        <f t="shared" si="3"/>
        <v>50.990099009900987</v>
      </c>
      <c r="I28" s="384"/>
      <c r="J28" s="383">
        <f>'Section Load'!C31/G28</f>
        <v>252.75904761904718</v>
      </c>
    </row>
    <row r="29" spans="1:10">
      <c r="A29" s="248">
        <v>28</v>
      </c>
      <c r="B29" s="381">
        <f t="shared" si="0"/>
        <v>62.871287128712872</v>
      </c>
      <c r="C29" s="381">
        <v>127</v>
      </c>
      <c r="D29" s="381">
        <v>2</v>
      </c>
      <c r="E29" s="381">
        <f t="shared" si="1"/>
        <v>63.861386138613859</v>
      </c>
      <c r="F29" s="381">
        <v>292</v>
      </c>
      <c r="G29" s="382">
        <f t="shared" si="2"/>
        <v>129</v>
      </c>
      <c r="H29" s="383">
        <f t="shared" si="3"/>
        <v>62.871287128712872</v>
      </c>
      <c r="I29" s="384"/>
      <c r="J29" s="383">
        <f>'Section Load'!C32/G29</f>
        <v>219.54798449612451</v>
      </c>
    </row>
    <row r="30" spans="1:10">
      <c r="A30" s="248">
        <v>29</v>
      </c>
      <c r="B30" s="381">
        <f>C30/202%</f>
        <v>0</v>
      </c>
      <c r="C30" s="381"/>
      <c r="D30" s="381"/>
      <c r="E30" s="381">
        <f t="shared" si="1"/>
        <v>0</v>
      </c>
      <c r="F30" s="381"/>
      <c r="G30" s="382">
        <f t="shared" si="2"/>
        <v>0</v>
      </c>
      <c r="H30" s="383">
        <f>C30/202%</f>
        <v>0</v>
      </c>
      <c r="I30" s="384"/>
      <c r="J30" s="383" t="e">
        <f>'Section Load'!C33/G30</f>
        <v>#DIV/0!</v>
      </c>
    </row>
    <row r="31" spans="1:10">
      <c r="A31" s="248">
        <v>30</v>
      </c>
      <c r="B31" s="381">
        <f t="shared" si="0"/>
        <v>0</v>
      </c>
      <c r="C31" s="381"/>
      <c r="D31" s="381"/>
      <c r="E31" s="381">
        <f t="shared" si="1"/>
        <v>0</v>
      </c>
      <c r="F31" s="381"/>
      <c r="G31" s="386">
        <f t="shared" si="2"/>
        <v>0</v>
      </c>
      <c r="H31" s="383">
        <f t="shared" si="3"/>
        <v>0</v>
      </c>
      <c r="I31" s="384"/>
      <c r="J31" s="383" t="e">
        <f>'Section Load'!C34/G31</f>
        <v>#DIV/0!</v>
      </c>
    </row>
    <row r="32" spans="1:10">
      <c r="A32" s="248">
        <v>31</v>
      </c>
      <c r="B32" s="381">
        <f t="shared" si="0"/>
        <v>0</v>
      </c>
      <c r="C32" s="381"/>
      <c r="D32" s="381"/>
      <c r="E32" s="381">
        <f t="shared" si="1"/>
        <v>0</v>
      </c>
      <c r="F32" s="381"/>
      <c r="G32" s="386"/>
      <c r="H32" s="383">
        <f t="shared" si="3"/>
        <v>0</v>
      </c>
      <c r="I32" s="384"/>
      <c r="J32" s="383" t="e">
        <f>'Section Load'!C35/G32</f>
        <v>#DIV/0!</v>
      </c>
    </row>
    <row r="33" spans="1:8">
      <c r="A33" t="s">
        <v>316</v>
      </c>
      <c r="B33" s="275">
        <f>AVERAGE(B2:B31)</f>
        <v>65.587788778877879</v>
      </c>
      <c r="C33" s="275">
        <v>154</v>
      </c>
      <c r="D33" s="275">
        <f t="shared" ref="D33:H33" si="4">AVERAGE(D2:D31)</f>
        <v>5.1428571428571432</v>
      </c>
      <c r="E33" s="275">
        <f t="shared" si="4"/>
        <v>66.254125412541242</v>
      </c>
      <c r="F33" s="275">
        <f t="shared" si="4"/>
        <v>410.96428571428572</v>
      </c>
      <c r="G33" s="275">
        <f t="shared" si="4"/>
        <v>133.83333333333334</v>
      </c>
      <c r="H33" s="275">
        <f t="shared" si="4"/>
        <v>63.877887788778864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M5" sqref="M5"/>
    </sheetView>
  </sheetViews>
  <sheetFormatPr defaultRowHeight="15.7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9" width="4.77734375" customWidth="1"/>
    <col min="10" max="11" width="3.77734375" customWidth="1"/>
    <col min="12" max="12" width="4.21875" customWidth="1"/>
    <col min="13" max="13" width="4.109375" customWidth="1"/>
    <col min="14" max="14" width="3.77734375" customWidth="1"/>
    <col min="15" max="15" width="4.109375" customWidth="1"/>
    <col min="16" max="35" width="3.77734375" customWidth="1"/>
  </cols>
  <sheetData>
    <row r="3" spans="2:35" s="37" customFormat="1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>
      <c r="B4" s="93"/>
      <c r="C4" s="90" t="s">
        <v>67</v>
      </c>
      <c r="D4" s="91">
        <f>Occupancy!B2</f>
        <v>78.712871287128706</v>
      </c>
      <c r="E4" s="91">
        <f>Occupancy!B3</f>
        <v>76.732673267326732</v>
      </c>
      <c r="F4" s="91">
        <f>Occupancy!C3</f>
        <v>155</v>
      </c>
      <c r="G4" s="91">
        <f>Occupancy!D3</f>
        <v>9</v>
      </c>
      <c r="H4" s="91">
        <f>Occupancy!E3</f>
        <v>81.188118811881182</v>
      </c>
      <c r="I4" s="91">
        <f>Occupancy!F3</f>
        <v>329</v>
      </c>
      <c r="J4" s="91">
        <f>Occupancy!G3</f>
        <v>164</v>
      </c>
      <c r="K4" s="91">
        <f>Occupancy!H3</f>
        <v>76.732673267326732</v>
      </c>
      <c r="L4" s="91">
        <f>Occupancy!I3</f>
        <v>0</v>
      </c>
      <c r="M4" s="91">
        <f>Occupancy!J3</f>
        <v>174.2439024390244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>
      <c r="B5" s="93"/>
      <c r="C5" s="90" t="s">
        <v>68</v>
      </c>
      <c r="D5" s="91">
        <f>'1'!G18</f>
        <v>260</v>
      </c>
      <c r="E5" s="91">
        <f>'2'!G18</f>
        <v>260</v>
      </c>
      <c r="F5" s="91">
        <f>'3'!G18</f>
        <v>250</v>
      </c>
      <c r="G5" s="91">
        <f>'4'!G18</f>
        <v>260</v>
      </c>
      <c r="H5" s="91">
        <f>'5'!G18</f>
        <v>260</v>
      </c>
      <c r="I5" s="91">
        <f>'6'!G18</f>
        <v>300</v>
      </c>
      <c r="J5" s="91">
        <f>'7'!G18</f>
        <v>170</v>
      </c>
      <c r="K5" s="91">
        <f>'8'!G18</f>
        <v>140</v>
      </c>
      <c r="L5" s="91">
        <f>'9 taken physical reading &amp; Adj'!G18</f>
        <v>230</v>
      </c>
      <c r="M5" s="91">
        <f>'10'!G18</f>
        <v>150</v>
      </c>
      <c r="N5" s="91">
        <f>'11'!G18</f>
        <v>310</v>
      </c>
      <c r="O5" s="91">
        <f>'12'!G18</f>
        <v>220</v>
      </c>
      <c r="P5" s="91">
        <f>'13'!G18</f>
        <v>230</v>
      </c>
      <c r="Q5" s="91">
        <f>'14'!G18</f>
        <v>240</v>
      </c>
      <c r="R5" s="91">
        <f>'15'!G18</f>
        <v>200</v>
      </c>
      <c r="S5" s="91">
        <f>'16'!G18</f>
        <v>180</v>
      </c>
      <c r="T5" s="91">
        <f>'17'!G18</f>
        <v>230</v>
      </c>
      <c r="U5" s="91">
        <f>'18 '!G18</f>
        <v>180</v>
      </c>
      <c r="V5" s="91">
        <f>'19'!G18</f>
        <v>160</v>
      </c>
      <c r="W5" s="91">
        <f>'20'!G18</f>
        <v>200</v>
      </c>
      <c r="X5" s="91">
        <f>'21'!G18</f>
        <v>210</v>
      </c>
      <c r="Y5" s="91">
        <f>'22'!G18</f>
        <v>190</v>
      </c>
      <c r="Z5" s="91">
        <f>'23'!G18</f>
        <v>130</v>
      </c>
      <c r="AA5" s="91">
        <f>'24'!G18</f>
        <v>180</v>
      </c>
      <c r="AB5" s="91">
        <f>'25'!G18</f>
        <v>210</v>
      </c>
      <c r="AC5" s="91">
        <f>'26'!G18</f>
        <v>160</v>
      </c>
      <c r="AD5" s="91">
        <f>'27'!G18</f>
        <v>160</v>
      </c>
      <c r="AE5" s="91">
        <f>'28'!G18</f>
        <v>140</v>
      </c>
      <c r="AF5" s="91">
        <f>'29'!G18</f>
        <v>300</v>
      </c>
      <c r="AG5" s="91">
        <f>'30'!G18</f>
        <v>230</v>
      </c>
      <c r="AH5" s="91">
        <f>'31'!G18</f>
        <v>300</v>
      </c>
      <c r="AI5" s="90"/>
    </row>
    <row r="6" spans="2:35">
      <c r="B6" s="93"/>
      <c r="C6" s="90" t="s">
        <v>69</v>
      </c>
      <c r="D6" s="91">
        <f>'1'!G19</f>
        <v>56</v>
      </c>
      <c r="E6" s="91">
        <f>'2'!G19</f>
        <v>56</v>
      </c>
      <c r="F6" s="91">
        <f>'3'!G19</f>
        <v>54</v>
      </c>
      <c r="G6" s="91">
        <f>'4'!G19</f>
        <v>54</v>
      </c>
      <c r="H6" s="91">
        <f>'5'!G19</f>
        <v>47</v>
      </c>
      <c r="I6" s="91">
        <f>'6'!G19</f>
        <v>55</v>
      </c>
      <c r="J6" s="91">
        <f>'7'!G19</f>
        <v>48</v>
      </c>
      <c r="K6" s="91">
        <f>'8'!G19</f>
        <v>55</v>
      </c>
      <c r="L6" s="91">
        <f>'9 taken physical reading &amp; Adj'!G19</f>
        <v>50</v>
      </c>
      <c r="M6" s="91">
        <f>'10'!G19</f>
        <v>50</v>
      </c>
      <c r="N6" s="91">
        <f>'11'!G19</f>
        <v>50</v>
      </c>
      <c r="O6" s="91">
        <f>'12'!G19</f>
        <v>50</v>
      </c>
      <c r="P6" s="91">
        <f>'13'!G19</f>
        <v>50</v>
      </c>
      <c r="Q6" s="91">
        <f>'14'!G19</f>
        <v>50</v>
      </c>
      <c r="R6" s="91">
        <f>'15'!G19</f>
        <v>50</v>
      </c>
      <c r="S6" s="91">
        <f>'16'!G19</f>
        <v>50</v>
      </c>
      <c r="T6" s="91">
        <f>'17'!G19</f>
        <v>53</v>
      </c>
      <c r="U6" s="91">
        <f>'18 '!G19</f>
        <v>52</v>
      </c>
      <c r="V6" s="91">
        <f>'19'!G19</f>
        <v>52</v>
      </c>
      <c r="W6" s="91">
        <f>'20'!G19</f>
        <v>53</v>
      </c>
      <c r="X6" s="91">
        <f>'21'!G19</f>
        <v>53</v>
      </c>
      <c r="Y6" s="91">
        <f>'22'!G19</f>
        <v>53</v>
      </c>
      <c r="Z6" s="91">
        <f>'23'!G19</f>
        <v>52</v>
      </c>
      <c r="AA6" s="91">
        <f>'24'!G19</f>
        <v>53</v>
      </c>
      <c r="AB6" s="91">
        <f>'25'!G19</f>
        <v>0</v>
      </c>
      <c r="AC6" s="91">
        <f>'26'!G19</f>
        <v>52</v>
      </c>
      <c r="AD6" s="91">
        <f>'27'!G19</f>
        <v>48</v>
      </c>
      <c r="AE6" s="91">
        <f>'28'!G19</f>
        <v>48</v>
      </c>
      <c r="AF6" s="91">
        <f>'29'!G19</f>
        <v>-733</v>
      </c>
      <c r="AG6" s="91">
        <f>'30'!G19</f>
        <v>55</v>
      </c>
      <c r="AH6" s="91">
        <f>'31'!G19</f>
        <v>50</v>
      </c>
      <c r="AI6" s="90"/>
    </row>
    <row r="7" spans="2:35">
      <c r="B7" s="93"/>
      <c r="C7" s="90" t="s">
        <v>70</v>
      </c>
      <c r="D7" s="91">
        <f>'1'!G62</f>
        <v>190</v>
      </c>
      <c r="E7" s="91">
        <f>'2'!G62</f>
        <v>165</v>
      </c>
      <c r="F7" s="91">
        <f>'3'!G62</f>
        <v>170</v>
      </c>
      <c r="G7" s="91">
        <f>'4'!G62</f>
        <v>200</v>
      </c>
      <c r="H7" s="91">
        <f>'5'!G62</f>
        <v>225</v>
      </c>
      <c r="I7" s="91">
        <f>'6'!G62</f>
        <v>100</v>
      </c>
      <c r="J7" s="91">
        <f>'7'!G62</f>
        <v>172.40000000002328</v>
      </c>
      <c r="K7" s="91">
        <f>'8'!G62</f>
        <v>87.599999999976717</v>
      </c>
      <c r="L7" s="91">
        <f>'9 taken physical reading &amp; Adj'!G62</f>
        <v>127</v>
      </c>
      <c r="M7" s="91">
        <f>'10'!G62</f>
        <v>131</v>
      </c>
      <c r="N7" s="91">
        <f>'11'!G62</f>
        <v>142</v>
      </c>
      <c r="O7" s="91">
        <f>'12'!G62</f>
        <v>122</v>
      </c>
      <c r="P7" s="91">
        <f>'13'!G62</f>
        <v>133</v>
      </c>
      <c r="Q7" s="91">
        <f>'14'!G62</f>
        <v>135</v>
      </c>
      <c r="R7" s="91">
        <f>'15'!G62</f>
        <v>132</v>
      </c>
      <c r="S7" s="91">
        <f>'16'!G62</f>
        <v>123</v>
      </c>
      <c r="T7" s="91">
        <f>'17'!G62</f>
        <v>117</v>
      </c>
      <c r="U7" s="91">
        <f>'18 '!G62</f>
        <v>118</v>
      </c>
      <c r="V7" s="91">
        <f>'19'!G62</f>
        <v>116</v>
      </c>
      <c r="W7" s="91">
        <f>'20'!G62</f>
        <v>125</v>
      </c>
      <c r="X7" s="91">
        <f>'21'!G62</f>
        <v>103</v>
      </c>
      <c r="Y7" s="91">
        <f>'22'!G62</f>
        <v>95</v>
      </c>
      <c r="Z7" s="91">
        <f>'23'!G62</f>
        <v>109</v>
      </c>
      <c r="AA7" s="91">
        <f>'24'!G62</f>
        <v>103</v>
      </c>
      <c r="AB7" s="91">
        <f>'25'!G62</f>
        <v>108</v>
      </c>
      <c r="AC7" s="91">
        <f>'26'!G62</f>
        <v>82</v>
      </c>
      <c r="AD7" s="91">
        <f>'27'!G62</f>
        <v>87</v>
      </c>
      <c r="AE7" s="91">
        <f>'28'!G62</f>
        <v>87</v>
      </c>
      <c r="AF7" s="91">
        <f>'29'!G62</f>
        <v>-3945</v>
      </c>
      <c r="AG7" s="91">
        <f>'30'!G62</f>
        <v>190</v>
      </c>
      <c r="AH7" s="91">
        <f>'31'!G62</f>
        <v>150</v>
      </c>
      <c r="AI7" s="90"/>
    </row>
    <row r="8" spans="2:35">
      <c r="B8" s="93"/>
      <c r="C8" s="90" t="s">
        <v>299</v>
      </c>
      <c r="D8" s="91">
        <f>'1'!G63</f>
        <v>119</v>
      </c>
      <c r="E8" s="91">
        <f>'2'!G63</f>
        <v>136</v>
      </c>
      <c r="F8" s="91">
        <f>'3'!G63</f>
        <v>132</v>
      </c>
      <c r="G8" s="91">
        <f>'4'!G63</f>
        <v>154</v>
      </c>
      <c r="H8" s="91">
        <f>'5'!G63</f>
        <v>156</v>
      </c>
      <c r="I8" s="91">
        <f>'6'!G63</f>
        <v>153</v>
      </c>
      <c r="J8" s="91">
        <f>'7'!G63</f>
        <v>145</v>
      </c>
      <c r="K8" s="91">
        <f>'8'!G63</f>
        <v>81</v>
      </c>
      <c r="L8" s="91">
        <f>'9 taken physical reading &amp; Adj'!G63</f>
        <v>129</v>
      </c>
      <c r="M8" s="91">
        <f>'10'!G63</f>
        <v>105</v>
      </c>
      <c r="N8" s="91">
        <f>'11'!G63</f>
        <v>121</v>
      </c>
      <c r="O8" s="91">
        <f>'12'!G63</f>
        <v>154</v>
      </c>
      <c r="P8" s="91">
        <f>'13'!G63</f>
        <v>92</v>
      </c>
      <c r="Q8" s="91">
        <f>'14'!G63</f>
        <v>152</v>
      </c>
      <c r="R8" s="91">
        <f>'15'!G63</f>
        <v>142</v>
      </c>
      <c r="S8" s="91">
        <f>'16'!G63</f>
        <v>127</v>
      </c>
      <c r="T8" s="91">
        <f>'17'!G63</f>
        <v>109</v>
      </c>
      <c r="U8" s="91">
        <f>'18 '!G63</f>
        <v>168</v>
      </c>
      <c r="V8" s="91">
        <f>'19'!G63</f>
        <v>157</v>
      </c>
      <c r="W8" s="91">
        <f>'20'!G63</f>
        <v>145</v>
      </c>
      <c r="X8" s="91">
        <f>'21'!G63</f>
        <v>115</v>
      </c>
      <c r="Y8" s="91">
        <f>'22'!G63</f>
        <v>133</v>
      </c>
      <c r="Z8" s="91">
        <f>'23'!G63</f>
        <v>136</v>
      </c>
      <c r="AA8" s="91">
        <f>'24'!G63</f>
        <v>66</v>
      </c>
      <c r="AB8" s="91">
        <f>'25'!G63</f>
        <v>114</v>
      </c>
      <c r="AC8" s="91">
        <f>'26'!G63</f>
        <v>149</v>
      </c>
      <c r="AD8" s="91">
        <f>'27'!G63</f>
        <v>131</v>
      </c>
      <c r="AE8" s="91">
        <f>'28'!G63</f>
        <v>108</v>
      </c>
      <c r="AF8" s="91">
        <f>'29'!G63</f>
        <v>-3910</v>
      </c>
      <c r="AG8" s="91">
        <f>'30'!G63</f>
        <v>164</v>
      </c>
      <c r="AH8" s="91">
        <f>'31'!G63</f>
        <v>117</v>
      </c>
      <c r="AI8" s="90"/>
    </row>
    <row r="9" spans="2:35">
      <c r="B9" s="777" t="s">
        <v>71</v>
      </c>
      <c r="C9" s="90" t="s">
        <v>31</v>
      </c>
      <c r="D9" s="91">
        <f>'1'!G65</f>
        <v>116</v>
      </c>
      <c r="E9" s="91">
        <f>'2'!G65</f>
        <v>105</v>
      </c>
      <c r="F9" s="91">
        <f>'3'!G65</f>
        <v>115</v>
      </c>
      <c r="G9" s="91">
        <f>'4'!G65</f>
        <v>132</v>
      </c>
      <c r="H9" s="91">
        <f>'5'!G65</f>
        <v>124</v>
      </c>
      <c r="I9" s="91">
        <f>'6'!G65</f>
        <v>106</v>
      </c>
      <c r="J9" s="91">
        <f>'7'!G65</f>
        <v>157</v>
      </c>
      <c r="K9" s="91">
        <f>'8'!G65</f>
        <v>92</v>
      </c>
      <c r="L9" s="91">
        <f>'9 taken physical reading &amp; Adj'!G65</f>
        <v>119</v>
      </c>
      <c r="M9" s="91">
        <f>'10'!G65</f>
        <v>116</v>
      </c>
      <c r="N9" s="91">
        <f>'11'!G65</f>
        <v>129</v>
      </c>
      <c r="O9" s="91">
        <f>'12'!G65</f>
        <v>109</v>
      </c>
      <c r="P9" s="91">
        <f>'13'!G65</f>
        <v>136</v>
      </c>
      <c r="Q9" s="91">
        <f>'14'!G65</f>
        <v>128</v>
      </c>
      <c r="R9" s="91">
        <f>'15'!G65</f>
        <v>107</v>
      </c>
      <c r="S9" s="91">
        <f>'16'!G65</f>
        <v>123</v>
      </c>
      <c r="T9" s="91">
        <f>'17'!G65</f>
        <v>119</v>
      </c>
      <c r="U9" s="91">
        <f>'18 '!G65</f>
        <v>112</v>
      </c>
      <c r="V9" s="91">
        <f>'19'!G65</f>
        <v>110</v>
      </c>
      <c r="W9" s="91">
        <f>'20'!G65</f>
        <v>117</v>
      </c>
      <c r="X9" s="91">
        <f>'21'!G65</f>
        <v>102</v>
      </c>
      <c r="Y9" s="91">
        <f>'22'!G65</f>
        <v>100</v>
      </c>
      <c r="Z9" s="91">
        <f>'23'!G65</f>
        <v>119</v>
      </c>
      <c r="AA9" s="91">
        <f>'24'!G65</f>
        <v>97</v>
      </c>
      <c r="AB9" s="91">
        <f>'25'!G65</f>
        <v>103</v>
      </c>
      <c r="AC9" s="91">
        <f>'26'!G65</f>
        <v>98</v>
      </c>
      <c r="AD9" s="91">
        <f>'27'!G65</f>
        <v>77</v>
      </c>
      <c r="AE9" s="91">
        <f>'28'!G65</f>
        <v>91</v>
      </c>
      <c r="AF9" s="91">
        <f>'29'!G65</f>
        <v>-3369</v>
      </c>
      <c r="AG9" s="91">
        <f>'30'!G65</f>
        <v>105</v>
      </c>
      <c r="AH9" s="91">
        <f>'31'!G65</f>
        <v>105</v>
      </c>
      <c r="AI9" s="90"/>
    </row>
    <row r="10" spans="2:35">
      <c r="B10" s="777"/>
      <c r="C10" s="90" t="s">
        <v>32</v>
      </c>
      <c r="D10" s="91">
        <f>'1'!G66</f>
        <v>18</v>
      </c>
      <c r="E10" s="91">
        <f>'2'!G66</f>
        <v>24</v>
      </c>
      <c r="F10" s="91">
        <f>'3'!G66</f>
        <v>31</v>
      </c>
      <c r="G10" s="91">
        <f>'4'!G66</f>
        <v>31</v>
      </c>
      <c r="H10" s="91">
        <f>'5'!G66</f>
        <v>28</v>
      </c>
      <c r="I10" s="91">
        <f>'6'!G66</f>
        <v>25</v>
      </c>
      <c r="J10" s="91">
        <f>'7'!G66</f>
        <v>32</v>
      </c>
      <c r="K10" s="91">
        <f>'8'!G66</f>
        <v>25</v>
      </c>
      <c r="L10" s="91">
        <f>'9 taken physical reading &amp; Adj'!G66</f>
        <v>31</v>
      </c>
      <c r="M10" s="91">
        <f>'10'!G66</f>
        <v>23</v>
      </c>
      <c r="N10" s="91">
        <f>'11'!G66</f>
        <v>33</v>
      </c>
      <c r="O10" s="91">
        <f>'12'!G66</f>
        <v>29</v>
      </c>
      <c r="P10" s="91">
        <f>'13'!G66</f>
        <v>23</v>
      </c>
      <c r="Q10" s="91">
        <f>'14'!G66</f>
        <v>30</v>
      </c>
      <c r="R10" s="91">
        <f>'15'!G66</f>
        <v>19</v>
      </c>
      <c r="S10" s="91">
        <f>'16'!G66</f>
        <v>22</v>
      </c>
      <c r="T10" s="91">
        <f>'17'!G66</f>
        <v>20</v>
      </c>
      <c r="U10" s="91">
        <f>'18 '!G66</f>
        <v>24</v>
      </c>
      <c r="V10" s="91">
        <f>'19'!G66</f>
        <v>23</v>
      </c>
      <c r="W10" s="91">
        <f>'20'!G66</f>
        <v>23</v>
      </c>
      <c r="X10" s="91">
        <f>'21'!G66</f>
        <v>15</v>
      </c>
      <c r="Y10" s="91">
        <f>'22'!G66</f>
        <v>19</v>
      </c>
      <c r="Z10" s="91">
        <f>'23'!G66</f>
        <v>20</v>
      </c>
      <c r="AA10" s="91">
        <f>'24'!G66</f>
        <v>19</v>
      </c>
      <c r="AB10" s="91">
        <f>'25'!G66</f>
        <v>16</v>
      </c>
      <c r="AC10" s="91">
        <f>'26'!G66</f>
        <v>21</v>
      </c>
      <c r="AD10" s="91">
        <f>'27'!G66</f>
        <v>18</v>
      </c>
      <c r="AE10" s="91">
        <f>'28'!G66</f>
        <v>16</v>
      </c>
      <c r="AF10" s="91">
        <f>'29'!G66</f>
        <v>-701</v>
      </c>
      <c r="AG10" s="91">
        <f>'30'!G66</f>
        <v>21</v>
      </c>
      <c r="AH10" s="91">
        <f>'31'!G66</f>
        <v>22</v>
      </c>
      <c r="AI10" s="90"/>
    </row>
    <row r="11" spans="2:35">
      <c r="B11" s="777"/>
      <c r="C11" s="90" t="s">
        <v>33</v>
      </c>
      <c r="D11" s="91">
        <f>'1'!G67</f>
        <v>67</v>
      </c>
      <c r="E11" s="91">
        <f>'2'!G67</f>
        <v>69</v>
      </c>
      <c r="F11" s="91">
        <f>'3'!G67</f>
        <v>74</v>
      </c>
      <c r="G11" s="91">
        <f>'4'!G67</f>
        <v>75</v>
      </c>
      <c r="H11" s="91">
        <f>'5'!G67</f>
        <v>60</v>
      </c>
      <c r="I11" s="91">
        <f>'6'!G67</f>
        <v>12</v>
      </c>
      <c r="J11" s="91">
        <f>'7'!G67</f>
        <v>15</v>
      </c>
      <c r="K11" s="91">
        <f>'8'!G67</f>
        <v>13</v>
      </c>
      <c r="L11" s="91">
        <f>'9 taken physical reading &amp; Adj'!G67</f>
        <v>15</v>
      </c>
      <c r="M11" s="91">
        <f>'10'!G67</f>
        <v>2</v>
      </c>
      <c r="N11" s="91">
        <f>'11'!G67</f>
        <v>0</v>
      </c>
      <c r="O11" s="91">
        <f>'12'!G67</f>
        <v>0</v>
      </c>
      <c r="P11" s="91">
        <f>'13'!G67</f>
        <v>0</v>
      </c>
      <c r="Q11" s="91">
        <f>'14'!G67</f>
        <v>1</v>
      </c>
      <c r="R11" s="91">
        <f>'15'!G67</f>
        <v>0</v>
      </c>
      <c r="S11" s="91">
        <f>'16'!G67</f>
        <v>0</v>
      </c>
      <c r="T11" s="91">
        <f>'17'!G67</f>
        <v>0</v>
      </c>
      <c r="U11" s="91">
        <f>'18 '!G67</f>
        <v>0</v>
      </c>
      <c r="V11" s="91">
        <f>'19'!G67</f>
        <v>0</v>
      </c>
      <c r="W11" s="91">
        <f>'20'!G67</f>
        <v>0</v>
      </c>
      <c r="X11" s="91">
        <f>'21'!G67</f>
        <v>0</v>
      </c>
      <c r="Y11" s="91">
        <f>'22'!G67</f>
        <v>0</v>
      </c>
      <c r="Z11" s="91">
        <f>'23'!G67</f>
        <v>0</v>
      </c>
      <c r="AA11" s="91">
        <f>'24'!G67</f>
        <v>0</v>
      </c>
      <c r="AB11" s="91">
        <f>'25'!G67</f>
        <v>-1</v>
      </c>
      <c r="AC11" s="91">
        <f>'26'!G67</f>
        <v>0</v>
      </c>
      <c r="AD11" s="91">
        <f>'27'!G67</f>
        <v>0</v>
      </c>
      <c r="AE11" s="91">
        <f>'28'!G67</f>
        <v>0</v>
      </c>
      <c r="AF11" s="91">
        <f>'29'!G67</f>
        <v>-542</v>
      </c>
      <c r="AG11" s="91">
        <f>'30'!G67</f>
        <v>71</v>
      </c>
      <c r="AH11" s="91">
        <f>'31'!G67</f>
        <v>69</v>
      </c>
      <c r="AI11" s="90"/>
    </row>
    <row r="12" spans="2:3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>
      <c r="B13" s="777" t="s">
        <v>72</v>
      </c>
      <c r="C13" s="90" t="s">
        <v>31</v>
      </c>
      <c r="D13" s="91">
        <f>'1'!G68</f>
        <v>15</v>
      </c>
      <c r="E13" s="91">
        <f>'2'!G68</f>
        <v>17</v>
      </c>
      <c r="F13" s="91">
        <f>'3'!G68</f>
        <v>15</v>
      </c>
      <c r="G13" s="91">
        <f>'4'!G68</f>
        <v>29</v>
      </c>
      <c r="H13" s="91">
        <f>'5'!G68</f>
        <v>39</v>
      </c>
      <c r="I13" s="91">
        <f>'6'!G68</f>
        <v>17</v>
      </c>
      <c r="J13" s="91">
        <f>'7'!G68</f>
        <v>21</v>
      </c>
      <c r="K13" s="91">
        <f>'8'!G68</f>
        <v>31</v>
      </c>
      <c r="L13" s="91">
        <f>'9 taken physical reading &amp; Adj'!G68</f>
        <v>40</v>
      </c>
      <c r="M13" s="91">
        <f>'10'!G68</f>
        <v>31</v>
      </c>
      <c r="N13" s="91">
        <f>'11'!G68</f>
        <v>36</v>
      </c>
      <c r="O13" s="91">
        <f>'12'!G68</f>
        <v>37</v>
      </c>
      <c r="P13" s="91">
        <f>'13'!G68</f>
        <v>38</v>
      </c>
      <c r="Q13" s="91">
        <f>'14'!G68</f>
        <v>40</v>
      </c>
      <c r="R13" s="91">
        <f>'15'!G68</f>
        <v>33</v>
      </c>
      <c r="S13" s="91">
        <f>'16'!G68</f>
        <v>24</v>
      </c>
      <c r="T13" s="91">
        <f>'17'!G68</f>
        <v>66</v>
      </c>
      <c r="U13" s="91">
        <f>'18 '!G68</f>
        <v>59</v>
      </c>
      <c r="V13" s="91">
        <f>'19'!G68</f>
        <v>45</v>
      </c>
      <c r="W13" s="91">
        <f>'20'!G68</f>
        <v>36</v>
      </c>
      <c r="X13" s="91">
        <f>'21'!G68</f>
        <v>33</v>
      </c>
      <c r="Y13" s="91">
        <f>'22'!G68</f>
        <v>51</v>
      </c>
      <c r="Z13" s="91">
        <f>'23'!G68</f>
        <v>32</v>
      </c>
      <c r="AA13" s="420">
        <f>'24'!G68</f>
        <v>38</v>
      </c>
      <c r="AB13" s="91">
        <f>'25'!G68</f>
        <v>37</v>
      </c>
      <c r="AC13" s="91">
        <f>'26'!G68</f>
        <v>55</v>
      </c>
      <c r="AD13" s="91">
        <f>'27'!G68</f>
        <v>40</v>
      </c>
      <c r="AE13" s="91">
        <f>'28'!G68</f>
        <v>39</v>
      </c>
      <c r="AF13" s="91">
        <f>'29'!G68</f>
        <v>-1045</v>
      </c>
      <c r="AG13" s="91">
        <f>'30'!G68</f>
        <v>22</v>
      </c>
      <c r="AH13" s="91">
        <f>'31'!G68</f>
        <v>29</v>
      </c>
      <c r="AI13" s="90"/>
    </row>
    <row r="14" spans="2:35">
      <c r="B14" s="777"/>
      <c r="C14" s="90" t="s">
        <v>32</v>
      </c>
      <c r="D14" s="91">
        <f>'1'!G69</f>
        <v>5</v>
      </c>
      <c r="E14" s="91">
        <f>'2'!G69</f>
        <v>10</v>
      </c>
      <c r="F14" s="91">
        <f>'3'!G69</f>
        <v>6</v>
      </c>
      <c r="G14" s="91">
        <f>'4'!G69</f>
        <v>28</v>
      </c>
      <c r="H14" s="91">
        <f>'5'!G69</f>
        <v>9</v>
      </c>
      <c r="I14" s="91">
        <f>'6'!G69</f>
        <v>12</v>
      </c>
      <c r="J14" s="91">
        <f>'7'!G69</f>
        <v>25</v>
      </c>
      <c r="K14" s="91">
        <f>'8'!G69</f>
        <v>8</v>
      </c>
      <c r="L14" s="91">
        <f>'9 taken physical reading &amp; Adj'!G69</f>
        <v>8</v>
      </c>
      <c r="M14" s="91">
        <f>'10'!G69</f>
        <v>10</v>
      </c>
      <c r="N14" s="91">
        <f>'11'!G69</f>
        <v>8</v>
      </c>
      <c r="O14" s="91">
        <f>'12'!G69</f>
        <v>8</v>
      </c>
      <c r="P14" s="91">
        <f>'13'!G69</f>
        <v>7</v>
      </c>
      <c r="Q14" s="91">
        <f>'14'!G69</f>
        <v>7</v>
      </c>
      <c r="R14" s="91">
        <f>'15'!G69</f>
        <v>22</v>
      </c>
      <c r="S14" s="91">
        <f>'16'!G69</f>
        <v>6</v>
      </c>
      <c r="T14" s="91">
        <f>'17'!G69</f>
        <v>7</v>
      </c>
      <c r="U14" s="91">
        <f>'18 '!G69</f>
        <v>9</v>
      </c>
      <c r="V14" s="91">
        <f>'19'!G69</f>
        <v>11</v>
      </c>
      <c r="W14" s="91">
        <f>'20'!G69</f>
        <v>7</v>
      </c>
      <c r="X14" s="91">
        <f>'21'!G69</f>
        <v>3</v>
      </c>
      <c r="Y14" s="91">
        <f>'22'!G69</f>
        <v>5</v>
      </c>
      <c r="Z14" s="91">
        <f>'23'!G69</f>
        <v>5</v>
      </c>
      <c r="AA14" s="91">
        <f>'24'!G69</f>
        <v>4</v>
      </c>
      <c r="AB14" s="91">
        <f>'25'!G69</f>
        <v>3</v>
      </c>
      <c r="AC14" s="91">
        <f>'26'!G69</f>
        <v>6</v>
      </c>
      <c r="AD14" s="91">
        <f>'27'!G69</f>
        <v>5</v>
      </c>
      <c r="AE14" s="91">
        <f>'28'!G69</f>
        <v>3</v>
      </c>
      <c r="AF14" s="91">
        <f>'29'!G69</f>
        <v>-265</v>
      </c>
      <c r="AG14" s="91">
        <f>'30'!G69</f>
        <v>9</v>
      </c>
      <c r="AH14" s="91">
        <f>'31'!G69</f>
        <v>9</v>
      </c>
      <c r="AI14" s="90"/>
    </row>
    <row r="15" spans="2:35">
      <c r="B15" s="777"/>
      <c r="C15" s="90" t="s">
        <v>33</v>
      </c>
      <c r="D15" s="91">
        <f>'1'!G70</f>
        <v>24</v>
      </c>
      <c r="E15" s="91">
        <f>'2'!G70</f>
        <v>8</v>
      </c>
      <c r="F15" s="91">
        <f>'3'!G70</f>
        <v>8</v>
      </c>
      <c r="G15" s="91">
        <f>'4'!G70</f>
        <v>7</v>
      </c>
      <c r="H15" s="91">
        <f>'5'!G70</f>
        <v>6</v>
      </c>
      <c r="I15" s="91">
        <f>'6'!G70</f>
        <v>4</v>
      </c>
      <c r="J15" s="91">
        <f>'7'!G70</f>
        <v>6</v>
      </c>
      <c r="K15" s="91">
        <f>'8'!G70</f>
        <v>6</v>
      </c>
      <c r="L15" s="91">
        <f>'9 taken physical reading &amp; Adj'!G70</f>
        <v>9</v>
      </c>
      <c r="M15" s="91">
        <f>'10'!G70</f>
        <v>15</v>
      </c>
      <c r="N15" s="91">
        <f>'11'!G70</f>
        <v>8</v>
      </c>
      <c r="O15" s="91">
        <f>'12'!G70</f>
        <v>7</v>
      </c>
      <c r="P15" s="91">
        <f>'13'!G70</f>
        <v>8</v>
      </c>
      <c r="Q15" s="91">
        <f>'14'!G70</f>
        <v>8</v>
      </c>
      <c r="R15" s="91">
        <f>'15'!G70</f>
        <v>5</v>
      </c>
      <c r="S15" s="91">
        <f>'16'!G70</f>
        <v>6</v>
      </c>
      <c r="T15" s="91">
        <f>'17'!G70</f>
        <v>6</v>
      </c>
      <c r="U15" s="91">
        <f>'18 '!G70</f>
        <v>7</v>
      </c>
      <c r="V15" s="91">
        <f>'19'!G70</f>
        <v>8</v>
      </c>
      <c r="W15" s="91">
        <f>'20'!G70</f>
        <v>20</v>
      </c>
      <c r="X15" s="91">
        <f>'21'!G70</f>
        <v>5</v>
      </c>
      <c r="Y15" s="91">
        <f>'22'!G70</f>
        <v>6</v>
      </c>
      <c r="Z15" s="91">
        <f>'23'!G70</f>
        <v>10</v>
      </c>
      <c r="AA15" s="91">
        <f>'24'!G70</f>
        <v>8</v>
      </c>
      <c r="AB15" s="91">
        <f>'25'!G70</f>
        <v>7</v>
      </c>
      <c r="AC15" s="91">
        <f>'26'!G70</f>
        <v>5</v>
      </c>
      <c r="AD15" s="91">
        <f>'27'!G70</f>
        <v>10</v>
      </c>
      <c r="AE15" s="91">
        <f>'28'!G70</f>
        <v>8</v>
      </c>
      <c r="AF15" s="91">
        <f>'29'!G70</f>
        <v>-277</v>
      </c>
      <c r="AG15" s="91">
        <f>'30'!G70</f>
        <v>19</v>
      </c>
      <c r="AH15" s="91">
        <f>'31'!G70</f>
        <v>23</v>
      </c>
      <c r="AI15" s="90"/>
    </row>
    <row r="16" spans="2:3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>
      <c r="B17" s="777" t="s">
        <v>73</v>
      </c>
      <c r="C17" s="90" t="s">
        <v>74</v>
      </c>
      <c r="D17" s="90">
        <f>'1'!G173</f>
        <v>1</v>
      </c>
      <c r="E17" s="91">
        <f>'2'!G173</f>
        <v>2</v>
      </c>
      <c r="F17" s="91">
        <f>'3'!G173</f>
        <v>0</v>
      </c>
      <c r="G17" s="91">
        <f>'4'!G173</f>
        <v>0</v>
      </c>
      <c r="H17" s="91">
        <f>'5'!G173</f>
        <v>0</v>
      </c>
      <c r="I17" s="91">
        <f>'6'!G173</f>
        <v>2</v>
      </c>
      <c r="J17" s="91">
        <f>'7'!G173</f>
        <v>1</v>
      </c>
      <c r="K17" s="91">
        <f>'8'!G173</f>
        <v>3</v>
      </c>
      <c r="L17" s="91">
        <f>'9 taken physical reading &amp; Adj'!G173</f>
        <v>0</v>
      </c>
      <c r="M17" s="91">
        <f>'10'!G173</f>
        <v>2</v>
      </c>
      <c r="N17" s="91">
        <f>'11'!G173</f>
        <v>1</v>
      </c>
      <c r="O17" s="91">
        <f>'12'!G173</f>
        <v>0</v>
      </c>
      <c r="P17" s="91">
        <f>'13'!G173</f>
        <v>0</v>
      </c>
      <c r="Q17" s="91">
        <f>'14'!G173</f>
        <v>0</v>
      </c>
      <c r="R17" s="91">
        <f>'15'!G173</f>
        <v>0</v>
      </c>
      <c r="S17" s="91">
        <f>'16'!G173</f>
        <v>0</v>
      </c>
      <c r="T17" s="91">
        <f>'17'!G173</f>
        <v>0</v>
      </c>
      <c r="U17" s="91">
        <f>'18 '!G173</f>
        <v>0</v>
      </c>
      <c r="V17" s="91">
        <f>'19'!G173</f>
        <v>0</v>
      </c>
      <c r="W17" s="91">
        <f>'20'!G173</f>
        <v>0</v>
      </c>
      <c r="X17" s="91">
        <f>'21'!G173</f>
        <v>0</v>
      </c>
      <c r="Y17" s="91">
        <f>'22'!G173</f>
        <v>0</v>
      </c>
      <c r="Z17" s="91">
        <f>'23'!G173</f>
        <v>0</v>
      </c>
      <c r="AA17" s="91">
        <f>'24'!G173</f>
        <v>0</v>
      </c>
      <c r="AB17" s="91">
        <f>'25'!G173</f>
        <v>0</v>
      </c>
      <c r="AC17" s="91">
        <f>'26'!G173</f>
        <v>0</v>
      </c>
      <c r="AD17" s="91">
        <f>'27'!G173</f>
        <v>0</v>
      </c>
      <c r="AE17" s="91">
        <f>'28'!G173</f>
        <v>0</v>
      </c>
      <c r="AF17" s="91">
        <f>'29'!G173</f>
        <v>19</v>
      </c>
      <c r="AG17" s="91">
        <f>'30'!G173</f>
        <v>0</v>
      </c>
      <c r="AH17" s="91">
        <f>'31'!G173</f>
        <v>16</v>
      </c>
      <c r="AI17" s="90"/>
    </row>
    <row r="18" spans="2:35">
      <c r="B18" s="777"/>
      <c r="C18" s="90" t="s">
        <v>75</v>
      </c>
      <c r="D18" s="90">
        <f>'1'!G174</f>
        <v>14</v>
      </c>
      <c r="E18" s="91">
        <f>'2'!G174</f>
        <v>14</v>
      </c>
      <c r="F18" s="91">
        <f>'3'!G174</f>
        <v>14</v>
      </c>
      <c r="G18" s="91">
        <f>'4'!G174</f>
        <v>28</v>
      </c>
      <c r="H18" s="91">
        <f>'5'!G174</f>
        <v>0</v>
      </c>
      <c r="I18" s="91">
        <f>'6'!G174</f>
        <v>13</v>
      </c>
      <c r="J18" s="91">
        <f>'7'!G174</f>
        <v>15</v>
      </c>
      <c r="K18" s="91">
        <f>'8'!G174</f>
        <v>15</v>
      </c>
      <c r="L18" s="91">
        <f>'9 taken physical reading &amp; Adj'!G174</f>
        <v>13</v>
      </c>
      <c r="M18" s="91">
        <f>'10'!G174</f>
        <v>17</v>
      </c>
      <c r="N18" s="91">
        <f>'11'!G174</f>
        <v>16</v>
      </c>
      <c r="O18" s="91">
        <f>'12'!G174</f>
        <v>16</v>
      </c>
      <c r="P18" s="91">
        <f>'13'!G174</f>
        <v>15</v>
      </c>
      <c r="Q18" s="91">
        <f>'14'!G174</f>
        <v>16</v>
      </c>
      <c r="R18" s="91">
        <f>'15'!G174</f>
        <v>14</v>
      </c>
      <c r="S18" s="91">
        <f>'16'!G174</f>
        <v>17</v>
      </c>
      <c r="T18" s="91">
        <f>'17'!G174</f>
        <v>14</v>
      </c>
      <c r="U18" s="91">
        <f>'18 '!G174</f>
        <v>15</v>
      </c>
      <c r="V18" s="91">
        <f>'19'!G174</f>
        <v>16</v>
      </c>
      <c r="W18" s="91">
        <f>'20'!G174</f>
        <v>14</v>
      </c>
      <c r="X18" s="91">
        <f>'21'!G174</f>
        <v>17</v>
      </c>
      <c r="Y18" s="91">
        <f>'22'!G174</f>
        <v>16</v>
      </c>
      <c r="Z18" s="91">
        <f>'23'!G174</f>
        <v>16</v>
      </c>
      <c r="AA18" s="91">
        <f>'24'!G174</f>
        <v>15</v>
      </c>
      <c r="AB18" s="91">
        <f>'25'!G174</f>
        <v>16</v>
      </c>
      <c r="AC18" s="91">
        <f>'26'!G174</f>
        <v>13</v>
      </c>
      <c r="AD18" s="91">
        <f>'27'!G174</f>
        <v>14</v>
      </c>
      <c r="AE18" s="91">
        <f>'28'!G174</f>
        <v>16</v>
      </c>
      <c r="AF18" s="91">
        <f>'29'!G174</f>
        <v>-448</v>
      </c>
      <c r="AG18" s="91">
        <f>'30'!G174</f>
        <v>15</v>
      </c>
      <c r="AH18" s="91">
        <f>'31'!G174</f>
        <v>14</v>
      </c>
      <c r="AI18" s="90"/>
    </row>
    <row r="19" spans="2:35">
      <c r="B19" s="777"/>
      <c r="C19" s="90" t="s">
        <v>76</v>
      </c>
      <c r="D19" s="90">
        <f>'1'!G175</f>
        <v>17</v>
      </c>
      <c r="E19" s="91">
        <f>'2'!G175</f>
        <v>19</v>
      </c>
      <c r="F19" s="91">
        <f>'3'!G175</f>
        <v>17</v>
      </c>
      <c r="G19" s="91">
        <f>'4'!G175</f>
        <v>16</v>
      </c>
      <c r="H19" s="91">
        <f>'5'!G175</f>
        <v>15</v>
      </c>
      <c r="I19" s="91">
        <f>'6'!G175</f>
        <v>13</v>
      </c>
      <c r="J19" s="91">
        <f>'7'!G175</f>
        <v>14</v>
      </c>
      <c r="K19" s="91">
        <f>'8'!G175</f>
        <v>13</v>
      </c>
      <c r="L19" s="91">
        <f>'9 taken physical reading &amp; Adj'!G175</f>
        <v>13</v>
      </c>
      <c r="M19" s="91">
        <f>'10'!G175</f>
        <v>13</v>
      </c>
      <c r="N19" s="91">
        <f>'11'!G175</f>
        <v>13</v>
      </c>
      <c r="O19" s="91">
        <f>'12'!G175</f>
        <v>14</v>
      </c>
      <c r="P19" s="91">
        <f>'13'!G175</f>
        <v>10</v>
      </c>
      <c r="Q19" s="91">
        <f>'14'!G175</f>
        <v>15</v>
      </c>
      <c r="R19" s="91">
        <f>'15'!G175</f>
        <v>14</v>
      </c>
      <c r="S19" s="91">
        <f>'16'!G175</f>
        <v>15</v>
      </c>
      <c r="T19" s="91">
        <f>'17'!G175</f>
        <v>12</v>
      </c>
      <c r="U19" s="91">
        <f>'18 '!G175</f>
        <v>14</v>
      </c>
      <c r="V19" s="91">
        <f>'19'!G175</f>
        <v>11</v>
      </c>
      <c r="W19" s="91">
        <f>'20'!G175</f>
        <v>11</v>
      </c>
      <c r="X19" s="91">
        <f>'21'!G175</f>
        <v>13</v>
      </c>
      <c r="Y19" s="91">
        <f>'22'!G175</f>
        <v>11</v>
      </c>
      <c r="Z19" s="91">
        <f>'23'!G175</f>
        <v>13</v>
      </c>
      <c r="AA19" s="91">
        <f>'24'!G175</f>
        <v>13</v>
      </c>
      <c r="AB19" s="91">
        <f>'25'!G175</f>
        <v>11</v>
      </c>
      <c r="AC19" s="91">
        <f>'26'!G175</f>
        <v>11</v>
      </c>
      <c r="AD19" s="91">
        <f>'27'!G175</f>
        <v>11</v>
      </c>
      <c r="AE19" s="91">
        <f>'28'!G175</f>
        <v>12</v>
      </c>
      <c r="AF19" s="91">
        <f>'29'!G175</f>
        <v>-403</v>
      </c>
      <c r="AG19" s="91">
        <f>'30'!G175</f>
        <v>12</v>
      </c>
      <c r="AH19" s="91">
        <f>'31'!G175</f>
        <v>17</v>
      </c>
      <c r="AI19" s="90"/>
    </row>
    <row r="20" spans="2:3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>
      <c r="B21" s="777" t="s">
        <v>77</v>
      </c>
      <c r="C21" s="90" t="s">
        <v>78</v>
      </c>
      <c r="D21" s="90">
        <f>'1'!G178</f>
        <v>103</v>
      </c>
      <c r="E21" s="91">
        <f>'2'!G178</f>
        <v>92</v>
      </c>
      <c r="F21" s="91">
        <f>'3'!G178</f>
        <v>128</v>
      </c>
      <c r="G21" s="91">
        <f>'4'!G178</f>
        <v>71</v>
      </c>
      <c r="H21" s="91">
        <f>'5'!G178</f>
        <v>91</v>
      </c>
      <c r="I21" s="91">
        <f>'6'!G178</f>
        <v>133.69999999999709</v>
      </c>
      <c r="J21" s="91">
        <f>'7'!G178</f>
        <v>115.30000000000291</v>
      </c>
      <c r="K21" s="91">
        <f>'8'!G178</f>
        <v>106</v>
      </c>
      <c r="L21" s="91">
        <f>'9 taken physical reading &amp; Adj'!G178</f>
        <v>137</v>
      </c>
      <c r="M21" s="91">
        <f>'10'!G178</f>
        <v>110</v>
      </c>
      <c r="N21" s="91">
        <f>'11'!G178</f>
        <v>135</v>
      </c>
      <c r="O21" s="91">
        <f>'12'!G178</f>
        <v>76</v>
      </c>
      <c r="P21" s="91">
        <f>'13'!G178</f>
        <v>78</v>
      </c>
      <c r="Q21" s="91">
        <f>'14'!G178</f>
        <v>155</v>
      </c>
      <c r="R21" s="91">
        <f>'15'!G178</f>
        <v>110</v>
      </c>
      <c r="S21" s="91">
        <f>'16'!G178</f>
        <v>87</v>
      </c>
      <c r="T21" s="91">
        <f>'17'!G178</f>
        <v>64</v>
      </c>
      <c r="U21" s="91">
        <f>'18 '!G178</f>
        <v>108</v>
      </c>
      <c r="V21" s="91">
        <f>'19'!G178</f>
        <v>111</v>
      </c>
      <c r="W21" s="91">
        <f>'20'!G178</f>
        <v>110</v>
      </c>
      <c r="X21" s="91">
        <f>'21'!G178</f>
        <v>116</v>
      </c>
      <c r="Y21" s="91">
        <f>'22'!G178</f>
        <v>115</v>
      </c>
      <c r="Z21" s="91">
        <f>'23'!G178</f>
        <v>13</v>
      </c>
      <c r="AA21" s="91">
        <f>'24'!G178</f>
        <v>86</v>
      </c>
      <c r="AB21" s="91">
        <f>'25'!G178</f>
        <v>104</v>
      </c>
      <c r="AC21" s="91">
        <f>'26'!G178</f>
        <v>77</v>
      </c>
      <c r="AD21" s="91">
        <f>'27'!G178</f>
        <v>67</v>
      </c>
      <c r="AE21" s="91">
        <f>'28'!G178</f>
        <v>85</v>
      </c>
      <c r="AF21" s="91">
        <f>'29'!G178</f>
        <v>-2992</v>
      </c>
      <c r="AG21" s="91">
        <f>'30'!G178</f>
        <v>103</v>
      </c>
      <c r="AH21" s="91">
        <f>'31'!G178</f>
        <v>105</v>
      </c>
      <c r="AI21" s="90"/>
    </row>
    <row r="22" spans="2:35">
      <c r="B22" s="777"/>
      <c r="C22" s="90" t="s">
        <v>79</v>
      </c>
      <c r="D22" s="90">
        <f>'1'!G179</f>
        <v>15</v>
      </c>
      <c r="E22" s="91">
        <f>'2'!G179</f>
        <v>0</v>
      </c>
      <c r="F22" s="91">
        <f>'3'!G179</f>
        <v>0</v>
      </c>
      <c r="G22" s="91">
        <f>'4'!G179</f>
        <v>0</v>
      </c>
      <c r="H22" s="91">
        <f>'5'!G179</f>
        <v>0</v>
      </c>
      <c r="I22" s="91">
        <f>'6'!G179</f>
        <v>0</v>
      </c>
      <c r="J22" s="91">
        <f>'7'!G179</f>
        <v>93</v>
      </c>
      <c r="K22" s="91">
        <f>'8'!G179</f>
        <v>34</v>
      </c>
      <c r="L22" s="91">
        <f>'9 taken physical reading &amp; Adj'!G179</f>
        <v>30</v>
      </c>
      <c r="M22" s="91">
        <f>'10'!G179</f>
        <v>29</v>
      </c>
      <c r="N22" s="91">
        <f>'11'!G179</f>
        <v>1</v>
      </c>
      <c r="O22" s="91">
        <f>'12'!G179</f>
        <v>16</v>
      </c>
      <c r="P22" s="91">
        <f>'13'!G179</f>
        <v>0</v>
      </c>
      <c r="Q22" s="91">
        <f>'14'!G179</f>
        <v>0</v>
      </c>
      <c r="R22" s="91">
        <f>'15'!G179</f>
        <v>0</v>
      </c>
      <c r="S22" s="91">
        <f>'16'!G179</f>
        <v>0</v>
      </c>
      <c r="T22" s="91">
        <f>'17'!G179</f>
        <v>0</v>
      </c>
      <c r="U22" s="91">
        <f>'18 '!G179</f>
        <v>0</v>
      </c>
      <c r="V22" s="91">
        <f>'19'!G179</f>
        <v>0</v>
      </c>
      <c r="W22" s="91">
        <f>'20'!G179</f>
        <v>0</v>
      </c>
      <c r="X22" s="91">
        <f>'21'!G179</f>
        <v>0</v>
      </c>
      <c r="Y22" s="91">
        <f>'22'!G179</f>
        <v>0</v>
      </c>
      <c r="Z22" s="91">
        <f>'23'!G179</f>
        <v>0</v>
      </c>
      <c r="AA22" s="91">
        <f>'24'!G179</f>
        <v>0</v>
      </c>
      <c r="AB22" s="91">
        <f>'25'!G179</f>
        <v>0</v>
      </c>
      <c r="AC22" s="91">
        <f>'26'!G179</f>
        <v>0</v>
      </c>
      <c r="AD22" s="91">
        <f>'27'!G179</f>
        <v>0</v>
      </c>
      <c r="AE22" s="91">
        <f>'28'!G179</f>
        <v>0</v>
      </c>
      <c r="AF22" s="91">
        <f>'29'!G179</f>
        <v>-227</v>
      </c>
      <c r="AG22" s="91">
        <f>'30'!G179</f>
        <v>0</v>
      </c>
      <c r="AH22" s="91">
        <f>'31'!G179</f>
        <v>9</v>
      </c>
      <c r="AI22" s="90"/>
    </row>
    <row r="23" spans="2:35">
      <c r="B23" s="777"/>
      <c r="C23" s="90" t="s">
        <v>80</v>
      </c>
      <c r="D23" s="90">
        <f>'1'!G180</f>
        <v>20</v>
      </c>
      <c r="E23" s="91">
        <f>'2'!G180</f>
        <v>7</v>
      </c>
      <c r="F23" s="91">
        <f>'3'!G180</f>
        <v>18</v>
      </c>
      <c r="G23" s="91">
        <f>'4'!G180</f>
        <v>18</v>
      </c>
      <c r="H23" s="91">
        <f>'5'!G180</f>
        <v>0</v>
      </c>
      <c r="I23" s="91">
        <f>'6'!G180</f>
        <v>5</v>
      </c>
      <c r="J23" s="91">
        <f>'7'!G180</f>
        <v>20</v>
      </c>
      <c r="K23" s="91">
        <f>'8'!G180</f>
        <v>4</v>
      </c>
      <c r="L23" s="91">
        <f>'9 taken physical reading &amp; Adj'!G180</f>
        <v>30</v>
      </c>
      <c r="M23" s="91">
        <f>'10'!G180</f>
        <v>3</v>
      </c>
      <c r="N23" s="91">
        <f>'11'!G180</f>
        <v>4</v>
      </c>
      <c r="O23" s="91">
        <f>'12'!G180</f>
        <v>6</v>
      </c>
      <c r="P23" s="91">
        <f>'13'!G180</f>
        <v>0</v>
      </c>
      <c r="Q23" s="91">
        <f>'14'!G180</f>
        <v>2</v>
      </c>
      <c r="R23" s="91">
        <f>'15'!G180</f>
        <v>1</v>
      </c>
      <c r="S23" s="91">
        <f>'16'!G180</f>
        <v>1</v>
      </c>
      <c r="T23" s="91">
        <f>'17'!G180</f>
        <v>2</v>
      </c>
      <c r="U23" s="91">
        <f>'18 '!G180</f>
        <v>3</v>
      </c>
      <c r="V23" s="91">
        <f>'19'!G180</f>
        <v>2</v>
      </c>
      <c r="W23" s="91">
        <f>'20'!G180</f>
        <v>2</v>
      </c>
      <c r="X23" s="91">
        <f>'21'!G180</f>
        <v>0</v>
      </c>
      <c r="Y23" s="91">
        <f>'22'!G180</f>
        <v>3</v>
      </c>
      <c r="Z23" s="91">
        <f>'23'!G180</f>
        <v>5</v>
      </c>
      <c r="AA23" s="91">
        <f>'24'!G180</f>
        <v>7</v>
      </c>
      <c r="AB23" s="91">
        <f>'25'!G180</f>
        <v>8</v>
      </c>
      <c r="AC23" s="91">
        <f>'26'!G180</f>
        <v>14</v>
      </c>
      <c r="AD23" s="91">
        <f>'27'!G180</f>
        <v>5</v>
      </c>
      <c r="AE23" s="91">
        <f>'28'!G180</f>
        <v>13</v>
      </c>
      <c r="AF23" s="91">
        <f>'29'!G180</f>
        <v>-224</v>
      </c>
      <c r="AG23" s="91">
        <f>'30'!G180</f>
        <v>14</v>
      </c>
      <c r="AH23" s="91">
        <f>'31'!G180</f>
        <v>7</v>
      </c>
      <c r="AI23" s="90"/>
    </row>
    <row r="24" spans="2:35" ht="30">
      <c r="B24" s="93" t="s">
        <v>301</v>
      </c>
      <c r="C24" s="90"/>
      <c r="D24" s="91">
        <f>SUM(D5:D6)</f>
        <v>316</v>
      </c>
      <c r="E24" s="91">
        <f t="shared" ref="E24:AH24" si="0">SUM(E5:E6)</f>
        <v>316</v>
      </c>
      <c r="F24" s="91">
        <f t="shared" si="0"/>
        <v>304</v>
      </c>
      <c r="G24" s="91">
        <f t="shared" si="0"/>
        <v>314</v>
      </c>
      <c r="H24" s="91">
        <f t="shared" si="0"/>
        <v>307</v>
      </c>
      <c r="I24" s="91">
        <f t="shared" si="0"/>
        <v>355</v>
      </c>
      <c r="J24" s="91">
        <f t="shared" si="0"/>
        <v>218</v>
      </c>
      <c r="K24" s="91">
        <f t="shared" si="0"/>
        <v>195</v>
      </c>
      <c r="L24" s="91">
        <f t="shared" si="0"/>
        <v>280</v>
      </c>
      <c r="M24" s="91">
        <f t="shared" si="0"/>
        <v>200</v>
      </c>
      <c r="N24" s="91">
        <f t="shared" si="0"/>
        <v>360</v>
      </c>
      <c r="O24" s="91">
        <f t="shared" si="0"/>
        <v>270</v>
      </c>
      <c r="P24" s="91">
        <f t="shared" si="0"/>
        <v>280</v>
      </c>
      <c r="Q24" s="91">
        <f t="shared" si="0"/>
        <v>290</v>
      </c>
      <c r="R24" s="91">
        <f t="shared" si="0"/>
        <v>250</v>
      </c>
      <c r="S24" s="91">
        <f t="shared" si="0"/>
        <v>230</v>
      </c>
      <c r="T24" s="91">
        <f t="shared" si="0"/>
        <v>283</v>
      </c>
      <c r="U24" s="91">
        <f t="shared" si="0"/>
        <v>232</v>
      </c>
      <c r="V24" s="91">
        <f t="shared" si="0"/>
        <v>212</v>
      </c>
      <c r="W24" s="91">
        <f t="shared" si="0"/>
        <v>253</v>
      </c>
      <c r="X24" s="91">
        <f t="shared" si="0"/>
        <v>263</v>
      </c>
      <c r="Y24" s="91">
        <f t="shared" si="0"/>
        <v>243</v>
      </c>
      <c r="Z24" s="91">
        <f t="shared" si="0"/>
        <v>182</v>
      </c>
      <c r="AA24" s="91">
        <f>SUM(AA5:AA6)</f>
        <v>233</v>
      </c>
      <c r="AB24" s="91">
        <f t="shared" si="0"/>
        <v>210</v>
      </c>
      <c r="AC24" s="91">
        <f t="shared" si="0"/>
        <v>212</v>
      </c>
      <c r="AD24" s="91">
        <f t="shared" si="0"/>
        <v>208</v>
      </c>
      <c r="AE24" s="91">
        <f t="shared" si="0"/>
        <v>188</v>
      </c>
      <c r="AF24" s="91">
        <f t="shared" si="0"/>
        <v>-433</v>
      </c>
      <c r="AG24" s="91">
        <f t="shared" si="0"/>
        <v>285</v>
      </c>
      <c r="AH24" s="91">
        <f t="shared" si="0"/>
        <v>350</v>
      </c>
      <c r="AI24" s="90"/>
    </row>
    <row r="25" spans="2:35" ht="30">
      <c r="B25" s="93" t="s">
        <v>81</v>
      </c>
      <c r="C25" s="90"/>
      <c r="D25" s="91">
        <f>SUM(D9:D11,D14:D15,)</f>
        <v>230</v>
      </c>
      <c r="E25" s="91">
        <f t="shared" ref="E25:AI25" si="1">SUM(E9:E11,E14:E15,)</f>
        <v>216</v>
      </c>
      <c r="F25" s="91">
        <f t="shared" si="1"/>
        <v>234</v>
      </c>
      <c r="G25" s="91">
        <f t="shared" si="1"/>
        <v>273</v>
      </c>
      <c r="H25" s="91">
        <f t="shared" si="1"/>
        <v>227</v>
      </c>
      <c r="I25" s="91">
        <f t="shared" si="1"/>
        <v>159</v>
      </c>
      <c r="J25" s="91">
        <f t="shared" si="1"/>
        <v>235</v>
      </c>
      <c r="K25" s="91">
        <f>SUM(K9:K11,K14:K15,)</f>
        <v>144</v>
      </c>
      <c r="L25" s="91">
        <f t="shared" si="1"/>
        <v>182</v>
      </c>
      <c r="M25" s="91">
        <f t="shared" si="1"/>
        <v>166</v>
      </c>
      <c r="N25" s="91">
        <f t="shared" si="1"/>
        <v>178</v>
      </c>
      <c r="O25" s="91">
        <f t="shared" si="1"/>
        <v>153</v>
      </c>
      <c r="P25" s="91">
        <f t="shared" si="1"/>
        <v>174</v>
      </c>
      <c r="Q25" s="91">
        <f t="shared" si="1"/>
        <v>174</v>
      </c>
      <c r="R25" s="91">
        <f t="shared" si="1"/>
        <v>153</v>
      </c>
      <c r="S25" s="91">
        <f t="shared" si="1"/>
        <v>157</v>
      </c>
      <c r="T25" s="91">
        <f>SUM(T9:T11,T14:T15,)</f>
        <v>152</v>
      </c>
      <c r="U25" s="91">
        <f t="shared" si="1"/>
        <v>152</v>
      </c>
      <c r="V25" s="91">
        <f t="shared" si="1"/>
        <v>152</v>
      </c>
      <c r="W25" s="91">
        <f t="shared" si="1"/>
        <v>167</v>
      </c>
      <c r="X25" s="91">
        <f t="shared" si="1"/>
        <v>125</v>
      </c>
      <c r="Y25" s="91">
        <f t="shared" si="1"/>
        <v>130</v>
      </c>
      <c r="Z25" s="91">
        <f t="shared" si="1"/>
        <v>154</v>
      </c>
      <c r="AA25" s="91">
        <f t="shared" si="1"/>
        <v>128</v>
      </c>
      <c r="AB25" s="91">
        <f t="shared" si="1"/>
        <v>128</v>
      </c>
      <c r="AC25" s="91">
        <f t="shared" si="1"/>
        <v>130</v>
      </c>
      <c r="AD25" s="91">
        <f t="shared" si="1"/>
        <v>110</v>
      </c>
      <c r="AE25" s="91">
        <f t="shared" si="1"/>
        <v>118</v>
      </c>
      <c r="AF25" s="91">
        <f t="shared" si="1"/>
        <v>-5154</v>
      </c>
      <c r="AG25" s="91">
        <f t="shared" si="1"/>
        <v>225</v>
      </c>
      <c r="AH25" s="91">
        <f t="shared" si="1"/>
        <v>228</v>
      </c>
      <c r="AI25" s="91">
        <f t="shared" si="1"/>
        <v>0</v>
      </c>
    </row>
    <row r="26" spans="2:3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>
      <c r="B27" s="93" t="s">
        <v>82</v>
      </c>
      <c r="C27" s="90"/>
      <c r="D27" s="91">
        <f>SUM(D13,D21,D23)</f>
        <v>138</v>
      </c>
      <c r="E27" s="91">
        <f t="shared" ref="E27:AH27" si="2">SUM(E13,E21,E23)</f>
        <v>116</v>
      </c>
      <c r="F27" s="91">
        <f>SUM(F13,F21,F23)</f>
        <v>161</v>
      </c>
      <c r="G27" s="91">
        <f t="shared" si="2"/>
        <v>118</v>
      </c>
      <c r="H27" s="91">
        <f t="shared" si="2"/>
        <v>130</v>
      </c>
      <c r="I27" s="91">
        <f t="shared" si="2"/>
        <v>155.69999999999709</v>
      </c>
      <c r="J27" s="91">
        <f t="shared" si="2"/>
        <v>156.30000000000291</v>
      </c>
      <c r="K27" s="91">
        <f t="shared" si="2"/>
        <v>141</v>
      </c>
      <c r="L27" s="91">
        <f t="shared" si="2"/>
        <v>207</v>
      </c>
      <c r="M27" s="91">
        <f t="shared" si="2"/>
        <v>144</v>
      </c>
      <c r="N27" s="91">
        <f t="shared" si="2"/>
        <v>175</v>
      </c>
      <c r="O27" s="91">
        <f t="shared" si="2"/>
        <v>119</v>
      </c>
      <c r="P27" s="91">
        <f t="shared" si="2"/>
        <v>116</v>
      </c>
      <c r="Q27" s="91">
        <f t="shared" si="2"/>
        <v>197</v>
      </c>
      <c r="R27" s="91">
        <f t="shared" si="2"/>
        <v>144</v>
      </c>
      <c r="S27" s="91">
        <f t="shared" si="2"/>
        <v>112</v>
      </c>
      <c r="T27" s="91">
        <f t="shared" si="2"/>
        <v>132</v>
      </c>
      <c r="U27" s="91">
        <f t="shared" si="2"/>
        <v>170</v>
      </c>
      <c r="V27" s="91">
        <f t="shared" si="2"/>
        <v>158</v>
      </c>
      <c r="W27" s="91">
        <f t="shared" si="2"/>
        <v>148</v>
      </c>
      <c r="X27" s="91">
        <f t="shared" si="2"/>
        <v>149</v>
      </c>
      <c r="Y27" s="91">
        <f t="shared" si="2"/>
        <v>169</v>
      </c>
      <c r="Z27" s="91">
        <f t="shared" si="2"/>
        <v>50</v>
      </c>
      <c r="AA27" s="91">
        <f t="shared" si="2"/>
        <v>131</v>
      </c>
      <c r="AB27" s="91">
        <f t="shared" si="2"/>
        <v>149</v>
      </c>
      <c r="AC27" s="91">
        <f t="shared" si="2"/>
        <v>146</v>
      </c>
      <c r="AD27" s="91">
        <f t="shared" si="2"/>
        <v>112</v>
      </c>
      <c r="AE27" s="91">
        <f t="shared" si="2"/>
        <v>137</v>
      </c>
      <c r="AF27" s="91">
        <f t="shared" si="2"/>
        <v>-4261</v>
      </c>
      <c r="AG27" s="91">
        <f t="shared" si="2"/>
        <v>139</v>
      </c>
      <c r="AH27" s="91">
        <f t="shared" si="2"/>
        <v>141</v>
      </c>
      <c r="AI27" s="91">
        <f t="shared" ref="AI27" si="3">SUM(AI13)</f>
        <v>0</v>
      </c>
    </row>
    <row r="28" spans="2:3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>
      <c r="B29" s="247" t="s">
        <v>83</v>
      </c>
      <c r="C29" s="248"/>
      <c r="D29" s="249">
        <f>D9</f>
        <v>116</v>
      </c>
      <c r="E29" s="249">
        <f t="shared" ref="E29:AH29" si="4">E9</f>
        <v>105</v>
      </c>
      <c r="F29" s="249">
        <f t="shared" si="4"/>
        <v>115</v>
      </c>
      <c r="G29" s="249">
        <f t="shared" si="4"/>
        <v>132</v>
      </c>
      <c r="H29" s="249">
        <f t="shared" si="4"/>
        <v>124</v>
      </c>
      <c r="I29" s="249">
        <f t="shared" si="4"/>
        <v>106</v>
      </c>
      <c r="J29" s="249">
        <f t="shared" si="4"/>
        <v>157</v>
      </c>
      <c r="K29" s="249">
        <f t="shared" si="4"/>
        <v>92</v>
      </c>
      <c r="L29" s="249">
        <f t="shared" si="4"/>
        <v>119</v>
      </c>
      <c r="M29" s="249">
        <f t="shared" si="4"/>
        <v>116</v>
      </c>
      <c r="N29" s="249">
        <f t="shared" si="4"/>
        <v>129</v>
      </c>
      <c r="O29" s="249">
        <f t="shared" si="4"/>
        <v>109</v>
      </c>
      <c r="P29" s="249">
        <f t="shared" si="4"/>
        <v>136</v>
      </c>
      <c r="Q29" s="249">
        <f t="shared" si="4"/>
        <v>128</v>
      </c>
      <c r="R29" s="249">
        <f t="shared" si="4"/>
        <v>107</v>
      </c>
      <c r="S29" s="249">
        <f t="shared" si="4"/>
        <v>123</v>
      </c>
      <c r="T29" s="249">
        <f t="shared" si="4"/>
        <v>119</v>
      </c>
      <c r="U29" s="249">
        <f t="shared" si="4"/>
        <v>112</v>
      </c>
      <c r="V29" s="249">
        <f t="shared" si="4"/>
        <v>110</v>
      </c>
      <c r="W29" s="249">
        <f t="shared" si="4"/>
        <v>117</v>
      </c>
      <c r="X29" s="249">
        <f t="shared" si="4"/>
        <v>102</v>
      </c>
      <c r="Y29" s="249">
        <f t="shared" si="4"/>
        <v>100</v>
      </c>
      <c r="Z29" s="249">
        <f t="shared" si="4"/>
        <v>119</v>
      </c>
      <c r="AA29" s="249">
        <f t="shared" si="4"/>
        <v>97</v>
      </c>
      <c r="AB29" s="249">
        <f t="shared" si="4"/>
        <v>103</v>
      </c>
      <c r="AC29" s="249">
        <f t="shared" si="4"/>
        <v>98</v>
      </c>
      <c r="AD29" s="249">
        <f t="shared" si="4"/>
        <v>77</v>
      </c>
      <c r="AE29" s="249">
        <f t="shared" si="4"/>
        <v>91</v>
      </c>
      <c r="AF29" s="249">
        <f t="shared" si="4"/>
        <v>-3369</v>
      </c>
      <c r="AG29" s="249">
        <f t="shared" si="4"/>
        <v>105</v>
      </c>
      <c r="AH29" s="249">
        <f t="shared" si="4"/>
        <v>105</v>
      </c>
      <c r="AI29" s="248"/>
    </row>
    <row r="30" spans="2:35">
      <c r="B30" s="247" t="s">
        <v>84</v>
      </c>
      <c r="C30" s="248"/>
      <c r="D30" s="249">
        <f>SUM(D10:D11,D14:D15)</f>
        <v>114</v>
      </c>
      <c r="E30" s="249">
        <f t="shared" ref="E30:AH30" si="5">SUM(E10:E11,E14:E15)</f>
        <v>111</v>
      </c>
      <c r="F30" s="249">
        <f t="shared" si="5"/>
        <v>119</v>
      </c>
      <c r="G30" s="249">
        <f t="shared" si="5"/>
        <v>141</v>
      </c>
      <c r="H30" s="249">
        <f t="shared" si="5"/>
        <v>103</v>
      </c>
      <c r="I30" s="249">
        <f t="shared" si="5"/>
        <v>53</v>
      </c>
      <c r="J30" s="249">
        <f t="shared" si="5"/>
        <v>78</v>
      </c>
      <c r="K30" s="249">
        <f t="shared" si="5"/>
        <v>52</v>
      </c>
      <c r="L30" s="249">
        <f t="shared" si="5"/>
        <v>63</v>
      </c>
      <c r="M30" s="249">
        <f t="shared" si="5"/>
        <v>50</v>
      </c>
      <c r="N30" s="249">
        <f t="shared" si="5"/>
        <v>49</v>
      </c>
      <c r="O30" s="249">
        <f t="shared" si="5"/>
        <v>44</v>
      </c>
      <c r="P30" s="249">
        <f t="shared" si="5"/>
        <v>38</v>
      </c>
      <c r="Q30" s="249">
        <f t="shared" si="5"/>
        <v>46</v>
      </c>
      <c r="R30" s="249">
        <f t="shared" si="5"/>
        <v>46</v>
      </c>
      <c r="S30" s="249">
        <f t="shared" si="5"/>
        <v>34</v>
      </c>
      <c r="T30" s="249">
        <f t="shared" si="5"/>
        <v>33</v>
      </c>
      <c r="U30" s="249">
        <f t="shared" si="5"/>
        <v>40</v>
      </c>
      <c r="V30" s="249">
        <f t="shared" si="5"/>
        <v>42</v>
      </c>
      <c r="W30" s="249">
        <f t="shared" si="5"/>
        <v>50</v>
      </c>
      <c r="X30" s="249">
        <f t="shared" si="5"/>
        <v>23</v>
      </c>
      <c r="Y30" s="249">
        <f t="shared" si="5"/>
        <v>30</v>
      </c>
      <c r="Z30" s="249">
        <f t="shared" si="5"/>
        <v>35</v>
      </c>
      <c r="AA30" s="249">
        <f t="shared" si="5"/>
        <v>31</v>
      </c>
      <c r="AB30" s="249">
        <f t="shared" si="5"/>
        <v>25</v>
      </c>
      <c r="AC30" s="249">
        <f t="shared" si="5"/>
        <v>32</v>
      </c>
      <c r="AD30" s="249">
        <f t="shared" si="5"/>
        <v>33</v>
      </c>
      <c r="AE30" s="249">
        <f t="shared" si="5"/>
        <v>27</v>
      </c>
      <c r="AF30" s="249">
        <f t="shared" si="5"/>
        <v>-1785</v>
      </c>
      <c r="AG30" s="249">
        <f t="shared" si="5"/>
        <v>120</v>
      </c>
      <c r="AH30" s="249">
        <f t="shared" si="5"/>
        <v>123</v>
      </c>
      <c r="AI30" s="248"/>
    </row>
    <row r="31" spans="2:35">
      <c r="B31" s="247" t="s">
        <v>85</v>
      </c>
      <c r="C31" s="248"/>
      <c r="D31" s="248">
        <f>D30/SUM(D29:D30)%</f>
        <v>49.565217391304351</v>
      </c>
      <c r="E31" s="248">
        <f t="shared" ref="E31:AH31" si="6">E30/SUM(E29:E30)%</f>
        <v>51.388888888888886</v>
      </c>
      <c r="F31" s="248">
        <f t="shared" si="6"/>
        <v>50.854700854700859</v>
      </c>
      <c r="G31" s="248">
        <f t="shared" si="6"/>
        <v>51.64835164835165</v>
      </c>
      <c r="H31" s="248">
        <f t="shared" si="6"/>
        <v>45.374449339207047</v>
      </c>
      <c r="I31" s="248">
        <f t="shared" si="6"/>
        <v>33.333333333333329</v>
      </c>
      <c r="J31" s="248">
        <f t="shared" si="6"/>
        <v>33.191489361702125</v>
      </c>
      <c r="K31" s="248">
        <f t="shared" si="6"/>
        <v>36.111111111111114</v>
      </c>
      <c r="L31" s="248">
        <f t="shared" si="6"/>
        <v>34.615384615384613</v>
      </c>
      <c r="M31" s="248">
        <f t="shared" si="6"/>
        <v>30.120481927710845</v>
      </c>
      <c r="N31" s="248">
        <f t="shared" si="6"/>
        <v>27.528089887640448</v>
      </c>
      <c r="O31" s="248">
        <f t="shared" si="6"/>
        <v>28.758169934640524</v>
      </c>
      <c r="P31" s="248">
        <f t="shared" si="6"/>
        <v>21.839080459770116</v>
      </c>
      <c r="Q31" s="248">
        <f t="shared" si="6"/>
        <v>26.436781609195403</v>
      </c>
      <c r="R31" s="248">
        <f t="shared" si="6"/>
        <v>30.065359477124183</v>
      </c>
      <c r="S31" s="248">
        <f t="shared" si="6"/>
        <v>21.656050955414013</v>
      </c>
      <c r="T31" s="248">
        <f t="shared" si="6"/>
        <v>21.710526315789473</v>
      </c>
      <c r="U31" s="248">
        <f t="shared" si="6"/>
        <v>26.315789473684209</v>
      </c>
      <c r="V31" s="248">
        <f t="shared" si="6"/>
        <v>27.631578947368421</v>
      </c>
      <c r="W31" s="248">
        <f t="shared" si="6"/>
        <v>29.940119760479043</v>
      </c>
      <c r="X31" s="248">
        <f t="shared" si="6"/>
        <v>18.399999999999999</v>
      </c>
      <c r="Y31" s="248">
        <f t="shared" si="6"/>
        <v>23.076923076923077</v>
      </c>
      <c r="Z31" s="248">
        <f t="shared" si="6"/>
        <v>22.727272727272727</v>
      </c>
      <c r="AA31" s="248">
        <f t="shared" si="6"/>
        <v>24.21875</v>
      </c>
      <c r="AB31" s="248">
        <f t="shared" si="6"/>
        <v>19.53125</v>
      </c>
      <c r="AC31" s="248">
        <f t="shared" si="6"/>
        <v>24.615384615384613</v>
      </c>
      <c r="AD31" s="248">
        <f t="shared" si="6"/>
        <v>29.999999999999996</v>
      </c>
      <c r="AE31" s="248">
        <f t="shared" si="6"/>
        <v>22.881355932203391</v>
      </c>
      <c r="AF31" s="248">
        <f t="shared" si="6"/>
        <v>34.633294528521539</v>
      </c>
      <c r="AG31" s="248">
        <f t="shared" si="6"/>
        <v>53.333333333333336</v>
      </c>
      <c r="AH31" s="248">
        <f t="shared" si="6"/>
        <v>53.947368421052637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tabSelected="1" topLeftCell="A5" zoomScale="70" zoomScaleNormal="70" workbookViewId="0">
      <pane xSplit="1" topLeftCell="B1" activePane="topRight" state="frozen"/>
      <selection activeCell="A4" sqref="A4"/>
      <selection pane="topRight" activeCell="C5" sqref="C5:C32"/>
    </sheetView>
  </sheetViews>
  <sheetFormatPr defaultRowHeight="15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/>
    <row r="2" spans="1:55">
      <c r="F2" s="781" t="s">
        <v>308</v>
      </c>
      <c r="G2" s="782"/>
      <c r="H2" s="782"/>
      <c r="I2" s="782"/>
      <c r="J2" s="782"/>
      <c r="K2" s="782"/>
      <c r="L2" s="782"/>
      <c r="M2" s="783"/>
      <c r="N2" s="780" t="s">
        <v>86</v>
      </c>
      <c r="O2" s="780"/>
      <c r="P2" s="780"/>
      <c r="Q2" s="780"/>
      <c r="R2" s="780"/>
      <c r="S2" s="780"/>
      <c r="T2" s="780"/>
      <c r="U2" s="780"/>
      <c r="V2" s="780"/>
      <c r="W2" s="780"/>
      <c r="X2" s="780"/>
      <c r="Y2" s="780"/>
      <c r="Z2" s="780"/>
      <c r="AA2" s="780"/>
      <c r="AB2" s="780"/>
      <c r="AC2" s="780"/>
      <c r="AD2" s="780"/>
      <c r="AE2" s="780"/>
      <c r="AF2" s="780"/>
      <c r="AG2" s="780"/>
      <c r="AH2" s="780"/>
      <c r="AI2" s="780"/>
      <c r="AJ2" s="780"/>
      <c r="AK2" s="780"/>
      <c r="AL2" s="780"/>
      <c r="AM2" s="780"/>
      <c r="AN2" s="779"/>
      <c r="AO2" s="779"/>
      <c r="AP2" s="779"/>
      <c r="AQ2" s="779"/>
      <c r="AR2" s="779"/>
      <c r="AS2" s="779"/>
      <c r="AT2" s="779"/>
      <c r="AU2" s="503"/>
      <c r="AV2" s="778" t="s">
        <v>87</v>
      </c>
      <c r="AW2" s="778"/>
      <c r="AX2" s="778"/>
      <c r="AY2" s="778"/>
      <c r="BB2" s="318" t="s">
        <v>334</v>
      </c>
      <c r="BC2" s="318" t="s">
        <v>335</v>
      </c>
    </row>
    <row r="3" spans="1:55">
      <c r="F3" s="505"/>
      <c r="G3" s="506"/>
      <c r="H3" s="506"/>
      <c r="I3" s="506"/>
      <c r="J3" s="506"/>
      <c r="K3" s="506"/>
      <c r="L3" s="506"/>
      <c r="M3" s="507"/>
      <c r="N3" s="504"/>
      <c r="O3" s="504"/>
      <c r="P3" s="504"/>
      <c r="Q3" s="504"/>
      <c r="R3" s="504"/>
      <c r="S3" s="504"/>
      <c r="T3" s="504"/>
      <c r="U3" s="504"/>
      <c r="V3" s="504"/>
      <c r="W3" s="504"/>
      <c r="X3" s="504"/>
      <c r="Y3" s="504"/>
      <c r="Z3" s="504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504"/>
      <c r="AN3" s="784" t="s">
        <v>138</v>
      </c>
      <c r="AO3" s="784"/>
      <c r="AP3" s="784"/>
      <c r="AQ3" s="784"/>
      <c r="AR3" s="784"/>
      <c r="AS3" s="784"/>
      <c r="AT3" s="784"/>
      <c r="AU3" s="785" t="s">
        <v>283</v>
      </c>
      <c r="AV3" s="785"/>
      <c r="AW3" s="785"/>
      <c r="AX3" s="785"/>
      <c r="AY3" s="785"/>
      <c r="BB3" s="318"/>
      <c r="BC3" s="318"/>
    </row>
    <row r="4" spans="1:55" ht="39.75" customHeight="1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508" t="s">
        <v>284</v>
      </c>
      <c r="G4" s="509" t="s">
        <v>285</v>
      </c>
      <c r="H4" s="509" t="s">
        <v>286</v>
      </c>
      <c r="I4" s="509" t="s">
        <v>287</v>
      </c>
      <c r="J4" s="509" t="s">
        <v>282</v>
      </c>
      <c r="K4" s="509" t="s">
        <v>51</v>
      </c>
      <c r="L4" s="510" t="s">
        <v>60</v>
      </c>
      <c r="M4" s="510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>
      <c r="A5" s="359">
        <v>1</v>
      </c>
      <c r="B5" s="511">
        <f>'1'!G7</f>
        <v>27016</v>
      </c>
      <c r="C5" s="511">
        <f>'1'!G8</f>
        <v>28059</v>
      </c>
      <c r="D5" s="511">
        <f>'1'!G15</f>
        <v>1098</v>
      </c>
      <c r="E5" s="511">
        <f>'1'!G20</f>
        <v>316</v>
      </c>
      <c r="F5" s="511">
        <f>SUM('1'!G35,'1'!G49)</f>
        <v>4475</v>
      </c>
      <c r="G5" s="511">
        <f>SUM('1'!H37,'1'!H51)</f>
        <v>1714.32</v>
      </c>
      <c r="H5" s="511">
        <f>SUM('1'!G38,'1'!G52)</f>
        <v>2661.76</v>
      </c>
      <c r="I5" s="511">
        <f>SUM('1'!G39,'1'!G53)</f>
        <v>3034</v>
      </c>
      <c r="J5" s="511">
        <f>SUM('1'!G41,'1'!G42,'1'!G55,'1'!G56)</f>
        <v>8007.6600000000035</v>
      </c>
      <c r="K5" s="511">
        <f>SUM('1'!G43,'1'!G57)</f>
        <v>2589</v>
      </c>
      <c r="L5" s="254">
        <f>'1'!G50</f>
        <v>815</v>
      </c>
      <c r="M5" s="254">
        <f>'1'!G36</f>
        <v>696</v>
      </c>
      <c r="N5" s="254">
        <f>'1'!G138</f>
        <v>124</v>
      </c>
      <c r="O5" s="254">
        <f>'1'!G139</f>
        <v>149</v>
      </c>
      <c r="P5" s="254">
        <f>'1'!G140</f>
        <v>14</v>
      </c>
      <c r="Q5" s="254">
        <f>'1'!G141</f>
        <v>223</v>
      </c>
      <c r="R5" s="254">
        <f>'1'!G142</f>
        <v>174</v>
      </c>
      <c r="S5" s="254">
        <f>'1'!$G$145</f>
        <v>0</v>
      </c>
      <c r="T5" s="254">
        <f>'1'!$G$146</f>
        <v>97</v>
      </c>
      <c r="U5" s="254">
        <f>'1'!$G$144</f>
        <v>251</v>
      </c>
      <c r="V5" s="254">
        <f>'1'!$G$147</f>
        <v>358</v>
      </c>
      <c r="W5" s="254">
        <f>'1'!$G$148</f>
        <v>254</v>
      </c>
      <c r="X5" s="254">
        <f>'1'!$G$143</f>
        <v>28</v>
      </c>
      <c r="Y5" s="254">
        <f>'1'!$G$58</f>
        <v>239</v>
      </c>
      <c r="Z5" s="254">
        <f>'1'!$G$151</f>
        <v>272</v>
      </c>
      <c r="AA5" s="254">
        <f>'1'!G161</f>
        <v>0</v>
      </c>
      <c r="AB5" s="254">
        <f>'1'!G162</f>
        <v>38</v>
      </c>
      <c r="AC5" s="254"/>
      <c r="AD5" s="254">
        <f>'1'!G163+'1'!G164</f>
        <v>206</v>
      </c>
      <c r="AE5" s="254">
        <f>'1'!$G$116</f>
        <v>384</v>
      </c>
      <c r="AF5" s="254">
        <f>'1'!$G$117</f>
        <v>237</v>
      </c>
      <c r="AG5" s="254">
        <f>'1'!$G$118</f>
        <v>596</v>
      </c>
      <c r="AH5" s="254">
        <f>'1'!$G$119</f>
        <v>455</v>
      </c>
      <c r="AI5" s="254">
        <f>'1'!$G$120</f>
        <v>467</v>
      </c>
      <c r="AJ5" s="254">
        <f>'1'!$G$121</f>
        <v>509</v>
      </c>
      <c r="AK5" s="254">
        <f>'1'!$G$122</f>
        <v>328</v>
      </c>
      <c r="AL5" s="254">
        <f>'1'!$G$123</f>
        <v>713</v>
      </c>
      <c r="AM5" s="254">
        <f>'1'!$G$133</f>
        <v>850</v>
      </c>
      <c r="AN5" s="254">
        <f>'1'!$G$15</f>
        <v>1098</v>
      </c>
      <c r="AO5" s="254">
        <f>'1'!$G$74</f>
        <v>328</v>
      </c>
      <c r="AP5" s="254">
        <f>'1'!$G$75</f>
        <v>0</v>
      </c>
      <c r="AQ5" s="254">
        <f>'1'!$G$76</f>
        <v>105</v>
      </c>
      <c r="AR5" s="254">
        <f>'1'!$G$77</f>
        <v>48</v>
      </c>
      <c r="AS5" s="254">
        <f>'1'!$G$78</f>
        <v>0</v>
      </c>
      <c r="AT5" s="254">
        <f>AN5-SUM(AO5:AS5)</f>
        <v>617</v>
      </c>
      <c r="AU5" s="254">
        <f>SUM('1'!G91:G92)</f>
        <v>11.75</v>
      </c>
      <c r="AV5" s="254">
        <f>'1'!$G$88</f>
        <v>11.119999999998981</v>
      </c>
      <c r="AW5" s="254">
        <f>'1'!$G$89</f>
        <v>11.590000000000146</v>
      </c>
      <c r="AX5" s="254">
        <f>'1'!$G$90</f>
        <v>0</v>
      </c>
      <c r="AY5" s="252">
        <f>SUM(AV5:AX5)</f>
        <v>22.709999999999127</v>
      </c>
      <c r="AZ5" s="311">
        <f>AO5/AU5</f>
        <v>27.914893617021278</v>
      </c>
      <c r="BA5" s="311">
        <f>AT5/AY5</f>
        <v>27.16864817261223</v>
      </c>
      <c r="BB5" s="351">
        <f>C5-SUM(F5:K5,Y5)</f>
        <v>5338.2599999999948</v>
      </c>
      <c r="BC5" s="351">
        <f>BB5/B5%</f>
        <v>19.759623926562018</v>
      </c>
    </row>
    <row r="6" spans="1:55">
      <c r="A6" s="359">
        <v>2</v>
      </c>
      <c r="B6" s="511">
        <f>'2'!G7</f>
        <v>27481</v>
      </c>
      <c r="C6" s="511">
        <f>'2'!G8</f>
        <v>28576</v>
      </c>
      <c r="D6" s="511">
        <f>'2'!G15</f>
        <v>1043</v>
      </c>
      <c r="E6" s="511">
        <f>'2'!G20</f>
        <v>316</v>
      </c>
      <c r="F6" s="511">
        <f>SUM('2'!G35,'2'!G49)</f>
        <v>3977</v>
      </c>
      <c r="G6" s="511">
        <f>SUM('2'!G37,'2'!G51)</f>
        <v>1795</v>
      </c>
      <c r="H6" s="511">
        <f>SUM('2'!G38,'2'!G52)</f>
        <v>2380</v>
      </c>
      <c r="I6" s="511">
        <f>SUM('2'!G39,'2'!G53)</f>
        <v>2966</v>
      </c>
      <c r="J6" s="511">
        <f>SUM('2'!G41,'2'!G42,'2'!G55,'2'!G56)</f>
        <v>8374</v>
      </c>
      <c r="K6" s="511">
        <f>SUM('2'!G43,'2'!G57)</f>
        <v>3077</v>
      </c>
      <c r="L6" s="254">
        <f>'2'!G50</f>
        <v>850</v>
      </c>
      <c r="M6" s="254">
        <f>'2'!G36</f>
        <v>984</v>
      </c>
      <c r="N6" s="254">
        <f>'2'!G138</f>
        <v>142</v>
      </c>
      <c r="O6" s="254">
        <f>'2'!$G$139</f>
        <v>173</v>
      </c>
      <c r="P6" s="254">
        <f>'2'!$G$140</f>
        <v>14</v>
      </c>
      <c r="Q6" s="254">
        <f>'2'!$G$141</f>
        <v>192</v>
      </c>
      <c r="R6" s="254">
        <f>'2'!$G$142</f>
        <v>163</v>
      </c>
      <c r="S6" s="254">
        <f>'2'!$G$145</f>
        <v>0</v>
      </c>
      <c r="T6" s="254">
        <f>'2'!$G$146</f>
        <v>43</v>
      </c>
      <c r="U6" s="254">
        <f>'2'!$G$144</f>
        <v>236</v>
      </c>
      <c r="V6" s="254">
        <f>'2'!$G$147</f>
        <v>347</v>
      </c>
      <c r="W6" s="251">
        <f>'2'!$G$148</f>
        <v>302</v>
      </c>
      <c r="X6" s="251">
        <f>'2'!$G$143</f>
        <v>29</v>
      </c>
      <c r="Y6" s="251">
        <f>'2'!$G$58</f>
        <v>254</v>
      </c>
      <c r="Z6" s="251">
        <f>'2'!$G$151</f>
        <v>244</v>
      </c>
      <c r="AA6" s="251">
        <f>'2'!G161</f>
        <v>0</v>
      </c>
      <c r="AB6" s="254">
        <f>'2'!G162</f>
        <v>38</v>
      </c>
      <c r="AC6" s="254"/>
      <c r="AD6" s="254">
        <f>'2'!G163+'2'!G164</f>
        <v>168</v>
      </c>
      <c r="AE6" s="254">
        <f>'2'!$G$116</f>
        <v>375</v>
      </c>
      <c r="AF6" s="254">
        <f>'2'!$G$117</f>
        <v>250</v>
      </c>
      <c r="AG6" s="254">
        <f>'2'!$G$118</f>
        <v>562</v>
      </c>
      <c r="AH6" s="254">
        <f>'2'!$G$119</f>
        <v>397</v>
      </c>
      <c r="AI6" s="254">
        <f>'2'!$G$120</f>
        <v>442</v>
      </c>
      <c r="AJ6" s="254">
        <f>'2'!$G$121</f>
        <v>448</v>
      </c>
      <c r="AK6" s="254">
        <f>'2'!$G$122</f>
        <v>324</v>
      </c>
      <c r="AL6" s="254">
        <f>'2'!$G$123</f>
        <v>320</v>
      </c>
      <c r="AM6" s="254">
        <f>'2'!$G$133</f>
        <v>814</v>
      </c>
      <c r="AN6" s="254">
        <f>'2'!$G$15</f>
        <v>1043</v>
      </c>
      <c r="AO6" s="254">
        <f>'2'!$G$74</f>
        <v>331</v>
      </c>
      <c r="AP6" s="254">
        <f>'2'!$G$75</f>
        <v>0</v>
      </c>
      <c r="AQ6" s="254">
        <f>'2'!$G$76</f>
        <v>98</v>
      </c>
      <c r="AR6" s="254">
        <f>'2'!$G$77</f>
        <v>41</v>
      </c>
      <c r="AS6" s="254">
        <f>'2'!$G$78</f>
        <v>0</v>
      </c>
      <c r="AT6" s="254">
        <f t="shared" ref="AT6:AT34" si="0">AN6-SUM(AO6:AS6)</f>
        <v>573</v>
      </c>
      <c r="AU6" s="254">
        <f>SUM('2'!G91:G92)</f>
        <v>11.350000000000364</v>
      </c>
      <c r="AV6" s="254">
        <f>'2'!$G$88</f>
        <v>11</v>
      </c>
      <c r="AW6" s="254">
        <f>'2'!$G$89</f>
        <v>10</v>
      </c>
      <c r="AX6" s="254">
        <f>'2'!$G$90</f>
        <v>0</v>
      </c>
      <c r="AY6" s="252">
        <f t="shared" ref="AY6:AY34" si="1">SUM(AV6:AX6)</f>
        <v>21</v>
      </c>
      <c r="AZ6" s="311">
        <f t="shared" ref="AZ6:AZ8" si="2">AO6/AU6</f>
        <v>29.162995594712722</v>
      </c>
      <c r="BA6" s="311">
        <f t="shared" ref="BA6:BA35" si="3">AT6/AY6</f>
        <v>27.285714285714285</v>
      </c>
      <c r="BB6" s="351">
        <f t="shared" ref="BB6:BB35" si="4">C6-SUM(F6:K6,Y6)</f>
        <v>5753</v>
      </c>
      <c r="BC6" s="351">
        <f t="shared" ref="BC6:BC35" si="5">BB6/B6%</f>
        <v>20.934463811360576</v>
      </c>
    </row>
    <row r="7" spans="1:55" s="313" customFormat="1">
      <c r="A7" s="359">
        <v>3</v>
      </c>
      <c r="B7" s="511">
        <f>'3'!G7</f>
        <v>27665</v>
      </c>
      <c r="C7" s="511">
        <f>'3'!G8</f>
        <v>28813</v>
      </c>
      <c r="D7" s="511">
        <f>'3'!G15</f>
        <v>1104</v>
      </c>
      <c r="E7" s="511">
        <f>'3'!G20</f>
        <v>304</v>
      </c>
      <c r="F7" s="511">
        <f>SUM('3'!G35,'3'!G49)</f>
        <v>3797</v>
      </c>
      <c r="G7" s="511">
        <f>SUM('3'!G37,'3'!G51)</f>
        <v>1844</v>
      </c>
      <c r="H7" s="511">
        <f>SUM('3'!G38,'3'!G52)</f>
        <v>2426</v>
      </c>
      <c r="I7" s="511">
        <f>SUM('3'!G39,'3'!G53)</f>
        <v>2963</v>
      </c>
      <c r="J7" s="511">
        <f>SUM('3'!G41,'3'!G42,'3'!G55,'3'!G56)</f>
        <v>8347</v>
      </c>
      <c r="K7" s="511">
        <f>SUM('3'!G43,'3'!G57)</f>
        <v>3116</v>
      </c>
      <c r="L7" s="251">
        <f>'3'!G50</f>
        <v>1131</v>
      </c>
      <c r="M7" s="251">
        <f>'3'!G36</f>
        <v>836</v>
      </c>
      <c r="N7" s="251">
        <f>'3'!G138</f>
        <v>129</v>
      </c>
      <c r="O7" s="251">
        <f>'3'!$G$139</f>
        <v>159</v>
      </c>
      <c r="P7" s="251">
        <f>'3'!$G$140</f>
        <v>14</v>
      </c>
      <c r="Q7" s="251">
        <f>'3'!$G$141</f>
        <v>205</v>
      </c>
      <c r="R7" s="251">
        <f>'3'!$G$142</f>
        <v>163</v>
      </c>
      <c r="S7" s="251">
        <f>'3'!$G$145</f>
        <v>0</v>
      </c>
      <c r="T7" s="251">
        <f>'3'!$G$146</f>
        <v>45</v>
      </c>
      <c r="U7" s="251">
        <f>'3'!$G$144</f>
        <v>262</v>
      </c>
      <c r="V7" s="251">
        <f>'3'!$G$147</f>
        <v>390</v>
      </c>
      <c r="W7" s="251">
        <f>'3'!$G$148</f>
        <v>322</v>
      </c>
      <c r="X7" s="251">
        <f>'3'!$G$143</f>
        <v>34</v>
      </c>
      <c r="Y7" s="251">
        <f>'3'!$G$58</f>
        <v>259</v>
      </c>
      <c r="Z7" s="251">
        <f>'3'!$G$151</f>
        <v>326</v>
      </c>
      <c r="AA7" s="254">
        <f>'3'!G161</f>
        <v>0</v>
      </c>
      <c r="AB7" s="254">
        <f>'3'!G162</f>
        <v>42</v>
      </c>
      <c r="AC7" s="254"/>
      <c r="AD7" s="254">
        <f>'3'!G163+'3'!G164</f>
        <v>150</v>
      </c>
      <c r="AE7" s="251">
        <f>'3'!$G$116</f>
        <v>384</v>
      </c>
      <c r="AF7" s="251">
        <f>'3'!$G$117</f>
        <v>230</v>
      </c>
      <c r="AG7" s="251">
        <f>'3'!$G$118</f>
        <v>534</v>
      </c>
      <c r="AH7" s="251">
        <f>'3'!$G$119</f>
        <v>410</v>
      </c>
      <c r="AI7" s="251">
        <f>'3'!$G$120</f>
        <v>430</v>
      </c>
      <c r="AJ7" s="251">
        <f>'3'!$G$121</f>
        <v>482</v>
      </c>
      <c r="AK7" s="251">
        <f>'3'!$G$122</f>
        <v>332</v>
      </c>
      <c r="AL7" s="251">
        <f>'3'!$G$123</f>
        <v>327</v>
      </c>
      <c r="AM7" s="251">
        <f>'3'!$G$133</f>
        <v>869</v>
      </c>
      <c r="AN7" s="251">
        <f>'3'!$G$15</f>
        <v>1104</v>
      </c>
      <c r="AO7" s="251">
        <f>'3'!$G$74</f>
        <v>321</v>
      </c>
      <c r="AP7" s="251">
        <f>'3'!$G$75</f>
        <v>0</v>
      </c>
      <c r="AQ7" s="251">
        <f>'3'!$G$76</f>
        <v>135</v>
      </c>
      <c r="AR7" s="251">
        <f>'3'!$G$77</f>
        <v>41</v>
      </c>
      <c r="AS7" s="251">
        <f>'3'!$G$78</f>
        <v>0</v>
      </c>
      <c r="AT7" s="251">
        <f t="shared" si="0"/>
        <v>607</v>
      </c>
      <c r="AU7" s="254">
        <f>SUM('3'!G91:G92)</f>
        <v>11</v>
      </c>
      <c r="AV7" s="251">
        <f>'3'!$G$88</f>
        <v>10</v>
      </c>
      <c r="AW7" s="251">
        <f>'3'!$G$89</f>
        <v>11</v>
      </c>
      <c r="AX7" s="251">
        <f>'3'!$G$90</f>
        <v>-0.11999999999534339</v>
      </c>
      <c r="AY7" s="255">
        <f t="shared" si="1"/>
        <v>20.880000000004657</v>
      </c>
      <c r="AZ7" s="311">
        <f t="shared" si="2"/>
        <v>29.181818181818183</v>
      </c>
      <c r="BA7" s="311">
        <f t="shared" si="3"/>
        <v>29.070881226047156</v>
      </c>
      <c r="BB7" s="351">
        <f t="shared" si="4"/>
        <v>6061</v>
      </c>
      <c r="BC7" s="351">
        <f t="shared" si="5"/>
        <v>21.908548707753482</v>
      </c>
    </row>
    <row r="8" spans="1:55">
      <c r="A8" s="359">
        <v>4</v>
      </c>
      <c r="B8" s="511">
        <f>'4'!G7</f>
        <v>27198</v>
      </c>
      <c r="C8" s="511">
        <f>'4'!G8</f>
        <v>28412</v>
      </c>
      <c r="D8" s="511">
        <f>'4'!G15</f>
        <v>1121</v>
      </c>
      <c r="E8" s="511">
        <f>'4'!G20</f>
        <v>314</v>
      </c>
      <c r="F8" s="511">
        <f>SUM('4'!G35,'4'!G49)</f>
        <v>3536</v>
      </c>
      <c r="G8" s="511">
        <f>SUM('4'!G37,'4'!G51)</f>
        <v>1755</v>
      </c>
      <c r="H8" s="511">
        <f>SUM('4'!G38,'4'!G52)</f>
        <v>2483.9899999999998</v>
      </c>
      <c r="I8" s="511">
        <f>SUM('4'!G39,'4'!G53)</f>
        <v>2991</v>
      </c>
      <c r="J8" s="511">
        <f>SUM('4'!G41,'4'!G42,'4'!G55,'4'!G56)</f>
        <v>7679</v>
      </c>
      <c r="K8" s="511">
        <f>SUM('4'!G43,'4'!G57)</f>
        <v>3137</v>
      </c>
      <c r="L8" s="254">
        <f>'4'!G50</f>
        <v>941</v>
      </c>
      <c r="M8" s="254">
        <f>'4'!G36</f>
        <v>768</v>
      </c>
      <c r="N8" s="254">
        <f>'4'!G138</f>
        <v>128</v>
      </c>
      <c r="O8" s="254">
        <f>'4'!$G$139</f>
        <v>157</v>
      </c>
      <c r="P8" s="254">
        <f>'4'!$G$140</f>
        <v>14</v>
      </c>
      <c r="Q8" s="254">
        <f>'4'!$G$141</f>
        <v>198</v>
      </c>
      <c r="R8" s="254">
        <f>'4'!$G$142</f>
        <v>166</v>
      </c>
      <c r="S8" s="254">
        <f>'4'!$G$145</f>
        <v>0</v>
      </c>
      <c r="T8" s="254">
        <f>'4'!$G$146</f>
        <v>38</v>
      </c>
      <c r="U8" s="254">
        <f>'4'!$G$144</f>
        <v>237</v>
      </c>
      <c r="V8" s="251">
        <f>'4'!$G$147</f>
        <v>399</v>
      </c>
      <c r="W8" s="251">
        <f>'4'!$G$148</f>
        <v>276</v>
      </c>
      <c r="X8" s="254">
        <f>'4'!$G$143</f>
        <v>29</v>
      </c>
      <c r="Y8" s="254">
        <f>'4'!$G$58</f>
        <v>243</v>
      </c>
      <c r="Z8" s="254">
        <f>'4'!$G$151</f>
        <v>304</v>
      </c>
      <c r="AA8" s="254">
        <f>'4'!G161</f>
        <v>0</v>
      </c>
      <c r="AB8" s="254">
        <f>'4'!G162</f>
        <v>40</v>
      </c>
      <c r="AC8" s="254"/>
      <c r="AD8" s="254">
        <f>'4'!G163+'4'!G164</f>
        <v>147</v>
      </c>
      <c r="AE8" s="254">
        <f>'4'!$G$116</f>
        <v>436</v>
      </c>
      <c r="AF8" s="254">
        <f>'4'!$G$117</f>
        <v>235</v>
      </c>
      <c r="AG8" s="254">
        <f>'4'!$G$118</f>
        <v>519</v>
      </c>
      <c r="AH8" s="254">
        <f>'4'!$G$119</f>
        <v>423</v>
      </c>
      <c r="AI8" s="254">
        <f>'4'!$G$120</f>
        <v>449</v>
      </c>
      <c r="AJ8" s="254">
        <f>'4'!$G$121</f>
        <v>489</v>
      </c>
      <c r="AK8" s="254">
        <f>'4'!$G$122</f>
        <v>325</v>
      </c>
      <c r="AL8" s="254">
        <f>'4'!$G$123</f>
        <v>326</v>
      </c>
      <c r="AM8" s="254">
        <f>'4'!$G$133</f>
        <v>863</v>
      </c>
      <c r="AN8" s="254">
        <f>'4'!$G$15</f>
        <v>1121</v>
      </c>
      <c r="AO8" s="254">
        <f>'4'!$G$74</f>
        <v>299</v>
      </c>
      <c r="AP8" s="254">
        <f>'4'!$G$75</f>
        <v>0</v>
      </c>
      <c r="AQ8" s="254">
        <f>'4'!$G$76</f>
        <v>116</v>
      </c>
      <c r="AR8" s="254">
        <f>'4'!$G$77</f>
        <v>66</v>
      </c>
      <c r="AS8" s="254">
        <f>'4'!$G$78</f>
        <v>0</v>
      </c>
      <c r="AT8" s="254">
        <f t="shared" si="0"/>
        <v>640</v>
      </c>
      <c r="AU8" s="254">
        <f>SUM('4'!G91:G92)</f>
        <v>10.420000000000073</v>
      </c>
      <c r="AV8" s="254">
        <f>'4'!$G$88</f>
        <v>7.3800000000010186</v>
      </c>
      <c r="AW8" s="254">
        <f>'4'!$G$89</f>
        <v>10</v>
      </c>
      <c r="AX8" s="254">
        <f>'4'!$G$90</f>
        <v>0</v>
      </c>
      <c r="AY8" s="252">
        <f t="shared" si="1"/>
        <v>17.380000000001019</v>
      </c>
      <c r="AZ8" s="311">
        <f t="shared" si="2"/>
        <v>28.694817658349127</v>
      </c>
      <c r="BA8" s="311">
        <f t="shared" si="3"/>
        <v>36.823935558110612</v>
      </c>
      <c r="BB8" s="351">
        <f t="shared" si="4"/>
        <v>6587.010000000002</v>
      </c>
      <c r="BC8" s="351">
        <f t="shared" si="5"/>
        <v>24.218729318332237</v>
      </c>
    </row>
    <row r="9" spans="1:55">
      <c r="A9" s="359">
        <v>5</v>
      </c>
      <c r="B9" s="511">
        <f>'5'!G7</f>
        <v>26832</v>
      </c>
      <c r="C9" s="511">
        <f>'5'!G8</f>
        <v>27996</v>
      </c>
      <c r="D9" s="511">
        <f>'5'!G15</f>
        <v>1118</v>
      </c>
      <c r="E9" s="511">
        <f>'5'!G20</f>
        <v>307</v>
      </c>
      <c r="F9" s="511">
        <f>SUM('5'!G35,'5'!G49)</f>
        <v>3453</v>
      </c>
      <c r="G9" s="511">
        <f>SUM('5'!G37,'5'!G51)</f>
        <v>1723.68</v>
      </c>
      <c r="H9" s="511">
        <f>SUM('5'!G38,'5'!G52)</f>
        <v>2433.0100000000002</v>
      </c>
      <c r="I9" s="511">
        <f>SUM('5'!G39,'5'!G53)</f>
        <v>3013</v>
      </c>
      <c r="J9" s="511">
        <f>SUM('5'!G41,'5'!G42,'5'!G55,'5'!G56)</f>
        <v>7126</v>
      </c>
      <c r="K9" s="511">
        <f>SUM('5'!G43,'5'!G57)</f>
        <v>2981</v>
      </c>
      <c r="L9" s="254">
        <f>'5'!G50</f>
        <v>1674</v>
      </c>
      <c r="M9" s="254">
        <f>'5'!G36</f>
        <v>741</v>
      </c>
      <c r="N9" s="254">
        <f>'5'!G138</f>
        <v>125</v>
      </c>
      <c r="O9" s="254">
        <f>'5'!$G$139</f>
        <v>152</v>
      </c>
      <c r="P9" s="254">
        <f>'5'!$G$140</f>
        <v>12</v>
      </c>
      <c r="Q9" s="258">
        <f>'5'!$G$141</f>
        <v>211</v>
      </c>
      <c r="R9" s="254">
        <f>'5'!$G$142</f>
        <v>169</v>
      </c>
      <c r="S9" s="251">
        <f>'5'!$G$145</f>
        <v>0</v>
      </c>
      <c r="T9" s="254">
        <f>'5'!$G$146</f>
        <v>42</v>
      </c>
      <c r="U9" s="254">
        <f>'5'!$G$144</f>
        <v>248</v>
      </c>
      <c r="V9" s="256">
        <f>'5'!$G$147</f>
        <v>35</v>
      </c>
      <c r="W9" s="254">
        <f>'5'!$G$148</f>
        <v>258</v>
      </c>
      <c r="X9" s="254">
        <f>'5'!$G$143</f>
        <v>26</v>
      </c>
      <c r="Y9" s="254">
        <f>'5'!$G$58</f>
        <v>242</v>
      </c>
      <c r="Z9" s="254">
        <f>'5'!$G$151</f>
        <v>320</v>
      </c>
      <c r="AA9" s="254">
        <f>'5'!G161</f>
        <v>93</v>
      </c>
      <c r="AB9" s="254">
        <f>'5'!G162</f>
        <v>22</v>
      </c>
      <c r="AC9" s="254"/>
      <c r="AD9" s="254">
        <f>'5'!G163+'5'!G164</f>
        <v>145</v>
      </c>
      <c r="AE9" s="254">
        <f>'5'!$G$116</f>
        <v>403</v>
      </c>
      <c r="AF9" s="254">
        <f>'5'!$G$117</f>
        <v>237</v>
      </c>
      <c r="AG9" s="254">
        <f>'5'!$G$118</f>
        <v>511</v>
      </c>
      <c r="AH9" s="254">
        <f>'5'!$G$119</f>
        <v>428</v>
      </c>
      <c r="AI9" s="254">
        <f>'5'!$G$120</f>
        <v>401</v>
      </c>
      <c r="AJ9" s="254">
        <f>'5'!$G$121</f>
        <v>558</v>
      </c>
      <c r="AK9" s="254">
        <f>'5'!$G$122</f>
        <v>317</v>
      </c>
      <c r="AL9" s="254">
        <f>'5'!$G$123</f>
        <v>0</v>
      </c>
      <c r="AM9" s="254">
        <f>'5'!$G$133</f>
        <v>867</v>
      </c>
      <c r="AN9" s="254">
        <f>'5'!$G$15</f>
        <v>1118</v>
      </c>
      <c r="AO9" s="256">
        <f>'5'!$G$74</f>
        <v>323</v>
      </c>
      <c r="AP9" s="256">
        <f>'5'!$G$75</f>
        <v>0</v>
      </c>
      <c r="AQ9" s="256">
        <f>'5'!$G$76</f>
        <v>130</v>
      </c>
      <c r="AR9" s="256">
        <f>'5'!$G$77</f>
        <v>46</v>
      </c>
      <c r="AS9" s="256">
        <f>'5'!$G$78</f>
        <v>0.3999999999996362</v>
      </c>
      <c r="AT9" s="256">
        <f t="shared" si="0"/>
        <v>618.60000000000036</v>
      </c>
      <c r="AU9" s="254">
        <f>SUM('5'!G91:G92)</f>
        <v>11.579999999999927</v>
      </c>
      <c r="AV9" s="254">
        <f>'5'!$G$88</f>
        <v>7.6199999999989814</v>
      </c>
      <c r="AW9" s="254">
        <f>'5'!$G$89</f>
        <v>11</v>
      </c>
      <c r="AX9" s="254">
        <f>'5'!$G$90</f>
        <v>0</v>
      </c>
      <c r="AY9" s="252">
        <f t="shared" si="1"/>
        <v>18.619999999998981</v>
      </c>
      <c r="AZ9" s="311">
        <f>AO9/AU9</f>
        <v>27.892918825561487</v>
      </c>
      <c r="BA9" s="311">
        <f t="shared" si="3"/>
        <v>33.222341568208066</v>
      </c>
      <c r="BB9" s="351">
        <f t="shared" si="4"/>
        <v>7024.3099999999977</v>
      </c>
      <c r="BC9" s="351">
        <f t="shared" si="5"/>
        <v>26.178853607632668</v>
      </c>
    </row>
    <row r="10" spans="1:55">
      <c r="A10" s="359">
        <v>6</v>
      </c>
      <c r="B10" s="511">
        <f>'6'!G7</f>
        <v>29279</v>
      </c>
      <c r="C10" s="511">
        <f>'6'!G8</f>
        <v>30439</v>
      </c>
      <c r="D10" s="511">
        <f>'6'!G15</f>
        <v>1084.6000000000931</v>
      </c>
      <c r="E10" s="511">
        <f>'6'!G20</f>
        <v>355</v>
      </c>
      <c r="F10" s="511">
        <f>SUM('6'!G35,'6'!G49)</f>
        <v>3689</v>
      </c>
      <c r="G10" s="511">
        <f>SUM('6'!G37,'6'!G51)</f>
        <v>1752</v>
      </c>
      <c r="H10" s="511">
        <f>SUM('6'!G38,'6'!G52)</f>
        <v>2232</v>
      </c>
      <c r="I10" s="511">
        <f>SUM('6'!G39,'6'!G53)</f>
        <v>2982</v>
      </c>
      <c r="J10" s="511">
        <f>SUM('6'!G41,'6'!G42,'6'!G55,'6'!G56)</f>
        <v>9008</v>
      </c>
      <c r="K10" s="511">
        <f>SUM('6'!G43,'6'!G57)</f>
        <v>3199.5800000000017</v>
      </c>
      <c r="L10" s="254">
        <f>'6'!G50</f>
        <v>1586</v>
      </c>
      <c r="M10" s="254">
        <f>'6'!G36</f>
        <v>1086</v>
      </c>
      <c r="N10" s="254">
        <f>'6'!G138</f>
        <v>128</v>
      </c>
      <c r="O10" s="254">
        <f>'6'!$G$139</f>
        <v>153</v>
      </c>
      <c r="P10" s="254">
        <f>'6'!$G$140</f>
        <v>15.690000000000055</v>
      </c>
      <c r="Q10" s="254">
        <f>'6'!$G$141</f>
        <v>204.89999999999418</v>
      </c>
      <c r="R10" s="254">
        <f>'6'!$G$142</f>
        <v>146.5</v>
      </c>
      <c r="S10" s="254">
        <f>'6'!$G$145</f>
        <v>0.40999999999985448</v>
      </c>
      <c r="T10" s="251">
        <f>'6'!$G$146</f>
        <v>67</v>
      </c>
      <c r="U10" s="251">
        <f>'6'!$G$144</f>
        <v>241</v>
      </c>
      <c r="V10" s="251">
        <f>'6'!$G$147</f>
        <v>791.47999999998137</v>
      </c>
      <c r="W10" s="251">
        <f>'6'!$G$148</f>
        <v>300.28000000002794</v>
      </c>
      <c r="X10" s="251">
        <f>'6'!$G$143</f>
        <v>29.279999999999745</v>
      </c>
      <c r="Y10" s="251">
        <f>'6'!$G$58</f>
        <v>250.69999999999709</v>
      </c>
      <c r="Z10" s="251">
        <f>'6'!$G$151</f>
        <v>275</v>
      </c>
      <c r="AA10" s="251">
        <f>'6'!G161</f>
        <v>189.64000000001397</v>
      </c>
      <c r="AB10" s="251">
        <f>'6'!G162</f>
        <v>33.69999999999709</v>
      </c>
      <c r="AC10" s="251"/>
      <c r="AD10" s="251">
        <f>'6'!G163+'6'!G164</f>
        <v>162.400000000006</v>
      </c>
      <c r="AE10" s="254">
        <f>'6'!$G$116</f>
        <v>425.40000000000146</v>
      </c>
      <c r="AF10" s="254">
        <f>'6'!$G$117</f>
        <v>212.29999999999927</v>
      </c>
      <c r="AG10" s="254">
        <f>'6'!$G$118</f>
        <v>534.70000000000073</v>
      </c>
      <c r="AH10" s="254">
        <f>'6'!$G$119</f>
        <v>416.59999999999854</v>
      </c>
      <c r="AI10" s="254">
        <f>'6'!$G$120</f>
        <v>493.20000000000073</v>
      </c>
      <c r="AJ10" s="254">
        <f>'6'!$G$121</f>
        <v>435.70000000000073</v>
      </c>
      <c r="AK10" s="254">
        <f>'6'!$G$122</f>
        <v>298.39999999999964</v>
      </c>
      <c r="AL10" s="254">
        <f>'6'!$G$123</f>
        <v>178</v>
      </c>
      <c r="AM10" s="254">
        <f>'6'!$G$133</f>
        <v>867</v>
      </c>
      <c r="AN10" s="254">
        <f>'6'!$G$15</f>
        <v>1084.6000000000931</v>
      </c>
      <c r="AO10" s="256">
        <f>'6'!$G$74</f>
        <v>311.43000000005122</v>
      </c>
      <c r="AP10" s="256">
        <f>'6'!$G$75</f>
        <v>0</v>
      </c>
      <c r="AQ10" s="256">
        <f>'6'!$G$76</f>
        <v>129.10000000000582</v>
      </c>
      <c r="AR10" s="256">
        <f>'6'!$G$77</f>
        <v>41.30000000000291</v>
      </c>
      <c r="AS10" s="256">
        <f>'6'!$G$78</f>
        <v>0</v>
      </c>
      <c r="AT10" s="256">
        <f t="shared" si="0"/>
        <v>602.77000000003318</v>
      </c>
      <c r="AU10" s="254">
        <f>SUM('6'!G91:G92)</f>
        <v>9.8799999999991996</v>
      </c>
      <c r="AV10" s="254">
        <f>'6'!$G$88</f>
        <v>1.9500000000007276</v>
      </c>
      <c r="AW10" s="254">
        <f>'6'!$G$89</f>
        <v>8.9099999999998545</v>
      </c>
      <c r="AX10" s="254">
        <f>'6'!$G$90</f>
        <v>0.11999999999534339</v>
      </c>
      <c r="AY10" s="252">
        <f t="shared" si="1"/>
        <v>10.979999999995925</v>
      </c>
      <c r="AZ10" s="311">
        <f t="shared" ref="AZ10:AZ28" si="6">AO10/AU10</f>
        <v>31.521255060736483</v>
      </c>
      <c r="BA10" s="311">
        <f t="shared" si="3"/>
        <v>54.897085610223755</v>
      </c>
      <c r="BB10" s="351">
        <f t="shared" si="4"/>
        <v>7325.7200000000012</v>
      </c>
      <c r="BC10" s="351">
        <f t="shared" si="5"/>
        <v>25.020390040643466</v>
      </c>
    </row>
    <row r="11" spans="1:55">
      <c r="A11" s="359">
        <v>7</v>
      </c>
      <c r="B11" s="511">
        <f>'7'!G7</f>
        <v>27360</v>
      </c>
      <c r="C11" s="511">
        <f>'7'!G8</f>
        <v>28520</v>
      </c>
      <c r="D11" s="511">
        <f>'7'!G15</f>
        <v>1078.5999999998603</v>
      </c>
      <c r="E11" s="511">
        <f>'7'!G20</f>
        <v>218</v>
      </c>
      <c r="F11" s="511">
        <f>SUM('7'!G35,'7'!G49)</f>
        <v>3639</v>
      </c>
      <c r="G11" s="511">
        <f>SUM('7'!G37,'7'!G51)</f>
        <v>1684</v>
      </c>
      <c r="H11" s="511">
        <f>SUM('7'!G38,'7'!G52)</f>
        <v>2322</v>
      </c>
      <c r="I11" s="511">
        <f>SUM('7'!G39,'7'!G53)</f>
        <v>3002</v>
      </c>
      <c r="J11" s="511">
        <f>SUM('7'!G41,'7'!G42,'7'!G55,'7'!G56)</f>
        <v>8056.1999999999971</v>
      </c>
      <c r="K11" s="511">
        <f>SUM('7'!G43,'7'!G57)</f>
        <v>3153.9199999999983</v>
      </c>
      <c r="L11" s="254">
        <f>'7'!G50</f>
        <v>1080</v>
      </c>
      <c r="M11" s="254">
        <f>'7'!G36</f>
        <v>1022</v>
      </c>
      <c r="N11" s="254">
        <f>'7'!G138</f>
        <v>124.60000000000036</v>
      </c>
      <c r="O11" s="254">
        <f>'7'!$G$139</f>
        <v>155</v>
      </c>
      <c r="P11" s="254">
        <f>'7'!$G$140</f>
        <v>15.009999999999991</v>
      </c>
      <c r="Q11" s="254">
        <f>'7'!$G$141</f>
        <v>189</v>
      </c>
      <c r="R11" s="254">
        <f>'7'!$G$142</f>
        <v>142.40000000000146</v>
      </c>
      <c r="S11" s="254">
        <f>'7'!$G$145</f>
        <v>2.9999999999745341E-2</v>
      </c>
      <c r="T11" s="251">
        <f>'7'!$G$146</f>
        <v>20</v>
      </c>
      <c r="U11" s="251">
        <f>'7'!$G$144</f>
        <v>235</v>
      </c>
      <c r="V11" s="251">
        <f>'7'!$G$147</f>
        <v>340.40000000002328</v>
      </c>
      <c r="W11" s="251">
        <f>'7'!$G$148</f>
        <v>293.03999999992084</v>
      </c>
      <c r="X11" s="251">
        <f>'7'!$G$143</f>
        <v>28.199999999999818</v>
      </c>
      <c r="Y11" s="251">
        <f>'7'!$G$58</f>
        <v>231.80000000000291</v>
      </c>
      <c r="Z11" s="256">
        <f>'7'!$G$151</f>
        <v>293</v>
      </c>
      <c r="AA11" s="256">
        <f>'7'!G161</f>
        <v>175.9199999999837</v>
      </c>
      <c r="AB11" s="251">
        <f>'7'!G162</f>
        <v>31.30000000000291</v>
      </c>
      <c r="AC11" s="251"/>
      <c r="AD11" s="251">
        <f>'7'!G163+'7'!G164</f>
        <v>163.19999999999436</v>
      </c>
      <c r="AE11" s="254">
        <f>'7'!$G$116</f>
        <v>383.69999999999709</v>
      </c>
      <c r="AF11" s="254">
        <f>'7'!$G$117</f>
        <v>213.5</v>
      </c>
      <c r="AG11" s="254">
        <f>'7'!$G$118</f>
        <v>585</v>
      </c>
      <c r="AH11" s="254">
        <f>'7'!$G$119</f>
        <v>404</v>
      </c>
      <c r="AI11" s="254">
        <f>'7'!$G$120</f>
        <v>447.89999999999782</v>
      </c>
      <c r="AJ11" s="254">
        <f>'7'!$G$121</f>
        <v>446.79999999999927</v>
      </c>
      <c r="AK11" s="256">
        <f>'7'!$G$122</f>
        <v>262.70000000000073</v>
      </c>
      <c r="AL11" s="254">
        <f>'7'!$G$123</f>
        <v>302.79999999999927</v>
      </c>
      <c r="AM11" s="254">
        <f>'7'!$G$133</f>
        <v>819</v>
      </c>
      <c r="AN11" s="254">
        <f>'7'!$G$15</f>
        <v>1078.5999999998603</v>
      </c>
      <c r="AO11" s="256">
        <f>'7'!$G$74</f>
        <v>321.13000000000466</v>
      </c>
      <c r="AP11" s="256">
        <f>'7'!$G$75</f>
        <v>0</v>
      </c>
      <c r="AQ11" s="256">
        <f>'7'!$G$76</f>
        <v>117.89999999999418</v>
      </c>
      <c r="AR11" s="256">
        <f>'7'!$G$77</f>
        <v>52.599999999998545</v>
      </c>
      <c r="AS11" s="256">
        <f>'7'!$G$78</f>
        <v>0</v>
      </c>
      <c r="AT11" s="256">
        <f t="shared" si="0"/>
        <v>586.96999999986292</v>
      </c>
      <c r="AU11" s="254">
        <f>SUM('7'!G91:G92)</f>
        <v>10.770000000000437</v>
      </c>
      <c r="AV11" s="254">
        <f>'7'!$G$88</f>
        <v>0</v>
      </c>
      <c r="AW11" s="254">
        <f>'7'!$G$89</f>
        <v>10.040000000000873</v>
      </c>
      <c r="AX11" s="254">
        <f>'7'!$G$90</f>
        <v>0</v>
      </c>
      <c r="AY11" s="252">
        <f t="shared" si="1"/>
        <v>10.040000000000873</v>
      </c>
      <c r="AZ11" s="311">
        <f>AO11/AU11</f>
        <v>29.817084493963939</v>
      </c>
      <c r="BA11" s="311">
        <f t="shared" si="3"/>
        <v>58.463147410339829</v>
      </c>
      <c r="BB11" s="351">
        <f t="shared" si="4"/>
        <v>6431.0800000000017</v>
      </c>
      <c r="BC11" s="351">
        <f t="shared" si="5"/>
        <v>23.505409356725149</v>
      </c>
    </row>
    <row r="12" spans="1:55">
      <c r="A12" s="359">
        <v>8</v>
      </c>
      <c r="B12" s="511">
        <f>'8'!G7</f>
        <v>24092</v>
      </c>
      <c r="C12" s="511">
        <f>'8'!G8</f>
        <v>25251.660000000033</v>
      </c>
      <c r="D12" s="511">
        <f>'8'!G15</f>
        <v>1052.8000000000466</v>
      </c>
      <c r="E12" s="511">
        <f>'8'!G20</f>
        <v>195</v>
      </c>
      <c r="F12" s="511">
        <f>SUM('8'!G35,'8'!G49)</f>
        <v>1259</v>
      </c>
      <c r="G12" s="511">
        <f>SUM('8'!G37,'8'!G51)</f>
        <v>572</v>
      </c>
      <c r="H12" s="511">
        <f>SUM('8'!G38,'8'!G52)</f>
        <v>735</v>
      </c>
      <c r="I12" s="511">
        <f>SUM('8'!G39,'8'!G53)</f>
        <v>939</v>
      </c>
      <c r="J12" s="511">
        <f>SUM('8'!G41,'8'!G42,'8'!G55,'8'!G56)</f>
        <v>2008</v>
      </c>
      <c r="K12" s="511">
        <f>SUM('8'!G43,'8'!G57)</f>
        <v>3336.7300000000032</v>
      </c>
      <c r="L12" s="254">
        <f>'8'!G50</f>
        <v>419</v>
      </c>
      <c r="M12" s="254">
        <f>'8'!G36</f>
        <v>301</v>
      </c>
      <c r="N12" s="254">
        <f>'8'!G138</f>
        <v>35.699999999998909</v>
      </c>
      <c r="O12" s="254">
        <f>'8'!$G$139</f>
        <v>165</v>
      </c>
      <c r="P12" s="254">
        <f>'8'!$G$140</f>
        <v>4.0399999999999636</v>
      </c>
      <c r="Q12" s="254">
        <f>'8'!$G$141</f>
        <v>70.30000000000291</v>
      </c>
      <c r="R12" s="254">
        <f>'8'!$G$142</f>
        <v>44.099999999998545</v>
      </c>
      <c r="S12" s="254">
        <f>'8'!$G$145</f>
        <v>-0.43999999999959982</v>
      </c>
      <c r="T12" s="251">
        <f>'8'!$G$146</f>
        <v>44</v>
      </c>
      <c r="U12" s="251">
        <f>'8'!$G$144</f>
        <v>249</v>
      </c>
      <c r="V12" s="251">
        <f>'8'!$G$147</f>
        <v>389.11999999999534</v>
      </c>
      <c r="W12" s="251">
        <f>'8'!$G$148</f>
        <v>324.80000000004657</v>
      </c>
      <c r="X12" s="251">
        <f>'8'!$G$143</f>
        <v>2.5200000000004366</v>
      </c>
      <c r="Y12" s="251">
        <f>'8'!$G$58</f>
        <v>23.69999999999709</v>
      </c>
      <c r="Z12" s="251">
        <f>'8'!$G$151</f>
        <v>293</v>
      </c>
      <c r="AA12" s="251">
        <f>'8'!G161</f>
        <v>191.64000000001397</v>
      </c>
      <c r="AB12" s="251">
        <f>'8'!G162</f>
        <v>32.80000000000291</v>
      </c>
      <c r="AC12" s="251"/>
      <c r="AD12" s="251">
        <f>'8'!G163+'8'!G164</f>
        <v>212.19999999999709</v>
      </c>
      <c r="AE12" s="254">
        <f>'8'!$G$116</f>
        <v>118.70000000000437</v>
      </c>
      <c r="AF12" s="254">
        <f>'8'!$G$117</f>
        <v>59.299999999999272</v>
      </c>
      <c r="AG12" s="254">
        <f>'8'!$G$118</f>
        <v>180.09999999999854</v>
      </c>
      <c r="AH12" s="254">
        <f>'8'!$G$119</f>
        <v>146.60000000000218</v>
      </c>
      <c r="AI12" s="254">
        <f>'8'!$G$120</f>
        <v>130.10000000000218</v>
      </c>
      <c r="AJ12" s="254">
        <f>'8'!$G$121</f>
        <v>130.40000000000146</v>
      </c>
      <c r="AK12" s="254">
        <f>'8'!$G$122</f>
        <v>73.799999999999272</v>
      </c>
      <c r="AL12" s="254">
        <f>'8'!$G$123</f>
        <v>96.700000000000728</v>
      </c>
      <c r="AM12" s="254">
        <f>'8'!$G$133</f>
        <v>320</v>
      </c>
      <c r="AN12" s="254">
        <f>'8'!$G$15</f>
        <v>1052.8000000000466</v>
      </c>
      <c r="AO12" s="256">
        <f>'8'!$G$74</f>
        <v>293.17999999993481</v>
      </c>
      <c r="AP12" s="256">
        <f>'8'!$G$75</f>
        <v>0</v>
      </c>
      <c r="AQ12" s="256">
        <f>'8'!$G$76</f>
        <v>113</v>
      </c>
      <c r="AR12" s="256">
        <f>'8'!$G$77</f>
        <v>49.099999999998545</v>
      </c>
      <c r="AS12" s="256">
        <f>'8'!$G$78</f>
        <v>-0.3999999999996362</v>
      </c>
      <c r="AT12" s="256">
        <f t="shared" si="0"/>
        <v>597.92000000011285</v>
      </c>
      <c r="AU12" s="254">
        <f>SUM('8'!G91:G92)</f>
        <v>10.909999999999854</v>
      </c>
      <c r="AV12" s="254">
        <f>'8'!$G$88</f>
        <v>2.9999999998835847E-2</v>
      </c>
      <c r="AW12" s="254">
        <f>'8'!$G$89</f>
        <v>10.329999999998108</v>
      </c>
      <c r="AX12" s="254">
        <f>'8'!$G$90</f>
        <v>0</v>
      </c>
      <c r="AY12" s="252">
        <f t="shared" si="1"/>
        <v>10.359999999996944</v>
      </c>
      <c r="AZ12" s="311">
        <f t="shared" si="6"/>
        <v>26.872593950498509</v>
      </c>
      <c r="BA12" s="311">
        <f t="shared" si="3"/>
        <v>57.714285714313633</v>
      </c>
      <c r="BB12" s="351">
        <f t="shared" si="4"/>
        <v>16378.230000000032</v>
      </c>
      <c r="BC12" s="351">
        <f t="shared" si="5"/>
        <v>67.982027228955801</v>
      </c>
    </row>
    <row r="13" spans="1:55">
      <c r="A13" s="359">
        <v>9</v>
      </c>
      <c r="B13" s="511">
        <f>'9 taken physical reading &amp; Adj'!G7</f>
        <v>29596</v>
      </c>
      <c r="C13" s="511">
        <f>'9 taken physical reading &amp; Adj'!G8</f>
        <v>30800.440000000002</v>
      </c>
      <c r="D13" s="511">
        <f>'9 taken physical reading &amp; Adj'!G15</f>
        <v>916</v>
      </c>
      <c r="E13" s="511">
        <f>'9 taken physical reading &amp; Adj'!G20</f>
        <v>280</v>
      </c>
      <c r="F13" s="511">
        <f>SUM('9 taken physical reading &amp; Adj'!G35,'9 taken physical reading &amp; Adj'!G49)</f>
        <v>3675.8999999999651</v>
      </c>
      <c r="G13" s="511">
        <f>SUM('9 taken physical reading &amp; Adj'!G37,'9 taken physical reading &amp; Adj'!G51)</f>
        <v>3107.32</v>
      </c>
      <c r="H13" s="511">
        <f>SUM('9 taken physical reading &amp; Adj'!G38,'9 taken physical reading &amp; Adj'!G52)</f>
        <v>2250.7899999999881</v>
      </c>
      <c r="I13" s="511">
        <f>SUM('9 taken physical reading &amp; Adj'!G39,'9 taken physical reading &amp; Adj'!G53)</f>
        <v>2000</v>
      </c>
      <c r="J13" s="511">
        <f>SUM('9 taken physical reading &amp; Adj'!G41,'9 taken physical reading &amp; Adj'!G42,'9 taken physical reading &amp; Adj'!G55,'9 taken physical reading &amp; Adj'!G56)</f>
        <v>13570.419999999984</v>
      </c>
      <c r="K13" s="511">
        <f>SUM('9 taken physical reading &amp; Adj'!G43,'9 taken physical reading &amp; Adj'!G57)</f>
        <v>3248.6299999999974</v>
      </c>
      <c r="L13" s="254">
        <f>'9 taken physical reading &amp; Adj'!G50</f>
        <v>1886.929999999993</v>
      </c>
      <c r="M13" s="254">
        <f>'9 taken physical reading &amp; Adj'!G36</f>
        <v>1629</v>
      </c>
      <c r="N13" s="254">
        <f>'9 taken physical reading &amp; Adj'!G138</f>
        <v>125</v>
      </c>
      <c r="O13" s="254">
        <f>'9 taken physical reading &amp; Adj'!$G$139</f>
        <v>149</v>
      </c>
      <c r="P13" s="254">
        <f>'9 taken physical reading &amp; Adj'!$G$140</f>
        <v>15</v>
      </c>
      <c r="Q13" s="254">
        <f>'9 taken physical reading &amp; Adj'!$G$141</f>
        <v>342.30000000000291</v>
      </c>
      <c r="R13" s="254">
        <f>'9 taken physical reading &amp; Adj'!$G$142</f>
        <v>251.90000000000146</v>
      </c>
      <c r="S13" s="254">
        <f>'9 taken physical reading &amp; Adj'!$G$145</f>
        <v>0.5</v>
      </c>
      <c r="T13" s="251">
        <f>'9 taken physical reading &amp; Adj'!$G$146</f>
        <v>41</v>
      </c>
      <c r="U13" s="251">
        <f>'9 taken physical reading &amp; Adj'!$G$144</f>
        <v>226</v>
      </c>
      <c r="V13" s="251">
        <f>'9 taken physical reading &amp; Adj'!$G$147</f>
        <v>382.23999999999069</v>
      </c>
      <c r="W13" s="251">
        <f>'9 taken physical reading &amp; Adj'!$G$148</f>
        <v>283.68000000005122</v>
      </c>
      <c r="X13" s="251">
        <f>'9 taken physical reading &amp; Adj'!$G$143</f>
        <v>50</v>
      </c>
      <c r="Y13" s="251">
        <f>'9 taken physical reading &amp; Adj'!$G$58</f>
        <v>226.2100000000064</v>
      </c>
      <c r="Z13" s="251">
        <f>'9 taken physical reading &amp; Adj'!$G$151</f>
        <v>311</v>
      </c>
      <c r="AA13" s="251">
        <f>'9 taken physical reading &amp; Adj'!G161</f>
        <v>187.23999999999069</v>
      </c>
      <c r="AB13" s="251">
        <f>'9 taken physical reading &amp; Adj'!G162</f>
        <v>38.209999999991851</v>
      </c>
      <c r="AC13" s="251"/>
      <c r="AD13" s="251">
        <f>'9 taken physical reading &amp; Adj'!G163+'9 taken physical reading &amp; Adj'!G164</f>
        <v>174.70000000000528</v>
      </c>
      <c r="AE13" s="254">
        <f>'9 taken physical reading &amp; Adj'!$G$116</f>
        <v>517.29999999999563</v>
      </c>
      <c r="AF13" s="254">
        <f>'9 taken physical reading &amp; Adj'!$G$117</f>
        <v>395.70000000000073</v>
      </c>
      <c r="AG13" s="254">
        <f>'9 taken physical reading &amp; Adj'!$G$118</f>
        <v>1040.7999999999993</v>
      </c>
      <c r="AH13" s="254">
        <f>'9 taken physical reading &amp; Adj'!$G$119</f>
        <v>741.20000000000073</v>
      </c>
      <c r="AI13" s="254">
        <f>'9 taken physical reading &amp; Adj'!$G$120</f>
        <v>724.79999999999927</v>
      </c>
      <c r="AJ13" s="254">
        <f>'9 taken physical reading &amp; Adj'!$G$121</f>
        <v>751.69999999999709</v>
      </c>
      <c r="AK13" s="254">
        <f>'9 taken physical reading &amp; Adj'!$G$122</f>
        <v>474.80000000000109</v>
      </c>
      <c r="AL13" s="254">
        <f>'9 taken physical reading &amp; Adj'!$G$123</f>
        <v>980.8700000000008</v>
      </c>
      <c r="AM13" s="254">
        <f>'9 taken physical reading &amp; Adj'!$G$133</f>
        <v>1437.25</v>
      </c>
      <c r="AN13" s="254">
        <f>'9 taken physical reading &amp; Adj'!$G$15</f>
        <v>916</v>
      </c>
      <c r="AO13" s="256">
        <f>'9 taken physical reading &amp; Adj'!$G$74</f>
        <v>300.15200000000186</v>
      </c>
      <c r="AP13" s="256">
        <f>'9 taken physical reading &amp; Adj'!$G$75</f>
        <v>-0.80000000000291038</v>
      </c>
      <c r="AQ13" s="256">
        <f>'9 taken physical reading &amp; Adj'!$G$76</f>
        <v>96</v>
      </c>
      <c r="AR13" s="256">
        <f>'9 taken physical reading &amp; Adj'!$G$77</f>
        <v>43</v>
      </c>
      <c r="AS13" s="256">
        <f>'9 taken physical reading &amp; Adj'!$G$78</f>
        <v>0</v>
      </c>
      <c r="AT13" s="256">
        <f t="shared" si="0"/>
        <v>477.64800000000105</v>
      </c>
      <c r="AU13" s="254">
        <f>SUM('9 taken physical reading &amp; Adj'!G91:G92)</f>
        <v>10.840000000000146</v>
      </c>
      <c r="AV13" s="254">
        <f>'9 taken physical reading &amp; Adj'!$G$88</f>
        <v>-2.9999999998835847E-2</v>
      </c>
      <c r="AW13" s="254">
        <f>'9 taken physical reading &amp; Adj'!$G$89</f>
        <v>10.030000000002474</v>
      </c>
      <c r="AX13" s="254">
        <f>'9 taken physical reading &amp; Adj'!$G$90</f>
        <v>0</v>
      </c>
      <c r="AY13" s="252">
        <f t="shared" si="1"/>
        <v>10.000000000003638</v>
      </c>
      <c r="AZ13" s="311">
        <f t="shared" si="6"/>
        <v>27.689298892988731</v>
      </c>
      <c r="BA13" s="311">
        <f t="shared" si="3"/>
        <v>47.764799999982728</v>
      </c>
      <c r="BB13" s="351">
        <f t="shared" si="4"/>
        <v>2721.1700000000637</v>
      </c>
      <c r="BC13" s="351">
        <f t="shared" si="5"/>
        <v>9.1943843762672799</v>
      </c>
    </row>
    <row r="14" spans="1:55">
      <c r="A14" s="359">
        <v>10</v>
      </c>
      <c r="B14" s="511">
        <f>'10'!G7</f>
        <v>30002</v>
      </c>
      <c r="C14" s="511">
        <f>'10'!G8</f>
        <v>31010</v>
      </c>
      <c r="D14" s="511">
        <f>'10'!G15</f>
        <v>1061.5</v>
      </c>
      <c r="E14" s="511">
        <f>'10'!G20</f>
        <v>200</v>
      </c>
      <c r="F14" s="511">
        <f>SUM('10'!G35,'10'!G49)</f>
        <v>3797.0500000000466</v>
      </c>
      <c r="G14" s="511">
        <f>SUM('10'!G37,'10'!G51)</f>
        <v>1758.1300000000047</v>
      </c>
      <c r="H14" s="511">
        <f>SUM('10'!G38,'10'!G52)</f>
        <v>2457.4500000000116</v>
      </c>
      <c r="I14" s="511">
        <f>SUM('10'!G39,'10'!G53)</f>
        <v>3079.0900000000256</v>
      </c>
      <c r="J14" s="511">
        <f>SUM('10'!G41,'10'!G42,'10'!G55,'10'!G56)</f>
        <v>10623.720000000045</v>
      </c>
      <c r="K14" s="511">
        <f>SUM('10'!G43,'10'!G57)</f>
        <v>3197.0399999999936</v>
      </c>
      <c r="L14" s="254">
        <f>'10'!G50</f>
        <v>1407.179999999993</v>
      </c>
      <c r="M14" s="254">
        <f>'10'!G36</f>
        <v>985.79999999998836</v>
      </c>
      <c r="N14" s="254">
        <f>'10'!G138</f>
        <v>150</v>
      </c>
      <c r="O14" s="254">
        <f>'10'!$G$139</f>
        <v>150</v>
      </c>
      <c r="P14" s="254">
        <f>'10'!$G$140</f>
        <v>2.5</v>
      </c>
      <c r="Q14" s="254">
        <f>'10'!$G$141</f>
        <v>206.39999999999418</v>
      </c>
      <c r="R14" s="254">
        <f>'10'!$G$142</f>
        <v>142</v>
      </c>
      <c r="S14" s="254">
        <f>'10'!$G$145</f>
        <v>0</v>
      </c>
      <c r="T14" s="251">
        <f>'10'!$G$146</f>
        <v>39</v>
      </c>
      <c r="U14" s="251">
        <f>'10'!$G$144</f>
        <v>244</v>
      </c>
      <c r="V14" s="257">
        <f>'10'!$G$147</f>
        <v>357.19999999995343</v>
      </c>
      <c r="W14" s="257">
        <f>'10'!$G$148</f>
        <v>252.47999999998137</v>
      </c>
      <c r="X14" s="251">
        <f>'10'!$G$143</f>
        <v>22.399999999999636</v>
      </c>
      <c r="Y14" s="251">
        <f>'10'!$G$58</f>
        <v>249.58999999999651</v>
      </c>
      <c r="Z14" s="251">
        <f>'10'!$G$151</f>
        <v>288</v>
      </c>
      <c r="AA14" s="251">
        <f>'10'!G161</f>
        <v>180.0800000000163</v>
      </c>
      <c r="AB14" s="251">
        <f>'10'!G162</f>
        <v>36.990000000005239</v>
      </c>
      <c r="AC14" s="251"/>
      <c r="AD14" s="251">
        <f>'10'!G163+'10'!G164</f>
        <v>168.79999999999745</v>
      </c>
      <c r="AE14" s="254">
        <f>'10'!$G$116</f>
        <v>468.09999999999854</v>
      </c>
      <c r="AF14" s="254">
        <f>'10'!$G$117</f>
        <v>169.60000000000218</v>
      </c>
      <c r="AG14" s="254">
        <f>'10'!$G$118</f>
        <v>622.30000000000291</v>
      </c>
      <c r="AH14" s="254">
        <f>'10'!$G$119</f>
        <v>447.09999999999854</v>
      </c>
      <c r="AI14" s="254">
        <f>'10'!$G$120</f>
        <v>431</v>
      </c>
      <c r="AJ14" s="254">
        <f>'10'!$G$121</f>
        <v>434.40000000000146</v>
      </c>
      <c r="AK14" s="254">
        <f>'10'!$G$122</f>
        <v>302</v>
      </c>
      <c r="AL14" s="254">
        <f>'10'!$G$123</f>
        <v>309.42999999999847</v>
      </c>
      <c r="AM14" s="254">
        <f>'10'!$G$133</f>
        <v>848.5</v>
      </c>
      <c r="AN14" s="254">
        <f>'10'!$G$15</f>
        <v>1061.5</v>
      </c>
      <c r="AO14" s="256">
        <f>'10'!$G$74</f>
        <v>291.28099999995902</v>
      </c>
      <c r="AP14" s="256">
        <f>'10'!$G$75</f>
        <v>0.80000000000291038</v>
      </c>
      <c r="AQ14" s="256">
        <f>'10'!$G$76</f>
        <v>108</v>
      </c>
      <c r="AR14" s="256">
        <f>'10'!$G$77</f>
        <v>58</v>
      </c>
      <c r="AS14" s="256">
        <f>'10'!$G$78</f>
        <v>0</v>
      </c>
      <c r="AT14" s="256">
        <f t="shared" si="0"/>
        <v>603.41900000003807</v>
      </c>
      <c r="AU14" s="254">
        <f>SUM('10'!G91:G92)</f>
        <v>10.539999999999964</v>
      </c>
      <c r="AV14" s="254">
        <f>'10'!$G$88</f>
        <v>0</v>
      </c>
      <c r="AW14" s="254">
        <f>'10'!$G$89</f>
        <v>10.090000000000146</v>
      </c>
      <c r="AX14" s="254">
        <f>'10'!$G$90</f>
        <v>0</v>
      </c>
      <c r="AY14" s="252">
        <f t="shared" si="1"/>
        <v>10.090000000000146</v>
      </c>
      <c r="AZ14" s="311">
        <f t="shared" si="6"/>
        <v>27.635768500944973</v>
      </c>
      <c r="BA14" s="311">
        <f t="shared" si="3"/>
        <v>59.803666997029673</v>
      </c>
      <c r="BB14" s="351">
        <f t="shared" si="4"/>
        <v>5847.9299999998766</v>
      </c>
      <c r="BC14" s="351">
        <f t="shared" si="5"/>
        <v>19.491800546629815</v>
      </c>
    </row>
    <row r="15" spans="1:55">
      <c r="A15" s="359">
        <v>11</v>
      </c>
      <c r="B15" s="511">
        <f>'11'!G7</f>
        <v>27818.300000000047</v>
      </c>
      <c r="C15" s="511">
        <f>'11'!G8</f>
        <v>28751</v>
      </c>
      <c r="D15" s="511">
        <f>'11'!G15</f>
        <v>1053.5</v>
      </c>
      <c r="E15" s="511">
        <f>'11'!G20</f>
        <v>360</v>
      </c>
      <c r="F15" s="511">
        <f>SUM('11'!G35,'11'!G49)</f>
        <v>3749.109999999986</v>
      </c>
      <c r="G15" s="511">
        <f>SUM('11'!G37,'11'!G51)</f>
        <v>1739.1199999999953</v>
      </c>
      <c r="H15" s="511">
        <f>SUM('11'!G38,'11'!G52)</f>
        <v>2491.7000000000116</v>
      </c>
      <c r="I15" s="511">
        <f>SUM('11'!G39,'11'!G53)</f>
        <v>3101.9500000000116</v>
      </c>
      <c r="J15" s="511">
        <f>SUM('11'!G41,'11'!G42,'11'!G55,'11'!G56)</f>
        <v>9978.8499999999331</v>
      </c>
      <c r="K15" s="511">
        <f>SUM('11'!G43,'11'!G57)</f>
        <v>3247.2000000000116</v>
      </c>
      <c r="L15" s="254">
        <f>'11'!G50</f>
        <v>995.78000000002794</v>
      </c>
      <c r="M15" s="254">
        <f>'11'!G36</f>
        <v>719.10000000000582</v>
      </c>
      <c r="N15" s="254">
        <f>'11'!G138</f>
        <v>150</v>
      </c>
      <c r="O15" s="254">
        <f>'11'!$G$139</f>
        <v>152</v>
      </c>
      <c r="P15" s="254">
        <f>'11'!$G$140</f>
        <v>3</v>
      </c>
      <c r="Q15" s="254">
        <f>'11'!$G$141</f>
        <v>209.05000000000291</v>
      </c>
      <c r="R15" s="254">
        <f>'11'!$G$142</f>
        <v>142.29999999999927</v>
      </c>
      <c r="S15" s="254">
        <f>'11'!$G$145</f>
        <v>0.22000000000025466</v>
      </c>
      <c r="T15" s="251">
        <f>'11'!$G$146</f>
        <v>71</v>
      </c>
      <c r="U15" s="251">
        <f>'11'!$G$144</f>
        <v>241</v>
      </c>
      <c r="V15" s="251">
        <f>'11'!$G$147</f>
        <v>417.96000000007916</v>
      </c>
      <c r="W15" s="251">
        <f>'11'!$G$148</f>
        <v>265.52000000001863</v>
      </c>
      <c r="X15" s="251">
        <f>'11'!$G$143</f>
        <v>29.5600000000004</v>
      </c>
      <c r="Y15" s="251">
        <f>'11'!$G$58</f>
        <v>242.40000000000146</v>
      </c>
      <c r="Z15" s="251">
        <f>'11'!$G$151</f>
        <v>299</v>
      </c>
      <c r="AA15" s="251">
        <f>'11'!G161</f>
        <v>144.47999999998137</v>
      </c>
      <c r="AB15" s="251">
        <f>'11'!G162</f>
        <v>22.899999999994179</v>
      </c>
      <c r="AC15" s="251">
        <f>'11'!G88</f>
        <v>0</v>
      </c>
      <c r="AD15" s="251">
        <f>'11'!G163+'11'!G164</f>
        <v>189.50000000000273</v>
      </c>
      <c r="AE15" s="254">
        <f>'11'!$G$116</f>
        <v>475.80000000000291</v>
      </c>
      <c r="AF15" s="254">
        <f>'11'!$G$117</f>
        <v>216.79999999999927</v>
      </c>
      <c r="AG15" s="254">
        <f>'11'!$G$118</f>
        <v>628.23999999999796</v>
      </c>
      <c r="AH15" s="254">
        <f>'11'!$G$119</f>
        <v>449.40000000000146</v>
      </c>
      <c r="AI15" s="254">
        <f>'11'!$G$120</f>
        <v>411.59999999999854</v>
      </c>
      <c r="AJ15" s="254">
        <f>'11'!$G$121</f>
        <v>448.40000000000146</v>
      </c>
      <c r="AK15" s="254">
        <f>'11'!$G$122</f>
        <v>317.29999999999927</v>
      </c>
      <c r="AL15" s="254">
        <f>'11'!$G$123</f>
        <v>307.20000000000073</v>
      </c>
      <c r="AM15" s="254">
        <f>'11'!$G$133</f>
        <v>866.25</v>
      </c>
      <c r="AN15" s="254">
        <f>'11'!$G$15</f>
        <v>1053.5</v>
      </c>
      <c r="AO15" s="256">
        <f>'11'!$G$74</f>
        <v>278.50700000009965</v>
      </c>
      <c r="AP15" s="256">
        <f>'11'!$G$75</f>
        <v>0</v>
      </c>
      <c r="AQ15" s="256">
        <f>'11'!$G$76</f>
        <v>105</v>
      </c>
      <c r="AR15" s="256">
        <f>'11'!$G$77</f>
        <v>50</v>
      </c>
      <c r="AS15" s="256">
        <f>'11'!$G$78</f>
        <v>0.3999999999996362</v>
      </c>
      <c r="AT15" s="256">
        <f t="shared" si="0"/>
        <v>619.59299999990071</v>
      </c>
      <c r="AU15" s="254">
        <f>SUM('11'!G91:G92)</f>
        <v>9.8599999999996726</v>
      </c>
      <c r="AV15" s="254">
        <f>'11'!$G$88</f>
        <v>0</v>
      </c>
      <c r="AW15" s="254">
        <f>'11'!$G$89</f>
        <v>10.489999999997963</v>
      </c>
      <c r="AX15" s="254">
        <f>'11'!$G$90</f>
        <v>6.7799999999988358</v>
      </c>
      <c r="AY15" s="252">
        <f t="shared" si="1"/>
        <v>17.269999999996799</v>
      </c>
      <c r="AZ15" s="311">
        <f t="shared" si="6"/>
        <v>28.24614604463579</v>
      </c>
      <c r="BA15" s="311">
        <f t="shared" si="3"/>
        <v>35.876838448176926</v>
      </c>
      <c r="BB15" s="351">
        <f t="shared" si="4"/>
        <v>4200.6700000000492</v>
      </c>
      <c r="BC15" s="351">
        <f t="shared" si="5"/>
        <v>15.10038356046215</v>
      </c>
    </row>
    <row r="16" spans="1:55">
      <c r="A16" s="359">
        <v>12</v>
      </c>
      <c r="B16" s="511">
        <f>'12'!G7</f>
        <v>29391.699999999953</v>
      </c>
      <c r="C16" s="511">
        <f>'12'!G8</f>
        <v>30076</v>
      </c>
      <c r="D16" s="511">
        <f>'12'!G15</f>
        <v>1039</v>
      </c>
      <c r="E16" s="511">
        <f>'12'!G20</f>
        <v>270</v>
      </c>
      <c r="F16" s="511">
        <f>SUM('12'!G35,'12'!G49)</f>
        <v>3949.9400000000023</v>
      </c>
      <c r="G16" s="511">
        <f>SUM('12'!G37,'12'!G51)</f>
        <v>1720.75</v>
      </c>
      <c r="H16" s="511">
        <f>SUM('12'!G38,'12'!G52)</f>
        <v>2523.2999999999884</v>
      </c>
      <c r="I16" s="511">
        <f>SUM('12'!G39,'12'!G53)</f>
        <v>3189.0499999999884</v>
      </c>
      <c r="J16" s="511">
        <f>SUM('12'!G41,'12'!G42,'12'!G55,'12'!G56)</f>
        <v>10292.750000000044</v>
      </c>
      <c r="K16" s="511">
        <f>SUM('12'!G43,'12'!G57)</f>
        <v>3313.8999999999942</v>
      </c>
      <c r="L16" s="254">
        <f>'12'!G50</f>
        <v>949.10999999998603</v>
      </c>
      <c r="M16" s="254">
        <f>'12'!G36</f>
        <v>955.10000000000582</v>
      </c>
      <c r="N16" s="254">
        <f>'12'!G138</f>
        <v>179</v>
      </c>
      <c r="O16" s="254">
        <f>'12'!$G$139</f>
        <v>150</v>
      </c>
      <c r="P16" s="254">
        <f>'12'!$G$140</f>
        <v>3</v>
      </c>
      <c r="Q16" s="254">
        <f>'12'!$G$141</f>
        <v>215.05000000000291</v>
      </c>
      <c r="R16" s="254">
        <f>'12'!$G$142</f>
        <v>162.79999999999927</v>
      </c>
      <c r="S16" s="254">
        <f>'12'!$G$145</f>
        <v>0.27999999999974534</v>
      </c>
      <c r="T16" s="251">
        <f>'12'!$G$146</f>
        <v>89</v>
      </c>
      <c r="U16" s="251">
        <f>'12'!$G$144</f>
        <v>240</v>
      </c>
      <c r="V16" s="251">
        <f>'12'!$G$147</f>
        <v>230.59999999997672</v>
      </c>
      <c r="W16" s="251">
        <f>'12'!$G$148</f>
        <v>288.19999999995343</v>
      </c>
      <c r="X16" s="251">
        <f>'12'!$G$143</f>
        <v>22.039999999999964</v>
      </c>
      <c r="Y16" s="251">
        <f>'12'!$G$58</f>
        <v>240.59999999999854</v>
      </c>
      <c r="Z16" s="251">
        <f>'12'!$G$151</f>
        <v>317</v>
      </c>
      <c r="AA16" s="251">
        <f>'12'!G161</f>
        <v>34.71999999997206</v>
      </c>
      <c r="AB16" s="251">
        <f>'12'!G162</f>
        <v>17.100000000005821</v>
      </c>
      <c r="AC16" s="251">
        <f>'12'!G88</f>
        <v>0</v>
      </c>
      <c r="AD16" s="251">
        <f>'12'!G163+'12'!G164</f>
        <v>167.19999999999709</v>
      </c>
      <c r="AE16" s="254">
        <f>'12'!$G$116</f>
        <v>462</v>
      </c>
      <c r="AF16" s="254">
        <f>'12'!$G$117</f>
        <v>267.79999999999927</v>
      </c>
      <c r="AG16" s="254">
        <f>'12'!$G$118</f>
        <v>608.86000000000058</v>
      </c>
      <c r="AH16" s="254">
        <f>'12'!$G$119</f>
        <v>448.09999999999854</v>
      </c>
      <c r="AI16" s="254">
        <f>'12'!$G$120</f>
        <v>442.40000000000146</v>
      </c>
      <c r="AJ16" s="254">
        <f>'12'!$G$121</f>
        <v>498.59999999999854</v>
      </c>
      <c r="AK16" s="254">
        <f>'12'!$G$122</f>
        <v>324</v>
      </c>
      <c r="AL16" s="254">
        <f>'12'!$G$123</f>
        <v>316</v>
      </c>
      <c r="AM16" s="254">
        <f>'12'!$G$133</f>
        <v>908</v>
      </c>
      <c r="AN16" s="254">
        <f>'12'!$G$15</f>
        <v>1039</v>
      </c>
      <c r="AO16" s="256">
        <f>'12'!$G$74</f>
        <v>320.31999999994878</v>
      </c>
      <c r="AP16" s="256">
        <f>'12'!$G$75</f>
        <v>0.19999999999708962</v>
      </c>
      <c r="AQ16" s="256">
        <f>'12'!$G$76</f>
        <v>106</v>
      </c>
      <c r="AR16" s="256">
        <f>'12'!$G$77</f>
        <v>45</v>
      </c>
      <c r="AS16" s="256">
        <f>'12'!$G$78</f>
        <v>0</v>
      </c>
      <c r="AT16" s="256">
        <f t="shared" si="0"/>
        <v>567.48000000005413</v>
      </c>
      <c r="AU16" s="254">
        <f>SUM('12'!G91:G92)</f>
        <v>13.010000000000218</v>
      </c>
      <c r="AV16" s="254">
        <f>'12'!$G$88</f>
        <v>0</v>
      </c>
      <c r="AW16" s="254">
        <f>'12'!$G$89</f>
        <v>10.110000000000582</v>
      </c>
      <c r="AX16" s="254">
        <f>'12'!$G$90</f>
        <v>9.1000000000058208</v>
      </c>
      <c r="AY16" s="252">
        <f t="shared" si="1"/>
        <v>19.210000000006403</v>
      </c>
      <c r="AZ16" s="311">
        <f t="shared" si="6"/>
        <v>24.621060722516788</v>
      </c>
      <c r="BA16" s="311">
        <f t="shared" si="3"/>
        <v>29.540864133256896</v>
      </c>
      <c r="BB16" s="351">
        <f t="shared" si="4"/>
        <v>4845.7099999999846</v>
      </c>
      <c r="BC16" s="351">
        <f t="shared" si="5"/>
        <v>16.486661200270799</v>
      </c>
    </row>
    <row r="17" spans="1:55">
      <c r="A17" s="359">
        <v>13</v>
      </c>
      <c r="B17" s="511">
        <f>'13'!G7</f>
        <v>27798</v>
      </c>
      <c r="C17" s="511">
        <f>'13'!G8</f>
        <v>28733</v>
      </c>
      <c r="D17" s="511">
        <f>'13'!G15</f>
        <v>1055</v>
      </c>
      <c r="E17" s="511">
        <f>'13'!G20</f>
        <v>280</v>
      </c>
      <c r="F17" s="511">
        <f>SUM('13'!G35,'13'!G49)</f>
        <v>3857</v>
      </c>
      <c r="G17" s="511">
        <f>SUM('13'!G37,'13'!G51)</f>
        <v>1681</v>
      </c>
      <c r="H17" s="511">
        <f>SUM('13'!G38,'13'!G52)</f>
        <v>2350</v>
      </c>
      <c r="I17" s="511">
        <f>SUM('13'!G39,'13'!G53)</f>
        <v>3101</v>
      </c>
      <c r="J17" s="511">
        <f>SUM('13'!G41,'13'!G42,'13'!G55,'13'!G56)</f>
        <v>9751</v>
      </c>
      <c r="K17" s="511">
        <f>SUM('13'!G43,'13'!G57)</f>
        <v>3231</v>
      </c>
      <c r="L17" s="254">
        <f>'13'!G50</f>
        <v>945</v>
      </c>
      <c r="M17" s="254">
        <f>'13'!G36</f>
        <v>703</v>
      </c>
      <c r="N17" s="254">
        <f>'13'!G138</f>
        <v>151</v>
      </c>
      <c r="O17" s="254">
        <f>'13'!$G$139</f>
        <v>137</v>
      </c>
      <c r="P17" s="254">
        <f>'13'!$G$140</f>
        <v>16</v>
      </c>
      <c r="Q17" s="254">
        <f>'13'!$G$141</f>
        <v>222</v>
      </c>
      <c r="R17" s="254">
        <f>'13'!$G$142</f>
        <v>149</v>
      </c>
      <c r="S17" s="254">
        <f>'13'!$G$145</f>
        <v>0</v>
      </c>
      <c r="T17" s="251">
        <f>'13'!$G$146</f>
        <v>79</v>
      </c>
      <c r="U17" s="251">
        <f>'13'!$G$144</f>
        <v>232</v>
      </c>
      <c r="V17" s="251">
        <f>'13'!$G$147</f>
        <v>473</v>
      </c>
      <c r="W17" s="251">
        <f>'13'!$G$148</f>
        <v>226</v>
      </c>
      <c r="X17" s="251">
        <f>'13'!$G$143</f>
        <v>33</v>
      </c>
      <c r="Y17" s="251">
        <f>'13'!$G$58</f>
        <v>239</v>
      </c>
      <c r="Z17" s="251">
        <f>'13'!$G$151</f>
        <v>253</v>
      </c>
      <c r="AA17" s="251">
        <f>'13'!G161</f>
        <v>12.28000000002794</v>
      </c>
      <c r="AB17" s="251">
        <f>'13'!G162</f>
        <v>35</v>
      </c>
      <c r="AC17" s="251">
        <f>'13'!G88</f>
        <v>0</v>
      </c>
      <c r="AD17" s="251">
        <f>'13'!G163+'13'!G164</f>
        <v>176</v>
      </c>
      <c r="AE17" s="254">
        <f>'13'!$G$116</f>
        <v>422</v>
      </c>
      <c r="AF17" s="254">
        <f>'13'!$G$117</f>
        <v>231</v>
      </c>
      <c r="AG17" s="254">
        <f>'13'!$G$118</f>
        <v>655</v>
      </c>
      <c r="AH17" s="254">
        <f>'13'!$G$119</f>
        <v>443</v>
      </c>
      <c r="AI17" s="254">
        <f>'13'!$G$120</f>
        <v>456</v>
      </c>
      <c r="AJ17" s="254">
        <f>'13'!$G$121</f>
        <v>447</v>
      </c>
      <c r="AK17" s="254">
        <f>'13'!$G$122</f>
        <v>315</v>
      </c>
      <c r="AL17" s="254">
        <f>'13'!$G$123</f>
        <v>317</v>
      </c>
      <c r="AM17" s="254">
        <f>'13'!$G$133</f>
        <v>864</v>
      </c>
      <c r="AN17" s="254">
        <f>'13'!$G$15</f>
        <v>1055</v>
      </c>
      <c r="AO17" s="256">
        <f>'13'!$G$74</f>
        <v>318</v>
      </c>
      <c r="AP17" s="256">
        <f>'13'!$G$75</f>
        <v>-0.19999999999708962</v>
      </c>
      <c r="AQ17" s="256">
        <f>'13'!$G$76</f>
        <v>113</v>
      </c>
      <c r="AR17" s="256">
        <f>'13'!$G$77</f>
        <v>47</v>
      </c>
      <c r="AS17" s="256">
        <f>'13'!$G$78</f>
        <v>-0.3999999999996362</v>
      </c>
      <c r="AT17" s="256">
        <f t="shared" si="0"/>
        <v>577.59999999999673</v>
      </c>
      <c r="AU17" s="254">
        <f>SUM('13'!G91:G92)</f>
        <v>9.1900000000005093</v>
      </c>
      <c r="AV17" s="254">
        <f>'13'!$G$88</f>
        <v>0</v>
      </c>
      <c r="AW17" s="254">
        <f>'13'!$G$89</f>
        <v>10.229999999999563</v>
      </c>
      <c r="AX17" s="254">
        <f>'13'!$G$90</f>
        <v>11.479999999995925</v>
      </c>
      <c r="AY17" s="252">
        <f t="shared" si="1"/>
        <v>21.709999999995489</v>
      </c>
      <c r="AZ17" s="311">
        <f t="shared" si="6"/>
        <v>34.602829162130838</v>
      </c>
      <c r="BA17" s="311">
        <f t="shared" si="3"/>
        <v>26.60525103639414</v>
      </c>
      <c r="BB17" s="351">
        <f t="shared" si="4"/>
        <v>4523</v>
      </c>
      <c r="BC17" s="351">
        <f t="shared" si="5"/>
        <v>16.27095474494568</v>
      </c>
    </row>
    <row r="18" spans="1:55">
      <c r="A18" s="359">
        <v>14</v>
      </c>
      <c r="B18" s="511">
        <f>'14'!G7</f>
        <v>28180</v>
      </c>
      <c r="C18" s="511">
        <f>'14'!G8</f>
        <v>29251</v>
      </c>
      <c r="D18" s="511">
        <f>'14'!G15</f>
        <v>1050</v>
      </c>
      <c r="E18" s="511">
        <f>'14'!G20</f>
        <v>290</v>
      </c>
      <c r="F18" s="511">
        <f>SUM('14'!G35,'14'!G49)</f>
        <v>3734</v>
      </c>
      <c r="G18" s="511">
        <f>SUM('14'!G37,'14'!G51)</f>
        <v>1688</v>
      </c>
      <c r="H18" s="511">
        <f>SUM('14'!G38,'14'!G52)</f>
        <v>2405</v>
      </c>
      <c r="I18" s="511">
        <f>SUM('14'!G39,'14'!G53)</f>
        <v>2986</v>
      </c>
      <c r="J18" s="511">
        <f>SUM('14'!G41,'14'!G42,'14'!G55,'14'!G56)</f>
        <v>9169.3999999999942</v>
      </c>
      <c r="K18" s="511">
        <f>SUM('14'!G43,'14'!G57)</f>
        <v>3212</v>
      </c>
      <c r="L18" s="254">
        <f>'14'!G50</f>
        <v>953</v>
      </c>
      <c r="M18" s="254">
        <f>'14'!G36</f>
        <v>1123</v>
      </c>
      <c r="N18" s="254">
        <f>'14'!G138</f>
        <v>160</v>
      </c>
      <c r="O18" s="254">
        <f>'14'!$G$139</f>
        <v>133</v>
      </c>
      <c r="P18" s="254">
        <f>'14'!$G$140</f>
        <v>16</v>
      </c>
      <c r="Q18" s="254">
        <f>'14'!$G$141</f>
        <v>171</v>
      </c>
      <c r="R18" s="254">
        <f>'14'!$G$142</f>
        <v>156</v>
      </c>
      <c r="S18" s="254">
        <f>'14'!$G$145</f>
        <v>0</v>
      </c>
      <c r="T18" s="251">
        <f>'14'!$G$146</f>
        <v>10</v>
      </c>
      <c r="U18" s="251">
        <f>'14'!$G$144</f>
        <v>248</v>
      </c>
      <c r="V18" s="251">
        <f>'14'!$G$147</f>
        <v>551</v>
      </c>
      <c r="W18" s="251">
        <f>'14'!$G$148</f>
        <v>357</v>
      </c>
      <c r="X18" s="251">
        <f>'14'!$G$143</f>
        <v>31</v>
      </c>
      <c r="Y18" s="251">
        <f>'14'!$G$58</f>
        <v>245</v>
      </c>
      <c r="Z18" s="251">
        <f>'14'!$G$151</f>
        <v>273</v>
      </c>
      <c r="AA18" s="251">
        <f>'14'!G161</f>
        <v>8</v>
      </c>
      <c r="AB18" s="251">
        <f>'14'!G162</f>
        <v>38</v>
      </c>
      <c r="AC18" s="251">
        <f>'14'!G88</f>
        <v>0</v>
      </c>
      <c r="AD18" s="251">
        <f>'14'!G163+'14'!G164</f>
        <v>207</v>
      </c>
      <c r="AE18" s="254">
        <f>'14'!$G$116</f>
        <v>357</v>
      </c>
      <c r="AF18" s="254">
        <f>'14'!$G$117</f>
        <v>223</v>
      </c>
      <c r="AG18" s="254">
        <f>'14'!$G$118</f>
        <v>673</v>
      </c>
      <c r="AH18" s="254">
        <f>'14'!$G$119</f>
        <v>422</v>
      </c>
      <c r="AI18" s="254">
        <f>'14'!$G$120</f>
        <v>422</v>
      </c>
      <c r="AJ18" s="254">
        <f>'14'!$G$121</f>
        <v>445</v>
      </c>
      <c r="AK18" s="254">
        <f>'14'!$G$122</f>
        <v>284</v>
      </c>
      <c r="AL18" s="254">
        <f>'14'!$G$123</f>
        <v>309</v>
      </c>
      <c r="AM18" s="254">
        <f>'14'!$G$133</f>
        <v>754</v>
      </c>
      <c r="AN18" s="254">
        <f>'14'!$G$15</f>
        <v>1050</v>
      </c>
      <c r="AO18" s="256">
        <f>'14'!$G$74</f>
        <v>314</v>
      </c>
      <c r="AP18" s="256">
        <f>'14'!$G$75</f>
        <v>0</v>
      </c>
      <c r="AQ18" s="256">
        <f>'14'!$G$76</f>
        <v>109</v>
      </c>
      <c r="AR18" s="256">
        <f>'14'!$G$77</f>
        <v>45</v>
      </c>
      <c r="AS18" s="256">
        <f>'14'!$G$78</f>
        <v>0</v>
      </c>
      <c r="AT18" s="256">
        <f t="shared" si="0"/>
        <v>582</v>
      </c>
      <c r="AU18" s="254">
        <f>SUM('14'!G91:G92)</f>
        <v>11.119999999999891</v>
      </c>
      <c r="AV18" s="254">
        <f>'14'!$G$88</f>
        <v>0</v>
      </c>
      <c r="AW18" s="254">
        <f>'14'!$G$89</f>
        <v>9.569999999999709</v>
      </c>
      <c r="AX18" s="254">
        <f>'14'!$G$90</f>
        <v>11.490000000005239</v>
      </c>
      <c r="AY18" s="252">
        <f t="shared" si="1"/>
        <v>21.060000000004948</v>
      </c>
      <c r="AZ18" s="311">
        <f t="shared" si="6"/>
        <v>28.237410071942723</v>
      </c>
      <c r="BA18" s="311">
        <f t="shared" si="3"/>
        <v>27.635327635321143</v>
      </c>
      <c r="BB18" s="351">
        <f t="shared" si="4"/>
        <v>5811.6000000000058</v>
      </c>
      <c r="BC18" s="351">
        <f t="shared" si="5"/>
        <v>20.623136976579154</v>
      </c>
    </row>
    <row r="19" spans="1:55">
      <c r="A19" s="359">
        <v>15</v>
      </c>
      <c r="B19" s="511">
        <f>'15'!G7</f>
        <v>27537</v>
      </c>
      <c r="C19" s="511">
        <f>'15'!G8</f>
        <v>28661</v>
      </c>
      <c r="D19" s="511">
        <f>'15'!G15</f>
        <v>1071</v>
      </c>
      <c r="E19" s="511">
        <f>'15'!G20</f>
        <v>250</v>
      </c>
      <c r="F19" s="511">
        <f>SUM('15'!G35,'15'!G49)</f>
        <v>3640</v>
      </c>
      <c r="G19" s="511">
        <f>SUM('15'!G37,'15'!G51)</f>
        <v>1655</v>
      </c>
      <c r="H19" s="511">
        <f>SUM('15'!G38,'15'!G52)</f>
        <v>2311</v>
      </c>
      <c r="I19" s="511">
        <f>SUM('15'!G39,'15'!G53)</f>
        <v>3010</v>
      </c>
      <c r="J19" s="511">
        <f>SUM('15'!G41,'15'!G42,'15'!G55,'15'!G56)</f>
        <v>9511</v>
      </c>
      <c r="K19" s="511">
        <f>SUM('15'!G43,'15'!G57)</f>
        <v>3224</v>
      </c>
      <c r="L19" s="254">
        <f>'15'!G50</f>
        <v>977</v>
      </c>
      <c r="M19" s="254">
        <f>'15'!G36</f>
        <v>699</v>
      </c>
      <c r="N19" s="254">
        <f>'15'!G138</f>
        <v>154</v>
      </c>
      <c r="O19" s="254">
        <f>'15'!$G$139</f>
        <v>132</v>
      </c>
      <c r="P19" s="254">
        <f>'15'!$G$140</f>
        <v>16</v>
      </c>
      <c r="Q19" s="254">
        <f>'15'!$G$141</f>
        <v>201</v>
      </c>
      <c r="R19" s="254">
        <f>'15'!$G$142</f>
        <v>118</v>
      </c>
      <c r="S19" s="254">
        <f>'15'!$G$145</f>
        <v>0</v>
      </c>
      <c r="T19" s="251">
        <f>'15'!$G$146</f>
        <v>40</v>
      </c>
      <c r="U19" s="251">
        <f>'15'!$G$144</f>
        <v>243</v>
      </c>
      <c r="V19" s="251">
        <f>'15'!$G$147</f>
        <v>371</v>
      </c>
      <c r="W19" s="251">
        <f>'15'!$G$148</f>
        <v>258</v>
      </c>
      <c r="X19" s="251">
        <f>'15'!$G$143</f>
        <v>30</v>
      </c>
      <c r="Y19" s="251">
        <f>'15'!$G$58</f>
        <v>239</v>
      </c>
      <c r="Z19" s="251">
        <f>'15'!$G$151</f>
        <v>272</v>
      </c>
      <c r="AA19" s="251">
        <f>'15'!G161</f>
        <v>7</v>
      </c>
      <c r="AB19" s="251">
        <f>'15'!G162</f>
        <v>43</v>
      </c>
      <c r="AC19" s="251">
        <f>'15'!G88</f>
        <v>0</v>
      </c>
      <c r="AD19" s="251">
        <f>'15'!G163+'15'!G164</f>
        <v>151</v>
      </c>
      <c r="AE19" s="254">
        <f>'15'!$G$116</f>
        <v>396</v>
      </c>
      <c r="AF19" s="254">
        <f>'15'!$G$117</f>
        <v>176</v>
      </c>
      <c r="AG19" s="254">
        <f>'15'!$G$118</f>
        <v>645</v>
      </c>
      <c r="AH19" s="254">
        <f>'15'!$G$119</f>
        <v>426</v>
      </c>
      <c r="AI19" s="254">
        <f>'15'!$G$120</f>
        <v>421</v>
      </c>
      <c r="AJ19" s="254">
        <f>'15'!$G$121</f>
        <v>457</v>
      </c>
      <c r="AK19" s="254">
        <f>'15'!$G$122</f>
        <v>309</v>
      </c>
      <c r="AL19" s="254">
        <f>'15'!$G$123</f>
        <v>323</v>
      </c>
      <c r="AM19" s="254">
        <f>'15'!$G$133</f>
        <v>725</v>
      </c>
      <c r="AN19" s="254">
        <f>'15'!$G$15</f>
        <v>1071</v>
      </c>
      <c r="AO19" s="256">
        <f>'15'!$G$74</f>
        <v>312</v>
      </c>
      <c r="AP19" s="256">
        <f>'15'!$G$75</f>
        <v>0</v>
      </c>
      <c r="AQ19" s="256">
        <f>'15'!$G$76</f>
        <v>114</v>
      </c>
      <c r="AR19" s="256">
        <f>'15'!$G$77</f>
        <v>52</v>
      </c>
      <c r="AS19" s="256">
        <f>'15'!$G$78</f>
        <v>0</v>
      </c>
      <c r="AT19" s="256">
        <f t="shared" si="0"/>
        <v>593</v>
      </c>
      <c r="AU19" s="254">
        <f>SUM('15'!G91:G92)</f>
        <v>10.880000000000109</v>
      </c>
      <c r="AV19" s="254">
        <f>'15'!$G$88</f>
        <v>0</v>
      </c>
      <c r="AW19" s="254">
        <f>'15'!$G$89</f>
        <v>9.2000000000007276</v>
      </c>
      <c r="AX19" s="254">
        <f>'15'!$G$90</f>
        <v>12.029999999998836</v>
      </c>
      <c r="AY19" s="252">
        <f t="shared" si="1"/>
        <v>21.229999999999563</v>
      </c>
      <c r="AZ19" s="311">
        <f t="shared" si="6"/>
        <v>28.676470588235006</v>
      </c>
      <c r="BA19" s="311">
        <f t="shared" si="3"/>
        <v>27.932171455488092</v>
      </c>
      <c r="BB19" s="351">
        <f t="shared" si="4"/>
        <v>5071</v>
      </c>
      <c r="BC19" s="351">
        <f t="shared" si="5"/>
        <v>18.415223154301486</v>
      </c>
    </row>
    <row r="20" spans="1:55">
      <c r="A20" s="359">
        <v>16</v>
      </c>
      <c r="B20" s="511">
        <f>'16'!G7</f>
        <v>27812</v>
      </c>
      <c r="C20" s="511">
        <f>'16'!G8</f>
        <v>28628</v>
      </c>
      <c r="D20" s="511">
        <f>'16'!G15</f>
        <v>1026</v>
      </c>
      <c r="E20" s="511">
        <f>'16'!G20</f>
        <v>230</v>
      </c>
      <c r="F20" s="511">
        <f>SUM('16'!G35,'16'!G49)</f>
        <v>3360</v>
      </c>
      <c r="G20" s="511">
        <f>SUM('16'!G37,'16'!G51)</f>
        <v>1666</v>
      </c>
      <c r="H20" s="511">
        <f>SUM('16'!G38,'16'!G52)</f>
        <v>2366</v>
      </c>
      <c r="I20" s="511">
        <f>SUM('16'!G39,'16'!G53)</f>
        <v>3099</v>
      </c>
      <c r="J20" s="511">
        <f>SUM('16'!G41,'16'!G42,'16'!G55,'16'!G56)</f>
        <v>10363</v>
      </c>
      <c r="K20" s="511">
        <f>SUM('16'!G43,'16'!G57)</f>
        <v>3266</v>
      </c>
      <c r="L20" s="254">
        <f>'16'!G50</f>
        <v>861</v>
      </c>
      <c r="M20" s="254">
        <f>'16'!G36</f>
        <v>634</v>
      </c>
      <c r="N20" s="254">
        <f>'16'!G138</f>
        <v>146</v>
      </c>
      <c r="O20" s="254">
        <f>'16'!$G$139</f>
        <v>124</v>
      </c>
      <c r="P20" s="254">
        <f>'16'!$G$140</f>
        <v>17</v>
      </c>
      <c r="Q20" s="254">
        <f>'16'!$G$141</f>
        <v>206</v>
      </c>
      <c r="R20" s="254">
        <f>'16'!$G$142</f>
        <v>149</v>
      </c>
      <c r="S20" s="254">
        <f>'16'!$G$145</f>
        <v>0</v>
      </c>
      <c r="T20" s="251">
        <f>'16'!$G$146</f>
        <v>45</v>
      </c>
      <c r="U20" s="251">
        <f>'16'!$G$144</f>
        <v>237</v>
      </c>
      <c r="V20" s="251">
        <f>'16'!$G$147</f>
        <v>366</v>
      </c>
      <c r="W20" s="251">
        <f>'16'!$G$148</f>
        <v>240</v>
      </c>
      <c r="X20" s="251">
        <f>'16'!$G$143</f>
        <v>28</v>
      </c>
      <c r="Y20" s="251">
        <f>'16'!$G$58</f>
        <v>248</v>
      </c>
      <c r="Z20" s="251">
        <f>'16'!$G$151</f>
        <v>272</v>
      </c>
      <c r="AA20" s="251">
        <f>'16'!G161</f>
        <v>6</v>
      </c>
      <c r="AB20" s="251">
        <f>'16'!G162</f>
        <v>41</v>
      </c>
      <c r="AC20" s="251">
        <f>'16'!G88</f>
        <v>0</v>
      </c>
      <c r="AD20" s="251">
        <f>'16'!G163+'16'!G164</f>
        <v>197</v>
      </c>
      <c r="AE20" s="254">
        <f>'16'!$G$116</f>
        <v>395</v>
      </c>
      <c r="AF20" s="254">
        <f>'16'!$G$117</f>
        <v>220</v>
      </c>
      <c r="AG20" s="254">
        <f>'16'!$G$118</f>
        <v>667</v>
      </c>
      <c r="AH20" s="254">
        <f>'16'!$G$119</f>
        <v>435</v>
      </c>
      <c r="AI20" s="254">
        <f>'16'!$G$120</f>
        <v>431</v>
      </c>
      <c r="AJ20" s="254">
        <f>'16'!$G$121</f>
        <v>448</v>
      </c>
      <c r="AK20" s="254">
        <f>'16'!$G$122</f>
        <v>302</v>
      </c>
      <c r="AL20" s="254">
        <f>'16'!$G$123</f>
        <v>324</v>
      </c>
      <c r="AM20" s="254">
        <f>'16'!$G$133</f>
        <v>622</v>
      </c>
      <c r="AN20" s="254">
        <f>'16'!$G$15</f>
        <v>1026</v>
      </c>
      <c r="AO20" s="256">
        <f>'16'!$G$74</f>
        <v>311</v>
      </c>
      <c r="AP20" s="256">
        <f>'16'!$G$75</f>
        <v>0</v>
      </c>
      <c r="AQ20" s="256">
        <f>'16'!$G$76</f>
        <v>63</v>
      </c>
      <c r="AR20" s="256">
        <f>'16'!$G$77</f>
        <v>43</v>
      </c>
      <c r="AS20" s="256">
        <f>'16'!$G$78</f>
        <v>0</v>
      </c>
      <c r="AT20" s="256">
        <f t="shared" si="0"/>
        <v>609</v>
      </c>
      <c r="AU20" s="254">
        <f>SUM('16'!G91:G92)</f>
        <v>10.609999999999673</v>
      </c>
      <c r="AV20" s="254">
        <f>'16'!$G$88</f>
        <v>0</v>
      </c>
      <c r="AW20" s="254">
        <f>'16'!$G$89</f>
        <v>10.889999999999418</v>
      </c>
      <c r="AX20" s="254">
        <f>'16'!$G$90</f>
        <v>11.160000000003492</v>
      </c>
      <c r="AY20" s="252">
        <f t="shared" si="1"/>
        <v>22.05000000000291</v>
      </c>
      <c r="AZ20" s="311">
        <f t="shared" si="6"/>
        <v>29.311969839774704</v>
      </c>
      <c r="BA20" s="311">
        <f t="shared" si="3"/>
        <v>27.619047619043975</v>
      </c>
      <c r="BB20" s="351">
        <f t="shared" si="4"/>
        <v>4260</v>
      </c>
      <c r="BC20" s="351">
        <f t="shared" si="5"/>
        <v>15.317129296706458</v>
      </c>
    </row>
    <row r="21" spans="1:55">
      <c r="A21" s="359">
        <v>17</v>
      </c>
      <c r="B21" s="511">
        <f>'17'!G7</f>
        <v>28799</v>
      </c>
      <c r="C21" s="511">
        <f>'17'!G8</f>
        <v>29392</v>
      </c>
      <c r="D21" s="511">
        <f>'17'!G15</f>
        <v>1015</v>
      </c>
      <c r="E21" s="511">
        <f>'17'!G20</f>
        <v>283</v>
      </c>
      <c r="F21" s="511">
        <f>SUM('17'!G35,'17'!G49)</f>
        <v>3494</v>
      </c>
      <c r="G21" s="511">
        <f>SUM('17'!G37,'17'!G51)</f>
        <v>1704</v>
      </c>
      <c r="H21" s="511">
        <f>SUM('17'!G38,'17'!G52)</f>
        <v>2355</v>
      </c>
      <c r="I21" s="511">
        <f>SUM('17'!G39,'17'!G53)</f>
        <v>3142</v>
      </c>
      <c r="J21" s="511">
        <f>SUM('17'!G41,'17'!G42,'17'!G55,'17'!G56)</f>
        <v>10550</v>
      </c>
      <c r="K21" s="511">
        <f>SUM('17'!G43,'17'!G57)</f>
        <v>3226</v>
      </c>
      <c r="L21" s="254">
        <f>'17'!G50</f>
        <v>1457</v>
      </c>
      <c r="M21" s="254">
        <f>'17'!G36</f>
        <v>721</v>
      </c>
      <c r="N21" s="254">
        <f>'18 '!G138</f>
        <v>134</v>
      </c>
      <c r="O21" s="254">
        <f>'17'!$G$139</f>
        <v>210</v>
      </c>
      <c r="P21" s="254">
        <f>'17'!$G$140</f>
        <v>18</v>
      </c>
      <c r="Q21" s="254">
        <f>'17'!$G$141</f>
        <v>217</v>
      </c>
      <c r="R21" s="254">
        <f>'17'!$G$142</f>
        <v>138</v>
      </c>
      <c r="S21" s="254">
        <f>'17'!$G$145</f>
        <v>0</v>
      </c>
      <c r="T21" s="251">
        <f>'17'!$G$146</f>
        <v>44</v>
      </c>
      <c r="U21" s="251">
        <f>'17'!$G$144</f>
        <v>244</v>
      </c>
      <c r="V21" s="251">
        <f>'17'!$G$147</f>
        <v>411</v>
      </c>
      <c r="W21" s="251">
        <f>'17'!$G$148</f>
        <v>314</v>
      </c>
      <c r="X21" s="251">
        <f>'17'!$G$143</f>
        <v>32</v>
      </c>
      <c r="Y21" s="251">
        <f>'17'!$G$58</f>
        <v>222</v>
      </c>
      <c r="Z21" s="251">
        <f>'17'!$G$151</f>
        <v>262</v>
      </c>
      <c r="AA21" s="251">
        <f>'17'!G161</f>
        <v>15</v>
      </c>
      <c r="AB21" s="251">
        <f>'17'!G162</f>
        <v>39</v>
      </c>
      <c r="AC21" s="251">
        <f>'17'!G88</f>
        <v>4.9999999999272404E-2</v>
      </c>
      <c r="AD21" s="251">
        <f>'17'!G163+'17'!G164</f>
        <v>184</v>
      </c>
      <c r="AE21" s="254">
        <f>'17'!$G$116</f>
        <v>372</v>
      </c>
      <c r="AF21" s="254">
        <f>'17'!$G$117</f>
        <v>273</v>
      </c>
      <c r="AG21" s="254">
        <f>'17'!$G$118</f>
        <v>669</v>
      </c>
      <c r="AH21" s="254">
        <f>'17'!$G$119</f>
        <v>459</v>
      </c>
      <c r="AI21" s="254">
        <f>'17'!$G$120</f>
        <v>425</v>
      </c>
      <c r="AJ21" s="254">
        <f>'17'!$G$121</f>
        <v>454</v>
      </c>
      <c r="AK21" s="254">
        <f>'17'!$G$122</f>
        <v>314</v>
      </c>
      <c r="AL21" s="254">
        <f>'17'!$G$123</f>
        <v>317</v>
      </c>
      <c r="AM21" s="254">
        <f>'17'!$G$133</f>
        <v>609</v>
      </c>
      <c r="AN21" s="254">
        <f>'17'!$G$15</f>
        <v>1015</v>
      </c>
      <c r="AO21" s="256">
        <f>'17'!$G$74</f>
        <v>293.52000000001863</v>
      </c>
      <c r="AP21" s="256">
        <f>'17'!$G$75</f>
        <v>0</v>
      </c>
      <c r="AQ21" s="256">
        <f>'17'!$G$76</f>
        <v>132</v>
      </c>
      <c r="AR21" s="256">
        <f>'17'!$G$77</f>
        <v>38</v>
      </c>
      <c r="AS21" s="256">
        <f>'17'!$G$78</f>
        <v>0</v>
      </c>
      <c r="AT21" s="256">
        <f t="shared" si="0"/>
        <v>551.47999999998137</v>
      </c>
      <c r="AU21" s="254">
        <f>SUM('17'!G91:G92)</f>
        <v>10.390000000000327</v>
      </c>
      <c r="AV21" s="254">
        <f>'17'!$G$88</f>
        <v>4.9999999999272404E-2</v>
      </c>
      <c r="AW21" s="254">
        <f>'17'!$G$89</f>
        <v>10.110000000000582</v>
      </c>
      <c r="AX21" s="254">
        <f>'17'!$G$90</f>
        <v>9.8399999999965075</v>
      </c>
      <c r="AY21" s="252">
        <f t="shared" si="1"/>
        <v>19.999999999996362</v>
      </c>
      <c r="AZ21" s="311">
        <f t="shared" si="6"/>
        <v>28.250240615977802</v>
      </c>
      <c r="BA21" s="311">
        <f t="shared" si="3"/>
        <v>27.574000000004084</v>
      </c>
      <c r="BB21" s="351">
        <f t="shared" si="4"/>
        <v>4699</v>
      </c>
      <c r="BC21" s="351">
        <f t="shared" si="5"/>
        <v>16.316538768707247</v>
      </c>
    </row>
    <row r="22" spans="1:55">
      <c r="A22" s="359">
        <v>18</v>
      </c>
      <c r="B22" s="511">
        <f>'18 '!G7</f>
        <v>29411</v>
      </c>
      <c r="C22" s="511">
        <f>'18 '!G8</f>
        <v>29753</v>
      </c>
      <c r="D22" s="511">
        <f>'18 '!G15</f>
        <v>1052</v>
      </c>
      <c r="E22" s="511">
        <f>'18 '!G20</f>
        <v>232</v>
      </c>
      <c r="F22" s="511">
        <f>SUM('18 '!G35,'18 '!G49)</f>
        <v>3488</v>
      </c>
      <c r="G22" s="511">
        <f>SUM('18 '!G37,'18 '!G51)</f>
        <v>1729</v>
      </c>
      <c r="H22" s="511">
        <f>SUM('18 '!G38,'18 '!G52)</f>
        <v>2397</v>
      </c>
      <c r="I22" s="511">
        <f>SUM('18 '!G39,'18 '!G53)</f>
        <v>3158</v>
      </c>
      <c r="J22" s="511">
        <f>SUM('18 '!G41,'18 '!G42,'18 '!G55,'18 '!G56)</f>
        <v>10831</v>
      </c>
      <c r="K22" s="511">
        <f>SUM('18 '!G43,'18 '!G57)</f>
        <v>3098</v>
      </c>
      <c r="L22" s="254">
        <f>'18 '!G50</f>
        <v>1503</v>
      </c>
      <c r="M22" s="254">
        <f>'18 '!G36</f>
        <v>1045</v>
      </c>
      <c r="N22" s="254">
        <f>'18 '!G138</f>
        <v>134</v>
      </c>
      <c r="O22" s="254">
        <f>'18 '!$G$139</f>
        <v>149</v>
      </c>
      <c r="P22" s="254">
        <f>'18 '!$G$140</f>
        <v>15</v>
      </c>
      <c r="Q22" s="254">
        <f>'18 '!$G$141</f>
        <v>214</v>
      </c>
      <c r="R22" s="254">
        <f>'18 '!$G$142</f>
        <v>145</v>
      </c>
      <c r="S22" s="254">
        <f>'18 '!$G$145</f>
        <v>0</v>
      </c>
      <c r="T22" s="251">
        <f>'18 '!$G$146</f>
        <v>45</v>
      </c>
      <c r="U22" s="251">
        <f>'18 '!$G$144</f>
        <v>231</v>
      </c>
      <c r="V22" s="256">
        <f>'18 '!$G$147</f>
        <v>430</v>
      </c>
      <c r="W22" s="256">
        <f>'18 '!$G$148</f>
        <v>327</v>
      </c>
      <c r="X22" s="256">
        <f>'18 '!$G$143</f>
        <v>27</v>
      </c>
      <c r="Y22" s="256">
        <f>'18 '!$G$58</f>
        <v>244</v>
      </c>
      <c r="Z22" s="256">
        <f>'18 '!$G$151</f>
        <v>287</v>
      </c>
      <c r="AA22" s="256">
        <f>'18 '!G161</f>
        <v>3</v>
      </c>
      <c r="AB22" s="251">
        <f>'18 '!G162</f>
        <v>42</v>
      </c>
      <c r="AC22" s="251">
        <f>'18 '!G88</f>
        <v>0</v>
      </c>
      <c r="AD22" s="251">
        <f>'18 '!G163+'18 '!G164</f>
        <v>172</v>
      </c>
      <c r="AE22" s="254">
        <f>'18 '!$G$116</f>
        <v>409</v>
      </c>
      <c r="AF22" s="254">
        <f>'18 '!$G$117</f>
        <v>280</v>
      </c>
      <c r="AG22" s="254">
        <f>'18 '!$G$118</f>
        <v>650</v>
      </c>
      <c r="AH22" s="254">
        <f>'18 '!$G$119</f>
        <v>447</v>
      </c>
      <c r="AI22" s="254">
        <f>'18 '!$G$120</f>
        <v>435</v>
      </c>
      <c r="AJ22" s="254">
        <f>'18 '!$G$121</f>
        <v>461</v>
      </c>
      <c r="AK22" s="254">
        <f>'18 '!$G$122</f>
        <v>314</v>
      </c>
      <c r="AL22" s="254">
        <f>'18 '!$G$123</f>
        <v>314</v>
      </c>
      <c r="AM22" s="254">
        <f>'18 '!$G$133</f>
        <v>628</v>
      </c>
      <c r="AN22" s="254">
        <f>'18 '!$G$15</f>
        <v>1052</v>
      </c>
      <c r="AO22" s="256">
        <f>'18 '!$G$74</f>
        <v>297.47999999998137</v>
      </c>
      <c r="AP22" s="256">
        <f>'18 '!$G$75</f>
        <v>0</v>
      </c>
      <c r="AQ22" s="256">
        <f>'18 '!$G$76</f>
        <v>111</v>
      </c>
      <c r="AR22" s="256">
        <f>'18 '!$G$77</f>
        <v>50</v>
      </c>
      <c r="AS22" s="256">
        <f>'18 '!$G$78</f>
        <v>0</v>
      </c>
      <c r="AT22" s="256">
        <f t="shared" si="0"/>
        <v>593.52000000001863</v>
      </c>
      <c r="AU22" s="254">
        <f>SUM('18 '!G91:G92)</f>
        <v>10</v>
      </c>
      <c r="AV22" s="254">
        <f>'18 '!$G$88</f>
        <v>0</v>
      </c>
      <c r="AW22" s="254">
        <f>'18 '!$G$89</f>
        <v>10</v>
      </c>
      <c r="AX22" s="254">
        <f>'18 '!$G$90</f>
        <v>12</v>
      </c>
      <c r="AY22" s="252">
        <f t="shared" si="1"/>
        <v>22</v>
      </c>
      <c r="AZ22" s="311">
        <f t="shared" si="6"/>
        <v>29.747999999998136</v>
      </c>
      <c r="BA22" s="311">
        <f t="shared" si="3"/>
        <v>26.978181818182666</v>
      </c>
      <c r="BB22" s="351">
        <f t="shared" si="4"/>
        <v>4808</v>
      </c>
      <c r="BC22" s="351">
        <f t="shared" si="5"/>
        <v>16.347625038250992</v>
      </c>
    </row>
    <row r="23" spans="1:55" s="313" customFormat="1">
      <c r="A23" s="359">
        <v>19</v>
      </c>
      <c r="B23" s="511">
        <f>'19'!G7</f>
        <v>28720</v>
      </c>
      <c r="C23" s="511">
        <f>'19'!G8</f>
        <v>29068</v>
      </c>
      <c r="D23" s="511">
        <f>'19'!G15</f>
        <v>1047</v>
      </c>
      <c r="E23" s="511">
        <f>'19'!G20</f>
        <v>212</v>
      </c>
      <c r="F23" s="511">
        <f>SUM('19'!G35,'19'!G49)</f>
        <v>3557</v>
      </c>
      <c r="G23" s="511">
        <f>SUM('19'!G37,'19'!G51)</f>
        <v>1734</v>
      </c>
      <c r="H23" s="511">
        <f>SUM('19'!G38,'19'!G52)</f>
        <v>2342</v>
      </c>
      <c r="I23" s="511">
        <f>SUM('19'!G39,'19'!G53)</f>
        <v>3175</v>
      </c>
      <c r="J23" s="511">
        <f>SUM('19'!G41,'19'!G42,'19'!G55,'19'!G56)</f>
        <v>10354</v>
      </c>
      <c r="K23" s="511">
        <f>SUM('19'!G43,'19'!G57)</f>
        <v>3130</v>
      </c>
      <c r="L23" s="251">
        <f>'19'!G50</f>
        <v>958</v>
      </c>
      <c r="M23" s="251">
        <f>'19'!G36</f>
        <v>1321</v>
      </c>
      <c r="N23" s="251">
        <f>'19'!G138</f>
        <v>137</v>
      </c>
      <c r="O23" s="251">
        <f>'19'!$G$139</f>
        <v>150</v>
      </c>
      <c r="P23" s="251">
        <f>'19'!$G$140</f>
        <v>14</v>
      </c>
      <c r="Q23" s="251">
        <f>'19'!$G$141</f>
        <v>221</v>
      </c>
      <c r="R23" s="254">
        <f>'19'!G142</f>
        <v>148</v>
      </c>
      <c r="S23" s="251">
        <f>'19'!$G$145</f>
        <v>0</v>
      </c>
      <c r="T23" s="251">
        <f>'19'!$G$146</f>
        <v>38</v>
      </c>
      <c r="U23" s="251">
        <f>'19'!$G$144</f>
        <v>250</v>
      </c>
      <c r="V23" s="251">
        <f>'19'!$G$147</f>
        <v>381</v>
      </c>
      <c r="W23" s="251">
        <f>'19'!$G$148</f>
        <v>517</v>
      </c>
      <c r="X23" s="251">
        <f>'19'!$G$143</f>
        <v>28</v>
      </c>
      <c r="Y23" s="251">
        <f>'19'!$G$58</f>
        <v>216</v>
      </c>
      <c r="Z23" s="251">
        <f>'19'!$G$151</f>
        <v>291</v>
      </c>
      <c r="AA23" s="251">
        <f>'19'!G161</f>
        <v>10</v>
      </c>
      <c r="AB23" s="251">
        <f>'19'!G162</f>
        <v>16</v>
      </c>
      <c r="AC23" s="251">
        <f>'19'!G88</f>
        <v>0</v>
      </c>
      <c r="AD23" s="251">
        <f>'19'!G163+'19'!G164</f>
        <v>164</v>
      </c>
      <c r="AE23" s="251">
        <f>'19'!$G$116</f>
        <v>482</v>
      </c>
      <c r="AF23" s="251">
        <f>'19'!$G$117</f>
        <v>285</v>
      </c>
      <c r="AG23" s="251">
        <f>'19'!$G$118</f>
        <v>643</v>
      </c>
      <c r="AH23" s="251">
        <f>'19'!$G$119</f>
        <v>461</v>
      </c>
      <c r="AI23" s="251">
        <f>'19'!$G$120</f>
        <v>431</v>
      </c>
      <c r="AJ23" s="251">
        <f>'19'!$G$121</f>
        <v>455</v>
      </c>
      <c r="AK23" s="251">
        <f>'19'!$G$122</f>
        <v>277</v>
      </c>
      <c r="AL23" s="251">
        <f>'19'!$G$123</f>
        <v>314</v>
      </c>
      <c r="AM23" s="251">
        <f>'19'!$G$133</f>
        <v>623</v>
      </c>
      <c r="AN23" s="251">
        <f>'19'!$G$15</f>
        <v>1047</v>
      </c>
      <c r="AO23" s="256">
        <f>'19'!$G$74</f>
        <v>300</v>
      </c>
      <c r="AP23" s="256">
        <f>'19'!$G$75</f>
        <v>0</v>
      </c>
      <c r="AQ23" s="256">
        <f>'19'!$G$76</f>
        <v>118</v>
      </c>
      <c r="AR23" s="256">
        <f>'19'!$G$77</f>
        <v>63</v>
      </c>
      <c r="AS23" s="256">
        <f>'19'!$G$78</f>
        <v>0</v>
      </c>
      <c r="AT23" s="256">
        <f t="shared" si="0"/>
        <v>566</v>
      </c>
      <c r="AU23" s="251">
        <f>SUM('19'!G91:G92)</f>
        <v>10</v>
      </c>
      <c r="AV23" s="251">
        <f>'19'!$G$88</f>
        <v>0</v>
      </c>
      <c r="AW23" s="251">
        <f>'19'!$G$89</f>
        <v>9.4700000000011642</v>
      </c>
      <c r="AX23" s="251">
        <f>'19'!$G$90</f>
        <v>9</v>
      </c>
      <c r="AY23" s="255">
        <f t="shared" si="1"/>
        <v>18.470000000001164</v>
      </c>
      <c r="AZ23" s="311">
        <f t="shared" si="6"/>
        <v>30</v>
      </c>
      <c r="BA23" s="311">
        <f t="shared" si="3"/>
        <v>30.644288034648852</v>
      </c>
      <c r="BB23" s="351">
        <f t="shared" si="4"/>
        <v>4560</v>
      </c>
      <c r="BC23" s="351">
        <f t="shared" si="5"/>
        <v>15.877437325905293</v>
      </c>
    </row>
    <row r="24" spans="1:55">
      <c r="A24" s="359">
        <v>20</v>
      </c>
      <c r="B24" s="511">
        <f>'20'!G7</f>
        <v>28424</v>
      </c>
      <c r="C24" s="511">
        <f>'20'!G8</f>
        <v>28714</v>
      </c>
      <c r="D24" s="511">
        <f>'20'!G15</f>
        <v>1014</v>
      </c>
      <c r="E24" s="511">
        <f>'20'!G20</f>
        <v>253</v>
      </c>
      <c r="F24" s="511">
        <f>SUM('20'!G35,'20'!G49)</f>
        <v>3591</v>
      </c>
      <c r="G24" s="511">
        <f>SUM('20'!G37,'20'!G51)</f>
        <v>1669</v>
      </c>
      <c r="H24" s="511">
        <f>SUM('20'!G38,'20'!G52)</f>
        <v>2341</v>
      </c>
      <c r="I24" s="511">
        <f>SUM('20'!G39,'20'!G53)</f>
        <v>3213</v>
      </c>
      <c r="J24" s="511">
        <f>SUM('20'!G41,'20'!G42,'20'!G55,'20'!G56)</f>
        <v>9993</v>
      </c>
      <c r="K24" s="511">
        <f>SUM('20'!G43,'20'!G57)</f>
        <v>3092</v>
      </c>
      <c r="L24" s="254">
        <f>'20'!G50</f>
        <v>1133</v>
      </c>
      <c r="M24" s="254">
        <f>'20'!G36</f>
        <v>1199</v>
      </c>
      <c r="N24" s="254">
        <f>'20'!G138</f>
        <v>147</v>
      </c>
      <c r="O24" s="254">
        <f>'20'!$G$139</f>
        <v>152</v>
      </c>
      <c r="P24" s="254">
        <f>'20'!$G$140</f>
        <v>16</v>
      </c>
      <c r="Q24" s="254">
        <f>'20'!$G$141</f>
        <v>203</v>
      </c>
      <c r="R24" s="254">
        <f>'20'!$G$142</f>
        <v>114</v>
      </c>
      <c r="S24" s="254">
        <f>'20'!$G$145</f>
        <v>0</v>
      </c>
      <c r="T24" s="251">
        <f>'20'!$G$146</f>
        <v>47</v>
      </c>
      <c r="U24" s="251">
        <f>'20'!$G$144</f>
        <v>239</v>
      </c>
      <c r="V24" s="251">
        <f>'20'!$G$147</f>
        <v>410</v>
      </c>
      <c r="W24" s="251">
        <f>'20'!$G$148</f>
        <v>560</v>
      </c>
      <c r="X24" s="251">
        <f>'20'!$G$143</f>
        <v>29</v>
      </c>
      <c r="Y24" s="251">
        <f>'20'!$G$58</f>
        <v>254</v>
      </c>
      <c r="Z24" s="251">
        <f>'20'!$G$151</f>
        <v>294</v>
      </c>
      <c r="AA24" s="251">
        <f>'20'!G161</f>
        <v>244</v>
      </c>
      <c r="AB24" s="251">
        <f>'20'!G162</f>
        <v>41</v>
      </c>
      <c r="AC24" s="251">
        <f>'20'!G88</f>
        <v>0</v>
      </c>
      <c r="AD24" s="251">
        <f>'20'!G163+'20'!G164</f>
        <v>174</v>
      </c>
      <c r="AE24" s="254">
        <f>'20'!$G$116</f>
        <v>455</v>
      </c>
      <c r="AF24" s="254">
        <f>'20'!$G$117</f>
        <v>292</v>
      </c>
      <c r="AG24" s="254">
        <f>'20'!$G$118</f>
        <v>639</v>
      </c>
      <c r="AH24" s="254">
        <f>'20'!$G$119</f>
        <v>468</v>
      </c>
      <c r="AI24" s="254">
        <f>'20'!$G$120</f>
        <v>428</v>
      </c>
      <c r="AJ24" s="254">
        <f>'20'!$G$121</f>
        <v>473</v>
      </c>
      <c r="AK24" s="254">
        <f>'20'!$G$122</f>
        <v>280</v>
      </c>
      <c r="AL24" s="254">
        <f>'20'!$G$123</f>
        <v>313</v>
      </c>
      <c r="AM24" s="254">
        <f>'20'!$G$133</f>
        <v>619</v>
      </c>
      <c r="AN24" s="254">
        <f>'20'!$G$15</f>
        <v>1014</v>
      </c>
      <c r="AO24" s="256">
        <f>'20'!$G$74</f>
        <v>296</v>
      </c>
      <c r="AP24" s="256">
        <f>'20'!$G$75</f>
        <v>0</v>
      </c>
      <c r="AQ24" s="256">
        <f>'20'!$G$76</f>
        <v>103</v>
      </c>
      <c r="AR24" s="256">
        <f>'20'!$G$77</f>
        <v>42</v>
      </c>
      <c r="AS24" s="256">
        <f>'20'!$G$78</f>
        <v>0</v>
      </c>
      <c r="AT24" s="256">
        <f t="shared" si="0"/>
        <v>573</v>
      </c>
      <c r="AU24" s="254">
        <f>SUM('20'!G91:G92)</f>
        <v>11</v>
      </c>
      <c r="AV24" s="254">
        <f>'20'!$G$88</f>
        <v>0</v>
      </c>
      <c r="AW24" s="254">
        <f>'20'!$G$89</f>
        <v>10.529999999998836</v>
      </c>
      <c r="AX24" s="254">
        <f>'20'!$G$90</f>
        <v>10</v>
      </c>
      <c r="AY24" s="252">
        <f t="shared" si="1"/>
        <v>20.529999999998836</v>
      </c>
      <c r="AZ24" s="311">
        <f t="shared" si="6"/>
        <v>26.90909090909091</v>
      </c>
      <c r="BA24" s="311">
        <f t="shared" si="3"/>
        <v>27.910375060888089</v>
      </c>
      <c r="BB24" s="351">
        <f t="shared" si="4"/>
        <v>4561</v>
      </c>
      <c r="BC24" s="351">
        <f t="shared" si="5"/>
        <v>16.046298902336055</v>
      </c>
    </row>
    <row r="25" spans="1:55">
      <c r="A25" s="359">
        <v>21</v>
      </c>
      <c r="B25" s="511">
        <f>'21'!G7</f>
        <v>26675.109999999986</v>
      </c>
      <c r="C25" s="511">
        <f>'21'!G8</f>
        <v>27087.109999999986</v>
      </c>
      <c r="D25" s="511">
        <f>'21'!G15</f>
        <v>1049.4199999999255</v>
      </c>
      <c r="E25" s="511">
        <f>'21'!G20</f>
        <v>263</v>
      </c>
      <c r="F25" s="511">
        <f>SUM('21'!G35,'21'!G49)</f>
        <v>3632.070000000007</v>
      </c>
      <c r="G25" s="511">
        <f>SUM('21'!G37,'21'!G51)</f>
        <v>1661.0499999999884</v>
      </c>
      <c r="H25" s="511">
        <f>SUM('21'!G38,'21'!G52)</f>
        <v>2383.1500000000233</v>
      </c>
      <c r="I25" s="511">
        <f>SUM('21'!G39,'21'!G53)</f>
        <v>3123.9099999999744</v>
      </c>
      <c r="J25" s="511">
        <f>SUM('21'!G41,'21'!G42,'21'!G55,'21'!G56)</f>
        <v>7747.2600000000384</v>
      </c>
      <c r="K25" s="511">
        <f>SUM('21'!G43,'21'!G57)</f>
        <v>3040.2299999999959</v>
      </c>
      <c r="L25" s="254">
        <f>'21'!G50</f>
        <v>1132.4100000000035</v>
      </c>
      <c r="M25" s="254">
        <f>'21'!G36</f>
        <v>811.32999999998719</v>
      </c>
      <c r="N25" s="254">
        <f>'21'!G138</f>
        <v>138</v>
      </c>
      <c r="O25" s="254">
        <f>'21'!$G$139</f>
        <v>170</v>
      </c>
      <c r="P25" s="254">
        <f>'21'!$G$140</f>
        <v>18.090000000000032</v>
      </c>
      <c r="Q25" s="254">
        <f>'21'!$G$141</f>
        <v>221.75</v>
      </c>
      <c r="R25" s="254">
        <f>'21'!$G$142</f>
        <v>137.79000000000087</v>
      </c>
      <c r="S25" s="254">
        <f>'21'!$G$145</f>
        <v>0</v>
      </c>
      <c r="T25" s="251">
        <f>'21'!$G$146</f>
        <v>45</v>
      </c>
      <c r="U25" s="251">
        <f>'21'!$G$144</f>
        <v>255</v>
      </c>
      <c r="V25" s="251">
        <f>'21'!$G$147</f>
        <v>380.43999999994412</v>
      </c>
      <c r="W25" s="251">
        <f>'21'!$G$148</f>
        <v>292.07999999995809</v>
      </c>
      <c r="X25" s="251">
        <f>'21'!$G$143</f>
        <v>32.1899999999996</v>
      </c>
      <c r="Y25" s="251">
        <f>'21'!$G$58</f>
        <v>240.40000000000146</v>
      </c>
      <c r="Z25" s="251">
        <f>'21'!$G$151</f>
        <v>283</v>
      </c>
      <c r="AA25" s="251">
        <f>'21'!G161</f>
        <v>225.23999999999069</v>
      </c>
      <c r="AB25" s="251">
        <f>'21'!G162</f>
        <v>40.19999999999709</v>
      </c>
      <c r="AC25" s="251">
        <f>'21'!G88</f>
        <v>-4.9999999999272404E-2</v>
      </c>
      <c r="AD25" s="251">
        <f>'21'!G163+'21'!G164</f>
        <v>178.10000000000002</v>
      </c>
      <c r="AE25" s="254">
        <f>'21'!$G$116</f>
        <v>419.19000000000233</v>
      </c>
      <c r="AF25" s="254">
        <f>'21'!$G$117</f>
        <v>339.56000000000131</v>
      </c>
      <c r="AG25" s="254">
        <f>'21'!$G$118</f>
        <v>668.65000000000146</v>
      </c>
      <c r="AH25" s="254">
        <f>'21'!$G$119</f>
        <v>392.15000000000146</v>
      </c>
      <c r="AI25" s="254">
        <f>'21'!$G$120</f>
        <v>426.56000000000131</v>
      </c>
      <c r="AJ25" s="254">
        <f>'21'!$G$121</f>
        <v>461.20999999999913</v>
      </c>
      <c r="AK25" s="254">
        <f>'21'!$G$122</f>
        <v>236.02000000000044</v>
      </c>
      <c r="AL25" s="254">
        <f>'21'!$G$123</f>
        <v>315.31000000000131</v>
      </c>
      <c r="AM25" s="254">
        <f>'21'!$G$133</f>
        <v>623.91000000000349</v>
      </c>
      <c r="AN25" s="254">
        <f>'21'!$G$15</f>
        <v>1049.4199999999255</v>
      </c>
      <c r="AO25" s="256">
        <f>'21'!$G$74</f>
        <v>293.61999999999534</v>
      </c>
      <c r="AP25" s="256">
        <f>'21'!$G$75</f>
        <v>0</v>
      </c>
      <c r="AQ25" s="256">
        <f>'21'!$G$76</f>
        <v>113.63000000000466</v>
      </c>
      <c r="AR25" s="256">
        <f>'21'!$G$77</f>
        <v>45.400000000001455</v>
      </c>
      <c r="AS25" s="256">
        <f>'21'!$G$78</f>
        <v>0</v>
      </c>
      <c r="AT25" s="256">
        <f t="shared" si="0"/>
        <v>596.76999999992404</v>
      </c>
      <c r="AU25" s="254">
        <f>SUM('21'!G91:G92)</f>
        <v>9.6400000000003274</v>
      </c>
      <c r="AV25" s="254">
        <f>'21'!$G$88</f>
        <v>-4.9999999999272404E-2</v>
      </c>
      <c r="AW25" s="254">
        <f>'21'!$G$89</f>
        <v>9.9500000000007276</v>
      </c>
      <c r="AX25" s="254">
        <f>'21'!$G$90</f>
        <v>10.520000000004075</v>
      </c>
      <c r="AY25" s="252">
        <f t="shared" si="1"/>
        <v>20.42000000000553</v>
      </c>
      <c r="AZ25" s="311">
        <f t="shared" si="6"/>
        <v>30.458506224064873</v>
      </c>
      <c r="BA25" s="311">
        <f t="shared" si="3"/>
        <v>29.224779627804232</v>
      </c>
      <c r="BB25" s="351">
        <f t="shared" si="4"/>
        <v>5259.0399999999572</v>
      </c>
      <c r="BC25" s="351">
        <f t="shared" si="5"/>
        <v>19.715157688196825</v>
      </c>
    </row>
    <row r="26" spans="1:55">
      <c r="A26" s="359">
        <v>22</v>
      </c>
      <c r="B26" s="511">
        <f>'22'!G7</f>
        <v>27647.580000000016</v>
      </c>
      <c r="C26" s="511">
        <f>'22'!G8</f>
        <v>28127</v>
      </c>
      <c r="D26" s="511">
        <f>'22'!G15</f>
        <v>974.61000000010245</v>
      </c>
      <c r="E26" s="511">
        <f>'22'!G20</f>
        <v>243</v>
      </c>
      <c r="F26" s="511">
        <f>SUM('22'!G35,'22'!G49)</f>
        <v>3530.4400000000023</v>
      </c>
      <c r="G26" s="511">
        <f>SUM('22'!G37,'22'!G51)</f>
        <v>1658.7399999999907</v>
      </c>
      <c r="H26" s="511">
        <f>SUM('22'!G38,'22'!G52)</f>
        <v>2286.3999999999651</v>
      </c>
      <c r="I26" s="511">
        <f>SUM('22'!G39,'22'!G53)</f>
        <v>3040.2400000000489</v>
      </c>
      <c r="J26" s="511">
        <f>SUM('22'!G41,'22'!G42,'22'!G55,'22'!G56)</f>
        <v>8692.7099999999773</v>
      </c>
      <c r="K26" s="511">
        <f>SUM('22'!G43,'22'!G57)</f>
        <v>3050.0600000000268</v>
      </c>
      <c r="L26" s="254">
        <f>'22'!G50</f>
        <v>1142.5</v>
      </c>
      <c r="M26" s="254">
        <f>'22'!G36</f>
        <v>719.92000000001281</v>
      </c>
      <c r="N26" s="254">
        <f>'22'!G138</f>
        <v>129</v>
      </c>
      <c r="O26" s="254">
        <f>'22'!$G$139</f>
        <v>172</v>
      </c>
      <c r="P26" s="254">
        <f>'22'!$G$140</f>
        <v>17.069999999999936</v>
      </c>
      <c r="Q26" s="254">
        <f>'22'!$G$141</f>
        <v>200.22999999999593</v>
      </c>
      <c r="R26" s="254">
        <f>'22'!$G$142</f>
        <v>102.95999999999913</v>
      </c>
      <c r="S26" s="254">
        <f>'22'!$G$145</f>
        <v>0</v>
      </c>
      <c r="T26" s="251">
        <f>'22'!$G$146</f>
        <v>46</v>
      </c>
      <c r="U26" s="251">
        <f>'22'!$G$144</f>
        <v>253</v>
      </c>
      <c r="V26" s="251">
        <f>'22'!$G$147</f>
        <v>365.44000000006054</v>
      </c>
      <c r="W26" s="251">
        <f>'22'!$G$148</f>
        <v>315.52000000001863</v>
      </c>
      <c r="X26" s="251">
        <f>'22'!$G$143</f>
        <v>28.420000000000073</v>
      </c>
      <c r="Y26" s="251">
        <f>'22'!$G$58</f>
        <v>275.12999999999738</v>
      </c>
      <c r="Z26" s="251">
        <f>'22'!$G$151</f>
        <v>284</v>
      </c>
      <c r="AA26" s="251">
        <f>'22'!G161</f>
        <v>181.76000000000931</v>
      </c>
      <c r="AB26" s="251">
        <f>'22'!G162</f>
        <v>43.30000000000291</v>
      </c>
      <c r="AC26" s="251">
        <f>'22'!G88</f>
        <v>0.18999999999869033</v>
      </c>
      <c r="AD26" s="251">
        <f>'22'!G163+'22'!G164</f>
        <v>163.59999999999957</v>
      </c>
      <c r="AE26" s="254">
        <f>'22'!$G$116</f>
        <v>406.79999999999563</v>
      </c>
      <c r="AF26" s="254">
        <f>'22'!$G$117</f>
        <v>278.40999999999985</v>
      </c>
      <c r="AG26" s="254">
        <f>'22'!$G$118</f>
        <v>658.15999999999622</v>
      </c>
      <c r="AH26" s="254">
        <f>'22'!$G$119</f>
        <v>296.62999999999738</v>
      </c>
      <c r="AI26" s="254">
        <f>'22'!$G$120</f>
        <v>433.55999999999767</v>
      </c>
      <c r="AJ26" s="254">
        <f>'22'!$G$121</f>
        <v>471.59999999999854</v>
      </c>
      <c r="AK26" s="254">
        <f>'22'!$G$122</f>
        <v>295.31999999999971</v>
      </c>
      <c r="AL26" s="254">
        <f>'22'!$G$123</f>
        <v>312.40999999999985</v>
      </c>
      <c r="AM26" s="254">
        <f>'22'!$G$133</f>
        <v>605.13999999998487</v>
      </c>
      <c r="AN26" s="254">
        <f>'22'!$G$15</f>
        <v>974.61000000010245</v>
      </c>
      <c r="AO26" s="256">
        <f>'22'!$G$74</f>
        <v>299.88000000000466</v>
      </c>
      <c r="AP26" s="256">
        <f>'22'!$G$75</f>
        <v>0</v>
      </c>
      <c r="AQ26" s="256">
        <f>'22'!$G$76</f>
        <v>97.869999999995343</v>
      </c>
      <c r="AR26" s="256">
        <f>'22'!$G$77</f>
        <v>34.799999999995634</v>
      </c>
      <c r="AS26" s="256">
        <f>'22'!$G$78</f>
        <v>0</v>
      </c>
      <c r="AT26" s="256">
        <f t="shared" si="0"/>
        <v>542.06000000010681</v>
      </c>
      <c r="AU26" s="254">
        <f>SUM('22'!G91:G92)</f>
        <v>10.319999999999709</v>
      </c>
      <c r="AV26" s="254">
        <f>'22'!$G$88</f>
        <v>0.18999999999869033</v>
      </c>
      <c r="AW26" s="254">
        <f>'22'!$G$89</f>
        <v>8.9799999999995634</v>
      </c>
      <c r="AX26" s="254">
        <f>'22'!$G$90</f>
        <v>9.6499999999941792</v>
      </c>
      <c r="AY26" s="252">
        <f t="shared" si="1"/>
        <v>18.819999999992433</v>
      </c>
      <c r="AZ26" s="311">
        <f t="shared" si="6"/>
        <v>29.05813953488499</v>
      </c>
      <c r="BA26" s="311">
        <f t="shared" si="3"/>
        <v>28.802337938380699</v>
      </c>
      <c r="BB26" s="351">
        <f t="shared" si="4"/>
        <v>5593.2799999999916</v>
      </c>
      <c r="BC26" s="351">
        <f t="shared" si="5"/>
        <v>20.230631397033623</v>
      </c>
    </row>
    <row r="27" spans="1:55">
      <c r="A27" s="359">
        <v>23</v>
      </c>
      <c r="B27" s="511">
        <f>'23'!G7</f>
        <v>27010.539999999979</v>
      </c>
      <c r="C27" s="511">
        <f>'23'!G8</f>
        <v>27477.640000000014</v>
      </c>
      <c r="D27" s="511">
        <f>'23'!G15</f>
        <v>974.46999999997206</v>
      </c>
      <c r="E27" s="511">
        <f>'23'!G20</f>
        <v>182</v>
      </c>
      <c r="F27" s="511">
        <f>SUM('23'!G35,'23'!G49)</f>
        <v>3675.1599999999744</v>
      </c>
      <c r="G27" s="511">
        <f>SUM('23'!G37,'23'!G51)</f>
        <v>1637.1100000000442</v>
      </c>
      <c r="H27" s="511">
        <f>SUM('23'!G38,'23'!G52)</f>
        <v>2279.8400000000256</v>
      </c>
      <c r="I27" s="511">
        <f>SUM('23'!G39,'23'!G53)</f>
        <v>3028.1199999999953</v>
      </c>
      <c r="J27" s="511">
        <f>SUM('23'!G41,'23'!G42,'23'!G55,'23'!G56)</f>
        <v>7278.6699999999983</v>
      </c>
      <c r="K27" s="511">
        <f>SUM('23'!G43,'23'!G57)</f>
        <v>3016.6300000000047</v>
      </c>
      <c r="L27" s="254">
        <f>'23'!G50</f>
        <v>1188.2799999999988</v>
      </c>
      <c r="M27" s="254">
        <f>'23'!G36</f>
        <v>775.07999999998719</v>
      </c>
      <c r="N27" s="254">
        <f>'23'!G138</f>
        <v>135</v>
      </c>
      <c r="O27" s="254">
        <f>'23'!G139</f>
        <v>150</v>
      </c>
      <c r="P27" s="254">
        <f>'23'!$G$140</f>
        <v>16.970000000000027</v>
      </c>
      <c r="Q27" s="254">
        <f>'23'!$G$141</f>
        <v>217.30000000000291</v>
      </c>
      <c r="R27" s="254">
        <f>'23'!$G$142</f>
        <v>93.400000000001455</v>
      </c>
      <c r="S27" s="254">
        <f>'23'!$G$145</f>
        <v>0.31000000000040018</v>
      </c>
      <c r="T27" s="251">
        <f>'23'!$G$146</f>
        <v>72</v>
      </c>
      <c r="U27" s="251">
        <f>'23'!$G$144</f>
        <v>231</v>
      </c>
      <c r="V27" s="251">
        <f>'23'!$G$147</f>
        <v>364.11999999999534</v>
      </c>
      <c r="W27" s="251">
        <f>'23'!$G$148</f>
        <v>307.04000000003725</v>
      </c>
      <c r="X27" s="251">
        <f>'23'!$G$143</f>
        <v>28.530000000000655</v>
      </c>
      <c r="Y27" s="251">
        <f>'23'!$G$58</f>
        <v>295.88999999999942</v>
      </c>
      <c r="Z27" s="251">
        <f>'23'!$G$151</f>
        <v>243</v>
      </c>
      <c r="AA27" s="251">
        <f>'23'!$G$161</f>
        <v>194.52000000001863</v>
      </c>
      <c r="AB27" s="251">
        <f>'23'!G162</f>
        <v>46.899999999994179</v>
      </c>
      <c r="AC27" s="251">
        <f>'23'!G88</f>
        <v>0</v>
      </c>
      <c r="AD27" s="251">
        <f>'23'!G163+'23'!G164</f>
        <v>192.20000000000005</v>
      </c>
      <c r="AE27" s="254">
        <f>'23'!$G$116</f>
        <v>398.77000000000407</v>
      </c>
      <c r="AF27" s="254">
        <f>'23'!$G$117</f>
        <v>305.02000000000044</v>
      </c>
      <c r="AG27" s="254">
        <f>'23'!$G$118</f>
        <v>667.38999999999942</v>
      </c>
      <c r="AH27" s="254">
        <f>'23'!$G$119</f>
        <v>272.88000000000102</v>
      </c>
      <c r="AI27" s="254">
        <f>'23'!$G$120</f>
        <v>436.11000000000058</v>
      </c>
      <c r="AJ27" s="254">
        <f>'23'!$G$121</f>
        <v>465.19000000000233</v>
      </c>
      <c r="AK27" s="254">
        <f>'23'!$G$122</f>
        <v>275.61999999999898</v>
      </c>
      <c r="AL27" s="254">
        <f>'23'!$G$123</f>
        <v>313.44999999999709</v>
      </c>
      <c r="AM27" s="254">
        <f>'23'!$G$133</f>
        <v>607.44000000000233</v>
      </c>
      <c r="AN27" s="254">
        <f>'23'!$G$15</f>
        <v>974.46999999997206</v>
      </c>
      <c r="AO27" s="256">
        <f>'23'!$G$74</f>
        <v>288.39000000001397</v>
      </c>
      <c r="AP27" s="256">
        <f>'23'!$G$75</f>
        <v>0</v>
      </c>
      <c r="AQ27" s="256">
        <f>'23'!$G$76</f>
        <v>96.269999999989523</v>
      </c>
      <c r="AR27" s="256">
        <f>'23'!$G$77</f>
        <v>37.600000000005821</v>
      </c>
      <c r="AS27" s="256">
        <f>'23'!$G$78</f>
        <v>0</v>
      </c>
      <c r="AT27" s="256">
        <f t="shared" si="0"/>
        <v>552.20999999996275</v>
      </c>
      <c r="AU27" s="254">
        <f>SUM('23'!G91:G92)</f>
        <v>10.039999999999964</v>
      </c>
      <c r="AV27" s="254">
        <f>'23'!$G$88</f>
        <v>0</v>
      </c>
      <c r="AW27" s="254">
        <f>'23'!$G$89</f>
        <v>9.6500000000014552</v>
      </c>
      <c r="AX27" s="254">
        <f>'23'!$G$90</f>
        <v>10.380000000004657</v>
      </c>
      <c r="AY27" s="252">
        <f t="shared" si="1"/>
        <v>20.030000000006112</v>
      </c>
      <c r="AZ27" s="311">
        <f t="shared" si="6"/>
        <v>28.724103585658867</v>
      </c>
      <c r="BA27" s="311">
        <f t="shared" si="3"/>
        <v>27.569146280568859</v>
      </c>
      <c r="BB27" s="351">
        <f t="shared" si="4"/>
        <v>6266.2199999999721</v>
      </c>
      <c r="BC27" s="351">
        <f t="shared" si="5"/>
        <v>23.199165955215914</v>
      </c>
    </row>
    <row r="28" spans="1:55" s="315" customFormat="1">
      <c r="A28" s="359">
        <v>24</v>
      </c>
      <c r="B28" s="511">
        <f>'24'!G7</f>
        <v>27507.160000000033</v>
      </c>
      <c r="C28" s="511">
        <f>'24'!G8</f>
        <v>27996.880000000005</v>
      </c>
      <c r="D28" s="511">
        <f>'24'!G15</f>
        <v>960.94999999995343</v>
      </c>
      <c r="E28" s="511">
        <f>'24'!G20</f>
        <v>233</v>
      </c>
      <c r="F28" s="511">
        <f>SUM('24'!G35,'24'!G49)</f>
        <v>3671.1600000000326</v>
      </c>
      <c r="G28" s="511">
        <f>SUM('24'!G37,'24'!G51)</f>
        <v>1628.0499999999884</v>
      </c>
      <c r="H28" s="511">
        <f>SUM('24'!G38,'24'!G52)</f>
        <v>2248.5199999999604</v>
      </c>
      <c r="I28" s="511">
        <f>SUM('24'!G39,'24'!G53)</f>
        <v>2993.4400000000023</v>
      </c>
      <c r="J28" s="511">
        <f>SUM('24'!G41,'24'!G42,'24'!G55,'24'!G56)</f>
        <v>8471.2600000000384</v>
      </c>
      <c r="K28" s="511">
        <f>SUM('24'!G43,'24'!G57)</f>
        <v>3230.1399999999994</v>
      </c>
      <c r="L28" s="254">
        <f>'24'!G50</f>
        <v>1022.7200000000012</v>
      </c>
      <c r="M28" s="251">
        <f>'24'!G36</f>
        <v>820.62000000002445</v>
      </c>
      <c r="N28" s="251">
        <f>'24'!G138</f>
        <v>130</v>
      </c>
      <c r="O28" s="251">
        <f>'24'!G139</f>
        <v>147</v>
      </c>
      <c r="P28" s="251">
        <f>'24'!$G$140</f>
        <v>15.57000000000005</v>
      </c>
      <c r="Q28" s="251">
        <f>'24'!$G$141</f>
        <v>199.11000000000058</v>
      </c>
      <c r="R28" s="251">
        <f>'24'!$G$142</f>
        <v>84.489999999997963</v>
      </c>
      <c r="S28" s="251">
        <f>'24'!$G$145</f>
        <v>0</v>
      </c>
      <c r="T28" s="251">
        <f>'24'!$G$146</f>
        <v>50</v>
      </c>
      <c r="U28" s="251">
        <f>'24'!$G$144</f>
        <v>231</v>
      </c>
      <c r="V28" s="251">
        <f>'24'!$G$147</f>
        <v>370.28000000002794</v>
      </c>
      <c r="W28" s="251">
        <f>'24'!$G$148</f>
        <v>262.88000000000466</v>
      </c>
      <c r="X28" s="251">
        <f>'24'!$G$143</f>
        <v>27.589999999999236</v>
      </c>
      <c r="Y28" s="251">
        <f>'24'!$G$58</f>
        <v>289.01000000000204</v>
      </c>
      <c r="Z28" s="251">
        <f>'24'!$G$151</f>
        <v>254</v>
      </c>
      <c r="AA28" s="251">
        <f>'24'!G161</f>
        <v>34</v>
      </c>
      <c r="AB28" s="251">
        <f>'24'!G162</f>
        <v>40.5</v>
      </c>
      <c r="AC28" s="251">
        <f>'24'!G88</f>
        <v>0</v>
      </c>
      <c r="AD28" s="251">
        <f>'24'!G163+'24'!G164</f>
        <v>152.29999999999995</v>
      </c>
      <c r="AE28" s="251">
        <f>'24'!$G$116</f>
        <v>395.34999999999854</v>
      </c>
      <c r="AF28" s="251">
        <f>'24'!$G$117</f>
        <v>297.57999999999811</v>
      </c>
      <c r="AG28" s="251">
        <f>'24'!$G$118</f>
        <v>636.59000000000378</v>
      </c>
      <c r="AH28" s="251">
        <f>'24'!$G$119</f>
        <v>251.40000000000146</v>
      </c>
      <c r="AI28" s="251">
        <f>'24'!$G$120</f>
        <v>454.68999999999869</v>
      </c>
      <c r="AJ28" s="251">
        <f>'24'!$G$121</f>
        <v>451.52999999999884</v>
      </c>
      <c r="AK28" s="251">
        <f>'24'!$G$122</f>
        <v>276.31999999999971</v>
      </c>
      <c r="AL28" s="251">
        <f>'24'!$G$123</f>
        <v>314.15000000000146</v>
      </c>
      <c r="AM28" s="251">
        <f>'24'!$G$133</f>
        <v>612.46000000002095</v>
      </c>
      <c r="AN28" s="251">
        <f>'24'!$G$15</f>
        <v>960.94999999995343</v>
      </c>
      <c r="AO28" s="256">
        <f>'24'!$G$74</f>
        <v>288.48999999999069</v>
      </c>
      <c r="AP28" s="256">
        <f>'24'!$G$75</f>
        <v>0</v>
      </c>
      <c r="AQ28" s="256">
        <f>'24'!$G$76</f>
        <v>81.880000000004657</v>
      </c>
      <c r="AR28" s="256">
        <f>'24'!$G$77</f>
        <v>42.899999999994179</v>
      </c>
      <c r="AS28" s="256">
        <f>'24'!$G$78</f>
        <v>0</v>
      </c>
      <c r="AT28" s="256">
        <f>AN28-SUM(AO28:AS28)</f>
        <v>547.67999999996391</v>
      </c>
      <c r="AU28" s="251">
        <f>SUM('24'!G91:G92)</f>
        <v>10.050000000000182</v>
      </c>
      <c r="AV28" s="251">
        <f>'24'!$G$88</f>
        <v>0</v>
      </c>
      <c r="AW28" s="251">
        <f>'24'!$G$89</f>
        <v>9.7599999999983993</v>
      </c>
      <c r="AX28" s="251">
        <f>'24'!$G$90</f>
        <v>10.599999999991269</v>
      </c>
      <c r="AY28" s="255">
        <f t="shared" si="1"/>
        <v>20.359999999989668</v>
      </c>
      <c r="AZ28" s="311">
        <f t="shared" si="6"/>
        <v>28.705472636814473</v>
      </c>
      <c r="BA28" s="311">
        <f t="shared" si="3"/>
        <v>26.899803536357656</v>
      </c>
      <c r="BB28" s="351">
        <f t="shared" si="4"/>
        <v>5465.2999999999811</v>
      </c>
      <c r="BC28" s="351">
        <f t="shared" si="5"/>
        <v>19.868645109127858</v>
      </c>
    </row>
    <row r="29" spans="1:55">
      <c r="A29" s="359">
        <v>25</v>
      </c>
      <c r="B29" s="511">
        <f>'25'!G7</f>
        <v>27558.609999999986</v>
      </c>
      <c r="C29" s="511">
        <f>'25'!G8</f>
        <v>28030.369999999995</v>
      </c>
      <c r="D29" s="511">
        <f>'25'!G15</f>
        <v>1006.8500000000931</v>
      </c>
      <c r="E29" s="511">
        <f>'25'!G20</f>
        <v>210</v>
      </c>
      <c r="F29" s="511">
        <f>SUM('25'!G35,'25'!G49)</f>
        <v>3607.7699999999604</v>
      </c>
      <c r="G29" s="511">
        <f>SUM('25'!G37,'25'!G51)</f>
        <v>1600.5999999999767</v>
      </c>
      <c r="H29" s="511">
        <f>SUM('25'!G38,'25'!G52)</f>
        <v>2187.640000000014</v>
      </c>
      <c r="I29" s="511">
        <f>SUM('25'!G39,'25'!G53)</f>
        <v>2960.1599999999744</v>
      </c>
      <c r="J29" s="511">
        <f>SUM('25'!G41,'25'!G42,'25'!G55,'25'!G56)</f>
        <v>7947.6399999998976</v>
      </c>
      <c r="K29" s="511">
        <f>SUM('25'!G43,'25'!G57)</f>
        <v>3334.1100000000006</v>
      </c>
      <c r="L29" s="254">
        <f>'25'!G50</f>
        <v>1015.5599999999977</v>
      </c>
      <c r="M29" s="254">
        <f>'25'!G36</f>
        <v>981.95999999999185</v>
      </c>
      <c r="N29" s="254">
        <f>'25'!G138</f>
        <v>125</v>
      </c>
      <c r="O29" s="254">
        <f>'25'!$G$139</f>
        <v>148</v>
      </c>
      <c r="P29" s="254">
        <f>'25'!$G$140</f>
        <v>17.25</v>
      </c>
      <c r="Q29" s="254">
        <f>'25'!$G$141</f>
        <v>190</v>
      </c>
      <c r="R29" s="254">
        <f>'25'!$G$142</f>
        <v>74.38300000000163</v>
      </c>
      <c r="S29" s="254">
        <f>'25'!$G$145</f>
        <v>0.75999999999930878</v>
      </c>
      <c r="T29" s="251">
        <f>'25'!$G$146</f>
        <v>42</v>
      </c>
      <c r="U29" s="251">
        <f>'25'!$G$144</f>
        <v>229</v>
      </c>
      <c r="V29" s="251">
        <f>'25'!$G$147</f>
        <v>393.19999999995343</v>
      </c>
      <c r="W29" s="251">
        <f>'25'!$G$148</f>
        <v>315.52000000001863</v>
      </c>
      <c r="X29" s="251">
        <f>'25'!$G$143</f>
        <v>26.800000000000182</v>
      </c>
      <c r="Y29" s="251">
        <f>'25'!$G$58</f>
        <v>272.66999999999825</v>
      </c>
      <c r="Z29" s="251">
        <f>'25'!$G$151</f>
        <v>274</v>
      </c>
      <c r="AA29" s="251">
        <f>'25'!G161</f>
        <v>2.6399999999557622</v>
      </c>
      <c r="AB29" s="251">
        <f>'25'!G162</f>
        <v>23.900000000008731</v>
      </c>
      <c r="AC29" s="251">
        <f>'25'!G88</f>
        <v>0</v>
      </c>
      <c r="AD29" s="251">
        <f>'25'!G163+'25'!G164</f>
        <v>178.10000000000014</v>
      </c>
      <c r="AE29" s="254">
        <f>'25'!$G$116</f>
        <v>436.62999999999738</v>
      </c>
      <c r="AF29" s="254">
        <f>'25'!$G$117</f>
        <v>277.22999999999956</v>
      </c>
      <c r="AG29" s="254">
        <f>'25'!$G$118</f>
        <v>654.0199999999968</v>
      </c>
      <c r="AH29" s="254">
        <f>'25'!$G$119</f>
        <v>244.22999999999956</v>
      </c>
      <c r="AI29" s="254">
        <f>'25'!$G$120</f>
        <v>443.14000000000306</v>
      </c>
      <c r="AJ29" s="254">
        <f>'25'!$G$121</f>
        <v>439.15000000000146</v>
      </c>
      <c r="AK29" s="254">
        <f>'25'!$G$122</f>
        <v>254.2400000000016</v>
      </c>
      <c r="AL29" s="254">
        <f>'25'!$G$123</f>
        <v>312.5</v>
      </c>
      <c r="AM29" s="254">
        <f>'25'!$G$133</f>
        <v>604.25999999998021</v>
      </c>
      <c r="AN29" s="254">
        <f>'25'!$G$15</f>
        <v>1006.8500000000931</v>
      </c>
      <c r="AO29" s="256">
        <f>'25'!$G$74</f>
        <v>282.31999999994878</v>
      </c>
      <c r="AP29" s="256">
        <f>'25'!$G$75</f>
        <v>0</v>
      </c>
      <c r="AQ29" s="256">
        <f>'25'!$G$76</f>
        <v>92.350000000005821</v>
      </c>
      <c r="AR29" s="256">
        <f>'25'!$G$77</f>
        <v>40.30000000000291</v>
      </c>
      <c r="AS29" s="256">
        <f>'25'!$G$78</f>
        <v>0</v>
      </c>
      <c r="AT29" s="256">
        <f t="shared" si="0"/>
        <v>591.88000000013562</v>
      </c>
      <c r="AU29" s="254">
        <f>SUM('25'!G91:G92)</f>
        <v>10.949999999999818</v>
      </c>
      <c r="AV29" s="254">
        <f>'25'!$G$88</f>
        <v>0</v>
      </c>
      <c r="AW29" s="254">
        <f>'25'!$G$89</f>
        <v>10.06000000000131</v>
      </c>
      <c r="AX29" s="254">
        <f>'25'!$G$90</f>
        <v>10.760000000009313</v>
      </c>
      <c r="AY29" s="252">
        <f t="shared" si="1"/>
        <v>20.820000000010623</v>
      </c>
      <c r="BA29" s="311">
        <f t="shared" si="3"/>
        <v>28.428434197878655</v>
      </c>
      <c r="BB29" s="351">
        <f t="shared" si="4"/>
        <v>6119.7800000001735</v>
      </c>
      <c r="BC29" s="351">
        <f t="shared" si="5"/>
        <v>22.206417522509938</v>
      </c>
    </row>
    <row r="30" spans="1:55">
      <c r="A30" s="359">
        <v>26</v>
      </c>
      <c r="B30" s="511">
        <f>'26'!G7</f>
        <v>26900.400000000023</v>
      </c>
      <c r="C30" s="511">
        <f>'26'!G8</f>
        <v>27370</v>
      </c>
      <c r="D30" s="511">
        <f>'26'!G15</f>
        <v>1100</v>
      </c>
      <c r="E30" s="511">
        <f>'26'!G20</f>
        <v>212</v>
      </c>
      <c r="F30" s="511">
        <f>SUM('26'!G35,'26'!G49)</f>
        <v>3670.0800000000163</v>
      </c>
      <c r="G30" s="511">
        <f>SUM('26'!G37,'26'!G51)</f>
        <v>1521.0599999999977</v>
      </c>
      <c r="H30" s="511">
        <f>SUM('26'!G38,'26'!G52)</f>
        <v>2136.8800000000047</v>
      </c>
      <c r="I30" s="511">
        <f>SUM('26'!G39,'26'!G53)</f>
        <v>3027.320000000007</v>
      </c>
      <c r="J30" s="511">
        <f>SUM('26'!G41,'26'!G42,'26'!G55,'26'!G56)</f>
        <v>8322.7800000000279</v>
      </c>
      <c r="K30" s="511">
        <f>SUM('26'!G43,'26'!G57)</f>
        <v>3246.9900000000052</v>
      </c>
      <c r="L30" s="254">
        <f>'26'!G50</f>
        <v>982.63999999998487</v>
      </c>
      <c r="M30" s="254">
        <f>'26'!G36</f>
        <v>727.57999999998719</v>
      </c>
      <c r="N30" s="254">
        <f>'26'!G138</f>
        <v>96</v>
      </c>
      <c r="O30" s="254">
        <f>'26'!$G$139</f>
        <v>142</v>
      </c>
      <c r="P30" s="254">
        <f>'26'!$G$140</f>
        <v>15.849999999999909</v>
      </c>
      <c r="Q30" s="254">
        <f>'26'!$G$141</f>
        <v>190.32000000000698</v>
      </c>
      <c r="R30" s="254">
        <f>'26'!$G$142</f>
        <v>73.676999999996042</v>
      </c>
      <c r="S30" s="254">
        <f>'26'!$G$145</f>
        <v>0.48000000000047294</v>
      </c>
      <c r="T30" s="251">
        <f>'26'!$G$146</f>
        <v>44</v>
      </c>
      <c r="U30" s="251">
        <f>'26'!$G$144</f>
        <v>235</v>
      </c>
      <c r="V30" s="251">
        <f>'26'!$G$147</f>
        <v>372.52000000001863</v>
      </c>
      <c r="W30" s="251">
        <f>'26'!$G$148</f>
        <v>306</v>
      </c>
      <c r="X30" s="251">
        <f>'26'!$G$143</f>
        <v>26.670000000000073</v>
      </c>
      <c r="Y30" s="251">
        <f>'26'!$G$58</f>
        <v>279.25</v>
      </c>
      <c r="Z30" s="251">
        <f>'26'!$G$151</f>
        <v>290</v>
      </c>
      <c r="AA30" s="251">
        <f>'26'!G161</f>
        <v>2.8000000000465661</v>
      </c>
      <c r="AB30" s="251">
        <f>'26'!G162</f>
        <v>36.599999999991269</v>
      </c>
      <c r="AC30" s="251">
        <f>'26'!G88</f>
        <v>0</v>
      </c>
      <c r="AD30" s="251">
        <f>'26'!G163+'26'!G164</f>
        <v>195.69999999999982</v>
      </c>
      <c r="AE30" s="254">
        <f>'26'!$G$116</f>
        <v>451.26000000000204</v>
      </c>
      <c r="AF30" s="254">
        <f>'26'!$G$117</f>
        <v>323.20000000000073</v>
      </c>
      <c r="AG30" s="254">
        <f>'26'!$G$118</f>
        <v>644.4800000000032</v>
      </c>
      <c r="AH30" s="254">
        <f>'26'!$G$119</f>
        <v>247.25</v>
      </c>
      <c r="AI30" s="254">
        <f>'26'!$G$120</f>
        <v>441.63999999999942</v>
      </c>
      <c r="AJ30" s="254">
        <f>'26'!$G$121</f>
        <v>443.55000000000291</v>
      </c>
      <c r="AK30" s="254">
        <f>'26'!$G$122</f>
        <v>252.86000000000058</v>
      </c>
      <c r="AL30" s="254">
        <f>'26'!$G$123</f>
        <v>314.15000000000146</v>
      </c>
      <c r="AM30" s="254">
        <f>'26'!$G$133</f>
        <v>610.77999999999884</v>
      </c>
      <c r="AN30" s="254">
        <f>'26'!$G$15</f>
        <v>1100</v>
      </c>
      <c r="AO30" s="256">
        <f>'26'!$G$74</f>
        <v>289.94000000006054</v>
      </c>
      <c r="AP30" s="256">
        <f>'26'!$G$75</f>
        <v>0</v>
      </c>
      <c r="AQ30" s="256">
        <f>'26'!$G$76</f>
        <v>107</v>
      </c>
      <c r="AR30" s="256">
        <f>'26'!$G$77</f>
        <v>37</v>
      </c>
      <c r="AS30" s="256">
        <f>'26'!$G$78</f>
        <v>0</v>
      </c>
      <c r="AT30" s="256">
        <f t="shared" si="0"/>
        <v>666.05999999993946</v>
      </c>
      <c r="AU30" s="254">
        <f>SUM('26'!G91:G92)</f>
        <v>8.7600000000002183</v>
      </c>
      <c r="AV30" s="254">
        <f>'26'!$G$88</f>
        <v>0</v>
      </c>
      <c r="AW30" s="254">
        <f>'26'!$G$89</f>
        <v>9.9799999999995634</v>
      </c>
      <c r="AX30" s="254">
        <f>'26'!$G$90</f>
        <v>2.8799999999901047</v>
      </c>
      <c r="AY30" s="252">
        <f t="shared" si="1"/>
        <v>12.859999999989668</v>
      </c>
      <c r="BA30" s="311">
        <f t="shared" si="3"/>
        <v>51.793157076242188</v>
      </c>
      <c r="BB30" s="351">
        <f t="shared" si="4"/>
        <v>5165.6399999999412</v>
      </c>
      <c r="BC30" s="351">
        <f t="shared" si="5"/>
        <v>19.202837132533109</v>
      </c>
    </row>
    <row r="31" spans="1:55">
      <c r="A31" s="359">
        <v>27</v>
      </c>
      <c r="B31" s="511">
        <f>'27'!G7</f>
        <v>26119.5</v>
      </c>
      <c r="C31" s="511">
        <f>'27'!G8</f>
        <v>26539.699999999953</v>
      </c>
      <c r="D31" s="511">
        <f>'27'!G15</f>
        <v>847.95999999996275</v>
      </c>
      <c r="E31" s="511">
        <f>'27'!G20</f>
        <v>208</v>
      </c>
      <c r="F31" s="511">
        <f>SUM('27'!G35,'27'!G49)</f>
        <v>3533.5599999999977</v>
      </c>
      <c r="G31" s="511">
        <f>SUM('27'!G37,'27'!G51)</f>
        <v>1542.640000000014</v>
      </c>
      <c r="H31" s="511">
        <f>SUM('27'!G38,'27'!G52)</f>
        <v>2060.9199999999837</v>
      </c>
      <c r="I31" s="511">
        <f>SUM('27'!G39,'27'!G53)</f>
        <v>2936.4799999999814</v>
      </c>
      <c r="J31" s="511">
        <f>SUM('27'!G41,'27'!G42,'27'!G55,'27'!G56)</f>
        <v>7334.7300000000396</v>
      </c>
      <c r="K31" s="511">
        <f>SUM('27'!G43,'27'!G57)</f>
        <v>3128.2699999999895</v>
      </c>
      <c r="L31" s="254">
        <f>'27'!G50</f>
        <v>977.12000000002445</v>
      </c>
      <c r="M31" s="254">
        <f>'27'!G36</f>
        <v>658.64000000001397</v>
      </c>
      <c r="N31" s="254">
        <f>'27'!G138</f>
        <v>93</v>
      </c>
      <c r="O31" s="254">
        <f>'27'!$G$139</f>
        <v>138</v>
      </c>
      <c r="P31" s="254">
        <f>'27'!$G$140</f>
        <v>14.970000000000027</v>
      </c>
      <c r="Q31" s="254">
        <f>'27'!$G$141</f>
        <v>188.43999999998778</v>
      </c>
      <c r="R31" s="254">
        <f>'27'!$G$142</f>
        <v>72.580000000001746</v>
      </c>
      <c r="S31" s="254">
        <f>'27'!$G$145</f>
        <v>0</v>
      </c>
      <c r="T31" s="251">
        <f>'27'!$G$146</f>
        <v>38</v>
      </c>
      <c r="U31" s="251">
        <f>'27'!$G$144</f>
        <v>234</v>
      </c>
      <c r="V31" s="251">
        <f>'27'!$G$147</f>
        <v>370</v>
      </c>
      <c r="W31" s="251">
        <f>'27'!$G$148</f>
        <v>217.52000000001863</v>
      </c>
      <c r="X31" s="251">
        <f>'27'!$G$143</f>
        <v>27.980000000000473</v>
      </c>
      <c r="Y31" s="251">
        <f>'27'!$G$58</f>
        <v>288.4800000000032</v>
      </c>
      <c r="Z31" s="251">
        <f>'27'!$G$151</f>
        <v>256</v>
      </c>
      <c r="AA31" s="251">
        <f>'27'!G161</f>
        <v>7.5999999999767169</v>
      </c>
      <c r="AB31" s="251">
        <f>'27'!G162</f>
        <v>27.100000000005821</v>
      </c>
      <c r="AC31" s="251">
        <f>'27'!G88</f>
        <v>0</v>
      </c>
      <c r="AD31" s="251">
        <f>'27'!G163+'27'!G164</f>
        <v>175.70000000000073</v>
      </c>
      <c r="AE31" s="254">
        <f>'27'!$G$116</f>
        <v>370.37999999999738</v>
      </c>
      <c r="AF31" s="254">
        <f>'27'!$G$117</f>
        <v>288.40999999999985</v>
      </c>
      <c r="AG31" s="254">
        <f>'27'!$G$118</f>
        <v>654.30999999999767</v>
      </c>
      <c r="AH31" s="254">
        <f>'27'!$G$119</f>
        <v>234.45999999999913</v>
      </c>
      <c r="AI31" s="254">
        <f>'27'!$G$120</f>
        <v>435.77999999999884</v>
      </c>
      <c r="AJ31" s="254">
        <f>'27'!$G$121</f>
        <v>456.36999999999534</v>
      </c>
      <c r="AK31" s="254">
        <f>'27'!$G$122</f>
        <v>289.73999999999796</v>
      </c>
      <c r="AL31" s="254">
        <f>'27'!$G$123</f>
        <v>309.72999999999956</v>
      </c>
      <c r="AM31" s="254">
        <f>'27'!$G$133</f>
        <v>602.26000000000931</v>
      </c>
      <c r="AN31" s="254">
        <f>'27'!$G$15</f>
        <v>847.95999999996275</v>
      </c>
      <c r="AO31" s="254">
        <f>'27'!$G$74</f>
        <v>285.04000000003725</v>
      </c>
      <c r="AP31" s="254">
        <f>'27'!$G$75</f>
        <v>-0.80000000000291038</v>
      </c>
      <c r="AQ31" s="254">
        <f>'27'!$G$76</f>
        <v>85</v>
      </c>
      <c r="AR31" s="254">
        <f>'27'!$G$77</f>
        <v>42</v>
      </c>
      <c r="AS31" s="254">
        <f>'27'!$G$78</f>
        <v>-1</v>
      </c>
      <c r="AT31" s="254">
        <f t="shared" si="0"/>
        <v>437.7199999999284</v>
      </c>
      <c r="AU31" s="254">
        <f>SUM('27'!G91:G92)</f>
        <v>9.7399999999997817</v>
      </c>
      <c r="AV31" s="254">
        <f>'27'!$G$88</f>
        <v>0</v>
      </c>
      <c r="AW31" s="254">
        <f>'27'!$G$89</f>
        <v>9.1699999999982538</v>
      </c>
      <c r="AX31" s="254">
        <f>'27'!$G$90</f>
        <v>10.889999999999418</v>
      </c>
      <c r="AY31" s="252">
        <f t="shared" si="1"/>
        <v>20.059999999997672</v>
      </c>
      <c r="BA31" s="311">
        <f t="shared" si="3"/>
        <v>21.820538384844426</v>
      </c>
      <c r="BB31" s="351">
        <f t="shared" si="4"/>
        <v>5714.6199999999444</v>
      </c>
      <c r="BC31" s="351">
        <f t="shared" si="5"/>
        <v>21.878749593215584</v>
      </c>
    </row>
    <row r="32" spans="1:55">
      <c r="A32" s="359">
        <v>28</v>
      </c>
      <c r="B32" s="511">
        <f>'28'!G7</f>
        <v>27825.049999999988</v>
      </c>
      <c r="C32" s="511">
        <f>'28'!G8</f>
        <v>28321.690000000061</v>
      </c>
      <c r="D32" s="511">
        <f>'28'!G15</f>
        <v>982.03000000002794</v>
      </c>
      <c r="E32" s="511">
        <f>'28'!G20</f>
        <v>188</v>
      </c>
      <c r="F32" s="511">
        <f>SUM('28'!G35,'28'!G49)</f>
        <v>3748.1599999999744</v>
      </c>
      <c r="G32" s="511">
        <f>SUM('28'!G37,'28'!G51)</f>
        <v>1587.2199999999721</v>
      </c>
      <c r="H32" s="511">
        <f>SUM('28'!G38,'28'!G52)</f>
        <v>2172.4400000000023</v>
      </c>
      <c r="I32" s="511">
        <f>SUM('28'!G39,'28'!G53)</f>
        <v>2949.1199999999953</v>
      </c>
      <c r="J32" s="511">
        <f>SUM('28'!G41,'28'!G42,'28'!G55,'28'!G56)</f>
        <v>8796.6900000000023</v>
      </c>
      <c r="K32" s="511">
        <f>SUM('28'!G43,'28'!G57)</f>
        <v>3156.9099999999744</v>
      </c>
      <c r="L32" s="254">
        <f>'28'!G50</f>
        <v>1071.8799999999756</v>
      </c>
      <c r="M32" s="254">
        <f>'28'!G36</f>
        <v>890.66000000000349</v>
      </c>
      <c r="N32" s="254">
        <f>'28'!G138</f>
        <v>81</v>
      </c>
      <c r="O32" s="254">
        <f>'28'!$G$139</f>
        <v>126</v>
      </c>
      <c r="P32" s="254">
        <f>'28'!$G$140</f>
        <v>9.2300000000000182</v>
      </c>
      <c r="Q32" s="254">
        <f>'28'!$G$141</f>
        <v>208.02999999999884</v>
      </c>
      <c r="R32" s="254">
        <f>'28'!$G$142</f>
        <v>86.760000000002037</v>
      </c>
      <c r="S32" s="254">
        <f>'28'!$G$145</f>
        <v>0</v>
      </c>
      <c r="T32" s="251">
        <f>'28'!$G$146</f>
        <v>45</v>
      </c>
      <c r="U32" s="251">
        <f>'28'!$G$144</f>
        <v>246</v>
      </c>
      <c r="V32" s="251">
        <f>'28'!$G$147</f>
        <v>512.28000000002794</v>
      </c>
      <c r="W32" s="251">
        <f>'28'!$G$148</f>
        <v>367.51999999990221</v>
      </c>
      <c r="X32" s="251">
        <f>'28'!$G$143</f>
        <v>32.25</v>
      </c>
      <c r="Y32" s="251">
        <f>'28'!$G$58</f>
        <v>284.02999999999884</v>
      </c>
      <c r="Z32" s="251">
        <f>'28'!$G$151</f>
        <v>280</v>
      </c>
      <c r="AA32" s="251">
        <f>'28'!G161</f>
        <v>5.4400000000023283</v>
      </c>
      <c r="AB32" s="251">
        <f>'28'!G162</f>
        <v>43.600000000005821</v>
      </c>
      <c r="AC32" s="251">
        <f>'28'!G88</f>
        <v>0.26000000000203727</v>
      </c>
      <c r="AD32" s="251">
        <f>'28'!G163+'28'!G164</f>
        <v>160.99999999999977</v>
      </c>
      <c r="AE32" s="254">
        <f>'28'!$G$116</f>
        <v>396.42000000000553</v>
      </c>
      <c r="AF32" s="254">
        <f>'28'!$G$117</f>
        <v>296.52999999999884</v>
      </c>
      <c r="AG32" s="254">
        <f>'28'!$G$118</f>
        <v>635.38999999999942</v>
      </c>
      <c r="AH32" s="254">
        <f>'28'!$G$119</f>
        <v>248.0099999999984</v>
      </c>
      <c r="AI32" s="254">
        <f>'28'!$G$120</f>
        <v>420.65000000000146</v>
      </c>
      <c r="AJ32" s="254">
        <f>'28'!$G$121</f>
        <v>422.52999999999884</v>
      </c>
      <c r="AK32" s="254">
        <f>'28'!$G$122</f>
        <v>284.63000000000102</v>
      </c>
      <c r="AL32" s="254">
        <f>'28'!$G$123</f>
        <v>315.29999999999927</v>
      </c>
      <c r="AM32" s="254">
        <f>'28'!$G$133</f>
        <v>612.45999999999185</v>
      </c>
      <c r="AN32" s="254">
        <f>'28'!$G$15</f>
        <v>982.03000000002794</v>
      </c>
      <c r="AO32" s="254">
        <f>'28'!$G$74</f>
        <v>283.76999999990221</v>
      </c>
      <c r="AP32" s="254">
        <f>'28'!$G$75</f>
        <v>0</v>
      </c>
      <c r="AQ32" s="254">
        <f>'28'!$G$76</f>
        <v>98.329999999987194</v>
      </c>
      <c r="AR32" s="254">
        <f>'28'!$G$77</f>
        <v>42.80000000000291</v>
      </c>
      <c r="AS32" s="254">
        <f>'28'!$G$78</f>
        <v>0</v>
      </c>
      <c r="AT32" s="254">
        <f t="shared" si="0"/>
        <v>557.13000000013562</v>
      </c>
      <c r="AU32" s="254">
        <f>SUM('28'!G91:G92)</f>
        <v>10.329999999999927</v>
      </c>
      <c r="AV32" s="254">
        <f>'28'!$G$88</f>
        <v>0.26000000000203727</v>
      </c>
      <c r="AW32" s="254">
        <f>'28'!$G$89</f>
        <v>9.25</v>
      </c>
      <c r="AX32" s="254">
        <f>'28'!$G$90</f>
        <v>10.630000000004657</v>
      </c>
      <c r="AY32" s="252">
        <f t="shared" si="1"/>
        <v>20.140000000006694</v>
      </c>
      <c r="BA32" s="311">
        <f t="shared" si="3"/>
        <v>27.662859980136567</v>
      </c>
      <c r="BB32" s="351">
        <f t="shared" si="4"/>
        <v>5627.1200000001409</v>
      </c>
      <c r="BC32" s="351">
        <f t="shared" si="5"/>
        <v>20.22321613078914</v>
      </c>
    </row>
    <row r="33" spans="1:55">
      <c r="A33" s="359">
        <v>29</v>
      </c>
      <c r="B33" s="511">
        <f>'29'!G7</f>
        <v>28300</v>
      </c>
      <c r="C33" s="511">
        <f>'29'!G8</f>
        <v>28500</v>
      </c>
      <c r="D33" s="511">
        <f>'29'!G15</f>
        <v>1100</v>
      </c>
      <c r="E33" s="511">
        <f>'29'!G20</f>
        <v>-433</v>
      </c>
      <c r="F33" s="511">
        <f>SUM('29'!G35,'29'!G49)</f>
        <v>-111662.39999999997</v>
      </c>
      <c r="G33" s="511">
        <f>SUM('29'!G37,'29'!G51)</f>
        <v>-50958.469999999972</v>
      </c>
      <c r="H33" s="511">
        <f>SUM('29'!G38,'29'!G52)</f>
        <v>-70561.789999999979</v>
      </c>
      <c r="I33" s="511">
        <f>SUM('29'!G39,'29'!G53)</f>
        <v>-91400.789999999979</v>
      </c>
      <c r="J33" s="511">
        <f>SUM('29'!G41,'29'!G42,'29'!G55,'29'!G56)</f>
        <v>-267765.74</v>
      </c>
      <c r="K33" s="511">
        <f>SUM('29'!G43,'29'!G57)</f>
        <v>-95136.39</v>
      </c>
      <c r="L33" s="254">
        <f>'29'!G50</f>
        <v>-33221.109999999986</v>
      </c>
      <c r="M33" s="254">
        <f>'29'!G36</f>
        <v>-26275.790000000008</v>
      </c>
      <c r="N33" s="254">
        <f>'29'!G138</f>
        <v>-876670.6</v>
      </c>
      <c r="O33" s="254">
        <f>'29'!$G$139</f>
        <v>-4542</v>
      </c>
      <c r="P33" s="254">
        <f>'29'!$G$140</f>
        <v>-461.65</v>
      </c>
      <c r="Q33" s="254">
        <f>'29'!$G$141</f>
        <v>-6125.3799999999901</v>
      </c>
      <c r="R33" s="254">
        <f>'29'!$G$142</f>
        <v>-3977.2400000000016</v>
      </c>
      <c r="S33" s="254">
        <f>'29'!$G$145</f>
        <v>-2.6400000000003274</v>
      </c>
      <c r="T33" s="254">
        <f>'29'!$G$146</f>
        <v>-1439</v>
      </c>
      <c r="U33" s="254">
        <f>'29'!$G$144</f>
        <v>-7240</v>
      </c>
      <c r="V33" s="254">
        <f>'29'!$G$147</f>
        <v>-11723.840000000084</v>
      </c>
      <c r="W33" s="254">
        <f>'29'!$G$148</f>
        <v>-9203.0399999999208</v>
      </c>
      <c r="X33" s="254">
        <f>'29'!$G$143</f>
        <v>-853.60000000000036</v>
      </c>
      <c r="Y33" s="254">
        <f>'29'!$G$58</f>
        <v>-7572.5600000000013</v>
      </c>
      <c r="Z33" s="254">
        <f>'29'!$G$151</f>
        <v>-8458</v>
      </c>
      <c r="AA33" s="254">
        <f>'29'!G161</f>
        <v>-2159.2800000000279</v>
      </c>
      <c r="AB33" s="254">
        <f>'29'!G162</f>
        <v>-1076.3000000000029</v>
      </c>
      <c r="AC33" s="254">
        <f>'29'!G88</f>
        <v>-59.040000000000873</v>
      </c>
      <c r="AD33" s="254">
        <f>'29'!G163+'29'!G164</f>
        <v>94729.8</v>
      </c>
      <c r="AE33" s="254">
        <f>'29'!$G$116</f>
        <v>-12170</v>
      </c>
      <c r="AF33" s="254">
        <f>'29'!$G$117</f>
        <v>-7576.34</v>
      </c>
      <c r="AG33" s="254">
        <f>'29'!$G$118</f>
        <v>-18540.89</v>
      </c>
      <c r="AH33" s="254">
        <f>'29'!$G$119</f>
        <v>-11683.609999999997</v>
      </c>
      <c r="AI33" s="254">
        <f>'29'!$G$120</f>
        <v>-13024.73</v>
      </c>
      <c r="AJ33" s="254">
        <f>'29'!$G$121</f>
        <v>-13786.529999999999</v>
      </c>
      <c r="AK33" s="254">
        <f>'29'!$G$122</f>
        <v>-8779.0499999999993</v>
      </c>
      <c r="AL33" s="254">
        <f>'29'!$G$123</f>
        <v>-9840.09</v>
      </c>
      <c r="AM33" s="254">
        <f>'29'!$G$133</f>
        <v>-22330.709999999992</v>
      </c>
      <c r="AN33" s="254">
        <f>'29'!$G$15</f>
        <v>1100</v>
      </c>
      <c r="AO33" s="254">
        <f>'29'!$G$74</f>
        <v>-9124.4499999999534</v>
      </c>
      <c r="AP33" s="254">
        <f>'29'!$G$75</f>
        <v>0.80000000000291038</v>
      </c>
      <c r="AQ33" s="254">
        <f>'29'!$G$76</f>
        <v>-3201.8399999999965</v>
      </c>
      <c r="AR33" s="254">
        <f>'29'!$G$77</f>
        <v>-1378.8000000000029</v>
      </c>
      <c r="AS33" s="254">
        <f>'29'!$G$78</f>
        <v>0</v>
      </c>
      <c r="AT33" s="254">
        <f t="shared" si="0"/>
        <v>14804.28999999995</v>
      </c>
      <c r="AU33" s="254">
        <f>SUM('29'!G91:G92)</f>
        <v>-316.98999999999978</v>
      </c>
      <c r="AV33" s="254">
        <f>'29'!$G$88</f>
        <v>-59.040000000000873</v>
      </c>
      <c r="AW33" s="254">
        <f>'29'!$G$89</f>
        <v>-301.34999999999854</v>
      </c>
      <c r="AX33" s="254">
        <f>'29'!$G$90</f>
        <v>-189.86000000000058</v>
      </c>
      <c r="AY33" s="252">
        <f t="shared" si="1"/>
        <v>-550.25</v>
      </c>
      <c r="BA33" s="311">
        <f t="shared" si="3"/>
        <v>-26.904661517491959</v>
      </c>
      <c r="BB33" s="351">
        <f t="shared" si="4"/>
        <v>723558.14</v>
      </c>
      <c r="BC33" s="351">
        <f t="shared" si="5"/>
        <v>2556.7425441696114</v>
      </c>
    </row>
    <row r="34" spans="1:55" s="313" customFormat="1">
      <c r="A34" s="359">
        <v>30</v>
      </c>
      <c r="B34" s="511">
        <f>'30'!G7</f>
        <v>28299.999999999942</v>
      </c>
      <c r="C34" s="511">
        <f>'30'!G8</f>
        <v>28500</v>
      </c>
      <c r="D34" s="511">
        <f>'30'!G15</f>
        <v>1100</v>
      </c>
      <c r="E34" s="511">
        <f>'30'!G20</f>
        <v>285</v>
      </c>
      <c r="F34" s="511">
        <f>SUM('30'!G35,'30'!G49)</f>
        <v>4146</v>
      </c>
      <c r="G34" s="511">
        <f>SUM('30'!G37,'30'!G51)</f>
        <v>1640.68</v>
      </c>
      <c r="H34" s="511">
        <f>SUM('30'!G38,'30'!G52)</f>
        <v>2258</v>
      </c>
      <c r="I34" s="511">
        <f>SUM('30'!G39,'30'!G53)</f>
        <v>2936</v>
      </c>
      <c r="J34" s="511">
        <f>SUM('30'!G41,'30'!G42,'30'!G55,'30'!G56)</f>
        <v>8492</v>
      </c>
      <c r="K34" s="511">
        <f>SUM('30'!G43,'30'!G57)</f>
        <v>2519.0499999999993</v>
      </c>
      <c r="L34" s="251">
        <f>'30'!G50</f>
        <v>1233</v>
      </c>
      <c r="M34" s="251">
        <f>'30'!G36</f>
        <v>925</v>
      </c>
      <c r="N34" s="251">
        <f>'30'!G138</f>
        <v>125.60000000000036</v>
      </c>
      <c r="O34" s="251">
        <f>'30'!$G$139</f>
        <v>157</v>
      </c>
      <c r="P34" s="251">
        <f>'30'!$G$140</f>
        <v>9.6499999999999773</v>
      </c>
      <c r="Q34" s="251">
        <f>'30'!$G$141</f>
        <v>199.19999999999709</v>
      </c>
      <c r="R34" s="251">
        <f>'30'!$G$142</f>
        <v>129.20000000000073</v>
      </c>
      <c r="S34" s="251">
        <f>'30'!$G$145</f>
        <v>9.0000000000145519E-2</v>
      </c>
      <c r="T34" s="251">
        <f>'30'!$G$146</f>
        <v>37</v>
      </c>
      <c r="U34" s="251">
        <f>'30'!$G$144</f>
        <v>240</v>
      </c>
      <c r="V34" s="251">
        <f>'30'!$G$147</f>
        <v>390.56000000005588</v>
      </c>
      <c r="W34" s="251">
        <f>'30'!$G$148</f>
        <v>306.95999999996275</v>
      </c>
      <c r="X34" s="251">
        <f>'30'!$G$143</f>
        <v>24.170000000000073</v>
      </c>
      <c r="Y34" s="251">
        <f>'30'!$G$58</f>
        <v>251.78000000000247</v>
      </c>
      <c r="Z34" s="251">
        <f>'30'!$G$151</f>
        <v>260</v>
      </c>
      <c r="AA34" s="251">
        <f>'30'!G161</f>
        <v>0</v>
      </c>
      <c r="AB34" s="251">
        <f>'30'!G162</f>
        <v>44.19999999999709</v>
      </c>
      <c r="AC34" s="251">
        <f>'30'!G88</f>
        <v>0</v>
      </c>
      <c r="AD34" s="251">
        <f>'30'!G163+'30'!G164</f>
        <v>197.50000000000546</v>
      </c>
      <c r="AE34" s="251">
        <f>'30'!$G$116</f>
        <v>392.19999999999709</v>
      </c>
      <c r="AF34" s="251">
        <f>'30'!$G$117</f>
        <v>226.40000000000146</v>
      </c>
      <c r="AG34" s="251">
        <f>'30'!$G$118</f>
        <v>547.90000000000146</v>
      </c>
      <c r="AH34" s="251">
        <f>'30'!$G$119</f>
        <v>381.59999999999854</v>
      </c>
      <c r="AI34" s="251">
        <f>'30'!$G$120</f>
        <v>408.59999999999854</v>
      </c>
      <c r="AJ34" s="251">
        <f>'30'!$G$121</f>
        <v>460.40000000000146</v>
      </c>
      <c r="AK34" s="251">
        <f>'30'!$G$122</f>
        <v>271.29999999999927</v>
      </c>
      <c r="AL34" s="251">
        <f>'30'!$G$123</f>
        <v>294.09000000000015</v>
      </c>
      <c r="AM34" s="251">
        <f>'30'!$G$133</f>
        <v>830</v>
      </c>
      <c r="AN34" s="251">
        <f>'30'!$G$15</f>
        <v>1100</v>
      </c>
      <c r="AO34" s="251">
        <f>'30'!$G$74</f>
        <v>329</v>
      </c>
      <c r="AP34" s="251">
        <f>'30'!$G$75</f>
        <v>0</v>
      </c>
      <c r="AQ34" s="251">
        <f>'30'!$G$76</f>
        <v>108.51000000000931</v>
      </c>
      <c r="AR34" s="251">
        <f>'30'!$G$77</f>
        <v>48</v>
      </c>
      <c r="AS34" s="251">
        <f>'30'!$G$78</f>
        <v>0.3999999999996362</v>
      </c>
      <c r="AT34" s="251">
        <f t="shared" si="0"/>
        <v>614.08999999999105</v>
      </c>
      <c r="AU34" s="251">
        <f>SUM('30'!G91:G92)</f>
        <v>10.909999999999854</v>
      </c>
      <c r="AV34" s="251">
        <f>'30'!$G$88</f>
        <v>0</v>
      </c>
      <c r="AW34" s="251">
        <f>'30'!$G$89</f>
        <v>9.569999999999709</v>
      </c>
      <c r="AX34" s="251">
        <f>'30'!$G$90</f>
        <v>10.669999999998254</v>
      </c>
      <c r="AY34" s="255">
        <f t="shared" si="1"/>
        <v>20.239999999997963</v>
      </c>
      <c r="BA34" s="311">
        <f t="shared" si="3"/>
        <v>30.340415019765459</v>
      </c>
      <c r="BB34" s="351">
        <f t="shared" si="4"/>
        <v>6256.489999999998</v>
      </c>
      <c r="BC34" s="351">
        <f t="shared" si="5"/>
        <v>22.107738515901097</v>
      </c>
    </row>
    <row r="35" spans="1:55">
      <c r="A35" s="359">
        <v>31</v>
      </c>
      <c r="B35" s="511">
        <f>'31'!G7</f>
        <v>28300</v>
      </c>
      <c r="C35" s="511">
        <f>'31'!G8</f>
        <v>28500</v>
      </c>
      <c r="D35" s="511">
        <f>'31'!G15</f>
        <v>1100</v>
      </c>
      <c r="E35" s="511">
        <f>'31'!G20</f>
        <v>350</v>
      </c>
      <c r="F35" s="511">
        <f>SUM('31'!G35,'31'!G49)</f>
        <v>3730</v>
      </c>
      <c r="G35" s="511">
        <f>SUM('31'!G37,'31'!G51)</f>
        <v>1790</v>
      </c>
      <c r="H35" s="511">
        <f>SUM('31'!G38,'31'!G52)</f>
        <v>2284</v>
      </c>
      <c r="I35" s="511">
        <f>SUM('31'!G39,'31'!G53)</f>
        <v>3217</v>
      </c>
      <c r="J35" s="511">
        <f>SUM('31'!G41,'31'!G42,'31'!G55,'31'!G56)</f>
        <v>8088</v>
      </c>
      <c r="K35" s="511">
        <f>SUM('31'!G43,'31'!G57)</f>
        <v>2524</v>
      </c>
      <c r="L35" s="251">
        <f>'31'!G50</f>
        <v>933</v>
      </c>
      <c r="M35" s="251">
        <f>'31'!G36</f>
        <v>797</v>
      </c>
      <c r="N35" s="251">
        <f>'31'!G138</f>
        <v>112</v>
      </c>
      <c r="O35" s="251">
        <f>'31'!$G$139</f>
        <v>141</v>
      </c>
      <c r="P35" s="251">
        <f>'31'!$G$140</f>
        <v>12</v>
      </c>
      <c r="Q35" s="251">
        <f>'31'!$G$141</f>
        <v>190</v>
      </c>
      <c r="R35" s="251">
        <f>'31'!$G$142</f>
        <v>138</v>
      </c>
      <c r="S35" s="251">
        <f>'31'!$G$145</f>
        <v>0</v>
      </c>
      <c r="T35" s="251">
        <f>'31'!$G$146</f>
        <v>36</v>
      </c>
      <c r="U35" s="251">
        <f>'31'!$G$144</f>
        <v>252</v>
      </c>
      <c r="V35" s="251">
        <f>'31'!$G$147</f>
        <v>374</v>
      </c>
      <c r="W35" s="251">
        <f>'31'!$G$148</f>
        <v>293</v>
      </c>
      <c r="X35" s="251">
        <f>'31'!$G$143</f>
        <v>31</v>
      </c>
      <c r="Y35" s="251">
        <f>'31'!$G$58</f>
        <v>256.91999999999825</v>
      </c>
      <c r="Z35" s="251">
        <f>'31'!$G$151</f>
        <v>288</v>
      </c>
      <c r="AA35" s="251">
        <f>'31'!G161</f>
        <v>3.2800000000279397</v>
      </c>
      <c r="AB35" s="251">
        <f>'31'!G162</f>
        <v>42</v>
      </c>
      <c r="AC35" s="251">
        <f>'31'!G89</f>
        <v>11.389999999999418</v>
      </c>
      <c r="AD35" s="251">
        <f>'31'!G163+'31'!G164</f>
        <v>192</v>
      </c>
      <c r="AE35" s="251">
        <f>'31'!$G$116</f>
        <v>382</v>
      </c>
      <c r="AF35" s="251">
        <f>'31'!$G$117</f>
        <v>240</v>
      </c>
      <c r="AG35" s="251">
        <f>'31'!$G$118</f>
        <v>611</v>
      </c>
      <c r="AH35" s="251">
        <f>'31'!$G$119</f>
        <v>388</v>
      </c>
      <c r="AI35" s="251">
        <f>'31'!$G$120</f>
        <v>405</v>
      </c>
      <c r="AJ35" s="251">
        <f>'31'!$G$121</f>
        <v>443</v>
      </c>
      <c r="AK35" s="251">
        <f>'31'!$G$122</f>
        <v>269</v>
      </c>
      <c r="AL35" s="251">
        <f>'31'!$G$123</f>
        <v>331</v>
      </c>
      <c r="AM35" s="251">
        <f>'31'!$G$133</f>
        <v>849</v>
      </c>
      <c r="AN35" s="251">
        <f>'31'!$G$15</f>
        <v>1100</v>
      </c>
      <c r="AO35" s="251">
        <f>'31'!$G$74</f>
        <v>324</v>
      </c>
      <c r="AP35" s="251">
        <f>'31'!$G$75</f>
        <v>0</v>
      </c>
      <c r="AQ35" s="251">
        <f>'31'!$G$76</f>
        <v>99</v>
      </c>
      <c r="AR35" s="251">
        <f>'31'!$G$77</f>
        <v>47</v>
      </c>
      <c r="AS35" s="251">
        <f>'31'!$G$78</f>
        <v>-0.3999999999996362</v>
      </c>
      <c r="AT35" s="251">
        <f t="shared" ref="AT35" si="7">AN35-SUM(AO35:AS35)</f>
        <v>630.39999999999964</v>
      </c>
      <c r="AU35" s="251">
        <f>SUM('31'!G92:G142)</f>
        <v>37391.975547703172</v>
      </c>
      <c r="AV35" s="251">
        <f>'31'!$G$88</f>
        <v>9.5200000000004366</v>
      </c>
      <c r="AW35" s="251">
        <f>'31'!$G$89</f>
        <v>11.389999999999418</v>
      </c>
      <c r="AX35" s="251">
        <f>'30'!$G$90</f>
        <v>10.669999999998254</v>
      </c>
      <c r="AY35" s="255">
        <f t="shared" ref="AY35" si="8">SUM(AV35:AX35)</f>
        <v>31.579999999998108</v>
      </c>
      <c r="BA35" s="311">
        <f t="shared" si="3"/>
        <v>19.962001266625631</v>
      </c>
      <c r="BB35" s="351">
        <f t="shared" si="4"/>
        <v>6610.0800000000017</v>
      </c>
      <c r="BC35" s="351">
        <f t="shared" si="5"/>
        <v>23.357173144876331</v>
      </c>
    </row>
    <row r="36" spans="1:55" s="316" customFormat="1">
      <c r="A36" s="304" t="s">
        <v>357</v>
      </c>
      <c r="B36" s="305">
        <f>AVERAGE(B5:B35)</f>
        <v>27824.385483870967</v>
      </c>
      <c r="C36" s="305">
        <f t="shared" ref="C36:BC36" si="9">AVERAGE(C5:C35)</f>
        <v>28559.82225806452</v>
      </c>
      <c r="D36" s="305">
        <f t="shared" si="9"/>
        <v>1041.8158064516142</v>
      </c>
      <c r="E36" s="305">
        <f t="shared" si="9"/>
        <v>238.90322580645162</v>
      </c>
      <c r="F36" s="305">
        <f t="shared" si="9"/>
        <v>-96.774193548387103</v>
      </c>
      <c r="G36" s="305">
        <f t="shared" si="9"/>
        <v>0</v>
      </c>
      <c r="H36" s="305">
        <f t="shared" si="9"/>
        <v>-64.516129032258064</v>
      </c>
      <c r="I36" s="305">
        <f t="shared" si="9"/>
        <v>-98.222903225805624</v>
      </c>
      <c r="J36" s="305">
        <f t="shared" si="9"/>
        <v>-96.774193548386151</v>
      </c>
      <c r="K36" s="305">
        <f t="shared" si="9"/>
        <v>-58.516129032258185</v>
      </c>
      <c r="L36" s="305">
        <f t="shared" si="9"/>
        <v>0</v>
      </c>
      <c r="M36" s="305">
        <f t="shared" si="9"/>
        <v>0</v>
      </c>
      <c r="N36" s="305">
        <f t="shared" si="9"/>
        <v>-28154.925806451611</v>
      </c>
      <c r="O36" s="305">
        <f t="shared" si="9"/>
        <v>0</v>
      </c>
      <c r="P36" s="305">
        <f t="shared" si="9"/>
        <v>-1.9599999999999997</v>
      </c>
      <c r="Q36" s="305">
        <f t="shared" si="9"/>
        <v>0</v>
      </c>
      <c r="R36" s="305">
        <f t="shared" si="9"/>
        <v>0</v>
      </c>
      <c r="S36" s="305">
        <f t="shared" si="9"/>
        <v>0</v>
      </c>
      <c r="T36" s="305">
        <f t="shared" si="9"/>
        <v>0</v>
      </c>
      <c r="U36" s="305">
        <f t="shared" si="9"/>
        <v>0</v>
      </c>
      <c r="V36" s="305">
        <f t="shared" si="9"/>
        <v>0</v>
      </c>
      <c r="W36" s="305">
        <f t="shared" si="9"/>
        <v>0</v>
      </c>
      <c r="X36" s="305">
        <f t="shared" si="9"/>
        <v>0</v>
      </c>
      <c r="Y36" s="305">
        <f t="shared" si="9"/>
        <v>-7.419354838709677</v>
      </c>
      <c r="Z36" s="305">
        <f t="shared" si="9"/>
        <v>0</v>
      </c>
      <c r="AA36" s="305">
        <f t="shared" si="9"/>
        <v>0</v>
      </c>
      <c r="AB36" s="305">
        <f t="shared" si="9"/>
        <v>0</v>
      </c>
      <c r="AC36" s="305">
        <f t="shared" si="9"/>
        <v>-2.2476190476190823</v>
      </c>
      <c r="AD36" s="305">
        <f t="shared" si="9"/>
        <v>3225.6451612903224</v>
      </c>
      <c r="AE36" s="305">
        <f t="shared" si="9"/>
        <v>0</v>
      </c>
      <c r="AF36" s="305">
        <f t="shared" si="9"/>
        <v>0</v>
      </c>
      <c r="AG36" s="305">
        <f t="shared" si="9"/>
        <v>0</v>
      </c>
      <c r="AH36" s="305">
        <f t="shared" si="9"/>
        <v>0</v>
      </c>
      <c r="AI36" s="305">
        <f t="shared" si="9"/>
        <v>0</v>
      </c>
      <c r="AJ36" s="305">
        <f t="shared" si="9"/>
        <v>0</v>
      </c>
      <c r="AK36" s="305">
        <f t="shared" si="9"/>
        <v>0</v>
      </c>
      <c r="AL36" s="305">
        <f t="shared" si="9"/>
        <v>0</v>
      </c>
      <c r="AM36" s="305">
        <f t="shared" si="9"/>
        <v>0</v>
      </c>
      <c r="AN36" s="305">
        <f t="shared" si="9"/>
        <v>1041.8158064516142</v>
      </c>
      <c r="AO36" s="305">
        <f t="shared" si="9"/>
        <v>0</v>
      </c>
      <c r="AP36" s="305">
        <f t="shared" si="9"/>
        <v>0</v>
      </c>
      <c r="AQ36" s="305">
        <f t="shared" si="9"/>
        <v>0</v>
      </c>
      <c r="AR36" s="305">
        <f t="shared" si="9"/>
        <v>0</v>
      </c>
      <c r="AS36" s="305">
        <f t="shared" si="9"/>
        <v>-3.2258064516129031E-2</v>
      </c>
      <c r="AT36" s="305">
        <f t="shared" si="9"/>
        <v>1041.8480645161303</v>
      </c>
      <c r="AU36" s="305">
        <f t="shared" si="9"/>
        <v>1205.8330821839731</v>
      </c>
      <c r="AV36" s="305">
        <f t="shared" si="9"/>
        <v>0</v>
      </c>
      <c r="AW36" s="305">
        <f t="shared" si="9"/>
        <v>0</v>
      </c>
      <c r="AX36" s="305">
        <f t="shared" si="9"/>
        <v>0.34419354838704047</v>
      </c>
      <c r="AY36" s="305">
        <f t="shared" si="9"/>
        <v>0.34419354838704047</v>
      </c>
      <c r="AZ36" s="305">
        <f t="shared" si="9"/>
        <v>28.830536863013389</v>
      </c>
      <c r="BA36" s="305">
        <f t="shared" si="9"/>
        <v>31.810634308874164</v>
      </c>
      <c r="BB36" s="305">
        <f t="shared" si="9"/>
        <v>28982.045161290323</v>
      </c>
      <c r="BC36" s="305">
        <f t="shared" si="9"/>
        <v>103.02348052413996</v>
      </c>
    </row>
    <row r="37" spans="1:55">
      <c r="A37" s="261" t="s">
        <v>196</v>
      </c>
      <c r="B37" s="305">
        <f>SUM(B5:B35)</f>
        <v>862555.95</v>
      </c>
      <c r="C37" s="305">
        <f t="shared" ref="C37:BC37" si="10">SUM(C5:C35)</f>
        <v>885354.49000000011</v>
      </c>
      <c r="D37" s="305">
        <f t="shared" si="10"/>
        <v>32296.290000000037</v>
      </c>
      <c r="E37" s="305">
        <f t="shared" si="10"/>
        <v>7406</v>
      </c>
      <c r="F37" s="305">
        <f>SUM(F5:F35)</f>
        <v>-3000</v>
      </c>
      <c r="G37" s="305">
        <f t="shared" si="10"/>
        <v>0</v>
      </c>
      <c r="H37" s="305">
        <f t="shared" si="10"/>
        <v>-2000</v>
      </c>
      <c r="I37" s="305">
        <f t="shared" si="10"/>
        <v>-3044.9099999999744</v>
      </c>
      <c r="J37" s="305">
        <f t="shared" si="10"/>
        <v>-2999.9999999999709</v>
      </c>
      <c r="K37" s="305">
        <f t="shared" si="10"/>
        <v>-1814.0000000000036</v>
      </c>
      <c r="L37" s="305">
        <f t="shared" si="10"/>
        <v>0</v>
      </c>
      <c r="M37" s="305">
        <f t="shared" si="10"/>
        <v>0</v>
      </c>
      <c r="N37" s="305">
        <f t="shared" si="10"/>
        <v>-872802.7</v>
      </c>
      <c r="O37" s="305">
        <f t="shared" si="10"/>
        <v>0</v>
      </c>
      <c r="P37" s="305">
        <f t="shared" si="10"/>
        <v>-60.759999999999991</v>
      </c>
      <c r="Q37" s="305">
        <f t="shared" si="10"/>
        <v>0</v>
      </c>
      <c r="R37" s="305">
        <f t="shared" si="10"/>
        <v>0</v>
      </c>
      <c r="S37" s="305">
        <f t="shared" si="10"/>
        <v>0</v>
      </c>
      <c r="T37" s="305">
        <f t="shared" si="10"/>
        <v>0</v>
      </c>
      <c r="U37" s="305">
        <f t="shared" si="10"/>
        <v>0</v>
      </c>
      <c r="V37" s="305">
        <f t="shared" si="10"/>
        <v>0</v>
      </c>
      <c r="W37" s="305">
        <f t="shared" si="10"/>
        <v>0</v>
      </c>
      <c r="X37" s="305">
        <f t="shared" si="10"/>
        <v>0</v>
      </c>
      <c r="Y37" s="305">
        <f t="shared" si="10"/>
        <v>-230</v>
      </c>
      <c r="Z37" s="305">
        <f t="shared" si="10"/>
        <v>0</v>
      </c>
      <c r="AA37" s="305">
        <f t="shared" si="10"/>
        <v>0</v>
      </c>
      <c r="AB37" s="305">
        <f t="shared" si="10"/>
        <v>0</v>
      </c>
      <c r="AC37" s="305">
        <f t="shared" si="10"/>
        <v>-47.200000000000728</v>
      </c>
      <c r="AD37" s="305">
        <f t="shared" si="10"/>
        <v>99995</v>
      </c>
      <c r="AE37" s="305">
        <f t="shared" si="10"/>
        <v>0</v>
      </c>
      <c r="AF37" s="305">
        <f t="shared" si="10"/>
        <v>0</v>
      </c>
      <c r="AG37" s="305">
        <f t="shared" si="10"/>
        <v>0</v>
      </c>
      <c r="AH37" s="305">
        <f t="shared" si="10"/>
        <v>0</v>
      </c>
      <c r="AI37" s="305">
        <f t="shared" si="10"/>
        <v>0</v>
      </c>
      <c r="AJ37" s="305">
        <f t="shared" si="10"/>
        <v>0</v>
      </c>
      <c r="AK37" s="305">
        <f t="shared" si="10"/>
        <v>0</v>
      </c>
      <c r="AL37" s="305">
        <f t="shared" si="10"/>
        <v>0</v>
      </c>
      <c r="AM37" s="305">
        <f t="shared" si="10"/>
        <v>0</v>
      </c>
      <c r="AN37" s="305">
        <f t="shared" si="10"/>
        <v>32296.290000000037</v>
      </c>
      <c r="AO37" s="305">
        <f t="shared" si="10"/>
        <v>0</v>
      </c>
      <c r="AP37" s="305">
        <f t="shared" si="10"/>
        <v>0</v>
      </c>
      <c r="AQ37" s="305">
        <f t="shared" si="10"/>
        <v>0</v>
      </c>
      <c r="AR37" s="305">
        <f t="shared" si="10"/>
        <v>0</v>
      </c>
      <c r="AS37" s="305">
        <f t="shared" si="10"/>
        <v>-1</v>
      </c>
      <c r="AT37" s="305">
        <f t="shared" si="10"/>
        <v>32297.290000000037</v>
      </c>
      <c r="AU37" s="305">
        <f t="shared" si="10"/>
        <v>37380.825547703171</v>
      </c>
      <c r="AV37" s="305">
        <f t="shared" si="10"/>
        <v>0</v>
      </c>
      <c r="AW37" s="305">
        <f t="shared" si="10"/>
        <v>0</v>
      </c>
      <c r="AX37" s="305">
        <f t="shared" si="10"/>
        <v>10.669999999998254</v>
      </c>
      <c r="AY37" s="305">
        <f t="shared" si="10"/>
        <v>10.669999999998254</v>
      </c>
      <c r="AZ37" s="305">
        <f t="shared" si="10"/>
        <v>691.93288471232131</v>
      </c>
      <c r="BA37" s="305">
        <f t="shared" si="10"/>
        <v>986.12966357509913</v>
      </c>
      <c r="BB37" s="305">
        <f t="shared" si="10"/>
        <v>898443.4</v>
      </c>
      <c r="BC37" s="305">
        <f t="shared" si="10"/>
        <v>3193.7278962483388</v>
      </c>
    </row>
    <row r="38" spans="1:55" s="316" customFormat="1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>
      <c r="A39" s="261"/>
      <c r="B39" s="261"/>
      <c r="C39" s="261"/>
      <c r="D39" s="261"/>
      <c r="E39" s="261"/>
      <c r="F39" s="512">
        <f t="shared" ref="F39:K39" si="11">F19-F18</f>
        <v>-94</v>
      </c>
      <c r="G39" s="512">
        <f t="shared" si="11"/>
        <v>-33</v>
      </c>
      <c r="H39" s="512">
        <f t="shared" si="11"/>
        <v>-94</v>
      </c>
      <c r="I39" s="512">
        <f t="shared" si="11"/>
        <v>24</v>
      </c>
      <c r="J39" s="512">
        <f t="shared" si="11"/>
        <v>341.60000000000582</v>
      </c>
      <c r="K39" s="512">
        <f t="shared" si="11"/>
        <v>12</v>
      </c>
      <c r="L39" s="512"/>
      <c r="M39" s="512"/>
      <c r="AO39" s="317" t="s">
        <v>109</v>
      </c>
      <c r="AP39" s="318">
        <v>191</v>
      </c>
      <c r="AQ39" s="318"/>
      <c r="AR39" s="318"/>
    </row>
    <row r="40" spans="1:55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>
      <c r="A46" s="261"/>
      <c r="B46" s="261"/>
      <c r="C46" s="261"/>
      <c r="D46" s="261"/>
      <c r="E46" s="261"/>
    </row>
    <row r="47" spans="1:55">
      <c r="A47" s="261"/>
      <c r="B47" s="261"/>
      <c r="C47" s="261"/>
      <c r="D47" s="261"/>
      <c r="E47" s="261"/>
    </row>
    <row r="48" spans="1:55">
      <c r="A48" s="261"/>
      <c r="B48" s="261"/>
      <c r="C48" s="261"/>
      <c r="D48" s="261"/>
      <c r="E48" s="261"/>
    </row>
    <row r="49" spans="1:5">
      <c r="A49" s="261"/>
      <c r="B49" s="261"/>
      <c r="C49" s="261"/>
      <c r="D49" s="261"/>
      <c r="E49" s="261"/>
    </row>
    <row r="50" spans="1:5">
      <c r="A50" s="261"/>
      <c r="B50" s="261"/>
      <c r="C50" s="261"/>
      <c r="D50" s="261"/>
      <c r="E50" s="261"/>
    </row>
    <row r="51" spans="1:5">
      <c r="A51" s="261"/>
      <c r="B51" s="261"/>
      <c r="C51" s="261"/>
      <c r="D51" s="261"/>
      <c r="E51" s="261"/>
    </row>
    <row r="52" spans="1:5">
      <c r="A52" s="261"/>
      <c r="B52" s="261"/>
      <c r="C52" s="261"/>
      <c r="D52" s="261"/>
      <c r="E52" s="261"/>
    </row>
    <row r="53" spans="1:5">
      <c r="A53" s="261"/>
      <c r="B53" s="261"/>
      <c r="C53" s="261"/>
      <c r="D53" s="261"/>
      <c r="E53" s="261"/>
    </row>
    <row r="54" spans="1:5">
      <c r="A54" s="261"/>
      <c r="B54" s="261"/>
      <c r="C54" s="261"/>
      <c r="D54" s="261"/>
      <c r="E54" s="261"/>
    </row>
    <row r="55" spans="1:5">
      <c r="A55" s="261"/>
      <c r="B55" s="261"/>
      <c r="C55" s="261"/>
      <c r="D55" s="261"/>
      <c r="E55" s="261"/>
    </row>
    <row r="56" spans="1:5">
      <c r="A56" s="261"/>
      <c r="B56" s="261"/>
      <c r="C56" s="261"/>
      <c r="D56" s="261"/>
      <c r="E56" s="261"/>
    </row>
    <row r="57" spans="1:5">
      <c r="A57" s="261"/>
      <c r="B57" s="261"/>
      <c r="C57" s="261"/>
      <c r="D57" s="261"/>
      <c r="E57" s="261"/>
    </row>
    <row r="58" spans="1:5">
      <c r="A58" s="261"/>
      <c r="B58" s="261"/>
      <c r="C58" s="261"/>
      <c r="D58" s="261"/>
      <c r="E58" s="261"/>
    </row>
    <row r="59" spans="1:5">
      <c r="A59" s="261"/>
      <c r="B59" s="261"/>
      <c r="C59" s="261"/>
      <c r="D59" s="261"/>
      <c r="E59" s="261"/>
    </row>
    <row r="60" spans="1:5">
      <c r="A60" s="261"/>
      <c r="B60" s="261"/>
      <c r="C60" s="261"/>
      <c r="D60" s="261"/>
      <c r="E60" s="261"/>
    </row>
    <row r="61" spans="1:5">
      <c r="A61" s="261"/>
      <c r="B61" s="261"/>
      <c r="C61" s="261"/>
      <c r="D61" s="261"/>
      <c r="E61" s="261"/>
    </row>
    <row r="62" spans="1:5">
      <c r="A62" s="261"/>
      <c r="B62" s="261"/>
      <c r="C62" s="261"/>
      <c r="D62" s="261"/>
      <c r="E62" s="261"/>
    </row>
    <row r="63" spans="1:5">
      <c r="A63" s="261"/>
      <c r="B63" s="261"/>
      <c r="C63" s="261"/>
      <c r="D63" s="261"/>
      <c r="E63" s="261"/>
    </row>
    <row r="64" spans="1:5">
      <c r="A64" s="261"/>
      <c r="B64" s="261"/>
      <c r="C64" s="261"/>
      <c r="D64" s="261"/>
      <c r="E64" s="261"/>
    </row>
    <row r="65" spans="1:5">
      <c r="A65" s="261"/>
      <c r="B65" s="261"/>
      <c r="C65" s="261"/>
      <c r="D65" s="261"/>
      <c r="E65" s="261"/>
    </row>
    <row r="66" spans="1:5">
      <c r="A66" s="261"/>
      <c r="B66" s="261"/>
      <c r="C66" s="261"/>
      <c r="D66" s="261"/>
      <c r="E66" s="261"/>
    </row>
    <row r="67" spans="1:5">
      <c r="A67" s="261"/>
      <c r="B67" s="261"/>
      <c r="C67" s="261"/>
      <c r="D67" s="261"/>
      <c r="E67" s="261"/>
    </row>
    <row r="68" spans="1:5">
      <c r="A68" s="261"/>
      <c r="B68" s="261"/>
      <c r="C68" s="261"/>
      <c r="D68" s="261"/>
      <c r="E68" s="261"/>
    </row>
    <row r="69" spans="1:5">
      <c r="A69" s="261"/>
      <c r="B69" s="261"/>
      <c r="C69" s="261"/>
      <c r="D69" s="261"/>
      <c r="E69" s="261"/>
    </row>
    <row r="70" spans="1:5">
      <c r="A70" s="261"/>
      <c r="B70" s="261"/>
      <c r="C70" s="261"/>
      <c r="D70" s="261"/>
      <c r="E70" s="261"/>
    </row>
    <row r="71" spans="1:5">
      <c r="A71" s="261"/>
      <c r="B71" s="261"/>
      <c r="C71" s="261"/>
      <c r="D71" s="261"/>
      <c r="E71" s="261"/>
    </row>
    <row r="72" spans="1:5">
      <c r="A72" s="261"/>
      <c r="B72" s="261"/>
      <c r="C72" s="261"/>
      <c r="D72" s="261"/>
      <c r="E72" s="261"/>
    </row>
    <row r="73" spans="1:5">
      <c r="A73" s="261"/>
      <c r="B73" s="261"/>
      <c r="C73" s="261"/>
      <c r="D73" s="261"/>
      <c r="E73" s="261"/>
    </row>
    <row r="74" spans="1:5">
      <c r="A74" s="261"/>
      <c r="B74" s="261"/>
      <c r="C74" s="261"/>
      <c r="D74" s="261"/>
      <c r="E74" s="261"/>
    </row>
    <row r="75" spans="1:5">
      <c r="A75" s="261"/>
      <c r="B75" s="261"/>
      <c r="C75" s="261"/>
      <c r="D75" s="261"/>
      <c r="E75" s="261"/>
    </row>
    <row r="76" spans="1:5">
      <c r="A76" s="261"/>
      <c r="B76" s="261"/>
      <c r="C76" s="261"/>
      <c r="D76" s="261"/>
      <c r="E76" s="261"/>
    </row>
    <row r="77" spans="1:5">
      <c r="A77" s="261"/>
      <c r="B77" s="261"/>
      <c r="C77" s="261"/>
      <c r="D77" s="261"/>
      <c r="E77" s="261"/>
    </row>
    <row r="78" spans="1:5">
      <c r="A78" s="261"/>
      <c r="B78" s="261"/>
      <c r="C78" s="261"/>
      <c r="D78" s="261"/>
      <c r="E78" s="261"/>
    </row>
    <row r="79" spans="1:5">
      <c r="A79" s="261"/>
      <c r="B79" s="261"/>
      <c r="C79" s="261"/>
      <c r="D79" s="261"/>
      <c r="E79" s="261"/>
    </row>
    <row r="80" spans="1:5">
      <c r="A80" s="261"/>
      <c r="B80" s="261"/>
      <c r="C80" s="261"/>
      <c r="D80" s="261"/>
      <c r="E80" s="261"/>
    </row>
    <row r="81" spans="1:5">
      <c r="A81" s="261"/>
      <c r="B81" s="261"/>
      <c r="C81" s="261"/>
      <c r="D81" s="261"/>
      <c r="E81" s="261"/>
    </row>
    <row r="82" spans="1:5">
      <c r="A82" s="261"/>
      <c r="B82" s="261"/>
      <c r="C82" s="261"/>
      <c r="D82" s="261"/>
      <c r="E82" s="261"/>
    </row>
    <row r="83" spans="1:5">
      <c r="A83" s="261"/>
      <c r="B83" s="261"/>
      <c r="C83" s="261"/>
      <c r="D83" s="261"/>
      <c r="E83" s="261"/>
    </row>
    <row r="84" spans="1:5">
      <c r="A84" s="261"/>
      <c r="B84" s="261"/>
      <c r="C84" s="261"/>
      <c r="D84" s="261"/>
      <c r="E84" s="261"/>
    </row>
    <row r="85" spans="1:5">
      <c r="A85" s="261"/>
      <c r="B85" s="261"/>
      <c r="C85" s="261"/>
      <c r="D85" s="261"/>
      <c r="E85" s="261"/>
    </row>
    <row r="86" spans="1:5">
      <c r="A86" s="261"/>
      <c r="B86" s="261"/>
      <c r="C86" s="261"/>
      <c r="D86" s="261"/>
      <c r="E86" s="261"/>
    </row>
    <row r="87" spans="1:5">
      <c r="A87" s="261"/>
      <c r="B87" s="261"/>
      <c r="C87" s="261"/>
      <c r="D87" s="261"/>
      <c r="E87" s="261"/>
    </row>
    <row r="88" spans="1:5">
      <c r="A88" s="261"/>
      <c r="B88" s="261"/>
      <c r="C88" s="261"/>
      <c r="D88" s="261"/>
      <c r="E88" s="261"/>
    </row>
    <row r="89" spans="1:5">
      <c r="A89" s="320"/>
      <c r="B89" s="320"/>
      <c r="C89" s="320"/>
      <c r="D89" s="320"/>
      <c r="E89" s="320"/>
    </row>
    <row r="90" spans="1:5">
      <c r="A90" s="320"/>
      <c r="B90" s="320"/>
      <c r="C90" s="320"/>
      <c r="D90" s="320"/>
      <c r="E90" s="320"/>
    </row>
    <row r="91" spans="1:5">
      <c r="A91" s="320"/>
      <c r="B91" s="320"/>
      <c r="C91" s="320"/>
      <c r="D91" s="320"/>
      <c r="E91" s="320"/>
    </row>
    <row r="92" spans="1:5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zoomScale="60" zoomScaleNormal="61" zoomScalePageLayoutView="70" workbookViewId="0">
      <selection activeCell="D2" sqref="D2"/>
    </sheetView>
  </sheetViews>
  <sheetFormatPr defaultColWidth="22.33203125" defaultRowHeight="21.95" customHeight="1"/>
  <cols>
    <col min="1" max="1" width="50.21875" style="560" customWidth="1"/>
    <col min="2" max="2" width="22.6640625" style="544" customWidth="1"/>
    <col min="3" max="3" width="14.44140625" style="544" customWidth="1"/>
    <col min="4" max="4" width="13.6640625" style="544" customWidth="1"/>
    <col min="5" max="5" width="30" style="414" customWidth="1"/>
    <col min="6" max="6" width="19.44140625" style="594" customWidth="1"/>
    <col min="7" max="7" width="28.88671875" style="595" customWidth="1"/>
    <col min="8" max="8" width="24.6640625" style="596" customWidth="1"/>
    <col min="9" max="9" width="23.5546875" style="594" customWidth="1"/>
    <col min="10" max="10" width="24" style="596" customWidth="1"/>
    <col min="11" max="11" width="43.21875" style="544" hidden="1" customWidth="1"/>
    <col min="12" max="13" width="0" style="544" hidden="1" customWidth="1"/>
    <col min="14" max="14" width="25.109375" style="544" customWidth="1"/>
    <col min="15" max="16" width="22.33203125" style="544"/>
    <col min="17" max="17" width="44.77734375" style="544" customWidth="1"/>
    <col min="18" max="16384" width="22.33203125" style="544"/>
  </cols>
  <sheetData>
    <row r="1" spans="1:15" ht="26.25">
      <c r="A1" s="804" t="s">
        <v>115</v>
      </c>
      <c r="B1" s="805"/>
      <c r="C1" s="805"/>
      <c r="D1" s="805"/>
      <c r="E1" s="805"/>
      <c r="F1" s="805"/>
      <c r="G1" s="805"/>
      <c r="H1" s="805"/>
      <c r="I1" s="805"/>
      <c r="J1" s="806"/>
    </row>
    <row r="2" spans="1:15" ht="26.25">
      <c r="A2" s="545" t="s">
        <v>355</v>
      </c>
      <c r="B2" s="744">
        <v>44713</v>
      </c>
      <c r="C2" s="745" t="s">
        <v>67</v>
      </c>
      <c r="D2" s="746">
        <v>0.88</v>
      </c>
      <c r="E2" s="100"/>
      <c r="F2" s="745"/>
      <c r="G2" s="747" t="s">
        <v>116</v>
      </c>
      <c r="H2" s="745" t="s">
        <v>5</v>
      </c>
      <c r="I2" s="745" t="s">
        <v>7</v>
      </c>
      <c r="J2" s="748" t="s">
        <v>117</v>
      </c>
    </row>
    <row r="3" spans="1:15" ht="26.25">
      <c r="A3" s="546"/>
      <c r="B3" s="749"/>
      <c r="C3" s="745" t="s">
        <v>118</v>
      </c>
      <c r="D3" s="750">
        <v>29</v>
      </c>
      <c r="E3" s="813" t="s">
        <v>119</v>
      </c>
      <c r="F3" s="814"/>
      <c r="G3" s="747"/>
      <c r="H3" s="751"/>
      <c r="I3" s="751"/>
      <c r="J3" s="748"/>
      <c r="K3" s="547"/>
      <c r="L3" s="548"/>
    </row>
    <row r="4" spans="1:15" ht="26.25">
      <c r="A4" s="549"/>
      <c r="B4" s="752"/>
      <c r="C4" s="745" t="s">
        <v>120</v>
      </c>
      <c r="D4" s="746">
        <v>0.78</v>
      </c>
      <c r="E4" s="103"/>
      <c r="F4" s="753"/>
      <c r="G4" s="747"/>
      <c r="H4" s="753"/>
      <c r="I4" s="754"/>
      <c r="J4" s="748"/>
      <c r="K4" s="550"/>
      <c r="L4" s="548"/>
    </row>
    <row r="5" spans="1:15" s="560" customFormat="1" ht="26.25">
      <c r="A5" s="551" t="s">
        <v>121</v>
      </c>
      <c r="B5" s="552"/>
      <c r="C5" s="552"/>
      <c r="D5" s="552" t="s">
        <v>122</v>
      </c>
      <c r="E5" s="106" t="s">
        <v>110</v>
      </c>
      <c r="F5" s="553" t="s">
        <v>110</v>
      </c>
      <c r="G5" s="554" t="s">
        <v>124</v>
      </c>
      <c r="H5" s="555" t="s">
        <v>125</v>
      </c>
      <c r="I5" s="556" t="s">
        <v>126</v>
      </c>
      <c r="J5" s="557" t="s">
        <v>127</v>
      </c>
      <c r="K5" s="558"/>
      <c r="L5" s="559"/>
    </row>
    <row r="6" spans="1:15" s="560" customFormat="1" ht="26.25">
      <c r="A6" s="807" t="s">
        <v>128</v>
      </c>
      <c r="B6" s="808"/>
      <c r="C6" s="809"/>
      <c r="D6" s="561"/>
      <c r="E6" s="110"/>
      <c r="F6" s="562"/>
      <c r="G6" s="563"/>
      <c r="H6" s="562"/>
      <c r="I6" s="562"/>
      <c r="J6" s="564"/>
      <c r="K6" s="565"/>
      <c r="L6" s="559"/>
    </row>
    <row r="7" spans="1:15" ht="27" thickBot="1">
      <c r="A7" s="566" t="s">
        <v>129</v>
      </c>
      <c r="B7" s="618"/>
      <c r="C7" s="618"/>
      <c r="D7" s="567" t="s">
        <v>130</v>
      </c>
      <c r="E7" s="95">
        <v>686745</v>
      </c>
      <c r="F7" s="556">
        <v>713761</v>
      </c>
      <c r="G7" s="619">
        <f>F7-E7</f>
        <v>27016</v>
      </c>
      <c r="H7" s="556">
        <f>G7</f>
        <v>27016</v>
      </c>
      <c r="I7" s="620">
        <v>12000</v>
      </c>
      <c r="J7" s="621">
        <f>H7/DAY(B2)</f>
        <v>27016</v>
      </c>
      <c r="K7" s="568">
        <v>1375467</v>
      </c>
      <c r="L7" s="548"/>
      <c r="N7" s="569"/>
      <c r="O7" s="570"/>
    </row>
    <row r="8" spans="1:15" ht="27" thickBot="1">
      <c r="A8" s="571" t="s">
        <v>131</v>
      </c>
      <c r="B8" s="622"/>
      <c r="C8" s="623"/>
      <c r="D8" s="572" t="s">
        <v>24</v>
      </c>
      <c r="E8" s="114">
        <v>801980</v>
      </c>
      <c r="F8" s="556">
        <v>830039</v>
      </c>
      <c r="G8" s="619">
        <f>F8-E8</f>
        <v>28059</v>
      </c>
      <c r="H8" s="556">
        <f>G8</f>
        <v>28059</v>
      </c>
      <c r="I8" s="624">
        <v>12000</v>
      </c>
      <c r="J8" s="621">
        <f>H8/DAY(B2)</f>
        <v>28059</v>
      </c>
      <c r="K8" s="568">
        <v>1715917</v>
      </c>
      <c r="L8" s="573">
        <v>1728480</v>
      </c>
      <c r="M8" s="569">
        <f>L8-K8</f>
        <v>12563</v>
      </c>
      <c r="N8" s="569"/>
      <c r="O8" s="570"/>
    </row>
    <row r="9" spans="1:15" ht="26.25">
      <c r="A9" s="574" t="s">
        <v>132</v>
      </c>
      <c r="B9" s="625"/>
      <c r="C9" s="625"/>
      <c r="D9" s="567" t="s">
        <v>130</v>
      </c>
      <c r="E9" s="469">
        <v>2437690</v>
      </c>
      <c r="F9" s="626">
        <v>2451194</v>
      </c>
      <c r="G9" s="627">
        <f>F9-E9</f>
        <v>13504</v>
      </c>
      <c r="H9" s="556">
        <f t="shared" ref="H9:H13" si="0">G9</f>
        <v>13504</v>
      </c>
      <c r="I9" s="620">
        <f>I8-J8</f>
        <v>-16059</v>
      </c>
      <c r="J9" s="621">
        <f>H9/DAY(B2)</f>
        <v>13504</v>
      </c>
      <c r="K9" s="575">
        <f>K8-100</f>
        <v>1715817</v>
      </c>
      <c r="L9" s="548"/>
      <c r="N9" s="569"/>
      <c r="O9" s="570"/>
    </row>
    <row r="10" spans="1:15" ht="26.25">
      <c r="A10" s="566" t="s">
        <v>133</v>
      </c>
      <c r="B10" s="618"/>
      <c r="C10" s="618"/>
      <c r="D10" s="567" t="s">
        <v>130</v>
      </c>
      <c r="E10" s="353">
        <v>901404</v>
      </c>
      <c r="F10" s="626">
        <v>914148</v>
      </c>
      <c r="G10" s="627">
        <f t="shared" ref="G10:G11" si="1">F10-E10</f>
        <v>12744</v>
      </c>
      <c r="H10" s="556">
        <f t="shared" si="0"/>
        <v>12744</v>
      </c>
      <c r="I10" s="556"/>
      <c r="J10" s="621">
        <f>H10/DAY(B2)</f>
        <v>12744</v>
      </c>
      <c r="K10" s="575"/>
      <c r="L10" s="548"/>
      <c r="N10" s="569"/>
      <c r="O10" s="570"/>
    </row>
    <row r="11" spans="1:15" ht="26.25">
      <c r="A11" s="566" t="s">
        <v>134</v>
      </c>
      <c r="B11" s="618"/>
      <c r="C11" s="618"/>
      <c r="D11" s="567" t="s">
        <v>130</v>
      </c>
      <c r="E11" s="95">
        <v>37560</v>
      </c>
      <c r="F11" s="556">
        <v>37560</v>
      </c>
      <c r="G11" s="627">
        <f t="shared" si="1"/>
        <v>0</v>
      </c>
      <c r="H11" s="556">
        <f t="shared" si="0"/>
        <v>0</v>
      </c>
      <c r="I11" s="556"/>
      <c r="J11" s="621">
        <f>H11/DAY(B2)</f>
        <v>0</v>
      </c>
      <c r="K11" s="575"/>
      <c r="L11" s="548"/>
      <c r="N11" s="569"/>
      <c r="O11" s="570">
        <f>142-18</f>
        <v>124</v>
      </c>
    </row>
    <row r="12" spans="1:15" ht="26.25">
      <c r="A12" s="566" t="s">
        <v>135</v>
      </c>
      <c r="B12" s="618"/>
      <c r="C12" s="618"/>
      <c r="D12" s="567" t="s">
        <v>130</v>
      </c>
      <c r="E12" s="117">
        <v>40380</v>
      </c>
      <c r="F12" s="626">
        <v>40380</v>
      </c>
      <c r="G12" s="627">
        <f>F12-E12</f>
        <v>0</v>
      </c>
      <c r="H12" s="556">
        <f t="shared" si="0"/>
        <v>0</v>
      </c>
      <c r="I12" s="556"/>
      <c r="J12" s="621">
        <f>H12/DAY(B2)</f>
        <v>0</v>
      </c>
      <c r="K12" s="575"/>
      <c r="L12" s="548"/>
      <c r="N12" s="569"/>
      <c r="O12" s="570"/>
    </row>
    <row r="13" spans="1:15" ht="26.25">
      <c r="A13" s="576" t="s">
        <v>136</v>
      </c>
      <c r="B13" s="628"/>
      <c r="C13" s="628"/>
      <c r="D13" s="567"/>
      <c r="E13" s="95"/>
      <c r="F13" s="556"/>
      <c r="G13" s="627">
        <v>26109</v>
      </c>
      <c r="H13" s="556">
        <f t="shared" si="0"/>
        <v>26109</v>
      </c>
      <c r="I13" s="620">
        <f>G7-G13</f>
        <v>907</v>
      </c>
      <c r="J13" s="621">
        <f>H13/DAY(B2)</f>
        <v>26109</v>
      </c>
      <c r="K13" s="575"/>
      <c r="L13" s="548"/>
      <c r="N13" s="569"/>
      <c r="O13" s="570"/>
    </row>
    <row r="14" spans="1:15" ht="26.25">
      <c r="A14" s="810" t="s">
        <v>137</v>
      </c>
      <c r="B14" s="811"/>
      <c r="C14" s="812"/>
      <c r="D14" s="562"/>
      <c r="E14" s="111"/>
      <c r="F14" s="629"/>
      <c r="G14" s="630"/>
      <c r="H14" s="629"/>
      <c r="I14" s="629"/>
      <c r="J14" s="631"/>
      <c r="K14" s="577"/>
      <c r="L14" s="548"/>
      <c r="N14" s="569"/>
      <c r="O14" s="570"/>
    </row>
    <row r="15" spans="1:15" ht="26.25">
      <c r="A15" s="578" t="s">
        <v>138</v>
      </c>
      <c r="B15" s="632"/>
      <c r="C15" s="632"/>
      <c r="D15" s="567" t="s">
        <v>139</v>
      </c>
      <c r="E15" s="469">
        <v>2037117</v>
      </c>
      <c r="F15" s="633">
        <v>2038215</v>
      </c>
      <c r="G15" s="634">
        <f>(F15-E15)</f>
        <v>1098</v>
      </c>
      <c r="H15" s="620">
        <f>G15</f>
        <v>1098</v>
      </c>
      <c r="I15" s="620">
        <v>800</v>
      </c>
      <c r="J15" s="621">
        <f>H15/DAY(B2)</f>
        <v>1098</v>
      </c>
      <c r="K15" s="575"/>
      <c r="L15" s="548"/>
      <c r="N15" s="569"/>
      <c r="O15" s="570"/>
    </row>
    <row r="16" spans="1:15" ht="26.25">
      <c r="A16" s="579"/>
      <c r="B16" s="635"/>
      <c r="C16" s="635"/>
      <c r="D16" s="636"/>
      <c r="E16" s="123"/>
      <c r="F16" s="637"/>
      <c r="G16" s="627"/>
      <c r="H16" s="620"/>
      <c r="I16" s="620">
        <f>I15-J15</f>
        <v>-298</v>
      </c>
      <c r="J16" s="638"/>
      <c r="K16" s="575"/>
      <c r="L16" s="548"/>
      <c r="N16" s="569"/>
      <c r="O16" s="570"/>
    </row>
    <row r="17" spans="1:15" ht="26.25">
      <c r="A17" s="810" t="s">
        <v>140</v>
      </c>
      <c r="B17" s="811"/>
      <c r="C17" s="812"/>
      <c r="D17" s="562"/>
      <c r="E17" s="111"/>
      <c r="F17" s="629"/>
      <c r="G17" s="630"/>
      <c r="H17" s="629"/>
      <c r="I17" s="629"/>
      <c r="J17" s="631"/>
      <c r="K17" s="575"/>
      <c r="L17" s="548"/>
      <c r="N17" s="569"/>
      <c r="O17" s="570"/>
    </row>
    <row r="18" spans="1:15" ht="26.25">
      <c r="A18" s="801" t="s">
        <v>141</v>
      </c>
      <c r="B18" s="802"/>
      <c r="C18" s="803"/>
      <c r="D18" s="567" t="s">
        <v>142</v>
      </c>
      <c r="E18" s="164">
        <v>30</v>
      </c>
      <c r="F18" s="639">
        <v>26</v>
      </c>
      <c r="G18" s="602">
        <f>F18*10</f>
        <v>260</v>
      </c>
      <c r="H18" s="556">
        <f>G18</f>
        <v>260</v>
      </c>
      <c r="I18" s="620">
        <v>65</v>
      </c>
      <c r="J18" s="621">
        <f>H18/DAY(B2)</f>
        <v>260</v>
      </c>
      <c r="K18" s="575"/>
      <c r="L18" s="548"/>
      <c r="N18" s="569"/>
      <c r="O18" s="570"/>
    </row>
    <row r="19" spans="1:15" ht="26.25">
      <c r="A19" s="801" t="s">
        <v>69</v>
      </c>
      <c r="B19" s="802"/>
      <c r="C19" s="803"/>
      <c r="D19" s="567" t="s">
        <v>142</v>
      </c>
      <c r="E19" s="122">
        <v>160107</v>
      </c>
      <c r="F19" s="639">
        <v>160163</v>
      </c>
      <c r="G19" s="627">
        <f t="shared" ref="G19" si="2">F19-E19</f>
        <v>56</v>
      </c>
      <c r="H19" s="556">
        <f t="shared" ref="H19" si="3">G19</f>
        <v>56</v>
      </c>
      <c r="I19" s="626"/>
      <c r="J19" s="621">
        <f>H19/DAY(B2)</f>
        <v>56</v>
      </c>
      <c r="K19" s="575"/>
      <c r="L19" s="548"/>
      <c r="N19" s="569"/>
      <c r="O19" s="570"/>
    </row>
    <row r="20" spans="1:15" ht="26.25">
      <c r="A20" s="576" t="s">
        <v>143</v>
      </c>
      <c r="B20" s="628"/>
      <c r="C20" s="628"/>
      <c r="D20" s="640"/>
      <c r="E20" s="126"/>
      <c r="F20" s="641"/>
      <c r="G20" s="642">
        <f>G18+G19</f>
        <v>316</v>
      </c>
      <c r="H20" s="556">
        <f>G20</f>
        <v>316</v>
      </c>
      <c r="I20" s="643">
        <f>I18-J20</f>
        <v>-251</v>
      </c>
      <c r="J20" s="621">
        <f>H20/DAY(B2)</f>
        <v>316</v>
      </c>
      <c r="K20" s="575"/>
      <c r="L20" s="548"/>
      <c r="N20" s="569"/>
      <c r="O20" s="570"/>
    </row>
    <row r="21" spans="1:15" ht="26.25">
      <c r="A21" s="810" t="s">
        <v>144</v>
      </c>
      <c r="B21" s="811"/>
      <c r="C21" s="812"/>
      <c r="D21" s="562"/>
      <c r="E21" s="111"/>
      <c r="F21" s="629"/>
      <c r="G21" s="630"/>
      <c r="H21" s="629"/>
      <c r="I21" s="629"/>
      <c r="J21" s="631"/>
      <c r="K21" s="575"/>
      <c r="L21" s="548"/>
      <c r="N21" s="569"/>
      <c r="O21" s="570"/>
    </row>
    <row r="22" spans="1:15" ht="26.25">
      <c r="A22" s="578" t="s">
        <v>145</v>
      </c>
      <c r="B22" s="632"/>
      <c r="C22" s="632"/>
      <c r="D22" s="567" t="s">
        <v>146</v>
      </c>
      <c r="E22" s="122">
        <v>2970</v>
      </c>
      <c r="F22" s="639">
        <v>2970</v>
      </c>
      <c r="G22" s="602">
        <f>(F22-E22)</f>
        <v>0</v>
      </c>
      <c r="H22" s="556">
        <f>G22</f>
        <v>0</v>
      </c>
      <c r="I22" s="556"/>
      <c r="J22" s="621">
        <f>H22/DAY(B2)</f>
        <v>0</v>
      </c>
      <c r="K22" s="575"/>
      <c r="L22" s="548"/>
      <c r="N22" s="569"/>
      <c r="O22" s="570"/>
    </row>
    <row r="23" spans="1:15" ht="26.25">
      <c r="A23" s="578" t="s">
        <v>147</v>
      </c>
      <c r="B23" s="632"/>
      <c r="C23" s="632"/>
      <c r="D23" s="567" t="s">
        <v>146</v>
      </c>
      <c r="E23" s="122">
        <v>2000</v>
      </c>
      <c r="F23" s="639">
        <v>2000</v>
      </c>
      <c r="G23" s="602">
        <f t="shared" ref="G23" si="4">(F23-E23)</f>
        <v>0</v>
      </c>
      <c r="H23" s="556">
        <f t="shared" ref="H23:H24" si="5">G23</f>
        <v>0</v>
      </c>
      <c r="I23" s="556"/>
      <c r="J23" s="621">
        <f>H23/DAY(B2)</f>
        <v>0</v>
      </c>
      <c r="K23" s="575"/>
      <c r="L23" s="548"/>
      <c r="N23" s="569"/>
      <c r="O23" s="570"/>
    </row>
    <row r="24" spans="1:15" ht="26.25">
      <c r="A24" s="580" t="s">
        <v>148</v>
      </c>
      <c r="B24" s="644"/>
      <c r="C24" s="644"/>
      <c r="D24" s="552" t="s">
        <v>146</v>
      </c>
      <c r="E24" s="128">
        <v>4970</v>
      </c>
      <c r="F24" s="645">
        <v>4970</v>
      </c>
      <c r="G24" s="602">
        <f>SUM(G22:G23)</f>
        <v>0</v>
      </c>
      <c r="H24" s="556">
        <f t="shared" si="5"/>
        <v>0</v>
      </c>
      <c r="I24" s="556"/>
      <c r="J24" s="621">
        <f>H24/DAY(B2)</f>
        <v>0</v>
      </c>
      <c r="K24" s="575"/>
      <c r="L24" s="548"/>
      <c r="N24" s="569"/>
      <c r="O24" s="570"/>
    </row>
    <row r="25" spans="1:15" ht="26.25">
      <c r="A25" s="807" t="s">
        <v>149</v>
      </c>
      <c r="B25" s="808"/>
      <c r="C25" s="809"/>
      <c r="D25" s="561"/>
      <c r="E25" s="110"/>
      <c r="F25" s="629"/>
      <c r="G25" s="630"/>
      <c r="H25" s="629"/>
      <c r="I25" s="646"/>
      <c r="J25" s="631"/>
      <c r="K25" s="575"/>
      <c r="L25" s="548"/>
      <c r="N25" s="569"/>
      <c r="O25" s="570"/>
    </row>
    <row r="26" spans="1:15" ht="26.25">
      <c r="A26" s="581" t="s">
        <v>150</v>
      </c>
      <c r="B26" s="647"/>
      <c r="C26" s="648"/>
      <c r="D26" s="649" t="s">
        <v>151</v>
      </c>
      <c r="E26" s="132"/>
      <c r="F26" s="650"/>
      <c r="G26" s="651"/>
      <c r="H26" s="556"/>
      <c r="I26" s="652"/>
      <c r="J26" s="621"/>
      <c r="K26" s="577"/>
      <c r="L26" s="548"/>
      <c r="N26" s="569"/>
      <c r="O26" s="570"/>
    </row>
    <row r="27" spans="1:15" ht="26.25">
      <c r="A27" s="581" t="s">
        <v>5</v>
      </c>
      <c r="B27" s="647"/>
      <c r="C27" s="648"/>
      <c r="D27" s="653" t="s">
        <v>24</v>
      </c>
      <c r="E27" s="136">
        <f>G8</f>
        <v>28059</v>
      </c>
      <c r="F27" s="136">
        <v>9</v>
      </c>
      <c r="G27" s="654">
        <f>E27*F27</f>
        <v>252531</v>
      </c>
      <c r="H27" s="556">
        <f t="shared" ref="H27:H32" si="6">G27</f>
        <v>252531</v>
      </c>
      <c r="I27" s="655"/>
      <c r="J27" s="621">
        <f>H27/DAY(B2)</f>
        <v>252531</v>
      </c>
      <c r="K27" s="575"/>
      <c r="L27" s="548"/>
      <c r="N27" s="569"/>
      <c r="O27" s="570"/>
    </row>
    <row r="28" spans="1:15" ht="26.25">
      <c r="A28" s="581" t="s">
        <v>152</v>
      </c>
      <c r="B28" s="647"/>
      <c r="C28" s="648"/>
      <c r="D28" s="653" t="s">
        <v>153</v>
      </c>
      <c r="E28" s="136">
        <f>G15</f>
        <v>1098</v>
      </c>
      <c r="F28" s="136">
        <v>70</v>
      </c>
      <c r="G28" s="654">
        <f>E28*F28</f>
        <v>76860</v>
      </c>
      <c r="H28" s="556">
        <f t="shared" si="6"/>
        <v>76860</v>
      </c>
      <c r="I28" s="652"/>
      <c r="J28" s="621">
        <f>H28/DAY(B2)</f>
        <v>76860</v>
      </c>
      <c r="K28" s="575"/>
      <c r="L28" s="548"/>
      <c r="N28" s="569"/>
      <c r="O28" s="570"/>
    </row>
    <row r="29" spans="1:15" ht="26.25">
      <c r="A29" s="581" t="s">
        <v>154</v>
      </c>
      <c r="B29" s="647"/>
      <c r="C29" s="648"/>
      <c r="D29" s="653" t="s">
        <v>155</v>
      </c>
      <c r="E29" s="136">
        <f>G24</f>
        <v>0</v>
      </c>
      <c r="F29" s="136">
        <v>69</v>
      </c>
      <c r="G29" s="654">
        <f>E29*F29</f>
        <v>0</v>
      </c>
      <c r="H29" s="556">
        <f t="shared" si="6"/>
        <v>0</v>
      </c>
      <c r="I29" s="652"/>
      <c r="J29" s="621">
        <f>H29/DAY(B2)</f>
        <v>0</v>
      </c>
      <c r="K29" s="575"/>
      <c r="L29" s="548"/>
      <c r="N29" s="569"/>
      <c r="O29" s="570"/>
    </row>
    <row r="30" spans="1:15" ht="26.25">
      <c r="A30" s="581" t="s">
        <v>156</v>
      </c>
      <c r="B30" s="647"/>
      <c r="C30" s="648"/>
      <c r="D30" s="653" t="s">
        <v>157</v>
      </c>
      <c r="E30" s="136">
        <f>G19</f>
        <v>56</v>
      </c>
      <c r="F30" s="136">
        <v>151</v>
      </c>
      <c r="G30" s="654">
        <f>E30*F30</f>
        <v>8456</v>
      </c>
      <c r="H30" s="556">
        <f t="shared" si="6"/>
        <v>8456</v>
      </c>
      <c r="I30" s="652"/>
      <c r="J30" s="621">
        <f>H30/DAY(B2)</f>
        <v>8456</v>
      </c>
      <c r="K30" s="575"/>
      <c r="L30" s="548"/>
      <c r="N30" s="569"/>
      <c r="O30" s="570"/>
    </row>
    <row r="31" spans="1:15" ht="26.25">
      <c r="A31" s="581" t="s">
        <v>158</v>
      </c>
      <c r="B31" s="647"/>
      <c r="C31" s="648"/>
      <c r="D31" s="653" t="s">
        <v>142</v>
      </c>
      <c r="E31" s="136">
        <f>G18</f>
        <v>260</v>
      </c>
      <c r="F31" s="136">
        <v>80</v>
      </c>
      <c r="G31" s="654">
        <f>E31*F31</f>
        <v>20800</v>
      </c>
      <c r="H31" s="556">
        <f t="shared" si="6"/>
        <v>20800</v>
      </c>
      <c r="I31" s="652"/>
      <c r="J31" s="621">
        <f>H31/DAY(B2)</f>
        <v>20800</v>
      </c>
      <c r="K31" s="575"/>
      <c r="L31" s="548"/>
      <c r="N31" s="569"/>
      <c r="O31" s="570"/>
    </row>
    <row r="32" spans="1:15" ht="26.25">
      <c r="A32" s="582" t="s">
        <v>159</v>
      </c>
      <c r="B32" s="656"/>
      <c r="C32" s="657"/>
      <c r="D32" s="658"/>
      <c r="E32" s="142"/>
      <c r="F32" s="659"/>
      <c r="G32" s="660">
        <f>G27+G28+G29+G30+G31</f>
        <v>358647</v>
      </c>
      <c r="H32" s="661">
        <f t="shared" si="6"/>
        <v>358647</v>
      </c>
      <c r="I32" s="662"/>
      <c r="J32" s="663">
        <f>H32/DAY(B2)</f>
        <v>358647</v>
      </c>
      <c r="K32" s="575"/>
      <c r="L32" s="548"/>
      <c r="N32" s="569"/>
      <c r="O32" s="570"/>
    </row>
    <row r="33" spans="1:15" ht="25.5" customHeight="1">
      <c r="A33" s="815" t="s">
        <v>331</v>
      </c>
      <c r="B33" s="816"/>
      <c r="C33" s="816"/>
      <c r="D33" s="664"/>
      <c r="E33" s="529"/>
      <c r="F33" s="665"/>
      <c r="G33" s="665"/>
      <c r="H33" s="665"/>
      <c r="I33" s="665"/>
      <c r="J33" s="666"/>
      <c r="K33" s="575"/>
      <c r="L33" s="548"/>
      <c r="N33" s="569"/>
      <c r="O33" s="570"/>
    </row>
    <row r="34" spans="1:15" ht="26.25">
      <c r="A34" s="583" t="s">
        <v>160</v>
      </c>
      <c r="B34" s="667"/>
      <c r="C34" s="667"/>
      <c r="D34" s="562"/>
      <c r="E34" s="110"/>
      <c r="F34" s="629"/>
      <c r="G34" s="629"/>
      <c r="H34" s="629"/>
      <c r="I34" s="629"/>
      <c r="J34" s="631"/>
      <c r="K34" s="575"/>
      <c r="L34" s="548"/>
      <c r="N34" s="569"/>
      <c r="O34" s="570"/>
    </row>
    <row r="35" spans="1:15" ht="26.25">
      <c r="A35" s="566" t="s">
        <v>161</v>
      </c>
      <c r="B35" s="618"/>
      <c r="C35" s="618"/>
      <c r="D35" s="567" t="s">
        <v>130</v>
      </c>
      <c r="E35" s="145">
        <v>238714</v>
      </c>
      <c r="F35" s="626">
        <v>238714</v>
      </c>
      <c r="G35" s="627">
        <f t="shared" ref="G35:G46" si="7">F35-E35</f>
        <v>0</v>
      </c>
      <c r="H35" s="556">
        <f t="shared" ref="H35:H47" si="8">G35</f>
        <v>0</v>
      </c>
      <c r="I35" s="556"/>
      <c r="J35" s="621">
        <f>H35/DAY(B2)</f>
        <v>0</v>
      </c>
      <c r="K35" s="575"/>
      <c r="L35" s="548"/>
      <c r="N35" s="569"/>
      <c r="O35" s="570"/>
    </row>
    <row r="36" spans="1:15" ht="26.25">
      <c r="A36" s="566" t="s">
        <v>162</v>
      </c>
      <c r="B36" s="618"/>
      <c r="C36" s="618"/>
      <c r="D36" s="567" t="s">
        <v>130</v>
      </c>
      <c r="E36" s="145">
        <v>160448</v>
      </c>
      <c r="F36" s="626">
        <v>161144</v>
      </c>
      <c r="G36" s="627">
        <f t="shared" si="7"/>
        <v>696</v>
      </c>
      <c r="H36" s="556">
        <f t="shared" si="8"/>
        <v>696</v>
      </c>
      <c r="I36" s="556"/>
      <c r="J36" s="621">
        <f>H36/DAY(B2)</f>
        <v>696</v>
      </c>
      <c r="K36" s="575"/>
      <c r="L36" s="548"/>
      <c r="N36" s="569"/>
      <c r="O36" s="584"/>
    </row>
    <row r="37" spans="1:15" ht="26.25">
      <c r="A37" s="566" t="s">
        <v>163</v>
      </c>
      <c r="B37" s="618"/>
      <c r="C37" s="618"/>
      <c r="D37" s="567" t="s">
        <v>130</v>
      </c>
      <c r="E37" s="145">
        <v>235779</v>
      </c>
      <c r="F37" s="626">
        <v>237493</v>
      </c>
      <c r="G37" s="627">
        <f t="shared" si="7"/>
        <v>1714</v>
      </c>
      <c r="H37" s="556">
        <f t="shared" si="8"/>
        <v>1714</v>
      </c>
      <c r="I37" s="556"/>
      <c r="J37" s="621">
        <f>H37/DAY(B2)</f>
        <v>1714</v>
      </c>
      <c r="K37" s="575"/>
      <c r="L37" s="548"/>
      <c r="N37" s="569"/>
      <c r="O37" s="585"/>
    </row>
    <row r="38" spans="1:15" ht="26.25">
      <c r="A38" s="566" t="s">
        <v>164</v>
      </c>
      <c r="B38" s="618"/>
      <c r="C38" s="618"/>
      <c r="D38" s="567" t="s">
        <v>130</v>
      </c>
      <c r="E38" s="108">
        <v>316292</v>
      </c>
      <c r="F38" s="556">
        <v>318954</v>
      </c>
      <c r="G38" s="627">
        <f t="shared" si="7"/>
        <v>2662</v>
      </c>
      <c r="H38" s="556">
        <f t="shared" si="8"/>
        <v>2662</v>
      </c>
      <c r="I38" s="556"/>
      <c r="J38" s="621">
        <f>H38/DAY(B2)</f>
        <v>2662</v>
      </c>
      <c r="K38" s="575"/>
      <c r="L38" s="548"/>
      <c r="N38" s="569"/>
      <c r="O38" s="570"/>
    </row>
    <row r="39" spans="1:15" ht="26.25">
      <c r="A39" s="566" t="s">
        <v>165</v>
      </c>
      <c r="B39" s="618"/>
      <c r="C39" s="618"/>
      <c r="D39" s="567" t="s">
        <v>130</v>
      </c>
      <c r="E39" s="145">
        <v>432285</v>
      </c>
      <c r="F39" s="626">
        <v>435319</v>
      </c>
      <c r="G39" s="627">
        <f t="shared" si="7"/>
        <v>3034</v>
      </c>
      <c r="H39" s="556">
        <f t="shared" si="8"/>
        <v>3034</v>
      </c>
      <c r="I39" s="556"/>
      <c r="J39" s="621">
        <f>H39/DAY(B2)</f>
        <v>3034</v>
      </c>
      <c r="K39" s="575"/>
      <c r="L39" s="548"/>
      <c r="N39" s="569"/>
      <c r="O39" s="570"/>
    </row>
    <row r="40" spans="1:15" ht="26.25">
      <c r="A40" s="586" t="s">
        <v>166</v>
      </c>
      <c r="B40" s="668"/>
      <c r="C40" s="668"/>
      <c r="D40" s="567" t="s">
        <v>130</v>
      </c>
      <c r="E40" s="145">
        <v>73553</v>
      </c>
      <c r="F40" s="626">
        <v>73807</v>
      </c>
      <c r="G40" s="627">
        <f t="shared" si="7"/>
        <v>254</v>
      </c>
      <c r="H40" s="556">
        <f t="shared" si="8"/>
        <v>254</v>
      </c>
      <c r="I40" s="556"/>
      <c r="J40" s="621">
        <f>H40/DAY(B2)</f>
        <v>254</v>
      </c>
      <c r="K40" s="577"/>
      <c r="L40" s="548"/>
      <c r="N40" s="569"/>
      <c r="O40" s="570"/>
    </row>
    <row r="41" spans="1:15" ht="26.25">
      <c r="A41" s="566" t="s">
        <v>167</v>
      </c>
      <c r="B41" s="618"/>
      <c r="C41" s="618"/>
      <c r="D41" s="567" t="s">
        <v>130</v>
      </c>
      <c r="E41" s="145">
        <v>68835</v>
      </c>
      <c r="F41" s="626">
        <v>68835</v>
      </c>
      <c r="G41" s="627">
        <f t="shared" si="7"/>
        <v>0</v>
      </c>
      <c r="H41" s="556">
        <f t="shared" si="8"/>
        <v>0</v>
      </c>
      <c r="I41" s="556"/>
      <c r="J41" s="621">
        <f>H41/DAY(B2)</f>
        <v>0</v>
      </c>
      <c r="K41" s="575"/>
      <c r="L41" s="548"/>
      <c r="N41" s="569"/>
      <c r="O41" s="570"/>
    </row>
    <row r="42" spans="1:15" ht="26.25">
      <c r="A42" s="566" t="s">
        <v>168</v>
      </c>
      <c r="B42" s="618"/>
      <c r="C42" s="618"/>
      <c r="D42" s="567" t="s">
        <v>130</v>
      </c>
      <c r="E42" s="145">
        <v>559872</v>
      </c>
      <c r="F42" s="626">
        <v>564468</v>
      </c>
      <c r="G42" s="627">
        <f t="shared" si="7"/>
        <v>4596</v>
      </c>
      <c r="H42" s="556">
        <f t="shared" si="8"/>
        <v>4596</v>
      </c>
      <c r="I42" s="556"/>
      <c r="J42" s="621">
        <f>H42/DAY(B2)</f>
        <v>4596</v>
      </c>
      <c r="K42" s="575"/>
      <c r="L42" s="548"/>
      <c r="N42" s="569"/>
      <c r="O42" s="570"/>
    </row>
    <row r="43" spans="1:15" ht="26.25">
      <c r="A43" s="566" t="s">
        <v>169</v>
      </c>
      <c r="B43" s="618"/>
      <c r="C43" s="618"/>
      <c r="D43" s="567" t="s">
        <v>130</v>
      </c>
      <c r="E43" s="145">
        <v>407028</v>
      </c>
      <c r="F43" s="626">
        <v>407028</v>
      </c>
      <c r="G43" s="627">
        <f t="shared" si="7"/>
        <v>0</v>
      </c>
      <c r="H43" s="556">
        <f t="shared" si="8"/>
        <v>0</v>
      </c>
      <c r="I43" s="556"/>
      <c r="J43" s="621">
        <f>H43/DAY(B2)</f>
        <v>0</v>
      </c>
      <c r="K43" s="575"/>
      <c r="L43" s="548"/>
      <c r="N43" s="569"/>
      <c r="O43" s="570"/>
    </row>
    <row r="44" spans="1:15" ht="26.25">
      <c r="A44" s="566" t="s">
        <v>170</v>
      </c>
      <c r="B44" s="618"/>
      <c r="C44" s="618"/>
      <c r="D44" s="567" t="s">
        <v>130</v>
      </c>
      <c r="E44" s="145">
        <v>0</v>
      </c>
      <c r="F44" s="626">
        <v>0</v>
      </c>
      <c r="G44" s="627">
        <f t="shared" si="7"/>
        <v>0</v>
      </c>
      <c r="H44" s="556">
        <f t="shared" si="8"/>
        <v>0</v>
      </c>
      <c r="I44" s="556"/>
      <c r="J44" s="621">
        <f>H44/DAY(B2)</f>
        <v>0</v>
      </c>
      <c r="K44" s="575"/>
      <c r="L44" s="548"/>
      <c r="N44" s="569"/>
      <c r="O44" s="570"/>
    </row>
    <row r="45" spans="1:15" ht="26.25">
      <c r="A45" s="566" t="s">
        <v>171</v>
      </c>
      <c r="B45" s="618"/>
      <c r="C45" s="618"/>
      <c r="D45" s="567" t="s">
        <v>130</v>
      </c>
      <c r="E45" s="145">
        <v>0</v>
      </c>
      <c r="F45" s="626">
        <v>0</v>
      </c>
      <c r="G45" s="627">
        <f t="shared" si="7"/>
        <v>0</v>
      </c>
      <c r="H45" s="556">
        <f t="shared" si="8"/>
        <v>0</v>
      </c>
      <c r="I45" s="556"/>
      <c r="J45" s="621">
        <f>H45/DAY(B2)</f>
        <v>0</v>
      </c>
      <c r="K45" s="575"/>
      <c r="L45" s="548"/>
      <c r="N45" s="569"/>
      <c r="O45" s="570"/>
    </row>
    <row r="46" spans="1:15" ht="26.25">
      <c r="A46" s="566" t="s">
        <v>172</v>
      </c>
      <c r="B46" s="618"/>
      <c r="C46" s="618"/>
      <c r="D46" s="567" t="s">
        <v>130</v>
      </c>
      <c r="E46" s="145">
        <v>0</v>
      </c>
      <c r="F46" s="626">
        <v>0</v>
      </c>
      <c r="G46" s="627">
        <f t="shared" si="7"/>
        <v>0</v>
      </c>
      <c r="H46" s="556">
        <f t="shared" si="8"/>
        <v>0</v>
      </c>
      <c r="I46" s="556"/>
      <c r="J46" s="621">
        <f>H46/DAY(B2)</f>
        <v>0</v>
      </c>
      <c r="K46" s="575"/>
      <c r="L46" s="548"/>
      <c r="N46" s="569"/>
      <c r="O46" s="570"/>
    </row>
    <row r="47" spans="1:15" ht="26.25">
      <c r="A47" s="576" t="s">
        <v>173</v>
      </c>
      <c r="B47" s="628"/>
      <c r="C47" s="628"/>
      <c r="D47" s="669"/>
      <c r="E47" s="146"/>
      <c r="F47" s="556"/>
      <c r="G47" s="602">
        <f>G35+G36+G37+G38+G39+G40+G41+G42+G43+G44+G45+G46</f>
        <v>12956</v>
      </c>
      <c r="H47" s="556">
        <f t="shared" si="8"/>
        <v>12956</v>
      </c>
      <c r="I47" s="556"/>
      <c r="J47" s="621">
        <f>H47/DAY(B2)</f>
        <v>12956</v>
      </c>
      <c r="K47" s="575"/>
      <c r="L47" s="548"/>
      <c r="N47" s="569"/>
      <c r="O47" s="570"/>
    </row>
    <row r="48" spans="1:15" ht="26.25">
      <c r="A48" s="583" t="s">
        <v>174</v>
      </c>
      <c r="B48" s="667"/>
      <c r="C48" s="667"/>
      <c r="D48" s="562"/>
      <c r="E48" s="110"/>
      <c r="F48" s="629"/>
      <c r="G48" s="629"/>
      <c r="H48" s="629"/>
      <c r="I48" s="629"/>
      <c r="J48" s="631"/>
      <c r="K48" s="575"/>
      <c r="L48" s="548"/>
      <c r="N48" s="569"/>
      <c r="O48" s="570"/>
    </row>
    <row r="49" spans="1:15" ht="26.25">
      <c r="A49" s="566" t="s">
        <v>161</v>
      </c>
      <c r="B49" s="670"/>
      <c r="C49" s="670"/>
      <c r="D49" s="567" t="s">
        <v>130</v>
      </c>
      <c r="E49" s="145">
        <v>257147</v>
      </c>
      <c r="F49" s="626">
        <v>261622</v>
      </c>
      <c r="G49" s="627">
        <f t="shared" ref="G49:G58" si="9">F49-E49</f>
        <v>4475</v>
      </c>
      <c r="H49" s="556">
        <f t="shared" ref="H49:H60" si="10">G49</f>
        <v>4475</v>
      </c>
      <c r="I49" s="556"/>
      <c r="J49" s="621">
        <f>H49/DAY(B2)</f>
        <v>4475</v>
      </c>
      <c r="K49" s="575"/>
      <c r="L49" s="548"/>
      <c r="N49" s="569"/>
      <c r="O49" s="570"/>
    </row>
    <row r="50" spans="1:15" ht="26.25">
      <c r="A50" s="566" t="s">
        <v>175</v>
      </c>
      <c r="B50" s="670"/>
      <c r="C50" s="670"/>
      <c r="D50" s="567" t="s">
        <v>130</v>
      </c>
      <c r="E50" s="145">
        <v>209564</v>
      </c>
      <c r="F50" s="626">
        <v>210379</v>
      </c>
      <c r="G50" s="627">
        <f t="shared" si="9"/>
        <v>815</v>
      </c>
      <c r="H50" s="556">
        <f t="shared" si="10"/>
        <v>815</v>
      </c>
      <c r="I50" s="556"/>
      <c r="J50" s="621">
        <f>H50/DAY(B2)</f>
        <v>815</v>
      </c>
      <c r="K50" s="575"/>
      <c r="L50" s="548"/>
      <c r="N50" s="569"/>
      <c r="O50" s="570"/>
    </row>
    <row r="51" spans="1:15" ht="26.25">
      <c r="A51" s="566" t="s">
        <v>163</v>
      </c>
      <c r="B51" s="670"/>
      <c r="C51" s="670"/>
      <c r="D51" s="567" t="s">
        <v>130</v>
      </c>
      <c r="E51" s="145">
        <v>75.680000000000007</v>
      </c>
      <c r="F51" s="626">
        <v>76</v>
      </c>
      <c r="G51" s="627">
        <f t="shared" si="9"/>
        <v>0.31999999999999318</v>
      </c>
      <c r="H51" s="556">
        <f t="shared" si="10"/>
        <v>0.31999999999999318</v>
      </c>
      <c r="I51" s="556"/>
      <c r="J51" s="621">
        <f>H51/DAY(B2)</f>
        <v>0.31999999999999318</v>
      </c>
      <c r="K51" s="575"/>
      <c r="L51" s="548"/>
      <c r="N51" s="569"/>
      <c r="O51" s="570"/>
    </row>
    <row r="52" spans="1:15" ht="26.25">
      <c r="A52" s="566" t="s">
        <v>176</v>
      </c>
      <c r="B52" s="670"/>
      <c r="C52" s="670"/>
      <c r="D52" s="567" t="s">
        <v>130</v>
      </c>
      <c r="E52" s="145">
        <v>10</v>
      </c>
      <c r="F52" s="626">
        <v>9.76</v>
      </c>
      <c r="G52" s="627">
        <f t="shared" si="9"/>
        <v>-0.24000000000000021</v>
      </c>
      <c r="H52" s="556">
        <f t="shared" si="10"/>
        <v>-0.24000000000000021</v>
      </c>
      <c r="I52" s="556"/>
      <c r="J52" s="621">
        <f>H52/DAY(B2)</f>
        <v>-0.24000000000000021</v>
      </c>
      <c r="K52" s="575"/>
      <c r="L52" s="548"/>
      <c r="N52" s="569"/>
      <c r="O52" s="570"/>
    </row>
    <row r="53" spans="1:15" ht="26.25">
      <c r="A53" s="566" t="s">
        <v>165</v>
      </c>
      <c r="B53" s="670"/>
      <c r="C53" s="670"/>
      <c r="D53" s="567" t="s">
        <v>130</v>
      </c>
      <c r="E53" s="145">
        <v>0</v>
      </c>
      <c r="F53" s="626">
        <v>0</v>
      </c>
      <c r="G53" s="627">
        <f t="shared" si="9"/>
        <v>0</v>
      </c>
      <c r="H53" s="556">
        <f t="shared" si="10"/>
        <v>0</v>
      </c>
      <c r="I53" s="556"/>
      <c r="J53" s="621">
        <f>H53/DAY(B2)</f>
        <v>0</v>
      </c>
      <c r="K53" s="575"/>
      <c r="L53" s="548"/>
      <c r="N53" s="569"/>
      <c r="O53" s="570"/>
    </row>
    <row r="54" spans="1:15" ht="26.25">
      <c r="A54" s="566" t="s">
        <v>177</v>
      </c>
      <c r="B54" s="670"/>
      <c r="C54" s="670"/>
      <c r="D54" s="567" t="s">
        <v>130</v>
      </c>
      <c r="E54" s="145">
        <v>64556</v>
      </c>
      <c r="F54" s="626">
        <v>65016</v>
      </c>
      <c r="G54" s="627">
        <f t="shared" si="9"/>
        <v>460</v>
      </c>
      <c r="H54" s="556">
        <f t="shared" si="10"/>
        <v>460</v>
      </c>
      <c r="I54" s="556"/>
      <c r="J54" s="621">
        <f>H54/DAY(B2)</f>
        <v>460</v>
      </c>
      <c r="K54" s="575"/>
      <c r="L54" s="548"/>
      <c r="N54" s="569"/>
      <c r="O54" s="570"/>
    </row>
    <row r="55" spans="1:15" ht="26.25">
      <c r="A55" s="566" t="s">
        <v>178</v>
      </c>
      <c r="B55" s="670"/>
      <c r="C55" s="670"/>
      <c r="D55" s="567" t="s">
        <v>130</v>
      </c>
      <c r="E55" s="145">
        <v>225473</v>
      </c>
      <c r="F55" s="626">
        <v>228885</v>
      </c>
      <c r="G55" s="627">
        <f t="shared" si="9"/>
        <v>3412</v>
      </c>
      <c r="H55" s="556">
        <f t="shared" si="10"/>
        <v>3412</v>
      </c>
      <c r="I55" s="556"/>
      <c r="J55" s="621">
        <f>H55/DAY(B2)</f>
        <v>3412</v>
      </c>
      <c r="K55" s="575"/>
      <c r="L55" s="548"/>
      <c r="N55" s="569"/>
      <c r="O55" s="570"/>
    </row>
    <row r="56" spans="1:15" ht="26.25">
      <c r="A56" s="566" t="s">
        <v>179</v>
      </c>
      <c r="B56" s="670"/>
      <c r="C56" s="670"/>
      <c r="D56" s="567" t="s">
        <v>180</v>
      </c>
      <c r="E56" s="145">
        <v>107246</v>
      </c>
      <c r="F56" s="626">
        <v>107245.66</v>
      </c>
      <c r="G56" s="627">
        <f t="shared" si="9"/>
        <v>-0.33999999999650754</v>
      </c>
      <c r="H56" s="556">
        <f t="shared" si="10"/>
        <v>-0.33999999999650754</v>
      </c>
      <c r="I56" s="556"/>
      <c r="J56" s="621">
        <f>H56/DAY(B2)</f>
        <v>-0.33999999999650754</v>
      </c>
      <c r="K56" s="587"/>
      <c r="L56" s="548"/>
      <c r="N56" s="569"/>
      <c r="O56" s="570"/>
    </row>
    <row r="57" spans="1:15" ht="26.25">
      <c r="A57" s="566" t="s">
        <v>169</v>
      </c>
      <c r="B57" s="670"/>
      <c r="C57" s="670"/>
      <c r="D57" s="567" t="s">
        <v>130</v>
      </c>
      <c r="E57" s="145">
        <v>35789</v>
      </c>
      <c r="F57" s="759">
        <v>38378</v>
      </c>
      <c r="G57" s="627">
        <f t="shared" si="9"/>
        <v>2589</v>
      </c>
      <c r="H57" s="556">
        <f t="shared" si="10"/>
        <v>2589</v>
      </c>
      <c r="I57" s="556"/>
      <c r="J57" s="621">
        <f>H57/DAY(B2)</f>
        <v>2589</v>
      </c>
      <c r="K57" s="575"/>
      <c r="L57" s="548"/>
      <c r="N57" s="569"/>
      <c r="O57" s="570"/>
    </row>
    <row r="58" spans="1:15" ht="26.25">
      <c r="A58" s="566" t="s">
        <v>181</v>
      </c>
      <c r="B58" s="670"/>
      <c r="C58" s="670"/>
      <c r="D58" s="567" t="s">
        <v>130</v>
      </c>
      <c r="E58" s="145">
        <v>32659</v>
      </c>
      <c r="F58" s="626">
        <v>32898</v>
      </c>
      <c r="G58" s="627">
        <f t="shared" si="9"/>
        <v>239</v>
      </c>
      <c r="H58" s="556">
        <f t="shared" si="10"/>
        <v>239</v>
      </c>
      <c r="I58" s="556"/>
      <c r="J58" s="621">
        <f>H58/DAY(B2)</f>
        <v>239</v>
      </c>
      <c r="K58" s="575"/>
      <c r="L58" s="548"/>
      <c r="N58" s="569"/>
      <c r="O58" s="570"/>
    </row>
    <row r="59" spans="1:15" ht="26.25">
      <c r="A59" s="576" t="s">
        <v>173</v>
      </c>
      <c r="B59" s="628"/>
      <c r="C59" s="628"/>
      <c r="D59" s="552"/>
      <c r="E59" s="146"/>
      <c r="F59" s="556"/>
      <c r="G59" s="602">
        <f>G49+G50+G51+G52+G53+G54+G55+G56+G57+G58</f>
        <v>11989.740000000003</v>
      </c>
      <c r="H59" s="556">
        <f t="shared" si="10"/>
        <v>11989.740000000003</v>
      </c>
      <c r="I59" s="556">
        <f>G7-G60</f>
        <v>2070.2599999999948</v>
      </c>
      <c r="J59" s="621">
        <f>H59/DAY(B2)</f>
        <v>11989.740000000003</v>
      </c>
      <c r="K59" s="575"/>
      <c r="L59" s="548"/>
      <c r="N59" s="569"/>
      <c r="O59" s="570"/>
    </row>
    <row r="60" spans="1:15" ht="26.25">
      <c r="A60" s="566"/>
      <c r="B60" s="618"/>
      <c r="C60" s="618"/>
      <c r="D60" s="552" t="s">
        <v>182</v>
      </c>
      <c r="E60" s="146"/>
      <c r="F60" s="556"/>
      <c r="G60" s="602">
        <f>G47+G59</f>
        <v>24945.740000000005</v>
      </c>
      <c r="H60" s="556">
        <f t="shared" si="10"/>
        <v>24945.740000000005</v>
      </c>
      <c r="I60" s="556">
        <f>G13-G60</f>
        <v>1163.2599999999948</v>
      </c>
      <c r="J60" s="621">
        <f>H60/DAY(B2)</f>
        <v>24945.740000000005</v>
      </c>
      <c r="K60" s="575"/>
      <c r="L60" s="548"/>
      <c r="N60" s="569"/>
      <c r="O60" s="570"/>
    </row>
    <row r="61" spans="1:15" s="590" customFormat="1" ht="26.25">
      <c r="A61" s="817" t="s">
        <v>332</v>
      </c>
      <c r="B61" s="818"/>
      <c r="C61" s="819"/>
      <c r="D61" s="671"/>
      <c r="E61" s="339"/>
      <c r="F61" s="672"/>
      <c r="G61" s="673"/>
      <c r="H61" s="672"/>
      <c r="I61" s="672"/>
      <c r="J61" s="674"/>
      <c r="K61" s="588"/>
      <c r="L61" s="589"/>
      <c r="N61" s="569"/>
      <c r="O61" s="570"/>
    </row>
    <row r="62" spans="1:15" ht="26.25">
      <c r="A62" s="801" t="s">
        <v>198</v>
      </c>
      <c r="B62" s="802"/>
      <c r="C62" s="803"/>
      <c r="D62" s="567" t="s">
        <v>142</v>
      </c>
      <c r="E62" s="122">
        <v>288900</v>
      </c>
      <c r="F62" s="639">
        <v>289090</v>
      </c>
      <c r="G62" s="627">
        <f t="shared" ref="G62:G63" si="11">F62-E62</f>
        <v>190</v>
      </c>
      <c r="H62" s="556">
        <f t="shared" ref="H62:H71" si="12">G62</f>
        <v>190</v>
      </c>
      <c r="I62" s="556"/>
      <c r="J62" s="621">
        <f>H62/DAY(B2)</f>
        <v>190</v>
      </c>
      <c r="K62" s="577"/>
      <c r="L62" s="548"/>
      <c r="N62" s="569"/>
      <c r="O62" s="570"/>
    </row>
    <row r="63" spans="1:15" ht="26.25">
      <c r="A63" s="801" t="s">
        <v>199</v>
      </c>
      <c r="B63" s="802"/>
      <c r="C63" s="803"/>
      <c r="D63" s="567" t="s">
        <v>142</v>
      </c>
      <c r="E63" s="164">
        <v>231162</v>
      </c>
      <c r="F63" s="639">
        <v>231281</v>
      </c>
      <c r="G63" s="627">
        <f t="shared" si="11"/>
        <v>119</v>
      </c>
      <c r="H63" s="556">
        <f t="shared" si="12"/>
        <v>119</v>
      </c>
      <c r="I63" s="556"/>
      <c r="J63" s="621">
        <f>H63/DAY(B2)</f>
        <v>119</v>
      </c>
      <c r="K63" s="588"/>
      <c r="L63" s="548"/>
      <c r="N63" s="569"/>
      <c r="O63" s="570"/>
    </row>
    <row r="64" spans="1:15" ht="26.25">
      <c r="A64" s="786" t="s">
        <v>200</v>
      </c>
      <c r="B64" s="787"/>
      <c r="C64" s="788"/>
      <c r="D64" s="567"/>
      <c r="E64" s="122"/>
      <c r="F64" s="639"/>
      <c r="G64" s="627">
        <f>G62+G63</f>
        <v>309</v>
      </c>
      <c r="H64" s="556">
        <f t="shared" si="12"/>
        <v>309</v>
      </c>
      <c r="I64" s="556"/>
      <c r="J64" s="621">
        <f>H64/DAY(B2)</f>
        <v>309</v>
      </c>
      <c r="K64" s="588"/>
      <c r="L64" s="548"/>
      <c r="N64" s="569"/>
      <c r="O64" s="570"/>
    </row>
    <row r="65" spans="1:15" ht="26.25">
      <c r="A65" s="801" t="s">
        <v>201</v>
      </c>
      <c r="B65" s="802"/>
      <c r="C65" s="803"/>
      <c r="D65" s="567" t="s">
        <v>142</v>
      </c>
      <c r="E65" s="122">
        <v>448027</v>
      </c>
      <c r="F65" s="639">
        <v>448143</v>
      </c>
      <c r="G65" s="627">
        <f t="shared" ref="G65:G70" si="13">F65-E65</f>
        <v>116</v>
      </c>
      <c r="H65" s="556">
        <f t="shared" si="12"/>
        <v>116</v>
      </c>
      <c r="I65" s="556"/>
      <c r="J65" s="621">
        <f>H65/DAY(B2)</f>
        <v>116</v>
      </c>
      <c r="K65" s="588"/>
      <c r="L65" s="548"/>
      <c r="N65" s="569"/>
      <c r="O65" s="570"/>
    </row>
    <row r="66" spans="1:15" ht="26.25">
      <c r="A66" s="578" t="s">
        <v>202</v>
      </c>
      <c r="B66" s="632"/>
      <c r="C66" s="632"/>
      <c r="D66" s="567" t="s">
        <v>142</v>
      </c>
      <c r="E66" s="122">
        <v>110331</v>
      </c>
      <c r="F66" s="639">
        <v>110349</v>
      </c>
      <c r="G66" s="627">
        <f t="shared" si="13"/>
        <v>18</v>
      </c>
      <c r="H66" s="556">
        <f t="shared" si="12"/>
        <v>18</v>
      </c>
      <c r="I66" s="556"/>
      <c r="J66" s="621">
        <f>H66/DAY(B2)</f>
        <v>18</v>
      </c>
      <c r="K66" s="587"/>
      <c r="L66" s="548"/>
      <c r="N66" s="569"/>
      <c r="O66" s="570"/>
    </row>
    <row r="67" spans="1:15" ht="26.25">
      <c r="A67" s="578" t="s">
        <v>203</v>
      </c>
      <c r="B67" s="632"/>
      <c r="C67" s="632"/>
      <c r="D67" s="567" t="s">
        <v>142</v>
      </c>
      <c r="E67" s="122">
        <v>113278</v>
      </c>
      <c r="F67" s="639">
        <v>113345</v>
      </c>
      <c r="G67" s="627">
        <f t="shared" si="13"/>
        <v>67</v>
      </c>
      <c r="H67" s="556">
        <f t="shared" si="12"/>
        <v>67</v>
      </c>
      <c r="I67" s="556"/>
      <c r="J67" s="621">
        <f>H67/DAY(B2)</f>
        <v>67</v>
      </c>
      <c r="K67" s="591"/>
      <c r="L67" s="548"/>
      <c r="N67" s="569"/>
      <c r="O67" s="570"/>
    </row>
    <row r="68" spans="1:15" ht="26.25">
      <c r="A68" s="578" t="s">
        <v>204</v>
      </c>
      <c r="B68" s="632"/>
      <c r="C68" s="632"/>
      <c r="D68" s="567" t="s">
        <v>142</v>
      </c>
      <c r="E68" s="122">
        <v>162494</v>
      </c>
      <c r="F68" s="639">
        <v>162509</v>
      </c>
      <c r="G68" s="627">
        <f t="shared" si="13"/>
        <v>15</v>
      </c>
      <c r="H68" s="556">
        <f t="shared" si="12"/>
        <v>15</v>
      </c>
      <c r="I68" s="556"/>
      <c r="J68" s="621">
        <f>H68/DAY(B2)</f>
        <v>15</v>
      </c>
      <c r="K68" s="588"/>
      <c r="L68" s="548"/>
      <c r="N68" s="569"/>
      <c r="O68" s="570"/>
    </row>
    <row r="69" spans="1:15" ht="26.25">
      <c r="A69" s="578" t="s">
        <v>205</v>
      </c>
      <c r="B69" s="632"/>
      <c r="C69" s="632"/>
      <c r="D69" s="567" t="s">
        <v>142</v>
      </c>
      <c r="E69" s="122">
        <v>11869</v>
      </c>
      <c r="F69" s="639">
        <v>11874</v>
      </c>
      <c r="G69" s="627">
        <f t="shared" si="13"/>
        <v>5</v>
      </c>
      <c r="H69" s="556">
        <f t="shared" si="12"/>
        <v>5</v>
      </c>
      <c r="I69" s="556"/>
      <c r="J69" s="621">
        <f>H69/DAY(B2)</f>
        <v>5</v>
      </c>
      <c r="K69" s="588"/>
      <c r="L69" s="548"/>
      <c r="N69" s="569"/>
      <c r="O69" s="570"/>
    </row>
    <row r="70" spans="1:15" ht="26.25">
      <c r="A70" s="578" t="s">
        <v>206</v>
      </c>
      <c r="B70" s="632"/>
      <c r="C70" s="632"/>
      <c r="D70" s="567" t="s">
        <v>142</v>
      </c>
      <c r="E70" s="122">
        <v>9267</v>
      </c>
      <c r="F70" s="675">
        <v>9291</v>
      </c>
      <c r="G70" s="676">
        <f t="shared" si="13"/>
        <v>24</v>
      </c>
      <c r="H70" s="556">
        <f t="shared" si="12"/>
        <v>24</v>
      </c>
      <c r="I70" s="555"/>
      <c r="J70" s="621">
        <f>H70/DAY(B2)</f>
        <v>24</v>
      </c>
      <c r="K70" s="588"/>
      <c r="L70" s="548"/>
      <c r="N70" s="569"/>
      <c r="O70" s="570"/>
    </row>
    <row r="71" spans="1:15" ht="26.25">
      <c r="A71" s="786" t="s">
        <v>208</v>
      </c>
      <c r="B71" s="787"/>
      <c r="C71" s="788"/>
      <c r="D71" s="636"/>
      <c r="E71" s="152"/>
      <c r="F71" s="636"/>
      <c r="G71" s="677">
        <f>SUM(G65:G70)</f>
        <v>245</v>
      </c>
      <c r="H71" s="556">
        <f t="shared" si="12"/>
        <v>245</v>
      </c>
      <c r="I71" s="678"/>
      <c r="J71" s="621">
        <f>H71/DAY(B2)</f>
        <v>245</v>
      </c>
      <c r="K71" s="588"/>
      <c r="L71" s="548"/>
      <c r="N71" s="569"/>
      <c r="O71" s="570"/>
    </row>
    <row r="72" spans="1:15" ht="26.25">
      <c r="A72" s="820"/>
      <c r="B72" s="800"/>
      <c r="C72" s="679"/>
      <c r="D72" s="559"/>
      <c r="E72" s="412"/>
      <c r="F72" s="680"/>
      <c r="G72" s="681"/>
      <c r="H72" s="682"/>
      <c r="I72" s="680"/>
      <c r="J72" s="683"/>
      <c r="N72" s="569"/>
      <c r="O72" s="570"/>
    </row>
    <row r="73" spans="1:15" ht="26.25">
      <c r="A73" s="817" t="s">
        <v>333</v>
      </c>
      <c r="B73" s="818"/>
      <c r="C73" s="819"/>
      <c r="D73" s="671"/>
      <c r="E73" s="339"/>
      <c r="F73" s="671"/>
      <c r="G73" s="684"/>
      <c r="H73" s="685"/>
      <c r="I73" s="685"/>
      <c r="J73" s="686"/>
      <c r="K73" s="588"/>
      <c r="L73" s="548"/>
      <c r="N73" s="569"/>
      <c r="O73" s="570"/>
    </row>
    <row r="74" spans="1:15" ht="26.25">
      <c r="A74" s="801" t="s">
        <v>220</v>
      </c>
      <c r="B74" s="802"/>
      <c r="C74" s="803"/>
      <c r="D74" s="567" t="s">
        <v>139</v>
      </c>
      <c r="E74" s="123">
        <v>938670</v>
      </c>
      <c r="F74" s="687">
        <v>938998</v>
      </c>
      <c r="G74" s="676">
        <f t="shared" ref="G74:G78" si="14">F74-E74</f>
        <v>328</v>
      </c>
      <c r="H74" s="556">
        <f t="shared" ref="H74:H79" si="15">G74</f>
        <v>328</v>
      </c>
      <c r="I74" s="678"/>
      <c r="J74" s="621">
        <f>H74/DAY(B2)</f>
        <v>328</v>
      </c>
      <c r="K74" s="588"/>
      <c r="L74" s="548"/>
      <c r="N74" s="569"/>
      <c r="O74" s="570"/>
    </row>
    <row r="75" spans="1:15" ht="26.25">
      <c r="A75" s="801" t="s">
        <v>221</v>
      </c>
      <c r="B75" s="802"/>
      <c r="C75" s="803"/>
      <c r="D75" s="567" t="s">
        <v>139</v>
      </c>
      <c r="E75" s="123">
        <v>73586.8</v>
      </c>
      <c r="F75" s="687">
        <v>73586.8</v>
      </c>
      <c r="G75" s="676">
        <f t="shared" si="14"/>
        <v>0</v>
      </c>
      <c r="H75" s="556">
        <f t="shared" si="15"/>
        <v>0</v>
      </c>
      <c r="I75" s="678"/>
      <c r="J75" s="621">
        <f>H75/DAY(B2)</f>
        <v>0</v>
      </c>
      <c r="K75" s="588"/>
      <c r="L75" s="548"/>
      <c r="N75" s="569"/>
      <c r="O75" s="570"/>
    </row>
    <row r="76" spans="1:15" ht="26.25">
      <c r="A76" s="821" t="s">
        <v>222</v>
      </c>
      <c r="B76" s="822"/>
      <c r="C76" s="823"/>
      <c r="D76" s="567" t="s">
        <v>139</v>
      </c>
      <c r="E76" s="123">
        <v>183706</v>
      </c>
      <c r="F76" s="687">
        <v>183811</v>
      </c>
      <c r="G76" s="676">
        <f t="shared" si="14"/>
        <v>105</v>
      </c>
      <c r="H76" s="556">
        <f t="shared" si="15"/>
        <v>105</v>
      </c>
      <c r="I76" s="678"/>
      <c r="J76" s="621">
        <f>H76/DAY(B2)</f>
        <v>105</v>
      </c>
      <c r="K76" s="588"/>
      <c r="L76" s="548"/>
      <c r="N76" s="569"/>
      <c r="O76" s="570"/>
    </row>
    <row r="77" spans="1:15" ht="26.25">
      <c r="A77" s="821" t="s">
        <v>223</v>
      </c>
      <c r="B77" s="822"/>
      <c r="C77" s="823"/>
      <c r="D77" s="567" t="s">
        <v>139</v>
      </c>
      <c r="E77" s="410">
        <v>47345</v>
      </c>
      <c r="F77" s="687">
        <v>47393</v>
      </c>
      <c r="G77" s="676">
        <f t="shared" si="14"/>
        <v>48</v>
      </c>
      <c r="H77" s="556">
        <f t="shared" si="15"/>
        <v>48</v>
      </c>
      <c r="I77" s="678"/>
      <c r="J77" s="621">
        <f>H77/DAY(B2)</f>
        <v>48</v>
      </c>
      <c r="K77" s="588"/>
      <c r="L77" s="548"/>
      <c r="N77" s="569"/>
      <c r="O77" s="570"/>
    </row>
    <row r="78" spans="1:15" ht="26.25">
      <c r="A78" s="821" t="s">
        <v>224</v>
      </c>
      <c r="B78" s="822"/>
      <c r="C78" s="823"/>
      <c r="D78" s="567" t="s">
        <v>139</v>
      </c>
      <c r="E78" s="410">
        <v>9563</v>
      </c>
      <c r="F78" s="687">
        <v>9563</v>
      </c>
      <c r="G78" s="676">
        <f t="shared" si="14"/>
        <v>0</v>
      </c>
      <c r="H78" s="556">
        <f t="shared" si="15"/>
        <v>0</v>
      </c>
      <c r="I78" s="555"/>
      <c r="J78" s="621">
        <f>H78/DAY(B2)</f>
        <v>0</v>
      </c>
      <c r="K78" s="588"/>
      <c r="L78" s="548"/>
      <c r="N78" s="569"/>
      <c r="O78" s="570"/>
    </row>
    <row r="79" spans="1:15" ht="26.25">
      <c r="A79" s="821" t="s">
        <v>225</v>
      </c>
      <c r="B79" s="822"/>
      <c r="C79" s="823"/>
      <c r="D79" s="567"/>
      <c r="E79" s="123"/>
      <c r="F79" s="687"/>
      <c r="G79" s="676">
        <f>G15-SUM(G74:G78)</f>
        <v>617</v>
      </c>
      <c r="H79" s="556">
        <f t="shared" si="15"/>
        <v>617</v>
      </c>
      <c r="I79" s="555"/>
      <c r="J79" s="621"/>
      <c r="K79" s="588"/>
      <c r="L79" s="548"/>
      <c r="N79" s="569"/>
      <c r="O79" s="570"/>
    </row>
    <row r="80" spans="1:15" ht="26.25">
      <c r="A80" s="786" t="s">
        <v>329</v>
      </c>
      <c r="B80" s="787"/>
      <c r="C80" s="788"/>
      <c r="D80" s="567"/>
      <c r="E80" s="117"/>
      <c r="F80" s="688"/>
      <c r="G80" s="676">
        <f>SUM(G74:G79)</f>
        <v>1098</v>
      </c>
      <c r="H80" s="556"/>
      <c r="I80" s="555"/>
      <c r="J80" s="621"/>
      <c r="K80" s="588"/>
      <c r="L80" s="548"/>
      <c r="N80" s="569"/>
      <c r="O80" s="570"/>
    </row>
    <row r="81" spans="1:15" ht="26.25">
      <c r="A81" s="824" t="s">
        <v>226</v>
      </c>
      <c r="B81" s="825"/>
      <c r="C81" s="826"/>
      <c r="D81" s="561"/>
      <c r="E81" s="110"/>
      <c r="F81" s="562"/>
      <c r="G81" s="689"/>
      <c r="H81" s="690"/>
      <c r="I81" s="690"/>
      <c r="J81" s="691"/>
      <c r="O81" s="570"/>
    </row>
    <row r="82" spans="1:15" ht="26.25">
      <c r="A82" s="578" t="s">
        <v>227</v>
      </c>
      <c r="B82" s="632"/>
      <c r="C82" s="632"/>
      <c r="D82" s="567" t="s">
        <v>228</v>
      </c>
      <c r="E82" s="122">
        <v>0</v>
      </c>
      <c r="F82" s="675">
        <v>0</v>
      </c>
      <c r="G82" s="676">
        <f t="shared" ref="G82:G92" si="16">F82-E82</f>
        <v>0</v>
      </c>
      <c r="H82" s="556">
        <f t="shared" ref="H82:H92" si="17">G82</f>
        <v>0</v>
      </c>
      <c r="I82" s="555"/>
      <c r="J82" s="621">
        <f>H82/DAY(B2)</f>
        <v>0</v>
      </c>
      <c r="O82" s="570"/>
    </row>
    <row r="83" spans="1:15" ht="26.25">
      <c r="A83" s="578" t="s">
        <v>229</v>
      </c>
      <c r="B83" s="632"/>
      <c r="C83" s="632"/>
      <c r="D83" s="567" t="s">
        <v>228</v>
      </c>
      <c r="E83" s="122">
        <v>0</v>
      </c>
      <c r="F83" s="675">
        <v>0</v>
      </c>
      <c r="G83" s="676">
        <f t="shared" si="16"/>
        <v>0</v>
      </c>
      <c r="H83" s="556">
        <f t="shared" si="17"/>
        <v>0</v>
      </c>
      <c r="I83" s="555"/>
      <c r="J83" s="621">
        <f>H83/DAY(B2)</f>
        <v>0</v>
      </c>
      <c r="O83" s="570"/>
    </row>
    <row r="84" spans="1:15" ht="26.25">
      <c r="A84" s="578" t="s">
        <v>230</v>
      </c>
      <c r="B84" s="632"/>
      <c r="C84" s="632"/>
      <c r="D84" s="567" t="s">
        <v>228</v>
      </c>
      <c r="E84" s="164">
        <v>41969</v>
      </c>
      <c r="F84" s="692">
        <v>41969</v>
      </c>
      <c r="G84" s="676">
        <f t="shared" si="16"/>
        <v>0</v>
      </c>
      <c r="H84" s="556">
        <f t="shared" si="17"/>
        <v>0</v>
      </c>
      <c r="I84" s="555"/>
      <c r="J84" s="621">
        <f>H84/DAY(B2)</f>
        <v>0</v>
      </c>
      <c r="O84" s="570"/>
    </row>
    <row r="85" spans="1:15" ht="26.25">
      <c r="A85" s="578" t="s">
        <v>231</v>
      </c>
      <c r="B85" s="632"/>
      <c r="C85" s="632"/>
      <c r="D85" s="567" t="s">
        <v>228</v>
      </c>
      <c r="E85" s="164">
        <v>4343</v>
      </c>
      <c r="F85" s="692">
        <v>4361</v>
      </c>
      <c r="G85" s="676">
        <f t="shared" si="16"/>
        <v>18</v>
      </c>
      <c r="H85" s="556">
        <f t="shared" si="17"/>
        <v>18</v>
      </c>
      <c r="I85" s="555"/>
      <c r="J85" s="621">
        <f>H85/DAY(B2)</f>
        <v>18</v>
      </c>
      <c r="O85" s="570"/>
    </row>
    <row r="86" spans="1:15" ht="26.25">
      <c r="A86" s="578" t="s">
        <v>232</v>
      </c>
      <c r="B86" s="632"/>
      <c r="C86" s="632"/>
      <c r="D86" s="567" t="s">
        <v>228</v>
      </c>
      <c r="E86" s="164">
        <v>44470</v>
      </c>
      <c r="F86" s="692">
        <v>44494</v>
      </c>
      <c r="G86" s="693">
        <f t="shared" si="16"/>
        <v>24</v>
      </c>
      <c r="H86" s="556">
        <f t="shared" si="17"/>
        <v>24</v>
      </c>
      <c r="I86" s="555"/>
      <c r="J86" s="621">
        <f>H86/DAY(B2)</f>
        <v>24</v>
      </c>
      <c r="O86" s="570"/>
    </row>
    <row r="87" spans="1:15" ht="26.25">
      <c r="A87" s="578" t="s">
        <v>233</v>
      </c>
      <c r="B87" s="632"/>
      <c r="C87" s="632"/>
      <c r="D87" s="567" t="s">
        <v>228</v>
      </c>
      <c r="E87" s="164">
        <v>35329</v>
      </c>
      <c r="F87" s="692">
        <v>35329</v>
      </c>
      <c r="G87" s="676">
        <f t="shared" si="16"/>
        <v>0</v>
      </c>
      <c r="H87" s="556">
        <f t="shared" si="17"/>
        <v>0</v>
      </c>
      <c r="I87" s="555">
        <f>G84+G85+G86+G87</f>
        <v>42</v>
      </c>
      <c r="J87" s="621">
        <f>H87/DAY(B2)</f>
        <v>0</v>
      </c>
      <c r="O87" s="570"/>
    </row>
    <row r="88" spans="1:15" ht="26.25">
      <c r="A88" s="578" t="s">
        <v>234</v>
      </c>
      <c r="B88" s="632"/>
      <c r="C88" s="632"/>
      <c r="D88" s="567" t="s">
        <v>228</v>
      </c>
      <c r="E88" s="164">
        <v>24227.88</v>
      </c>
      <c r="F88" s="692">
        <v>24239</v>
      </c>
      <c r="G88" s="676">
        <f t="shared" si="16"/>
        <v>11.119999999998981</v>
      </c>
      <c r="H88" s="556">
        <f t="shared" si="17"/>
        <v>11.119999999998981</v>
      </c>
      <c r="I88" s="555"/>
      <c r="J88" s="621">
        <f>H88/DAY(B2)</f>
        <v>11.119999999998981</v>
      </c>
      <c r="O88" s="570"/>
    </row>
    <row r="89" spans="1:15" ht="26.25">
      <c r="A89" s="578" t="s">
        <v>235</v>
      </c>
      <c r="B89" s="632"/>
      <c r="C89" s="632"/>
      <c r="D89" s="567" t="s">
        <v>228</v>
      </c>
      <c r="E89" s="164">
        <v>26993.41</v>
      </c>
      <c r="F89" s="692">
        <v>27005</v>
      </c>
      <c r="G89" s="676">
        <f t="shared" si="16"/>
        <v>11.590000000000146</v>
      </c>
      <c r="H89" s="556">
        <f t="shared" si="17"/>
        <v>11.590000000000146</v>
      </c>
      <c r="I89" s="555">
        <f>G88+G89</f>
        <v>22.709999999999127</v>
      </c>
      <c r="J89" s="621">
        <f>H89/DAY(B2)</f>
        <v>11.590000000000146</v>
      </c>
      <c r="O89" s="570"/>
    </row>
    <row r="90" spans="1:15" ht="26.25">
      <c r="A90" s="578" t="s">
        <v>236</v>
      </c>
      <c r="B90" s="632"/>
      <c r="C90" s="632"/>
      <c r="D90" s="567" t="s">
        <v>228</v>
      </c>
      <c r="E90" s="164">
        <v>72127.12</v>
      </c>
      <c r="F90" s="692">
        <v>72127.12</v>
      </c>
      <c r="G90" s="676">
        <f t="shared" si="16"/>
        <v>0</v>
      </c>
      <c r="H90" s="556">
        <f t="shared" si="17"/>
        <v>0</v>
      </c>
      <c r="I90" s="555">
        <f>G90</f>
        <v>0</v>
      </c>
      <c r="J90" s="621">
        <f>H90/DAY(B2)</f>
        <v>0</v>
      </c>
      <c r="O90" s="570"/>
    </row>
    <row r="91" spans="1:15" ht="26.25">
      <c r="A91" s="578" t="s">
        <v>237</v>
      </c>
      <c r="B91" s="632"/>
      <c r="C91" s="632"/>
      <c r="D91" s="567" t="s">
        <v>228</v>
      </c>
      <c r="E91" s="122">
        <v>4121.6499999999996</v>
      </c>
      <c r="F91" s="675">
        <v>4121.6499999999996</v>
      </c>
      <c r="G91" s="676">
        <f t="shared" si="16"/>
        <v>0</v>
      </c>
      <c r="H91" s="556">
        <f t="shared" si="17"/>
        <v>0</v>
      </c>
      <c r="I91" s="616"/>
      <c r="J91" s="621">
        <f>H91/DAY(B2)</f>
        <v>0</v>
      </c>
      <c r="O91" s="570"/>
    </row>
    <row r="92" spans="1:15" ht="26.25">
      <c r="A92" s="578" t="s">
        <v>238</v>
      </c>
      <c r="B92" s="632"/>
      <c r="C92" s="632"/>
      <c r="D92" s="567" t="s">
        <v>228</v>
      </c>
      <c r="E92" s="122">
        <v>6217.25</v>
      </c>
      <c r="F92" s="675">
        <v>6229</v>
      </c>
      <c r="G92" s="676">
        <f t="shared" si="16"/>
        <v>11.75</v>
      </c>
      <c r="H92" s="556">
        <f t="shared" si="17"/>
        <v>11.75</v>
      </c>
      <c r="I92" s="617">
        <f>G91+G92</f>
        <v>11.75</v>
      </c>
      <c r="J92" s="621">
        <f>H92/DAY(B2)</f>
        <v>11.75</v>
      </c>
      <c r="O92" s="570"/>
    </row>
    <row r="93" spans="1:15" ht="26.25">
      <c r="A93" s="827" t="s">
        <v>239</v>
      </c>
      <c r="B93" s="828"/>
      <c r="C93" s="829"/>
      <c r="D93" s="562"/>
      <c r="E93" s="111"/>
      <c r="F93" s="562"/>
      <c r="G93" s="694"/>
      <c r="H93" s="695"/>
      <c r="I93" s="695"/>
      <c r="J93" s="696"/>
      <c r="K93" s="588"/>
      <c r="L93" s="548"/>
      <c r="O93" s="570"/>
    </row>
    <row r="94" spans="1:15" ht="26.25">
      <c r="A94" s="801" t="s">
        <v>240</v>
      </c>
      <c r="B94" s="802"/>
      <c r="C94" s="803"/>
      <c r="D94" s="567" t="s">
        <v>130</v>
      </c>
      <c r="E94" s="151"/>
      <c r="F94" s="567"/>
      <c r="G94" s="697">
        <f>G35+G43+G49+G57</f>
        <v>7064</v>
      </c>
      <c r="H94" s="556">
        <f t="shared" ref="H94:H105" si="18">G94</f>
        <v>7064</v>
      </c>
      <c r="I94" s="555"/>
      <c r="J94" s="621">
        <f>H94/DAY(B2)</f>
        <v>7064</v>
      </c>
      <c r="K94" s="588"/>
      <c r="L94" s="548"/>
      <c r="O94" s="570"/>
    </row>
    <row r="95" spans="1:15" ht="26.25">
      <c r="A95" s="801" t="s">
        <v>241</v>
      </c>
      <c r="B95" s="802"/>
      <c r="C95" s="803"/>
      <c r="D95" s="567" t="s">
        <v>23</v>
      </c>
      <c r="E95" s="146"/>
      <c r="F95" s="567"/>
      <c r="G95" s="698">
        <f>G94/G7</f>
        <v>0.26147468167012139</v>
      </c>
      <c r="H95" s="556">
        <f t="shared" si="18"/>
        <v>0.26147468167012139</v>
      </c>
      <c r="I95" s="699"/>
      <c r="J95" s="621">
        <f>H95/DAY(B2)</f>
        <v>0.26147468167012139</v>
      </c>
      <c r="K95" s="588"/>
      <c r="L95" s="548"/>
      <c r="O95" s="570"/>
    </row>
    <row r="96" spans="1:15" ht="26.25">
      <c r="A96" s="801" t="s">
        <v>242</v>
      </c>
      <c r="B96" s="802"/>
      <c r="C96" s="803"/>
      <c r="D96" s="567" t="s">
        <v>130</v>
      </c>
      <c r="E96" s="95"/>
      <c r="F96" s="555"/>
      <c r="G96" s="697">
        <f>G41+G42+G55+G56</f>
        <v>8007.6600000000035</v>
      </c>
      <c r="H96" s="556">
        <f t="shared" si="18"/>
        <v>8007.6600000000035</v>
      </c>
      <c r="I96" s="555"/>
      <c r="J96" s="621">
        <f>H96/DAY(B2)</f>
        <v>8007.6600000000035</v>
      </c>
      <c r="K96" s="588"/>
      <c r="L96" s="548"/>
      <c r="O96" s="570"/>
    </row>
    <row r="97" spans="1:15" ht="26.25">
      <c r="A97" s="801" t="s">
        <v>243</v>
      </c>
      <c r="B97" s="802"/>
      <c r="C97" s="803"/>
      <c r="D97" s="567" t="s">
        <v>23</v>
      </c>
      <c r="E97" s="95"/>
      <c r="F97" s="555"/>
      <c r="G97" s="698">
        <f>G96/G7</f>
        <v>0.29640435297601436</v>
      </c>
      <c r="H97" s="556">
        <f t="shared" si="18"/>
        <v>0.29640435297601436</v>
      </c>
      <c r="I97" s="699"/>
      <c r="J97" s="621">
        <f>H97/DAY(B2)</f>
        <v>0.29640435297601436</v>
      </c>
      <c r="K97" s="588"/>
      <c r="L97" s="548"/>
      <c r="O97" s="570"/>
    </row>
    <row r="98" spans="1:15" ht="26.25">
      <c r="A98" s="801" t="s">
        <v>244</v>
      </c>
      <c r="B98" s="802"/>
      <c r="C98" s="803"/>
      <c r="D98" s="567" t="s">
        <v>130</v>
      </c>
      <c r="E98" s="95"/>
      <c r="F98" s="555"/>
      <c r="G98" s="697">
        <f>G39+G53</f>
        <v>3034</v>
      </c>
      <c r="H98" s="556">
        <f t="shared" si="18"/>
        <v>3034</v>
      </c>
      <c r="I98" s="602"/>
      <c r="J98" s="621">
        <f>H98/DAY(B2)</f>
        <v>3034</v>
      </c>
      <c r="K98" s="588"/>
      <c r="L98" s="548"/>
      <c r="O98" s="570"/>
    </row>
    <row r="99" spans="1:15" ht="26.25">
      <c r="A99" s="801" t="s">
        <v>245</v>
      </c>
      <c r="B99" s="802"/>
      <c r="C99" s="803"/>
      <c r="D99" s="567" t="s">
        <v>23</v>
      </c>
      <c r="E99" s="95"/>
      <c r="F99" s="555"/>
      <c r="G99" s="698">
        <f>G98/G7</f>
        <v>0.11230381995854309</v>
      </c>
      <c r="H99" s="556">
        <f t="shared" si="18"/>
        <v>0.11230381995854309</v>
      </c>
      <c r="I99" s="602"/>
      <c r="J99" s="621">
        <f>H99/DAY(B2)</f>
        <v>0.11230381995854309</v>
      </c>
      <c r="O99" s="570"/>
    </row>
    <row r="100" spans="1:15" ht="26.25">
      <c r="A100" s="801" t="s">
        <v>246</v>
      </c>
      <c r="B100" s="802"/>
      <c r="C100" s="803"/>
      <c r="D100" s="567" t="s">
        <v>180</v>
      </c>
      <c r="E100" s="95"/>
      <c r="F100" s="555"/>
      <c r="G100" s="697">
        <f>G38+G52</f>
        <v>2661.76</v>
      </c>
      <c r="H100" s="556">
        <f t="shared" si="18"/>
        <v>2661.76</v>
      </c>
      <c r="I100" s="555"/>
      <c r="J100" s="621">
        <f>H100/DAY(B2)</f>
        <v>2661.76</v>
      </c>
      <c r="K100" s="593"/>
      <c r="O100" s="570"/>
    </row>
    <row r="101" spans="1:15" ht="26.25">
      <c r="A101" s="801" t="s">
        <v>247</v>
      </c>
      <c r="B101" s="802"/>
      <c r="C101" s="803"/>
      <c r="D101" s="567" t="s">
        <v>23</v>
      </c>
      <c r="E101" s="95"/>
      <c r="F101" s="555"/>
      <c r="G101" s="698">
        <f>G100/G7</f>
        <v>9.8525318329878597E-2</v>
      </c>
      <c r="H101" s="556">
        <f t="shared" si="18"/>
        <v>9.8525318329878597E-2</v>
      </c>
      <c r="I101" s="602"/>
      <c r="J101" s="621">
        <f>H101/DAY(B2)</f>
        <v>9.8525318329878597E-2</v>
      </c>
      <c r="O101" s="570"/>
    </row>
    <row r="102" spans="1:15" ht="26.25">
      <c r="A102" s="801" t="s">
        <v>248</v>
      </c>
      <c r="B102" s="802"/>
      <c r="C102" s="803"/>
      <c r="D102" s="567" t="s">
        <v>180</v>
      </c>
      <c r="E102" s="95"/>
      <c r="F102" s="555"/>
      <c r="G102" s="697">
        <f>G36+G50</f>
        <v>1511</v>
      </c>
      <c r="H102" s="556">
        <f t="shared" si="18"/>
        <v>1511</v>
      </c>
      <c r="I102" s="602"/>
      <c r="J102" s="621">
        <f>H102/DAY(B2)</f>
        <v>1511</v>
      </c>
      <c r="O102" s="570"/>
    </row>
    <row r="103" spans="1:15" ht="26.25">
      <c r="A103" s="801" t="s">
        <v>249</v>
      </c>
      <c r="B103" s="802"/>
      <c r="C103" s="803"/>
      <c r="D103" s="567" t="s">
        <v>23</v>
      </c>
      <c r="E103" s="95"/>
      <c r="F103" s="555"/>
      <c r="G103" s="698">
        <f>G102/G7</f>
        <v>5.5929819366301453E-2</v>
      </c>
      <c r="H103" s="556">
        <f t="shared" si="18"/>
        <v>5.5929819366301453E-2</v>
      </c>
      <c r="I103" s="555"/>
      <c r="J103" s="621">
        <f>H103/DAY(B2)</f>
        <v>5.5929819366301453E-2</v>
      </c>
      <c r="O103" s="570"/>
    </row>
    <row r="104" spans="1:15" ht="26.25">
      <c r="A104" s="801" t="s">
        <v>250</v>
      </c>
      <c r="B104" s="802"/>
      <c r="C104" s="803"/>
      <c r="D104" s="567" t="s">
        <v>180</v>
      </c>
      <c r="E104" s="95"/>
      <c r="F104" s="555"/>
      <c r="G104" s="697">
        <f>G37+G51</f>
        <v>1714.32</v>
      </c>
      <c r="H104" s="556">
        <f t="shared" si="18"/>
        <v>1714.32</v>
      </c>
      <c r="I104" s="555"/>
      <c r="J104" s="621">
        <f>H104/DAY(B2)</f>
        <v>1714.32</v>
      </c>
      <c r="O104" s="570"/>
    </row>
    <row r="105" spans="1:15" ht="27" thickBot="1">
      <c r="A105" s="836" t="s">
        <v>251</v>
      </c>
      <c r="B105" s="837"/>
      <c r="C105" s="838"/>
      <c r="D105" s="700" t="s">
        <v>23</v>
      </c>
      <c r="E105" s="185"/>
      <c r="F105" s="701"/>
      <c r="G105" s="702">
        <f>G104/G7</f>
        <v>6.345572993781462E-2</v>
      </c>
      <c r="H105" s="556">
        <f t="shared" si="18"/>
        <v>6.345572993781462E-2</v>
      </c>
      <c r="I105" s="701"/>
      <c r="J105" s="703">
        <f>H105/DAY(B2)</f>
        <v>6.345572993781462E-2</v>
      </c>
      <c r="O105" s="570"/>
    </row>
    <row r="106" spans="1:15" ht="26.25">
      <c r="B106" s="560"/>
      <c r="C106" s="560"/>
      <c r="D106" s="560"/>
      <c r="F106" s="704"/>
      <c r="G106" s="705"/>
      <c r="H106" s="706"/>
      <c r="I106" s="704"/>
      <c r="J106" s="706"/>
      <c r="O106" s="570"/>
    </row>
    <row r="107" spans="1:15" ht="26.25">
      <c r="B107" s="560"/>
      <c r="C107" s="560"/>
      <c r="D107" s="560"/>
      <c r="F107" s="704"/>
      <c r="G107" s="705"/>
      <c r="H107" s="706"/>
      <c r="I107" s="704"/>
      <c r="J107" s="706"/>
    </row>
    <row r="108" spans="1:15" ht="26.25">
      <c r="A108" s="839" t="s">
        <v>324</v>
      </c>
      <c r="B108" s="839"/>
      <c r="C108" s="839"/>
      <c r="D108" s="839"/>
      <c r="E108" s="839"/>
      <c r="F108" s="839"/>
      <c r="G108" s="839"/>
      <c r="H108" s="839"/>
      <c r="I108" s="839"/>
      <c r="J108" s="839"/>
    </row>
    <row r="109" spans="1:15" ht="26.25">
      <c r="A109" s="830"/>
      <c r="B109" s="830"/>
      <c r="C109" s="560"/>
      <c r="D109" s="560"/>
      <c r="F109" s="704"/>
      <c r="G109" s="705"/>
      <c r="H109" s="706"/>
      <c r="I109" s="704"/>
      <c r="J109" s="706"/>
    </row>
    <row r="110" spans="1:15" ht="26.25">
      <c r="A110" s="840" t="s">
        <v>165</v>
      </c>
      <c r="B110" s="841"/>
      <c r="C110" s="841"/>
      <c r="D110" s="841"/>
      <c r="E110" s="841"/>
      <c r="F110" s="841"/>
      <c r="G110" s="841"/>
      <c r="H110" s="841"/>
      <c r="I110" s="841"/>
      <c r="J110" s="842"/>
    </row>
    <row r="111" spans="1:15" ht="26.25">
      <c r="A111" s="843"/>
      <c r="B111" s="844"/>
      <c r="C111" s="845"/>
      <c r="D111" s="597"/>
      <c r="E111" s="155"/>
      <c r="F111" s="616"/>
      <c r="G111" s="617"/>
      <c r="H111" s="599"/>
      <c r="I111" s="616"/>
      <c r="J111" s="599"/>
    </row>
    <row r="112" spans="1:15" ht="26.25">
      <c r="A112" s="798" t="s">
        <v>252</v>
      </c>
      <c r="B112" s="799"/>
      <c r="C112" s="800"/>
      <c r="D112" s="552" t="s">
        <v>183</v>
      </c>
      <c r="E112" s="237">
        <v>2677</v>
      </c>
      <c r="F112" s="707">
        <v>2753</v>
      </c>
      <c r="G112" s="676">
        <f t="shared" ref="G112:G123" si="19">F112-E112</f>
        <v>76</v>
      </c>
      <c r="H112" s="556">
        <f t="shared" ref="H112:H123" si="20">G112</f>
        <v>76</v>
      </c>
      <c r="I112" s="616"/>
      <c r="J112" s="708">
        <f>H112/DAY(B2)</f>
        <v>76</v>
      </c>
    </row>
    <row r="113" spans="1:18" ht="29.25" customHeight="1">
      <c r="A113" s="798" t="s">
        <v>253</v>
      </c>
      <c r="B113" s="799"/>
      <c r="C113" s="800"/>
      <c r="D113" s="552" t="s">
        <v>183</v>
      </c>
      <c r="E113" s="237">
        <v>6391</v>
      </c>
      <c r="F113" s="709">
        <v>6593</v>
      </c>
      <c r="G113" s="676">
        <f t="shared" si="19"/>
        <v>202</v>
      </c>
      <c r="H113" s="556">
        <f t="shared" si="20"/>
        <v>202</v>
      </c>
      <c r="I113" s="616"/>
      <c r="J113" s="708">
        <f>H113/DAY(B2)</f>
        <v>202</v>
      </c>
    </row>
    <row r="114" spans="1:18" ht="29.25" customHeight="1">
      <c r="A114" s="798" t="s">
        <v>254</v>
      </c>
      <c r="B114" s="799"/>
      <c r="C114" s="800"/>
      <c r="D114" s="552" t="s">
        <v>183</v>
      </c>
      <c r="E114" s="237">
        <v>7570</v>
      </c>
      <c r="F114" s="707">
        <v>7773</v>
      </c>
      <c r="G114" s="676">
        <f t="shared" si="19"/>
        <v>203</v>
      </c>
      <c r="H114" s="556">
        <f t="shared" si="20"/>
        <v>203</v>
      </c>
      <c r="I114" s="616"/>
      <c r="J114" s="708">
        <f>H114/DAY(B2)</f>
        <v>203</v>
      </c>
    </row>
    <row r="115" spans="1:18" ht="29.25" customHeight="1">
      <c r="A115" s="798" t="s">
        <v>255</v>
      </c>
      <c r="B115" s="799"/>
      <c r="C115" s="800"/>
      <c r="D115" s="552" t="s">
        <v>183</v>
      </c>
      <c r="E115" s="237">
        <v>561</v>
      </c>
      <c r="F115" s="760">
        <v>567</v>
      </c>
      <c r="G115" s="676">
        <f t="shared" si="19"/>
        <v>6</v>
      </c>
      <c r="H115" s="556">
        <f t="shared" si="20"/>
        <v>6</v>
      </c>
      <c r="I115" s="616"/>
      <c r="J115" s="708">
        <f>H115/DAY(B2)</f>
        <v>6</v>
      </c>
    </row>
    <row r="116" spans="1:18" ht="29.25" customHeight="1">
      <c r="A116" s="833" t="s">
        <v>96</v>
      </c>
      <c r="B116" s="834"/>
      <c r="C116" s="835"/>
      <c r="D116" s="552" t="s">
        <v>183</v>
      </c>
      <c r="E116" s="237">
        <v>46755</v>
      </c>
      <c r="F116" s="707">
        <v>47139</v>
      </c>
      <c r="G116" s="676">
        <f t="shared" si="19"/>
        <v>384</v>
      </c>
      <c r="H116" s="556">
        <f t="shared" si="20"/>
        <v>384</v>
      </c>
      <c r="I116" s="616"/>
      <c r="J116" s="708">
        <f>H116/DAY(B2)</f>
        <v>384</v>
      </c>
      <c r="Q116" s="831"/>
      <c r="R116" s="832"/>
    </row>
    <row r="117" spans="1:18" ht="29.25" customHeight="1">
      <c r="A117" s="833" t="s">
        <v>184</v>
      </c>
      <c r="B117" s="834"/>
      <c r="C117" s="835"/>
      <c r="D117" s="552" t="s">
        <v>183</v>
      </c>
      <c r="E117" s="237">
        <v>25268</v>
      </c>
      <c r="F117" s="707">
        <v>25505</v>
      </c>
      <c r="G117" s="676">
        <f t="shared" si="19"/>
        <v>237</v>
      </c>
      <c r="H117" s="556">
        <f t="shared" si="20"/>
        <v>237</v>
      </c>
      <c r="I117" s="616"/>
      <c r="J117" s="708">
        <f>H117/DAY(B2)</f>
        <v>237</v>
      </c>
      <c r="Q117" s="831"/>
      <c r="R117" s="832"/>
    </row>
    <row r="118" spans="1:18" ht="26.25">
      <c r="A118" s="853" t="s">
        <v>97</v>
      </c>
      <c r="B118" s="853"/>
      <c r="C118" s="853"/>
      <c r="D118" s="567" t="s">
        <v>183</v>
      </c>
      <c r="E118" s="237">
        <v>26225</v>
      </c>
      <c r="F118" s="707">
        <v>26821</v>
      </c>
      <c r="G118" s="676">
        <f t="shared" si="19"/>
        <v>596</v>
      </c>
      <c r="H118" s="556">
        <f t="shared" si="20"/>
        <v>596</v>
      </c>
      <c r="I118" s="616"/>
      <c r="J118" s="708">
        <f>H118/DAY(B2)</f>
        <v>596</v>
      </c>
      <c r="Q118" s="831"/>
      <c r="R118" s="832"/>
    </row>
    <row r="119" spans="1:18" ht="26.25">
      <c r="A119" s="853" t="s">
        <v>98</v>
      </c>
      <c r="B119" s="853"/>
      <c r="C119" s="853"/>
      <c r="D119" s="567" t="s">
        <v>183</v>
      </c>
      <c r="E119" s="237">
        <v>18947</v>
      </c>
      <c r="F119" s="707">
        <v>19402</v>
      </c>
      <c r="G119" s="676">
        <f t="shared" si="19"/>
        <v>455</v>
      </c>
      <c r="H119" s="556">
        <f t="shared" si="20"/>
        <v>455</v>
      </c>
      <c r="I119" s="616"/>
      <c r="J119" s="708">
        <f>H119/DAY(B2)</f>
        <v>455</v>
      </c>
    </row>
    <row r="120" spans="1:18" ht="26.25">
      <c r="A120" s="853" t="s">
        <v>99</v>
      </c>
      <c r="B120" s="853"/>
      <c r="C120" s="853"/>
      <c r="D120" s="567" t="s">
        <v>183</v>
      </c>
      <c r="E120" s="237">
        <v>20050</v>
      </c>
      <c r="F120" s="707">
        <v>20517</v>
      </c>
      <c r="G120" s="676">
        <f t="shared" si="19"/>
        <v>467</v>
      </c>
      <c r="H120" s="556">
        <f t="shared" si="20"/>
        <v>467</v>
      </c>
      <c r="I120" s="616"/>
      <c r="J120" s="708">
        <f>H120/DAY(B2)</f>
        <v>467</v>
      </c>
    </row>
    <row r="121" spans="1:18" ht="26.25">
      <c r="A121" s="853" t="s">
        <v>100</v>
      </c>
      <c r="B121" s="853"/>
      <c r="C121" s="853"/>
      <c r="D121" s="567" t="s">
        <v>183</v>
      </c>
      <c r="E121" s="237">
        <v>25844</v>
      </c>
      <c r="F121" s="707">
        <v>26353</v>
      </c>
      <c r="G121" s="676">
        <f t="shared" si="19"/>
        <v>509</v>
      </c>
      <c r="H121" s="556">
        <f t="shared" si="20"/>
        <v>509</v>
      </c>
      <c r="I121" s="616"/>
      <c r="J121" s="708">
        <f>H121/DAY(B2)</f>
        <v>509</v>
      </c>
    </row>
    <row r="122" spans="1:18" ht="26.25">
      <c r="A122" s="853" t="s">
        <v>101</v>
      </c>
      <c r="B122" s="853"/>
      <c r="C122" s="853"/>
      <c r="D122" s="567" t="s">
        <v>183</v>
      </c>
      <c r="E122" s="237">
        <v>11160</v>
      </c>
      <c r="F122" s="707">
        <v>11488</v>
      </c>
      <c r="G122" s="676">
        <f t="shared" si="19"/>
        <v>328</v>
      </c>
      <c r="H122" s="556">
        <f t="shared" si="20"/>
        <v>328</v>
      </c>
      <c r="I122" s="616"/>
      <c r="J122" s="708">
        <f>H122/DAY(B2)</f>
        <v>328</v>
      </c>
    </row>
    <row r="123" spans="1:18" ht="26.25">
      <c r="A123" s="853" t="s">
        <v>102</v>
      </c>
      <c r="B123" s="853"/>
      <c r="C123" s="853"/>
      <c r="D123" s="567" t="s">
        <v>183</v>
      </c>
      <c r="E123" s="237">
        <v>10509</v>
      </c>
      <c r="F123" s="707">
        <v>11222</v>
      </c>
      <c r="G123" s="676">
        <f t="shared" si="19"/>
        <v>713</v>
      </c>
      <c r="H123" s="556">
        <f t="shared" si="20"/>
        <v>713</v>
      </c>
      <c r="I123" s="616"/>
      <c r="J123" s="708">
        <f>H123/DAY(B2)</f>
        <v>713</v>
      </c>
    </row>
    <row r="124" spans="1:18" ht="29.25" customHeight="1">
      <c r="A124" s="843"/>
      <c r="B124" s="844"/>
      <c r="C124" s="845"/>
      <c r="D124" s="597"/>
      <c r="E124" s="155"/>
      <c r="F124" s="616"/>
      <c r="G124" s="617"/>
      <c r="H124" s="599"/>
      <c r="I124" s="616"/>
      <c r="J124" s="599"/>
    </row>
    <row r="125" spans="1:18" ht="26.25">
      <c r="A125" s="786" t="s">
        <v>196</v>
      </c>
      <c r="B125" s="787"/>
      <c r="C125" s="788"/>
      <c r="D125" s="567"/>
      <c r="E125" s="308"/>
      <c r="F125" s="616"/>
      <c r="G125" s="676">
        <f>SUM(G112:G124)</f>
        <v>4176</v>
      </c>
      <c r="H125" s="599"/>
      <c r="I125" s="599">
        <f>G125-(G39+G53)</f>
        <v>1142</v>
      </c>
      <c r="J125" s="599"/>
    </row>
    <row r="126" spans="1:18" ht="26.25">
      <c r="A126" s="855" t="s">
        <v>317</v>
      </c>
      <c r="B126" s="855"/>
      <c r="C126" s="855"/>
      <c r="D126" s="855"/>
      <c r="E126" s="855"/>
      <c r="F126" s="855"/>
      <c r="G126" s="855"/>
      <c r="H126" s="855"/>
      <c r="I126" s="855"/>
      <c r="J126" s="855"/>
    </row>
    <row r="127" spans="1:18" ht="26.25">
      <c r="A127" s="846"/>
      <c r="B127" s="846"/>
      <c r="C127" s="597"/>
      <c r="D127" s="567"/>
      <c r="E127" s="308"/>
      <c r="F127" s="616"/>
      <c r="G127" s="676"/>
      <c r="H127" s="556">
        <f t="shared" ref="H127:H135" si="21">G127</f>
        <v>0</v>
      </c>
      <c r="I127" s="616"/>
      <c r="J127" s="708">
        <f>H127/DAY(B2)</f>
        <v>0</v>
      </c>
    </row>
    <row r="128" spans="1:18" ht="29.25" customHeight="1">
      <c r="A128" s="798" t="s">
        <v>318</v>
      </c>
      <c r="B128" s="799"/>
      <c r="C128" s="800"/>
      <c r="D128" s="567" t="s">
        <v>183</v>
      </c>
      <c r="E128" s="155">
        <v>95715</v>
      </c>
      <c r="F128" s="616">
        <v>96208</v>
      </c>
      <c r="G128" s="676">
        <f t="shared" ref="G128:G133" si="22">F128-E128</f>
        <v>493</v>
      </c>
      <c r="H128" s="556">
        <f t="shared" si="21"/>
        <v>493</v>
      </c>
      <c r="I128" s="616"/>
      <c r="J128" s="708">
        <f>H128/DAY(B2)</f>
        <v>493</v>
      </c>
    </row>
    <row r="129" spans="1:15" ht="26.25">
      <c r="A129" s="600" t="s">
        <v>319</v>
      </c>
      <c r="B129" s="710"/>
      <c r="C129" s="711"/>
      <c r="D129" s="567" t="s">
        <v>183</v>
      </c>
      <c r="E129" s="155">
        <v>60293</v>
      </c>
      <c r="F129" s="616">
        <v>60578</v>
      </c>
      <c r="G129" s="676">
        <f t="shared" si="22"/>
        <v>285</v>
      </c>
      <c r="H129" s="556">
        <f t="shared" si="21"/>
        <v>285</v>
      </c>
      <c r="I129" s="616"/>
      <c r="J129" s="708">
        <f>H129/DAY(B2)</f>
        <v>285</v>
      </c>
      <c r="N129" s="601"/>
      <c r="O129" s="594"/>
    </row>
    <row r="130" spans="1:15" ht="26.25">
      <c r="A130" s="600" t="s">
        <v>320</v>
      </c>
      <c r="B130" s="710"/>
      <c r="C130" s="711"/>
      <c r="D130" s="567" t="s">
        <v>183</v>
      </c>
      <c r="E130" s="425">
        <v>119113</v>
      </c>
      <c r="F130" s="616">
        <v>119918</v>
      </c>
      <c r="G130" s="676">
        <f t="shared" si="22"/>
        <v>805</v>
      </c>
      <c r="H130" s="556">
        <f t="shared" si="21"/>
        <v>805</v>
      </c>
      <c r="I130" s="616"/>
      <c r="J130" s="708">
        <f>H130/DAY(B2)</f>
        <v>805</v>
      </c>
      <c r="N130" s="601"/>
      <c r="O130" s="594"/>
    </row>
    <row r="131" spans="1:15" ht="26.25">
      <c r="A131" s="798" t="s">
        <v>321</v>
      </c>
      <c r="B131" s="799"/>
      <c r="C131" s="800"/>
      <c r="D131" s="567" t="s">
        <v>183</v>
      </c>
      <c r="E131" s="155">
        <v>36279</v>
      </c>
      <c r="F131" s="712">
        <v>36518</v>
      </c>
      <c r="G131" s="693">
        <f t="shared" si="22"/>
        <v>239</v>
      </c>
      <c r="H131" s="556">
        <f t="shared" si="21"/>
        <v>239</v>
      </c>
      <c r="I131" s="616"/>
      <c r="J131" s="708">
        <f>H131/DAY(B2)</f>
        <v>239</v>
      </c>
      <c r="N131" s="601"/>
      <c r="O131" s="594"/>
    </row>
    <row r="132" spans="1:15" ht="26.25">
      <c r="A132" s="798" t="s">
        <v>322</v>
      </c>
      <c r="B132" s="799"/>
      <c r="C132" s="800"/>
      <c r="D132" s="567" t="s">
        <v>183</v>
      </c>
      <c r="E132" s="155">
        <v>103512</v>
      </c>
      <c r="F132" s="712">
        <v>103879</v>
      </c>
      <c r="G132" s="693">
        <f t="shared" si="22"/>
        <v>367</v>
      </c>
      <c r="H132" s="556">
        <f t="shared" si="21"/>
        <v>367</v>
      </c>
      <c r="I132" s="616"/>
      <c r="J132" s="708">
        <f>H132/DAY(B2)</f>
        <v>367</v>
      </c>
    </row>
    <row r="133" spans="1:15" ht="26.25">
      <c r="A133" s="798" t="s">
        <v>342</v>
      </c>
      <c r="B133" s="799"/>
      <c r="C133" s="800"/>
      <c r="D133" s="567" t="s">
        <v>183</v>
      </c>
      <c r="E133" s="155">
        <v>201232</v>
      </c>
      <c r="F133" s="712">
        <v>202082</v>
      </c>
      <c r="G133" s="693">
        <f t="shared" si="22"/>
        <v>850</v>
      </c>
      <c r="H133" s="556">
        <f t="shared" si="21"/>
        <v>850</v>
      </c>
      <c r="I133" s="616"/>
      <c r="J133" s="708">
        <f>H133/DAY(B2)</f>
        <v>850</v>
      </c>
    </row>
    <row r="134" spans="1:15" ht="26.25">
      <c r="A134" s="854" t="s">
        <v>340</v>
      </c>
      <c r="B134" s="851"/>
      <c r="C134" s="852"/>
      <c r="D134" s="567" t="s">
        <v>183</v>
      </c>
      <c r="E134" s="155">
        <v>34895</v>
      </c>
      <c r="F134" s="712">
        <v>35123</v>
      </c>
      <c r="G134" s="693">
        <f>F134-E134</f>
        <v>228</v>
      </c>
      <c r="H134" s="556">
        <f t="shared" ref="H134" si="23">G134</f>
        <v>228</v>
      </c>
      <c r="I134" s="616"/>
      <c r="J134" s="708">
        <f>H134/DAY(B2)</f>
        <v>228</v>
      </c>
    </row>
    <row r="135" spans="1:15" ht="26.25">
      <c r="A135" s="786" t="s">
        <v>196</v>
      </c>
      <c r="B135" s="787"/>
      <c r="C135" s="788"/>
      <c r="D135" s="567"/>
      <c r="E135" s="155"/>
      <c r="F135" s="616"/>
      <c r="G135" s="676">
        <f>SUM(G128:G134)</f>
        <v>3267</v>
      </c>
      <c r="H135" s="556">
        <f t="shared" si="21"/>
        <v>3267</v>
      </c>
      <c r="I135" s="599">
        <f>G135-(G35+G49)</f>
        <v>-1208</v>
      </c>
      <c r="J135" s="708">
        <f>H135/DAY(B2)</f>
        <v>3267</v>
      </c>
    </row>
    <row r="136" spans="1:15" ht="26.25">
      <c r="A136" s="855" t="s">
        <v>325</v>
      </c>
      <c r="B136" s="855"/>
      <c r="C136" s="855"/>
      <c r="D136" s="855"/>
      <c r="E136" s="855"/>
      <c r="F136" s="855"/>
      <c r="G136" s="855"/>
      <c r="H136" s="855"/>
      <c r="I136" s="855"/>
      <c r="J136" s="855"/>
    </row>
    <row r="137" spans="1:15" ht="26.25">
      <c r="A137" s="597"/>
      <c r="B137" s="597"/>
      <c r="C137" s="597"/>
      <c r="D137" s="597"/>
      <c r="E137" s="155"/>
      <c r="F137" s="616"/>
      <c r="G137" s="617"/>
      <c r="H137" s="599"/>
      <c r="I137" s="616"/>
      <c r="J137" s="599"/>
    </row>
    <row r="138" spans="1:15" ht="26.25">
      <c r="A138" s="853" t="s">
        <v>185</v>
      </c>
      <c r="B138" s="853"/>
      <c r="C138" s="853"/>
      <c r="D138" s="567" t="s">
        <v>183</v>
      </c>
      <c r="E138" s="147">
        <v>10510</v>
      </c>
      <c r="F138" s="713">
        <v>10634</v>
      </c>
      <c r="G138" s="676">
        <f t="shared" ref="G138:G150" si="24">F138-E138</f>
        <v>124</v>
      </c>
      <c r="H138" s="556">
        <f t="shared" ref="H138:H150" si="25">G138</f>
        <v>124</v>
      </c>
      <c r="I138" s="555"/>
      <c r="J138" s="708">
        <f>H138/DAY(B2)</f>
        <v>124</v>
      </c>
    </row>
    <row r="139" spans="1:15" ht="26.25">
      <c r="A139" s="853" t="s">
        <v>186</v>
      </c>
      <c r="B139" s="853"/>
      <c r="C139" s="853"/>
      <c r="D139" s="567" t="s">
        <v>183</v>
      </c>
      <c r="E139" s="148">
        <v>899455</v>
      </c>
      <c r="F139" s="714">
        <v>899604</v>
      </c>
      <c r="G139" s="676">
        <f t="shared" si="24"/>
        <v>149</v>
      </c>
      <c r="H139" s="556">
        <f t="shared" si="25"/>
        <v>149</v>
      </c>
      <c r="I139" s="555"/>
      <c r="J139" s="708">
        <f>H139/DAY(B2)</f>
        <v>149</v>
      </c>
    </row>
    <row r="140" spans="1:15" ht="26.25">
      <c r="A140" s="853" t="s">
        <v>187</v>
      </c>
      <c r="B140" s="853"/>
      <c r="C140" s="853"/>
      <c r="D140" s="567" t="s">
        <v>183</v>
      </c>
      <c r="E140" s="149">
        <v>588</v>
      </c>
      <c r="F140" s="715">
        <v>602</v>
      </c>
      <c r="G140" s="676">
        <f t="shared" si="24"/>
        <v>14</v>
      </c>
      <c r="H140" s="556">
        <f t="shared" si="25"/>
        <v>14</v>
      </c>
      <c r="I140" s="555"/>
      <c r="J140" s="708">
        <f>H140/DAY(B2)</f>
        <v>14</v>
      </c>
    </row>
    <row r="141" spans="1:15" ht="26.25">
      <c r="A141" s="792" t="s">
        <v>188</v>
      </c>
      <c r="B141" s="792"/>
      <c r="C141" s="792"/>
      <c r="D141" s="716" t="s">
        <v>183</v>
      </c>
      <c r="E141" s="149">
        <v>77952</v>
      </c>
      <c r="F141" s="714">
        <v>78175</v>
      </c>
      <c r="G141" s="693">
        <f t="shared" si="24"/>
        <v>223</v>
      </c>
      <c r="H141" s="717">
        <f t="shared" si="25"/>
        <v>223</v>
      </c>
      <c r="I141" s="718"/>
      <c r="J141" s="719">
        <f>H141/DAY(B2)</f>
        <v>223</v>
      </c>
    </row>
    <row r="142" spans="1:15" ht="26.25">
      <c r="A142" s="792" t="s">
        <v>189</v>
      </c>
      <c r="B142" s="792"/>
      <c r="C142" s="792"/>
      <c r="D142" s="716" t="s">
        <v>183</v>
      </c>
      <c r="E142" s="148">
        <v>30526</v>
      </c>
      <c r="F142" s="714">
        <v>30700</v>
      </c>
      <c r="G142" s="693">
        <f t="shared" si="24"/>
        <v>174</v>
      </c>
      <c r="H142" s="717">
        <f t="shared" si="25"/>
        <v>174</v>
      </c>
      <c r="I142" s="720"/>
      <c r="J142" s="719">
        <f>H142/DAY(B2)</f>
        <v>174</v>
      </c>
    </row>
    <row r="143" spans="1:15" ht="26.25">
      <c r="A143" s="794" t="s">
        <v>91</v>
      </c>
      <c r="B143" s="794"/>
      <c r="C143" s="794"/>
      <c r="D143" s="716" t="s">
        <v>183</v>
      </c>
      <c r="E143" s="149">
        <v>7306</v>
      </c>
      <c r="F143" s="714">
        <v>7334</v>
      </c>
      <c r="G143" s="693">
        <f t="shared" si="24"/>
        <v>28</v>
      </c>
      <c r="H143" s="717">
        <f t="shared" si="25"/>
        <v>28</v>
      </c>
      <c r="I143" s="720"/>
      <c r="J143" s="719">
        <f>H143/DAY(B2)</f>
        <v>28</v>
      </c>
    </row>
    <row r="144" spans="1:15" ht="26.25">
      <c r="A144" s="792" t="s">
        <v>90</v>
      </c>
      <c r="B144" s="792"/>
      <c r="C144" s="792"/>
      <c r="D144" s="716" t="s">
        <v>183</v>
      </c>
      <c r="E144" s="149">
        <v>905053</v>
      </c>
      <c r="F144" s="714">
        <v>905304</v>
      </c>
      <c r="G144" s="693">
        <f t="shared" si="24"/>
        <v>251</v>
      </c>
      <c r="H144" s="717">
        <f t="shared" si="25"/>
        <v>251</v>
      </c>
      <c r="I144" s="720"/>
      <c r="J144" s="719">
        <f>H144/DAY(B2)</f>
        <v>251</v>
      </c>
    </row>
    <row r="145" spans="1:10" ht="26.25">
      <c r="A145" s="794" t="s">
        <v>190</v>
      </c>
      <c r="B145" s="794"/>
      <c r="C145" s="794"/>
      <c r="D145" s="716" t="s">
        <v>183</v>
      </c>
      <c r="E145" s="149">
        <v>5664</v>
      </c>
      <c r="F145" s="714">
        <v>5664</v>
      </c>
      <c r="G145" s="693">
        <f t="shared" si="24"/>
        <v>0</v>
      </c>
      <c r="H145" s="717">
        <f t="shared" si="25"/>
        <v>0</v>
      </c>
      <c r="I145" s="720"/>
      <c r="J145" s="719">
        <f>H145/DAY(B2)</f>
        <v>0</v>
      </c>
    </row>
    <row r="146" spans="1:10" ht="26.25">
      <c r="A146" s="795" t="s">
        <v>191</v>
      </c>
      <c r="B146" s="796"/>
      <c r="C146" s="797"/>
      <c r="D146" s="716" t="s">
        <v>183</v>
      </c>
      <c r="E146" s="148">
        <v>777868</v>
      </c>
      <c r="F146" s="714">
        <v>777965</v>
      </c>
      <c r="G146" s="693">
        <f t="shared" si="24"/>
        <v>97</v>
      </c>
      <c r="H146" s="717">
        <f t="shared" si="25"/>
        <v>97</v>
      </c>
      <c r="I146" s="720"/>
      <c r="J146" s="719">
        <f>H146/DAY(B2)</f>
        <v>97</v>
      </c>
    </row>
    <row r="147" spans="1:10" ht="26.25">
      <c r="A147" s="792" t="s">
        <v>192</v>
      </c>
      <c r="B147" s="792"/>
      <c r="C147" s="792"/>
      <c r="D147" s="716" t="s">
        <v>183</v>
      </c>
      <c r="E147" s="148">
        <v>675848</v>
      </c>
      <c r="F147" s="714">
        <v>676206</v>
      </c>
      <c r="G147" s="693">
        <f t="shared" si="24"/>
        <v>358</v>
      </c>
      <c r="H147" s="717">
        <f t="shared" si="25"/>
        <v>358</v>
      </c>
      <c r="I147" s="720"/>
      <c r="J147" s="719">
        <f>H147/DAY(B2)</f>
        <v>358</v>
      </c>
    </row>
    <row r="148" spans="1:10" ht="26.25">
      <c r="A148" s="789" t="s">
        <v>193</v>
      </c>
      <c r="B148" s="790"/>
      <c r="C148" s="791"/>
      <c r="D148" s="721" t="s">
        <v>130</v>
      </c>
      <c r="E148" s="150">
        <v>729745</v>
      </c>
      <c r="F148" s="692">
        <v>729999</v>
      </c>
      <c r="G148" s="693">
        <f t="shared" si="24"/>
        <v>254</v>
      </c>
      <c r="H148" s="717">
        <f t="shared" si="25"/>
        <v>254</v>
      </c>
      <c r="I148" s="717"/>
      <c r="J148" s="719">
        <f>H148/DAY(B2)</f>
        <v>254</v>
      </c>
    </row>
    <row r="149" spans="1:10" ht="26.25">
      <c r="A149" s="789" t="s">
        <v>336</v>
      </c>
      <c r="B149" s="790"/>
      <c r="C149" s="791"/>
      <c r="D149" s="722" t="s">
        <v>130</v>
      </c>
      <c r="E149" s="146">
        <v>100895</v>
      </c>
      <c r="F149" s="716">
        <v>101512</v>
      </c>
      <c r="G149" s="693">
        <f t="shared" si="24"/>
        <v>617</v>
      </c>
      <c r="H149" s="717">
        <f t="shared" si="25"/>
        <v>617</v>
      </c>
      <c r="I149" s="619"/>
      <c r="J149" s="719">
        <f>H149/DAY(B2)</f>
        <v>617</v>
      </c>
    </row>
    <row r="150" spans="1:10" ht="26.25">
      <c r="A150" s="789" t="s">
        <v>337</v>
      </c>
      <c r="B150" s="790"/>
      <c r="C150" s="791"/>
      <c r="D150" s="721" t="s">
        <v>130</v>
      </c>
      <c r="E150" s="233">
        <v>37216</v>
      </c>
      <c r="F150" s="716">
        <v>37440</v>
      </c>
      <c r="G150" s="693">
        <f t="shared" si="24"/>
        <v>224</v>
      </c>
      <c r="H150" s="717">
        <f t="shared" si="25"/>
        <v>224</v>
      </c>
      <c r="I150" s="619"/>
      <c r="J150" s="719">
        <f>H150/DAY(B2)</f>
        <v>224</v>
      </c>
    </row>
    <row r="151" spans="1:10" ht="26.25">
      <c r="A151" s="789" t="s">
        <v>338</v>
      </c>
      <c r="B151" s="790"/>
      <c r="C151" s="791"/>
      <c r="D151" s="723" t="s">
        <v>130</v>
      </c>
      <c r="E151" s="233">
        <v>118137</v>
      </c>
      <c r="F151" s="716">
        <v>118409</v>
      </c>
      <c r="G151" s="693">
        <f t="shared" ref="G151:G152" si="26">F151-E151</f>
        <v>272</v>
      </c>
      <c r="H151" s="717">
        <f t="shared" ref="H151:H158" si="27">G151</f>
        <v>272</v>
      </c>
      <c r="I151" s="619"/>
      <c r="J151" s="719">
        <f>H151/DAY(B2)</f>
        <v>272</v>
      </c>
    </row>
    <row r="152" spans="1:10" ht="26.25">
      <c r="A152" s="789" t="s">
        <v>339</v>
      </c>
      <c r="B152" s="790"/>
      <c r="C152" s="791"/>
      <c r="D152" s="723" t="s">
        <v>130</v>
      </c>
      <c r="E152" s="233">
        <v>11156</v>
      </c>
      <c r="F152" s="716">
        <v>15523</v>
      </c>
      <c r="G152" s="693">
        <f t="shared" si="26"/>
        <v>4367</v>
      </c>
      <c r="H152" s="717">
        <f t="shared" si="27"/>
        <v>4367</v>
      </c>
      <c r="I152" s="619"/>
      <c r="J152" s="719">
        <f>H152/DAY(B2)</f>
        <v>4367</v>
      </c>
    </row>
    <row r="153" spans="1:10" ht="26.25">
      <c r="A153" s="786" t="s">
        <v>196</v>
      </c>
      <c r="B153" s="787"/>
      <c r="C153" s="788"/>
      <c r="D153" s="723"/>
      <c r="E153" s="361"/>
      <c r="F153" s="724"/>
      <c r="G153" s="725">
        <f>SUM(G138:G152)</f>
        <v>7152</v>
      </c>
      <c r="H153" s="726">
        <f t="shared" si="27"/>
        <v>7152</v>
      </c>
      <c r="I153" s="602">
        <f>G153-(G38+G52)</f>
        <v>4490.24</v>
      </c>
      <c r="J153" s="727"/>
    </row>
    <row r="154" spans="1:10" ht="26.25">
      <c r="A154" s="793" t="s">
        <v>344</v>
      </c>
      <c r="B154" s="793"/>
      <c r="C154" s="793"/>
      <c r="D154" s="793"/>
      <c r="E154" s="793"/>
      <c r="F154" s="793"/>
      <c r="G154" s="793"/>
      <c r="H154" s="793"/>
      <c r="I154" s="793"/>
      <c r="J154" s="793"/>
    </row>
    <row r="155" spans="1:10" ht="27.75" customHeight="1">
      <c r="A155" s="792" t="s">
        <v>345</v>
      </c>
      <c r="B155" s="792"/>
      <c r="C155" s="792"/>
      <c r="D155" s="688" t="s">
        <v>130</v>
      </c>
      <c r="E155" s="389">
        <v>111975</v>
      </c>
      <c r="F155" s="712">
        <v>112599</v>
      </c>
      <c r="G155" s="693">
        <f t="shared" ref="G155:G158" si="28">F155-E155</f>
        <v>624</v>
      </c>
      <c r="H155" s="717">
        <f t="shared" si="27"/>
        <v>624</v>
      </c>
      <c r="I155" s="712"/>
      <c r="J155" s="719">
        <f>H155/DAY(B2)</f>
        <v>624</v>
      </c>
    </row>
    <row r="156" spans="1:10" ht="25.5" customHeight="1">
      <c r="A156" s="792" t="s">
        <v>368</v>
      </c>
      <c r="B156" s="792"/>
      <c r="C156" s="792"/>
      <c r="D156" s="688" t="s">
        <v>130</v>
      </c>
      <c r="E156" s="155">
        <v>9685</v>
      </c>
      <c r="F156" s="712">
        <v>9756</v>
      </c>
      <c r="G156" s="693">
        <f t="shared" si="28"/>
        <v>71</v>
      </c>
      <c r="H156" s="717">
        <f t="shared" si="27"/>
        <v>71</v>
      </c>
      <c r="I156" s="712"/>
      <c r="J156" s="719">
        <f>H156/DAY(B2)</f>
        <v>71</v>
      </c>
    </row>
    <row r="157" spans="1:10" ht="25.5" customHeight="1">
      <c r="A157" s="856" t="s">
        <v>360</v>
      </c>
      <c r="B157" s="857"/>
      <c r="C157" s="858"/>
      <c r="D157" s="688" t="s">
        <v>130</v>
      </c>
      <c r="E157" s="95">
        <v>18200</v>
      </c>
      <c r="F157" s="712">
        <v>18347</v>
      </c>
      <c r="G157" s="693">
        <f t="shared" si="28"/>
        <v>147</v>
      </c>
      <c r="H157" s="717">
        <f t="shared" si="27"/>
        <v>147</v>
      </c>
      <c r="I157" s="712"/>
      <c r="J157" s="719"/>
    </row>
    <row r="158" spans="1:10" ht="25.5" customHeight="1">
      <c r="A158" s="856" t="s">
        <v>361</v>
      </c>
      <c r="B158" s="857"/>
      <c r="C158" s="858"/>
      <c r="D158" s="688" t="s">
        <v>130</v>
      </c>
      <c r="E158" s="155">
        <v>160</v>
      </c>
      <c r="F158" s="712">
        <v>160</v>
      </c>
      <c r="G158" s="693">
        <f t="shared" si="28"/>
        <v>0</v>
      </c>
      <c r="H158" s="717">
        <f t="shared" si="27"/>
        <v>0</v>
      </c>
      <c r="I158" s="712"/>
      <c r="J158" s="719"/>
    </row>
    <row r="159" spans="1:10" ht="25.5" customHeight="1">
      <c r="A159" s="859"/>
      <c r="B159" s="860"/>
      <c r="C159" s="861"/>
      <c r="D159" s="728"/>
      <c r="E159" s="155"/>
      <c r="F159" s="712"/>
      <c r="G159" s="693"/>
      <c r="H159" s="729"/>
      <c r="I159" s="712"/>
      <c r="J159" s="719"/>
    </row>
    <row r="160" spans="1:10" ht="26.25">
      <c r="A160" s="855" t="s">
        <v>326</v>
      </c>
      <c r="B160" s="855"/>
      <c r="C160" s="855"/>
      <c r="D160" s="855"/>
      <c r="E160" s="855"/>
      <c r="F160" s="855"/>
      <c r="G160" s="855"/>
      <c r="H160" s="855"/>
      <c r="I160" s="855"/>
      <c r="J160" s="855"/>
    </row>
    <row r="161" spans="1:10" ht="26.25">
      <c r="A161" s="603" t="s">
        <v>92</v>
      </c>
      <c r="B161" s="730"/>
      <c r="C161" s="730"/>
      <c r="D161" s="731" t="s">
        <v>180</v>
      </c>
      <c r="E161" s="235">
        <v>475421</v>
      </c>
      <c r="F161" s="732">
        <v>475421</v>
      </c>
      <c r="G161" s="733">
        <f t="shared" ref="G161:G168" si="29">F161-E161</f>
        <v>0</v>
      </c>
      <c r="H161" s="556">
        <f t="shared" ref="H161:H168" si="30">G161</f>
        <v>0</v>
      </c>
      <c r="I161" s="619"/>
      <c r="J161" s="734">
        <f>H161/DAY(B2)</f>
        <v>0</v>
      </c>
    </row>
    <row r="162" spans="1:10" ht="26.25">
      <c r="A162" s="603" t="s">
        <v>93</v>
      </c>
      <c r="B162" s="730"/>
      <c r="C162" s="730"/>
      <c r="D162" s="731" t="s">
        <v>180</v>
      </c>
      <c r="E162" s="235">
        <v>92727</v>
      </c>
      <c r="F162" s="732">
        <v>92765</v>
      </c>
      <c r="G162" s="733">
        <f t="shared" si="29"/>
        <v>38</v>
      </c>
      <c r="H162" s="556">
        <f t="shared" si="30"/>
        <v>38</v>
      </c>
      <c r="I162" s="619"/>
      <c r="J162" s="734">
        <f>H162/DAY(B2)</f>
        <v>38</v>
      </c>
    </row>
    <row r="163" spans="1:10" ht="26.25">
      <c r="A163" s="603" t="s">
        <v>367</v>
      </c>
      <c r="B163" s="730"/>
      <c r="C163" s="730"/>
      <c r="D163" s="731" t="s">
        <v>180</v>
      </c>
      <c r="E163" s="235">
        <v>97135</v>
      </c>
      <c r="F163" s="732">
        <v>97325</v>
      </c>
      <c r="G163" s="733">
        <f t="shared" si="29"/>
        <v>190</v>
      </c>
      <c r="H163" s="556">
        <f t="shared" si="30"/>
        <v>190</v>
      </c>
      <c r="I163" s="619"/>
      <c r="J163" s="734">
        <f>H163/DAY(B2)</f>
        <v>190</v>
      </c>
    </row>
    <row r="164" spans="1:10" ht="26.25">
      <c r="A164" s="603" t="s">
        <v>367</v>
      </c>
      <c r="B164" s="730"/>
      <c r="C164" s="730"/>
      <c r="D164" s="731" t="s">
        <v>180</v>
      </c>
      <c r="E164" s="235">
        <v>5542</v>
      </c>
      <c r="F164" s="732">
        <v>5558</v>
      </c>
      <c r="G164" s="733">
        <f>F164-E164</f>
        <v>16</v>
      </c>
      <c r="H164" s="556">
        <f t="shared" si="30"/>
        <v>16</v>
      </c>
      <c r="I164" s="619"/>
      <c r="J164" s="734">
        <f>H164/DAY(B2)</f>
        <v>16</v>
      </c>
    </row>
    <row r="165" spans="1:10" ht="26.25">
      <c r="A165" s="603" t="s">
        <v>309</v>
      </c>
      <c r="B165" s="730"/>
      <c r="C165" s="730"/>
      <c r="D165" s="731" t="s">
        <v>180</v>
      </c>
      <c r="E165" s="235">
        <v>31014</v>
      </c>
      <c r="F165" s="732">
        <v>31026</v>
      </c>
      <c r="G165" s="733">
        <f t="shared" si="29"/>
        <v>12</v>
      </c>
      <c r="H165" s="556">
        <f t="shared" si="30"/>
        <v>12</v>
      </c>
      <c r="I165" s="619"/>
      <c r="J165" s="734">
        <f>H165/DAY(B2)</f>
        <v>12</v>
      </c>
    </row>
    <row r="166" spans="1:10" ht="26.25">
      <c r="A166" s="846"/>
      <c r="B166" s="846"/>
      <c r="C166" s="597"/>
      <c r="D166" s="731" t="s">
        <v>180</v>
      </c>
      <c r="E166" s="155"/>
      <c r="F166" s="616"/>
      <c r="G166" s="733">
        <f t="shared" si="29"/>
        <v>0</v>
      </c>
      <c r="H166" s="556">
        <f t="shared" si="30"/>
        <v>0</v>
      </c>
      <c r="I166" s="616"/>
      <c r="J166" s="599"/>
    </row>
    <row r="167" spans="1:10" ht="26.25">
      <c r="A167" s="846"/>
      <c r="B167" s="846"/>
      <c r="C167" s="597"/>
      <c r="D167" s="731" t="s">
        <v>180</v>
      </c>
      <c r="E167" s="155"/>
      <c r="F167" s="616"/>
      <c r="G167" s="733">
        <f t="shared" si="29"/>
        <v>0</v>
      </c>
      <c r="H167" s="556">
        <f t="shared" si="30"/>
        <v>0</v>
      </c>
      <c r="I167" s="616"/>
      <c r="J167" s="599"/>
    </row>
    <row r="168" spans="1:10" ht="26.25">
      <c r="A168" s="846"/>
      <c r="B168" s="846"/>
      <c r="C168" s="597"/>
      <c r="D168" s="731" t="s">
        <v>180</v>
      </c>
      <c r="E168" s="155"/>
      <c r="F168" s="616"/>
      <c r="G168" s="733">
        <f t="shared" si="29"/>
        <v>0</v>
      </c>
      <c r="H168" s="556">
        <f t="shared" si="30"/>
        <v>0</v>
      </c>
      <c r="I168" s="616"/>
      <c r="J168" s="599"/>
    </row>
    <row r="169" spans="1:10" ht="26.25">
      <c r="B169" s="560"/>
      <c r="C169" s="560"/>
      <c r="D169" s="560"/>
      <c r="F169" s="704"/>
      <c r="G169" s="705"/>
      <c r="H169" s="706"/>
      <c r="I169" s="704"/>
      <c r="J169" s="706"/>
    </row>
    <row r="170" spans="1:10" ht="26.25">
      <c r="B170" s="560"/>
      <c r="C170" s="560"/>
      <c r="D170" s="560"/>
      <c r="F170" s="704"/>
      <c r="G170" s="705"/>
      <c r="H170" s="706"/>
      <c r="I170" s="704"/>
      <c r="J170" s="706"/>
    </row>
    <row r="171" spans="1:10" ht="26.25">
      <c r="A171" s="847" t="s">
        <v>330</v>
      </c>
      <c r="B171" s="848"/>
      <c r="C171" s="848"/>
      <c r="D171" s="848"/>
      <c r="E171" s="848"/>
      <c r="F171" s="848"/>
      <c r="G171" s="848"/>
      <c r="H171" s="848"/>
      <c r="I171" s="848"/>
      <c r="J171" s="849"/>
    </row>
    <row r="172" spans="1:10" ht="26.25">
      <c r="A172" s="868"/>
      <c r="B172" s="869"/>
      <c r="C172" s="735"/>
      <c r="D172" s="736"/>
      <c r="E172" s="155"/>
      <c r="F172" s="616"/>
      <c r="G172" s="617"/>
      <c r="H172" s="599"/>
      <c r="I172" s="616"/>
      <c r="J172" s="737">
        <f>H172/DAY(B2)</f>
        <v>0</v>
      </c>
    </row>
    <row r="173" spans="1:10" ht="26.25">
      <c r="A173" s="850" t="s">
        <v>209</v>
      </c>
      <c r="B173" s="852"/>
      <c r="C173" s="738"/>
      <c r="D173" s="736" t="s">
        <v>142</v>
      </c>
      <c r="E173" s="425">
        <v>8264</v>
      </c>
      <c r="F173" s="616">
        <v>8265</v>
      </c>
      <c r="G173" s="617">
        <f>F173-E173</f>
        <v>1</v>
      </c>
      <c r="H173" s="556">
        <f t="shared" ref="H173:H189" si="31">G173</f>
        <v>1</v>
      </c>
      <c r="I173" s="616"/>
      <c r="J173" s="737">
        <f>H173/DAY(B2)</f>
        <v>1</v>
      </c>
    </row>
    <row r="174" spans="1:10" ht="26.25">
      <c r="A174" s="850" t="s">
        <v>75</v>
      </c>
      <c r="B174" s="852"/>
      <c r="C174" s="738"/>
      <c r="D174" s="736" t="s">
        <v>142</v>
      </c>
      <c r="E174" s="157">
        <v>40332</v>
      </c>
      <c r="F174" s="712">
        <v>40346</v>
      </c>
      <c r="G174" s="617">
        <f t="shared" ref="G174:G175" si="32">F174-E174</f>
        <v>14</v>
      </c>
      <c r="H174" s="556">
        <f t="shared" si="31"/>
        <v>14</v>
      </c>
      <c r="I174" s="616"/>
      <c r="J174" s="737">
        <f>H174/DAY(B2)</f>
        <v>14</v>
      </c>
    </row>
    <row r="175" spans="1:10" ht="26.25">
      <c r="A175" s="850" t="s">
        <v>76</v>
      </c>
      <c r="B175" s="851"/>
      <c r="C175" s="852"/>
      <c r="D175" s="736" t="s">
        <v>142</v>
      </c>
      <c r="E175" s="155">
        <v>23258</v>
      </c>
      <c r="F175" s="616">
        <v>23275</v>
      </c>
      <c r="G175" s="617">
        <f t="shared" si="32"/>
        <v>17</v>
      </c>
      <c r="H175" s="556">
        <f t="shared" si="31"/>
        <v>17</v>
      </c>
      <c r="I175" s="616"/>
      <c r="J175" s="737"/>
    </row>
    <row r="176" spans="1:10" ht="26.25">
      <c r="A176" s="862" t="s">
        <v>196</v>
      </c>
      <c r="B176" s="863"/>
      <c r="C176" s="738"/>
      <c r="D176" s="736"/>
      <c r="E176" s="155"/>
      <c r="F176" s="616"/>
      <c r="G176" s="617">
        <f>SUM(G173:G175)</f>
        <v>32</v>
      </c>
      <c r="H176" s="556">
        <f t="shared" si="31"/>
        <v>32</v>
      </c>
      <c r="I176" s="616"/>
      <c r="J176" s="737">
        <f>H176/DAY(B2)</f>
        <v>32</v>
      </c>
    </row>
    <row r="177" spans="1:10" ht="26.25">
      <c r="A177" s="850" t="s">
        <v>77</v>
      </c>
      <c r="B177" s="852"/>
      <c r="C177" s="738"/>
      <c r="D177" s="736" t="s">
        <v>142</v>
      </c>
      <c r="E177" s="155"/>
      <c r="F177" s="616"/>
      <c r="G177" s="617"/>
      <c r="H177" s="556">
        <f t="shared" si="31"/>
        <v>0</v>
      </c>
      <c r="I177" s="616"/>
      <c r="J177" s="737">
        <f>H177/DAY(B2)</f>
        <v>0</v>
      </c>
    </row>
    <row r="178" spans="1:10" ht="26.25">
      <c r="A178" s="850" t="s">
        <v>210</v>
      </c>
      <c r="B178" s="852"/>
      <c r="C178" s="738"/>
      <c r="D178" s="736" t="s">
        <v>142</v>
      </c>
      <c r="E178" s="155">
        <v>91822</v>
      </c>
      <c r="F178" s="616">
        <v>91925</v>
      </c>
      <c r="G178" s="617">
        <f>F178-E178</f>
        <v>103</v>
      </c>
      <c r="H178" s="556">
        <f t="shared" si="31"/>
        <v>103</v>
      </c>
      <c r="I178" s="616"/>
      <c r="J178" s="737">
        <f>H178/DAY(B2)</f>
        <v>103</v>
      </c>
    </row>
    <row r="179" spans="1:10" ht="26.25">
      <c r="A179" s="850" t="s">
        <v>211</v>
      </c>
      <c r="B179" s="852"/>
      <c r="C179" s="738"/>
      <c r="D179" s="736" t="s">
        <v>142</v>
      </c>
      <c r="E179" s="157">
        <v>35784</v>
      </c>
      <c r="F179" s="616">
        <v>35799</v>
      </c>
      <c r="G179" s="617">
        <f t="shared" ref="G179:G180" si="33">F179-E179</f>
        <v>15</v>
      </c>
      <c r="H179" s="556">
        <f t="shared" si="31"/>
        <v>15</v>
      </c>
      <c r="I179" s="616"/>
      <c r="J179" s="737">
        <f>H179/DAY(B2)</f>
        <v>15</v>
      </c>
    </row>
    <row r="180" spans="1:10" ht="26.25">
      <c r="A180" s="850" t="s">
        <v>212</v>
      </c>
      <c r="B180" s="852"/>
      <c r="C180" s="738"/>
      <c r="D180" s="736" t="s">
        <v>142</v>
      </c>
      <c r="E180" s="157">
        <v>6670</v>
      </c>
      <c r="F180" s="616">
        <v>6690</v>
      </c>
      <c r="G180" s="617">
        <f t="shared" si="33"/>
        <v>20</v>
      </c>
      <c r="H180" s="556">
        <f t="shared" si="31"/>
        <v>20</v>
      </c>
      <c r="I180" s="616"/>
      <c r="J180" s="737">
        <f>H180/DAY(B2)</f>
        <v>20</v>
      </c>
    </row>
    <row r="181" spans="1:10" ht="26.25">
      <c r="A181" s="862" t="s">
        <v>108</v>
      </c>
      <c r="B181" s="863"/>
      <c r="C181" s="738"/>
      <c r="D181" s="736"/>
      <c r="E181" s="157"/>
      <c r="F181" s="616"/>
      <c r="G181" s="617">
        <f>SUM(G178:G180)</f>
        <v>138</v>
      </c>
      <c r="H181" s="556">
        <f t="shared" si="31"/>
        <v>138</v>
      </c>
      <c r="I181" s="616"/>
      <c r="J181" s="737">
        <f>H181/DAY(B2)</f>
        <v>138</v>
      </c>
    </row>
    <row r="182" spans="1:10" ht="21.95" customHeight="1">
      <c r="A182" s="850" t="s">
        <v>213</v>
      </c>
      <c r="B182" s="852"/>
      <c r="C182" s="738"/>
      <c r="D182" s="736"/>
      <c r="E182" s="155"/>
      <c r="F182" s="616"/>
      <c r="G182" s="617"/>
      <c r="H182" s="556">
        <f t="shared" si="31"/>
        <v>0</v>
      </c>
      <c r="I182" s="616"/>
      <c r="J182" s="737">
        <f>H182/DAY(B2)</f>
        <v>0</v>
      </c>
    </row>
    <row r="183" spans="1:10" ht="21.95" customHeight="1">
      <c r="A183" s="850" t="s">
        <v>214</v>
      </c>
      <c r="B183" s="852"/>
      <c r="C183" s="738"/>
      <c r="D183" s="736" t="s">
        <v>142</v>
      </c>
      <c r="E183" s="157">
        <v>16955</v>
      </c>
      <c r="F183" s="712">
        <v>16961</v>
      </c>
      <c r="G183" s="739">
        <f>F183-E183</f>
        <v>6</v>
      </c>
      <c r="H183" s="556">
        <f t="shared" si="31"/>
        <v>6</v>
      </c>
      <c r="I183" s="616"/>
      <c r="J183" s="737">
        <f>H183/DAY(B2)</f>
        <v>6</v>
      </c>
    </row>
    <row r="184" spans="1:10" ht="21.95" customHeight="1">
      <c r="A184" s="850" t="s">
        <v>215</v>
      </c>
      <c r="B184" s="852"/>
      <c r="C184" s="738"/>
      <c r="D184" s="736" t="s">
        <v>142</v>
      </c>
      <c r="E184" s="157">
        <v>11486</v>
      </c>
      <c r="F184" s="712">
        <v>11503</v>
      </c>
      <c r="G184" s="739">
        <f t="shared" ref="G184:G185" si="34">F184-E184</f>
        <v>17</v>
      </c>
      <c r="H184" s="556">
        <f t="shared" si="31"/>
        <v>17</v>
      </c>
      <c r="I184" s="616"/>
      <c r="J184" s="737">
        <f>H184/DAY(B2)</f>
        <v>17</v>
      </c>
    </row>
    <row r="185" spans="1:10" ht="26.25">
      <c r="A185" s="850" t="s">
        <v>216</v>
      </c>
      <c r="B185" s="852"/>
      <c r="C185" s="738"/>
      <c r="D185" s="736" t="s">
        <v>142</v>
      </c>
      <c r="E185" s="157"/>
      <c r="F185" s="712"/>
      <c r="G185" s="739">
        <f t="shared" si="34"/>
        <v>0</v>
      </c>
      <c r="H185" s="556">
        <f t="shared" si="31"/>
        <v>0</v>
      </c>
      <c r="I185" s="616"/>
      <c r="J185" s="740">
        <f>H185/DAY(B2)</f>
        <v>0</v>
      </c>
    </row>
    <row r="186" spans="1:10" ht="26.25">
      <c r="A186" s="862" t="s">
        <v>196</v>
      </c>
      <c r="B186" s="863"/>
      <c r="C186" s="738"/>
      <c r="D186" s="741"/>
      <c r="E186" s="157"/>
      <c r="F186" s="712"/>
      <c r="G186" s="739">
        <f>SUM(G183:G185)</f>
        <v>23</v>
      </c>
      <c r="H186" s="556">
        <f t="shared" si="31"/>
        <v>23</v>
      </c>
      <c r="I186" s="712"/>
      <c r="J186" s="740">
        <f>H186/DAY(B2)</f>
        <v>23</v>
      </c>
    </row>
    <row r="187" spans="1:10" ht="26.25">
      <c r="A187" s="850" t="s">
        <v>217</v>
      </c>
      <c r="B187" s="852"/>
      <c r="C187" s="738"/>
      <c r="D187" s="742" t="s">
        <v>142</v>
      </c>
      <c r="E187" s="159"/>
      <c r="F187" s="729"/>
      <c r="G187" s="739">
        <f>G62+G19</f>
        <v>246</v>
      </c>
      <c r="H187" s="556">
        <f t="shared" si="31"/>
        <v>246</v>
      </c>
      <c r="I187" s="712"/>
      <c r="J187" s="740">
        <f>H187/DAY(B2)</f>
        <v>246</v>
      </c>
    </row>
    <row r="188" spans="1:10" ht="26.25">
      <c r="A188" s="850" t="s">
        <v>218</v>
      </c>
      <c r="B188" s="852"/>
      <c r="C188" s="738"/>
      <c r="D188" s="742" t="s">
        <v>142</v>
      </c>
      <c r="E188" s="159"/>
      <c r="F188" s="729"/>
      <c r="G188" s="739">
        <f>G65+G66+G67+G69+G70</f>
        <v>230</v>
      </c>
      <c r="H188" s="556">
        <f t="shared" si="31"/>
        <v>230</v>
      </c>
      <c r="I188" s="712"/>
      <c r="J188" s="683"/>
    </row>
    <row r="189" spans="1:10" ht="26.25">
      <c r="A189" s="850" t="s">
        <v>219</v>
      </c>
      <c r="B189" s="852"/>
      <c r="C189" s="738"/>
      <c r="D189" s="742" t="s">
        <v>142</v>
      </c>
      <c r="E189" s="157"/>
      <c r="F189" s="712"/>
      <c r="G189" s="739">
        <f>G181</f>
        <v>138</v>
      </c>
      <c r="H189" s="556">
        <f t="shared" si="31"/>
        <v>138</v>
      </c>
      <c r="I189" s="712"/>
      <c r="J189" s="734">
        <f>H189/DAY(B2)</f>
        <v>138</v>
      </c>
    </row>
    <row r="190" spans="1:10" ht="26.25">
      <c r="A190" s="866" t="s">
        <v>358</v>
      </c>
      <c r="B190" s="867"/>
      <c r="C190" s="604"/>
      <c r="D190" s="605"/>
      <c r="E190" s="415">
        <v>53763</v>
      </c>
      <c r="F190" s="606">
        <v>53763</v>
      </c>
      <c r="G190" s="743">
        <f>F190-E190</f>
        <v>0</v>
      </c>
      <c r="H190" s="607"/>
      <c r="I190" s="606"/>
      <c r="J190" s="607"/>
    </row>
    <row r="191" spans="1:10" ht="26.25">
      <c r="A191" s="864"/>
      <c r="B191" s="865"/>
    </row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6"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topLeftCell="A175" zoomScale="55" zoomScaleSheetLayoutView="55" workbookViewId="0">
      <selection activeCell="A18" sqref="A18:C18"/>
    </sheetView>
  </sheetViews>
  <sheetFormatPr defaultColWidth="22.33203125" defaultRowHeight="21.95" customHeight="1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76" t="s">
        <v>115</v>
      </c>
      <c r="B1" s="877"/>
      <c r="C1" s="877"/>
      <c r="D1" s="877"/>
      <c r="E1" s="877"/>
      <c r="F1" s="877"/>
      <c r="G1" s="877"/>
      <c r="H1" s="877"/>
      <c r="I1" s="877"/>
      <c r="J1" s="878"/>
    </row>
    <row r="2" spans="1:16" s="57" customFormat="1" ht="23.25">
      <c r="A2" s="191" t="s">
        <v>355</v>
      </c>
      <c r="B2" s="262">
        <v>44714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28</v>
      </c>
      <c r="E3" s="885" t="s">
        <v>119</v>
      </c>
      <c r="F3" s="886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879" t="s">
        <v>128</v>
      </c>
      <c r="B6" s="880"/>
      <c r="C6" s="881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'1'!F7</f>
        <v>713761</v>
      </c>
      <c r="F7" s="95">
        <v>741242</v>
      </c>
      <c r="G7" s="112">
        <f>F7-E7</f>
        <v>27481</v>
      </c>
      <c r="H7" s="99">
        <f>G7+'1'!H7</f>
        <v>54497</v>
      </c>
      <c r="I7" s="113">
        <f>'[1]1'!I7</f>
        <v>12000</v>
      </c>
      <c r="J7" s="175">
        <f>H7/DAY(B2)</f>
        <v>27248.5</v>
      </c>
      <c r="K7" s="172">
        <v>1375467</v>
      </c>
      <c r="L7" s="66"/>
      <c r="N7" s="87"/>
      <c r="O7" s="373"/>
      <c r="P7" s="57"/>
    </row>
    <row r="8" spans="1:16" ht="27" thickBot="1">
      <c r="A8" s="196" t="s">
        <v>131</v>
      </c>
      <c r="B8" s="197"/>
      <c r="C8" s="198"/>
      <c r="D8" s="224" t="s">
        <v>24</v>
      </c>
      <c r="E8" s="95">
        <f>'1'!F8</f>
        <v>830039</v>
      </c>
      <c r="F8" s="114">
        <v>858615</v>
      </c>
      <c r="G8" s="115">
        <f>F8-E8</f>
        <v>28576</v>
      </c>
      <c r="H8" s="99">
        <f>G8+'1'!H8</f>
        <v>56635</v>
      </c>
      <c r="I8" s="116">
        <v>12000</v>
      </c>
      <c r="J8" s="175">
        <f>H8/DAY(B2)</f>
        <v>28317.5</v>
      </c>
      <c r="K8" s="172">
        <v>1715917</v>
      </c>
      <c r="L8" s="76">
        <v>1728480</v>
      </c>
      <c r="M8" s="87">
        <f>L8-K8</f>
        <v>12563</v>
      </c>
      <c r="N8" s="87"/>
      <c r="O8" s="373"/>
      <c r="P8" s="57"/>
    </row>
    <row r="9" spans="1:16" ht="26.25">
      <c r="A9" s="199" t="s">
        <v>132</v>
      </c>
      <c r="B9" s="200"/>
      <c r="C9" s="200"/>
      <c r="D9" s="151" t="s">
        <v>130</v>
      </c>
      <c r="E9" s="95">
        <f>'1'!F9</f>
        <v>2451194</v>
      </c>
      <c r="F9" s="353">
        <v>2466640</v>
      </c>
      <c r="G9" s="112">
        <f t="shared" ref="G9:G11" si="0">F9-E9</f>
        <v>15446</v>
      </c>
      <c r="H9" s="99">
        <f>G9+'1'!H9</f>
        <v>28950</v>
      </c>
      <c r="I9" s="124">
        <f>I8-J8</f>
        <v>-16317.5</v>
      </c>
      <c r="J9" s="175">
        <f>H9/DAY(B2)</f>
        <v>14475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'1'!F10</f>
        <v>914148</v>
      </c>
      <c r="F10" s="117">
        <v>925480</v>
      </c>
      <c r="G10" s="112">
        <f t="shared" si="0"/>
        <v>11332</v>
      </c>
      <c r="H10" s="99">
        <f>G10+'1'!H10</f>
        <v>24076</v>
      </c>
      <c r="I10" s="118"/>
      <c r="J10" s="175">
        <f>H10/DAY(B2)</f>
        <v>12038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'1'!F11</f>
        <v>37560</v>
      </c>
      <c r="F11" s="95">
        <v>37560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'1'!F12</f>
        <v>40380</v>
      </c>
      <c r="F12" s="117">
        <v>40380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26778</v>
      </c>
      <c r="H13" s="99">
        <f>G13+'1'!H13</f>
        <v>52887</v>
      </c>
      <c r="I13" s="120">
        <f>G7-G13</f>
        <v>703</v>
      </c>
      <c r="J13" s="175">
        <f>H13/DAY(B2)</f>
        <v>26443.5</v>
      </c>
      <c r="K13" s="79"/>
      <c r="L13" s="66"/>
      <c r="N13" s="87"/>
      <c r="O13" s="71"/>
    </row>
    <row r="14" spans="1:16" ht="26.25">
      <c r="A14" s="882" t="s">
        <v>137</v>
      </c>
      <c r="B14" s="883"/>
      <c r="C14" s="88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'1'!F15</f>
        <v>2038215</v>
      </c>
      <c r="F15" s="352">
        <v>2039258</v>
      </c>
      <c r="G15" s="356">
        <f>(F15-E15)</f>
        <v>1043</v>
      </c>
      <c r="H15" s="99">
        <f>G15+'1'!H15</f>
        <v>2141</v>
      </c>
      <c r="I15" s="113">
        <v>800</v>
      </c>
      <c r="J15" s="175">
        <f>H15/DAY(B2)</f>
        <v>1070.5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-270.5</v>
      </c>
      <c r="J16" s="176"/>
      <c r="K16" s="79"/>
      <c r="L16" s="66"/>
      <c r="N16" s="87"/>
      <c r="O16" s="71"/>
      <c r="P16" s="71"/>
    </row>
    <row r="17" spans="1:16" ht="26.25">
      <c r="A17" s="882" t="s">
        <v>140</v>
      </c>
      <c r="B17" s="883"/>
      <c r="C17" s="88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/>
    </row>
    <row r="18" spans="1:16" ht="25.5">
      <c r="A18" s="873" t="s">
        <v>141</v>
      </c>
      <c r="B18" s="874"/>
      <c r="C18" s="875"/>
      <c r="D18" s="151" t="s">
        <v>142</v>
      </c>
      <c r="E18" s="95">
        <f>'1'!F18</f>
        <v>26</v>
      </c>
      <c r="F18" s="117">
        <v>26</v>
      </c>
      <c r="G18" s="119">
        <f>F18*10</f>
        <v>260</v>
      </c>
      <c r="H18" s="99">
        <f>G18+'1'!H18</f>
        <v>520</v>
      </c>
      <c r="I18" s="113">
        <f>'[1]1'!I18</f>
        <v>65</v>
      </c>
      <c r="J18" s="175">
        <f>H18/DAY(B2)</f>
        <v>260</v>
      </c>
      <c r="K18" s="79"/>
      <c r="L18" s="66"/>
      <c r="N18" s="87"/>
      <c r="O18" s="71"/>
    </row>
    <row r="19" spans="1:16" ht="25.5">
      <c r="A19" s="873" t="s">
        <v>69</v>
      </c>
      <c r="B19" s="874"/>
      <c r="C19" s="875"/>
      <c r="D19" s="151" t="s">
        <v>142</v>
      </c>
      <c r="E19" s="95">
        <f>'1'!F19</f>
        <v>160163</v>
      </c>
      <c r="F19" s="353">
        <v>160219</v>
      </c>
      <c r="G19" s="112">
        <f>F19-E19</f>
        <v>56</v>
      </c>
      <c r="H19" s="99">
        <f>G19+'1'!H19</f>
        <v>112</v>
      </c>
      <c r="I19" s="354"/>
      <c r="J19" s="175">
        <f>H19/DAY(B2)</f>
        <v>56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51"/>
      <c r="G20" s="355">
        <f>G18+G19</f>
        <v>316</v>
      </c>
      <c r="H20" s="99">
        <f>G20+'1'!H20</f>
        <v>632</v>
      </c>
      <c r="I20" s="336">
        <f>I18-J20</f>
        <v>-251</v>
      </c>
      <c r="J20" s="175">
        <f>H20/DAY(B2)</f>
        <v>316</v>
      </c>
      <c r="K20" s="79"/>
      <c r="L20" s="66"/>
      <c r="N20" s="87"/>
      <c r="O20" s="71"/>
    </row>
    <row r="21" spans="1:16" ht="26.25">
      <c r="A21" s="882" t="s">
        <v>144</v>
      </c>
      <c r="B21" s="883"/>
      <c r="C21" s="88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6.25">
      <c r="A22" s="34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5" t="s">
        <v>147</v>
      </c>
      <c r="B23" s="205"/>
      <c r="C23" s="205"/>
      <c r="D23" s="151" t="s">
        <v>146</v>
      </c>
      <c r="E23" s="95">
        <f>'1'!F23</f>
        <v>2000</v>
      </c>
      <c r="F23" s="117">
        <v>1500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f>'1'!F24</f>
        <v>4970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887" t="s">
        <v>149</v>
      </c>
      <c r="B25" s="888"/>
      <c r="C25" s="88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5.5">
      <c r="A27" s="208" t="s">
        <v>5</v>
      </c>
      <c r="B27" s="209"/>
      <c r="C27" s="210"/>
      <c r="D27" s="226" t="s">
        <v>24</v>
      </c>
      <c r="E27" s="135">
        <f>G8</f>
        <v>28576</v>
      </c>
      <c r="F27" s="136">
        <v>9</v>
      </c>
      <c r="G27" s="137">
        <f>E27*F27</f>
        <v>257184</v>
      </c>
      <c r="H27" s="99">
        <f>G27+'1'!H27</f>
        <v>509715</v>
      </c>
      <c r="I27" s="138"/>
      <c r="J27" s="175">
        <f>H27/DAY(B2)</f>
        <v>254857.5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139">
        <f>G15</f>
        <v>1043</v>
      </c>
      <c r="F28" s="136">
        <v>70</v>
      </c>
      <c r="G28" s="137">
        <f t="shared" ref="G28:G31" si="2">E28*F28</f>
        <v>73010</v>
      </c>
      <c r="H28" s="99">
        <f>G28+'1'!H28</f>
        <v>149870</v>
      </c>
      <c r="I28" s="140"/>
      <c r="J28" s="175">
        <f>H28/DAY(B2)</f>
        <v>74935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151</v>
      </c>
      <c r="G30" s="137">
        <f t="shared" si="2"/>
        <v>8456</v>
      </c>
      <c r="H30" s="99">
        <f>G30+'1'!H30</f>
        <v>16912</v>
      </c>
      <c r="I30" s="140"/>
      <c r="J30" s="175">
        <f>H30/DAY(B2)</f>
        <v>8456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 t="shared" si="2"/>
        <v>20800</v>
      </c>
      <c r="H31" s="99">
        <f>G31+'1'!H31</f>
        <v>41600</v>
      </c>
      <c r="I31" s="140"/>
      <c r="J31" s="175">
        <f>H31/DAY(B2)</f>
        <v>20800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359450</v>
      </c>
      <c r="H32" s="99">
        <f>G32+'1'!H32</f>
        <v>718097</v>
      </c>
      <c r="I32" s="144"/>
      <c r="J32" s="175">
        <f>H32/DAY(B2)</f>
        <v>359048.5</v>
      </c>
      <c r="K32" s="63"/>
      <c r="L32" s="89"/>
      <c r="N32" s="87"/>
      <c r="O32" s="71"/>
    </row>
    <row r="33" spans="1:15" ht="25.5" customHeight="1">
      <c r="A33" s="890" t="s">
        <v>331</v>
      </c>
      <c r="B33" s="891"/>
      <c r="C33" s="89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'1'!F35</f>
        <v>238714</v>
      </c>
      <c r="F35" s="145">
        <v>238714</v>
      </c>
      <c r="G35" s="112">
        <f t="shared" ref="G35:G46" si="3">F35-E35</f>
        <v>0</v>
      </c>
      <c r="H35" s="99">
        <f>G35+'1'!H35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'1'!F36</f>
        <v>161144</v>
      </c>
      <c r="F36" s="145">
        <v>162128</v>
      </c>
      <c r="G36" s="112">
        <f t="shared" si="3"/>
        <v>984</v>
      </c>
      <c r="H36" s="99">
        <f>G36+'1'!H36</f>
        <v>1680</v>
      </c>
      <c r="I36" s="95"/>
      <c r="J36" s="175">
        <f>H36/DAY(B2)</f>
        <v>840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'1'!F37</f>
        <v>237493</v>
      </c>
      <c r="F37" s="145">
        <v>239288</v>
      </c>
      <c r="G37" s="112">
        <f t="shared" si="3"/>
        <v>1795</v>
      </c>
      <c r="H37" s="99">
        <f>G37+'1'!H37</f>
        <v>3509</v>
      </c>
      <c r="I37" s="95"/>
      <c r="J37" s="175">
        <f>H37/DAY(B2)</f>
        <v>1754.5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'1'!F38</f>
        <v>318954</v>
      </c>
      <c r="F38" s="108">
        <v>321334</v>
      </c>
      <c r="G38" s="112">
        <f t="shared" si="3"/>
        <v>2380</v>
      </c>
      <c r="H38" s="99">
        <f>G38+'1'!H38</f>
        <v>5042</v>
      </c>
      <c r="I38" s="95"/>
      <c r="J38" s="175">
        <f>H38/DAY(B2)</f>
        <v>2521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'1'!F39</f>
        <v>435319</v>
      </c>
      <c r="F39" s="145">
        <v>438285</v>
      </c>
      <c r="G39" s="112">
        <f t="shared" si="3"/>
        <v>2966</v>
      </c>
      <c r="H39" s="99">
        <f>G39+'1'!H39</f>
        <v>6000</v>
      </c>
      <c r="I39" s="95"/>
      <c r="J39" s="175">
        <f>H39/DAY(B2)</f>
        <v>3000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'1'!F40</f>
        <v>73807</v>
      </c>
      <c r="F40" s="145">
        <v>73951</v>
      </c>
      <c r="G40" s="112">
        <f t="shared" si="3"/>
        <v>144</v>
      </c>
      <c r="H40" s="99">
        <f>G40+'1'!H40</f>
        <v>398</v>
      </c>
      <c r="I40" s="95"/>
      <c r="J40" s="175">
        <f>H40/DAY(B2)</f>
        <v>199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'1'!F41</f>
        <v>68835</v>
      </c>
      <c r="F41" s="145">
        <v>68835</v>
      </c>
      <c r="G41" s="112">
        <f t="shared" si="3"/>
        <v>0</v>
      </c>
      <c r="H41" s="99">
        <f>G41+'1'!H41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'1'!F42</f>
        <v>564468</v>
      </c>
      <c r="F42" s="145">
        <v>570436</v>
      </c>
      <c r="G42" s="112">
        <f t="shared" si="3"/>
        <v>5968</v>
      </c>
      <c r="H42" s="99">
        <f>G42+'1'!H42</f>
        <v>10564</v>
      </c>
      <c r="I42" s="95"/>
      <c r="J42" s="175">
        <f>H42/DAY(B2)</f>
        <v>5282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'1'!F43</f>
        <v>407028</v>
      </c>
      <c r="F43" s="145">
        <v>407028</v>
      </c>
      <c r="G43" s="112">
        <f t="shared" si="3"/>
        <v>0</v>
      </c>
      <c r="H43" s="99">
        <f>G43+'1'!H43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14237</v>
      </c>
      <c r="H47" s="99">
        <f>G47+'1'!H47</f>
        <v>27193</v>
      </c>
      <c r="I47" s="95"/>
      <c r="J47" s="175">
        <f>H47/DAY(B2)</f>
        <v>13596.5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'1'!F49</f>
        <v>261622</v>
      </c>
      <c r="F49" s="145">
        <v>265599</v>
      </c>
      <c r="G49" s="112">
        <f t="shared" ref="G49:G58" si="4">F49-E49</f>
        <v>3977</v>
      </c>
      <c r="H49" s="99">
        <f>G49+'1'!H49</f>
        <v>8452</v>
      </c>
      <c r="I49" s="95"/>
      <c r="J49" s="175">
        <f>H49/DAY(B2)</f>
        <v>4226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'1'!F50</f>
        <v>210379</v>
      </c>
      <c r="F50" s="145">
        <v>211229</v>
      </c>
      <c r="G50" s="112">
        <f t="shared" si="4"/>
        <v>850</v>
      </c>
      <c r="H50" s="99">
        <f>G50+'1'!H50</f>
        <v>1665</v>
      </c>
      <c r="I50" s="95"/>
      <c r="J50" s="175">
        <f>H50/DAY(B2)</f>
        <v>832.5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'1'!F51</f>
        <v>76</v>
      </c>
      <c r="F51" s="145">
        <v>76</v>
      </c>
      <c r="G51" s="112">
        <f t="shared" si="4"/>
        <v>0</v>
      </c>
      <c r="H51" s="99">
        <f>G51+'1'!H51</f>
        <v>0.31999999999999318</v>
      </c>
      <c r="I51" s="95"/>
      <c r="J51" s="175">
        <f>H51/DAY(B2)</f>
        <v>0.15999999999999659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'1'!F52</f>
        <v>9.76</v>
      </c>
      <c r="F52" s="145">
        <v>9.76</v>
      </c>
      <c r="G52" s="112">
        <f t="shared" si="4"/>
        <v>0</v>
      </c>
      <c r="H52" s="99">
        <f>G52+'1'!H52</f>
        <v>-0.24000000000000021</v>
      </c>
      <c r="I52" s="95"/>
      <c r="J52" s="175">
        <f>H52/DAY(B2)</f>
        <v>-0.12000000000000011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'1'!F54</f>
        <v>65016</v>
      </c>
      <c r="F54" s="145">
        <v>65478</v>
      </c>
      <c r="G54" s="112">
        <f t="shared" si="4"/>
        <v>462</v>
      </c>
      <c r="H54" s="99">
        <f>G54+'1'!H54</f>
        <v>922</v>
      </c>
      <c r="I54" s="95"/>
      <c r="J54" s="175">
        <f>H54/DAY(B2)</f>
        <v>461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'1'!F55</f>
        <v>228885</v>
      </c>
      <c r="F55" s="145">
        <v>231291</v>
      </c>
      <c r="G55" s="112">
        <f t="shared" si="4"/>
        <v>2406</v>
      </c>
      <c r="H55" s="99">
        <f>G55+'1'!H55</f>
        <v>5818</v>
      </c>
      <c r="I55" s="95"/>
      <c r="J55" s="175">
        <f>H55/DAY(B2)</f>
        <v>2909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'1'!F56</f>
        <v>107245.66</v>
      </c>
      <c r="F56" s="145">
        <v>107245.66</v>
      </c>
      <c r="G56" s="112">
        <f t="shared" si="4"/>
        <v>0</v>
      </c>
      <c r="H56" s="99">
        <f>G56+'1'!H56</f>
        <v>-0.33999999999650754</v>
      </c>
      <c r="I56" s="95"/>
      <c r="J56" s="175">
        <f>H56/DAY(B2)</f>
        <v>-0.16999999999825377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v>40192</v>
      </c>
      <c r="F57" s="145">
        <v>43269</v>
      </c>
      <c r="G57" s="112">
        <f t="shared" si="4"/>
        <v>3077</v>
      </c>
      <c r="H57" s="99">
        <f>G57+'1'!H57</f>
        <v>5666</v>
      </c>
      <c r="I57" s="95"/>
      <c r="J57" s="175">
        <f>H57/DAY(B2)</f>
        <v>2833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'1'!F58</f>
        <v>32898</v>
      </c>
      <c r="F58" s="145">
        <v>33152</v>
      </c>
      <c r="G58" s="112">
        <f t="shared" si="4"/>
        <v>254</v>
      </c>
      <c r="H58" s="99">
        <f>G58+'1'!H58</f>
        <v>493</v>
      </c>
      <c r="I58" s="95"/>
      <c r="J58" s="175">
        <f>H58/DAY(B2)</f>
        <v>246.5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11026</v>
      </c>
      <c r="H59" s="99">
        <f>G59+'1'!H59</f>
        <v>23015.740000000005</v>
      </c>
      <c r="I59" s="95">
        <f>G7-G60</f>
        <v>2218</v>
      </c>
      <c r="J59" s="175">
        <f>H59/DAY(B2)</f>
        <v>11507.870000000003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25263</v>
      </c>
      <c r="H60" s="99">
        <f>G60+'1'!H60</f>
        <v>50208.740000000005</v>
      </c>
      <c r="I60" s="95">
        <f>G13-G60</f>
        <v>1515</v>
      </c>
      <c r="J60" s="175">
        <f>H60/DAY(B2)</f>
        <v>25104.370000000003</v>
      </c>
      <c r="K60" s="79"/>
      <c r="L60" s="66"/>
      <c r="N60" s="87"/>
      <c r="O60" s="71"/>
    </row>
    <row r="61" spans="1:15" s="68" customFormat="1" ht="26.25">
      <c r="A61" s="892" t="s">
        <v>332</v>
      </c>
      <c r="B61" s="893"/>
      <c r="C61" s="89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3" t="s">
        <v>198</v>
      </c>
      <c r="B62" s="874"/>
      <c r="C62" s="875"/>
      <c r="D62" s="151" t="s">
        <v>142</v>
      </c>
      <c r="E62" s="95">
        <f>'1'!F62</f>
        <v>289090</v>
      </c>
      <c r="F62" s="122">
        <v>289255</v>
      </c>
      <c r="G62" s="112">
        <f t="shared" ref="G62:G63" si="5">F62-E62</f>
        <v>165</v>
      </c>
      <c r="H62" s="99">
        <f>G62+'1'!H62</f>
        <v>355</v>
      </c>
      <c r="I62" s="118"/>
      <c r="J62" s="175">
        <f>H62/DAY(B2)</f>
        <v>177.5</v>
      </c>
      <c r="K62" s="80"/>
      <c r="L62" s="66"/>
      <c r="N62" s="87"/>
      <c r="O62" s="71"/>
    </row>
    <row r="63" spans="1:15" ht="25.5">
      <c r="A63" s="873" t="s">
        <v>199</v>
      </c>
      <c r="B63" s="874"/>
      <c r="C63" s="875"/>
      <c r="D63" s="151" t="s">
        <v>142</v>
      </c>
      <c r="E63" s="95">
        <f>'1'!F63</f>
        <v>231281</v>
      </c>
      <c r="F63" s="122">
        <v>231417</v>
      </c>
      <c r="G63" s="112">
        <f t="shared" si="5"/>
        <v>136</v>
      </c>
      <c r="H63" s="99">
        <f>G63+'1'!H63</f>
        <v>255</v>
      </c>
      <c r="I63" s="118"/>
      <c r="J63" s="175">
        <f>H63/DAY(B2)</f>
        <v>127.5</v>
      </c>
      <c r="K63" s="69"/>
      <c r="L63" s="66"/>
      <c r="N63" s="87"/>
      <c r="O63" s="71"/>
    </row>
    <row r="64" spans="1:15" ht="26.25">
      <c r="A64" s="870" t="s">
        <v>200</v>
      </c>
      <c r="B64" s="871"/>
      <c r="C64" s="872"/>
      <c r="D64" s="151"/>
      <c r="E64" s="95">
        <f>'1'!F64</f>
        <v>0</v>
      </c>
      <c r="F64" s="122"/>
      <c r="G64" s="112">
        <f>G62+G63</f>
        <v>301</v>
      </c>
      <c r="H64" s="99">
        <f>G64+'1'!H64</f>
        <v>610</v>
      </c>
      <c r="I64" s="118"/>
      <c r="J64" s="175">
        <f>H64/DAY(B2)</f>
        <v>305</v>
      </c>
      <c r="K64" s="69"/>
      <c r="L64" s="66"/>
      <c r="N64" s="87"/>
      <c r="O64" s="71"/>
    </row>
    <row r="65" spans="1:15" ht="25.5">
      <c r="A65" s="873" t="s">
        <v>201</v>
      </c>
      <c r="B65" s="874"/>
      <c r="C65" s="875"/>
      <c r="D65" s="151" t="s">
        <v>142</v>
      </c>
      <c r="E65" s="95">
        <f>'1'!F65</f>
        <v>448143</v>
      </c>
      <c r="F65" s="122">
        <v>448248</v>
      </c>
      <c r="G65" s="112">
        <f t="shared" ref="G65:G70" si="6">F65-E65</f>
        <v>105</v>
      </c>
      <c r="H65" s="99">
        <f>G65+'1'!H65</f>
        <v>221</v>
      </c>
      <c r="I65" s="118"/>
      <c r="J65" s="175">
        <f>H65/DAY(B2)</f>
        <v>110.5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'1'!F66</f>
        <v>110349</v>
      </c>
      <c r="F66" s="122">
        <v>110373</v>
      </c>
      <c r="G66" s="112">
        <f t="shared" si="6"/>
        <v>24</v>
      </c>
      <c r="H66" s="99">
        <f>G66+'1'!H66</f>
        <v>42</v>
      </c>
      <c r="I66" s="118"/>
      <c r="J66" s="175">
        <f>H66/DAY(B2)</f>
        <v>21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'1'!F67</f>
        <v>113345</v>
      </c>
      <c r="F67" s="122">
        <v>113414</v>
      </c>
      <c r="G67" s="112">
        <f t="shared" si="6"/>
        <v>69</v>
      </c>
      <c r="H67" s="99">
        <f>G67+'1'!H67</f>
        <v>136</v>
      </c>
      <c r="I67" s="118"/>
      <c r="J67" s="175">
        <f>H67/DAY(B2)</f>
        <v>68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'1'!F68</f>
        <v>162509</v>
      </c>
      <c r="F68" s="122">
        <v>162526</v>
      </c>
      <c r="G68" s="112">
        <f t="shared" si="6"/>
        <v>17</v>
      </c>
      <c r="H68" s="99">
        <f>G68+'1'!H68</f>
        <v>32</v>
      </c>
      <c r="I68" s="118"/>
      <c r="J68" s="175">
        <f>H68/DAY(B2)</f>
        <v>16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'1'!F69</f>
        <v>11874</v>
      </c>
      <c r="F69" s="122">
        <v>11884</v>
      </c>
      <c r="G69" s="236">
        <f t="shared" si="6"/>
        <v>10</v>
      </c>
      <c r="H69" s="99">
        <f>G69+'1'!H69</f>
        <v>15</v>
      </c>
      <c r="I69" s="118"/>
      <c r="J69" s="175">
        <f>H69/DAY(B2)</f>
        <v>7.5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'1'!F70</f>
        <v>9291</v>
      </c>
      <c r="F70" s="122">
        <v>9299</v>
      </c>
      <c r="G70" s="112">
        <f t="shared" si="6"/>
        <v>8</v>
      </c>
      <c r="H70" s="99">
        <f>G70+'1'!H70</f>
        <v>32</v>
      </c>
      <c r="I70" s="118"/>
      <c r="J70" s="175">
        <f>H70/DAY(B2)</f>
        <v>16</v>
      </c>
      <c r="K70" s="69"/>
      <c r="L70" s="66"/>
      <c r="N70" s="87"/>
      <c r="O70" s="71"/>
    </row>
    <row r="71" spans="1:15" ht="26.25">
      <c r="A71" s="870" t="s">
        <v>208</v>
      </c>
      <c r="B71" s="871"/>
      <c r="C71" s="872"/>
      <c r="D71" s="152"/>
      <c r="E71" s="152"/>
      <c r="F71" s="152"/>
      <c r="G71" s="153">
        <f>SUM(G65:G70)</f>
        <v>233</v>
      </c>
      <c r="H71" s="99">
        <f>G71+'1'!H71</f>
        <v>478</v>
      </c>
      <c r="I71" s="154"/>
      <c r="J71" s="175">
        <f>H71/DAY(B2)</f>
        <v>239</v>
      </c>
      <c r="K71" s="69"/>
      <c r="L71" s="66"/>
      <c r="N71" s="87"/>
      <c r="O71" s="71"/>
    </row>
    <row r="72" spans="1:15" s="88" customFormat="1" ht="25.5">
      <c r="A72" s="916"/>
      <c r="B72" s="90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3" t="s">
        <v>220</v>
      </c>
      <c r="B74" s="874"/>
      <c r="C74" s="875"/>
      <c r="D74" s="151" t="s">
        <v>139</v>
      </c>
      <c r="E74" s="95">
        <f>'1'!F74</f>
        <v>938998</v>
      </c>
      <c r="F74" s="123">
        <v>939329</v>
      </c>
      <c r="G74" s="112">
        <f t="shared" ref="G74:G78" si="7">F74-E74</f>
        <v>331</v>
      </c>
      <c r="H74" s="99">
        <f>G74+'1'!H74</f>
        <v>659</v>
      </c>
      <c r="I74" s="154"/>
      <c r="J74" s="175">
        <f>H74/DAY(B2)</f>
        <v>329.5</v>
      </c>
      <c r="K74" s="69"/>
      <c r="L74" s="66"/>
      <c r="N74" s="87"/>
      <c r="O74" s="71"/>
    </row>
    <row r="75" spans="1:15" ht="25.5">
      <c r="A75" s="873" t="s">
        <v>221</v>
      </c>
      <c r="B75" s="874"/>
      <c r="C75" s="875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7" t="s">
        <v>222</v>
      </c>
      <c r="B76" s="903"/>
      <c r="C76" s="904"/>
      <c r="D76" s="151" t="s">
        <v>139</v>
      </c>
      <c r="E76" s="95">
        <f>'1'!F76</f>
        <v>183811</v>
      </c>
      <c r="F76" s="123">
        <v>183909</v>
      </c>
      <c r="G76" s="112">
        <f t="shared" si="7"/>
        <v>98</v>
      </c>
      <c r="H76" s="99">
        <f>G76+'1'!H76</f>
        <v>203</v>
      </c>
      <c r="I76" s="154"/>
      <c r="J76" s="175">
        <f>H76/DAY(B2)</f>
        <v>101.5</v>
      </c>
      <c r="K76" s="69"/>
      <c r="L76" s="66"/>
      <c r="N76" s="87"/>
      <c r="O76" s="71"/>
    </row>
    <row r="77" spans="1:15" ht="25.5">
      <c r="A77" s="917" t="s">
        <v>223</v>
      </c>
      <c r="B77" s="903"/>
      <c r="C77" s="904"/>
      <c r="D77" s="151" t="s">
        <v>139</v>
      </c>
      <c r="E77" s="95">
        <f>'1'!F77</f>
        <v>47393</v>
      </c>
      <c r="F77" s="123">
        <v>47434</v>
      </c>
      <c r="G77" s="112">
        <f t="shared" si="7"/>
        <v>41</v>
      </c>
      <c r="H77" s="99">
        <f>G77+'1'!H77</f>
        <v>89</v>
      </c>
      <c r="I77" s="154"/>
      <c r="J77" s="175">
        <f>H77/DAY(B2)</f>
        <v>44.5</v>
      </c>
      <c r="K77" s="69"/>
      <c r="L77" s="66"/>
      <c r="N77" s="87"/>
      <c r="O77" s="71"/>
    </row>
    <row r="78" spans="1:15" ht="25.5">
      <c r="A78" s="917" t="s">
        <v>224</v>
      </c>
      <c r="B78" s="903"/>
      <c r="C78" s="904"/>
      <c r="D78" s="151" t="s">
        <v>139</v>
      </c>
      <c r="E78" s="95">
        <f>'1'!F78</f>
        <v>9563</v>
      </c>
      <c r="F78" s="123">
        <v>9563</v>
      </c>
      <c r="G78" s="112">
        <f t="shared" si="7"/>
        <v>0</v>
      </c>
      <c r="H78" s="99">
        <f>G78+'1'!H78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7" t="s">
        <v>225</v>
      </c>
      <c r="B79" s="903"/>
      <c r="C79" s="904"/>
      <c r="D79" s="151"/>
      <c r="E79" s="95">
        <f>'1'!F79</f>
        <v>0</v>
      </c>
      <c r="F79" s="123"/>
      <c r="G79" s="112">
        <f>G15-SUM(G74:G78)</f>
        <v>573</v>
      </c>
      <c r="H79" s="99">
        <f>G79+'1'!H79</f>
        <v>1190</v>
      </c>
      <c r="I79" s="118"/>
      <c r="J79" s="175"/>
      <c r="K79" s="59"/>
      <c r="L79" s="58"/>
      <c r="N79" s="87"/>
      <c r="O79" s="71"/>
    </row>
    <row r="80" spans="1:15" s="57" customFormat="1" ht="26.25">
      <c r="A80" s="870" t="s">
        <v>329</v>
      </c>
      <c r="B80" s="871"/>
      <c r="C80" s="872"/>
      <c r="D80" s="151"/>
      <c r="E80" s="117"/>
      <c r="F80" s="117"/>
      <c r="G80" s="112">
        <f>SUM(G74:G79)</f>
        <v>1043</v>
      </c>
      <c r="H80" s="99">
        <f>G80+'1'!H80</f>
        <v>1043</v>
      </c>
      <c r="I80" s="118"/>
      <c r="J80" s="175"/>
      <c r="K80" s="59"/>
      <c r="L80" s="58"/>
      <c r="N80" s="87"/>
      <c r="O80" s="71"/>
    </row>
    <row r="81" spans="1:15" ht="25.5">
      <c r="A81" s="909" t="s">
        <v>226</v>
      </c>
      <c r="B81" s="910"/>
      <c r="C81" s="91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'1'!F84</f>
        <v>41969</v>
      </c>
      <c r="F84" s="164">
        <v>41969</v>
      </c>
      <c r="G84" s="112">
        <f t="shared" si="8"/>
        <v>0</v>
      </c>
      <c r="H84" s="99">
        <f>G84+'1'!H84</f>
        <v>0</v>
      </c>
      <c r="I84" s="57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'1'!F85</f>
        <v>4361</v>
      </c>
      <c r="F85" s="164">
        <v>4385</v>
      </c>
      <c r="G85" s="112">
        <f t="shared" si="8"/>
        <v>24</v>
      </c>
      <c r="H85" s="99">
        <f>G85+'1'!H85</f>
        <v>42</v>
      </c>
      <c r="I85" s="573"/>
      <c r="J85" s="175">
        <f>H85/DAY(B2)</f>
        <v>21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'1'!F86</f>
        <v>44494</v>
      </c>
      <c r="F86" s="164">
        <v>44510</v>
      </c>
      <c r="G86" s="112">
        <f t="shared" si="8"/>
        <v>16</v>
      </c>
      <c r="H86" s="99">
        <f>G86+'1'!H86</f>
        <v>40</v>
      </c>
      <c r="I86" s="573"/>
      <c r="J86" s="175">
        <f>H86/DAY(B2)</f>
        <v>20</v>
      </c>
      <c r="O86" s="71">
        <f>24-8</f>
        <v>16</v>
      </c>
    </row>
    <row r="87" spans="1:15" ht="26.25">
      <c r="A87" s="345" t="s">
        <v>233</v>
      </c>
      <c r="B87" s="346"/>
      <c r="C87" s="346"/>
      <c r="D87" s="151" t="s">
        <v>228</v>
      </c>
      <c r="E87" s="95">
        <f>'1'!F87</f>
        <v>35329</v>
      </c>
      <c r="F87" s="164">
        <v>35329.06</v>
      </c>
      <c r="G87" s="112">
        <f t="shared" si="8"/>
        <v>5.9999999997671694E-2</v>
      </c>
      <c r="H87" s="99">
        <f>G87+'1'!H87</f>
        <v>5.9999999997671694E-2</v>
      </c>
      <c r="I87" s="573">
        <f>G84+G85+G86+G87</f>
        <v>40.059999999997672</v>
      </c>
      <c r="J87" s="175">
        <f>H87/DAY(B2)</f>
        <v>2.9999999998835847E-2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'1'!F88</f>
        <v>24239</v>
      </c>
      <c r="F88" s="164">
        <v>24250</v>
      </c>
      <c r="G88" s="112">
        <f t="shared" si="8"/>
        <v>11</v>
      </c>
      <c r="H88" s="99">
        <f>G88+'1'!H88</f>
        <v>22.119999999998981</v>
      </c>
      <c r="I88" s="573"/>
      <c r="J88" s="175">
        <f>H88/DAY(B2)</f>
        <v>11.059999999999491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'1'!F89</f>
        <v>27005</v>
      </c>
      <c r="F89" s="164">
        <v>27015</v>
      </c>
      <c r="G89" s="112">
        <f t="shared" si="8"/>
        <v>10</v>
      </c>
      <c r="H89" s="99">
        <f>G89+'1'!H89</f>
        <v>21.590000000000146</v>
      </c>
      <c r="I89" s="573">
        <f>G88+G89</f>
        <v>21</v>
      </c>
      <c r="J89" s="175">
        <f>H89/DAY(B2)</f>
        <v>10.795000000000073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'1'!F90</f>
        <v>72127.12</v>
      </c>
      <c r="F90" s="164">
        <v>72127.12</v>
      </c>
      <c r="G90" s="112">
        <f t="shared" si="8"/>
        <v>0</v>
      </c>
      <c r="H90" s="99">
        <f>G90+'1'!H90</f>
        <v>0</v>
      </c>
      <c r="I90" s="573">
        <f>G90</f>
        <v>0</v>
      </c>
      <c r="J90" s="175">
        <f>H90/DAY(B2)</f>
        <v>0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'1'!F91</f>
        <v>4121.6499999999996</v>
      </c>
      <c r="F91" s="122">
        <v>4122</v>
      </c>
      <c r="G91" s="112">
        <f t="shared" si="8"/>
        <v>0.3500000000003638</v>
      </c>
      <c r="H91" s="99">
        <f>G91+'1'!H91</f>
        <v>0.3500000000003638</v>
      </c>
      <c r="I91" s="592"/>
      <c r="J91" s="175">
        <f>H91/DAY(B2)</f>
        <v>0.1750000000001819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'1'!F92</f>
        <v>6229</v>
      </c>
      <c r="F92" s="122">
        <v>6240</v>
      </c>
      <c r="G92" s="112">
        <f t="shared" si="8"/>
        <v>11</v>
      </c>
      <c r="H92" s="99">
        <f>G92+'1'!H92</f>
        <v>22.75</v>
      </c>
      <c r="I92" s="598">
        <f>G91+G92</f>
        <v>11.350000000000364</v>
      </c>
      <c r="J92" s="175">
        <f>H92/DAY(B2)</f>
        <v>11.375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3" t="s">
        <v>240</v>
      </c>
      <c r="B94" s="874"/>
      <c r="C94" s="875"/>
      <c r="D94" s="151" t="s">
        <v>130</v>
      </c>
      <c r="E94" s="151"/>
      <c r="F94" s="151"/>
      <c r="G94" s="99">
        <f>G35+G43+G49+G57</f>
        <v>7054</v>
      </c>
      <c r="H94" s="99">
        <f>G94+'1'!H94</f>
        <v>14118</v>
      </c>
      <c r="I94" s="118"/>
      <c r="J94" s="175">
        <f>H94/DAY(B2)</f>
        <v>7059</v>
      </c>
      <c r="K94" s="69"/>
      <c r="L94" s="66"/>
      <c r="O94" s="71"/>
    </row>
    <row r="95" spans="1:15" ht="25.5">
      <c r="A95" s="873" t="s">
        <v>241</v>
      </c>
      <c r="B95" s="874"/>
      <c r="C95" s="875"/>
      <c r="D95" s="151" t="s">
        <v>23</v>
      </c>
      <c r="E95" s="146"/>
      <c r="F95" s="146"/>
      <c r="G95" s="166">
        <f>G94/G7</f>
        <v>0.25668643790255086</v>
      </c>
      <c r="H95" s="99">
        <f>G95+'1'!H95</f>
        <v>0.5181611195726723</v>
      </c>
      <c r="I95" s="167"/>
      <c r="J95" s="175">
        <f>H95/DAY(B2)</f>
        <v>0.25908055978633615</v>
      </c>
      <c r="K95" s="69"/>
      <c r="L95" s="66"/>
      <c r="O95" s="71"/>
    </row>
    <row r="96" spans="1:15" ht="25.5">
      <c r="A96" s="873" t="s">
        <v>242</v>
      </c>
      <c r="B96" s="874"/>
      <c r="C96" s="875"/>
      <c r="D96" s="151" t="s">
        <v>130</v>
      </c>
      <c r="E96" s="95"/>
      <c r="F96" s="95"/>
      <c r="G96" s="99">
        <f>G41+G42+G55+G56</f>
        <v>8374</v>
      </c>
      <c r="H96" s="99">
        <f>G96+'1'!H96</f>
        <v>16381.660000000003</v>
      </c>
      <c r="I96" s="118"/>
      <c r="J96" s="175">
        <f>H96/DAY(B2)</f>
        <v>8190.8300000000017</v>
      </c>
      <c r="K96" s="69"/>
      <c r="L96" s="66"/>
      <c r="O96" s="71"/>
    </row>
    <row r="97" spans="1:15" ht="25.5">
      <c r="A97" s="873" t="s">
        <v>243</v>
      </c>
      <c r="B97" s="874"/>
      <c r="C97" s="875"/>
      <c r="D97" s="151" t="s">
        <v>23</v>
      </c>
      <c r="E97" s="95"/>
      <c r="F97" s="95"/>
      <c r="G97" s="166">
        <f>G96/G7</f>
        <v>0.30471962446781414</v>
      </c>
      <c r="H97" s="99">
        <f>G97+'1'!H97</f>
        <v>0.60112397744382851</v>
      </c>
      <c r="I97" s="167"/>
      <c r="J97" s="175">
        <f>H97/DAY(B2)</f>
        <v>0.30056198872191425</v>
      </c>
      <c r="K97" s="69"/>
      <c r="L97" s="66"/>
      <c r="O97" s="71"/>
    </row>
    <row r="98" spans="1:15" ht="25.5">
      <c r="A98" s="873" t="s">
        <v>244</v>
      </c>
      <c r="B98" s="874"/>
      <c r="C98" s="875"/>
      <c r="D98" s="151" t="s">
        <v>130</v>
      </c>
      <c r="E98" s="95"/>
      <c r="F98" s="95"/>
      <c r="G98" s="99">
        <f>G39+G53</f>
        <v>2966</v>
      </c>
      <c r="H98" s="99">
        <f>G98+'1'!H98</f>
        <v>6000</v>
      </c>
      <c r="I98" s="168"/>
      <c r="J98" s="175">
        <f>H98/DAY(B2)</f>
        <v>3000</v>
      </c>
      <c r="K98" s="69"/>
      <c r="L98" s="66"/>
      <c r="O98" s="71"/>
    </row>
    <row r="99" spans="1:15" ht="25.5">
      <c r="A99" s="873" t="s">
        <v>245</v>
      </c>
      <c r="B99" s="874"/>
      <c r="C99" s="875"/>
      <c r="D99" s="151" t="s">
        <v>23</v>
      </c>
      <c r="E99" s="95"/>
      <c r="F99" s="95"/>
      <c r="G99" s="166">
        <f>G98/G7</f>
        <v>0.10792911466103854</v>
      </c>
      <c r="H99" s="99">
        <f>G99+'1'!H99</f>
        <v>0.22023293461958163</v>
      </c>
      <c r="I99" s="168"/>
      <c r="J99" s="175">
        <f>H99/DAY(B2)</f>
        <v>0.11011646730979081</v>
      </c>
      <c r="O99" s="71"/>
    </row>
    <row r="100" spans="1:15" ht="26.25">
      <c r="A100" s="873" t="s">
        <v>246</v>
      </c>
      <c r="B100" s="874"/>
      <c r="C100" s="875"/>
      <c r="D100" s="151" t="s">
        <v>180</v>
      </c>
      <c r="E100" s="95"/>
      <c r="F100" s="95"/>
      <c r="G100" s="99">
        <f>G38+G52</f>
        <v>2380</v>
      </c>
      <c r="H100" s="99">
        <f>G100+'1'!H100</f>
        <v>5041.76</v>
      </c>
      <c r="I100" s="118"/>
      <c r="J100" s="175">
        <f>H100/DAY(B2)</f>
        <v>2520.88</v>
      </c>
      <c r="K100" s="70"/>
      <c r="O100" s="71"/>
    </row>
    <row r="101" spans="1:15" ht="25.5">
      <c r="A101" s="873" t="s">
        <v>247</v>
      </c>
      <c r="B101" s="874"/>
      <c r="C101" s="875"/>
      <c r="D101" s="151" t="s">
        <v>23</v>
      </c>
      <c r="E101" s="95"/>
      <c r="F101" s="95"/>
      <c r="G101" s="166">
        <f>G100/G7</f>
        <v>8.660529092827772E-2</v>
      </c>
      <c r="H101" s="99">
        <f>G101+'1'!H101</f>
        <v>0.18513060925815633</v>
      </c>
      <c r="I101" s="168"/>
      <c r="J101" s="175">
        <f>H101/DAY(B2)</f>
        <v>9.2565304629078166E-2</v>
      </c>
      <c r="O101" s="71"/>
    </row>
    <row r="102" spans="1:15" ht="25.5">
      <c r="A102" s="873" t="s">
        <v>248</v>
      </c>
      <c r="B102" s="874"/>
      <c r="C102" s="875"/>
      <c r="D102" s="151" t="s">
        <v>180</v>
      </c>
      <c r="E102" s="95"/>
      <c r="F102" s="95"/>
      <c r="G102" s="99">
        <f>G36+G50</f>
        <v>1834</v>
      </c>
      <c r="H102" s="99">
        <f>G102+'1'!H102</f>
        <v>3345</v>
      </c>
      <c r="I102" s="168"/>
      <c r="J102" s="175">
        <f>H102/DAY(B2)</f>
        <v>1672.5</v>
      </c>
      <c r="O102" s="71"/>
    </row>
    <row r="103" spans="1:15" ht="25.5">
      <c r="A103" s="873" t="s">
        <v>249</v>
      </c>
      <c r="B103" s="874"/>
      <c r="C103" s="875"/>
      <c r="D103" s="151" t="s">
        <v>23</v>
      </c>
      <c r="E103" s="95"/>
      <c r="F103" s="95"/>
      <c r="G103" s="166">
        <f>G102/G7</f>
        <v>6.673701830355519E-2</v>
      </c>
      <c r="H103" s="99">
        <f>G103+'1'!H103</f>
        <v>0.12266683766985664</v>
      </c>
      <c r="I103" s="118"/>
      <c r="J103" s="175">
        <f>H103/DAY(B2)</f>
        <v>6.1333418834928322E-2</v>
      </c>
      <c r="O103" s="71"/>
    </row>
    <row r="104" spans="1:15" ht="25.5">
      <c r="A104" s="873" t="s">
        <v>250</v>
      </c>
      <c r="B104" s="874"/>
      <c r="C104" s="875"/>
      <c r="D104" s="151" t="s">
        <v>180</v>
      </c>
      <c r="E104" s="95"/>
      <c r="F104" s="95"/>
      <c r="G104" s="99">
        <f>G37+G51</f>
        <v>1795</v>
      </c>
      <c r="H104" s="99">
        <f>G104+'1'!H104</f>
        <v>3509.3199999999997</v>
      </c>
      <c r="I104" s="118"/>
      <c r="J104" s="175">
        <f>H104/DAY(B2)</f>
        <v>1754.6599999999999</v>
      </c>
      <c r="O104" s="71"/>
    </row>
    <row r="105" spans="1:15" ht="26.25" thickBot="1">
      <c r="A105" s="913" t="s">
        <v>251</v>
      </c>
      <c r="B105" s="914"/>
      <c r="C105" s="915"/>
      <c r="D105" s="231" t="s">
        <v>23</v>
      </c>
      <c r="E105" s="185"/>
      <c r="F105" s="185"/>
      <c r="G105" s="186">
        <f>G104/G7</f>
        <v>6.5317855973217862E-2</v>
      </c>
      <c r="H105" s="99">
        <f>G105+'1'!H105</f>
        <v>0.1287735859110325</v>
      </c>
      <c r="I105" s="187"/>
      <c r="J105" s="188">
        <f>H105/DAY(B2)</f>
        <v>6.4386792955516248E-2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7" t="s">
        <v>324</v>
      </c>
      <c r="B108" s="927"/>
      <c r="C108" s="927"/>
      <c r="D108" s="927"/>
      <c r="E108" s="927"/>
      <c r="F108" s="927"/>
      <c r="G108" s="927"/>
      <c r="H108" s="927"/>
      <c r="I108" s="927"/>
      <c r="J108" s="927"/>
    </row>
    <row r="109" spans="1:15" ht="26.25">
      <c r="A109" s="912"/>
      <c r="B109" s="912"/>
    </row>
    <row r="110" spans="1:15" ht="26.25">
      <c r="A110" s="928" t="s">
        <v>165</v>
      </c>
      <c r="B110" s="929"/>
      <c r="C110" s="929"/>
      <c r="D110" s="929"/>
      <c r="E110" s="929"/>
      <c r="F110" s="929"/>
      <c r="G110" s="929"/>
      <c r="H110" s="929"/>
      <c r="I110" s="929"/>
      <c r="J110" s="930"/>
    </row>
    <row r="111" spans="1:15" ht="25.5">
      <c r="A111" s="931"/>
      <c r="B111" s="932"/>
      <c r="C111" s="933"/>
      <c r="D111" s="165"/>
      <c r="E111" s="165"/>
      <c r="F111" s="165"/>
      <c r="G111" s="165"/>
      <c r="H111" s="156"/>
      <c r="I111" s="165"/>
      <c r="J111" s="327"/>
    </row>
    <row r="112" spans="1:15" ht="25.5">
      <c r="A112" s="906" t="s">
        <v>252</v>
      </c>
      <c r="B112" s="907"/>
      <c r="C112" s="908"/>
      <c r="D112" s="146" t="s">
        <v>183</v>
      </c>
      <c r="E112" s="95">
        <f>'1'!F112</f>
        <v>2753</v>
      </c>
      <c r="F112" s="237">
        <v>2831</v>
      </c>
      <c r="G112" s="112">
        <f t="shared" ref="G112:G123" si="9">F112-E112</f>
        <v>78</v>
      </c>
      <c r="H112" s="99">
        <f>G112+'1'!H112</f>
        <v>154</v>
      </c>
      <c r="I112" s="165"/>
      <c r="J112" s="328">
        <f>H112/DAY(B2)</f>
        <v>77</v>
      </c>
    </row>
    <row r="113" spans="1:18" ht="29.25" customHeight="1">
      <c r="A113" s="906" t="s">
        <v>253</v>
      </c>
      <c r="B113" s="907"/>
      <c r="C113" s="908"/>
      <c r="D113" s="146" t="s">
        <v>183</v>
      </c>
      <c r="E113" s="95">
        <f>'1'!F113</f>
        <v>6593</v>
      </c>
      <c r="F113" s="237">
        <v>6753</v>
      </c>
      <c r="G113" s="112">
        <f t="shared" si="9"/>
        <v>160</v>
      </c>
      <c r="H113" s="99">
        <f>G113+'1'!H113</f>
        <v>362</v>
      </c>
      <c r="I113" s="165"/>
      <c r="J113" s="328">
        <f>H113/DAY(B2)</f>
        <v>181</v>
      </c>
    </row>
    <row r="114" spans="1:18" ht="29.25" customHeight="1">
      <c r="A114" s="906" t="s">
        <v>254</v>
      </c>
      <c r="B114" s="907"/>
      <c r="C114" s="908"/>
      <c r="D114" s="146" t="s">
        <v>183</v>
      </c>
      <c r="E114" s="95">
        <f>'1'!F114</f>
        <v>7773</v>
      </c>
      <c r="F114" s="237">
        <v>8000</v>
      </c>
      <c r="G114" s="112">
        <f t="shared" si="9"/>
        <v>227</v>
      </c>
      <c r="H114" s="99">
        <f>G114+'1'!H114</f>
        <v>430</v>
      </c>
      <c r="I114" s="165"/>
      <c r="J114" s="328">
        <f>H114/DAY(B2)</f>
        <v>215</v>
      </c>
    </row>
    <row r="115" spans="1:18" ht="29.25" customHeight="1">
      <c r="A115" s="906" t="s">
        <v>255</v>
      </c>
      <c r="B115" s="907"/>
      <c r="C115" s="908"/>
      <c r="D115" s="146" t="s">
        <v>183</v>
      </c>
      <c r="E115" s="95">
        <f>'1'!F115</f>
        <v>567</v>
      </c>
      <c r="F115" s="417">
        <v>586</v>
      </c>
      <c r="G115" s="112">
        <f t="shared" si="9"/>
        <v>19</v>
      </c>
      <c r="H115" s="99">
        <f>G115+'1'!H115</f>
        <v>25</v>
      </c>
      <c r="I115" s="165"/>
      <c r="J115" s="328">
        <f>H115/DAY(B2)</f>
        <v>12.5</v>
      </c>
    </row>
    <row r="116" spans="1:18" ht="29.25" customHeight="1">
      <c r="A116" s="924" t="s">
        <v>96</v>
      </c>
      <c r="B116" s="925"/>
      <c r="C116" s="926"/>
      <c r="D116" s="516" t="s">
        <v>183</v>
      </c>
      <c r="E116" s="95">
        <f>'1'!F116</f>
        <v>47139</v>
      </c>
      <c r="F116" s="417">
        <v>47514</v>
      </c>
      <c r="G116" s="112">
        <f t="shared" si="9"/>
        <v>375</v>
      </c>
      <c r="H116" s="99">
        <f>G116+'1'!H116</f>
        <v>759</v>
      </c>
      <c r="I116" s="165"/>
      <c r="J116" s="328">
        <f>H116/DAY(B2)</f>
        <v>379.5</v>
      </c>
      <c r="Q116" s="906"/>
      <c r="R116" s="908"/>
    </row>
    <row r="117" spans="1:18" ht="29.25" customHeight="1">
      <c r="A117" s="924" t="s">
        <v>184</v>
      </c>
      <c r="B117" s="925"/>
      <c r="C117" s="926"/>
      <c r="D117" s="146" t="s">
        <v>183</v>
      </c>
      <c r="E117" s="95">
        <f>'1'!F117</f>
        <v>25505</v>
      </c>
      <c r="F117" s="417">
        <v>25755</v>
      </c>
      <c r="G117" s="112">
        <f t="shared" si="9"/>
        <v>250</v>
      </c>
      <c r="H117" s="99">
        <f>G117+'1'!H117</f>
        <v>487</v>
      </c>
      <c r="I117" s="165"/>
      <c r="J117" s="328">
        <f>H117/DAY(B2)</f>
        <v>243.5</v>
      </c>
      <c r="Q117" s="906"/>
      <c r="R117" s="908"/>
    </row>
    <row r="118" spans="1:18" ht="25.5">
      <c r="A118" s="901" t="s">
        <v>97</v>
      </c>
      <c r="B118" s="901"/>
      <c r="C118" s="901"/>
      <c r="D118" s="151" t="s">
        <v>183</v>
      </c>
      <c r="E118" s="95">
        <f>'1'!F118</f>
        <v>26821</v>
      </c>
      <c r="F118" s="417">
        <v>27383</v>
      </c>
      <c r="G118" s="112">
        <f t="shared" si="9"/>
        <v>562</v>
      </c>
      <c r="H118" s="99">
        <f>G118+'1'!H118</f>
        <v>1158</v>
      </c>
      <c r="I118" s="165"/>
      <c r="J118" s="328">
        <f>H118/DAY(B2)</f>
        <v>579</v>
      </c>
      <c r="Q118" s="906"/>
      <c r="R118" s="908"/>
    </row>
    <row r="119" spans="1:18" ht="25.5">
      <c r="A119" s="901" t="s">
        <v>98</v>
      </c>
      <c r="B119" s="901"/>
      <c r="C119" s="901"/>
      <c r="D119" s="151" t="s">
        <v>183</v>
      </c>
      <c r="E119" s="95">
        <f>'1'!F119</f>
        <v>19402</v>
      </c>
      <c r="F119" s="417">
        <v>19799</v>
      </c>
      <c r="G119" s="112">
        <f t="shared" si="9"/>
        <v>397</v>
      </c>
      <c r="H119" s="99">
        <f>G119+'1'!H119</f>
        <v>852</v>
      </c>
      <c r="I119" s="165"/>
      <c r="J119" s="328">
        <f>H119/DAY(B2)</f>
        <v>426</v>
      </c>
    </row>
    <row r="120" spans="1:18" ht="25.5">
      <c r="A120" s="901" t="s">
        <v>99</v>
      </c>
      <c r="B120" s="901"/>
      <c r="C120" s="901"/>
      <c r="D120" s="151" t="s">
        <v>183</v>
      </c>
      <c r="E120" s="95">
        <f>'1'!F120</f>
        <v>20517</v>
      </c>
      <c r="F120" s="237">
        <v>20959</v>
      </c>
      <c r="G120" s="112">
        <f t="shared" si="9"/>
        <v>442</v>
      </c>
      <c r="H120" s="99">
        <f>G120+'1'!H120</f>
        <v>909</v>
      </c>
      <c r="I120" s="165"/>
      <c r="J120" s="328">
        <f>H120/DAY(B2)</f>
        <v>454.5</v>
      </c>
    </row>
    <row r="121" spans="1:18" ht="25.5">
      <c r="A121" s="901" t="s">
        <v>100</v>
      </c>
      <c r="B121" s="901"/>
      <c r="C121" s="901"/>
      <c r="D121" s="151" t="s">
        <v>183</v>
      </c>
      <c r="E121" s="95">
        <f>'1'!F121</f>
        <v>26353</v>
      </c>
      <c r="F121" s="237">
        <v>26801</v>
      </c>
      <c r="G121" s="112">
        <f t="shared" si="9"/>
        <v>448</v>
      </c>
      <c r="H121" s="99">
        <f>G121+'1'!H121</f>
        <v>957</v>
      </c>
      <c r="I121" s="165"/>
      <c r="J121" s="328">
        <f>H121/DAY(B2)</f>
        <v>478.5</v>
      </c>
    </row>
    <row r="122" spans="1:18" ht="25.5">
      <c r="A122" s="901" t="s">
        <v>101</v>
      </c>
      <c r="B122" s="901"/>
      <c r="C122" s="901"/>
      <c r="D122" s="151" t="s">
        <v>183</v>
      </c>
      <c r="E122" s="95">
        <f>'1'!F122</f>
        <v>11488</v>
      </c>
      <c r="F122" s="237">
        <v>11812</v>
      </c>
      <c r="G122" s="112">
        <f t="shared" si="9"/>
        <v>324</v>
      </c>
      <c r="H122" s="99">
        <f>G122+'1'!H122</f>
        <v>652</v>
      </c>
      <c r="I122" s="165"/>
      <c r="J122" s="328">
        <f>H122/DAY(B2)</f>
        <v>326</v>
      </c>
    </row>
    <row r="123" spans="1:18" ht="25.5">
      <c r="A123" s="901" t="s">
        <v>102</v>
      </c>
      <c r="B123" s="901"/>
      <c r="C123" s="901"/>
      <c r="D123" s="151" t="s">
        <v>183</v>
      </c>
      <c r="E123" s="95">
        <f>'1'!F123</f>
        <v>11222</v>
      </c>
      <c r="F123" s="237">
        <v>11542</v>
      </c>
      <c r="G123" s="112">
        <f t="shared" si="9"/>
        <v>320</v>
      </c>
      <c r="H123" s="99">
        <f>G123+'1'!H123</f>
        <v>1033</v>
      </c>
      <c r="I123" s="165"/>
      <c r="J123" s="328">
        <f>H123/DAY(B2)</f>
        <v>516.5</v>
      </c>
    </row>
    <row r="124" spans="1:18" ht="29.25" customHeight="1">
      <c r="A124" s="931"/>
      <c r="B124" s="932"/>
      <c r="C124" s="933"/>
      <c r="D124" s="165"/>
      <c r="E124" s="165"/>
      <c r="F124" s="165"/>
      <c r="G124" s="327"/>
      <c r="H124" s="156"/>
      <c r="I124" s="165"/>
      <c r="J124" s="327"/>
    </row>
    <row r="125" spans="1:18" ht="25.5">
      <c r="A125" s="934" t="s">
        <v>196</v>
      </c>
      <c r="B125" s="935"/>
      <c r="C125" s="245"/>
      <c r="D125" s="307"/>
      <c r="E125" s="308"/>
      <c r="F125" s="308"/>
      <c r="G125" s="309">
        <f>SUM(G112:G124)</f>
        <v>3602</v>
      </c>
      <c r="H125" s="156"/>
      <c r="I125" s="327">
        <f>G125-(G39+G53)</f>
        <v>636</v>
      </c>
      <c r="J125" s="327"/>
    </row>
    <row r="126" spans="1:18" ht="25.5">
      <c r="A126" s="936" t="s">
        <v>317</v>
      </c>
      <c r="B126" s="936"/>
      <c r="C126" s="936"/>
      <c r="D126" s="936"/>
      <c r="E126" s="936"/>
      <c r="F126" s="936"/>
      <c r="G126" s="936"/>
      <c r="H126" s="936"/>
      <c r="I126" s="936"/>
      <c r="J126" s="936"/>
    </row>
    <row r="127" spans="1:18" ht="25.5">
      <c r="A127" s="937"/>
      <c r="B127" s="937"/>
      <c r="C127" s="245"/>
      <c r="D127" s="307"/>
      <c r="E127" s="308"/>
      <c r="F127" s="308"/>
      <c r="G127" s="309"/>
      <c r="H127" s="99">
        <f>G127+'1'!H127</f>
        <v>0</v>
      </c>
      <c r="I127" s="165"/>
      <c r="J127" s="328">
        <f>H127/DAY(B2)</f>
        <v>0</v>
      </c>
    </row>
    <row r="128" spans="1:18" ht="29.25" customHeight="1">
      <c r="A128" s="906" t="s">
        <v>318</v>
      </c>
      <c r="B128" s="907"/>
      <c r="C128" s="908"/>
      <c r="D128" s="151" t="s">
        <v>183</v>
      </c>
      <c r="E128" s="95">
        <f>'1'!F128</f>
        <v>96208</v>
      </c>
      <c r="F128" s="165">
        <v>96746</v>
      </c>
      <c r="G128" s="112">
        <f t="shared" ref="G128:G133" si="10">F128-E128</f>
        <v>538</v>
      </c>
      <c r="H128" s="99">
        <f>G128+'1'!H128</f>
        <v>1031</v>
      </c>
      <c r="I128" s="165"/>
      <c r="J128" s="328">
        <f>H128/DAY(B2)</f>
        <v>515.5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'1'!F129</f>
        <v>60578</v>
      </c>
      <c r="F129" s="165">
        <v>60844</v>
      </c>
      <c r="G129" s="112">
        <f t="shared" si="10"/>
        <v>266</v>
      </c>
      <c r="H129" s="99">
        <f>G129+'1'!H129</f>
        <v>551</v>
      </c>
      <c r="I129" s="165"/>
      <c r="J129" s="328">
        <f>H129/DAY(B2)</f>
        <v>275.5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'1'!F130</f>
        <v>119918</v>
      </c>
      <c r="F130" s="165">
        <v>120633</v>
      </c>
      <c r="G130" s="112">
        <f t="shared" si="10"/>
        <v>715</v>
      </c>
      <c r="H130" s="99">
        <f>G130+'1'!H130</f>
        <v>1520</v>
      </c>
      <c r="I130" s="165"/>
      <c r="J130" s="328">
        <f>H130/DAY(B2)</f>
        <v>760</v>
      </c>
      <c r="N130" s="240"/>
      <c r="O130" s="241"/>
    </row>
    <row r="131" spans="1:15" ht="25.5">
      <c r="A131" s="906" t="s">
        <v>321</v>
      </c>
      <c r="B131" s="907"/>
      <c r="C131" s="908"/>
      <c r="D131" s="151" t="s">
        <v>183</v>
      </c>
      <c r="E131" s="95">
        <f>'1'!F131</f>
        <v>36518</v>
      </c>
      <c r="F131" s="165">
        <v>36762</v>
      </c>
      <c r="G131" s="112">
        <f t="shared" si="10"/>
        <v>244</v>
      </c>
      <c r="H131" s="99">
        <f>G131+'1'!H131</f>
        <v>483</v>
      </c>
      <c r="I131" s="165"/>
      <c r="J131" s="328">
        <f>H131/DAY(B2)</f>
        <v>241.5</v>
      </c>
      <c r="N131" s="240"/>
      <c r="O131" s="241"/>
    </row>
    <row r="132" spans="1:15" ht="25.5">
      <c r="A132" s="906" t="s">
        <v>322</v>
      </c>
      <c r="B132" s="907"/>
      <c r="C132" s="908"/>
      <c r="D132" s="151" t="s">
        <v>183</v>
      </c>
      <c r="E132" s="95">
        <f>'1'!F132</f>
        <v>103879</v>
      </c>
      <c r="F132" s="165">
        <v>104252</v>
      </c>
      <c r="G132" s="112">
        <f t="shared" si="10"/>
        <v>373</v>
      </c>
      <c r="H132" s="99">
        <f>G132+'1'!H132</f>
        <v>740</v>
      </c>
      <c r="I132" s="165"/>
      <c r="J132" s="328">
        <f>H132/DAY(B2)</f>
        <v>370</v>
      </c>
    </row>
    <row r="133" spans="1:15" ht="25.5">
      <c r="A133" s="906" t="s">
        <v>342</v>
      </c>
      <c r="B133" s="907"/>
      <c r="C133" s="908"/>
      <c r="D133" s="151" t="s">
        <v>183</v>
      </c>
      <c r="E133" s="95">
        <f>'1'!F133</f>
        <v>202082</v>
      </c>
      <c r="F133" s="165">
        <v>202896</v>
      </c>
      <c r="G133" s="112">
        <f t="shared" si="10"/>
        <v>814</v>
      </c>
      <c r="H133" s="99">
        <f>G133+'1'!H133</f>
        <v>1664</v>
      </c>
      <c r="I133" s="165"/>
      <c r="J133" s="328">
        <f>H133/DAY(B2)</f>
        <v>832</v>
      </c>
    </row>
    <row r="134" spans="1:15" ht="25.5">
      <c r="A134" s="906" t="s">
        <v>340</v>
      </c>
      <c r="B134" s="907"/>
      <c r="C134" s="908"/>
      <c r="D134" s="514" t="s">
        <v>183</v>
      </c>
      <c r="E134" s="95">
        <f>'1'!F134</f>
        <v>35123</v>
      </c>
      <c r="F134" s="158">
        <v>35357</v>
      </c>
      <c r="G134" s="112">
        <f>F134-E134</f>
        <v>234</v>
      </c>
      <c r="H134" s="99">
        <f>G134+'1'!H134</f>
        <v>462</v>
      </c>
      <c r="I134" s="165"/>
      <c r="J134" s="328">
        <f>H134/DAY(B2)</f>
        <v>231</v>
      </c>
    </row>
    <row r="135" spans="1:15" ht="25.5">
      <c r="A135" s="934" t="s">
        <v>196</v>
      </c>
      <c r="B135" s="935"/>
      <c r="C135" s="331"/>
      <c r="D135" s="151"/>
      <c r="E135" s="95"/>
      <c r="F135" s="165"/>
      <c r="G135" s="112">
        <f>SUM(G128:G134)</f>
        <v>3184</v>
      </c>
      <c r="H135" s="99">
        <f>G135+'1'!H135</f>
        <v>6451</v>
      </c>
      <c r="I135" s="327">
        <f>G135-(G35+G49)</f>
        <v>-793</v>
      </c>
      <c r="J135" s="328">
        <f>H135/DAY(B2)</f>
        <v>3225.5</v>
      </c>
    </row>
    <row r="136" spans="1:15" ht="27.75">
      <c r="A136" s="938" t="s">
        <v>325</v>
      </c>
      <c r="B136" s="938"/>
      <c r="C136" s="938"/>
      <c r="D136" s="938"/>
      <c r="E136" s="938"/>
      <c r="F136" s="938"/>
      <c r="G136" s="938"/>
      <c r="H136" s="938"/>
      <c r="I136" s="938"/>
      <c r="J136" s="938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1" t="s">
        <v>185</v>
      </c>
      <c r="B138" s="901"/>
      <c r="C138" s="901"/>
      <c r="D138" s="514" t="s">
        <v>183</v>
      </c>
      <c r="E138" s="95">
        <f>'1'!F138</f>
        <v>10634</v>
      </c>
      <c r="F138" s="147">
        <v>10776</v>
      </c>
      <c r="G138" s="112">
        <f t="shared" ref="G138:G152" si="11">F138-E138</f>
        <v>142</v>
      </c>
      <c r="H138" s="99">
        <f>G138+'1'!H138</f>
        <v>266</v>
      </c>
      <c r="I138" s="118"/>
      <c r="J138" s="328">
        <f>H138/DAY(B2)</f>
        <v>133</v>
      </c>
    </row>
    <row r="139" spans="1:15" ht="25.5">
      <c r="A139" s="901" t="s">
        <v>186</v>
      </c>
      <c r="B139" s="901"/>
      <c r="C139" s="901"/>
      <c r="D139" s="514" t="s">
        <v>183</v>
      </c>
      <c r="E139" s="95">
        <f>'1'!F139</f>
        <v>899604</v>
      </c>
      <c r="F139" s="148">
        <v>899777</v>
      </c>
      <c r="G139" s="112">
        <f t="shared" si="11"/>
        <v>173</v>
      </c>
      <c r="H139" s="99">
        <f>G139+'1'!H139</f>
        <v>322</v>
      </c>
      <c r="I139" s="118"/>
      <c r="J139" s="328">
        <f>H139/DAY(B2)</f>
        <v>161</v>
      </c>
    </row>
    <row r="140" spans="1:15" ht="25.5">
      <c r="A140" s="901" t="s">
        <v>187</v>
      </c>
      <c r="B140" s="901"/>
      <c r="C140" s="901"/>
      <c r="D140" s="514" t="s">
        <v>183</v>
      </c>
      <c r="E140" s="95">
        <f>'1'!F140</f>
        <v>602</v>
      </c>
      <c r="F140" s="149">
        <v>616</v>
      </c>
      <c r="G140" s="112">
        <f t="shared" si="11"/>
        <v>14</v>
      </c>
      <c r="H140" s="99">
        <f>G140+'1'!H140</f>
        <v>28</v>
      </c>
      <c r="I140" s="118"/>
      <c r="J140" s="328">
        <f>H140/DAY(B2)</f>
        <v>14</v>
      </c>
    </row>
    <row r="141" spans="1:15" ht="25.5">
      <c r="A141" s="905" t="s">
        <v>188</v>
      </c>
      <c r="B141" s="905"/>
      <c r="C141" s="905"/>
      <c r="D141" s="151" t="s">
        <v>183</v>
      </c>
      <c r="E141" s="95">
        <f>'1'!F141</f>
        <v>78175</v>
      </c>
      <c r="F141" s="149">
        <v>78367</v>
      </c>
      <c r="G141" s="112">
        <f t="shared" si="11"/>
        <v>192</v>
      </c>
      <c r="H141" s="99">
        <f>G141+'1'!H141</f>
        <v>415</v>
      </c>
      <c r="I141" s="118"/>
      <c r="J141" s="328">
        <f>H141/DAY(B2)</f>
        <v>207.5</v>
      </c>
    </row>
    <row r="142" spans="1:15" ht="25.5">
      <c r="A142" s="905" t="s">
        <v>189</v>
      </c>
      <c r="B142" s="905"/>
      <c r="C142" s="905"/>
      <c r="D142" s="151" t="s">
        <v>183</v>
      </c>
      <c r="E142" s="95">
        <f>'1'!F142</f>
        <v>30700</v>
      </c>
      <c r="F142" s="148">
        <v>30863</v>
      </c>
      <c r="G142" s="112">
        <f t="shared" si="11"/>
        <v>163</v>
      </c>
      <c r="H142" s="99">
        <f>G142+'1'!H142</f>
        <v>337</v>
      </c>
      <c r="I142" s="140"/>
      <c r="J142" s="328">
        <f>H142/DAY(B2)</f>
        <v>168.5</v>
      </c>
    </row>
    <row r="143" spans="1:15" ht="25.5">
      <c r="A143" s="901" t="s">
        <v>91</v>
      </c>
      <c r="B143" s="901"/>
      <c r="C143" s="901"/>
      <c r="D143" s="151" t="s">
        <v>183</v>
      </c>
      <c r="E143" s="95">
        <f>'1'!F143</f>
        <v>7334</v>
      </c>
      <c r="F143" s="149">
        <v>7363</v>
      </c>
      <c r="G143" s="112">
        <f t="shared" si="11"/>
        <v>29</v>
      </c>
      <c r="H143" s="99">
        <f>G143+'1'!H143</f>
        <v>57</v>
      </c>
      <c r="I143" s="140"/>
      <c r="J143" s="328">
        <f>H143/DAY(B2)</f>
        <v>28.5</v>
      </c>
    </row>
    <row r="144" spans="1:15" ht="25.5">
      <c r="A144" s="905" t="s">
        <v>90</v>
      </c>
      <c r="B144" s="905"/>
      <c r="C144" s="905"/>
      <c r="D144" s="514" t="s">
        <v>183</v>
      </c>
      <c r="E144" s="95">
        <f>'1'!F144</f>
        <v>905304</v>
      </c>
      <c r="F144" s="149">
        <v>905540</v>
      </c>
      <c r="G144" s="112">
        <f t="shared" si="11"/>
        <v>236</v>
      </c>
      <c r="H144" s="99">
        <f>G144+'1'!H144</f>
        <v>487</v>
      </c>
      <c r="I144" s="140"/>
      <c r="J144" s="328">
        <f>H144/DAY(B2)</f>
        <v>243.5</v>
      </c>
    </row>
    <row r="145" spans="1:10" ht="25.5">
      <c r="A145" s="901" t="s">
        <v>190</v>
      </c>
      <c r="B145" s="901"/>
      <c r="C145" s="901"/>
      <c r="D145" s="152" t="s">
        <v>183</v>
      </c>
      <c r="E145" s="95">
        <f>'1'!F145</f>
        <v>5664</v>
      </c>
      <c r="F145" s="149">
        <v>5664</v>
      </c>
      <c r="G145" s="112">
        <f t="shared" si="11"/>
        <v>0</v>
      </c>
      <c r="H145" s="99">
        <f>G145+'1'!H145</f>
        <v>0</v>
      </c>
      <c r="I145" s="140"/>
      <c r="J145" s="328">
        <f>H145/DAY(B2)</f>
        <v>0</v>
      </c>
    </row>
    <row r="146" spans="1:10" ht="25.5">
      <c r="A146" s="902" t="s">
        <v>191</v>
      </c>
      <c r="B146" s="903"/>
      <c r="C146" s="904"/>
      <c r="D146" s="514" t="s">
        <v>183</v>
      </c>
      <c r="E146" s="95">
        <f>'1'!F146</f>
        <v>777965</v>
      </c>
      <c r="F146" s="148">
        <v>778008</v>
      </c>
      <c r="G146" s="112">
        <f t="shared" si="11"/>
        <v>43</v>
      </c>
      <c r="H146" s="99">
        <f>G146+'1'!H146</f>
        <v>140</v>
      </c>
      <c r="I146" s="140"/>
      <c r="J146" s="328">
        <f>H146/DAY(B2)</f>
        <v>70</v>
      </c>
    </row>
    <row r="147" spans="1:10" ht="25.5">
      <c r="A147" s="905" t="s">
        <v>192</v>
      </c>
      <c r="B147" s="905"/>
      <c r="C147" s="905"/>
      <c r="D147" s="514" t="s">
        <v>183</v>
      </c>
      <c r="E147" s="95">
        <f>'1'!F147</f>
        <v>676206</v>
      </c>
      <c r="F147" s="148">
        <v>676553</v>
      </c>
      <c r="G147" s="112">
        <f t="shared" si="11"/>
        <v>347</v>
      </c>
      <c r="H147" s="99">
        <f>G147+'1'!H147</f>
        <v>705</v>
      </c>
      <c r="I147" s="140"/>
      <c r="J147" s="328">
        <f>H147/DAY(B2)</f>
        <v>352.5</v>
      </c>
    </row>
    <row r="148" spans="1:10" ht="25.5">
      <c r="A148" s="897" t="s">
        <v>193</v>
      </c>
      <c r="B148" s="898"/>
      <c r="C148" s="899"/>
      <c r="D148" s="515" t="s">
        <v>130</v>
      </c>
      <c r="E148" s="95">
        <f>'1'!F148</f>
        <v>729999</v>
      </c>
      <c r="F148" s="164">
        <v>730301</v>
      </c>
      <c r="G148" s="112">
        <f t="shared" si="11"/>
        <v>302</v>
      </c>
      <c r="H148" s="99">
        <f>G148+'1'!H148</f>
        <v>556</v>
      </c>
      <c r="I148" s="124"/>
      <c r="J148" s="328">
        <f>H148/DAY(B2)</f>
        <v>278</v>
      </c>
    </row>
    <row r="149" spans="1:10" ht="25.5">
      <c r="A149" s="897" t="s">
        <v>336</v>
      </c>
      <c r="B149" s="898"/>
      <c r="C149" s="899"/>
      <c r="D149" s="516" t="s">
        <v>130</v>
      </c>
      <c r="E149" s="95">
        <f>'1'!F149</f>
        <v>101512</v>
      </c>
      <c r="F149" s="146">
        <v>102038</v>
      </c>
      <c r="G149" s="112">
        <f t="shared" si="11"/>
        <v>526</v>
      </c>
      <c r="H149" s="99">
        <f>G149+'1'!H149</f>
        <v>1143</v>
      </c>
      <c r="I149" s="119"/>
      <c r="J149" s="328">
        <f>H149/DAY(B2)</f>
        <v>571.5</v>
      </c>
    </row>
    <row r="150" spans="1:10" ht="25.5">
      <c r="A150" s="897" t="s">
        <v>337</v>
      </c>
      <c r="B150" s="898"/>
      <c r="C150" s="899"/>
      <c r="D150" s="117" t="s">
        <v>130</v>
      </c>
      <c r="E150" s="95">
        <f>'1'!F150</f>
        <v>37440</v>
      </c>
      <c r="F150" s="233">
        <v>37660</v>
      </c>
      <c r="G150" s="112">
        <f t="shared" si="11"/>
        <v>220</v>
      </c>
      <c r="H150" s="99">
        <f>G150+'1'!H150</f>
        <v>444</v>
      </c>
      <c r="I150" s="119"/>
      <c r="J150" s="328">
        <f>H150/DAY(B2)</f>
        <v>222</v>
      </c>
    </row>
    <row r="151" spans="1:10" ht="25.5">
      <c r="A151" s="897" t="s">
        <v>338</v>
      </c>
      <c r="B151" s="898"/>
      <c r="C151" s="899"/>
      <c r="D151" s="515" t="s">
        <v>130</v>
      </c>
      <c r="E151" s="95">
        <f>'1'!F151</f>
        <v>118409</v>
      </c>
      <c r="F151" s="233">
        <v>118653</v>
      </c>
      <c r="G151" s="112">
        <f t="shared" si="11"/>
        <v>244</v>
      </c>
      <c r="H151" s="99">
        <f>G151+'1'!H151</f>
        <v>516</v>
      </c>
      <c r="I151" s="119"/>
      <c r="J151" s="328">
        <f>H151/DAY(B2)</f>
        <v>258</v>
      </c>
    </row>
    <row r="152" spans="1:10" ht="25.5">
      <c r="A152" s="897" t="s">
        <v>339</v>
      </c>
      <c r="B152" s="898"/>
      <c r="C152" s="899"/>
      <c r="D152" s="117" t="s">
        <v>130</v>
      </c>
      <c r="E152" s="95">
        <f>'1'!F152</f>
        <v>15523</v>
      </c>
      <c r="F152" s="233">
        <v>15676</v>
      </c>
      <c r="G152" s="112">
        <f t="shared" si="11"/>
        <v>153</v>
      </c>
      <c r="H152" s="99">
        <f>G152+'1'!H152</f>
        <v>4520</v>
      </c>
      <c r="I152" s="119"/>
      <c r="J152" s="328">
        <f>H152/DAY(B2)</f>
        <v>2260</v>
      </c>
    </row>
    <row r="153" spans="1:10" ht="25.5">
      <c r="A153" s="934" t="s">
        <v>196</v>
      </c>
      <c r="B153" s="935"/>
      <c r="C153" s="365"/>
      <c r="D153" s="358"/>
      <c r="E153" s="360"/>
      <c r="F153" s="361"/>
      <c r="G153" s="362">
        <f>SUM(G138:G152)</f>
        <v>2784</v>
      </c>
      <c r="H153" s="363"/>
      <c r="I153" s="119">
        <f>G153-(G38+G52)</f>
        <v>404</v>
      </c>
      <c r="J153" s="366"/>
    </row>
    <row r="154" spans="1:10" ht="27.75">
      <c r="A154" s="938" t="s">
        <v>344</v>
      </c>
      <c r="B154" s="938"/>
      <c r="C154" s="938"/>
      <c r="D154" s="938"/>
      <c r="E154" s="938"/>
      <c r="F154" s="938"/>
      <c r="G154" s="938"/>
      <c r="H154" s="938"/>
      <c r="I154" s="938"/>
      <c r="J154" s="938"/>
    </row>
    <row r="155" spans="1:10" ht="27.75">
      <c r="A155" s="905" t="s">
        <v>345</v>
      </c>
      <c r="B155" s="905"/>
      <c r="C155" s="905"/>
      <c r="D155" s="517" t="s">
        <v>130</v>
      </c>
      <c r="E155" s="95">
        <f>'1'!F155</f>
        <v>112599</v>
      </c>
      <c r="F155" s="422">
        <v>113230</v>
      </c>
      <c r="G155" s="112">
        <f t="shared" ref="G155:G158" si="12">F155-E155</f>
        <v>631</v>
      </c>
      <c r="H155" s="99">
        <f>G155+'1'!H155</f>
        <v>1255</v>
      </c>
      <c r="I155" s="364"/>
      <c r="J155" s="328">
        <f>H155/DAY(B2)</f>
        <v>627.5</v>
      </c>
    </row>
    <row r="156" spans="1:10" ht="25.5">
      <c r="A156" s="905" t="s">
        <v>347</v>
      </c>
      <c r="B156" s="905"/>
      <c r="C156" s="905"/>
      <c r="D156" s="517" t="s">
        <v>130</v>
      </c>
      <c r="E156" s="95">
        <f>'1'!F156</f>
        <v>9756</v>
      </c>
      <c r="F156" s="155">
        <v>9829</v>
      </c>
      <c r="G156" s="112">
        <f t="shared" si="12"/>
        <v>73</v>
      </c>
      <c r="H156" s="99">
        <f>G156+'1'!H156</f>
        <v>144</v>
      </c>
      <c r="I156" s="165"/>
      <c r="J156" s="328">
        <f>H156/DAY(B2)</f>
        <v>72</v>
      </c>
    </row>
    <row r="157" spans="1:10" ht="25.5">
      <c r="A157" s="897" t="s">
        <v>360</v>
      </c>
      <c r="B157" s="898"/>
      <c r="C157" s="899"/>
      <c r="D157" s="517" t="s">
        <v>130</v>
      </c>
      <c r="E157" s="95">
        <f>'1'!F157</f>
        <v>18347</v>
      </c>
      <c r="F157" s="155">
        <v>18540</v>
      </c>
      <c r="G157" s="112">
        <f t="shared" si="12"/>
        <v>193</v>
      </c>
      <c r="H157" s="99">
        <f>G157+'1'!H157</f>
        <v>340</v>
      </c>
      <c r="I157" s="165"/>
      <c r="J157" s="328"/>
    </row>
    <row r="158" spans="1:10" ht="25.5">
      <c r="A158" s="897" t="s">
        <v>361</v>
      </c>
      <c r="B158" s="898"/>
      <c r="C158" s="899"/>
      <c r="D158" s="117" t="s">
        <v>130</v>
      </c>
      <c r="E158" s="95">
        <v>90.42</v>
      </c>
      <c r="F158" s="155">
        <v>160.54</v>
      </c>
      <c r="G158" s="112">
        <f t="shared" si="12"/>
        <v>70.11999999999999</v>
      </c>
      <c r="H158" s="99">
        <f>G158+'1'!H158</f>
        <v>70.11999999999999</v>
      </c>
      <c r="I158" s="165"/>
      <c r="J158" s="328"/>
    </row>
    <row r="159" spans="1:10" ht="25.5">
      <c r="A159" s="897"/>
      <c r="B159" s="898"/>
      <c r="C159" s="899"/>
      <c r="D159" s="117"/>
      <c r="E159" s="95"/>
      <c r="F159" s="165"/>
      <c r="G159" s="112"/>
      <c r="H159" s="99"/>
      <c r="I159" s="165"/>
      <c r="J159" s="328"/>
    </row>
    <row r="160" spans="1:10" ht="27.75">
      <c r="A160" s="938" t="s">
        <v>326</v>
      </c>
      <c r="B160" s="938"/>
      <c r="C160" s="938"/>
      <c r="D160" s="938"/>
      <c r="E160" s="938"/>
      <c r="F160" s="938"/>
      <c r="G160" s="938"/>
      <c r="H160" s="938"/>
      <c r="I160" s="938"/>
      <c r="J160" s="938"/>
    </row>
    <row r="161" spans="1:14" ht="26.25">
      <c r="A161" s="242" t="s">
        <v>92</v>
      </c>
      <c r="B161" s="243"/>
      <c r="C161" s="243"/>
      <c r="D161" s="244" t="s">
        <v>180</v>
      </c>
      <c r="E161" s="95">
        <f>'1'!F161</f>
        <v>475421</v>
      </c>
      <c r="F161" s="235">
        <v>475421</v>
      </c>
      <c r="G161" s="238">
        <f t="shared" ref="G161:G165" si="13">F161-E161</f>
        <v>0</v>
      </c>
      <c r="H161" s="99">
        <f>G161+'1'!H161</f>
        <v>0</v>
      </c>
      <c r="I161" s="236"/>
      <c r="J161" s="239">
        <f>H161/DAY(B2)</f>
        <v>0</v>
      </c>
    </row>
    <row r="162" spans="1:14" ht="26.25">
      <c r="A162" s="242" t="s">
        <v>93</v>
      </c>
      <c r="B162" s="243"/>
      <c r="C162" s="243"/>
      <c r="D162" s="244" t="s">
        <v>180</v>
      </c>
      <c r="E162" s="95">
        <f>'1'!F162</f>
        <v>92765</v>
      </c>
      <c r="F162" s="235">
        <v>92803</v>
      </c>
      <c r="G162" s="238">
        <f t="shared" si="13"/>
        <v>38</v>
      </c>
      <c r="H162" s="99">
        <f>G162+'1'!H162</f>
        <v>76</v>
      </c>
      <c r="I162" s="236"/>
      <c r="J162" s="239">
        <f>H162/DAY(B2)</f>
        <v>38</v>
      </c>
    </row>
    <row r="163" spans="1:14" ht="26.25">
      <c r="A163" s="242" t="s">
        <v>197</v>
      </c>
      <c r="B163" s="243"/>
      <c r="C163" s="243"/>
      <c r="D163" s="244" t="s">
        <v>180</v>
      </c>
      <c r="E163" s="95">
        <f>'1'!F163</f>
        <v>97325</v>
      </c>
      <c r="F163" s="235">
        <v>97479</v>
      </c>
      <c r="G163" s="238">
        <f t="shared" si="13"/>
        <v>154</v>
      </c>
      <c r="H163" s="99">
        <f>G163+'1'!H163</f>
        <v>344</v>
      </c>
      <c r="I163" s="236"/>
      <c r="J163" s="239">
        <f>H163/DAY(B2)</f>
        <v>172</v>
      </c>
    </row>
    <row r="164" spans="1:14" ht="26.25">
      <c r="A164" s="242" t="s">
        <v>197</v>
      </c>
      <c r="B164" s="243"/>
      <c r="C164" s="243"/>
      <c r="D164" s="244" t="s">
        <v>180</v>
      </c>
      <c r="E164" s="95">
        <f>'1'!F164</f>
        <v>5558</v>
      </c>
      <c r="F164" s="235">
        <v>5572</v>
      </c>
      <c r="G164" s="238">
        <f t="shared" si="13"/>
        <v>14</v>
      </c>
      <c r="H164" s="99">
        <f>G164+'1'!H164</f>
        <v>30</v>
      </c>
      <c r="I164" s="236"/>
      <c r="J164" s="239">
        <f>H164/DAY(B2)</f>
        <v>15</v>
      </c>
    </row>
    <row r="165" spans="1:14" ht="26.25">
      <c r="A165" s="242" t="s">
        <v>309</v>
      </c>
      <c r="B165" s="243"/>
      <c r="C165" s="243"/>
      <c r="D165" s="244" t="s">
        <v>180</v>
      </c>
      <c r="E165" s="95">
        <f>'1'!F165</f>
        <v>31026</v>
      </c>
      <c r="F165" s="235">
        <v>31040</v>
      </c>
      <c r="G165" s="238">
        <f t="shared" si="13"/>
        <v>14</v>
      </c>
      <c r="H165" s="99">
        <f>G165+'1'!H165</f>
        <v>26</v>
      </c>
      <c r="I165" s="236"/>
      <c r="J165" s="239">
        <f>H165/DAY(B2)</f>
        <v>13</v>
      </c>
    </row>
    <row r="166" spans="1:14" ht="29.25" customHeight="1">
      <c r="A166" s="937"/>
      <c r="B166" s="937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7"/>
    </row>
    <row r="167" spans="1:14" ht="26.25">
      <c r="A167" s="937"/>
      <c r="B167" s="937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7"/>
    </row>
    <row r="168" spans="1:14" ht="26.25">
      <c r="A168" s="937"/>
      <c r="B168" s="937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7"/>
    </row>
    <row r="169" spans="1:14" ht="26.25"/>
    <row r="170" spans="1:14" ht="26.25"/>
    <row r="171" spans="1:14" ht="27.75">
      <c r="A171" s="947" t="s">
        <v>330</v>
      </c>
      <c r="B171" s="948"/>
      <c r="C171" s="948"/>
      <c r="D171" s="948"/>
      <c r="E171" s="948"/>
      <c r="F171" s="948"/>
      <c r="G171" s="948"/>
      <c r="H171" s="948"/>
      <c r="I171" s="948"/>
      <c r="J171" s="949"/>
    </row>
    <row r="172" spans="1:14" ht="25.5">
      <c r="A172" s="943"/>
      <c r="B172" s="944"/>
      <c r="C172" s="332"/>
      <c r="D172" s="228"/>
      <c r="E172" s="155"/>
      <c r="F172" s="155"/>
      <c r="G172" s="155"/>
      <c r="H172" s="156"/>
      <c r="I172" s="155"/>
      <c r="J172" s="178"/>
    </row>
    <row r="173" spans="1:14" ht="35.25" customHeight="1">
      <c r="A173" s="895" t="s">
        <v>209</v>
      </c>
      <c r="B173" s="896"/>
      <c r="C173" s="333"/>
      <c r="D173" s="228" t="s">
        <v>142</v>
      </c>
      <c r="E173" s="95">
        <f>'1'!F173</f>
        <v>8265</v>
      </c>
      <c r="F173" s="155">
        <v>8267</v>
      </c>
      <c r="G173" s="155">
        <f>F173-E173</f>
        <v>2</v>
      </c>
      <c r="H173" s="99">
        <f>G173+'1'!H173</f>
        <v>3</v>
      </c>
      <c r="I173" s="155"/>
      <c r="J173" s="178">
        <f>H173/DAY(B2)</f>
        <v>1.5</v>
      </c>
    </row>
    <row r="174" spans="1:14" ht="25.5">
      <c r="A174" s="895" t="s">
        <v>75</v>
      </c>
      <c r="B174" s="896"/>
      <c r="C174" s="333"/>
      <c r="D174" s="228" t="s">
        <v>142</v>
      </c>
      <c r="E174" s="95">
        <f>'1'!F174</f>
        <v>40346</v>
      </c>
      <c r="F174" s="157">
        <v>40360</v>
      </c>
      <c r="G174" s="155">
        <f t="shared" ref="G174:G175" si="14">F174-E174</f>
        <v>14</v>
      </c>
      <c r="H174" s="99">
        <f>G174+'1'!H174</f>
        <v>28</v>
      </c>
      <c r="I174" s="155"/>
      <c r="J174" s="178">
        <f>H174/DAY(B2)</f>
        <v>14</v>
      </c>
    </row>
    <row r="175" spans="1:14" ht="25.5">
      <c r="A175" s="895" t="s">
        <v>76</v>
      </c>
      <c r="B175" s="900"/>
      <c r="C175" s="896"/>
      <c r="D175" s="228" t="s">
        <v>142</v>
      </c>
      <c r="E175" s="95">
        <f>'1'!F175</f>
        <v>23275</v>
      </c>
      <c r="F175" s="155">
        <v>23294</v>
      </c>
      <c r="G175" s="155">
        <f t="shared" si="14"/>
        <v>19</v>
      </c>
      <c r="H175" s="99">
        <f>G175+'1'!H175</f>
        <v>36</v>
      </c>
      <c r="I175" s="155"/>
      <c r="J175" s="178">
        <f>H175/DAY(B2)</f>
        <v>18</v>
      </c>
      <c r="N175" s="470"/>
    </row>
    <row r="176" spans="1:14" ht="25.5">
      <c r="A176" s="934" t="s">
        <v>196</v>
      </c>
      <c r="B176" s="935"/>
      <c r="C176" s="401"/>
      <c r="D176" s="228"/>
      <c r="E176" s="95"/>
      <c r="F176" s="155"/>
      <c r="G176" s="155">
        <f>SUM(G173:G175)</f>
        <v>35</v>
      </c>
      <c r="H176" s="99">
        <f>G176+'1'!H176</f>
        <v>67</v>
      </c>
      <c r="I176" s="155"/>
      <c r="J176" s="178">
        <f>H176/DAY(B2)</f>
        <v>33.5</v>
      </c>
    </row>
    <row r="177" spans="1:10" ht="25.5">
      <c r="A177" s="895" t="s">
        <v>77</v>
      </c>
      <c r="B177" s="896"/>
      <c r="C177" s="33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5.5">
      <c r="A178" s="895" t="s">
        <v>210</v>
      </c>
      <c r="B178" s="896"/>
      <c r="C178" s="333"/>
      <c r="D178" s="228" t="s">
        <v>142</v>
      </c>
      <c r="E178" s="95">
        <f>'1'!F178</f>
        <v>91925</v>
      </c>
      <c r="F178" s="157">
        <v>92017</v>
      </c>
      <c r="G178" s="155">
        <f>F178-E178</f>
        <v>92</v>
      </c>
      <c r="H178" s="99">
        <f>G178+'1'!H178</f>
        <v>195</v>
      </c>
      <c r="I178" s="155"/>
      <c r="J178" s="178">
        <f>H178/DAY(B2)</f>
        <v>97.5</v>
      </c>
    </row>
    <row r="179" spans="1:10" ht="25.5">
      <c r="A179" s="895" t="s">
        <v>211</v>
      </c>
      <c r="B179" s="896"/>
      <c r="C179" s="333"/>
      <c r="D179" s="228" t="s">
        <v>142</v>
      </c>
      <c r="E179" s="95">
        <f>'1'!F179</f>
        <v>35799</v>
      </c>
      <c r="F179" s="155">
        <v>35799</v>
      </c>
      <c r="G179" s="155">
        <f t="shared" ref="G179:G180" si="15">F179-E179</f>
        <v>0</v>
      </c>
      <c r="H179" s="99">
        <f>G179+'1'!H179</f>
        <v>15</v>
      </c>
      <c r="I179" s="155"/>
      <c r="J179" s="178">
        <f>H179/DAY(B2)</f>
        <v>7.5</v>
      </c>
    </row>
    <row r="180" spans="1:10" ht="25.5">
      <c r="A180" s="895" t="s">
        <v>212</v>
      </c>
      <c r="B180" s="896"/>
      <c r="C180" s="333"/>
      <c r="D180" s="228" t="s">
        <v>142</v>
      </c>
      <c r="E180" s="95">
        <f>'1'!F180</f>
        <v>6690</v>
      </c>
      <c r="F180" s="155">
        <v>6697</v>
      </c>
      <c r="G180" s="155">
        <f t="shared" si="15"/>
        <v>7</v>
      </c>
      <c r="H180" s="99">
        <f>G180+'1'!H180</f>
        <v>27</v>
      </c>
      <c r="I180" s="155"/>
      <c r="J180" s="178">
        <f>H180/DAY(B2)</f>
        <v>13.5</v>
      </c>
    </row>
    <row r="181" spans="1:10" ht="25.5">
      <c r="A181" s="941" t="s">
        <v>108</v>
      </c>
      <c r="B181" s="942"/>
      <c r="C181" s="401"/>
      <c r="D181" s="228"/>
      <c r="E181" s="95"/>
      <c r="F181" s="155"/>
      <c r="G181" s="155">
        <f>SUM(G178:G180)</f>
        <v>99</v>
      </c>
      <c r="H181" s="99">
        <f>G181+'1'!H181</f>
        <v>237</v>
      </c>
      <c r="I181" s="155"/>
      <c r="J181" s="178">
        <f>H181/DAY(B2)</f>
        <v>118.5</v>
      </c>
    </row>
    <row r="182" spans="1:10" ht="31.5" customHeight="1">
      <c r="A182" s="895" t="s">
        <v>213</v>
      </c>
      <c r="B182" s="896"/>
      <c r="C182" s="33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>
      <c r="A183" s="895" t="s">
        <v>214</v>
      </c>
      <c r="B183" s="896"/>
      <c r="C183" s="334"/>
      <c r="D183" s="228" t="s">
        <v>142</v>
      </c>
      <c r="E183" s="95">
        <f>'1'!F183</f>
        <v>16961</v>
      </c>
      <c r="F183" s="157">
        <v>16975</v>
      </c>
      <c r="G183" s="157">
        <f>F183-E183</f>
        <v>14</v>
      </c>
      <c r="H183" s="99">
        <f>G183+'1'!H183</f>
        <v>20</v>
      </c>
      <c r="I183" s="155"/>
      <c r="J183" s="178">
        <f>H183/DAY(B2)</f>
        <v>10</v>
      </c>
    </row>
    <row r="184" spans="1:10" ht="27.75" customHeight="1">
      <c r="A184" s="895" t="s">
        <v>215</v>
      </c>
      <c r="B184" s="896"/>
      <c r="C184" s="334"/>
      <c r="D184" s="228" t="s">
        <v>142</v>
      </c>
      <c r="E184" s="95">
        <f>'1'!F184</f>
        <v>11503</v>
      </c>
      <c r="F184" s="157">
        <v>11512</v>
      </c>
      <c r="G184" s="157">
        <f t="shared" ref="G184:G185" si="16">F184-E184</f>
        <v>9</v>
      </c>
      <c r="H184" s="99">
        <f>G184+'1'!H184</f>
        <v>26</v>
      </c>
      <c r="I184" s="155"/>
      <c r="J184" s="178">
        <f>H184/DAY(B2)</f>
        <v>13</v>
      </c>
    </row>
    <row r="185" spans="1:10" ht="24.75" customHeight="1">
      <c r="A185" s="895" t="s">
        <v>216</v>
      </c>
      <c r="B185" s="896"/>
      <c r="C185" s="33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>
      <c r="A186" s="934" t="s">
        <v>196</v>
      </c>
      <c r="B186" s="935"/>
      <c r="C186" s="400"/>
      <c r="D186" s="229"/>
      <c r="E186" s="95"/>
      <c r="F186" s="157"/>
      <c r="G186" s="157">
        <f>SUM(G183:G185)</f>
        <v>23</v>
      </c>
      <c r="H186" s="99">
        <f>G186+'1'!H186</f>
        <v>46</v>
      </c>
      <c r="I186" s="157"/>
      <c r="J186" s="178">
        <f>H186/DAY(B2)</f>
        <v>23</v>
      </c>
    </row>
    <row r="187" spans="1:10" ht="28.5" customHeight="1">
      <c r="A187" s="945" t="s">
        <v>217</v>
      </c>
      <c r="B187" s="946"/>
      <c r="C187" s="333"/>
      <c r="D187" s="230" t="s">
        <v>142</v>
      </c>
      <c r="E187" s="95"/>
      <c r="F187" s="159"/>
      <c r="G187" s="378">
        <f>G62+G19</f>
        <v>221</v>
      </c>
      <c r="H187" s="99">
        <f>G187+'1'!H187</f>
        <v>467</v>
      </c>
      <c r="I187" s="158"/>
      <c r="J187" s="179">
        <f>H187/DAY(B2)</f>
        <v>233.5</v>
      </c>
    </row>
    <row r="188" spans="1:10" ht="24" customHeight="1">
      <c r="A188" s="945" t="s">
        <v>218</v>
      </c>
      <c r="B188" s="946"/>
      <c r="C188" s="333"/>
      <c r="D188" s="230" t="s">
        <v>142</v>
      </c>
      <c r="E188" s="95"/>
      <c r="F188" s="159"/>
      <c r="G188" s="378">
        <f>G65+G66+G67+G69+G70</f>
        <v>216</v>
      </c>
      <c r="H188" s="99">
        <f>G188+'1'!H188</f>
        <v>446</v>
      </c>
      <c r="I188" s="158"/>
      <c r="J188" s="179">
        <f>H188/DAY(B2)</f>
        <v>223</v>
      </c>
    </row>
    <row r="189" spans="1:10" ht="24.75" customHeight="1">
      <c r="A189" s="945" t="s">
        <v>219</v>
      </c>
      <c r="B189" s="946"/>
      <c r="C189" s="333"/>
      <c r="D189" s="230" t="s">
        <v>142</v>
      </c>
      <c r="E189" s="95"/>
      <c r="F189" s="157"/>
      <c r="G189" s="377">
        <f>G181</f>
        <v>99</v>
      </c>
      <c r="H189" s="99">
        <f>G189+'1'!H189</f>
        <v>237</v>
      </c>
      <c r="I189" s="158"/>
      <c r="J189" s="179">
        <f>H189/DAY(B2)</f>
        <v>118.5</v>
      </c>
    </row>
    <row r="190" spans="1:10" ht="25.5">
      <c r="A190" s="939"/>
      <c r="B190" s="940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topLeftCell="A46" zoomScale="55" zoomScaleSheetLayoutView="55" workbookViewId="0">
      <selection activeCell="A68" sqref="A68:XFD6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76" t="s">
        <v>115</v>
      </c>
      <c r="B1" s="877"/>
      <c r="C1" s="877"/>
      <c r="D1" s="877"/>
      <c r="E1" s="877"/>
      <c r="F1" s="877"/>
      <c r="G1" s="877"/>
      <c r="H1" s="877"/>
      <c r="I1" s="877"/>
      <c r="J1" s="878"/>
    </row>
    <row r="2" spans="1:16" s="57" customFormat="1" ht="23.25">
      <c r="A2" s="191" t="s">
        <v>355</v>
      </c>
      <c r="B2" s="375">
        <v>44715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350</v>
      </c>
      <c r="P2" s="57">
        <v>19293.8</v>
      </c>
    </row>
    <row r="3" spans="1:16" s="57" customFormat="1" ht="23.25">
      <c r="A3" s="189"/>
      <c r="B3" s="221"/>
      <c r="C3" s="348" t="s">
        <v>118</v>
      </c>
      <c r="D3" s="219">
        <v>29</v>
      </c>
      <c r="E3" s="885" t="s">
        <v>119</v>
      </c>
      <c r="F3" s="886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  <c r="O4" s="57" t="s">
        <v>351</v>
      </c>
      <c r="P4" s="57">
        <v>28131.4</v>
      </c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6.25">
      <c r="A6" s="879" t="s">
        <v>128</v>
      </c>
      <c r="B6" s="880"/>
      <c r="C6" s="881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'2'!F7</f>
        <v>741242</v>
      </c>
      <c r="F7" s="95">
        <v>768907</v>
      </c>
      <c r="G7" s="112">
        <f>F7-E7</f>
        <v>27665</v>
      </c>
      <c r="H7" s="99">
        <f>G7+'2'!H7</f>
        <v>82162</v>
      </c>
      <c r="I7" s="113">
        <f>'1'!I7</f>
        <v>12000</v>
      </c>
      <c r="J7" s="175">
        <f>H7/DAY(B2)</f>
        <v>27387.333333333332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'2'!F8</f>
        <v>858615</v>
      </c>
      <c r="F8" s="114">
        <v>887428</v>
      </c>
      <c r="G8" s="115">
        <f>F8-E8</f>
        <v>28813</v>
      </c>
      <c r="H8" s="99">
        <f>G8+'2'!H8</f>
        <v>85448</v>
      </c>
      <c r="I8" s="116"/>
      <c r="J8" s="175">
        <f>H8/DAY(B2)</f>
        <v>28482.666666666668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'2'!F9</f>
        <v>2466640</v>
      </c>
      <c r="F9" s="117">
        <v>2481831</v>
      </c>
      <c r="G9" s="112">
        <f>F9-E9</f>
        <v>15191</v>
      </c>
      <c r="H9" s="99">
        <f>G9+'2'!H9</f>
        <v>44141</v>
      </c>
      <c r="I9" s="124">
        <f>I7-J7</f>
        <v>-15387.333333333332</v>
      </c>
      <c r="J9" s="175">
        <f>H9/DAY(B2)</f>
        <v>14713.666666666666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'2'!F10</f>
        <v>925480</v>
      </c>
      <c r="F10" s="117">
        <v>937261</v>
      </c>
      <c r="G10" s="112">
        <f t="shared" ref="G10:G12" si="0">F10-E10</f>
        <v>11781</v>
      </c>
      <c r="H10" s="99">
        <f>G10+'2'!H10</f>
        <v>35857</v>
      </c>
      <c r="I10" s="282"/>
      <c r="J10" s="175">
        <f>H10/DAY(B2)</f>
        <v>11952.333333333334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'2'!F11</f>
        <v>37560</v>
      </c>
      <c r="F11" s="95">
        <v>37560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'2'!F12</f>
        <v>40380</v>
      </c>
      <c r="F12" s="117">
        <v>40380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26972</v>
      </c>
      <c r="H13" s="99">
        <f>G13+'2'!H13</f>
        <v>79859</v>
      </c>
      <c r="I13" s="120">
        <f>G7-G13</f>
        <v>693</v>
      </c>
      <c r="J13" s="175">
        <f>H13/DAY(B2)</f>
        <v>26619.666666666668</v>
      </c>
      <c r="K13" s="79"/>
      <c r="L13" s="66"/>
      <c r="N13" s="87"/>
      <c r="O13" s="71"/>
    </row>
    <row r="14" spans="1:16" ht="26.25">
      <c r="A14" s="882" t="s">
        <v>137</v>
      </c>
      <c r="B14" s="883"/>
      <c r="C14" s="88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'2'!F15</f>
        <v>2039258</v>
      </c>
      <c r="F15" s="410">
        <v>2040362</v>
      </c>
      <c r="G15" s="112">
        <f>(F15-E15)</f>
        <v>1104</v>
      </c>
      <c r="H15" s="99">
        <f>G15+'2'!H15</f>
        <v>3245</v>
      </c>
      <c r="I15" s="113">
        <f>'1'!I15</f>
        <v>800</v>
      </c>
      <c r="J15" s="175">
        <f>H15/DAY(B2)</f>
        <v>1081.6666666666667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-281.66666666666674</v>
      </c>
      <c r="J16" s="176"/>
      <c r="K16" s="79"/>
      <c r="L16" s="66"/>
      <c r="N16" s="87"/>
      <c r="O16" s="71"/>
    </row>
    <row r="17" spans="1:15" ht="26.25">
      <c r="A17" s="882" t="s">
        <v>140</v>
      </c>
      <c r="B17" s="883"/>
      <c r="C17" s="88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3" t="s">
        <v>141</v>
      </c>
      <c r="B18" s="874"/>
      <c r="C18" s="875"/>
      <c r="D18" s="151" t="s">
        <v>142</v>
      </c>
      <c r="E18" s="95">
        <f>'2'!F18</f>
        <v>26</v>
      </c>
      <c r="F18" s="122">
        <v>25</v>
      </c>
      <c r="G18" s="119">
        <f>F18*10</f>
        <v>250</v>
      </c>
      <c r="H18" s="99">
        <f>G18+'2'!H18</f>
        <v>770</v>
      </c>
      <c r="I18" s="113">
        <f>'1'!I18</f>
        <v>65</v>
      </c>
      <c r="J18" s="175">
        <f>H18/DAY(B2)</f>
        <v>256.66666666666669</v>
      </c>
      <c r="K18" s="79"/>
      <c r="L18" s="66"/>
      <c r="N18" s="87"/>
      <c r="O18" s="71"/>
    </row>
    <row r="19" spans="1:15" ht="25.5">
      <c r="A19" s="873" t="s">
        <v>69</v>
      </c>
      <c r="B19" s="874"/>
      <c r="C19" s="875"/>
      <c r="D19" s="151" t="s">
        <v>142</v>
      </c>
      <c r="E19" s="95">
        <f>'2'!F19</f>
        <v>160219</v>
      </c>
      <c r="F19" s="122">
        <v>160273</v>
      </c>
      <c r="G19" s="112">
        <f t="shared" ref="G19" si="1">F19-E19</f>
        <v>54</v>
      </c>
      <c r="H19" s="99">
        <f>G19+'2'!H19</f>
        <v>166</v>
      </c>
      <c r="I19" s="335"/>
      <c r="J19" s="175">
        <f>H19/DAY(B2)</f>
        <v>55.333333333333336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304</v>
      </c>
      <c r="H20" s="99">
        <f>G20+'2'!H20</f>
        <v>936</v>
      </c>
      <c r="I20" s="336">
        <f>I18-J20</f>
        <v>-247</v>
      </c>
      <c r="J20" s="175">
        <f>H20/DAY(B2)</f>
        <v>312</v>
      </c>
      <c r="K20" s="79"/>
      <c r="L20" s="66"/>
      <c r="N20" s="87"/>
      <c r="O20" s="71"/>
    </row>
    <row r="21" spans="1:15" ht="26.25">
      <c r="A21" s="882" t="s">
        <v>144</v>
      </c>
      <c r="B21" s="883"/>
      <c r="C21" s="88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'2'!F23</f>
        <v>1500</v>
      </c>
      <c r="F23" s="122">
        <v>1500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7" t="s">
        <v>149</v>
      </c>
      <c r="B25" s="888"/>
      <c r="C25" s="88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28813</v>
      </c>
      <c r="F27" s="136">
        <v>9</v>
      </c>
      <c r="G27" s="137">
        <f>E27*F27</f>
        <v>259317</v>
      </c>
      <c r="H27" s="99">
        <f>G27+'2'!H27</f>
        <v>769032</v>
      </c>
      <c r="I27" s="138"/>
      <c r="J27" s="175">
        <f>H27/DAY(B2)</f>
        <v>256344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1104</v>
      </c>
      <c r="F28" s="136">
        <v>70</v>
      </c>
      <c r="G28" s="137">
        <f>E28*F28</f>
        <v>77280</v>
      </c>
      <c r="H28" s="99">
        <f>G28+'2'!H28</f>
        <v>227150</v>
      </c>
      <c r="I28" s="140"/>
      <c r="J28" s="175">
        <f>H28/DAY(B2)</f>
        <v>75716.666666666672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137">
        <f>E30*F30</f>
        <v>8154</v>
      </c>
      <c r="H30" s="99">
        <f>G30+'2'!H30</f>
        <v>25066</v>
      </c>
      <c r="I30" s="140"/>
      <c r="J30" s="175">
        <f>H30/DAY(B2)</f>
        <v>8355.3333333333339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G31+'2'!H31</f>
        <v>61600</v>
      </c>
      <c r="I31" s="140"/>
      <c r="J31" s="175">
        <f>H31/DAY(B2)</f>
        <v>20533.333333333332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364751</v>
      </c>
      <c r="H32" s="99">
        <f>G32+'2'!H32</f>
        <v>1082848</v>
      </c>
      <c r="I32" s="144"/>
      <c r="J32" s="175">
        <f>H32/DAY(B2)</f>
        <v>360949.33333333331</v>
      </c>
      <c r="K32" s="63"/>
      <c r="L32" s="89"/>
      <c r="N32" s="87"/>
      <c r="O32" s="71"/>
    </row>
    <row r="33" spans="1:15" ht="25.5" customHeight="1">
      <c r="A33" s="890" t="s">
        <v>331</v>
      </c>
      <c r="B33" s="891"/>
      <c r="C33" s="89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'2'!F35</f>
        <v>238714</v>
      </c>
      <c r="F35" s="145">
        <v>238714</v>
      </c>
      <c r="G35" s="112">
        <f t="shared" ref="G35:G46" si="3">F35-E35</f>
        <v>0</v>
      </c>
      <c r="H35" s="99">
        <f>G35+'2'!H35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'2'!F36</f>
        <v>162128</v>
      </c>
      <c r="F36" s="145">
        <v>162964</v>
      </c>
      <c r="G36" s="112">
        <f t="shared" si="3"/>
        <v>836</v>
      </c>
      <c r="H36" s="99">
        <f>G36+'2'!H36</f>
        <v>2516</v>
      </c>
      <c r="I36" s="95"/>
      <c r="J36" s="175">
        <f>H36/DAY(B2)</f>
        <v>838.66666666666663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'2'!F37</f>
        <v>239288</v>
      </c>
      <c r="F37" s="145">
        <v>241132</v>
      </c>
      <c r="G37" s="112">
        <f t="shared" si="3"/>
        <v>1844</v>
      </c>
      <c r="H37" s="99">
        <f>G37+'2'!H37</f>
        <v>5353</v>
      </c>
      <c r="I37" s="95"/>
      <c r="J37" s="175">
        <f>H37/DAY(B2)</f>
        <v>1784.3333333333333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'2'!F38</f>
        <v>321334</v>
      </c>
      <c r="F38" s="108">
        <v>323760</v>
      </c>
      <c r="G38" s="112">
        <f t="shared" si="3"/>
        <v>2426</v>
      </c>
      <c r="H38" s="99">
        <f>G38+'2'!H38</f>
        <v>7468</v>
      </c>
      <c r="I38" s="95"/>
      <c r="J38" s="175">
        <f>H38/DAY(B2)</f>
        <v>2489.3333333333335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'2'!F39</f>
        <v>438285</v>
      </c>
      <c r="F39" s="145">
        <v>441248</v>
      </c>
      <c r="G39" s="112">
        <f t="shared" si="3"/>
        <v>2963</v>
      </c>
      <c r="H39" s="99">
        <f>G39+'2'!H39</f>
        <v>8963</v>
      </c>
      <c r="I39" s="95"/>
      <c r="J39" s="175">
        <f>H39/DAY(B2)</f>
        <v>2987.6666666666665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'2'!F40</f>
        <v>73951</v>
      </c>
      <c r="F40" s="145">
        <v>74079</v>
      </c>
      <c r="G40" s="112">
        <f t="shared" si="3"/>
        <v>128</v>
      </c>
      <c r="H40" s="99">
        <f>G40+'2'!H40</f>
        <v>526</v>
      </c>
      <c r="I40" s="95"/>
      <c r="J40" s="175">
        <f>H40/DAY(B2)</f>
        <v>175.33333333333334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'2'!F41</f>
        <v>68835</v>
      </c>
      <c r="F41" s="145">
        <v>68835</v>
      </c>
      <c r="G41" s="112">
        <f t="shared" si="3"/>
        <v>0</v>
      </c>
      <c r="H41" s="99">
        <f>G41+'2'!H41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'2'!F42</f>
        <v>570436</v>
      </c>
      <c r="F42" s="145">
        <v>576198</v>
      </c>
      <c r="G42" s="112">
        <f t="shared" si="3"/>
        <v>5762</v>
      </c>
      <c r="H42" s="99">
        <f>G42+'2'!H42</f>
        <v>16326</v>
      </c>
      <c r="I42" s="95"/>
      <c r="J42" s="175">
        <f>H42/DAY(B2)</f>
        <v>5442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'2'!F43</f>
        <v>407028</v>
      </c>
      <c r="F43" s="145">
        <v>407028</v>
      </c>
      <c r="G43" s="112">
        <f t="shared" si="3"/>
        <v>0</v>
      </c>
      <c r="H43" s="99">
        <f>G43+'2'!H43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13959</v>
      </c>
      <c r="H47" s="99">
        <f>G47+'2'!H47</f>
        <v>41152</v>
      </c>
      <c r="I47" s="95"/>
      <c r="J47" s="175">
        <f>H47/DAY(B2)</f>
        <v>13717.333333333334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'2'!F49</f>
        <v>265599</v>
      </c>
      <c r="F49" s="145">
        <v>269396</v>
      </c>
      <c r="G49" s="112">
        <f t="shared" ref="G49:G58" si="4">F49-E49</f>
        <v>3797</v>
      </c>
      <c r="H49" s="99">
        <f>G49+'2'!H49</f>
        <v>12249</v>
      </c>
      <c r="I49" s="95"/>
      <c r="J49" s="175">
        <f>H49/DAY(B2)</f>
        <v>4083</v>
      </c>
      <c r="K49" s="79"/>
      <c r="L49" s="66"/>
      <c r="N49" s="87">
        <f>G35+G49</f>
        <v>3797</v>
      </c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'2'!F50</f>
        <v>211229</v>
      </c>
      <c r="F50" s="145">
        <v>212360</v>
      </c>
      <c r="G50" s="112">
        <f t="shared" si="4"/>
        <v>1131</v>
      </c>
      <c r="H50" s="99">
        <f>G50+'2'!H50</f>
        <v>2796</v>
      </c>
      <c r="I50" s="95"/>
      <c r="J50" s="175">
        <f>H50/DAY(B2)</f>
        <v>932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'2'!F51</f>
        <v>76</v>
      </c>
      <c r="F51" s="145">
        <v>76</v>
      </c>
      <c r="G51" s="112">
        <f t="shared" si="4"/>
        <v>0</v>
      </c>
      <c r="H51" s="99">
        <f>G51+'2'!H51</f>
        <v>0.31999999999999318</v>
      </c>
      <c r="I51" s="95"/>
      <c r="J51" s="175">
        <f>H51/DAY(B2)</f>
        <v>0.1066666666666644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'2'!F52</f>
        <v>9.76</v>
      </c>
      <c r="F52" s="145">
        <v>9.76</v>
      </c>
      <c r="G52" s="112">
        <f t="shared" si="4"/>
        <v>0</v>
      </c>
      <c r="H52" s="99">
        <f>G52+'2'!H52</f>
        <v>-0.24000000000000021</v>
      </c>
      <c r="I52" s="95"/>
      <c r="J52" s="175">
        <f>H52/DAY(B2)</f>
        <v>-8.0000000000000071E-2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'2'!F54</f>
        <v>65478</v>
      </c>
      <c r="F54" s="145">
        <v>65941</v>
      </c>
      <c r="G54" s="112">
        <f t="shared" si="4"/>
        <v>463</v>
      </c>
      <c r="H54" s="99">
        <f>G54+'2'!H54</f>
        <v>1385</v>
      </c>
      <c r="I54" s="95"/>
      <c r="J54" s="175">
        <f>H54/DAY(B2)</f>
        <v>461.66666666666669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'2'!F55</f>
        <v>231291</v>
      </c>
      <c r="F55" s="145">
        <v>233876</v>
      </c>
      <c r="G55" s="112">
        <f t="shared" si="4"/>
        <v>2585</v>
      </c>
      <c r="H55" s="99">
        <f>G55+'2'!H55</f>
        <v>8403</v>
      </c>
      <c r="I55" s="95"/>
      <c r="J55" s="175">
        <f>H55/DAY(B2)</f>
        <v>2801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'2'!F56</f>
        <v>107245.66</v>
      </c>
      <c r="F56" s="145">
        <v>107245.66</v>
      </c>
      <c r="G56" s="112">
        <f t="shared" si="4"/>
        <v>0</v>
      </c>
      <c r="H56" s="99">
        <f>G56+'2'!H56</f>
        <v>-0.33999999999650754</v>
      </c>
      <c r="I56" s="95"/>
      <c r="J56" s="175">
        <f>H56/DAY(B2)</f>
        <v>-0.11333333333216918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'2'!F57</f>
        <v>43269</v>
      </c>
      <c r="F57" s="145">
        <v>46385</v>
      </c>
      <c r="G57" s="112">
        <f t="shared" si="4"/>
        <v>3116</v>
      </c>
      <c r="H57" s="99">
        <f>G57+'2'!H57</f>
        <v>8782</v>
      </c>
      <c r="I57" s="95"/>
      <c r="J57" s="175">
        <f>H57/DAY(B2)</f>
        <v>2927.3333333333335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'2'!F58</f>
        <v>33152</v>
      </c>
      <c r="F58" s="145">
        <v>33411</v>
      </c>
      <c r="G58" s="112">
        <f t="shared" si="4"/>
        <v>259</v>
      </c>
      <c r="H58" s="99">
        <f>G58+'2'!H58</f>
        <v>752</v>
      </c>
      <c r="I58" s="95"/>
      <c r="J58" s="175">
        <f>H58/DAY(B2)</f>
        <v>250.66666666666666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11351</v>
      </c>
      <c r="H59" s="99">
        <f>G59+'2'!H59</f>
        <v>34366.740000000005</v>
      </c>
      <c r="I59" s="95">
        <f>G7-G60</f>
        <v>2355</v>
      </c>
      <c r="J59" s="175">
        <f>H59/DAY(B2)</f>
        <v>11455.580000000002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25310</v>
      </c>
      <c r="H60" s="99">
        <f>G60+'2'!H60</f>
        <v>75518.740000000005</v>
      </c>
      <c r="I60" s="95">
        <f>G13-G60</f>
        <v>1662</v>
      </c>
      <c r="J60" s="175">
        <f>H60/DAY(B2)</f>
        <v>25172.913333333334</v>
      </c>
      <c r="K60" s="79"/>
      <c r="L60" s="66"/>
      <c r="N60" s="87"/>
      <c r="O60" s="71"/>
    </row>
    <row r="61" spans="1:15" s="68" customFormat="1" ht="26.25">
      <c r="A61" s="892" t="s">
        <v>332</v>
      </c>
      <c r="B61" s="893"/>
      <c r="C61" s="89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3" t="s">
        <v>198</v>
      </c>
      <c r="B62" s="874"/>
      <c r="C62" s="875"/>
      <c r="D62" s="151" t="s">
        <v>142</v>
      </c>
      <c r="E62" s="95">
        <f>'2'!F62</f>
        <v>289255</v>
      </c>
      <c r="F62" s="164">
        <v>289425</v>
      </c>
      <c r="G62" s="112">
        <f t="shared" ref="G62:G63" si="5">F62-E62</f>
        <v>170</v>
      </c>
      <c r="H62" s="99">
        <f>G62+'2'!H62</f>
        <v>525</v>
      </c>
      <c r="I62" s="118"/>
      <c r="J62" s="175">
        <f>H62/DAY(B2)</f>
        <v>175</v>
      </c>
      <c r="K62" s="80"/>
      <c r="L62" s="66"/>
      <c r="N62" s="87"/>
      <c r="O62" s="71"/>
    </row>
    <row r="63" spans="1:15" ht="25.5">
      <c r="A63" s="873" t="s">
        <v>199</v>
      </c>
      <c r="B63" s="874"/>
      <c r="C63" s="875"/>
      <c r="D63" s="151" t="s">
        <v>142</v>
      </c>
      <c r="E63" s="95">
        <f>'2'!F63</f>
        <v>231417</v>
      </c>
      <c r="F63" s="122">
        <v>231549</v>
      </c>
      <c r="G63" s="112">
        <f t="shared" si="5"/>
        <v>132</v>
      </c>
      <c r="H63" s="99">
        <f>G63+'2'!H63</f>
        <v>387</v>
      </c>
      <c r="I63" s="118"/>
      <c r="J63" s="175">
        <f>H63/DAY(B2)</f>
        <v>129</v>
      </c>
      <c r="K63" s="69"/>
      <c r="L63" s="66"/>
      <c r="N63" s="87"/>
      <c r="O63" s="71"/>
    </row>
    <row r="64" spans="1:15" ht="26.25">
      <c r="A64" s="870" t="s">
        <v>200</v>
      </c>
      <c r="B64" s="871"/>
      <c r="C64" s="872"/>
      <c r="D64" s="151"/>
      <c r="E64" s="95">
        <f>'2'!F64</f>
        <v>0</v>
      </c>
      <c r="F64" s="122"/>
      <c r="G64" s="112">
        <f>G62+G63</f>
        <v>302</v>
      </c>
      <c r="H64" s="99">
        <f>G64+'2'!H64</f>
        <v>912</v>
      </c>
      <c r="I64" s="118"/>
      <c r="J64" s="175">
        <f>H64/DAY(B2)</f>
        <v>304</v>
      </c>
      <c r="K64" s="69"/>
      <c r="L64" s="66"/>
      <c r="N64" s="87"/>
      <c r="O64" s="71"/>
    </row>
    <row r="65" spans="1:15" ht="25.5">
      <c r="A65" s="873" t="s">
        <v>201</v>
      </c>
      <c r="B65" s="874"/>
      <c r="C65" s="875"/>
      <c r="D65" s="151" t="s">
        <v>142</v>
      </c>
      <c r="E65" s="95">
        <f>'2'!F65</f>
        <v>448248</v>
      </c>
      <c r="F65" s="122">
        <v>448363</v>
      </c>
      <c r="G65" s="112">
        <f t="shared" ref="G65:G70" si="6">F65-E65</f>
        <v>115</v>
      </c>
      <c r="H65" s="99">
        <f>G65+'2'!H65</f>
        <v>336</v>
      </c>
      <c r="I65" s="118"/>
      <c r="J65" s="175">
        <f>H65/DAY(B2)</f>
        <v>112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'2'!F66</f>
        <v>110373</v>
      </c>
      <c r="F66" s="122">
        <v>110404</v>
      </c>
      <c r="G66" s="112">
        <f t="shared" si="6"/>
        <v>31</v>
      </c>
      <c r="H66" s="99">
        <f>G66+'2'!H66</f>
        <v>73</v>
      </c>
      <c r="I66" s="118"/>
      <c r="J66" s="175">
        <f>H66/DAY(B2)</f>
        <v>24.333333333333332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'2'!F67</f>
        <v>113414</v>
      </c>
      <c r="F67" s="404">
        <v>113488</v>
      </c>
      <c r="G67" s="112">
        <f t="shared" si="6"/>
        <v>74</v>
      </c>
      <c r="H67" s="99">
        <f>G67+'2'!H67</f>
        <v>210</v>
      </c>
      <c r="I67" s="118"/>
      <c r="J67" s="175">
        <f>H67/DAY(B2)</f>
        <v>70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'2'!F68</f>
        <v>162526</v>
      </c>
      <c r="F68" s="122">
        <v>162541</v>
      </c>
      <c r="G68" s="112">
        <f t="shared" si="6"/>
        <v>15</v>
      </c>
      <c r="H68" s="99">
        <f>G68+'2'!H68</f>
        <v>47</v>
      </c>
      <c r="I68" s="118"/>
      <c r="J68" s="175">
        <f>H68/DAY(B2)</f>
        <v>15.666666666666666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'2'!F69</f>
        <v>11884</v>
      </c>
      <c r="F69" s="122">
        <v>11890</v>
      </c>
      <c r="G69" s="112">
        <f t="shared" si="6"/>
        <v>6</v>
      </c>
      <c r="H69" s="99">
        <f>G69+'2'!H69</f>
        <v>21</v>
      </c>
      <c r="I69" s="118"/>
      <c r="J69" s="175">
        <f>H69/DAY(B2)</f>
        <v>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'2'!F70</f>
        <v>9299</v>
      </c>
      <c r="F70" s="404">
        <v>9307</v>
      </c>
      <c r="G70" s="112">
        <f t="shared" si="6"/>
        <v>8</v>
      </c>
      <c r="H70" s="99">
        <f>G70+'2'!H70</f>
        <v>40</v>
      </c>
      <c r="I70" s="118"/>
      <c r="J70" s="175">
        <f>H70/DAY(B2)</f>
        <v>13.333333333333334</v>
      </c>
      <c r="K70" s="69"/>
      <c r="L70" s="66"/>
      <c r="N70" s="87"/>
      <c r="O70" s="71"/>
    </row>
    <row r="71" spans="1:15" ht="26.25">
      <c r="A71" s="870" t="s">
        <v>208</v>
      </c>
      <c r="B71" s="871"/>
      <c r="C71" s="872"/>
      <c r="D71" s="152"/>
      <c r="E71" s="152"/>
      <c r="F71" s="152"/>
      <c r="G71" s="153">
        <f>SUM(G65:G70)</f>
        <v>249</v>
      </c>
      <c r="H71" s="99">
        <f>G71+'2'!H71</f>
        <v>727</v>
      </c>
      <c r="I71" s="154"/>
      <c r="J71" s="175">
        <f>H71/DAY(B2)</f>
        <v>242.33333333333334</v>
      </c>
      <c r="K71" s="69"/>
      <c r="L71" s="66"/>
      <c r="N71" s="87"/>
      <c r="O71" s="71"/>
    </row>
    <row r="72" spans="1:15" s="88" customFormat="1" ht="25.5">
      <c r="A72" s="916"/>
      <c r="B72" s="90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3" t="s">
        <v>220</v>
      </c>
      <c r="B74" s="874"/>
      <c r="C74" s="875"/>
      <c r="D74" s="151" t="s">
        <v>139</v>
      </c>
      <c r="E74" s="95">
        <f>'2'!F74</f>
        <v>939329</v>
      </c>
      <c r="F74" s="117">
        <v>939650</v>
      </c>
      <c r="G74" s="112">
        <f t="shared" ref="G74:G78" si="7">F74-E74</f>
        <v>321</v>
      </c>
      <c r="H74" s="99">
        <f>G74+'2'!H74</f>
        <v>980</v>
      </c>
      <c r="I74" s="154"/>
      <c r="J74" s="175">
        <f>H74/DAY(B2)</f>
        <v>326.66666666666669</v>
      </c>
      <c r="K74" s="69"/>
      <c r="L74" s="66"/>
      <c r="N74" s="87"/>
      <c r="O74" s="71"/>
    </row>
    <row r="75" spans="1:15" ht="25.5">
      <c r="A75" s="873" t="s">
        <v>221</v>
      </c>
      <c r="B75" s="874"/>
      <c r="C75" s="875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7" t="s">
        <v>222</v>
      </c>
      <c r="B76" s="903"/>
      <c r="C76" s="904"/>
      <c r="D76" s="151" t="s">
        <v>139</v>
      </c>
      <c r="E76" s="95">
        <f>'2'!F76</f>
        <v>183909</v>
      </c>
      <c r="F76" s="123">
        <v>184044</v>
      </c>
      <c r="G76" s="112">
        <f t="shared" si="7"/>
        <v>135</v>
      </c>
      <c r="H76" s="99">
        <f>G76+'2'!H76</f>
        <v>338</v>
      </c>
      <c r="I76" s="154"/>
      <c r="J76" s="175">
        <f>H76/DAY(B2)</f>
        <v>112.66666666666667</v>
      </c>
      <c r="K76" s="69"/>
      <c r="L76" s="66"/>
      <c r="N76" s="87"/>
      <c r="O76" s="71"/>
    </row>
    <row r="77" spans="1:15" ht="25.5">
      <c r="A77" s="917" t="s">
        <v>223</v>
      </c>
      <c r="B77" s="903"/>
      <c r="C77" s="904"/>
      <c r="D77" s="151" t="s">
        <v>139</v>
      </c>
      <c r="E77" s="95">
        <f>'2'!F77</f>
        <v>47434</v>
      </c>
      <c r="F77" s="123">
        <v>47475</v>
      </c>
      <c r="G77" s="112">
        <f t="shared" si="7"/>
        <v>41</v>
      </c>
      <c r="H77" s="99">
        <f>G77+'2'!H77</f>
        <v>130</v>
      </c>
      <c r="I77" s="154"/>
      <c r="J77" s="175">
        <f>H77/DAY(B2)</f>
        <v>43.333333333333336</v>
      </c>
      <c r="K77" s="69"/>
      <c r="L77" s="66"/>
      <c r="N77" s="87"/>
      <c r="O77" s="71"/>
    </row>
    <row r="78" spans="1:15" ht="25.5">
      <c r="A78" s="917" t="s">
        <v>224</v>
      </c>
      <c r="B78" s="903"/>
      <c r="C78" s="904"/>
      <c r="D78" s="151" t="s">
        <v>139</v>
      </c>
      <c r="E78" s="95">
        <f>'2'!F78</f>
        <v>9563</v>
      </c>
      <c r="F78" s="123">
        <v>9563</v>
      </c>
      <c r="G78" s="112">
        <f t="shared" si="7"/>
        <v>0</v>
      </c>
      <c r="H78" s="99">
        <f>G78+'2'!H78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7" t="s">
        <v>225</v>
      </c>
      <c r="B79" s="903"/>
      <c r="C79" s="904"/>
      <c r="D79" s="151"/>
      <c r="E79" s="95">
        <f>'2'!F79</f>
        <v>0</v>
      </c>
      <c r="F79" s="117"/>
      <c r="G79" s="112">
        <f>G15-SUM(G74:G78)</f>
        <v>607</v>
      </c>
      <c r="H79" s="99">
        <f>G79+'2'!H79</f>
        <v>1797</v>
      </c>
      <c r="I79" s="118"/>
      <c r="J79" s="175"/>
      <c r="K79" s="59"/>
      <c r="L79" s="58"/>
      <c r="N79" s="87"/>
      <c r="O79" s="71"/>
    </row>
    <row r="80" spans="1:15" s="57" customFormat="1" ht="26.25">
      <c r="A80" s="870" t="s">
        <v>329</v>
      </c>
      <c r="B80" s="871"/>
      <c r="C80" s="872"/>
      <c r="D80" s="151"/>
      <c r="E80" s="117"/>
      <c r="F80" s="117"/>
      <c r="G80" s="112">
        <f>SUM(G74:G79)</f>
        <v>1104</v>
      </c>
      <c r="H80" s="99">
        <f>G80+'2'!H80</f>
        <v>2147</v>
      </c>
      <c r="I80" s="118"/>
      <c r="J80" s="175"/>
      <c r="K80" s="59"/>
      <c r="L80" s="58"/>
      <c r="N80" s="87"/>
      <c r="O80" s="71"/>
    </row>
    <row r="81" spans="1:15" ht="25.5">
      <c r="A81" s="909" t="s">
        <v>226</v>
      </c>
      <c r="B81" s="910"/>
      <c r="C81" s="91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'2'!F84</f>
        <v>41969</v>
      </c>
      <c r="F84" s="164">
        <v>41969</v>
      </c>
      <c r="G84" s="112">
        <f t="shared" si="8"/>
        <v>0</v>
      </c>
      <c r="H84" s="99">
        <f>G84+'2'!H84</f>
        <v>0</v>
      </c>
      <c r="I84" s="57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'2'!F85</f>
        <v>4385</v>
      </c>
      <c r="F85" s="164">
        <v>4409</v>
      </c>
      <c r="G85" s="112">
        <f t="shared" si="8"/>
        <v>24</v>
      </c>
      <c r="H85" s="99">
        <f>G85+'2'!H85</f>
        <v>66</v>
      </c>
      <c r="I85" s="573"/>
      <c r="J85" s="175">
        <f>H85/DAY(B2)</f>
        <v>22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'2'!F86</f>
        <v>44510</v>
      </c>
      <c r="F86" s="164">
        <v>44527.4</v>
      </c>
      <c r="G86" s="112">
        <f t="shared" si="8"/>
        <v>17.400000000001455</v>
      </c>
      <c r="H86" s="99">
        <f>G86+'2'!H86</f>
        <v>57.400000000001455</v>
      </c>
      <c r="I86" s="573"/>
      <c r="J86" s="175">
        <f>H86/DAY(B2)</f>
        <v>19.13333333333382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'2'!F87</f>
        <v>35329.06</v>
      </c>
      <c r="F87" s="164">
        <v>35329.06</v>
      </c>
      <c r="G87" s="112">
        <f t="shared" si="8"/>
        <v>0</v>
      </c>
      <c r="H87" s="99">
        <f>G87+'2'!H87</f>
        <v>5.9999999997671694E-2</v>
      </c>
      <c r="I87" s="573">
        <f>G84+G85+G86+G87</f>
        <v>41.400000000001455</v>
      </c>
      <c r="J87" s="175">
        <f>H87/DAY(B2)</f>
        <v>1.9999999999223899E-2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'2'!F88</f>
        <v>24250</v>
      </c>
      <c r="F88" s="164">
        <v>24260</v>
      </c>
      <c r="G88" s="112">
        <f t="shared" si="8"/>
        <v>10</v>
      </c>
      <c r="H88" s="99">
        <f>G88+'2'!H88</f>
        <v>32.119999999998981</v>
      </c>
      <c r="I88" s="573"/>
      <c r="J88" s="175">
        <f>H88/DAY(B2)</f>
        <v>10.706666666666328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'2'!F89</f>
        <v>27015</v>
      </c>
      <c r="F89" s="164">
        <v>27026</v>
      </c>
      <c r="G89" s="112">
        <f t="shared" si="8"/>
        <v>11</v>
      </c>
      <c r="H89" s="99">
        <f>G89+'2'!H89</f>
        <v>32.590000000000146</v>
      </c>
      <c r="I89" s="573">
        <f>G88+G89</f>
        <v>21</v>
      </c>
      <c r="J89" s="175">
        <f>H89/DAY(B2)</f>
        <v>10.863333333333381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'2'!F90</f>
        <v>72127.12</v>
      </c>
      <c r="F90" s="164">
        <v>72127</v>
      </c>
      <c r="G90" s="112">
        <f t="shared" si="8"/>
        <v>-0.11999999999534339</v>
      </c>
      <c r="H90" s="99">
        <f>G90+'2'!H90</f>
        <v>-0.11999999999534339</v>
      </c>
      <c r="I90" s="573">
        <f>G90</f>
        <v>-0.11999999999534339</v>
      </c>
      <c r="J90" s="175">
        <f>H90/DAY(B2)</f>
        <v>-3.9999999998447798E-2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'2'!F91</f>
        <v>4122</v>
      </c>
      <c r="F91" s="164">
        <v>4122</v>
      </c>
      <c r="G91" s="112">
        <f t="shared" si="8"/>
        <v>0</v>
      </c>
      <c r="H91" s="99">
        <f>G91+'2'!H91</f>
        <v>0.3500000000003638</v>
      </c>
      <c r="I91" s="592"/>
      <c r="J91" s="175">
        <f>H91/DAY(B2)</f>
        <v>0.11666666666678793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'2'!F92</f>
        <v>6240</v>
      </c>
      <c r="F92" s="122">
        <v>6251</v>
      </c>
      <c r="G92" s="112">
        <f t="shared" si="8"/>
        <v>11</v>
      </c>
      <c r="H92" s="99">
        <f>G92+'2'!H92</f>
        <v>33.75</v>
      </c>
      <c r="I92" s="598">
        <f>G91+G92</f>
        <v>11</v>
      </c>
      <c r="J92" s="175">
        <f>H92/DAY(B2)</f>
        <v>11.25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3" t="s">
        <v>240</v>
      </c>
      <c r="B94" s="874"/>
      <c r="C94" s="875"/>
      <c r="D94" s="151" t="s">
        <v>130</v>
      </c>
      <c r="E94" s="151"/>
      <c r="F94" s="151"/>
      <c r="G94" s="99">
        <f>G35+G43+G49+G57</f>
        <v>6913</v>
      </c>
      <c r="H94" s="99">
        <f>G94+'2'!H94</f>
        <v>21031</v>
      </c>
      <c r="I94" s="118"/>
      <c r="J94" s="175">
        <f>H94/DAY(B2)</f>
        <v>7010.333333333333</v>
      </c>
      <c r="K94" s="69"/>
      <c r="L94" s="66"/>
      <c r="O94" s="71"/>
    </row>
    <row r="95" spans="1:15" ht="25.5">
      <c r="A95" s="873" t="s">
        <v>241</v>
      </c>
      <c r="B95" s="874"/>
      <c r="C95" s="875"/>
      <c r="D95" s="151" t="s">
        <v>23</v>
      </c>
      <c r="E95" s="146"/>
      <c r="F95" s="146"/>
      <c r="G95" s="166">
        <f>G94/G7</f>
        <v>0.24988252304355685</v>
      </c>
      <c r="H95" s="99">
        <f>G95+'2'!H95</f>
        <v>0.76804364261622915</v>
      </c>
      <c r="I95" s="167"/>
      <c r="J95" s="175">
        <f>H95/DAY(B2)</f>
        <v>0.25601454753874303</v>
      </c>
      <c r="K95" s="69"/>
      <c r="L95" s="66"/>
      <c r="O95" s="71"/>
    </row>
    <row r="96" spans="1:15" ht="25.5">
      <c r="A96" s="873" t="s">
        <v>242</v>
      </c>
      <c r="B96" s="874"/>
      <c r="C96" s="875"/>
      <c r="D96" s="151" t="s">
        <v>130</v>
      </c>
      <c r="E96" s="95"/>
      <c r="F96" s="95"/>
      <c r="G96" s="99">
        <f>G41+G42+G55+G56</f>
        <v>8347</v>
      </c>
      <c r="H96" s="99">
        <f>G96+'2'!H96</f>
        <v>24728.660000000003</v>
      </c>
      <c r="I96" s="118"/>
      <c r="J96" s="175">
        <f>H96/DAY(B2)</f>
        <v>8242.8866666666672</v>
      </c>
      <c r="K96" s="69"/>
      <c r="L96" s="66"/>
      <c r="O96" s="71"/>
    </row>
    <row r="97" spans="1:15" ht="25.5">
      <c r="A97" s="873" t="s">
        <v>243</v>
      </c>
      <c r="B97" s="874"/>
      <c r="C97" s="875"/>
      <c r="D97" s="151" t="s">
        <v>23</v>
      </c>
      <c r="E97" s="95"/>
      <c r="F97" s="95"/>
      <c r="G97" s="166">
        <f>G96/G7</f>
        <v>0.30171697090186156</v>
      </c>
      <c r="H97" s="99">
        <f>G97+'2'!H97</f>
        <v>0.90284094834569006</v>
      </c>
      <c r="I97" s="167"/>
      <c r="J97" s="175">
        <f>H97/DAY(B2)</f>
        <v>0.30094698278189669</v>
      </c>
      <c r="K97" s="69"/>
      <c r="L97" s="66"/>
      <c r="O97" s="71"/>
    </row>
    <row r="98" spans="1:15" ht="25.5">
      <c r="A98" s="873" t="s">
        <v>244</v>
      </c>
      <c r="B98" s="874"/>
      <c r="C98" s="875"/>
      <c r="D98" s="151" t="s">
        <v>130</v>
      </c>
      <c r="E98" s="95"/>
      <c r="F98" s="95"/>
      <c r="G98" s="99">
        <f>G39+G53</f>
        <v>2963</v>
      </c>
      <c r="H98" s="99">
        <f>G98+'2'!H98</f>
        <v>8963</v>
      </c>
      <c r="I98" s="168"/>
      <c r="J98" s="175">
        <f>H98/DAY(B2)</f>
        <v>2987.6666666666665</v>
      </c>
      <c r="K98" s="69"/>
      <c r="L98" s="66"/>
      <c r="O98" s="71"/>
    </row>
    <row r="99" spans="1:15" ht="25.5">
      <c r="A99" s="873" t="s">
        <v>245</v>
      </c>
      <c r="B99" s="874"/>
      <c r="C99" s="875"/>
      <c r="D99" s="151" t="s">
        <v>23</v>
      </c>
      <c r="E99" s="95"/>
      <c r="F99" s="95"/>
      <c r="G99" s="166">
        <f>G98/G7</f>
        <v>0.10710283752033255</v>
      </c>
      <c r="H99" s="99">
        <f>G99+'2'!H99</f>
        <v>0.32733577213991416</v>
      </c>
      <c r="I99" s="168"/>
      <c r="J99" s="175">
        <f>H99/DAY(B2)</f>
        <v>0.10911192404663805</v>
      </c>
      <c r="O99" s="71"/>
    </row>
    <row r="100" spans="1:15" ht="26.25">
      <c r="A100" s="873" t="s">
        <v>246</v>
      </c>
      <c r="B100" s="874"/>
      <c r="C100" s="875"/>
      <c r="D100" s="151" t="s">
        <v>180</v>
      </c>
      <c r="E100" s="95"/>
      <c r="F100" s="95"/>
      <c r="G100" s="99">
        <f>G38+G52</f>
        <v>2426</v>
      </c>
      <c r="H100" s="99">
        <f>G100+'2'!H100</f>
        <v>7467.76</v>
      </c>
      <c r="I100" s="118"/>
      <c r="J100" s="175">
        <f>H100/DAY(B2)</f>
        <v>2489.2533333333336</v>
      </c>
      <c r="K100" s="70"/>
      <c r="O100" s="71"/>
    </row>
    <row r="101" spans="1:15" ht="25.5">
      <c r="A101" s="873" t="s">
        <v>247</v>
      </c>
      <c r="B101" s="874"/>
      <c r="C101" s="875"/>
      <c r="D101" s="151" t="s">
        <v>23</v>
      </c>
      <c r="E101" s="95"/>
      <c r="F101" s="95"/>
      <c r="G101" s="166">
        <f>G100/G7</f>
        <v>8.7692029640339786E-2</v>
      </c>
      <c r="H101" s="99">
        <f>G101+'2'!H101</f>
        <v>0.27282263889849612</v>
      </c>
      <c r="I101" s="168"/>
      <c r="J101" s="175">
        <f>H101/DAY(B2)</f>
        <v>9.0940879632832039E-2</v>
      </c>
      <c r="O101" s="71"/>
    </row>
    <row r="102" spans="1:15" ht="25.5">
      <c r="A102" s="873" t="s">
        <v>248</v>
      </c>
      <c r="B102" s="874"/>
      <c r="C102" s="875"/>
      <c r="D102" s="151" t="s">
        <v>180</v>
      </c>
      <c r="E102" s="95"/>
      <c r="F102" s="95"/>
      <c r="G102" s="99">
        <f>G36+G50</f>
        <v>1967</v>
      </c>
      <c r="H102" s="99">
        <f>G102+'2'!H102</f>
        <v>5312</v>
      </c>
      <c r="I102" s="168"/>
      <c r="J102" s="175">
        <f>H102/DAY(B2)</f>
        <v>1770.6666666666667</v>
      </c>
      <c r="O102" s="71"/>
    </row>
    <row r="103" spans="1:15" ht="25.5">
      <c r="A103" s="873" t="s">
        <v>249</v>
      </c>
      <c r="B103" s="874"/>
      <c r="C103" s="875"/>
      <c r="D103" s="151" t="s">
        <v>23</v>
      </c>
      <c r="E103" s="95"/>
      <c r="F103" s="95"/>
      <c r="G103" s="166">
        <f>G102/G7</f>
        <v>7.1100668714982829E-2</v>
      </c>
      <c r="H103" s="99">
        <f>G103+'2'!H103</f>
        <v>0.19376750638483947</v>
      </c>
      <c r="I103" s="118"/>
      <c r="J103" s="175">
        <f>H103/DAY(B2)</f>
        <v>6.4589168794946486E-2</v>
      </c>
      <c r="O103" s="71"/>
    </row>
    <row r="104" spans="1:15" ht="25.5">
      <c r="A104" s="873" t="s">
        <v>250</v>
      </c>
      <c r="B104" s="874"/>
      <c r="C104" s="875"/>
      <c r="D104" s="151" t="s">
        <v>180</v>
      </c>
      <c r="E104" s="95"/>
      <c r="F104" s="95"/>
      <c r="G104" s="99">
        <f>G37+G51</f>
        <v>1844</v>
      </c>
      <c r="H104" s="99">
        <f>G104+'2'!H104</f>
        <v>5353.32</v>
      </c>
      <c r="I104" s="118"/>
      <c r="J104" s="175">
        <f>H104/DAY(B2)</f>
        <v>1784.4399999999998</v>
      </c>
      <c r="O104" s="71"/>
    </row>
    <row r="105" spans="1:15" ht="26.25" thickBot="1">
      <c r="A105" s="913" t="s">
        <v>251</v>
      </c>
      <c r="B105" s="914"/>
      <c r="C105" s="915"/>
      <c r="D105" s="231" t="s">
        <v>23</v>
      </c>
      <c r="E105" s="185"/>
      <c r="F105" s="185"/>
      <c r="G105" s="186">
        <f>G104/G7</f>
        <v>6.6654617748057116E-2</v>
      </c>
      <c r="H105" s="99">
        <f>G105+'2'!H105</f>
        <v>0.19542820365908961</v>
      </c>
      <c r="I105" s="187"/>
      <c r="J105" s="188">
        <f>H105/DAY(B2)</f>
        <v>6.5142734553029866E-2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7" t="s">
        <v>324</v>
      </c>
      <c r="B108" s="927"/>
      <c r="C108" s="927"/>
      <c r="D108" s="927"/>
      <c r="E108" s="927"/>
      <c r="F108" s="927"/>
      <c r="G108" s="927"/>
      <c r="H108" s="927"/>
      <c r="I108" s="927"/>
      <c r="J108" s="927"/>
    </row>
    <row r="109" spans="1:15" ht="26.25">
      <c r="A109" s="912"/>
      <c r="B109" s="912"/>
    </row>
    <row r="110" spans="1:15" ht="26.25">
      <c r="A110" s="928" t="s">
        <v>165</v>
      </c>
      <c r="B110" s="929"/>
      <c r="C110" s="929"/>
      <c r="D110" s="929"/>
      <c r="E110" s="929"/>
      <c r="F110" s="929"/>
      <c r="G110" s="929"/>
      <c r="H110" s="929"/>
      <c r="I110" s="929"/>
      <c r="J110" s="930"/>
    </row>
    <row r="111" spans="1:15" ht="25.5">
      <c r="A111" s="931"/>
      <c r="B111" s="932"/>
      <c r="C111" s="933"/>
      <c r="D111" s="165"/>
      <c r="E111" s="165"/>
      <c r="F111" s="165"/>
      <c r="G111" s="165"/>
      <c r="H111" s="156"/>
      <c r="I111" s="165"/>
      <c r="J111" s="327"/>
    </row>
    <row r="112" spans="1:15" ht="25.5">
      <c r="A112" s="906" t="s">
        <v>252</v>
      </c>
      <c r="B112" s="907"/>
      <c r="C112" s="908"/>
      <c r="D112" s="146" t="s">
        <v>183</v>
      </c>
      <c r="E112" s="95">
        <f>'2'!F112</f>
        <v>2831</v>
      </c>
      <c r="F112" s="237">
        <v>2909</v>
      </c>
      <c r="G112" s="112">
        <f t="shared" ref="G112:G123" si="9">F112-E112</f>
        <v>78</v>
      </c>
      <c r="H112" s="99">
        <f>G112+'2'!H112</f>
        <v>232</v>
      </c>
      <c r="I112" s="165"/>
      <c r="J112" s="328">
        <f>H112/DAY(B2)</f>
        <v>77.333333333333329</v>
      </c>
    </row>
    <row r="113" spans="1:18" ht="29.25" customHeight="1">
      <c r="A113" s="906" t="s">
        <v>253</v>
      </c>
      <c r="B113" s="907"/>
      <c r="C113" s="908"/>
      <c r="D113" s="146" t="s">
        <v>183</v>
      </c>
      <c r="E113" s="95">
        <f>'2'!F113</f>
        <v>6753</v>
      </c>
      <c r="F113" s="237">
        <v>6885</v>
      </c>
      <c r="G113" s="112">
        <f t="shared" si="9"/>
        <v>132</v>
      </c>
      <c r="H113" s="99">
        <f>G113+'2'!H113</f>
        <v>494</v>
      </c>
      <c r="I113" s="165"/>
      <c r="J113" s="328">
        <f>H113/DAY(B2)</f>
        <v>164.66666666666666</v>
      </c>
    </row>
    <row r="114" spans="1:18" ht="29.25" customHeight="1">
      <c r="A114" s="906" t="s">
        <v>254</v>
      </c>
      <c r="B114" s="907"/>
      <c r="C114" s="908"/>
      <c r="D114" s="146" t="s">
        <v>183</v>
      </c>
      <c r="E114" s="95">
        <f>'2'!F114</f>
        <v>8000</v>
      </c>
      <c r="F114" s="237">
        <v>8226</v>
      </c>
      <c r="G114" s="112">
        <f t="shared" si="9"/>
        <v>226</v>
      </c>
      <c r="H114" s="99">
        <f>G114+'2'!H114</f>
        <v>656</v>
      </c>
      <c r="I114" s="165"/>
      <c r="J114" s="328">
        <f>H114/DAY(B2)</f>
        <v>218.66666666666666</v>
      </c>
    </row>
    <row r="115" spans="1:18" ht="29.25" customHeight="1">
      <c r="A115" s="906" t="s">
        <v>255</v>
      </c>
      <c r="B115" s="907"/>
      <c r="C115" s="908"/>
      <c r="D115" s="146" t="s">
        <v>183</v>
      </c>
      <c r="E115" s="95">
        <f>'2'!F115</f>
        <v>586</v>
      </c>
      <c r="F115" s="237">
        <v>607</v>
      </c>
      <c r="G115" s="112">
        <f t="shared" si="9"/>
        <v>21</v>
      </c>
      <c r="H115" s="99">
        <f>G115+'2'!H115</f>
        <v>46</v>
      </c>
      <c r="I115" s="165"/>
      <c r="J115" s="328">
        <f>H115/DAY(B2)</f>
        <v>15.333333333333334</v>
      </c>
    </row>
    <row r="116" spans="1:18" ht="29.25" customHeight="1">
      <c r="A116" s="924" t="s">
        <v>96</v>
      </c>
      <c r="B116" s="925"/>
      <c r="C116" s="926"/>
      <c r="D116" s="146" t="s">
        <v>183</v>
      </c>
      <c r="E116" s="95">
        <f>'2'!F116</f>
        <v>47514</v>
      </c>
      <c r="F116" s="237">
        <v>47898</v>
      </c>
      <c r="G116" s="112">
        <f t="shared" si="9"/>
        <v>384</v>
      </c>
      <c r="H116" s="99">
        <f>G116+'2'!H116</f>
        <v>1143</v>
      </c>
      <c r="I116" s="165"/>
      <c r="J116" s="328">
        <f>H116/DAY(B2)</f>
        <v>381</v>
      </c>
      <c r="Q116" s="906"/>
      <c r="R116" s="908"/>
    </row>
    <row r="117" spans="1:18" ht="29.25" customHeight="1">
      <c r="A117" s="924" t="s">
        <v>184</v>
      </c>
      <c r="B117" s="925"/>
      <c r="C117" s="926"/>
      <c r="D117" s="146" t="s">
        <v>183</v>
      </c>
      <c r="E117" s="95">
        <f>'2'!F117</f>
        <v>25755</v>
      </c>
      <c r="F117" s="237">
        <v>25985</v>
      </c>
      <c r="G117" s="112">
        <f t="shared" si="9"/>
        <v>230</v>
      </c>
      <c r="H117" s="99">
        <f>G117+'2'!H117</f>
        <v>717</v>
      </c>
      <c r="I117" s="165"/>
      <c r="J117" s="328">
        <f>H117/DAY(B2)</f>
        <v>239</v>
      </c>
      <c r="Q117" s="906"/>
      <c r="R117" s="908"/>
    </row>
    <row r="118" spans="1:18" ht="25.5">
      <c r="A118" s="901" t="s">
        <v>97</v>
      </c>
      <c r="B118" s="901"/>
      <c r="C118" s="901"/>
      <c r="D118" s="151" t="s">
        <v>183</v>
      </c>
      <c r="E118" s="95">
        <f>'2'!F118</f>
        <v>27383</v>
      </c>
      <c r="F118" s="237">
        <v>27917</v>
      </c>
      <c r="G118" s="112">
        <f t="shared" si="9"/>
        <v>534</v>
      </c>
      <c r="H118" s="99">
        <f>G118+'2'!H118</f>
        <v>1692</v>
      </c>
      <c r="I118" s="165"/>
      <c r="J118" s="328">
        <f>H118/DAY(B2)</f>
        <v>564</v>
      </c>
      <c r="Q118" s="906"/>
      <c r="R118" s="908"/>
    </row>
    <row r="119" spans="1:18" ht="25.5">
      <c r="A119" s="901" t="s">
        <v>98</v>
      </c>
      <c r="B119" s="901"/>
      <c r="C119" s="901"/>
      <c r="D119" s="151" t="s">
        <v>183</v>
      </c>
      <c r="E119" s="95">
        <f>'2'!F119</f>
        <v>19799</v>
      </c>
      <c r="F119" s="237">
        <v>20209</v>
      </c>
      <c r="G119" s="112">
        <f t="shared" si="9"/>
        <v>410</v>
      </c>
      <c r="H119" s="99">
        <f>G119+'2'!H119</f>
        <v>1262</v>
      </c>
      <c r="I119" s="165"/>
      <c r="J119" s="328">
        <f>H119/DAY(B2)</f>
        <v>420.66666666666669</v>
      </c>
    </row>
    <row r="120" spans="1:18" ht="25.5">
      <c r="A120" s="901" t="s">
        <v>99</v>
      </c>
      <c r="B120" s="901"/>
      <c r="C120" s="901"/>
      <c r="D120" s="151" t="s">
        <v>183</v>
      </c>
      <c r="E120" s="95">
        <f>'2'!F120</f>
        <v>20959</v>
      </c>
      <c r="F120" s="237">
        <v>21389</v>
      </c>
      <c r="G120" s="112">
        <f t="shared" si="9"/>
        <v>430</v>
      </c>
      <c r="H120" s="99">
        <f>G120+'2'!H120</f>
        <v>1339</v>
      </c>
      <c r="I120" s="165"/>
      <c r="J120" s="328">
        <f>H120/DAY(B2)</f>
        <v>446.33333333333331</v>
      </c>
    </row>
    <row r="121" spans="1:18" ht="25.5">
      <c r="A121" s="901" t="s">
        <v>100</v>
      </c>
      <c r="B121" s="901"/>
      <c r="C121" s="901"/>
      <c r="D121" s="151" t="s">
        <v>183</v>
      </c>
      <c r="E121" s="95">
        <f>'2'!F121</f>
        <v>26801</v>
      </c>
      <c r="F121" s="237">
        <v>27283</v>
      </c>
      <c r="G121" s="112">
        <f t="shared" si="9"/>
        <v>482</v>
      </c>
      <c r="H121" s="99">
        <f>G121+'2'!H121</f>
        <v>1439</v>
      </c>
      <c r="I121" s="165"/>
      <c r="J121" s="328">
        <f>H121/DAY(B2)</f>
        <v>479.66666666666669</v>
      </c>
    </row>
    <row r="122" spans="1:18" ht="25.5">
      <c r="A122" s="901" t="s">
        <v>101</v>
      </c>
      <c r="B122" s="901"/>
      <c r="C122" s="901"/>
      <c r="D122" s="151" t="s">
        <v>183</v>
      </c>
      <c r="E122" s="95">
        <f>'2'!F122</f>
        <v>11812</v>
      </c>
      <c r="F122" s="237">
        <v>12144</v>
      </c>
      <c r="G122" s="112">
        <f t="shared" si="9"/>
        <v>332</v>
      </c>
      <c r="H122" s="99">
        <f>G122+'2'!H122</f>
        <v>984</v>
      </c>
      <c r="I122" s="165"/>
      <c r="J122" s="328">
        <f>H122/DAY(B2)</f>
        <v>328</v>
      </c>
    </row>
    <row r="123" spans="1:18" ht="25.5">
      <c r="A123" s="901" t="s">
        <v>102</v>
      </c>
      <c r="B123" s="901"/>
      <c r="C123" s="901"/>
      <c r="D123" s="151" t="s">
        <v>183</v>
      </c>
      <c r="E123" s="95">
        <f>'2'!F123</f>
        <v>11542</v>
      </c>
      <c r="F123" s="237">
        <v>11869</v>
      </c>
      <c r="G123" s="112">
        <f t="shared" si="9"/>
        <v>327</v>
      </c>
      <c r="H123" s="99">
        <f>G123+'2'!H123</f>
        <v>1360</v>
      </c>
      <c r="I123" s="165"/>
      <c r="J123" s="328">
        <f>H123/DAY(B2)</f>
        <v>453.33333333333331</v>
      </c>
    </row>
    <row r="124" spans="1:18" ht="29.25" customHeight="1">
      <c r="A124" s="931"/>
      <c r="B124" s="932"/>
      <c r="C124" s="933"/>
      <c r="D124" s="165"/>
      <c r="E124" s="165"/>
      <c r="F124" s="165"/>
      <c r="G124" s="327"/>
      <c r="H124" s="156"/>
      <c r="I124" s="165"/>
      <c r="J124" s="327"/>
    </row>
    <row r="125" spans="1:18" ht="26.25">
      <c r="A125" s="870" t="s">
        <v>196</v>
      </c>
      <c r="B125" s="871"/>
      <c r="C125" s="872"/>
      <c r="D125" s="307"/>
      <c r="E125" s="308"/>
      <c r="F125" s="308"/>
      <c r="G125" s="309">
        <f>SUM(G112:G124)</f>
        <v>3586</v>
      </c>
      <c r="H125" s="156"/>
      <c r="I125" s="327">
        <f>G125-(G39+G53)</f>
        <v>623</v>
      </c>
      <c r="J125" s="327"/>
    </row>
    <row r="126" spans="1:18" ht="25.5">
      <c r="A126" s="936" t="s">
        <v>317</v>
      </c>
      <c r="B126" s="936"/>
      <c r="C126" s="936"/>
      <c r="D126" s="936"/>
      <c r="E126" s="936"/>
      <c r="F126" s="936"/>
      <c r="G126" s="936"/>
      <c r="H126" s="936"/>
      <c r="I126" s="936"/>
      <c r="J126" s="936"/>
    </row>
    <row r="127" spans="1:18" ht="25.5">
      <c r="A127" s="937"/>
      <c r="B127" s="937"/>
      <c r="C127" s="245"/>
      <c r="D127" s="307"/>
      <c r="E127" s="95"/>
      <c r="F127" s="308"/>
      <c r="G127" s="309"/>
      <c r="H127" s="99">
        <f>G127+'2'!H127</f>
        <v>0</v>
      </c>
      <c r="I127" s="165"/>
      <c r="J127" s="328">
        <f>H127/DAY(B2)</f>
        <v>0</v>
      </c>
    </row>
    <row r="128" spans="1:18" ht="29.25" customHeight="1">
      <c r="A128" s="906" t="s">
        <v>318</v>
      </c>
      <c r="B128" s="907"/>
      <c r="C128" s="908"/>
      <c r="D128" s="151" t="s">
        <v>183</v>
      </c>
      <c r="E128" s="95">
        <f>'2'!F128</f>
        <v>96746</v>
      </c>
      <c r="F128" s="165">
        <v>97253</v>
      </c>
      <c r="G128" s="112">
        <f t="shared" ref="G128:G134" si="10">F128-E128</f>
        <v>507</v>
      </c>
      <c r="H128" s="99">
        <f>G128+'2'!H128</f>
        <v>1538</v>
      </c>
      <c r="I128" s="165"/>
      <c r="J128" s="328">
        <f>H128/DAY(B2)</f>
        <v>512.66666666666663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'2'!F129</f>
        <v>60844</v>
      </c>
      <c r="F129" s="165">
        <v>61104</v>
      </c>
      <c r="G129" s="112">
        <f t="shared" si="10"/>
        <v>260</v>
      </c>
      <c r="H129" s="99">
        <f>G129+'2'!H129</f>
        <v>811</v>
      </c>
      <c r="I129" s="165"/>
      <c r="J129" s="328">
        <f>H129/DAY(B2)</f>
        <v>270.33333333333331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'2'!F130</f>
        <v>120633</v>
      </c>
      <c r="F130" s="165">
        <v>121323</v>
      </c>
      <c r="G130" s="112">
        <f t="shared" si="10"/>
        <v>690</v>
      </c>
      <c r="H130" s="99">
        <f>G130+'2'!H130</f>
        <v>2210</v>
      </c>
      <c r="I130" s="165"/>
      <c r="J130" s="328">
        <f>H130/DAY(B2)</f>
        <v>736.66666666666663</v>
      </c>
      <c r="N130" s="240"/>
      <c r="O130" s="241"/>
    </row>
    <row r="131" spans="1:15" ht="25.5">
      <c r="A131" s="906" t="s">
        <v>321</v>
      </c>
      <c r="B131" s="907"/>
      <c r="C131" s="908"/>
      <c r="D131" s="151" t="s">
        <v>183</v>
      </c>
      <c r="E131" s="95">
        <f>'2'!F131</f>
        <v>36762</v>
      </c>
      <c r="F131" s="165">
        <v>36883</v>
      </c>
      <c r="G131" s="112">
        <f t="shared" si="10"/>
        <v>121</v>
      </c>
      <c r="H131" s="99">
        <f>G131+'2'!H131</f>
        <v>604</v>
      </c>
      <c r="I131" s="165"/>
      <c r="J131" s="328">
        <f>H131/DAY(B2)</f>
        <v>201.33333333333334</v>
      </c>
      <c r="N131" s="240"/>
      <c r="O131" s="241"/>
    </row>
    <row r="132" spans="1:15" ht="25.5">
      <c r="A132" s="906" t="s">
        <v>322</v>
      </c>
      <c r="B132" s="907"/>
      <c r="C132" s="908"/>
      <c r="D132" s="151" t="s">
        <v>183</v>
      </c>
      <c r="E132" s="95">
        <f>'2'!F132</f>
        <v>104252</v>
      </c>
      <c r="F132" s="158">
        <v>104625</v>
      </c>
      <c r="G132" s="112">
        <f t="shared" si="10"/>
        <v>373</v>
      </c>
      <c r="H132" s="99">
        <f>G132+'2'!H132</f>
        <v>1113</v>
      </c>
      <c r="I132" s="165"/>
      <c r="J132" s="328">
        <f>H132/DAY(B2)</f>
        <v>371</v>
      </c>
    </row>
    <row r="133" spans="1:15" ht="25.5">
      <c r="A133" s="906" t="s">
        <v>342</v>
      </c>
      <c r="B133" s="907"/>
      <c r="C133" s="908"/>
      <c r="D133" s="151" t="s">
        <v>183</v>
      </c>
      <c r="E133" s="95">
        <f>'2'!F133</f>
        <v>202896</v>
      </c>
      <c r="F133" s="165">
        <v>203765</v>
      </c>
      <c r="G133" s="112">
        <f t="shared" si="10"/>
        <v>869</v>
      </c>
      <c r="H133" s="99">
        <f>G133+'2'!H133</f>
        <v>2533</v>
      </c>
      <c r="I133" s="165"/>
      <c r="J133" s="328">
        <f>H133/DAY(B2)</f>
        <v>844.33333333333337</v>
      </c>
    </row>
    <row r="134" spans="1:15" ht="25.5">
      <c r="A134" s="950" t="s">
        <v>340</v>
      </c>
      <c r="B134" s="951"/>
      <c r="C134" s="946"/>
      <c r="D134" s="151" t="s">
        <v>183</v>
      </c>
      <c r="E134" s="95">
        <f>'2'!F134</f>
        <v>35357</v>
      </c>
      <c r="F134" s="165">
        <v>35592</v>
      </c>
      <c r="G134" s="112">
        <f t="shared" si="10"/>
        <v>235</v>
      </c>
      <c r="H134" s="99">
        <f>G134+'2'!H134</f>
        <v>697</v>
      </c>
      <c r="I134" s="165"/>
      <c r="J134" s="328">
        <f>H134/DAY(B2)</f>
        <v>232.33333333333334</v>
      </c>
    </row>
    <row r="135" spans="1:15" ht="26.25">
      <c r="A135" s="870" t="s">
        <v>196</v>
      </c>
      <c r="B135" s="871"/>
      <c r="C135" s="872"/>
      <c r="D135" s="151"/>
      <c r="E135" s="95"/>
      <c r="F135" s="165"/>
      <c r="G135" s="112">
        <f>SUM(G128:G134)</f>
        <v>3055</v>
      </c>
      <c r="H135" s="99">
        <f>G135+'2'!H135</f>
        <v>9506</v>
      </c>
      <c r="I135" s="327">
        <f>G135-(G35+G49)</f>
        <v>-742</v>
      </c>
      <c r="J135" s="328">
        <f>H135/DAY(B2)</f>
        <v>3168.6666666666665</v>
      </c>
    </row>
    <row r="136" spans="1:15" ht="27.75">
      <c r="A136" s="938" t="s">
        <v>325</v>
      </c>
      <c r="B136" s="938"/>
      <c r="C136" s="938"/>
      <c r="D136" s="938"/>
      <c r="E136" s="938"/>
      <c r="F136" s="938"/>
      <c r="G136" s="938"/>
      <c r="H136" s="938"/>
      <c r="I136" s="938"/>
      <c r="J136" s="938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1" t="s">
        <v>185</v>
      </c>
      <c r="B138" s="901"/>
      <c r="C138" s="901"/>
      <c r="D138" s="151" t="s">
        <v>183</v>
      </c>
      <c r="E138" s="95">
        <f>'2'!F138</f>
        <v>10776</v>
      </c>
      <c r="F138" s="147">
        <v>10905</v>
      </c>
      <c r="G138" s="112">
        <f t="shared" ref="G138:G152" si="11">F138-E138</f>
        <v>129</v>
      </c>
      <c r="H138" s="99">
        <f>G138+'2'!H138</f>
        <v>395</v>
      </c>
      <c r="I138" s="118"/>
      <c r="J138" s="328">
        <f>H138/DAY(B2)</f>
        <v>131.66666666666666</v>
      </c>
    </row>
    <row r="139" spans="1:15" ht="25.5">
      <c r="A139" s="901" t="s">
        <v>186</v>
      </c>
      <c r="B139" s="901"/>
      <c r="C139" s="901"/>
      <c r="D139" s="151" t="s">
        <v>183</v>
      </c>
      <c r="E139" s="95">
        <f>'2'!F139</f>
        <v>899777</v>
      </c>
      <c r="F139" s="148">
        <v>899936</v>
      </c>
      <c r="G139" s="112">
        <f t="shared" si="11"/>
        <v>159</v>
      </c>
      <c r="H139" s="99">
        <f>G139+'2'!H139</f>
        <v>481</v>
      </c>
      <c r="I139" s="118"/>
      <c r="J139" s="328">
        <f>H139/DAY(B2)</f>
        <v>160.33333333333334</v>
      </c>
    </row>
    <row r="140" spans="1:15" ht="25.5">
      <c r="A140" s="901" t="s">
        <v>187</v>
      </c>
      <c r="B140" s="901"/>
      <c r="C140" s="901"/>
      <c r="D140" s="151" t="s">
        <v>183</v>
      </c>
      <c r="E140" s="95">
        <f>'2'!F140</f>
        <v>616</v>
      </c>
      <c r="F140" s="149">
        <v>630</v>
      </c>
      <c r="G140" s="112">
        <f t="shared" si="11"/>
        <v>14</v>
      </c>
      <c r="H140" s="99">
        <f>G140+'2'!H140</f>
        <v>42</v>
      </c>
      <c r="I140" s="118"/>
      <c r="J140" s="328">
        <f>H140/DAY(B2)</f>
        <v>14</v>
      </c>
    </row>
    <row r="141" spans="1:15" ht="25.5">
      <c r="A141" s="905" t="s">
        <v>188</v>
      </c>
      <c r="B141" s="905"/>
      <c r="C141" s="905"/>
      <c r="D141" s="151" t="s">
        <v>183</v>
      </c>
      <c r="E141" s="95">
        <f>'2'!F141</f>
        <v>78367</v>
      </c>
      <c r="F141" s="149">
        <v>78572</v>
      </c>
      <c r="G141" s="112">
        <f t="shared" si="11"/>
        <v>205</v>
      </c>
      <c r="H141" s="99">
        <f>G141+'2'!H141</f>
        <v>620</v>
      </c>
      <c r="I141" s="118"/>
      <c r="J141" s="328">
        <f>H141/DAY(B2)</f>
        <v>206.66666666666666</v>
      </c>
    </row>
    <row r="142" spans="1:15" ht="25.5">
      <c r="A142" s="905" t="s">
        <v>189</v>
      </c>
      <c r="B142" s="905"/>
      <c r="C142" s="905"/>
      <c r="D142" s="151" t="s">
        <v>183</v>
      </c>
      <c r="E142" s="95">
        <f>'2'!F142</f>
        <v>30863</v>
      </c>
      <c r="F142" s="148">
        <v>31026</v>
      </c>
      <c r="G142" s="112">
        <f t="shared" si="11"/>
        <v>163</v>
      </c>
      <c r="H142" s="99">
        <f>G142+'2'!H142</f>
        <v>500</v>
      </c>
      <c r="I142" s="140"/>
      <c r="J142" s="328">
        <f>H142/DAY(B2)</f>
        <v>166.66666666666666</v>
      </c>
    </row>
    <row r="143" spans="1:15" ht="25.5">
      <c r="A143" s="901" t="s">
        <v>91</v>
      </c>
      <c r="B143" s="901"/>
      <c r="C143" s="901"/>
      <c r="D143" s="151" t="s">
        <v>183</v>
      </c>
      <c r="E143" s="95">
        <f>'2'!F143</f>
        <v>7363</v>
      </c>
      <c r="F143" s="149">
        <v>7397</v>
      </c>
      <c r="G143" s="112">
        <f t="shared" si="11"/>
        <v>34</v>
      </c>
      <c r="H143" s="99">
        <f>G143+'2'!H143</f>
        <v>91</v>
      </c>
      <c r="I143" s="140"/>
      <c r="J143" s="328">
        <f>H143/DAY(B2)</f>
        <v>30.333333333333332</v>
      </c>
    </row>
    <row r="144" spans="1:15" ht="25.5">
      <c r="A144" s="905" t="s">
        <v>90</v>
      </c>
      <c r="B144" s="905"/>
      <c r="C144" s="905"/>
      <c r="D144" s="151" t="s">
        <v>183</v>
      </c>
      <c r="E144" s="95">
        <f>'2'!F144</f>
        <v>905540</v>
      </c>
      <c r="F144" s="149">
        <v>905802</v>
      </c>
      <c r="G144" s="112">
        <f t="shared" si="11"/>
        <v>262</v>
      </c>
      <c r="H144" s="99">
        <f>G144+'2'!H144</f>
        <v>749</v>
      </c>
      <c r="I144" s="140"/>
      <c r="J144" s="328">
        <f>H144/DAY(B2)</f>
        <v>249.66666666666666</v>
      </c>
    </row>
    <row r="145" spans="1:10" ht="25.5">
      <c r="A145" s="901" t="s">
        <v>190</v>
      </c>
      <c r="B145" s="901"/>
      <c r="C145" s="901"/>
      <c r="D145" s="152" t="s">
        <v>183</v>
      </c>
      <c r="E145" s="95">
        <f>'2'!F145</f>
        <v>5664</v>
      </c>
      <c r="F145" s="149">
        <v>5664</v>
      </c>
      <c r="G145" s="112">
        <f t="shared" si="11"/>
        <v>0</v>
      </c>
      <c r="H145" s="99">
        <f>G145+'2'!H145</f>
        <v>0</v>
      </c>
      <c r="I145" s="140"/>
      <c r="J145" s="328">
        <f>H145/DAY(B2)</f>
        <v>0</v>
      </c>
    </row>
    <row r="146" spans="1:10" ht="25.5">
      <c r="A146" s="902" t="s">
        <v>191</v>
      </c>
      <c r="B146" s="903"/>
      <c r="C146" s="904"/>
      <c r="D146" s="152" t="s">
        <v>183</v>
      </c>
      <c r="E146" s="95">
        <f>'2'!F146</f>
        <v>778008</v>
      </c>
      <c r="F146" s="518">
        <v>778053</v>
      </c>
      <c r="G146" s="112">
        <f t="shared" si="11"/>
        <v>45</v>
      </c>
      <c r="H146" s="99">
        <f>G146+'2'!H146</f>
        <v>185</v>
      </c>
      <c r="I146" s="140"/>
      <c r="J146" s="328">
        <f>H146/DAY(B2)</f>
        <v>61.666666666666664</v>
      </c>
    </row>
    <row r="147" spans="1:10" ht="25.5">
      <c r="A147" s="905" t="s">
        <v>192</v>
      </c>
      <c r="B147" s="905"/>
      <c r="C147" s="905"/>
      <c r="D147" s="152" t="s">
        <v>183</v>
      </c>
      <c r="E147" s="95">
        <f>'2'!F147</f>
        <v>676553</v>
      </c>
      <c r="F147" s="148">
        <v>676943</v>
      </c>
      <c r="G147" s="112">
        <f t="shared" si="11"/>
        <v>390</v>
      </c>
      <c r="H147" s="99">
        <f>G147+'2'!H147</f>
        <v>1095</v>
      </c>
      <c r="I147" s="140"/>
      <c r="J147" s="328">
        <f>H147/DAY(B2)</f>
        <v>365</v>
      </c>
    </row>
    <row r="148" spans="1:10" ht="25.5">
      <c r="A148" s="897" t="s">
        <v>193</v>
      </c>
      <c r="B148" s="898"/>
      <c r="C148" s="899"/>
      <c r="D148" s="123" t="s">
        <v>130</v>
      </c>
      <c r="E148" s="95">
        <f>'2'!F148</f>
        <v>730301</v>
      </c>
      <c r="F148" s="150">
        <v>730623</v>
      </c>
      <c r="G148" s="112">
        <f t="shared" si="11"/>
        <v>322</v>
      </c>
      <c r="H148" s="99">
        <f>G148+'2'!H148</f>
        <v>878</v>
      </c>
      <c r="I148" s="124"/>
      <c r="J148" s="328">
        <f>H148/DAY(B2)</f>
        <v>292.66666666666669</v>
      </c>
    </row>
    <row r="149" spans="1:10" ht="25.5">
      <c r="A149" s="952" t="s">
        <v>336</v>
      </c>
      <c r="B149" s="953"/>
      <c r="C149" s="954"/>
      <c r="D149" s="227" t="s">
        <v>130</v>
      </c>
      <c r="E149" s="95">
        <f>'2'!F149</f>
        <v>102038</v>
      </c>
      <c r="F149" s="146">
        <v>102617</v>
      </c>
      <c r="G149" s="112">
        <f t="shared" si="11"/>
        <v>579</v>
      </c>
      <c r="H149" s="99">
        <f>G149+'2'!H149</f>
        <v>1722</v>
      </c>
      <c r="I149" s="119"/>
      <c r="J149" s="328">
        <f>H149/DAY(B2)</f>
        <v>574</v>
      </c>
    </row>
    <row r="150" spans="1:10" ht="25.5">
      <c r="A150" s="952" t="s">
        <v>337</v>
      </c>
      <c r="B150" s="953"/>
      <c r="C150" s="954"/>
      <c r="D150" s="117" t="s">
        <v>130</v>
      </c>
      <c r="E150" s="95">
        <f>'2'!F150</f>
        <v>37660</v>
      </c>
      <c r="F150" s="233">
        <v>37885</v>
      </c>
      <c r="G150" s="112">
        <f t="shared" si="11"/>
        <v>225</v>
      </c>
      <c r="H150" s="99">
        <f>G150+'2'!H150</f>
        <v>669</v>
      </c>
      <c r="I150" s="119"/>
      <c r="J150" s="328">
        <f>H150/DAY(B2)</f>
        <v>223</v>
      </c>
    </row>
    <row r="151" spans="1:10" ht="29.25" customHeight="1">
      <c r="A151" s="952" t="s">
        <v>338</v>
      </c>
      <c r="B151" s="953"/>
      <c r="C151" s="954"/>
      <c r="D151" s="117" t="s">
        <v>130</v>
      </c>
      <c r="E151" s="95">
        <f>'2'!F151</f>
        <v>118653</v>
      </c>
      <c r="F151" s="233">
        <v>118979</v>
      </c>
      <c r="G151" s="112">
        <f t="shared" si="11"/>
        <v>326</v>
      </c>
      <c r="H151" s="99">
        <f>G151+'2'!H151</f>
        <v>842</v>
      </c>
      <c r="I151" s="119"/>
      <c r="J151" s="328">
        <f>H151/DAY(B2)</f>
        <v>280.66666666666669</v>
      </c>
    </row>
    <row r="152" spans="1:10" ht="29.25" customHeight="1">
      <c r="A152" s="952" t="s">
        <v>339</v>
      </c>
      <c r="B152" s="953"/>
      <c r="C152" s="954"/>
      <c r="D152" s="117" t="s">
        <v>130</v>
      </c>
      <c r="E152" s="95">
        <f>'2'!F152</f>
        <v>15676</v>
      </c>
      <c r="F152" s="233">
        <v>15816</v>
      </c>
      <c r="G152" s="112">
        <f t="shared" si="11"/>
        <v>140</v>
      </c>
      <c r="H152" s="99">
        <f>G152+'2'!H152</f>
        <v>4660</v>
      </c>
      <c r="I152" s="119"/>
      <c r="J152" s="328">
        <f>H152/DAY(B2)</f>
        <v>1553.3333333333333</v>
      </c>
    </row>
    <row r="153" spans="1:10" ht="29.25" customHeight="1">
      <c r="A153" s="870" t="s">
        <v>196</v>
      </c>
      <c r="B153" s="871"/>
      <c r="C153" s="872"/>
      <c r="D153" s="367"/>
      <c r="E153" s="368"/>
      <c r="F153" s="369"/>
      <c r="G153" s="370">
        <f>SUM(G138:G152)</f>
        <v>2993</v>
      </c>
      <c r="H153" s="371"/>
      <c r="I153" s="119">
        <f>G153-(G38+G52)</f>
        <v>567</v>
      </c>
      <c r="J153" s="372"/>
    </row>
    <row r="154" spans="1:10" ht="29.25" customHeight="1">
      <c r="A154" s="938" t="s">
        <v>344</v>
      </c>
      <c r="B154" s="938"/>
      <c r="C154" s="938"/>
      <c r="D154" s="938"/>
      <c r="E154" s="938"/>
      <c r="F154" s="938"/>
      <c r="G154" s="938"/>
      <c r="H154" s="938"/>
      <c r="I154" s="938"/>
      <c r="J154" s="938"/>
    </row>
    <row r="155" spans="1:10" ht="29.25" customHeight="1">
      <c r="A155" s="905" t="s">
        <v>345</v>
      </c>
      <c r="B155" s="905"/>
      <c r="C155" s="905"/>
      <c r="D155" s="117" t="s">
        <v>130</v>
      </c>
      <c r="E155" s="95">
        <f>'2'!F155</f>
        <v>113230</v>
      </c>
      <c r="F155" s="389">
        <v>113845</v>
      </c>
      <c r="G155" s="112">
        <f t="shared" ref="G155:G158" si="12">F155-E155</f>
        <v>615</v>
      </c>
      <c r="H155" s="99">
        <f>G155+'2'!H155</f>
        <v>1870</v>
      </c>
      <c r="I155" s="364"/>
      <c r="J155" s="328">
        <f>H155/DAY(B2)</f>
        <v>623.33333333333337</v>
      </c>
    </row>
    <row r="156" spans="1:10" ht="29.25" customHeight="1">
      <c r="A156" s="955" t="s">
        <v>346</v>
      </c>
      <c r="B156" s="955"/>
      <c r="C156" s="955"/>
      <c r="D156" s="117" t="s">
        <v>130</v>
      </c>
      <c r="E156" s="95">
        <f>'2'!F156</f>
        <v>9829</v>
      </c>
      <c r="F156" s="389">
        <v>9900</v>
      </c>
      <c r="G156" s="112">
        <f t="shared" si="12"/>
        <v>71</v>
      </c>
      <c r="H156" s="99">
        <f>G156+'2'!H156</f>
        <v>215</v>
      </c>
      <c r="I156" s="165"/>
      <c r="J156" s="328">
        <f>H156/DAY(B2)</f>
        <v>71.666666666666671</v>
      </c>
    </row>
    <row r="157" spans="1:10" ht="29.25" customHeight="1">
      <c r="A157" s="897" t="s">
        <v>360</v>
      </c>
      <c r="B157" s="898"/>
      <c r="C157" s="899"/>
      <c r="D157" s="117" t="s">
        <v>130</v>
      </c>
      <c r="E157" s="95">
        <f>'2'!F157</f>
        <v>18540</v>
      </c>
      <c r="F157" s="389">
        <v>18764</v>
      </c>
      <c r="G157" s="112">
        <f t="shared" si="12"/>
        <v>224</v>
      </c>
      <c r="H157" s="99">
        <f>G157+'2'!H157</f>
        <v>564</v>
      </c>
      <c r="I157" s="165"/>
      <c r="J157" s="328"/>
    </row>
    <row r="158" spans="1:10" ht="29.25" customHeight="1">
      <c r="A158" s="897" t="s">
        <v>361</v>
      </c>
      <c r="B158" s="898"/>
      <c r="C158" s="899"/>
      <c r="D158" s="117" t="s">
        <v>130</v>
      </c>
      <c r="E158" s="95">
        <f>'2'!F158</f>
        <v>160.54</v>
      </c>
      <c r="F158" s="389">
        <v>162</v>
      </c>
      <c r="G158" s="112">
        <f t="shared" si="12"/>
        <v>1.460000000000008</v>
      </c>
      <c r="H158" s="99">
        <f>G158+'2'!H158</f>
        <v>71.58</v>
      </c>
      <c r="I158" s="165"/>
      <c r="J158" s="328"/>
    </row>
    <row r="159" spans="1:10" ht="29.25" customHeight="1">
      <c r="A159" s="952"/>
      <c r="B159" s="953"/>
      <c r="C159" s="954"/>
      <c r="D159" s="117"/>
      <c r="E159" s="95"/>
      <c r="F159" s="165"/>
      <c r="G159" s="112"/>
      <c r="H159" s="99"/>
      <c r="I159" s="165"/>
      <c r="J159" s="328"/>
    </row>
    <row r="160" spans="1:10" ht="27.75">
      <c r="A160" s="938" t="s">
        <v>326</v>
      </c>
      <c r="B160" s="938"/>
      <c r="C160" s="938"/>
      <c r="D160" s="938"/>
      <c r="E160" s="938"/>
      <c r="F160" s="938"/>
      <c r="G160" s="938"/>
      <c r="H160" s="938"/>
      <c r="I160" s="938"/>
      <c r="J160" s="938"/>
    </row>
    <row r="161" spans="1:10" ht="26.25">
      <c r="A161" s="242" t="s">
        <v>92</v>
      </c>
      <c r="B161" s="243"/>
      <c r="C161" s="243"/>
      <c r="D161" s="244" t="s">
        <v>180</v>
      </c>
      <c r="E161" s="95">
        <f>'2'!F161</f>
        <v>475421</v>
      </c>
      <c r="F161" s="235">
        <v>475421</v>
      </c>
      <c r="G161" s="238">
        <f t="shared" ref="G161:G165" si="13">F161-E161</f>
        <v>0</v>
      </c>
      <c r="H161" s="99">
        <f>G161+'2'!H161</f>
        <v>0</v>
      </c>
      <c r="I161" s="236"/>
      <c r="J161" s="239">
        <f>H161/DAY(B2)</f>
        <v>0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'2'!F162</f>
        <v>92803</v>
      </c>
      <c r="F162" s="235">
        <v>92845</v>
      </c>
      <c r="G162" s="238">
        <f t="shared" si="13"/>
        <v>42</v>
      </c>
      <c r="H162" s="99">
        <f>G162+'2'!H162</f>
        <v>118</v>
      </c>
      <c r="I162" s="236"/>
      <c r="J162" s="239">
        <f>H162/DAY(B2)</f>
        <v>39.333333333333336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'2'!F163</f>
        <v>97479</v>
      </c>
      <c r="F163" s="235">
        <v>97620</v>
      </c>
      <c r="G163" s="238">
        <f t="shared" si="13"/>
        <v>141</v>
      </c>
      <c r="H163" s="99">
        <f>G163+'2'!H163</f>
        <v>485</v>
      </c>
      <c r="I163" s="236"/>
      <c r="J163" s="239">
        <f>H163/DAY(B2)</f>
        <v>161.66666666666666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'2'!F164</f>
        <v>5572</v>
      </c>
      <c r="F164" s="235">
        <v>5581</v>
      </c>
      <c r="G164" s="238">
        <f t="shared" si="13"/>
        <v>9</v>
      </c>
      <c r="H164" s="99">
        <f>G164+'2'!H164</f>
        <v>39</v>
      </c>
      <c r="I164" s="236"/>
      <c r="J164" s="239">
        <f>H164/DAY(B2)</f>
        <v>13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'2'!F165</f>
        <v>31040</v>
      </c>
      <c r="F165" s="235">
        <v>31052</v>
      </c>
      <c r="G165" s="238">
        <f t="shared" si="13"/>
        <v>12</v>
      </c>
      <c r="H165" s="99">
        <f>G165+'2'!H165</f>
        <v>38</v>
      </c>
      <c r="I165" s="236"/>
      <c r="J165" s="239">
        <f>H165/DAY(B2)</f>
        <v>12.666666666666666</v>
      </c>
    </row>
    <row r="166" spans="1:10" ht="26.25">
      <c r="A166" s="937"/>
      <c r="B166" s="937"/>
      <c r="C166" s="246"/>
      <c r="D166" s="244" t="s">
        <v>180</v>
      </c>
      <c r="E166" s="95">
        <f>'2'!F166</f>
        <v>0</v>
      </c>
      <c r="F166" s="158"/>
      <c r="G166" s="165"/>
      <c r="H166" s="99">
        <f>G166+'2'!H166</f>
        <v>0</v>
      </c>
      <c r="I166" s="165"/>
      <c r="J166" s="327"/>
    </row>
    <row r="167" spans="1:10" ht="26.25">
      <c r="A167" s="937"/>
      <c r="B167" s="937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7"/>
    </row>
    <row r="168" spans="1:10" ht="26.25">
      <c r="A168" s="937"/>
      <c r="B168" s="937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7"/>
    </row>
    <row r="169" spans="1:10" ht="26.25"/>
    <row r="170" spans="1:10" ht="26.25"/>
    <row r="171" spans="1:10" ht="27.75">
      <c r="A171" s="947" t="s">
        <v>330</v>
      </c>
      <c r="B171" s="948"/>
      <c r="C171" s="948"/>
      <c r="D171" s="948"/>
      <c r="E171" s="948"/>
      <c r="F171" s="948"/>
      <c r="G171" s="948"/>
      <c r="H171" s="948"/>
      <c r="I171" s="948"/>
      <c r="J171" s="949"/>
    </row>
    <row r="172" spans="1:10" ht="25.5">
      <c r="A172" s="943"/>
      <c r="B172" s="944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5" t="s">
        <v>209</v>
      </c>
      <c r="B173" s="896"/>
      <c r="C173" s="333"/>
      <c r="D173" s="228" t="s">
        <v>142</v>
      </c>
      <c r="E173" s="95">
        <f>'2'!F173</f>
        <v>8267</v>
      </c>
      <c r="F173" s="157">
        <v>8267</v>
      </c>
      <c r="G173" s="155">
        <f>F173-E173</f>
        <v>0</v>
      </c>
      <c r="H173" s="99">
        <f>G173+'2'!H173</f>
        <v>3</v>
      </c>
      <c r="I173" s="155"/>
      <c r="J173" s="178">
        <f>H173/DAY(B2)</f>
        <v>1</v>
      </c>
    </row>
    <row r="174" spans="1:10" ht="25.5">
      <c r="A174" s="895" t="s">
        <v>75</v>
      </c>
      <c r="B174" s="896"/>
      <c r="C174" s="333"/>
      <c r="D174" s="228" t="s">
        <v>142</v>
      </c>
      <c r="E174" s="95">
        <f>'2'!F174</f>
        <v>40360</v>
      </c>
      <c r="F174" s="157">
        <v>40374</v>
      </c>
      <c r="G174" s="155">
        <f t="shared" ref="G174:G175" si="14">F174-E174</f>
        <v>14</v>
      </c>
      <c r="H174" s="99">
        <f>G174+'2'!H174</f>
        <v>42</v>
      </c>
      <c r="I174" s="155"/>
      <c r="J174" s="178">
        <f>H174/DAY(B2)</f>
        <v>14</v>
      </c>
    </row>
    <row r="175" spans="1:10" ht="21.75" customHeight="1">
      <c r="A175" s="895" t="s">
        <v>76</v>
      </c>
      <c r="B175" s="900"/>
      <c r="C175" s="896"/>
      <c r="D175" s="228" t="s">
        <v>142</v>
      </c>
      <c r="E175" s="95">
        <f>'2'!F175</f>
        <v>23294</v>
      </c>
      <c r="F175" s="155">
        <v>23311</v>
      </c>
      <c r="G175" s="155">
        <f t="shared" si="14"/>
        <v>17</v>
      </c>
      <c r="H175" s="99">
        <f>G175+'2'!H175</f>
        <v>53</v>
      </c>
      <c r="I175" s="155"/>
      <c r="J175" s="178">
        <f>H175/DAY(B2)</f>
        <v>17.666666666666668</v>
      </c>
    </row>
    <row r="176" spans="1:10" ht="21.75" customHeight="1">
      <c r="A176" s="870" t="s">
        <v>196</v>
      </c>
      <c r="B176" s="871"/>
      <c r="C176" s="872"/>
      <c r="D176" s="228"/>
      <c r="E176" s="95"/>
      <c r="F176" s="155"/>
      <c r="G176" s="155">
        <f>SUM(G173:G175)</f>
        <v>31</v>
      </c>
      <c r="H176" s="99">
        <f>G176+'2'!H176</f>
        <v>98</v>
      </c>
      <c r="I176" s="155"/>
      <c r="J176" s="178">
        <f>H176/DAY(B2)</f>
        <v>32.666666666666664</v>
      </c>
    </row>
    <row r="177" spans="1:10" ht="21.75" customHeight="1">
      <c r="A177" s="895" t="s">
        <v>77</v>
      </c>
      <c r="B177" s="896"/>
      <c r="C177" s="33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>
      <c r="A178" s="895" t="s">
        <v>210</v>
      </c>
      <c r="B178" s="896"/>
      <c r="C178" s="333"/>
      <c r="D178" s="228" t="s">
        <v>142</v>
      </c>
      <c r="E178" s="95">
        <f>'2'!F178</f>
        <v>92017</v>
      </c>
      <c r="F178" s="157">
        <v>92145</v>
      </c>
      <c r="G178" s="155">
        <f>F178-E178</f>
        <v>128</v>
      </c>
      <c r="H178" s="99">
        <f>G178+'2'!H178</f>
        <v>323</v>
      </c>
      <c r="I178" s="155"/>
      <c r="J178" s="178">
        <f>H178/DAY(B2)</f>
        <v>107.66666666666667</v>
      </c>
    </row>
    <row r="179" spans="1:10" ht="24" customHeight="1">
      <c r="A179" s="895" t="s">
        <v>211</v>
      </c>
      <c r="B179" s="896"/>
      <c r="C179" s="333"/>
      <c r="D179" s="228" t="s">
        <v>142</v>
      </c>
      <c r="E179" s="95">
        <f>'2'!F179</f>
        <v>35799</v>
      </c>
      <c r="F179" s="155">
        <v>35799</v>
      </c>
      <c r="G179" s="155">
        <f t="shared" ref="G179:G180" si="15">F179-E179</f>
        <v>0</v>
      </c>
      <c r="H179" s="99">
        <f>G179+'2'!H179</f>
        <v>15</v>
      </c>
      <c r="I179" s="155"/>
      <c r="J179" s="178">
        <f>H179/DAY(B2)</f>
        <v>5</v>
      </c>
    </row>
    <row r="180" spans="1:10" ht="22.5" customHeight="1">
      <c r="A180" s="895" t="s">
        <v>212</v>
      </c>
      <c r="B180" s="896"/>
      <c r="C180" s="333"/>
      <c r="D180" s="228" t="s">
        <v>142</v>
      </c>
      <c r="E180" s="95">
        <f>'2'!F180</f>
        <v>6697</v>
      </c>
      <c r="F180" s="155">
        <v>6715</v>
      </c>
      <c r="G180" s="155">
        <f t="shared" si="15"/>
        <v>18</v>
      </c>
      <c r="H180" s="99">
        <f>G180+'2'!H180</f>
        <v>45</v>
      </c>
      <c r="I180" s="155"/>
      <c r="J180" s="178">
        <f>H180/DAY(B2)</f>
        <v>15</v>
      </c>
    </row>
    <row r="181" spans="1:10" ht="26.25">
      <c r="A181" s="870" t="s">
        <v>196</v>
      </c>
      <c r="B181" s="871"/>
      <c r="C181" s="872"/>
      <c r="D181" s="228"/>
      <c r="E181" s="95"/>
      <c r="F181" s="155"/>
      <c r="G181" s="155">
        <f>SUM(G178:G180)</f>
        <v>146</v>
      </c>
      <c r="H181" s="99">
        <f>G181+'2'!H181</f>
        <v>383</v>
      </c>
      <c r="I181" s="155"/>
      <c r="J181" s="178">
        <f>H181/DAY(B2)</f>
        <v>127.66666666666667</v>
      </c>
    </row>
    <row r="182" spans="1:10" ht="27" customHeight="1">
      <c r="A182" s="895" t="s">
        <v>213</v>
      </c>
      <c r="B182" s="896"/>
      <c r="C182" s="33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>
      <c r="A183" s="895" t="s">
        <v>214</v>
      </c>
      <c r="B183" s="896"/>
      <c r="C183" s="334"/>
      <c r="D183" s="228" t="s">
        <v>142</v>
      </c>
      <c r="E183" s="95">
        <f>'2'!F183</f>
        <v>16975</v>
      </c>
      <c r="F183" s="157">
        <v>16981</v>
      </c>
      <c r="G183" s="157">
        <f>F183-E183</f>
        <v>6</v>
      </c>
      <c r="H183" s="99">
        <f>G183+'2'!H183</f>
        <v>26</v>
      </c>
      <c r="I183" s="155"/>
      <c r="J183" s="178">
        <f>H183/DAY(B2)</f>
        <v>8.6666666666666661</v>
      </c>
    </row>
    <row r="184" spans="1:10" ht="25.5" customHeight="1">
      <c r="A184" s="895" t="s">
        <v>215</v>
      </c>
      <c r="B184" s="896"/>
      <c r="C184" s="334"/>
      <c r="D184" s="228" t="s">
        <v>142</v>
      </c>
      <c r="E184" s="95">
        <f>'2'!F184</f>
        <v>11512</v>
      </c>
      <c r="F184" s="157">
        <v>11517</v>
      </c>
      <c r="G184" s="157">
        <f t="shared" ref="G184:G185" si="16">F184-E184</f>
        <v>5</v>
      </c>
      <c r="H184" s="99">
        <f>G184+'2'!H184</f>
        <v>31</v>
      </c>
      <c r="I184" s="155"/>
      <c r="J184" s="178">
        <f>H184/DAY(B2)</f>
        <v>10.333333333333334</v>
      </c>
    </row>
    <row r="185" spans="1:10" ht="25.5">
      <c r="A185" s="895" t="s">
        <v>216</v>
      </c>
      <c r="B185" s="896"/>
      <c r="C185" s="33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6.25">
      <c r="A186" s="870" t="s">
        <v>196</v>
      </c>
      <c r="B186" s="871"/>
      <c r="C186" s="872"/>
      <c r="D186" s="229"/>
      <c r="E186" s="95"/>
      <c r="F186" s="157"/>
      <c r="G186" s="157">
        <f>SUM(G183:G185)</f>
        <v>11</v>
      </c>
      <c r="H186" s="99">
        <f>G186+'2'!H186</f>
        <v>57</v>
      </c>
      <c r="I186" s="157"/>
      <c r="J186" s="178">
        <f>H186/DAY(B2)</f>
        <v>19</v>
      </c>
    </row>
    <row r="187" spans="1:10" ht="25.5">
      <c r="A187" s="945" t="s">
        <v>217</v>
      </c>
      <c r="B187" s="946"/>
      <c r="C187" s="333"/>
      <c r="D187" s="230" t="s">
        <v>142</v>
      </c>
      <c r="E187" s="95"/>
      <c r="F187" s="159"/>
      <c r="G187" s="378">
        <f>G62+G19</f>
        <v>224</v>
      </c>
      <c r="H187" s="99">
        <f>G187+'2'!H187</f>
        <v>691</v>
      </c>
      <c r="I187" s="158"/>
      <c r="J187" s="179">
        <f>H187/DAY(B2)</f>
        <v>230.33333333333334</v>
      </c>
    </row>
    <row r="188" spans="1:10" ht="25.5">
      <c r="A188" s="945" t="s">
        <v>218</v>
      </c>
      <c r="B188" s="946"/>
      <c r="C188" s="333"/>
      <c r="D188" s="230" t="s">
        <v>142</v>
      </c>
      <c r="E188" s="95"/>
      <c r="F188" s="159"/>
      <c r="G188" s="378">
        <f>G65+G66+G67+G69+G70</f>
        <v>234</v>
      </c>
      <c r="H188" s="99">
        <f>G188+'2'!H188</f>
        <v>680</v>
      </c>
      <c r="I188" s="158"/>
      <c r="J188" s="179">
        <f>H188/DAY(B2)</f>
        <v>226.66666666666666</v>
      </c>
    </row>
    <row r="189" spans="1:10" ht="25.5">
      <c r="A189" s="945" t="s">
        <v>219</v>
      </c>
      <c r="B189" s="946"/>
      <c r="C189" s="333"/>
      <c r="D189" s="230" t="s">
        <v>142</v>
      </c>
      <c r="E189" s="95"/>
      <c r="F189" s="157"/>
      <c r="G189" s="377">
        <f>G181</f>
        <v>146</v>
      </c>
      <c r="H189" s="99">
        <f>G189+'2'!H189</f>
        <v>383</v>
      </c>
      <c r="I189" s="158"/>
      <c r="J189" s="179">
        <f>H189/DAY(B2)</f>
        <v>127.66666666666667</v>
      </c>
    </row>
    <row r="190" spans="1:10" ht="25.5">
      <c r="A190" s="945"/>
      <c r="B190" s="946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6.25"/>
    <row r="192" spans="1:10" ht="26.25"/>
    <row r="193" ht="26.25"/>
    <row r="194" ht="26.25"/>
    <row r="195" ht="26.25"/>
    <row r="196" ht="29.25" customHeight="1"/>
    <row r="197" ht="29.25" customHeight="1"/>
    <row r="198" ht="29.25" customHeight="1"/>
    <row r="199" ht="29.25" customHeight="1"/>
    <row r="200" ht="29.25" customHeight="1"/>
    <row r="201" ht="29.25" customHeight="1"/>
    <row r="202" ht="29.25" customHeight="1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topLeftCell="A97" zoomScale="55" zoomScaleNormal="48" zoomScaleSheetLayoutView="55" workbookViewId="0">
      <selection activeCell="F179" sqref="F17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6" t="s">
        <v>115</v>
      </c>
      <c r="B1" s="877"/>
      <c r="C1" s="877"/>
      <c r="D1" s="877"/>
      <c r="E1" s="877"/>
      <c r="F1" s="877"/>
      <c r="G1" s="877"/>
      <c r="H1" s="877"/>
      <c r="I1" s="877"/>
      <c r="J1" s="878"/>
    </row>
    <row r="2" spans="1:15" s="57" customFormat="1" ht="23.25">
      <c r="A2" s="191" t="s">
        <v>355</v>
      </c>
      <c r="B2" s="262">
        <v>44716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885" t="s">
        <v>119</v>
      </c>
      <c r="F3" s="886"/>
      <c r="G3" s="101"/>
      <c r="H3" s="102"/>
      <c r="I3" s="102"/>
      <c r="J3" s="222"/>
      <c r="K3" s="61"/>
      <c r="L3" s="58"/>
      <c r="N3" s="57" t="s">
        <v>352</v>
      </c>
      <c r="O3" s="57">
        <v>19294.8</v>
      </c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351</v>
      </c>
      <c r="O5" s="65">
        <v>28135.7</v>
      </c>
    </row>
    <row r="6" spans="1:15" ht="26.25">
      <c r="A6" s="879" t="s">
        <v>128</v>
      </c>
      <c r="B6" s="880"/>
      <c r="C6" s="881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27" thickBot="1">
      <c r="A7" s="194" t="s">
        <v>129</v>
      </c>
      <c r="B7" s="195"/>
      <c r="C7" s="195"/>
      <c r="D7" s="151" t="s">
        <v>130</v>
      </c>
      <c r="E7" s="95">
        <f>'3'!F7</f>
        <v>768907</v>
      </c>
      <c r="F7" s="95">
        <v>796105</v>
      </c>
      <c r="G7" s="112">
        <f>F7-E7</f>
        <v>27198</v>
      </c>
      <c r="H7" s="99">
        <f>G7+'3'!H7</f>
        <v>109360</v>
      </c>
      <c r="I7" s="113">
        <f>'1'!I7</f>
        <v>12000</v>
      </c>
      <c r="J7" s="175">
        <f>H7/DAY(B2)</f>
        <v>27340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'3'!F8</f>
        <v>887428</v>
      </c>
      <c r="F8" s="114">
        <v>915840</v>
      </c>
      <c r="G8" s="115">
        <f>F8-E8</f>
        <v>28412</v>
      </c>
      <c r="H8" s="99">
        <f>G8+'3'!H8</f>
        <v>113860</v>
      </c>
      <c r="I8" s="116"/>
      <c r="J8" s="175">
        <f>H8/DAY(B2)</f>
        <v>28465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'3'!F9</f>
        <v>2481831</v>
      </c>
      <c r="F9" s="117">
        <v>2495421</v>
      </c>
      <c r="G9" s="112">
        <f>F9-E9</f>
        <v>13590</v>
      </c>
      <c r="H9" s="99">
        <f>G9+'3'!H9</f>
        <v>57731</v>
      </c>
      <c r="I9" s="124">
        <f>I7-J7</f>
        <v>-15340</v>
      </c>
      <c r="J9" s="175">
        <f>H9/DAY(B2)</f>
        <v>14432.75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'3'!F10</f>
        <v>937261</v>
      </c>
      <c r="F10" s="117">
        <v>950155</v>
      </c>
      <c r="G10" s="112">
        <f t="shared" ref="G10:G12" si="0">F10-E10</f>
        <v>12894</v>
      </c>
      <c r="H10" s="99">
        <f>G10+'3'!H10</f>
        <v>48751</v>
      </c>
      <c r="I10" s="282"/>
      <c r="J10" s="175">
        <f>H10/DAY(B2)</f>
        <v>12187.75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'3'!F11</f>
        <v>37560</v>
      </c>
      <c r="F11" s="95">
        <v>37560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'3'!F12</f>
        <v>40380</v>
      </c>
      <c r="F12" s="117">
        <v>40380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26484</v>
      </c>
      <c r="H13" s="99">
        <f>G13+'3'!H13</f>
        <v>106343</v>
      </c>
      <c r="I13" s="120">
        <f>G7-G13</f>
        <v>714</v>
      </c>
      <c r="J13" s="175">
        <f>H13/DAY(B2)</f>
        <v>26585.75</v>
      </c>
      <c r="K13" s="79"/>
      <c r="L13" s="66"/>
      <c r="N13" s="87"/>
      <c r="O13" s="71"/>
    </row>
    <row r="14" spans="1:15" ht="26.25">
      <c r="A14" s="882" t="s">
        <v>137</v>
      </c>
      <c r="B14" s="883"/>
      <c r="C14" s="88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'3'!F15</f>
        <v>2040362</v>
      </c>
      <c r="F15" s="469">
        <v>2041483</v>
      </c>
      <c r="G15" s="112">
        <f>(F15-E15)</f>
        <v>1121</v>
      </c>
      <c r="H15" s="99">
        <f>G15+'3'!H15</f>
        <v>4366</v>
      </c>
      <c r="I15" s="113">
        <f>'1'!I15</f>
        <v>800</v>
      </c>
      <c r="J15" s="175">
        <f>H15/DAY(B2)</f>
        <v>1091.5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-291.5</v>
      </c>
      <c r="J16" s="176"/>
      <c r="K16" s="79"/>
      <c r="L16" s="66"/>
      <c r="N16" s="87"/>
      <c r="O16" s="71"/>
    </row>
    <row r="17" spans="1:15" ht="26.25">
      <c r="A17" s="882" t="s">
        <v>140</v>
      </c>
      <c r="B17" s="883"/>
      <c r="C17" s="88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3" t="s">
        <v>141</v>
      </c>
      <c r="B18" s="874"/>
      <c r="C18" s="875"/>
      <c r="D18" s="151" t="s">
        <v>142</v>
      </c>
      <c r="E18" s="95">
        <f>'3'!F18</f>
        <v>25</v>
      </c>
      <c r="F18" s="122">
        <v>26</v>
      </c>
      <c r="G18" s="119">
        <f>F18*10</f>
        <v>260</v>
      </c>
      <c r="H18" s="99">
        <f>G18+'3'!H18</f>
        <v>1030</v>
      </c>
      <c r="I18" s="113">
        <f>'1'!I18</f>
        <v>65</v>
      </c>
      <c r="J18" s="175">
        <f>H18/DAY(B2)</f>
        <v>257.5</v>
      </c>
      <c r="K18" s="79"/>
      <c r="L18" s="66"/>
      <c r="N18" s="87"/>
      <c r="O18" s="71"/>
    </row>
    <row r="19" spans="1:15" ht="25.5">
      <c r="A19" s="873" t="s">
        <v>69</v>
      </c>
      <c r="B19" s="874"/>
      <c r="C19" s="875"/>
      <c r="D19" s="151" t="s">
        <v>142</v>
      </c>
      <c r="E19" s="95">
        <f>'3'!F19</f>
        <v>160273</v>
      </c>
      <c r="F19" s="122">
        <v>160327</v>
      </c>
      <c r="G19" s="112">
        <f t="shared" ref="G19" si="1">F19-E19</f>
        <v>54</v>
      </c>
      <c r="H19" s="99">
        <f>G19+'3'!H19</f>
        <v>220</v>
      </c>
      <c r="I19" s="335"/>
      <c r="J19" s="175">
        <f>H19/DAY(B2)</f>
        <v>55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314</v>
      </c>
      <c r="H20" s="99">
        <f>G20+'3'!H20</f>
        <v>1250</v>
      </c>
      <c r="I20" s="336">
        <f>I18-J20</f>
        <v>-247.5</v>
      </c>
      <c r="J20" s="175">
        <f>H20/DAY(B2)</f>
        <v>312.5</v>
      </c>
      <c r="K20" s="79"/>
      <c r="L20" s="66"/>
      <c r="N20" s="87"/>
      <c r="O20" s="71"/>
    </row>
    <row r="21" spans="1:15" ht="26.25">
      <c r="A21" s="882" t="s">
        <v>144</v>
      </c>
      <c r="B21" s="883"/>
      <c r="C21" s="88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'3'!F23</f>
        <v>1500</v>
      </c>
      <c r="F23" s="122">
        <v>1500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7" t="s">
        <v>149</v>
      </c>
      <c r="B25" s="888"/>
      <c r="C25" s="88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28412</v>
      </c>
      <c r="F27" s="136">
        <v>9</v>
      </c>
      <c r="G27" s="137">
        <f>E27*F27</f>
        <v>255708</v>
      </c>
      <c r="H27" s="99">
        <f>G27+'3'!H27</f>
        <v>1024740</v>
      </c>
      <c r="I27" s="138"/>
      <c r="J27" s="175">
        <f>H27/DAY(B2)</f>
        <v>256185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1121</v>
      </c>
      <c r="F28" s="136">
        <v>70</v>
      </c>
      <c r="G28" s="137">
        <f>E28*F28</f>
        <v>78470</v>
      </c>
      <c r="H28" s="99">
        <f>G28+'3'!H28</f>
        <v>305620</v>
      </c>
      <c r="I28" s="140"/>
      <c r="J28" s="175">
        <f>H28/DAY(B2)</f>
        <v>76405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137">
        <f>E30*F30</f>
        <v>8154</v>
      </c>
      <c r="H30" s="99">
        <f>G30+'3'!H30</f>
        <v>33220</v>
      </c>
      <c r="I30" s="140"/>
      <c r="J30" s="175">
        <f>H30/DAY(B2)</f>
        <v>8305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G31+'3'!H31</f>
        <v>82400</v>
      </c>
      <c r="I31" s="140"/>
      <c r="J31" s="175">
        <f>H31/DAY(B2)</f>
        <v>20600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363132</v>
      </c>
      <c r="H32" s="99">
        <f>G32+'3'!H32</f>
        <v>1445980</v>
      </c>
      <c r="I32" s="144"/>
      <c r="J32" s="175">
        <f>H32/DAY(B2)</f>
        <v>361495</v>
      </c>
      <c r="K32" s="63"/>
      <c r="L32" s="89"/>
      <c r="N32" s="87"/>
      <c r="O32" s="71"/>
    </row>
    <row r="33" spans="1:15" ht="25.5" customHeight="1">
      <c r="A33" s="890" t="s">
        <v>331</v>
      </c>
      <c r="B33" s="891"/>
      <c r="C33" s="89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'3'!F35</f>
        <v>238714</v>
      </c>
      <c r="F35" s="145">
        <v>238714</v>
      </c>
      <c r="G35" s="112">
        <f t="shared" ref="G35:G46" si="3">F35-E35</f>
        <v>0</v>
      </c>
      <c r="H35" s="99">
        <f>G35+'3'!H35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'3'!F36</f>
        <v>162964</v>
      </c>
      <c r="F36" s="145">
        <v>163732</v>
      </c>
      <c r="G36" s="112">
        <f t="shared" si="3"/>
        <v>768</v>
      </c>
      <c r="H36" s="99">
        <f>G36+'3'!H36</f>
        <v>3284</v>
      </c>
      <c r="I36" s="95"/>
      <c r="J36" s="175">
        <f>H36/DAY(B2)</f>
        <v>821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'3'!F37</f>
        <v>241132</v>
      </c>
      <c r="F37" s="145">
        <v>242887</v>
      </c>
      <c r="G37" s="112">
        <f t="shared" si="3"/>
        <v>1755</v>
      </c>
      <c r="H37" s="99">
        <f>G37+'3'!H37</f>
        <v>7108</v>
      </c>
      <c r="I37" s="95"/>
      <c r="J37" s="175">
        <f>H37/DAY(B2)</f>
        <v>1777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'3'!F38</f>
        <v>323760</v>
      </c>
      <c r="F38" s="108">
        <v>326244</v>
      </c>
      <c r="G38" s="112">
        <f t="shared" si="3"/>
        <v>2484</v>
      </c>
      <c r="H38" s="99">
        <f>G38+'3'!H38</f>
        <v>9952</v>
      </c>
      <c r="I38" s="95"/>
      <c r="J38" s="175">
        <f>H38/DAY(B2)</f>
        <v>2488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'3'!F39</f>
        <v>441248</v>
      </c>
      <c r="F39" s="145">
        <v>444239</v>
      </c>
      <c r="G39" s="112">
        <f t="shared" si="3"/>
        <v>2991</v>
      </c>
      <c r="H39" s="99">
        <f>G39+'3'!H39</f>
        <v>11954</v>
      </c>
      <c r="I39" s="95"/>
      <c r="J39" s="175">
        <f>H39/DAY(B2)</f>
        <v>2988.5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'3'!F40</f>
        <v>74079</v>
      </c>
      <c r="F40" s="145">
        <v>74327</v>
      </c>
      <c r="G40" s="112">
        <f t="shared" si="3"/>
        <v>248</v>
      </c>
      <c r="H40" s="99">
        <f>G40+'3'!H40</f>
        <v>774</v>
      </c>
      <c r="I40" s="95"/>
      <c r="J40" s="175">
        <f>H40/DAY(B2)</f>
        <v>193.5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'3'!F41</f>
        <v>68835</v>
      </c>
      <c r="F41" s="145">
        <v>68835</v>
      </c>
      <c r="G41" s="112">
        <f t="shared" si="3"/>
        <v>0</v>
      </c>
      <c r="H41" s="99">
        <f>G41+'3'!H41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'3'!F42</f>
        <v>576198</v>
      </c>
      <c r="F42" s="145">
        <v>580310</v>
      </c>
      <c r="G42" s="112">
        <f t="shared" si="3"/>
        <v>4112</v>
      </c>
      <c r="H42" s="99">
        <f>G42+'3'!H42</f>
        <v>20438</v>
      </c>
      <c r="I42" s="95"/>
      <c r="J42" s="175">
        <f>H42/DAY(B2)</f>
        <v>5109.5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'3'!F43</f>
        <v>407028</v>
      </c>
      <c r="F43" s="145">
        <v>407028</v>
      </c>
      <c r="G43" s="112">
        <f t="shared" si="3"/>
        <v>0</v>
      </c>
      <c r="H43" s="99">
        <f>G43+'3'!H43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12358</v>
      </c>
      <c r="H47" s="99">
        <f>G47+'3'!H47</f>
        <v>53510</v>
      </c>
      <c r="I47" s="95"/>
      <c r="J47" s="175">
        <f>H47/DAY(B2)</f>
        <v>13377.5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'3'!F49</f>
        <v>269396</v>
      </c>
      <c r="F49" s="423">
        <v>272932</v>
      </c>
      <c r="G49" s="112">
        <f t="shared" ref="G49:G58" si="4">F49-E49</f>
        <v>3536</v>
      </c>
      <c r="H49" s="99">
        <f>G49+'3'!H49</f>
        <v>15785</v>
      </c>
      <c r="I49" s="95"/>
      <c r="J49" s="175">
        <f>H49/DAY(B2)</f>
        <v>3946.25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'3'!F50</f>
        <v>212360</v>
      </c>
      <c r="F50" s="145">
        <v>213301</v>
      </c>
      <c r="G50" s="112">
        <f t="shared" si="4"/>
        <v>941</v>
      </c>
      <c r="H50" s="99">
        <f>G50+'3'!H50</f>
        <v>3737</v>
      </c>
      <c r="I50" s="95"/>
      <c r="J50" s="175">
        <f>H50/DAY(B2)</f>
        <v>934.25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'3'!F51</f>
        <v>76</v>
      </c>
      <c r="F51" s="145">
        <v>76</v>
      </c>
      <c r="G51" s="112">
        <f t="shared" si="4"/>
        <v>0</v>
      </c>
      <c r="H51" s="99">
        <f>G51+'3'!H51</f>
        <v>0.31999999999999318</v>
      </c>
      <c r="I51" s="95"/>
      <c r="J51" s="175">
        <f>H51/DAY(B2)</f>
        <v>7.9999999999998295E-2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'3'!F52</f>
        <v>9.76</v>
      </c>
      <c r="F52" s="145">
        <v>9.75</v>
      </c>
      <c r="G52" s="112">
        <f t="shared" si="4"/>
        <v>-9.9999999999997868E-3</v>
      </c>
      <c r="H52" s="99">
        <f>G52+'3'!H52</f>
        <v>-0.25</v>
      </c>
      <c r="I52" s="95"/>
      <c r="J52" s="175">
        <f>H52/DAY(B2)</f>
        <v>-6.25E-2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'3'!F54</f>
        <v>65941</v>
      </c>
      <c r="F54" s="145">
        <v>66400</v>
      </c>
      <c r="G54" s="112">
        <f t="shared" si="4"/>
        <v>459</v>
      </c>
      <c r="H54" s="99">
        <f>G54+'3'!H54</f>
        <v>1844</v>
      </c>
      <c r="I54" s="95"/>
      <c r="J54" s="175">
        <f>H54/DAY(B2)</f>
        <v>461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'3'!F55</f>
        <v>233876</v>
      </c>
      <c r="F55" s="145">
        <v>237443</v>
      </c>
      <c r="G55" s="112">
        <f t="shared" si="4"/>
        <v>3567</v>
      </c>
      <c r="H55" s="99">
        <f>G55+'3'!H55</f>
        <v>11970</v>
      </c>
      <c r="I55" s="95"/>
      <c r="J55" s="175">
        <f>H55/DAY(B2)</f>
        <v>2992.5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'3'!F56</f>
        <v>107245.66</v>
      </c>
      <c r="F56" s="145">
        <v>107245.66</v>
      </c>
      <c r="G56" s="112">
        <f t="shared" si="4"/>
        <v>0</v>
      </c>
      <c r="H56" s="99">
        <f>G56+'3'!H56</f>
        <v>-0.33999999999650754</v>
      </c>
      <c r="I56" s="95"/>
      <c r="J56" s="175">
        <f>H56/DAY(B2)</f>
        <v>-8.4999999999126885E-2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'3'!F57</f>
        <v>46385</v>
      </c>
      <c r="F57" s="145">
        <v>49522</v>
      </c>
      <c r="G57" s="112">
        <f t="shared" si="4"/>
        <v>3137</v>
      </c>
      <c r="H57" s="99">
        <f>G57+'3'!H57</f>
        <v>11919</v>
      </c>
      <c r="I57" s="95"/>
      <c r="J57" s="175">
        <f>H57/DAY(B2)</f>
        <v>2979.75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'3'!F58</f>
        <v>33411</v>
      </c>
      <c r="F58" s="145">
        <v>33654</v>
      </c>
      <c r="G58" s="112">
        <f t="shared" si="4"/>
        <v>243</v>
      </c>
      <c r="H58" s="99">
        <f>G58+'3'!H58</f>
        <v>995</v>
      </c>
      <c r="I58" s="95"/>
      <c r="J58" s="175">
        <f>H58/DAY(B2)</f>
        <v>248.75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11882.99</v>
      </c>
      <c r="H59" s="99">
        <f>G59+'3'!H59</f>
        <v>46249.73</v>
      </c>
      <c r="I59" s="95">
        <f>G7-G60</f>
        <v>2957.010000000002</v>
      </c>
      <c r="J59" s="175">
        <f>H59/DAY(B2)</f>
        <v>11562.432500000001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24240.989999999998</v>
      </c>
      <c r="H60" s="99">
        <f>G60+'3'!H60</f>
        <v>99759.73000000001</v>
      </c>
      <c r="I60" s="95">
        <f>G13-G60</f>
        <v>2243.010000000002</v>
      </c>
      <c r="J60" s="175">
        <f>H60/DAY(B2)</f>
        <v>24939.932500000003</v>
      </c>
      <c r="K60" s="79"/>
      <c r="L60" s="66"/>
      <c r="N60" s="87"/>
      <c r="O60" s="71"/>
    </row>
    <row r="61" spans="1:15" s="68" customFormat="1" ht="26.25">
      <c r="A61" s="892" t="s">
        <v>332</v>
      </c>
      <c r="B61" s="893"/>
      <c r="C61" s="89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3" t="s">
        <v>198</v>
      </c>
      <c r="B62" s="874"/>
      <c r="C62" s="875"/>
      <c r="D62" s="151" t="s">
        <v>142</v>
      </c>
      <c r="E62" s="95">
        <f>'3'!F62</f>
        <v>289425</v>
      </c>
      <c r="F62" s="122">
        <v>289625</v>
      </c>
      <c r="G62" s="112">
        <f t="shared" ref="G62:G63" si="5">F62-E62</f>
        <v>200</v>
      </c>
      <c r="H62" s="99">
        <f>G62+'3'!H62</f>
        <v>725</v>
      </c>
      <c r="I62" s="118"/>
      <c r="J62" s="175">
        <f>H62/DAY(B2)</f>
        <v>181.25</v>
      </c>
      <c r="K62" s="80"/>
      <c r="L62" s="66"/>
      <c r="N62" s="87"/>
      <c r="O62" s="71"/>
    </row>
    <row r="63" spans="1:15" ht="25.5">
      <c r="A63" s="873" t="s">
        <v>199</v>
      </c>
      <c r="B63" s="874"/>
      <c r="C63" s="875"/>
      <c r="D63" s="151" t="s">
        <v>142</v>
      </c>
      <c r="E63" s="95">
        <f>'3'!F63</f>
        <v>231549</v>
      </c>
      <c r="F63" s="122">
        <v>231703</v>
      </c>
      <c r="G63" s="112">
        <f t="shared" si="5"/>
        <v>154</v>
      </c>
      <c r="H63" s="99">
        <f>G63+'3'!H63</f>
        <v>541</v>
      </c>
      <c r="I63" s="118"/>
      <c r="J63" s="175">
        <f>H63/DAY(B2)</f>
        <v>135.25</v>
      </c>
      <c r="K63" s="69"/>
      <c r="L63" s="66"/>
      <c r="N63" s="87"/>
      <c r="O63" s="71"/>
    </row>
    <row r="64" spans="1:15" ht="26.25">
      <c r="A64" s="870" t="s">
        <v>200</v>
      </c>
      <c r="B64" s="871"/>
      <c r="C64" s="872"/>
      <c r="D64" s="151"/>
      <c r="E64" s="122"/>
      <c r="F64" s="122"/>
      <c r="G64" s="112">
        <f>G62+G63</f>
        <v>354</v>
      </c>
      <c r="H64" s="99">
        <f>G64+'3'!H64</f>
        <v>1266</v>
      </c>
      <c r="I64" s="118"/>
      <c r="J64" s="175">
        <f>H64/DAY(B2)</f>
        <v>316.5</v>
      </c>
      <c r="K64" s="69"/>
      <c r="L64" s="66"/>
      <c r="N64" s="87"/>
      <c r="O64" s="71"/>
    </row>
    <row r="65" spans="1:15" ht="25.5">
      <c r="A65" s="873" t="s">
        <v>201</v>
      </c>
      <c r="B65" s="874"/>
      <c r="C65" s="875"/>
      <c r="D65" s="151" t="s">
        <v>142</v>
      </c>
      <c r="E65" s="95">
        <f>'3'!F65</f>
        <v>448363</v>
      </c>
      <c r="F65" s="122">
        <v>448495</v>
      </c>
      <c r="G65" s="112">
        <f t="shared" ref="G65:G70" si="6">F65-E65</f>
        <v>132</v>
      </c>
      <c r="H65" s="99">
        <f>G65+'3'!H65</f>
        <v>468</v>
      </c>
      <c r="I65" s="118"/>
      <c r="J65" s="175">
        <f>H65/DAY(B2)</f>
        <v>117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'3'!F66</f>
        <v>110404</v>
      </c>
      <c r="F66" s="122">
        <v>110435</v>
      </c>
      <c r="G66" s="112">
        <f t="shared" si="6"/>
        <v>31</v>
      </c>
      <c r="H66" s="99">
        <f>G66+'3'!H66</f>
        <v>104</v>
      </c>
      <c r="I66" s="118"/>
      <c r="J66" s="175">
        <f>H66/DAY(B2)</f>
        <v>26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'3'!F67</f>
        <v>113488</v>
      </c>
      <c r="F67" s="404">
        <v>113563</v>
      </c>
      <c r="G67" s="112">
        <f t="shared" si="6"/>
        <v>75</v>
      </c>
      <c r="H67" s="99">
        <f>G67+'3'!H67</f>
        <v>285</v>
      </c>
      <c r="I67" s="118"/>
      <c r="J67" s="175">
        <f>H67/DAY(B2)</f>
        <v>71.25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'3'!F68</f>
        <v>162541</v>
      </c>
      <c r="F68" s="122">
        <v>162570</v>
      </c>
      <c r="G68" s="112">
        <f t="shared" si="6"/>
        <v>29</v>
      </c>
      <c r="H68" s="99">
        <f>G68+'3'!H68</f>
        <v>76</v>
      </c>
      <c r="I68" s="118"/>
      <c r="J68" s="175">
        <f>H68/DAY(B2)</f>
        <v>19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'3'!F69</f>
        <v>11890</v>
      </c>
      <c r="F69" s="164">
        <v>11918</v>
      </c>
      <c r="G69" s="112">
        <f t="shared" si="6"/>
        <v>28</v>
      </c>
      <c r="H69" s="99">
        <f>G69+'3'!H69</f>
        <v>49</v>
      </c>
      <c r="I69" s="118"/>
      <c r="J69" s="175">
        <f>H69/DAY(B2)</f>
        <v>12.25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'3'!F70</f>
        <v>9307</v>
      </c>
      <c r="F70" s="404">
        <v>9314</v>
      </c>
      <c r="G70" s="112">
        <f t="shared" si="6"/>
        <v>7</v>
      </c>
      <c r="H70" s="99">
        <f>G70+'3'!H70</f>
        <v>47</v>
      </c>
      <c r="I70" s="118"/>
      <c r="J70" s="175">
        <f>H70/DAY(B2)</f>
        <v>11.75</v>
      </c>
      <c r="K70" s="69"/>
      <c r="L70" s="66"/>
      <c r="N70" s="87"/>
      <c r="O70" s="71"/>
    </row>
    <row r="71" spans="1:15" ht="26.25">
      <c r="A71" s="870" t="s">
        <v>208</v>
      </c>
      <c r="B71" s="871"/>
      <c r="C71" s="872"/>
      <c r="D71" s="152"/>
      <c r="E71" s="152"/>
      <c r="F71" s="152"/>
      <c r="G71" s="153">
        <f>SUM(G65:G70)</f>
        <v>302</v>
      </c>
      <c r="H71" s="99">
        <f>G71+'3'!H71</f>
        <v>1029</v>
      </c>
      <c r="I71" s="154"/>
      <c r="J71" s="175">
        <f>H71/DAY(B2)</f>
        <v>257.25</v>
      </c>
      <c r="K71" s="69"/>
      <c r="L71" s="66"/>
      <c r="N71" s="87"/>
      <c r="O71" s="71"/>
    </row>
    <row r="72" spans="1:15" s="88" customFormat="1" ht="25.5">
      <c r="A72" s="916"/>
      <c r="B72" s="90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3" t="s">
        <v>220</v>
      </c>
      <c r="B74" s="874"/>
      <c r="C74" s="875"/>
      <c r="D74" s="151" t="s">
        <v>139</v>
      </c>
      <c r="E74" s="95">
        <f>'3'!F74</f>
        <v>939650</v>
      </c>
      <c r="F74" s="117">
        <v>939949</v>
      </c>
      <c r="G74" s="112">
        <f t="shared" ref="G74:G78" si="7">F74-E74</f>
        <v>299</v>
      </c>
      <c r="H74" s="99">
        <f>G74+'3'!H74</f>
        <v>1279</v>
      </c>
      <c r="I74" s="154"/>
      <c r="J74" s="175">
        <f>H74/DAY(B2)</f>
        <v>319.75</v>
      </c>
      <c r="K74" s="69"/>
      <c r="L74" s="66"/>
      <c r="N74" s="87"/>
      <c r="O74" s="71"/>
    </row>
    <row r="75" spans="1:15" ht="25.5">
      <c r="A75" s="873" t="s">
        <v>221</v>
      </c>
      <c r="B75" s="874"/>
      <c r="C75" s="875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7" t="s">
        <v>222</v>
      </c>
      <c r="B76" s="903"/>
      <c r="C76" s="904"/>
      <c r="D76" s="151" t="s">
        <v>139</v>
      </c>
      <c r="E76" s="95">
        <f>'3'!F76</f>
        <v>184044</v>
      </c>
      <c r="F76" s="123">
        <v>184160</v>
      </c>
      <c r="G76" s="112">
        <f t="shared" si="7"/>
        <v>116</v>
      </c>
      <c r="H76" s="99">
        <f>G76+'3'!H76</f>
        <v>454</v>
      </c>
      <c r="I76" s="154"/>
      <c r="J76" s="175">
        <f>H76/DAY(B2)</f>
        <v>113.5</v>
      </c>
      <c r="K76" s="69"/>
      <c r="L76" s="66"/>
      <c r="N76" s="87"/>
      <c r="O76" s="71"/>
    </row>
    <row r="77" spans="1:15" ht="25.5">
      <c r="A77" s="917" t="s">
        <v>223</v>
      </c>
      <c r="B77" s="903"/>
      <c r="C77" s="904"/>
      <c r="D77" s="151" t="s">
        <v>139</v>
      </c>
      <c r="E77" s="95">
        <f>'3'!F77</f>
        <v>47475</v>
      </c>
      <c r="F77" s="123">
        <v>47541</v>
      </c>
      <c r="G77" s="112">
        <f t="shared" si="7"/>
        <v>66</v>
      </c>
      <c r="H77" s="99">
        <f>G77+'3'!H77</f>
        <v>196</v>
      </c>
      <c r="I77" s="154"/>
      <c r="J77" s="175">
        <f>H77/DAY(B2)</f>
        <v>49</v>
      </c>
      <c r="K77" s="69"/>
      <c r="L77" s="66"/>
      <c r="N77" s="87"/>
      <c r="O77" s="71"/>
    </row>
    <row r="78" spans="1:15" ht="25.5">
      <c r="A78" s="917" t="s">
        <v>224</v>
      </c>
      <c r="B78" s="903"/>
      <c r="C78" s="904"/>
      <c r="D78" s="151" t="s">
        <v>139</v>
      </c>
      <c r="E78" s="95">
        <f>'3'!F78</f>
        <v>9563</v>
      </c>
      <c r="F78" s="123">
        <v>9563</v>
      </c>
      <c r="G78" s="112">
        <f t="shared" si="7"/>
        <v>0</v>
      </c>
      <c r="H78" s="99">
        <f>G78+'3'!H78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7" t="s">
        <v>225</v>
      </c>
      <c r="B79" s="903"/>
      <c r="C79" s="904"/>
      <c r="D79" s="151"/>
      <c r="E79" s="95">
        <f>'3'!F79</f>
        <v>0</v>
      </c>
      <c r="F79" s="117"/>
      <c r="G79" s="112">
        <f>G15-SUM(G74:G78)</f>
        <v>640</v>
      </c>
      <c r="H79" s="99">
        <f>G79+'3'!H79</f>
        <v>2437</v>
      </c>
      <c r="I79" s="118"/>
      <c r="J79" s="175"/>
      <c r="K79" s="59"/>
      <c r="L79" s="58"/>
      <c r="N79" s="87"/>
      <c r="O79" s="71"/>
    </row>
    <row r="80" spans="1:15" s="57" customFormat="1" ht="26.25">
      <c r="A80" s="870" t="s">
        <v>329</v>
      </c>
      <c r="B80" s="871"/>
      <c r="C80" s="872"/>
      <c r="D80" s="151"/>
      <c r="E80" s="117"/>
      <c r="F80" s="117"/>
      <c r="G80" s="112">
        <f>SUM(G74:G79)</f>
        <v>1121</v>
      </c>
      <c r="H80" s="99">
        <f>G80+'3'!H80</f>
        <v>3268</v>
      </c>
      <c r="I80" s="118"/>
      <c r="J80" s="175"/>
      <c r="K80" s="59"/>
      <c r="L80" s="58"/>
      <c r="N80" s="87"/>
      <c r="O80" s="71"/>
    </row>
    <row r="81" spans="1:15" ht="25.5">
      <c r="A81" s="909" t="s">
        <v>226</v>
      </c>
      <c r="B81" s="910"/>
      <c r="C81" s="91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'3'!F84</f>
        <v>41969</v>
      </c>
      <c r="F84" s="164">
        <v>41969</v>
      </c>
      <c r="G84" s="236">
        <f t="shared" si="8"/>
        <v>0</v>
      </c>
      <c r="H84" s="99">
        <f>G84+'3'!H84</f>
        <v>0</v>
      </c>
      <c r="I84" s="57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'3'!F85</f>
        <v>4409</v>
      </c>
      <c r="F85" s="164">
        <v>4427</v>
      </c>
      <c r="G85" s="236">
        <f t="shared" si="8"/>
        <v>18</v>
      </c>
      <c r="H85" s="99">
        <f>G85+'3'!H85</f>
        <v>84</v>
      </c>
      <c r="I85" s="573"/>
      <c r="J85" s="175">
        <f>H85/DAY(B2)</f>
        <v>21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'3'!F86</f>
        <v>44527.4</v>
      </c>
      <c r="F86" s="164">
        <v>44551</v>
      </c>
      <c r="G86" s="112">
        <f t="shared" si="8"/>
        <v>23.599999999998545</v>
      </c>
      <c r="H86" s="99">
        <f>G86+'3'!H86</f>
        <v>81</v>
      </c>
      <c r="I86" s="573"/>
      <c r="J86" s="175">
        <f>H86/DAY(B2)</f>
        <v>20.25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'3'!F87</f>
        <v>35329.06</v>
      </c>
      <c r="F87" s="164">
        <v>35329.06</v>
      </c>
      <c r="G87" s="112">
        <f t="shared" si="8"/>
        <v>0</v>
      </c>
      <c r="H87" s="99">
        <f>G87+'3'!H87</f>
        <v>5.9999999997671694E-2</v>
      </c>
      <c r="I87" s="573">
        <f>G84+G85+G86+G87</f>
        <v>41.599999999998545</v>
      </c>
      <c r="J87" s="175">
        <f>H87/DAY(B2)</f>
        <v>1.4999999999417923E-2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'3'!F88</f>
        <v>24260</v>
      </c>
      <c r="F88" s="164">
        <v>24267.38</v>
      </c>
      <c r="G88" s="112">
        <f t="shared" si="8"/>
        <v>7.3800000000010186</v>
      </c>
      <c r="H88" s="99">
        <f>G88+'3'!H88</f>
        <v>39.5</v>
      </c>
      <c r="I88" s="573"/>
      <c r="J88" s="175">
        <f>H88/DAY(B2)</f>
        <v>9.875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'3'!F89</f>
        <v>27026</v>
      </c>
      <c r="F89" s="164">
        <v>27036</v>
      </c>
      <c r="G89" s="112">
        <f t="shared" si="8"/>
        <v>10</v>
      </c>
      <c r="H89" s="99">
        <f>G89+'3'!H89</f>
        <v>42.590000000000146</v>
      </c>
      <c r="I89" s="573">
        <f>G88+G89</f>
        <v>17.380000000001019</v>
      </c>
      <c r="J89" s="175">
        <f>H89/DAY(B2)</f>
        <v>10.647500000000036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'3'!F90</f>
        <v>72127</v>
      </c>
      <c r="F90" s="164">
        <v>72127</v>
      </c>
      <c r="G90" s="112">
        <f t="shared" si="8"/>
        <v>0</v>
      </c>
      <c r="H90" s="99">
        <f>G90+'3'!H90</f>
        <v>-0.11999999999534339</v>
      </c>
      <c r="I90" s="573">
        <f>G90</f>
        <v>0</v>
      </c>
      <c r="J90" s="175">
        <f>H90/DAY(B2)</f>
        <v>-2.9999999998835847E-2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'3'!F91</f>
        <v>4122</v>
      </c>
      <c r="F91" s="122">
        <v>4122</v>
      </c>
      <c r="G91" s="112">
        <f t="shared" si="8"/>
        <v>0</v>
      </c>
      <c r="H91" s="99">
        <f>G91+'3'!H91</f>
        <v>0.3500000000003638</v>
      </c>
      <c r="I91" s="592"/>
      <c r="J91" s="175">
        <f>H91/DAY(B2)</f>
        <v>8.7500000000090949E-2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'3'!F92</f>
        <v>6251</v>
      </c>
      <c r="F92" s="122">
        <v>6261.42</v>
      </c>
      <c r="G92" s="112">
        <f t="shared" si="8"/>
        <v>10.420000000000073</v>
      </c>
      <c r="H92" s="99">
        <f>G92+'3'!H92</f>
        <v>44.170000000000073</v>
      </c>
      <c r="I92" s="598">
        <f>G91+G92</f>
        <v>10.420000000000073</v>
      </c>
      <c r="J92" s="175">
        <f>H92/DAY(B2)</f>
        <v>11.042500000000018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3" t="s">
        <v>240</v>
      </c>
      <c r="B94" s="874"/>
      <c r="C94" s="875"/>
      <c r="D94" s="151" t="s">
        <v>130</v>
      </c>
      <c r="E94" s="151"/>
      <c r="F94" s="151"/>
      <c r="G94" s="99">
        <f>G35+G43+G49+G57</f>
        <v>6673</v>
      </c>
      <c r="H94" s="99">
        <f>G94+'3'!H94</f>
        <v>27704</v>
      </c>
      <c r="I94" s="118"/>
      <c r="J94" s="175">
        <f>H94/DAY(B2)</f>
        <v>6926</v>
      </c>
      <c r="K94" s="69"/>
      <c r="L94" s="66"/>
      <c r="O94" s="71"/>
    </row>
    <row r="95" spans="1:15" ht="25.5">
      <c r="A95" s="873" t="s">
        <v>241</v>
      </c>
      <c r="B95" s="874"/>
      <c r="C95" s="875"/>
      <c r="D95" s="151" t="s">
        <v>23</v>
      </c>
      <c r="E95" s="146"/>
      <c r="F95" s="146"/>
      <c r="G95" s="166">
        <f>G94/G7</f>
        <v>0.24534892271490552</v>
      </c>
      <c r="H95" s="99">
        <f>G95+'3'!H95</f>
        <v>1.0133925653311346</v>
      </c>
      <c r="I95" s="167"/>
      <c r="J95" s="175">
        <f>H95/DAY(B2)</f>
        <v>0.25334814133278366</v>
      </c>
      <c r="K95" s="69"/>
      <c r="L95" s="66"/>
      <c r="O95" s="71"/>
    </row>
    <row r="96" spans="1:15" ht="25.5">
      <c r="A96" s="873" t="s">
        <v>242</v>
      </c>
      <c r="B96" s="874"/>
      <c r="C96" s="875"/>
      <c r="D96" s="151" t="s">
        <v>130</v>
      </c>
      <c r="E96" s="95"/>
      <c r="F96" s="95"/>
      <c r="G96" s="99">
        <f>G41+G42+G55+G56</f>
        <v>7679</v>
      </c>
      <c r="H96" s="99">
        <f>G96+'3'!H96</f>
        <v>32407.660000000003</v>
      </c>
      <c r="I96" s="118"/>
      <c r="J96" s="175">
        <f>H96/DAY(B2)</f>
        <v>8101.9150000000009</v>
      </c>
      <c r="K96" s="69"/>
      <c r="L96" s="66"/>
      <c r="O96" s="71"/>
    </row>
    <row r="97" spans="1:15" ht="25.5">
      <c r="A97" s="873" t="s">
        <v>243</v>
      </c>
      <c r="B97" s="874"/>
      <c r="C97" s="875"/>
      <c r="D97" s="151" t="s">
        <v>23</v>
      </c>
      <c r="E97" s="95"/>
      <c r="F97" s="95"/>
      <c r="G97" s="166">
        <f>G96/G7</f>
        <v>0.28233693653945141</v>
      </c>
      <c r="H97" s="99">
        <f>G97+'3'!H97</f>
        <v>1.1851778848851415</v>
      </c>
      <c r="I97" s="167"/>
      <c r="J97" s="175">
        <f>H97/DAY(B2)</f>
        <v>0.29629447122128538</v>
      </c>
      <c r="K97" s="69"/>
      <c r="L97" s="66"/>
      <c r="O97" s="71"/>
    </row>
    <row r="98" spans="1:15" ht="25.5">
      <c r="A98" s="873" t="s">
        <v>244</v>
      </c>
      <c r="B98" s="874"/>
      <c r="C98" s="875"/>
      <c r="D98" s="151" t="s">
        <v>130</v>
      </c>
      <c r="E98" s="95"/>
      <c r="F98" s="95"/>
      <c r="G98" s="99">
        <f>G39+G53</f>
        <v>2991</v>
      </c>
      <c r="H98" s="99">
        <f>G98+'3'!H98</f>
        <v>11954</v>
      </c>
      <c r="I98" s="168"/>
      <c r="J98" s="175">
        <f>H98/DAY(B2)</f>
        <v>2988.5</v>
      </c>
      <c r="K98" s="69"/>
      <c r="L98" s="66"/>
      <c r="O98" s="71"/>
    </row>
    <row r="99" spans="1:15" ht="25.5">
      <c r="A99" s="873" t="s">
        <v>245</v>
      </c>
      <c r="B99" s="874"/>
      <c r="C99" s="875"/>
      <c r="D99" s="151" t="s">
        <v>23</v>
      </c>
      <c r="E99" s="95"/>
      <c r="F99" s="95"/>
      <c r="G99" s="166">
        <f>G98/G7</f>
        <v>0.1099713214206927</v>
      </c>
      <c r="H99" s="99">
        <f>G99+'3'!H99</f>
        <v>0.43730709356060687</v>
      </c>
      <c r="I99" s="168"/>
      <c r="J99" s="175">
        <f>H99/DAY(B2)</f>
        <v>0.10932677339015172</v>
      </c>
      <c r="O99" s="71"/>
    </row>
    <row r="100" spans="1:15" ht="26.25">
      <c r="A100" s="873" t="s">
        <v>246</v>
      </c>
      <c r="B100" s="874"/>
      <c r="C100" s="875"/>
      <c r="D100" s="151" t="s">
        <v>180</v>
      </c>
      <c r="E100" s="95"/>
      <c r="F100" s="95"/>
      <c r="G100" s="99">
        <f>G38+G52</f>
        <v>2483.9899999999998</v>
      </c>
      <c r="H100" s="99">
        <f>G100+'3'!H100</f>
        <v>9951.75</v>
      </c>
      <c r="I100" s="118"/>
      <c r="J100" s="175">
        <f>H100/DAY(B2)</f>
        <v>2487.9375</v>
      </c>
      <c r="K100" s="70"/>
      <c r="O100" s="71"/>
    </row>
    <row r="101" spans="1:15" ht="25.5">
      <c r="A101" s="873" t="s">
        <v>247</v>
      </c>
      <c r="B101" s="874"/>
      <c r="C101" s="875"/>
      <c r="D101" s="151" t="s">
        <v>23</v>
      </c>
      <c r="E101" s="95"/>
      <c r="F101" s="95"/>
      <c r="G101" s="166">
        <f>G100/G7</f>
        <v>9.1329877196852705E-2</v>
      </c>
      <c r="H101" s="99">
        <f>G101+'3'!H101</f>
        <v>0.36415251609534882</v>
      </c>
      <c r="I101" s="168"/>
      <c r="J101" s="175">
        <f>H101/DAY(B2)</f>
        <v>9.1038129023837205E-2</v>
      </c>
      <c r="O101" s="71"/>
    </row>
    <row r="102" spans="1:15" ht="25.5">
      <c r="A102" s="873" t="s">
        <v>248</v>
      </c>
      <c r="B102" s="874"/>
      <c r="C102" s="875"/>
      <c r="D102" s="151" t="s">
        <v>180</v>
      </c>
      <c r="E102" s="95"/>
      <c r="F102" s="95"/>
      <c r="G102" s="99">
        <f>G36+G50</f>
        <v>1709</v>
      </c>
      <c r="H102" s="99">
        <f>G102+'3'!H102</f>
        <v>7021</v>
      </c>
      <c r="I102" s="168"/>
      <c r="J102" s="175">
        <f>H102/DAY(B2)</f>
        <v>1755.25</v>
      </c>
      <c r="O102" s="71"/>
    </row>
    <row r="103" spans="1:15" ht="25.5">
      <c r="A103" s="873" t="s">
        <v>249</v>
      </c>
      <c r="B103" s="874"/>
      <c r="C103" s="875"/>
      <c r="D103" s="151" t="s">
        <v>23</v>
      </c>
      <c r="E103" s="95"/>
      <c r="F103" s="95"/>
      <c r="G103" s="166">
        <f>G102/G7</f>
        <v>6.2835502610486066E-2</v>
      </c>
      <c r="H103" s="99">
        <f>G103+'3'!H103</f>
        <v>0.25660300899532551</v>
      </c>
      <c r="I103" s="118"/>
      <c r="J103" s="175">
        <f>H103/DAY(B2)</f>
        <v>6.4150752248831377E-2</v>
      </c>
      <c r="O103" s="71"/>
    </row>
    <row r="104" spans="1:15" ht="25.5">
      <c r="A104" s="873" t="s">
        <v>250</v>
      </c>
      <c r="B104" s="874"/>
      <c r="C104" s="875"/>
      <c r="D104" s="151" t="s">
        <v>180</v>
      </c>
      <c r="E104" s="95"/>
      <c r="F104" s="95"/>
      <c r="G104" s="99">
        <f>G37+G51</f>
        <v>1755</v>
      </c>
      <c r="H104" s="99">
        <f>G104+'3'!H104</f>
        <v>7108.32</v>
      </c>
      <c r="I104" s="118"/>
      <c r="J104" s="175">
        <f>H104/DAY(B2)</f>
        <v>1777.08</v>
      </c>
      <c r="O104" s="71"/>
    </row>
    <row r="105" spans="1:15" ht="26.25" thickBot="1">
      <c r="A105" s="913" t="s">
        <v>251</v>
      </c>
      <c r="B105" s="914"/>
      <c r="C105" s="915"/>
      <c r="D105" s="231" t="s">
        <v>23</v>
      </c>
      <c r="E105" s="185"/>
      <c r="F105" s="185"/>
      <c r="G105" s="186">
        <f>G104/G7</f>
        <v>6.4526803441429512E-2</v>
      </c>
      <c r="H105" s="99">
        <f>G105+'3'!H105</f>
        <v>0.25995500710051911</v>
      </c>
      <c r="I105" s="187"/>
      <c r="J105" s="188">
        <f>H105/DAY(B2)</f>
        <v>6.4988751775129777E-2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7" t="s">
        <v>324</v>
      </c>
      <c r="B108" s="927"/>
      <c r="C108" s="927"/>
      <c r="D108" s="927"/>
      <c r="E108" s="927"/>
      <c r="F108" s="927"/>
      <c r="G108" s="927"/>
      <c r="H108" s="927"/>
      <c r="I108" s="927"/>
      <c r="J108" s="927"/>
    </row>
    <row r="109" spans="1:15" ht="26.25">
      <c r="A109" s="912"/>
      <c r="B109" s="912"/>
    </row>
    <row r="110" spans="1:15" ht="26.25">
      <c r="A110" s="928" t="s">
        <v>165</v>
      </c>
      <c r="B110" s="929"/>
      <c r="C110" s="929"/>
      <c r="D110" s="929"/>
      <c r="E110" s="929"/>
      <c r="F110" s="929"/>
      <c r="G110" s="929"/>
      <c r="H110" s="929"/>
      <c r="I110" s="929"/>
      <c r="J110" s="930"/>
    </row>
    <row r="111" spans="1:15" ht="25.5">
      <c r="A111" s="931"/>
      <c r="B111" s="932"/>
      <c r="C111" s="933"/>
      <c r="D111" s="165"/>
      <c r="E111" s="165"/>
      <c r="F111" s="165"/>
      <c r="G111" s="165"/>
      <c r="H111" s="156"/>
      <c r="I111" s="165"/>
      <c r="J111" s="327"/>
    </row>
    <row r="112" spans="1:15" ht="25.5">
      <c r="A112" s="906" t="s">
        <v>252</v>
      </c>
      <c r="B112" s="907"/>
      <c r="C112" s="908"/>
      <c r="D112" s="146" t="s">
        <v>183</v>
      </c>
      <c r="E112" s="95">
        <f>'3'!F112</f>
        <v>2909</v>
      </c>
      <c r="F112" s="237">
        <v>2986</v>
      </c>
      <c r="G112" s="112">
        <f t="shared" ref="G112:G123" si="9">F112-E112</f>
        <v>77</v>
      </c>
      <c r="H112" s="99">
        <f>G112+'3'!H112</f>
        <v>309</v>
      </c>
      <c r="I112" s="165"/>
      <c r="J112" s="328">
        <f>H112/DAY(B2)</f>
        <v>77.25</v>
      </c>
    </row>
    <row r="113" spans="1:18" ht="29.25" customHeight="1">
      <c r="A113" s="906" t="s">
        <v>253</v>
      </c>
      <c r="B113" s="907"/>
      <c r="C113" s="908"/>
      <c r="D113" s="146" t="s">
        <v>183</v>
      </c>
      <c r="E113" s="95">
        <f>'3'!F113</f>
        <v>6885</v>
      </c>
      <c r="F113" s="237">
        <v>7012</v>
      </c>
      <c r="G113" s="112">
        <f t="shared" si="9"/>
        <v>127</v>
      </c>
      <c r="H113" s="99">
        <f>G113+'3'!H113</f>
        <v>621</v>
      </c>
      <c r="I113" s="165"/>
      <c r="J113" s="328">
        <f>H113/DAY(B2)</f>
        <v>155.25</v>
      </c>
    </row>
    <row r="114" spans="1:18" ht="29.25" customHeight="1">
      <c r="A114" s="906" t="s">
        <v>254</v>
      </c>
      <c r="B114" s="907"/>
      <c r="C114" s="908"/>
      <c r="D114" s="146" t="s">
        <v>183</v>
      </c>
      <c r="E114" s="95">
        <f>'3'!F114</f>
        <v>8226</v>
      </c>
      <c r="F114" s="237">
        <v>8452</v>
      </c>
      <c r="G114" s="112">
        <f t="shared" si="9"/>
        <v>226</v>
      </c>
      <c r="H114" s="99">
        <f>G114+'3'!H114</f>
        <v>882</v>
      </c>
      <c r="I114" s="165"/>
      <c r="J114" s="328">
        <f>H114/DAY(B2)</f>
        <v>220.5</v>
      </c>
    </row>
    <row r="115" spans="1:18" ht="29.25" customHeight="1">
      <c r="A115" s="906" t="s">
        <v>255</v>
      </c>
      <c r="B115" s="907"/>
      <c r="C115" s="908"/>
      <c r="D115" s="146" t="s">
        <v>183</v>
      </c>
      <c r="E115" s="95">
        <f>'3'!F115</f>
        <v>607</v>
      </c>
      <c r="F115" s="237">
        <v>634</v>
      </c>
      <c r="G115" s="112">
        <f t="shared" si="9"/>
        <v>27</v>
      </c>
      <c r="H115" s="99">
        <f>G115+'3'!H115</f>
        <v>73</v>
      </c>
      <c r="I115" s="165"/>
      <c r="J115" s="328">
        <f>H115/DAY(B2)</f>
        <v>18.25</v>
      </c>
    </row>
    <row r="116" spans="1:18" ht="29.25" customHeight="1">
      <c r="A116" s="924" t="s">
        <v>96</v>
      </c>
      <c r="B116" s="925"/>
      <c r="C116" s="926"/>
      <c r="D116" s="146" t="s">
        <v>183</v>
      </c>
      <c r="E116" s="95">
        <f>'3'!F116</f>
        <v>47898</v>
      </c>
      <c r="F116" s="237">
        <v>48334</v>
      </c>
      <c r="G116" s="112">
        <f t="shared" si="9"/>
        <v>436</v>
      </c>
      <c r="H116" s="99">
        <f>G116+'3'!H116</f>
        <v>1579</v>
      </c>
      <c r="I116" s="165"/>
      <c r="J116" s="328">
        <f>H116/DAY(B2)</f>
        <v>394.75</v>
      </c>
      <c r="Q116" s="906" t="s">
        <v>311</v>
      </c>
      <c r="R116" s="908"/>
    </row>
    <row r="117" spans="1:18" ht="29.25" customHeight="1">
      <c r="A117" s="924" t="s">
        <v>184</v>
      </c>
      <c r="B117" s="925"/>
      <c r="C117" s="926"/>
      <c r="D117" s="146" t="s">
        <v>183</v>
      </c>
      <c r="E117" s="95">
        <f>'3'!F117</f>
        <v>25985</v>
      </c>
      <c r="F117" s="237">
        <v>26220</v>
      </c>
      <c r="G117" s="112">
        <f t="shared" si="9"/>
        <v>235</v>
      </c>
      <c r="H117" s="99">
        <f>G117+'3'!H117</f>
        <v>952</v>
      </c>
      <c r="I117" s="165"/>
      <c r="J117" s="328">
        <f>H117/DAY(B2)</f>
        <v>238</v>
      </c>
      <c r="Q117" s="906" t="s">
        <v>312</v>
      </c>
      <c r="R117" s="908"/>
    </row>
    <row r="118" spans="1:18" ht="25.5">
      <c r="A118" s="901" t="s">
        <v>97</v>
      </c>
      <c r="B118" s="901"/>
      <c r="C118" s="901"/>
      <c r="D118" s="151" t="s">
        <v>183</v>
      </c>
      <c r="E118" s="95">
        <f>'3'!F118</f>
        <v>27917</v>
      </c>
      <c r="F118" s="237">
        <v>28436</v>
      </c>
      <c r="G118" s="112">
        <f t="shared" si="9"/>
        <v>519</v>
      </c>
      <c r="H118" s="99">
        <f>G118+'3'!H118</f>
        <v>2211</v>
      </c>
      <c r="I118" s="165"/>
      <c r="J118" s="328">
        <f>H118/DAY(B2)</f>
        <v>552.75</v>
      </c>
      <c r="Q118" s="906" t="s">
        <v>311</v>
      </c>
      <c r="R118" s="908"/>
    </row>
    <row r="119" spans="1:18" ht="25.5">
      <c r="A119" s="901" t="s">
        <v>98</v>
      </c>
      <c r="B119" s="901"/>
      <c r="C119" s="901"/>
      <c r="D119" s="151" t="s">
        <v>183</v>
      </c>
      <c r="E119" s="95">
        <f>'3'!F119</f>
        <v>20209</v>
      </c>
      <c r="F119" s="237">
        <v>20632</v>
      </c>
      <c r="G119" s="112">
        <f t="shared" si="9"/>
        <v>423</v>
      </c>
      <c r="H119" s="99">
        <f>G119+'3'!H119</f>
        <v>1685</v>
      </c>
      <c r="I119" s="165"/>
      <c r="J119" s="328">
        <f>H119/DAY(B2)</f>
        <v>421.25</v>
      </c>
    </row>
    <row r="120" spans="1:18" ht="25.5">
      <c r="A120" s="901" t="s">
        <v>99</v>
      </c>
      <c r="B120" s="901"/>
      <c r="C120" s="901"/>
      <c r="D120" s="151" t="s">
        <v>183</v>
      </c>
      <c r="E120" s="95">
        <f>'3'!F120</f>
        <v>21389</v>
      </c>
      <c r="F120" s="237">
        <v>21838</v>
      </c>
      <c r="G120" s="112">
        <f t="shared" si="9"/>
        <v>449</v>
      </c>
      <c r="H120" s="99">
        <f>G120+'3'!H120</f>
        <v>1788</v>
      </c>
      <c r="I120" s="165"/>
      <c r="J120" s="328">
        <f>H120/DAY(B2)</f>
        <v>447</v>
      </c>
    </row>
    <row r="121" spans="1:18" ht="25.5">
      <c r="A121" s="901" t="s">
        <v>100</v>
      </c>
      <c r="B121" s="901"/>
      <c r="C121" s="901"/>
      <c r="D121" s="151" t="s">
        <v>183</v>
      </c>
      <c r="E121" s="95">
        <f>'3'!F121</f>
        <v>27283</v>
      </c>
      <c r="F121" s="237">
        <v>27772</v>
      </c>
      <c r="G121" s="112">
        <f t="shared" si="9"/>
        <v>489</v>
      </c>
      <c r="H121" s="99">
        <f>G121+'3'!H121</f>
        <v>1928</v>
      </c>
      <c r="I121" s="165"/>
      <c r="J121" s="328">
        <f>H121/DAY(B2)</f>
        <v>482</v>
      </c>
    </row>
    <row r="122" spans="1:18" ht="25.5">
      <c r="A122" s="901" t="s">
        <v>101</v>
      </c>
      <c r="B122" s="901"/>
      <c r="C122" s="901"/>
      <c r="D122" s="151" t="s">
        <v>183</v>
      </c>
      <c r="E122" s="95">
        <f>'3'!F122</f>
        <v>12144</v>
      </c>
      <c r="F122" s="237">
        <v>12469</v>
      </c>
      <c r="G122" s="112">
        <f t="shared" si="9"/>
        <v>325</v>
      </c>
      <c r="H122" s="99">
        <f>G122+'3'!H122</f>
        <v>1309</v>
      </c>
      <c r="I122" s="165"/>
      <c r="J122" s="328">
        <f>H122/DAY(B2)</f>
        <v>327.25</v>
      </c>
    </row>
    <row r="123" spans="1:18" ht="25.5">
      <c r="A123" s="901" t="s">
        <v>102</v>
      </c>
      <c r="B123" s="901"/>
      <c r="C123" s="901"/>
      <c r="D123" s="151" t="s">
        <v>183</v>
      </c>
      <c r="E123" s="95">
        <f>'3'!F123</f>
        <v>11869</v>
      </c>
      <c r="F123" s="237">
        <v>12195</v>
      </c>
      <c r="G123" s="112">
        <f t="shared" si="9"/>
        <v>326</v>
      </c>
      <c r="H123" s="99">
        <f>G123+'3'!H123</f>
        <v>1686</v>
      </c>
      <c r="I123" s="165"/>
      <c r="J123" s="328">
        <f>H123/DAY(B2)</f>
        <v>421.5</v>
      </c>
    </row>
    <row r="124" spans="1:18" ht="29.25" customHeight="1">
      <c r="A124" s="931"/>
      <c r="B124" s="932"/>
      <c r="C124" s="933"/>
      <c r="D124" s="165"/>
      <c r="E124" s="165"/>
      <c r="F124" s="165"/>
      <c r="G124" s="327"/>
      <c r="H124" s="99">
        <f>G124+'3'!H124</f>
        <v>0</v>
      </c>
      <c r="I124" s="165"/>
      <c r="J124" s="327"/>
    </row>
    <row r="125" spans="1:18" ht="26.25">
      <c r="A125" s="460" t="s">
        <v>196</v>
      </c>
      <c r="B125" s="461"/>
      <c r="C125" s="462"/>
      <c r="D125" s="307"/>
      <c r="E125" s="308"/>
      <c r="F125" s="308"/>
      <c r="G125" s="309">
        <f>SUM(G112:G124)</f>
        <v>3659</v>
      </c>
      <c r="H125" s="156"/>
      <c r="I125" s="327">
        <f>G125-(G39+G53)</f>
        <v>668</v>
      </c>
      <c r="J125" s="327"/>
    </row>
    <row r="126" spans="1:18" ht="25.5">
      <c r="A126" s="936" t="s">
        <v>317</v>
      </c>
      <c r="B126" s="936"/>
      <c r="C126" s="936"/>
      <c r="D126" s="936"/>
      <c r="E126" s="936"/>
      <c r="F126" s="936"/>
      <c r="G126" s="936"/>
      <c r="H126" s="936"/>
      <c r="I126" s="936"/>
      <c r="J126" s="936"/>
    </row>
    <row r="127" spans="1:18" ht="25.5">
      <c r="A127" s="937"/>
      <c r="B127" s="937"/>
      <c r="C127" s="245"/>
      <c r="D127" s="307"/>
      <c r="E127" s="308"/>
      <c r="F127" s="308"/>
      <c r="G127" s="309"/>
      <c r="H127" s="99">
        <f>G127+'3'!H127</f>
        <v>0</v>
      </c>
      <c r="I127" s="165"/>
      <c r="J127" s="328">
        <f>H127/DAY(B2)</f>
        <v>0</v>
      </c>
    </row>
    <row r="128" spans="1:18" ht="29.25" customHeight="1">
      <c r="A128" s="906" t="s">
        <v>318</v>
      </c>
      <c r="B128" s="907"/>
      <c r="C128" s="908"/>
      <c r="D128" s="151" t="s">
        <v>183</v>
      </c>
      <c r="E128" s="95">
        <f>'3'!F128</f>
        <v>97253</v>
      </c>
      <c r="F128" s="165">
        <v>97699</v>
      </c>
      <c r="G128" s="112">
        <f t="shared" ref="G128:G134" si="10">F128-E128</f>
        <v>446</v>
      </c>
      <c r="H128" s="99">
        <f>G128+'3'!H128</f>
        <v>1984</v>
      </c>
      <c r="I128" s="165"/>
      <c r="J128" s="328">
        <f>H128/DAY(B2)</f>
        <v>496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'3'!F129</f>
        <v>61104</v>
      </c>
      <c r="F129" s="165">
        <v>61322</v>
      </c>
      <c r="G129" s="112">
        <f t="shared" si="10"/>
        <v>218</v>
      </c>
      <c r="H129" s="99">
        <f>G129+'3'!H129</f>
        <v>1029</v>
      </c>
      <c r="I129" s="165"/>
      <c r="J129" s="328">
        <f>H129/DAY(B2)</f>
        <v>257.25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'3'!F130</f>
        <v>121323</v>
      </c>
      <c r="F130" s="165">
        <v>122051</v>
      </c>
      <c r="G130" s="112">
        <f t="shared" si="10"/>
        <v>728</v>
      </c>
      <c r="H130" s="99">
        <f>G130+'3'!H130</f>
        <v>2938</v>
      </c>
      <c r="I130" s="165"/>
      <c r="J130" s="328">
        <f>H130/DAY(B2)</f>
        <v>734.5</v>
      </c>
      <c r="N130" s="240"/>
      <c r="O130" s="241"/>
    </row>
    <row r="131" spans="1:15" ht="25.5">
      <c r="A131" s="906" t="s">
        <v>321</v>
      </c>
      <c r="B131" s="907"/>
      <c r="C131" s="908"/>
      <c r="D131" s="151" t="s">
        <v>183</v>
      </c>
      <c r="E131" s="95">
        <f>'3'!F131</f>
        <v>36883</v>
      </c>
      <c r="F131" s="165">
        <v>37072</v>
      </c>
      <c r="G131" s="112">
        <f t="shared" si="10"/>
        <v>189</v>
      </c>
      <c r="H131" s="99">
        <f>G131+'3'!H131</f>
        <v>793</v>
      </c>
      <c r="I131" s="165"/>
      <c r="J131" s="328">
        <f>H131/DAY(B2)</f>
        <v>198.25</v>
      </c>
      <c r="N131" s="240"/>
      <c r="O131" s="241"/>
    </row>
    <row r="132" spans="1:15" ht="25.5">
      <c r="A132" s="906" t="s">
        <v>322</v>
      </c>
      <c r="B132" s="907"/>
      <c r="C132" s="908"/>
      <c r="D132" s="151" t="s">
        <v>183</v>
      </c>
      <c r="E132" s="95">
        <f>'3'!F132</f>
        <v>104625</v>
      </c>
      <c r="F132" s="165">
        <v>104995</v>
      </c>
      <c r="G132" s="112">
        <f t="shared" si="10"/>
        <v>370</v>
      </c>
      <c r="H132" s="99">
        <f>G132+'3'!H132</f>
        <v>1483</v>
      </c>
      <c r="I132" s="165"/>
      <c r="J132" s="328">
        <f>H132/DAY(B2)</f>
        <v>370.75</v>
      </c>
    </row>
    <row r="133" spans="1:15" ht="25.5">
      <c r="A133" s="906" t="s">
        <v>323</v>
      </c>
      <c r="B133" s="907"/>
      <c r="C133" s="908"/>
      <c r="D133" s="151" t="s">
        <v>183</v>
      </c>
      <c r="E133" s="95">
        <f>'3'!F133</f>
        <v>203765</v>
      </c>
      <c r="F133" s="165">
        <v>204628</v>
      </c>
      <c r="G133" s="112">
        <f t="shared" si="10"/>
        <v>863</v>
      </c>
      <c r="H133" s="99">
        <f>G133+'3'!H133</f>
        <v>3396</v>
      </c>
      <c r="I133" s="165"/>
      <c r="J133" s="328">
        <f>H133/DAY(B2)</f>
        <v>849</v>
      </c>
    </row>
    <row r="134" spans="1:15" ht="25.5">
      <c r="A134" s="906" t="s">
        <v>340</v>
      </c>
      <c r="B134" s="907"/>
      <c r="C134" s="908"/>
      <c r="D134" s="151" t="s">
        <v>183</v>
      </c>
      <c r="E134" s="95">
        <f>'3'!F134</f>
        <v>35592</v>
      </c>
      <c r="F134" s="165">
        <v>35823</v>
      </c>
      <c r="G134" s="112">
        <f t="shared" si="10"/>
        <v>231</v>
      </c>
      <c r="H134" s="99">
        <f>G134+'3'!H134</f>
        <v>928</v>
      </c>
      <c r="I134" s="165"/>
      <c r="J134" s="328">
        <f>H134/DAY(B2)</f>
        <v>232</v>
      </c>
    </row>
    <row r="135" spans="1:15" ht="26.25">
      <c r="A135" s="870" t="s">
        <v>196</v>
      </c>
      <c r="B135" s="871"/>
      <c r="C135" s="872"/>
      <c r="D135" s="151"/>
      <c r="E135" s="95"/>
      <c r="F135" s="165"/>
      <c r="G135" s="112">
        <f>SUM(G128:G134)</f>
        <v>3045</v>
      </c>
      <c r="H135" s="99">
        <f>G135+'3'!H135</f>
        <v>12551</v>
      </c>
      <c r="I135" s="327">
        <f>G135-(G35+G49)</f>
        <v>-491</v>
      </c>
      <c r="J135" s="328">
        <f>H135/DAY(B2)</f>
        <v>3137.75</v>
      </c>
    </row>
    <row r="136" spans="1:15" ht="27.75">
      <c r="A136" s="938" t="s">
        <v>325</v>
      </c>
      <c r="B136" s="938"/>
      <c r="C136" s="938"/>
      <c r="D136" s="938"/>
      <c r="E136" s="938"/>
      <c r="F136" s="938"/>
      <c r="G136" s="938"/>
      <c r="H136" s="938"/>
      <c r="I136" s="938"/>
      <c r="J136" s="938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1" t="s">
        <v>185</v>
      </c>
      <c r="B138" s="901"/>
      <c r="C138" s="901"/>
      <c r="D138" s="151" t="s">
        <v>183</v>
      </c>
      <c r="E138" s="95">
        <f>'3'!F138</f>
        <v>10905</v>
      </c>
      <c r="F138" s="147">
        <v>11033</v>
      </c>
      <c r="G138" s="112">
        <f t="shared" ref="G138:G152" si="11">F138-E138</f>
        <v>128</v>
      </c>
      <c r="H138" s="99">
        <f>G138+'3'!H138</f>
        <v>523</v>
      </c>
      <c r="I138" s="118"/>
      <c r="J138" s="328">
        <f>H138/DAY(B2)</f>
        <v>130.75</v>
      </c>
    </row>
    <row r="139" spans="1:15" ht="25.5">
      <c r="A139" s="901" t="s">
        <v>186</v>
      </c>
      <c r="B139" s="901"/>
      <c r="C139" s="901"/>
      <c r="D139" s="151" t="s">
        <v>183</v>
      </c>
      <c r="E139" s="95">
        <f>'3'!F139</f>
        <v>899936</v>
      </c>
      <c r="F139" s="148">
        <v>900093</v>
      </c>
      <c r="G139" s="112">
        <f t="shared" si="11"/>
        <v>157</v>
      </c>
      <c r="H139" s="99">
        <f>G139+'3'!H139</f>
        <v>638</v>
      </c>
      <c r="I139" s="118"/>
      <c r="J139" s="328">
        <f>H139/DAY(B2)</f>
        <v>159.5</v>
      </c>
    </row>
    <row r="140" spans="1:15" ht="25.5">
      <c r="A140" s="901" t="s">
        <v>187</v>
      </c>
      <c r="B140" s="901"/>
      <c r="C140" s="901"/>
      <c r="D140" s="151" t="s">
        <v>183</v>
      </c>
      <c r="E140" s="95">
        <f>'3'!F140</f>
        <v>630</v>
      </c>
      <c r="F140" s="149">
        <v>644</v>
      </c>
      <c r="G140" s="112">
        <f t="shared" si="11"/>
        <v>14</v>
      </c>
      <c r="H140" s="99">
        <f>G140+'3'!H140</f>
        <v>56</v>
      </c>
      <c r="I140" s="118"/>
      <c r="J140" s="328">
        <f>H140/DAY(B2)</f>
        <v>14</v>
      </c>
    </row>
    <row r="141" spans="1:15" ht="25.5">
      <c r="A141" s="905" t="s">
        <v>188</v>
      </c>
      <c r="B141" s="905"/>
      <c r="C141" s="905"/>
      <c r="D141" s="151" t="s">
        <v>183</v>
      </c>
      <c r="E141" s="95">
        <f>'3'!F141</f>
        <v>78572</v>
      </c>
      <c r="F141" s="149">
        <v>78770</v>
      </c>
      <c r="G141" s="112">
        <f t="shared" si="11"/>
        <v>198</v>
      </c>
      <c r="H141" s="99">
        <f>G141+'3'!H141</f>
        <v>818</v>
      </c>
      <c r="I141" s="118"/>
      <c r="J141" s="328">
        <f>H141/DAY(B2)</f>
        <v>204.5</v>
      </c>
    </row>
    <row r="142" spans="1:15" ht="25.5">
      <c r="A142" s="905" t="s">
        <v>189</v>
      </c>
      <c r="B142" s="905"/>
      <c r="C142" s="905"/>
      <c r="D142" s="151" t="s">
        <v>183</v>
      </c>
      <c r="E142" s="95">
        <f>'3'!F142</f>
        <v>31026</v>
      </c>
      <c r="F142" s="148">
        <v>31192</v>
      </c>
      <c r="G142" s="112">
        <f t="shared" si="11"/>
        <v>166</v>
      </c>
      <c r="H142" s="99">
        <f>G142+'3'!H142</f>
        <v>666</v>
      </c>
      <c r="I142" s="140"/>
      <c r="J142" s="328">
        <f>H142/DAY(B2)</f>
        <v>166.5</v>
      </c>
    </row>
    <row r="143" spans="1:15" ht="25.5">
      <c r="A143" s="901" t="s">
        <v>91</v>
      </c>
      <c r="B143" s="901"/>
      <c r="C143" s="901"/>
      <c r="D143" s="151" t="s">
        <v>183</v>
      </c>
      <c r="E143" s="95">
        <f>'3'!F143</f>
        <v>7397</v>
      </c>
      <c r="F143" s="149">
        <v>7426</v>
      </c>
      <c r="G143" s="112">
        <f t="shared" si="11"/>
        <v>29</v>
      </c>
      <c r="H143" s="99">
        <f>G143+'3'!H143</f>
        <v>120</v>
      </c>
      <c r="I143" s="140"/>
      <c r="J143" s="328">
        <f>H143/DAY(B2)</f>
        <v>30</v>
      </c>
    </row>
    <row r="144" spans="1:15" ht="25.5">
      <c r="A144" s="905" t="s">
        <v>90</v>
      </c>
      <c r="B144" s="905"/>
      <c r="C144" s="905"/>
      <c r="D144" s="151" t="s">
        <v>183</v>
      </c>
      <c r="E144" s="95">
        <f>'3'!F144</f>
        <v>905802</v>
      </c>
      <c r="F144" s="149">
        <v>906039</v>
      </c>
      <c r="G144" s="112">
        <f t="shared" si="11"/>
        <v>237</v>
      </c>
      <c r="H144" s="99">
        <f>G144+'3'!H144</f>
        <v>986</v>
      </c>
      <c r="I144" s="140"/>
      <c r="J144" s="328">
        <f>H144/DAY(B2)</f>
        <v>246.5</v>
      </c>
    </row>
    <row r="145" spans="1:10" ht="25.5">
      <c r="A145" s="901" t="s">
        <v>190</v>
      </c>
      <c r="B145" s="901"/>
      <c r="C145" s="901"/>
      <c r="D145" s="152" t="s">
        <v>183</v>
      </c>
      <c r="E145" s="95">
        <f>'3'!F145</f>
        <v>5664</v>
      </c>
      <c r="F145" s="149">
        <v>5664</v>
      </c>
      <c r="G145" s="112">
        <f t="shared" si="11"/>
        <v>0</v>
      </c>
      <c r="H145" s="99">
        <f>G145+'3'!H145</f>
        <v>0</v>
      </c>
      <c r="I145" s="140"/>
      <c r="J145" s="328">
        <f>H145/DAY(B2)</f>
        <v>0</v>
      </c>
    </row>
    <row r="146" spans="1:10" ht="25.5">
      <c r="A146" s="902" t="s">
        <v>191</v>
      </c>
      <c r="B146" s="903"/>
      <c r="C146" s="904"/>
      <c r="D146" s="152" t="s">
        <v>183</v>
      </c>
      <c r="E146" s="95">
        <f>'3'!F146</f>
        <v>778053</v>
      </c>
      <c r="F146" s="148">
        <v>778091</v>
      </c>
      <c r="G146" s="112">
        <f t="shared" si="11"/>
        <v>38</v>
      </c>
      <c r="H146" s="99">
        <f>G146+'3'!H146</f>
        <v>223</v>
      </c>
      <c r="I146" s="140"/>
      <c r="J146" s="328">
        <f>H146/DAY(B2)</f>
        <v>55.75</v>
      </c>
    </row>
    <row r="147" spans="1:10" ht="25.5">
      <c r="A147" s="905" t="s">
        <v>192</v>
      </c>
      <c r="B147" s="905"/>
      <c r="C147" s="905"/>
      <c r="D147" s="152" t="s">
        <v>183</v>
      </c>
      <c r="E147" s="95">
        <f>'3'!F147</f>
        <v>676943</v>
      </c>
      <c r="F147" s="148">
        <v>677342</v>
      </c>
      <c r="G147" s="112">
        <f t="shared" si="11"/>
        <v>399</v>
      </c>
      <c r="H147" s="99">
        <f>G147+'3'!H147</f>
        <v>1494</v>
      </c>
      <c r="I147" s="140"/>
      <c r="J147" s="328">
        <f>H147/DAY(B2)</f>
        <v>373.5</v>
      </c>
    </row>
    <row r="148" spans="1:10" ht="25.5">
      <c r="A148" s="897" t="s">
        <v>193</v>
      </c>
      <c r="B148" s="898"/>
      <c r="C148" s="899"/>
      <c r="D148" s="123" t="s">
        <v>130</v>
      </c>
      <c r="E148" s="95">
        <f>'3'!F148</f>
        <v>730623</v>
      </c>
      <c r="F148" s="150">
        <v>730899</v>
      </c>
      <c r="G148" s="112">
        <f t="shared" si="11"/>
        <v>276</v>
      </c>
      <c r="H148" s="99">
        <f>G148+'3'!H148</f>
        <v>1154</v>
      </c>
      <c r="I148" s="124"/>
      <c r="J148" s="328">
        <f>H148/DAY(B2)</f>
        <v>288.5</v>
      </c>
    </row>
    <row r="149" spans="1:10" ht="25.5">
      <c r="A149" s="897" t="s">
        <v>336</v>
      </c>
      <c r="B149" s="898"/>
      <c r="C149" s="899"/>
      <c r="D149" s="227" t="s">
        <v>130</v>
      </c>
      <c r="E149" s="95">
        <f>'3'!F149</f>
        <v>102617</v>
      </c>
      <c r="F149" s="146">
        <v>103281</v>
      </c>
      <c r="G149" s="112">
        <f t="shared" si="11"/>
        <v>664</v>
      </c>
      <c r="H149" s="99">
        <f>G149+'3'!H149</f>
        <v>2386</v>
      </c>
      <c r="I149" s="119"/>
      <c r="J149" s="328">
        <f>H149/DAY(B2)</f>
        <v>596.5</v>
      </c>
    </row>
    <row r="150" spans="1:10" ht="25.5">
      <c r="A150" s="897" t="s">
        <v>337</v>
      </c>
      <c r="B150" s="898"/>
      <c r="C150" s="899"/>
      <c r="D150" s="117" t="s">
        <v>130</v>
      </c>
      <c r="E150" s="95">
        <f>'3'!F150</f>
        <v>37885</v>
      </c>
      <c r="F150" s="233">
        <v>38104</v>
      </c>
      <c r="G150" s="112">
        <f t="shared" si="11"/>
        <v>219</v>
      </c>
      <c r="H150" s="99">
        <f>G150+'3'!H150</f>
        <v>888</v>
      </c>
      <c r="I150" s="119"/>
      <c r="J150" s="328">
        <f>H150/DAY(B2)</f>
        <v>222</v>
      </c>
    </row>
    <row r="151" spans="1:10" ht="25.5">
      <c r="A151" s="897" t="s">
        <v>338</v>
      </c>
      <c r="B151" s="898"/>
      <c r="C151" s="899"/>
      <c r="D151" s="117" t="s">
        <v>130</v>
      </c>
      <c r="E151" s="95">
        <f>'3'!F151</f>
        <v>118979</v>
      </c>
      <c r="F151" s="233">
        <v>119283</v>
      </c>
      <c r="G151" s="112">
        <f t="shared" si="11"/>
        <v>304</v>
      </c>
      <c r="H151" s="99">
        <f>G151+'3'!H151</f>
        <v>1146</v>
      </c>
      <c r="I151" s="119"/>
      <c r="J151" s="328">
        <f>H151/DAY(B2)</f>
        <v>286.5</v>
      </c>
    </row>
    <row r="152" spans="1:10" ht="25.5">
      <c r="A152" s="897" t="s">
        <v>339</v>
      </c>
      <c r="B152" s="898"/>
      <c r="C152" s="899"/>
      <c r="D152" s="117" t="s">
        <v>130</v>
      </c>
      <c r="E152" s="95">
        <f>'3'!F152</f>
        <v>15816</v>
      </c>
      <c r="F152" s="233">
        <v>15933</v>
      </c>
      <c r="G152" s="112">
        <f t="shared" si="11"/>
        <v>117</v>
      </c>
      <c r="H152" s="99">
        <f>G152+'3'!H152</f>
        <v>4777</v>
      </c>
      <c r="I152" s="119"/>
      <c r="J152" s="328">
        <f>H152/DAY(B2)</f>
        <v>1194.25</v>
      </c>
    </row>
    <row r="153" spans="1:10" ht="26.25">
      <c r="A153" s="870" t="s">
        <v>196</v>
      </c>
      <c r="B153" s="871"/>
      <c r="C153" s="872"/>
      <c r="D153" s="358"/>
      <c r="E153" s="360"/>
      <c r="F153" s="361"/>
      <c r="G153" s="362">
        <f>SUM(G138:G152)</f>
        <v>2946</v>
      </c>
      <c r="H153" s="363"/>
      <c r="I153" s="119">
        <f>G153-(G38+G52)</f>
        <v>462.01000000000022</v>
      </c>
      <c r="J153" s="366"/>
    </row>
    <row r="154" spans="1:10" ht="27.75">
      <c r="A154" s="938" t="s">
        <v>344</v>
      </c>
      <c r="B154" s="938"/>
      <c r="C154" s="938"/>
      <c r="D154" s="938"/>
      <c r="E154" s="938"/>
      <c r="F154" s="938"/>
      <c r="G154" s="938"/>
      <c r="H154" s="938"/>
      <c r="I154" s="938"/>
      <c r="J154" s="938"/>
    </row>
    <row r="155" spans="1:10" ht="27.75">
      <c r="A155" s="905" t="s">
        <v>345</v>
      </c>
      <c r="B155" s="905"/>
      <c r="C155" s="905"/>
      <c r="D155" s="117" t="s">
        <v>130</v>
      </c>
      <c r="E155" s="95">
        <f>'3'!F155</f>
        <v>113845</v>
      </c>
      <c r="F155" s="374">
        <v>114436</v>
      </c>
      <c r="G155" s="112">
        <f t="shared" ref="G155:G158" si="12">F155-E155</f>
        <v>591</v>
      </c>
      <c r="H155" s="99">
        <f>G155+'3'!H155</f>
        <v>2461</v>
      </c>
      <c r="I155" s="364"/>
      <c r="J155" s="328">
        <f>H155/DAY(B2)</f>
        <v>615.25</v>
      </c>
    </row>
    <row r="156" spans="1:10" ht="25.5">
      <c r="A156" s="905" t="s">
        <v>346</v>
      </c>
      <c r="B156" s="905"/>
      <c r="C156" s="905"/>
      <c r="D156" s="117" t="s">
        <v>130</v>
      </c>
      <c r="E156" s="95">
        <f>'3'!F156</f>
        <v>9900</v>
      </c>
      <c r="F156" s="155">
        <v>9965</v>
      </c>
      <c r="G156" s="112">
        <f t="shared" si="12"/>
        <v>65</v>
      </c>
      <c r="H156" s="99">
        <f>G156+'3'!H156</f>
        <v>280</v>
      </c>
      <c r="I156" s="165"/>
      <c r="J156" s="328">
        <f>H156/DAY(B2)</f>
        <v>70</v>
      </c>
    </row>
    <row r="157" spans="1:10" ht="25.5">
      <c r="A157" s="897" t="s">
        <v>360</v>
      </c>
      <c r="B157" s="898"/>
      <c r="C157" s="899"/>
      <c r="D157" s="117" t="s">
        <v>130</v>
      </c>
      <c r="E157" s="95">
        <f>'3'!F157</f>
        <v>18764</v>
      </c>
      <c r="F157" s="155">
        <v>18944</v>
      </c>
      <c r="G157" s="112">
        <f t="shared" si="12"/>
        <v>180</v>
      </c>
      <c r="H157" s="99">
        <f>G157+'3'!H157</f>
        <v>744</v>
      </c>
      <c r="I157" s="165"/>
      <c r="J157" s="328">
        <f>H157/DAY(B2)</f>
        <v>186</v>
      </c>
    </row>
    <row r="158" spans="1:10" ht="25.5">
      <c r="A158" s="897" t="s">
        <v>361</v>
      </c>
      <c r="B158" s="898"/>
      <c r="C158" s="899"/>
      <c r="D158" s="117" t="s">
        <v>130</v>
      </c>
      <c r="E158" s="95">
        <f>'3'!F158</f>
        <v>162</v>
      </c>
      <c r="F158" s="155">
        <v>163</v>
      </c>
      <c r="G158" s="112">
        <f t="shared" si="12"/>
        <v>1</v>
      </c>
      <c r="H158" s="99">
        <f>G158+'3'!H158</f>
        <v>72.58</v>
      </c>
      <c r="I158" s="165"/>
      <c r="J158" s="328">
        <f>H158/DAY(B2)</f>
        <v>18.145</v>
      </c>
    </row>
    <row r="159" spans="1:10" ht="25.5">
      <c r="A159" s="956"/>
      <c r="B159" s="957"/>
      <c r="C159" s="958"/>
      <c r="D159" s="117"/>
      <c r="E159" s="95"/>
      <c r="F159" s="165"/>
      <c r="G159" s="112"/>
      <c r="H159" s="99"/>
      <c r="I159" s="165"/>
      <c r="J159" s="328"/>
    </row>
    <row r="160" spans="1:10" ht="27.75">
      <c r="A160" s="938" t="s">
        <v>326</v>
      </c>
      <c r="B160" s="938"/>
      <c r="C160" s="938"/>
      <c r="D160" s="938"/>
      <c r="E160" s="938"/>
      <c r="F160" s="938"/>
      <c r="G160" s="938"/>
      <c r="H160" s="938"/>
      <c r="I160" s="938"/>
      <c r="J160" s="938"/>
    </row>
    <row r="161" spans="1:10" ht="26.25">
      <c r="A161" s="242" t="s">
        <v>92</v>
      </c>
      <c r="B161" s="243"/>
      <c r="C161" s="243"/>
      <c r="D161" s="244" t="s">
        <v>180</v>
      </c>
      <c r="E161" s="95">
        <f>'3'!F161</f>
        <v>475421</v>
      </c>
      <c r="F161" s="235">
        <v>475421</v>
      </c>
      <c r="G161" s="238">
        <f t="shared" ref="G161:G168" si="13">F161-E161</f>
        <v>0</v>
      </c>
      <c r="H161" s="99">
        <f>G161+'3'!H161</f>
        <v>0</v>
      </c>
      <c r="I161" s="236"/>
      <c r="J161" s="239">
        <f>H161/DAY(B2)</f>
        <v>0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'3'!F162</f>
        <v>92845</v>
      </c>
      <c r="F162" s="235">
        <v>92885</v>
      </c>
      <c r="G162" s="238">
        <f t="shared" si="13"/>
        <v>40</v>
      </c>
      <c r="H162" s="99">
        <f>G162+'3'!H162</f>
        <v>158</v>
      </c>
      <c r="I162" s="236"/>
      <c r="J162" s="239">
        <f>H162/DAY(B2)</f>
        <v>39.5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'3'!F163</f>
        <v>97620</v>
      </c>
      <c r="F163" s="235">
        <v>97757</v>
      </c>
      <c r="G163" s="238">
        <f t="shared" si="13"/>
        <v>137</v>
      </c>
      <c r="H163" s="99">
        <f>G163+'3'!H163</f>
        <v>622</v>
      </c>
      <c r="I163" s="236"/>
      <c r="J163" s="239">
        <f>H163/DAY(B2)</f>
        <v>155.5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'3'!F164</f>
        <v>5581</v>
      </c>
      <c r="F164" s="235">
        <v>5591</v>
      </c>
      <c r="G164" s="238">
        <f t="shared" si="13"/>
        <v>10</v>
      </c>
      <c r="H164" s="99">
        <f>G164+'3'!H164</f>
        <v>49</v>
      </c>
      <c r="I164" s="236"/>
      <c r="J164" s="239">
        <f>H164/DAY(B2)</f>
        <v>12.25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'3'!F165</f>
        <v>31052</v>
      </c>
      <c r="F165" s="235">
        <v>31091</v>
      </c>
      <c r="G165" s="238">
        <f t="shared" si="13"/>
        <v>39</v>
      </c>
      <c r="H165" s="99">
        <f>G165+'3'!H165</f>
        <v>77</v>
      </c>
      <c r="I165" s="236"/>
      <c r="J165" s="239">
        <f>H165/DAY(B2)</f>
        <v>19.25</v>
      </c>
    </row>
    <row r="166" spans="1:10" ht="26.25">
      <c r="A166" s="937"/>
      <c r="B166" s="937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7"/>
    </row>
    <row r="167" spans="1:10" ht="26.25">
      <c r="A167" s="937"/>
      <c r="B167" s="937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7"/>
    </row>
    <row r="168" spans="1:10" ht="26.25">
      <c r="A168" s="937"/>
      <c r="B168" s="937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7"/>
    </row>
    <row r="169" spans="1:10" ht="26.25"/>
    <row r="170" spans="1:10" ht="26.25"/>
    <row r="171" spans="1:10" ht="27.75">
      <c r="A171" s="947" t="s">
        <v>330</v>
      </c>
      <c r="B171" s="948"/>
      <c r="C171" s="948"/>
      <c r="D171" s="948"/>
      <c r="E171" s="948"/>
      <c r="F171" s="948"/>
      <c r="G171" s="948"/>
      <c r="H171" s="948"/>
      <c r="I171" s="948"/>
      <c r="J171" s="949"/>
    </row>
    <row r="172" spans="1:10" ht="25.5">
      <c r="A172" s="943"/>
      <c r="B172" s="944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5" t="s">
        <v>209</v>
      </c>
      <c r="B173" s="896"/>
      <c r="C173" s="333"/>
      <c r="D173" s="228" t="s">
        <v>142</v>
      </c>
      <c r="E173" s="95">
        <f>'3'!F173</f>
        <v>8267</v>
      </c>
      <c r="F173" s="155">
        <v>8267</v>
      </c>
      <c r="G173" s="155">
        <f>F173-E173</f>
        <v>0</v>
      </c>
      <c r="H173" s="99">
        <f>G173+'3'!H173</f>
        <v>3</v>
      </c>
      <c r="I173" s="155"/>
      <c r="J173" s="178">
        <f>H173/DAY(B2)</f>
        <v>0.75</v>
      </c>
    </row>
    <row r="174" spans="1:10" ht="25.5">
      <c r="A174" s="895" t="s">
        <v>75</v>
      </c>
      <c r="B174" s="896"/>
      <c r="C174" s="333"/>
      <c r="D174" s="228" t="s">
        <v>142</v>
      </c>
      <c r="E174" s="95">
        <f>'3'!F174</f>
        <v>40374</v>
      </c>
      <c r="F174" s="157">
        <v>40402</v>
      </c>
      <c r="G174" s="155">
        <f t="shared" ref="G174:G175" si="14">F174-E174</f>
        <v>28</v>
      </c>
      <c r="H174" s="99">
        <f>G174+'3'!H174</f>
        <v>70</v>
      </c>
      <c r="I174" s="155"/>
      <c r="J174" s="178">
        <f>H174/DAY(B2)</f>
        <v>17.5</v>
      </c>
    </row>
    <row r="175" spans="1:10" ht="25.5" customHeight="1">
      <c r="A175" s="895" t="s">
        <v>76</v>
      </c>
      <c r="B175" s="900"/>
      <c r="C175" s="896"/>
      <c r="D175" s="228" t="s">
        <v>142</v>
      </c>
      <c r="E175" s="95">
        <f>'3'!F175</f>
        <v>23311</v>
      </c>
      <c r="F175" s="155">
        <v>23327</v>
      </c>
      <c r="G175" s="155">
        <f t="shared" si="14"/>
        <v>16</v>
      </c>
      <c r="H175" s="99">
        <f>G175+'3'!H175</f>
        <v>69</v>
      </c>
      <c r="I175" s="155"/>
      <c r="J175" s="178">
        <f>H175/DAY(B2)</f>
        <v>17.25</v>
      </c>
    </row>
    <row r="176" spans="1:10" ht="24.75" customHeight="1">
      <c r="A176" s="870" t="s">
        <v>196</v>
      </c>
      <c r="B176" s="871"/>
      <c r="C176" s="872"/>
      <c r="D176" s="228"/>
      <c r="E176" s="95"/>
      <c r="F176" s="155"/>
      <c r="G176" s="155">
        <f>SUM(G173:G175)</f>
        <v>44</v>
      </c>
      <c r="H176" s="99">
        <f>G176+'3'!H176</f>
        <v>142</v>
      </c>
      <c r="I176" s="155"/>
      <c r="J176" s="178">
        <f>H176/DAY(B2)</f>
        <v>35.5</v>
      </c>
    </row>
    <row r="177" spans="1:10" ht="28.5" customHeight="1">
      <c r="A177" s="895" t="s">
        <v>77</v>
      </c>
      <c r="B177" s="896"/>
      <c r="C177" s="33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>
      <c r="A178" s="895" t="s">
        <v>210</v>
      </c>
      <c r="B178" s="896"/>
      <c r="C178" s="333"/>
      <c r="D178" s="228" t="s">
        <v>142</v>
      </c>
      <c r="E178" s="95">
        <f>'3'!F178</f>
        <v>92145</v>
      </c>
      <c r="F178" s="157">
        <v>92216</v>
      </c>
      <c r="G178" s="155">
        <f>F178-E178</f>
        <v>71</v>
      </c>
      <c r="H178" s="99">
        <f>G178+'3'!H178</f>
        <v>394</v>
      </c>
      <c r="I178" s="155"/>
      <c r="J178" s="178">
        <f>H178/DAY(B2)</f>
        <v>98.5</v>
      </c>
    </row>
    <row r="179" spans="1:10" ht="24" customHeight="1">
      <c r="A179" s="895" t="s">
        <v>211</v>
      </c>
      <c r="B179" s="896"/>
      <c r="C179" s="333"/>
      <c r="D179" s="228" t="s">
        <v>142</v>
      </c>
      <c r="E179" s="95">
        <f>'3'!F179</f>
        <v>35799</v>
      </c>
      <c r="F179" s="155">
        <v>35799</v>
      </c>
      <c r="G179" s="155">
        <f t="shared" ref="G179:G180" si="15">F179-E179</f>
        <v>0</v>
      </c>
      <c r="H179" s="99">
        <f>G179+'3'!H179</f>
        <v>15</v>
      </c>
      <c r="I179" s="155"/>
      <c r="J179" s="178">
        <f>H179/DAY(B2)</f>
        <v>3.75</v>
      </c>
    </row>
    <row r="180" spans="1:10" ht="25.5">
      <c r="A180" s="895" t="s">
        <v>212</v>
      </c>
      <c r="B180" s="896"/>
      <c r="C180" s="333"/>
      <c r="D180" s="228" t="s">
        <v>142</v>
      </c>
      <c r="E180" s="95">
        <f>'3'!F180</f>
        <v>6715</v>
      </c>
      <c r="F180" s="155">
        <v>6733</v>
      </c>
      <c r="G180" s="155">
        <f t="shared" si="15"/>
        <v>18</v>
      </c>
      <c r="H180" s="99">
        <f>G180+'3'!H180</f>
        <v>63</v>
      </c>
      <c r="I180" s="155"/>
      <c r="J180" s="178">
        <f>H180/DAY(B2)</f>
        <v>15.75</v>
      </c>
    </row>
    <row r="181" spans="1:10" ht="21.95" customHeight="1">
      <c r="A181" s="870" t="s">
        <v>196</v>
      </c>
      <c r="B181" s="871"/>
      <c r="C181" s="872"/>
      <c r="D181" s="228"/>
      <c r="E181" s="95"/>
      <c r="F181" s="155"/>
      <c r="G181" s="155">
        <f>SUM(G178:G180)</f>
        <v>89</v>
      </c>
      <c r="H181" s="99">
        <f>G181+'3'!H181</f>
        <v>472</v>
      </c>
      <c r="I181" s="155"/>
      <c r="J181" s="178">
        <f>H181/DAY(B2)</f>
        <v>118</v>
      </c>
    </row>
    <row r="182" spans="1:10" ht="21.95" customHeight="1">
      <c r="A182" s="895" t="s">
        <v>213</v>
      </c>
      <c r="B182" s="896"/>
      <c r="C182" s="33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5.5">
      <c r="A183" s="895" t="s">
        <v>214</v>
      </c>
      <c r="B183" s="896"/>
      <c r="C183" s="334"/>
      <c r="D183" s="228" t="s">
        <v>142</v>
      </c>
      <c r="E183" s="95">
        <f>'3'!F183</f>
        <v>16981</v>
      </c>
      <c r="F183" s="157">
        <v>17024</v>
      </c>
      <c r="G183" s="157">
        <f>F183-E183</f>
        <v>43</v>
      </c>
      <c r="H183" s="99">
        <f>G183+'3'!H183</f>
        <v>69</v>
      </c>
      <c r="I183" s="155"/>
      <c r="J183" s="178">
        <f>H183/DAY(B2)</f>
        <v>17.25</v>
      </c>
    </row>
    <row r="184" spans="1:10" ht="25.5">
      <c r="A184" s="895" t="s">
        <v>215</v>
      </c>
      <c r="B184" s="896"/>
      <c r="C184" s="334"/>
      <c r="D184" s="228" t="s">
        <v>142</v>
      </c>
      <c r="E184" s="95">
        <f>'3'!F184</f>
        <v>11517</v>
      </c>
      <c r="F184" s="157">
        <v>11531</v>
      </c>
      <c r="G184" s="157">
        <f t="shared" ref="G184:G185" si="16">F184-E184</f>
        <v>14</v>
      </c>
      <c r="H184" s="99">
        <f>G184+'3'!H184</f>
        <v>45</v>
      </c>
      <c r="I184" s="155"/>
      <c r="J184" s="178">
        <f>H184/DAY(B2)</f>
        <v>11.25</v>
      </c>
    </row>
    <row r="185" spans="1:10" ht="25.5">
      <c r="A185" s="895" t="s">
        <v>216</v>
      </c>
      <c r="B185" s="896"/>
      <c r="C185" s="33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6.25">
      <c r="A186" s="870" t="s">
        <v>196</v>
      </c>
      <c r="B186" s="871"/>
      <c r="C186" s="872"/>
      <c r="D186" s="229"/>
      <c r="E186" s="95"/>
      <c r="F186" s="157"/>
      <c r="G186" s="157">
        <f>SUM(G183:G185)</f>
        <v>57</v>
      </c>
      <c r="H186" s="99">
        <f>G186+'3'!H186</f>
        <v>114</v>
      </c>
      <c r="I186" s="157"/>
      <c r="J186" s="178">
        <f>H186/DAY(B2)</f>
        <v>28.5</v>
      </c>
    </row>
    <row r="187" spans="1:10" ht="25.5" customHeight="1">
      <c r="A187" s="945" t="s">
        <v>217</v>
      </c>
      <c r="B187" s="946"/>
      <c r="C187" s="333"/>
      <c r="D187" s="230" t="s">
        <v>142</v>
      </c>
      <c r="E187" s="95"/>
      <c r="F187" s="99"/>
      <c r="G187" s="378">
        <f>G62+G19</f>
        <v>254</v>
      </c>
      <c r="H187" s="99">
        <f>G187+'3'!H187</f>
        <v>945</v>
      </c>
      <c r="I187" s="158"/>
      <c r="J187" s="179">
        <f>H187/DAY(B2)</f>
        <v>236.25</v>
      </c>
    </row>
    <row r="188" spans="1:10" ht="25.5">
      <c r="A188" s="945" t="s">
        <v>218</v>
      </c>
      <c r="B188" s="946"/>
      <c r="C188" s="333"/>
      <c r="D188" s="230" t="s">
        <v>142</v>
      </c>
      <c r="E188" s="95"/>
      <c r="F188" s="159"/>
      <c r="G188" s="378">
        <f>G65+G66+G67+G69+G70</f>
        <v>273</v>
      </c>
      <c r="H188" s="99">
        <f>G188+'3'!H188</f>
        <v>953</v>
      </c>
      <c r="I188" s="158"/>
      <c r="J188" s="179">
        <f>H188/DAY(B2)</f>
        <v>238.25</v>
      </c>
    </row>
    <row r="189" spans="1:10" ht="25.5">
      <c r="A189" s="945" t="s">
        <v>219</v>
      </c>
      <c r="B189" s="946"/>
      <c r="C189" s="333"/>
      <c r="D189" s="230" t="s">
        <v>142</v>
      </c>
      <c r="E189" s="95"/>
      <c r="F189" s="157"/>
      <c r="G189" s="377">
        <f>G181</f>
        <v>89</v>
      </c>
      <c r="H189" s="99">
        <f>G189+'3'!H189</f>
        <v>472</v>
      </c>
      <c r="I189" s="158"/>
      <c r="J189" s="179">
        <f>H189/DAY(B2)</f>
        <v>118</v>
      </c>
    </row>
    <row r="190" spans="1:10" ht="25.5">
      <c r="A190" s="945"/>
      <c r="B190" s="946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6.25"/>
    <row r="192" spans="1:10" ht="26.25"/>
    <row r="193" ht="26.25"/>
    <row r="194" ht="26.25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topLeftCell="A109" zoomScale="51" zoomScaleNormal="48" zoomScaleSheetLayoutView="51" workbookViewId="0">
      <selection activeCell="F179" sqref="F17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6" t="s">
        <v>115</v>
      </c>
      <c r="B1" s="877"/>
      <c r="C1" s="877"/>
      <c r="D1" s="877"/>
      <c r="E1" s="877"/>
      <c r="F1" s="877"/>
      <c r="G1" s="877"/>
      <c r="H1" s="877"/>
      <c r="I1" s="877"/>
      <c r="J1" s="878"/>
    </row>
    <row r="2" spans="1:15" s="57" customFormat="1" ht="23.25">
      <c r="A2" s="191" t="s">
        <v>355</v>
      </c>
      <c r="B2" s="262">
        <v>44717</v>
      </c>
      <c r="C2" s="348" t="s">
        <v>67</v>
      </c>
      <c r="D2" s="218">
        <v>0.67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885" t="s">
        <v>119</v>
      </c>
      <c r="F3" s="886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9" t="s">
        <v>128</v>
      </c>
      <c r="B6" s="880"/>
      <c r="C6" s="88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'4'!F7</f>
        <v>796105</v>
      </c>
      <c r="F7" s="95">
        <v>822937</v>
      </c>
      <c r="G7" s="112">
        <f>F7-E7</f>
        <v>26832</v>
      </c>
      <c r="H7" s="99">
        <f>G7+'4'!H7</f>
        <v>136192</v>
      </c>
      <c r="I7" s="113">
        <f>'1'!I7</f>
        <v>12000</v>
      </c>
      <c r="J7" s="175">
        <f>H7/DAY(B2)</f>
        <v>27238.400000000001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'4'!F8</f>
        <v>915840</v>
      </c>
      <c r="F8" s="114">
        <v>943836</v>
      </c>
      <c r="G8" s="115">
        <f>F8-E8</f>
        <v>27996</v>
      </c>
      <c r="H8" s="99">
        <f>G8+'4'!H8</f>
        <v>141856</v>
      </c>
      <c r="I8" s="116"/>
      <c r="J8" s="175">
        <f>H8/DAY(B2)</f>
        <v>28371.200000000001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'4'!F9</f>
        <v>2495421</v>
      </c>
      <c r="F9" s="117">
        <v>2508624</v>
      </c>
      <c r="G9" s="112">
        <f>F9-E9</f>
        <v>13203</v>
      </c>
      <c r="H9" s="99">
        <f>G9+'4'!H9</f>
        <v>70934</v>
      </c>
      <c r="I9" s="124">
        <f>I7-J7</f>
        <v>-15238.400000000001</v>
      </c>
      <c r="J9" s="175">
        <f>H9/DAY(B2)</f>
        <v>14186.8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'4'!F10</f>
        <v>950155</v>
      </c>
      <c r="F10" s="117">
        <v>963080</v>
      </c>
      <c r="G10" s="112">
        <f t="shared" ref="G10:G12" si="0">F10-E10</f>
        <v>12925</v>
      </c>
      <c r="H10" s="99">
        <f>G10+'4'!H10</f>
        <v>61676</v>
      </c>
      <c r="I10" s="282"/>
      <c r="J10" s="175">
        <f>H10/DAY(B2)</f>
        <v>12335.2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'4'!F11</f>
        <v>37560</v>
      </c>
      <c r="F11" s="95">
        <v>37560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'4'!F12</f>
        <v>40380</v>
      </c>
      <c r="F12" s="117">
        <v>40380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26128</v>
      </c>
      <c r="H13" s="99">
        <f>G13+'4'!H13</f>
        <v>132471</v>
      </c>
      <c r="I13" s="120">
        <f>G7-G13</f>
        <v>704</v>
      </c>
      <c r="J13" s="175">
        <f>H13/DAY(B2)</f>
        <v>26494.2</v>
      </c>
      <c r="K13" s="79"/>
      <c r="L13" s="66"/>
      <c r="N13" s="87"/>
      <c r="O13" s="71"/>
    </row>
    <row r="14" spans="1:15" ht="26.25">
      <c r="A14" s="882" t="s">
        <v>137</v>
      </c>
      <c r="B14" s="883"/>
      <c r="C14" s="88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'4'!F15</f>
        <v>2041483</v>
      </c>
      <c r="F15" s="469">
        <v>2042601</v>
      </c>
      <c r="G15" s="112">
        <f>(F15-E15)</f>
        <v>1118</v>
      </c>
      <c r="H15" s="99">
        <f>G15+'4'!H15</f>
        <v>5484</v>
      </c>
      <c r="I15" s="113">
        <f>'1'!I15</f>
        <v>800</v>
      </c>
      <c r="J15" s="175">
        <f>H15/DAY(B2)</f>
        <v>1096.8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-296.79999999999995</v>
      </c>
      <c r="J16" s="176"/>
      <c r="K16" s="79"/>
      <c r="L16" s="66"/>
      <c r="N16" s="87"/>
      <c r="O16" s="71"/>
    </row>
    <row r="17" spans="1:15" ht="26.25">
      <c r="A17" s="882" t="s">
        <v>140</v>
      </c>
      <c r="B17" s="883"/>
      <c r="C17" s="88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3" t="s">
        <v>141</v>
      </c>
      <c r="B18" s="874"/>
      <c r="C18" s="875"/>
      <c r="D18" s="151" t="s">
        <v>142</v>
      </c>
      <c r="E18" s="95">
        <f>'4'!F18</f>
        <v>26</v>
      </c>
      <c r="F18" s="122">
        <v>26</v>
      </c>
      <c r="G18" s="119">
        <f>F18*10</f>
        <v>260</v>
      </c>
      <c r="H18" s="99">
        <f>G18+'4'!H18</f>
        <v>1290</v>
      </c>
      <c r="I18" s="113">
        <f>'1'!I18</f>
        <v>65</v>
      </c>
      <c r="J18" s="175">
        <f>H18/DAY(B2)</f>
        <v>258</v>
      </c>
      <c r="K18" s="79"/>
      <c r="L18" s="66"/>
      <c r="N18" s="87"/>
      <c r="O18" s="71"/>
    </row>
    <row r="19" spans="1:15" ht="25.5">
      <c r="A19" s="873" t="s">
        <v>69</v>
      </c>
      <c r="B19" s="874"/>
      <c r="C19" s="875"/>
      <c r="D19" s="151" t="s">
        <v>142</v>
      </c>
      <c r="E19" s="95">
        <f>'4'!F19</f>
        <v>160327</v>
      </c>
      <c r="F19" s="122">
        <v>160374</v>
      </c>
      <c r="G19" s="112">
        <f t="shared" ref="G19" si="1">F19-E19</f>
        <v>47</v>
      </c>
      <c r="H19" s="99">
        <f>G19+'4'!H19</f>
        <v>267</v>
      </c>
      <c r="I19" s="335"/>
      <c r="J19" s="175">
        <f>H19/DAY(B2)</f>
        <v>53.4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307</v>
      </c>
      <c r="H20" s="99">
        <f>G20+'4'!H20</f>
        <v>1557</v>
      </c>
      <c r="I20" s="336">
        <f>I18-J20</f>
        <v>-246.39999999999998</v>
      </c>
      <c r="J20" s="175">
        <f>H20/DAY(B2)</f>
        <v>311.39999999999998</v>
      </c>
      <c r="K20" s="79"/>
      <c r="L20" s="66"/>
      <c r="N20" s="87"/>
      <c r="O20" s="71"/>
    </row>
    <row r="21" spans="1:15" ht="26.25">
      <c r="A21" s="882" t="s">
        <v>144</v>
      </c>
      <c r="B21" s="883"/>
      <c r="C21" s="88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'4'!F23</f>
        <v>1500</v>
      </c>
      <c r="F23" s="122">
        <v>1500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7" t="s">
        <v>149</v>
      </c>
      <c r="B25" s="888"/>
      <c r="C25" s="88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27996</v>
      </c>
      <c r="F27" s="136">
        <v>9</v>
      </c>
      <c r="G27" s="137">
        <f>E27*F27</f>
        <v>251964</v>
      </c>
      <c r="H27" s="99">
        <f>G27+'4'!H27</f>
        <v>1276704</v>
      </c>
      <c r="I27" s="138"/>
      <c r="J27" s="175">
        <f>H27/DAY(B2)</f>
        <v>255340.79999999999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1118</v>
      </c>
      <c r="F28" s="136">
        <v>70</v>
      </c>
      <c r="G28" s="137">
        <f>E28*F28</f>
        <v>78260</v>
      </c>
      <c r="H28" s="99">
        <f>G28+'4'!H28</f>
        <v>383880</v>
      </c>
      <c r="I28" s="140"/>
      <c r="J28" s="175">
        <f>H28/DAY(B2)</f>
        <v>76776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151</v>
      </c>
      <c r="G30" s="137">
        <f>E30*F30</f>
        <v>7097</v>
      </c>
      <c r="H30" s="99">
        <f>G30+'4'!H30</f>
        <v>40317</v>
      </c>
      <c r="I30" s="140"/>
      <c r="J30" s="175">
        <f>H30/DAY(B2)</f>
        <v>8063.4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G31+'4'!H31</f>
        <v>103200</v>
      </c>
      <c r="I31" s="140"/>
      <c r="J31" s="175">
        <f>H31/DAY(B2)</f>
        <v>20640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358121</v>
      </c>
      <c r="H32" s="99">
        <f>G32+'4'!H32</f>
        <v>1804101</v>
      </c>
      <c r="I32" s="144"/>
      <c r="J32" s="175">
        <f>H32/DAY(B2)</f>
        <v>360820.2</v>
      </c>
      <c r="K32" s="63"/>
      <c r="L32" s="89"/>
      <c r="N32" s="87"/>
      <c r="O32" s="71"/>
    </row>
    <row r="33" spans="1:15" ht="25.5" customHeight="1">
      <c r="A33" s="890" t="s">
        <v>331</v>
      </c>
      <c r="B33" s="891"/>
      <c r="C33" s="89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'4'!F35</f>
        <v>238714</v>
      </c>
      <c r="F35" s="145">
        <v>238714</v>
      </c>
      <c r="G35" s="112">
        <f t="shared" ref="G35:G46" si="3">F35-E35</f>
        <v>0</v>
      </c>
      <c r="H35" s="99">
        <f>G35+'4'!H35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'4'!F36</f>
        <v>163732</v>
      </c>
      <c r="F36" s="145">
        <v>164473</v>
      </c>
      <c r="G36" s="112">
        <f t="shared" si="3"/>
        <v>741</v>
      </c>
      <c r="H36" s="99">
        <f>G36+'4'!H36</f>
        <v>4025</v>
      </c>
      <c r="I36" s="95"/>
      <c r="J36" s="175">
        <f>H36/DAY(B2)</f>
        <v>805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'4'!F37</f>
        <v>242887</v>
      </c>
      <c r="F37" s="145">
        <v>244611</v>
      </c>
      <c r="G37" s="112">
        <f t="shared" si="3"/>
        <v>1724</v>
      </c>
      <c r="H37" s="99">
        <f>G37+'4'!H37</f>
        <v>8832</v>
      </c>
      <c r="I37" s="95"/>
      <c r="J37" s="175">
        <f>H37/DAY(B2)</f>
        <v>1766.4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'4'!F38</f>
        <v>326244</v>
      </c>
      <c r="F38" s="108">
        <v>328677</v>
      </c>
      <c r="G38" s="112">
        <f t="shared" si="3"/>
        <v>2433</v>
      </c>
      <c r="H38" s="99">
        <f>G38+'4'!H38</f>
        <v>12385</v>
      </c>
      <c r="I38" s="95"/>
      <c r="J38" s="175">
        <f>H38/DAY(B2)</f>
        <v>2477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'4'!F39</f>
        <v>444239</v>
      </c>
      <c r="F39" s="145">
        <v>447252</v>
      </c>
      <c r="G39" s="112">
        <f t="shared" si="3"/>
        <v>3013</v>
      </c>
      <c r="H39" s="99">
        <f>G39+'4'!H39</f>
        <v>14967</v>
      </c>
      <c r="I39" s="95"/>
      <c r="J39" s="175">
        <f>H39/DAY(B2)</f>
        <v>2993.4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'4'!F40</f>
        <v>74327</v>
      </c>
      <c r="F40" s="145">
        <v>74520</v>
      </c>
      <c r="G40" s="112">
        <f t="shared" si="3"/>
        <v>193</v>
      </c>
      <c r="H40" s="99">
        <f>G40+'4'!H40</f>
        <v>967</v>
      </c>
      <c r="I40" s="95"/>
      <c r="J40" s="175">
        <f>H40/DAY(B2)</f>
        <v>193.4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'4'!F41</f>
        <v>68835</v>
      </c>
      <c r="F41" s="145">
        <v>68835</v>
      </c>
      <c r="G41" s="112">
        <f t="shared" si="3"/>
        <v>0</v>
      </c>
      <c r="H41" s="99">
        <f>G41+'4'!H41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'4'!F42</f>
        <v>580310</v>
      </c>
      <c r="F42" s="145">
        <v>584085</v>
      </c>
      <c r="G42" s="112">
        <f t="shared" si="3"/>
        <v>3775</v>
      </c>
      <c r="H42" s="99">
        <f>G42+'4'!H42</f>
        <v>24213</v>
      </c>
      <c r="I42" s="95"/>
      <c r="J42" s="175">
        <f>H42/DAY(B2)</f>
        <v>4842.6000000000004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'4'!F43</f>
        <v>407028</v>
      </c>
      <c r="F43" s="145">
        <v>407028</v>
      </c>
      <c r="G43" s="112">
        <f t="shared" si="3"/>
        <v>0</v>
      </c>
      <c r="H43" s="99">
        <f>G43+'4'!H43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11879</v>
      </c>
      <c r="H47" s="99">
        <f>G47+'4'!H47</f>
        <v>65389</v>
      </c>
      <c r="I47" s="95"/>
      <c r="J47" s="175">
        <f>H47/DAY(B2)</f>
        <v>13077.8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'4'!F49</f>
        <v>272932</v>
      </c>
      <c r="F49" s="145">
        <v>276385</v>
      </c>
      <c r="G49" s="112">
        <f t="shared" ref="G49:G58" si="4">F49-E49</f>
        <v>3453</v>
      </c>
      <c r="H49" s="99">
        <f>G49+'4'!H49</f>
        <v>19238</v>
      </c>
      <c r="I49" s="95"/>
      <c r="J49" s="175">
        <f>H49/DAY(B2)</f>
        <v>3847.6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'4'!F50</f>
        <v>213301</v>
      </c>
      <c r="F50" s="145">
        <v>214975</v>
      </c>
      <c r="G50" s="112">
        <f t="shared" si="4"/>
        <v>1674</v>
      </c>
      <c r="H50" s="99">
        <f>G50+'4'!H50</f>
        <v>5411</v>
      </c>
      <c r="I50" s="95"/>
      <c r="J50" s="175">
        <f>H50/DAY(B2)</f>
        <v>1082.2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'4'!F51</f>
        <v>76</v>
      </c>
      <c r="F51" s="145">
        <v>75.680000000000007</v>
      </c>
      <c r="G51" s="112">
        <f t="shared" si="4"/>
        <v>-0.31999999999999318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'4'!F52</f>
        <v>9.75</v>
      </c>
      <c r="F52" s="145">
        <v>9.76</v>
      </c>
      <c r="G52" s="112">
        <f t="shared" si="4"/>
        <v>9.9999999999997868E-3</v>
      </c>
      <c r="H52" s="99">
        <f>G52+'4'!H52</f>
        <v>-0.24000000000000021</v>
      </c>
      <c r="I52" s="95"/>
      <c r="J52" s="175">
        <f>H52/DAY(B2)</f>
        <v>-4.8000000000000043E-2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'4'!F54</f>
        <v>66400</v>
      </c>
      <c r="F54" s="145">
        <v>66864</v>
      </c>
      <c r="G54" s="112">
        <f t="shared" si="4"/>
        <v>464</v>
      </c>
      <c r="H54" s="99">
        <f>G54+'4'!H54</f>
        <v>2308</v>
      </c>
      <c r="I54" s="95"/>
      <c r="J54" s="175">
        <f>H54/DAY(B2)</f>
        <v>461.6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'4'!F55</f>
        <v>237443</v>
      </c>
      <c r="F55" s="145">
        <v>240794</v>
      </c>
      <c r="G55" s="112">
        <f t="shared" si="4"/>
        <v>3351</v>
      </c>
      <c r="H55" s="99">
        <f>G55+'4'!H55</f>
        <v>15321</v>
      </c>
      <c r="I55" s="95"/>
      <c r="J55" s="175">
        <f>H55/DAY(B2)</f>
        <v>3064.2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'4'!F56</f>
        <v>107245.66</v>
      </c>
      <c r="F56" s="145">
        <v>107245.66</v>
      </c>
      <c r="G56" s="112">
        <f t="shared" si="4"/>
        <v>0</v>
      </c>
      <c r="H56" s="99">
        <f>G56+'4'!H56</f>
        <v>-0.33999999999650754</v>
      </c>
      <c r="I56" s="95"/>
      <c r="J56" s="175">
        <f>H56/DAY(B2)</f>
        <v>-6.7999999999301508E-2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'4'!F57</f>
        <v>49522</v>
      </c>
      <c r="F57" s="145">
        <v>52503</v>
      </c>
      <c r="G57" s="112">
        <f t="shared" si="4"/>
        <v>2981</v>
      </c>
      <c r="H57" s="99">
        <f>G57+'4'!H57</f>
        <v>14900</v>
      </c>
      <c r="I57" s="95"/>
      <c r="J57" s="175">
        <f>H57/DAY(B2)</f>
        <v>2980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'4'!F58</f>
        <v>33654</v>
      </c>
      <c r="F58" s="145">
        <v>33896</v>
      </c>
      <c r="G58" s="112">
        <f t="shared" si="4"/>
        <v>242</v>
      </c>
      <c r="H58" s="99">
        <f>G58+'4'!H58</f>
        <v>1237</v>
      </c>
      <c r="I58" s="95"/>
      <c r="J58" s="175">
        <f>H58/DAY(B2)</f>
        <v>247.4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12164.69</v>
      </c>
      <c r="H59" s="99">
        <f>G59+'4'!H59</f>
        <v>58414.420000000006</v>
      </c>
      <c r="I59" s="95">
        <f>G7-G60</f>
        <v>2788.3099999999977</v>
      </c>
      <c r="J59" s="175">
        <f>H59/DAY(B2)</f>
        <v>11682.884000000002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24043.690000000002</v>
      </c>
      <c r="H60" s="99">
        <f>G60+'4'!H60</f>
        <v>123803.42000000001</v>
      </c>
      <c r="I60" s="95">
        <f>G13-G60</f>
        <v>2084.3099999999977</v>
      </c>
      <c r="J60" s="175">
        <f>H60/DAY(B2)</f>
        <v>24760.684000000001</v>
      </c>
      <c r="K60" s="79"/>
      <c r="L60" s="66"/>
      <c r="N60" s="87"/>
      <c r="O60" s="71"/>
    </row>
    <row r="61" spans="1:15" s="68" customFormat="1" ht="26.25">
      <c r="A61" s="892" t="s">
        <v>332</v>
      </c>
      <c r="B61" s="893"/>
      <c r="C61" s="89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3" t="s">
        <v>198</v>
      </c>
      <c r="B62" s="874"/>
      <c r="C62" s="875"/>
      <c r="D62" s="151" t="s">
        <v>142</v>
      </c>
      <c r="E62" s="95">
        <f>'4'!F62</f>
        <v>289625</v>
      </c>
      <c r="F62" s="122">
        <v>289850</v>
      </c>
      <c r="G62" s="112">
        <f t="shared" ref="G62:G63" si="5">F62-E62</f>
        <v>225</v>
      </c>
      <c r="H62" s="99">
        <f>G62+'4'!H62</f>
        <v>950</v>
      </c>
      <c r="I62" s="118"/>
      <c r="J62" s="175">
        <f>H62/DAY(B2)</f>
        <v>190</v>
      </c>
      <c r="K62" s="80"/>
      <c r="L62" s="66"/>
      <c r="N62" s="87"/>
      <c r="O62" s="71"/>
    </row>
    <row r="63" spans="1:15" ht="25.5">
      <c r="A63" s="873" t="s">
        <v>199</v>
      </c>
      <c r="B63" s="874"/>
      <c r="C63" s="875"/>
      <c r="D63" s="151" t="s">
        <v>142</v>
      </c>
      <c r="E63" s="95">
        <f>'4'!F63</f>
        <v>231703</v>
      </c>
      <c r="F63" s="122">
        <v>231859</v>
      </c>
      <c r="G63" s="112">
        <f t="shared" si="5"/>
        <v>156</v>
      </c>
      <c r="H63" s="99">
        <f>G63+'4'!H63</f>
        <v>697</v>
      </c>
      <c r="I63" s="118"/>
      <c r="J63" s="175">
        <f>H63/DAY(B2)</f>
        <v>139.4</v>
      </c>
      <c r="K63" s="69"/>
      <c r="L63" s="66"/>
      <c r="N63" s="87"/>
      <c r="O63" s="71"/>
    </row>
    <row r="64" spans="1:15" ht="26.25">
      <c r="A64" s="870" t="s">
        <v>200</v>
      </c>
      <c r="B64" s="871"/>
      <c r="C64" s="872"/>
      <c r="D64" s="151"/>
      <c r="E64" s="95">
        <f>'4'!F64</f>
        <v>0</v>
      </c>
      <c r="F64" s="122"/>
      <c r="G64" s="112">
        <f>G62+G63</f>
        <v>381</v>
      </c>
      <c r="H64" s="99">
        <f>G64+'4'!H64</f>
        <v>1647</v>
      </c>
      <c r="I64" s="118"/>
      <c r="J64" s="175">
        <f>H64/DAY(B2)</f>
        <v>329.4</v>
      </c>
      <c r="K64" s="69"/>
      <c r="L64" s="66"/>
      <c r="N64" s="87"/>
      <c r="O64" s="71"/>
    </row>
    <row r="65" spans="1:15" ht="25.5">
      <c r="A65" s="873" t="s">
        <v>201</v>
      </c>
      <c r="B65" s="874"/>
      <c r="C65" s="875"/>
      <c r="D65" s="151" t="s">
        <v>142</v>
      </c>
      <c r="E65" s="95">
        <f>'4'!F65</f>
        <v>448495</v>
      </c>
      <c r="F65" s="122">
        <v>448619</v>
      </c>
      <c r="G65" s="112">
        <f t="shared" ref="G65:G70" si="6">F65-E65</f>
        <v>124</v>
      </c>
      <c r="H65" s="99">
        <f>G65+'4'!H65</f>
        <v>592</v>
      </c>
      <c r="I65" s="118"/>
      <c r="J65" s="175">
        <f>H65/DAY(B2)</f>
        <v>118.4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'4'!F66</f>
        <v>110435</v>
      </c>
      <c r="F66" s="122">
        <v>110463</v>
      </c>
      <c r="G66" s="112">
        <f t="shared" si="6"/>
        <v>28</v>
      </c>
      <c r="H66" s="99">
        <f>G66+'4'!H66</f>
        <v>132</v>
      </c>
      <c r="I66" s="118"/>
      <c r="J66" s="175">
        <f>H66/DAY(B2)</f>
        <v>26.4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'4'!F67</f>
        <v>113563</v>
      </c>
      <c r="F67" s="122">
        <v>113623</v>
      </c>
      <c r="G67" s="112">
        <f t="shared" si="6"/>
        <v>60</v>
      </c>
      <c r="H67" s="99">
        <f>G67+'4'!H67</f>
        <v>345</v>
      </c>
      <c r="I67" s="118"/>
      <c r="J67" s="175">
        <f>H67/DAY(B2)</f>
        <v>69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'4'!F68</f>
        <v>162570</v>
      </c>
      <c r="F68" s="122">
        <v>162609</v>
      </c>
      <c r="G68" s="112">
        <f t="shared" si="6"/>
        <v>39</v>
      </c>
      <c r="H68" s="99">
        <f>G68+'4'!H68</f>
        <v>115</v>
      </c>
      <c r="I68" s="118"/>
      <c r="J68" s="175">
        <f>H68/DAY(B2)</f>
        <v>23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'4'!F69</f>
        <v>11918</v>
      </c>
      <c r="F69" s="122">
        <v>11927</v>
      </c>
      <c r="G69" s="112">
        <f t="shared" si="6"/>
        <v>9</v>
      </c>
      <c r="H69" s="99">
        <f>G69+'4'!H69</f>
        <v>58</v>
      </c>
      <c r="I69" s="118"/>
      <c r="J69" s="175">
        <f>H69/DAY(B2)</f>
        <v>11.6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'4'!F70</f>
        <v>9314</v>
      </c>
      <c r="F70" s="122">
        <v>9320</v>
      </c>
      <c r="G70" s="112">
        <f t="shared" si="6"/>
        <v>6</v>
      </c>
      <c r="H70" s="99">
        <f>G70+'4'!H70</f>
        <v>53</v>
      </c>
      <c r="I70" s="118"/>
      <c r="J70" s="175">
        <f>H70/DAY(B2)</f>
        <v>10.6</v>
      </c>
      <c r="K70" s="69"/>
      <c r="L70" s="66"/>
      <c r="N70" s="87"/>
      <c r="O70" s="71"/>
    </row>
    <row r="71" spans="1:15" ht="26.25">
      <c r="A71" s="870" t="s">
        <v>208</v>
      </c>
      <c r="B71" s="871"/>
      <c r="C71" s="872"/>
      <c r="D71" s="152"/>
      <c r="E71" s="152"/>
      <c r="F71" s="152"/>
      <c r="G71" s="153">
        <f>SUM(G65:G70)</f>
        <v>266</v>
      </c>
      <c r="H71" s="99">
        <f>G71+'4'!H71</f>
        <v>1295</v>
      </c>
      <c r="I71" s="154"/>
      <c r="J71" s="175">
        <f>H71/DAY(B2)</f>
        <v>259</v>
      </c>
      <c r="K71" s="69"/>
      <c r="L71" s="66"/>
      <c r="N71" s="87"/>
      <c r="O71" s="71"/>
    </row>
    <row r="72" spans="1:15" s="88" customFormat="1" ht="25.5">
      <c r="A72" s="916"/>
      <c r="B72" s="90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3" t="s">
        <v>220</v>
      </c>
      <c r="B74" s="874"/>
      <c r="C74" s="875"/>
      <c r="D74" s="151" t="s">
        <v>139</v>
      </c>
      <c r="E74" s="95">
        <f>'4'!F74</f>
        <v>939949</v>
      </c>
      <c r="F74" s="123">
        <v>940272</v>
      </c>
      <c r="G74" s="112">
        <f t="shared" ref="G74:G78" si="7">F74-E74</f>
        <v>323</v>
      </c>
      <c r="H74" s="99">
        <f>G74+'4'!H74</f>
        <v>1602</v>
      </c>
      <c r="I74" s="154"/>
      <c r="J74" s="175">
        <f>H74/DAY(B2)</f>
        <v>320.39999999999998</v>
      </c>
      <c r="K74" s="69"/>
      <c r="L74" s="66"/>
      <c r="N74" s="87"/>
      <c r="O74" s="71"/>
    </row>
    <row r="75" spans="1:15" ht="25.5">
      <c r="A75" s="873" t="s">
        <v>221</v>
      </c>
      <c r="B75" s="874"/>
      <c r="C75" s="875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7" t="s">
        <v>222</v>
      </c>
      <c r="B76" s="903"/>
      <c r="C76" s="904"/>
      <c r="D76" s="151" t="s">
        <v>139</v>
      </c>
      <c r="E76" s="95">
        <f>'4'!F76</f>
        <v>184160</v>
      </c>
      <c r="F76" s="123">
        <v>184290</v>
      </c>
      <c r="G76" s="112">
        <f t="shared" si="7"/>
        <v>130</v>
      </c>
      <c r="H76" s="99">
        <f>G76+'4'!H76</f>
        <v>584</v>
      </c>
      <c r="I76" s="154"/>
      <c r="J76" s="175">
        <f>H76/DAY(B2)</f>
        <v>116.8</v>
      </c>
      <c r="K76" s="69"/>
      <c r="L76" s="66"/>
      <c r="N76" s="87"/>
      <c r="O76" s="71"/>
    </row>
    <row r="77" spans="1:15" ht="25.5">
      <c r="A77" s="917" t="s">
        <v>223</v>
      </c>
      <c r="B77" s="903"/>
      <c r="C77" s="904"/>
      <c r="D77" s="151" t="s">
        <v>139</v>
      </c>
      <c r="E77" s="95">
        <f>'4'!F77</f>
        <v>47541</v>
      </c>
      <c r="F77" s="123">
        <v>47587</v>
      </c>
      <c r="G77" s="112">
        <f t="shared" si="7"/>
        <v>46</v>
      </c>
      <c r="H77" s="99">
        <f>G77+'4'!H77</f>
        <v>242</v>
      </c>
      <c r="I77" s="154"/>
      <c r="J77" s="175">
        <f>H77/DAY(B2)</f>
        <v>48.4</v>
      </c>
      <c r="K77" s="69"/>
      <c r="L77" s="66"/>
      <c r="N77" s="87"/>
      <c r="O77" s="71"/>
    </row>
    <row r="78" spans="1:15" ht="25.5">
      <c r="A78" s="917" t="s">
        <v>224</v>
      </c>
      <c r="B78" s="903"/>
      <c r="C78" s="904"/>
      <c r="D78" s="151" t="s">
        <v>139</v>
      </c>
      <c r="E78" s="95">
        <f>'4'!F78</f>
        <v>9563</v>
      </c>
      <c r="F78" s="123">
        <v>9563.4</v>
      </c>
      <c r="G78" s="112">
        <f t="shared" si="7"/>
        <v>0.3999999999996362</v>
      </c>
      <c r="H78" s="99">
        <f>G78+'4'!H78</f>
        <v>0.3999999999996362</v>
      </c>
      <c r="I78" s="118"/>
      <c r="J78" s="175">
        <f>H78/DAY(B2)</f>
        <v>7.999999999992724E-2</v>
      </c>
      <c r="K78" s="69"/>
      <c r="L78" s="66"/>
      <c r="N78" s="87"/>
      <c r="O78" s="71"/>
    </row>
    <row r="79" spans="1:15" s="57" customFormat="1" ht="25.5">
      <c r="A79" s="917" t="s">
        <v>225</v>
      </c>
      <c r="B79" s="903"/>
      <c r="C79" s="904"/>
      <c r="D79" s="151"/>
      <c r="E79" s="117"/>
      <c r="F79" s="117"/>
      <c r="G79" s="112">
        <f>G15-SUM(G74:G78)</f>
        <v>618.60000000000036</v>
      </c>
      <c r="H79" s="99">
        <f>G79+'4'!H79</f>
        <v>3055.6000000000004</v>
      </c>
      <c r="I79" s="118"/>
      <c r="J79" s="175"/>
      <c r="K79" s="59"/>
      <c r="L79" s="58"/>
      <c r="N79" s="87"/>
      <c r="O79" s="71"/>
    </row>
    <row r="80" spans="1:15" s="57" customFormat="1" ht="26.25">
      <c r="A80" s="870" t="s">
        <v>329</v>
      </c>
      <c r="B80" s="871"/>
      <c r="C80" s="872"/>
      <c r="D80" s="151"/>
      <c r="E80" s="117"/>
      <c r="F80" s="117"/>
      <c r="G80" s="112">
        <f>SUM(G74:G79)</f>
        <v>1118</v>
      </c>
      <c r="H80" s="99"/>
      <c r="I80" s="118"/>
      <c r="J80" s="175"/>
      <c r="K80" s="59"/>
      <c r="L80" s="58"/>
      <c r="N80" s="87"/>
      <c r="O80" s="71"/>
    </row>
    <row r="81" spans="1:15" ht="25.5">
      <c r="A81" s="909" t="s">
        <v>226</v>
      </c>
      <c r="B81" s="910"/>
      <c r="C81" s="91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'4'!F84</f>
        <v>41969</v>
      </c>
      <c r="F84" s="164">
        <v>41969</v>
      </c>
      <c r="G84" s="112">
        <f t="shared" si="8"/>
        <v>0</v>
      </c>
      <c r="H84" s="99">
        <f>G84+'4'!H84</f>
        <v>0</v>
      </c>
      <c r="I84" s="57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'4'!F85</f>
        <v>4427</v>
      </c>
      <c r="F85" s="164">
        <v>4445</v>
      </c>
      <c r="G85" s="112">
        <f t="shared" si="8"/>
        <v>18</v>
      </c>
      <c r="H85" s="99">
        <f>G85+'4'!H85</f>
        <v>102</v>
      </c>
      <c r="I85" s="573"/>
      <c r="J85" s="175">
        <f>H85/DAY(B2)</f>
        <v>20.399999999999999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'4'!F86</f>
        <v>44551</v>
      </c>
      <c r="F86" s="164">
        <v>44575</v>
      </c>
      <c r="G86" s="112">
        <f t="shared" si="8"/>
        <v>24</v>
      </c>
      <c r="H86" s="99">
        <f>G86+'4'!H86</f>
        <v>105</v>
      </c>
      <c r="I86" s="573"/>
      <c r="J86" s="175">
        <f>H86/DAY(B2)</f>
        <v>21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'4'!F87</f>
        <v>35329.06</v>
      </c>
      <c r="F87" s="164">
        <v>35329.06</v>
      </c>
      <c r="G87" s="112">
        <f t="shared" si="8"/>
        <v>0</v>
      </c>
      <c r="H87" s="99">
        <f>G87+'4'!H87</f>
        <v>5.9999999997671694E-2</v>
      </c>
      <c r="I87" s="573">
        <f>G84+G85+G86+G87</f>
        <v>42</v>
      </c>
      <c r="J87" s="175">
        <f>H87/DAY(B2)</f>
        <v>1.1999999999534338E-2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'4'!F88</f>
        <v>24267.38</v>
      </c>
      <c r="F88" s="164">
        <v>24275</v>
      </c>
      <c r="G88" s="112">
        <f t="shared" si="8"/>
        <v>7.6199999999989814</v>
      </c>
      <c r="H88" s="99">
        <f>G88+'4'!H88</f>
        <v>47.119999999998981</v>
      </c>
      <c r="I88" s="573"/>
      <c r="J88" s="175">
        <f>H88/DAY(B2)</f>
        <v>9.423999999999797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'4'!F89</f>
        <v>27036</v>
      </c>
      <c r="F89" s="164">
        <v>27047</v>
      </c>
      <c r="G89" s="112">
        <f t="shared" si="8"/>
        <v>11</v>
      </c>
      <c r="H89" s="99">
        <f>G89+'4'!H89</f>
        <v>53.590000000000146</v>
      </c>
      <c r="I89" s="573">
        <f>G88+G89</f>
        <v>18.619999999998981</v>
      </c>
      <c r="J89" s="175">
        <f>H89/DAY(B2)</f>
        <v>10.718000000000028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'4'!F90</f>
        <v>72127</v>
      </c>
      <c r="F90" s="164">
        <v>72127</v>
      </c>
      <c r="G90" s="112">
        <f t="shared" si="8"/>
        <v>0</v>
      </c>
      <c r="H90" s="99">
        <f>G90+'4'!H90</f>
        <v>-0.11999999999534339</v>
      </c>
      <c r="I90" s="573">
        <f>G90</f>
        <v>0</v>
      </c>
      <c r="J90" s="175">
        <f>H90/DAY(B2)</f>
        <v>-2.3999999999068676E-2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'4'!F91</f>
        <v>4122</v>
      </c>
      <c r="F91" s="122">
        <v>4122</v>
      </c>
      <c r="G91" s="112">
        <f t="shared" si="8"/>
        <v>0</v>
      </c>
      <c r="H91" s="99">
        <f>G91+'4'!H91</f>
        <v>0.3500000000003638</v>
      </c>
      <c r="I91" s="592"/>
      <c r="J91" s="175">
        <f>H91/DAY(B2)</f>
        <v>7.0000000000072754E-2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'4'!F92</f>
        <v>6261.42</v>
      </c>
      <c r="F92" s="122">
        <v>6273</v>
      </c>
      <c r="G92" s="112">
        <f t="shared" si="8"/>
        <v>11.579999999999927</v>
      </c>
      <c r="H92" s="99">
        <f>G92+'4'!H92</f>
        <v>55.75</v>
      </c>
      <c r="I92" s="598">
        <f>G91+G92</f>
        <v>11.579999999999927</v>
      </c>
      <c r="J92" s="175">
        <f>H92/DAY(B2)</f>
        <v>11.15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3" t="s">
        <v>240</v>
      </c>
      <c r="B94" s="874"/>
      <c r="C94" s="875"/>
      <c r="D94" s="151" t="s">
        <v>130</v>
      </c>
      <c r="E94" s="151"/>
      <c r="F94" s="151"/>
      <c r="G94" s="99">
        <f>G35+G43+G49+G57</f>
        <v>6434</v>
      </c>
      <c r="H94" s="99">
        <f>G94+'4'!H94</f>
        <v>34138</v>
      </c>
      <c r="I94" s="118"/>
      <c r="J94" s="175">
        <f>H94/DAY(B2)</f>
        <v>6827.6</v>
      </c>
      <c r="K94" s="69"/>
      <c r="L94" s="66"/>
      <c r="O94" s="71"/>
    </row>
    <row r="95" spans="1:15" ht="25.5">
      <c r="A95" s="873" t="s">
        <v>241</v>
      </c>
      <c r="B95" s="874"/>
      <c r="C95" s="875"/>
      <c r="D95" s="151" t="s">
        <v>23</v>
      </c>
      <c r="E95" s="146"/>
      <c r="F95" s="146"/>
      <c r="G95" s="166">
        <f>G94/G7</f>
        <v>0.23978831246273108</v>
      </c>
      <c r="H95" s="99">
        <f>G95+'4'!H95</f>
        <v>1.2531808777938658</v>
      </c>
      <c r="I95" s="167"/>
      <c r="J95" s="175">
        <f>H95/DAY(B2)</f>
        <v>0.25063617555877316</v>
      </c>
      <c r="K95" s="69"/>
      <c r="L95" s="66"/>
      <c r="O95" s="71"/>
    </row>
    <row r="96" spans="1:15" ht="25.5">
      <c r="A96" s="873" t="s">
        <v>242</v>
      </c>
      <c r="B96" s="874"/>
      <c r="C96" s="875"/>
      <c r="D96" s="151" t="s">
        <v>130</v>
      </c>
      <c r="E96" s="95"/>
      <c r="F96" s="95"/>
      <c r="G96" s="99">
        <f>G41+G42+G55+G56</f>
        <v>7126</v>
      </c>
      <c r="H96" s="99">
        <f>G96+'4'!H96</f>
        <v>39533.660000000003</v>
      </c>
      <c r="I96" s="118"/>
      <c r="J96" s="175">
        <f>H96/DAY(B2)</f>
        <v>7906.7320000000009</v>
      </c>
      <c r="K96" s="69"/>
      <c r="L96" s="66"/>
      <c r="O96" s="71"/>
    </row>
    <row r="97" spans="1:15" ht="25.5">
      <c r="A97" s="873" t="s">
        <v>243</v>
      </c>
      <c r="B97" s="874"/>
      <c r="C97" s="875"/>
      <c r="D97" s="151" t="s">
        <v>23</v>
      </c>
      <c r="E97" s="95"/>
      <c r="F97" s="95"/>
      <c r="G97" s="166">
        <f>G96/G7</f>
        <v>0.26557841383422781</v>
      </c>
      <c r="H97" s="99">
        <f>G97+'4'!H97</f>
        <v>1.4507562987193694</v>
      </c>
      <c r="I97" s="167"/>
      <c r="J97" s="175">
        <f>H97/DAY(B2)</f>
        <v>0.2901512597438739</v>
      </c>
      <c r="K97" s="69"/>
      <c r="L97" s="66"/>
      <c r="O97" s="71"/>
    </row>
    <row r="98" spans="1:15" ht="25.5">
      <c r="A98" s="873" t="s">
        <v>244</v>
      </c>
      <c r="B98" s="874"/>
      <c r="C98" s="875"/>
      <c r="D98" s="151" t="s">
        <v>130</v>
      </c>
      <c r="E98" s="95"/>
      <c r="F98" s="95"/>
      <c r="G98" s="99">
        <f>G39+G53</f>
        <v>3013</v>
      </c>
      <c r="H98" s="99">
        <f>G98+'4'!H98</f>
        <v>14967</v>
      </c>
      <c r="I98" s="168"/>
      <c r="J98" s="175">
        <f>H98/DAY(B2)</f>
        <v>2993.4</v>
      </c>
      <c r="K98" s="69"/>
      <c r="L98" s="66"/>
      <c r="O98" s="71"/>
    </row>
    <row r="99" spans="1:15" ht="25.5">
      <c r="A99" s="873" t="s">
        <v>245</v>
      </c>
      <c r="B99" s="874"/>
      <c r="C99" s="875"/>
      <c r="D99" s="151" t="s">
        <v>23</v>
      </c>
      <c r="E99" s="95"/>
      <c r="F99" s="95"/>
      <c r="G99" s="166">
        <f>G98/G7</f>
        <v>0.11229129397734049</v>
      </c>
      <c r="H99" s="99">
        <f>G99+'4'!H99</f>
        <v>0.54959838753794732</v>
      </c>
      <c r="I99" s="168"/>
      <c r="J99" s="175">
        <f>H99/DAY(B2)</f>
        <v>0.10991967750758946</v>
      </c>
      <c r="O99" s="71"/>
    </row>
    <row r="100" spans="1:15" ht="26.25">
      <c r="A100" s="873" t="s">
        <v>246</v>
      </c>
      <c r="B100" s="874"/>
      <c r="C100" s="875"/>
      <c r="D100" s="151" t="s">
        <v>180</v>
      </c>
      <c r="E100" s="95"/>
      <c r="F100" s="95"/>
      <c r="G100" s="99">
        <f>G38+G52</f>
        <v>2433.0100000000002</v>
      </c>
      <c r="H100" s="99">
        <f>G100+'4'!H100</f>
        <v>12384.76</v>
      </c>
      <c r="I100" s="118"/>
      <c r="J100" s="175">
        <f>H100/DAY(B2)</f>
        <v>2476.9520000000002</v>
      </c>
      <c r="K100" s="70"/>
      <c r="O100" s="71"/>
    </row>
    <row r="101" spans="1:15" ht="25.5">
      <c r="A101" s="873" t="s">
        <v>247</v>
      </c>
      <c r="B101" s="874"/>
      <c r="C101" s="875"/>
      <c r="D101" s="151" t="s">
        <v>23</v>
      </c>
      <c r="E101" s="95"/>
      <c r="F101" s="95"/>
      <c r="G101" s="166">
        <f>G100/G7</f>
        <v>9.0675685748360171E-2</v>
      </c>
      <c r="H101" s="99">
        <f>G101+'4'!H101</f>
        <v>0.45482820184370898</v>
      </c>
      <c r="I101" s="168"/>
      <c r="J101" s="175">
        <f>H101/DAY(B2)</f>
        <v>9.0965640368741801E-2</v>
      </c>
      <c r="O101" s="71"/>
    </row>
    <row r="102" spans="1:15" ht="25.5">
      <c r="A102" s="873" t="s">
        <v>248</v>
      </c>
      <c r="B102" s="874"/>
      <c r="C102" s="875"/>
      <c r="D102" s="151" t="s">
        <v>180</v>
      </c>
      <c r="E102" s="95"/>
      <c r="F102" s="95"/>
      <c r="G102" s="99">
        <f>G36+G50</f>
        <v>2415</v>
      </c>
      <c r="H102" s="99">
        <f>G102+'4'!H102</f>
        <v>9436</v>
      </c>
      <c r="I102" s="168"/>
      <c r="J102" s="175">
        <f>H102/DAY(B2)</f>
        <v>1887.2</v>
      </c>
      <c r="O102" s="71"/>
    </row>
    <row r="103" spans="1:15" ht="25.5">
      <c r="A103" s="873" t="s">
        <v>249</v>
      </c>
      <c r="B103" s="874"/>
      <c r="C103" s="875"/>
      <c r="D103" s="151" t="s">
        <v>23</v>
      </c>
      <c r="E103" s="95"/>
      <c r="F103" s="95"/>
      <c r="G103" s="166">
        <f>G102/G7</f>
        <v>9.0004472271914132E-2</v>
      </c>
      <c r="H103" s="99">
        <f>G103+'4'!H103</f>
        <v>0.34660748126723961</v>
      </c>
      <c r="I103" s="118"/>
      <c r="J103" s="175">
        <f>H103/DAY(B2)</f>
        <v>6.9321496253447926E-2</v>
      </c>
      <c r="O103" s="71"/>
    </row>
    <row r="104" spans="1:15" ht="25.5">
      <c r="A104" s="873" t="s">
        <v>250</v>
      </c>
      <c r="B104" s="874"/>
      <c r="C104" s="875"/>
      <c r="D104" s="151" t="s">
        <v>180</v>
      </c>
      <c r="E104" s="95"/>
      <c r="F104" s="95"/>
      <c r="G104" s="99">
        <f>G37+G51</f>
        <v>1723.68</v>
      </c>
      <c r="H104" s="99">
        <f>G104+'4'!H104</f>
        <v>8832</v>
      </c>
      <c r="I104" s="118"/>
      <c r="J104" s="175">
        <f>H104/DAY(B2)</f>
        <v>1766.4</v>
      </c>
      <c r="O104" s="71"/>
    </row>
    <row r="105" spans="1:15" ht="26.25" thickBot="1">
      <c r="A105" s="913" t="s">
        <v>251</v>
      </c>
      <c r="B105" s="914"/>
      <c r="C105" s="915"/>
      <c r="D105" s="231" t="s">
        <v>23</v>
      </c>
      <c r="E105" s="185"/>
      <c r="F105" s="185"/>
      <c r="G105" s="186">
        <f>G104/G7</f>
        <v>6.4239713774597501E-2</v>
      </c>
      <c r="H105" s="99">
        <f>G105+'4'!H105</f>
        <v>0.32419472087511658</v>
      </c>
      <c r="I105" s="187"/>
      <c r="J105" s="188">
        <f>H105/DAY(B2)</f>
        <v>6.4838944175023311E-2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7" t="s">
        <v>324</v>
      </c>
      <c r="B108" s="927"/>
      <c r="C108" s="927"/>
      <c r="D108" s="927"/>
      <c r="E108" s="927"/>
      <c r="F108" s="927"/>
      <c r="G108" s="927"/>
      <c r="H108" s="927"/>
      <c r="I108" s="927"/>
      <c r="J108" s="927"/>
    </row>
    <row r="109" spans="1:15" ht="26.25">
      <c r="A109" s="912"/>
      <c r="B109" s="912"/>
    </row>
    <row r="110" spans="1:15" ht="26.25">
      <c r="A110" s="928" t="s">
        <v>165</v>
      </c>
      <c r="B110" s="929"/>
      <c r="C110" s="929"/>
      <c r="D110" s="929"/>
      <c r="E110" s="929"/>
      <c r="F110" s="929"/>
      <c r="G110" s="929"/>
      <c r="H110" s="929"/>
      <c r="I110" s="929"/>
      <c r="J110" s="930"/>
    </row>
    <row r="111" spans="1:15" ht="25.5">
      <c r="A111" s="931"/>
      <c r="B111" s="932"/>
      <c r="C111" s="933"/>
      <c r="D111" s="165"/>
      <c r="E111" s="165"/>
      <c r="F111" s="165"/>
      <c r="G111" s="165"/>
      <c r="H111" s="156"/>
      <c r="I111" s="165"/>
      <c r="J111" s="327"/>
    </row>
    <row r="112" spans="1:15" ht="25.5">
      <c r="A112" s="906" t="s">
        <v>252</v>
      </c>
      <c r="B112" s="907"/>
      <c r="C112" s="908"/>
      <c r="D112" s="146" t="s">
        <v>183</v>
      </c>
      <c r="E112" s="95">
        <f>'4'!F112</f>
        <v>2986</v>
      </c>
      <c r="F112" s="237">
        <v>3066</v>
      </c>
      <c r="G112" s="112">
        <f t="shared" ref="G112:G123" si="9">F112-E112</f>
        <v>80</v>
      </c>
      <c r="H112" s="99">
        <f>G112+'4'!H112</f>
        <v>389</v>
      </c>
      <c r="I112" s="165"/>
      <c r="J112" s="328">
        <f>H112/DAY(B2)</f>
        <v>77.8</v>
      </c>
    </row>
    <row r="113" spans="1:18" ht="29.25" customHeight="1">
      <c r="A113" s="906" t="s">
        <v>253</v>
      </c>
      <c r="B113" s="907"/>
      <c r="C113" s="908"/>
      <c r="D113" s="146" t="s">
        <v>183</v>
      </c>
      <c r="E113" s="95">
        <f>'4'!F113</f>
        <v>7012</v>
      </c>
      <c r="F113" s="237">
        <v>7130</v>
      </c>
      <c r="G113" s="112">
        <f t="shared" si="9"/>
        <v>118</v>
      </c>
      <c r="H113" s="99">
        <f>G113+'4'!H113</f>
        <v>739</v>
      </c>
      <c r="I113" s="165"/>
      <c r="J113" s="328">
        <f>H113/DAY(B2)</f>
        <v>147.80000000000001</v>
      </c>
    </row>
    <row r="114" spans="1:18" ht="29.25" customHeight="1">
      <c r="A114" s="906" t="s">
        <v>254</v>
      </c>
      <c r="B114" s="907"/>
      <c r="C114" s="908"/>
      <c r="D114" s="146" t="s">
        <v>183</v>
      </c>
      <c r="E114" s="95">
        <f>'4'!F114</f>
        <v>8452</v>
      </c>
      <c r="F114" s="237">
        <v>8671</v>
      </c>
      <c r="G114" s="112">
        <f t="shared" si="9"/>
        <v>219</v>
      </c>
      <c r="H114" s="99">
        <f>G114+'4'!H114</f>
        <v>1101</v>
      </c>
      <c r="I114" s="165"/>
      <c r="J114" s="328">
        <f>H114/DAY(B2)</f>
        <v>220.2</v>
      </c>
    </row>
    <row r="115" spans="1:18" ht="29.25" customHeight="1">
      <c r="A115" s="906" t="s">
        <v>255</v>
      </c>
      <c r="B115" s="907"/>
      <c r="C115" s="908"/>
      <c r="D115" s="146" t="s">
        <v>183</v>
      </c>
      <c r="E115" s="95">
        <f>'4'!F115</f>
        <v>634</v>
      </c>
      <c r="F115" s="237">
        <v>676</v>
      </c>
      <c r="G115" s="112">
        <f t="shared" si="9"/>
        <v>42</v>
      </c>
      <c r="H115" s="99">
        <f>G115+'4'!H115</f>
        <v>115</v>
      </c>
      <c r="I115" s="165"/>
      <c r="J115" s="328">
        <f>H115/DAY(B2)</f>
        <v>23</v>
      </c>
    </row>
    <row r="116" spans="1:18" ht="29.25" customHeight="1">
      <c r="A116" s="924" t="s">
        <v>96</v>
      </c>
      <c r="B116" s="925"/>
      <c r="C116" s="926"/>
      <c r="D116" s="146" t="s">
        <v>183</v>
      </c>
      <c r="E116" s="95">
        <f>'4'!F116</f>
        <v>48334</v>
      </c>
      <c r="F116" s="237">
        <v>48737</v>
      </c>
      <c r="G116" s="112">
        <f t="shared" si="9"/>
        <v>403</v>
      </c>
      <c r="H116" s="99">
        <f>G116+'4'!H116</f>
        <v>1982</v>
      </c>
      <c r="I116" s="165"/>
      <c r="J116" s="328">
        <f>H116/DAY(B2)</f>
        <v>396.4</v>
      </c>
      <c r="Q116" s="961"/>
      <c r="R116" s="961"/>
    </row>
    <row r="117" spans="1:18" ht="29.25" customHeight="1">
      <c r="A117" s="924" t="s">
        <v>184</v>
      </c>
      <c r="B117" s="925"/>
      <c r="C117" s="926"/>
      <c r="D117" s="146" t="s">
        <v>183</v>
      </c>
      <c r="E117" s="95">
        <f>'4'!F117</f>
        <v>26220</v>
      </c>
      <c r="F117" s="237">
        <v>26457</v>
      </c>
      <c r="G117" s="112">
        <f t="shared" si="9"/>
        <v>237</v>
      </c>
      <c r="H117" s="99">
        <f>G117+'4'!H117</f>
        <v>1189</v>
      </c>
      <c r="I117" s="165"/>
      <c r="J117" s="328">
        <f>H117/DAY(B2)</f>
        <v>237.8</v>
      </c>
      <c r="Q117" s="961"/>
      <c r="R117" s="961"/>
    </row>
    <row r="118" spans="1:18" ht="25.5">
      <c r="A118" s="901" t="s">
        <v>97</v>
      </c>
      <c r="B118" s="901"/>
      <c r="C118" s="901"/>
      <c r="D118" s="151" t="s">
        <v>183</v>
      </c>
      <c r="E118" s="95">
        <f>'4'!F118</f>
        <v>28436</v>
      </c>
      <c r="F118" s="237">
        <v>28947</v>
      </c>
      <c r="G118" s="112">
        <f t="shared" si="9"/>
        <v>511</v>
      </c>
      <c r="H118" s="99">
        <f>G118+'4'!H118</f>
        <v>2722</v>
      </c>
      <c r="I118" s="165"/>
      <c r="J118" s="328">
        <f>H118/DAY(B2)</f>
        <v>544.4</v>
      </c>
      <c r="Q118" s="961"/>
      <c r="R118" s="961"/>
    </row>
    <row r="119" spans="1:18" ht="25.5">
      <c r="A119" s="901" t="s">
        <v>98</v>
      </c>
      <c r="B119" s="901"/>
      <c r="C119" s="901"/>
      <c r="D119" s="151" t="s">
        <v>183</v>
      </c>
      <c r="E119" s="95">
        <f>'4'!F119</f>
        <v>20632</v>
      </c>
      <c r="F119" s="237">
        <v>21060</v>
      </c>
      <c r="G119" s="112">
        <f t="shared" si="9"/>
        <v>428</v>
      </c>
      <c r="H119" s="99">
        <f>G119+'4'!H119</f>
        <v>2113</v>
      </c>
      <c r="I119" s="165"/>
      <c r="J119" s="328">
        <f>H119/DAY(B2)</f>
        <v>422.6</v>
      </c>
    </row>
    <row r="120" spans="1:18" ht="25.5">
      <c r="A120" s="901" t="s">
        <v>99</v>
      </c>
      <c r="B120" s="901"/>
      <c r="C120" s="901"/>
      <c r="D120" s="151" t="s">
        <v>183</v>
      </c>
      <c r="E120" s="95">
        <f>'4'!F120</f>
        <v>21838</v>
      </c>
      <c r="F120" s="468">
        <v>22239</v>
      </c>
      <c r="G120" s="112">
        <f t="shared" si="9"/>
        <v>401</v>
      </c>
      <c r="H120" s="99">
        <f>G120+'4'!H120</f>
        <v>2189</v>
      </c>
      <c r="I120" s="165"/>
      <c r="J120" s="328">
        <f>H120/DAY(B2)</f>
        <v>437.8</v>
      </c>
    </row>
    <row r="121" spans="1:18" ht="25.5">
      <c r="A121" s="901" t="s">
        <v>100</v>
      </c>
      <c r="B121" s="901"/>
      <c r="C121" s="901"/>
      <c r="D121" s="151" t="s">
        <v>183</v>
      </c>
      <c r="E121" s="95">
        <f>'4'!F121</f>
        <v>27772</v>
      </c>
      <c r="F121" s="237">
        <v>28330</v>
      </c>
      <c r="G121" s="112">
        <f t="shared" si="9"/>
        <v>558</v>
      </c>
      <c r="H121" s="99">
        <f>G121+'4'!H121</f>
        <v>2486</v>
      </c>
      <c r="I121" s="165"/>
      <c r="J121" s="328">
        <f>H121/DAY(B2)</f>
        <v>497.2</v>
      </c>
    </row>
    <row r="122" spans="1:18" ht="25.5">
      <c r="A122" s="901" t="s">
        <v>101</v>
      </c>
      <c r="B122" s="901"/>
      <c r="C122" s="901"/>
      <c r="D122" s="151" t="s">
        <v>183</v>
      </c>
      <c r="E122" s="95">
        <f>'4'!F122</f>
        <v>12469</v>
      </c>
      <c r="F122" s="237">
        <v>12786</v>
      </c>
      <c r="G122" s="112">
        <f t="shared" si="9"/>
        <v>317</v>
      </c>
      <c r="H122" s="99">
        <f>G122+'4'!H122</f>
        <v>1626</v>
      </c>
      <c r="I122" s="165"/>
      <c r="J122" s="328">
        <f>H122/DAY(B2)</f>
        <v>325.2</v>
      </c>
    </row>
    <row r="123" spans="1:18" ht="25.5">
      <c r="A123" s="901" t="s">
        <v>102</v>
      </c>
      <c r="B123" s="901"/>
      <c r="C123" s="901"/>
      <c r="D123" s="151" t="s">
        <v>183</v>
      </c>
      <c r="E123" s="95">
        <f>'4'!F123</f>
        <v>12195</v>
      </c>
      <c r="F123" s="237">
        <v>12195</v>
      </c>
      <c r="G123" s="112">
        <f t="shared" si="9"/>
        <v>0</v>
      </c>
      <c r="H123" s="99">
        <f>G123+'4'!H123</f>
        <v>1686</v>
      </c>
      <c r="I123" s="165"/>
      <c r="J123" s="328">
        <f>H123/DAY(B2)</f>
        <v>337.2</v>
      </c>
    </row>
    <row r="124" spans="1:18" ht="29.25" customHeight="1">
      <c r="A124" s="931"/>
      <c r="B124" s="932"/>
      <c r="C124" s="933"/>
      <c r="D124" s="165"/>
      <c r="E124" s="165"/>
      <c r="F124" s="165"/>
      <c r="G124" s="327"/>
      <c r="H124" s="156"/>
      <c r="I124" s="165"/>
      <c r="J124" s="327"/>
    </row>
    <row r="125" spans="1:18" ht="25.5">
      <c r="A125" s="959" t="s">
        <v>196</v>
      </c>
      <c r="B125" s="959"/>
      <c r="C125" s="245"/>
      <c r="D125" s="307"/>
      <c r="E125" s="308"/>
      <c r="F125" s="308"/>
      <c r="G125" s="309">
        <f>SUM(G112:G124)</f>
        <v>3314</v>
      </c>
      <c r="H125" s="156"/>
      <c r="I125" s="327">
        <f>G125-(G39+G53)</f>
        <v>301</v>
      </c>
      <c r="J125" s="327"/>
    </row>
    <row r="126" spans="1:18" ht="25.5">
      <c r="A126" s="936" t="s">
        <v>317</v>
      </c>
      <c r="B126" s="936"/>
      <c r="C126" s="936"/>
      <c r="D126" s="936"/>
      <c r="E126" s="936"/>
      <c r="F126" s="936"/>
      <c r="G126" s="936"/>
      <c r="H126" s="936"/>
      <c r="I126" s="936"/>
      <c r="J126" s="936"/>
    </row>
    <row r="127" spans="1:18" ht="25.5">
      <c r="A127" s="937"/>
      <c r="B127" s="937"/>
      <c r="C127" s="245"/>
      <c r="D127" s="307"/>
      <c r="E127" s="308"/>
      <c r="F127" s="387"/>
      <c r="G127" s="309"/>
      <c r="H127" s="99">
        <f>G127+'4'!H127</f>
        <v>0</v>
      </c>
      <c r="I127" s="165"/>
      <c r="J127" s="328">
        <f>H127/DAY(B2)</f>
        <v>0</v>
      </c>
    </row>
    <row r="128" spans="1:18" ht="29.25" customHeight="1">
      <c r="A128" s="906" t="s">
        <v>318</v>
      </c>
      <c r="B128" s="907"/>
      <c r="C128" s="908"/>
      <c r="D128" s="151" t="s">
        <v>183</v>
      </c>
      <c r="E128" s="95">
        <f>'4'!F128</f>
        <v>97699</v>
      </c>
      <c r="F128" s="388">
        <v>98176</v>
      </c>
      <c r="G128" s="112">
        <f t="shared" ref="G128:G134" si="10">F128-E128</f>
        <v>477</v>
      </c>
      <c r="H128" s="99">
        <f>G128+'4'!H128</f>
        <v>2461</v>
      </c>
      <c r="I128" s="165"/>
      <c r="J128" s="328">
        <f>H128/DAY(B2)</f>
        <v>492.2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'4'!F129</f>
        <v>61322</v>
      </c>
      <c r="F129" s="388">
        <v>61540</v>
      </c>
      <c r="G129" s="112">
        <f t="shared" si="10"/>
        <v>218</v>
      </c>
      <c r="H129" s="99">
        <f>G129+'4'!H129</f>
        <v>1247</v>
      </c>
      <c r="I129" s="165"/>
      <c r="J129" s="328">
        <f>H129/DAY(B2)</f>
        <v>249.4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'4'!F130</f>
        <v>122051</v>
      </c>
      <c r="F130" s="388">
        <v>122737</v>
      </c>
      <c r="G130" s="112">
        <f t="shared" si="10"/>
        <v>686</v>
      </c>
      <c r="H130" s="99">
        <f>G130+'4'!H130</f>
        <v>3624</v>
      </c>
      <c r="I130" s="165"/>
      <c r="J130" s="328">
        <f>H130/DAY(B2)</f>
        <v>724.8</v>
      </c>
      <c r="N130" s="240"/>
      <c r="O130" s="241"/>
    </row>
    <row r="131" spans="1:15" ht="25.5">
      <c r="A131" s="906" t="s">
        <v>321</v>
      </c>
      <c r="B131" s="907"/>
      <c r="C131" s="908"/>
      <c r="D131" s="151" t="s">
        <v>183</v>
      </c>
      <c r="E131" s="95">
        <f>'4'!F131</f>
        <v>37072</v>
      </c>
      <c r="F131" s="388">
        <v>37255</v>
      </c>
      <c r="G131" s="112">
        <f t="shared" si="10"/>
        <v>183</v>
      </c>
      <c r="H131" s="99">
        <f>G131+'4'!H131</f>
        <v>976</v>
      </c>
      <c r="I131" s="165"/>
      <c r="J131" s="328">
        <f>H131/DAY(B2)</f>
        <v>195.2</v>
      </c>
      <c r="N131" s="240"/>
      <c r="O131" s="241"/>
    </row>
    <row r="132" spans="1:15" ht="25.5">
      <c r="A132" s="906" t="s">
        <v>322</v>
      </c>
      <c r="B132" s="907"/>
      <c r="C132" s="908"/>
      <c r="D132" s="151" t="s">
        <v>183</v>
      </c>
      <c r="E132" s="95">
        <f>'4'!F132</f>
        <v>104995</v>
      </c>
      <c r="F132" s="388">
        <v>105403</v>
      </c>
      <c r="G132" s="112">
        <f t="shared" si="10"/>
        <v>408</v>
      </c>
      <c r="H132" s="99">
        <f>G132+'4'!H132</f>
        <v>1891</v>
      </c>
      <c r="I132" s="165"/>
      <c r="J132" s="328">
        <f>H132/DAY(B2)</f>
        <v>378.2</v>
      </c>
    </row>
    <row r="133" spans="1:15" ht="25.5">
      <c r="A133" s="906" t="s">
        <v>323</v>
      </c>
      <c r="B133" s="907"/>
      <c r="C133" s="908"/>
      <c r="D133" s="151" t="s">
        <v>183</v>
      </c>
      <c r="E133" s="95">
        <f>'4'!F133</f>
        <v>204628</v>
      </c>
      <c r="F133" s="388">
        <v>205495</v>
      </c>
      <c r="G133" s="112">
        <f t="shared" si="10"/>
        <v>867</v>
      </c>
      <c r="H133" s="99">
        <f>G133+'4'!H133</f>
        <v>4263</v>
      </c>
      <c r="I133" s="165"/>
      <c r="J133" s="328">
        <f>H133/DAY(B2)</f>
        <v>852.6</v>
      </c>
    </row>
    <row r="134" spans="1:15" ht="25.5">
      <c r="A134" s="906" t="s">
        <v>340</v>
      </c>
      <c r="B134" s="907"/>
      <c r="C134" s="908"/>
      <c r="D134" s="151" t="s">
        <v>183</v>
      </c>
      <c r="E134" s="95">
        <f>'4'!F134</f>
        <v>35823</v>
      </c>
      <c r="F134" s="388">
        <v>36025</v>
      </c>
      <c r="G134" s="112">
        <f t="shared" si="10"/>
        <v>202</v>
      </c>
      <c r="H134" s="99">
        <f>G134+'4'!H134</f>
        <v>1130</v>
      </c>
      <c r="I134" s="165"/>
      <c r="J134" s="328">
        <f>H134/DAY(B2)</f>
        <v>226</v>
      </c>
    </row>
    <row r="135" spans="1:15" ht="25.5">
      <c r="A135" s="959" t="s">
        <v>196</v>
      </c>
      <c r="B135" s="959"/>
      <c r="C135" s="331"/>
      <c r="D135" s="151"/>
      <c r="E135" s="95"/>
      <c r="F135" s="165"/>
      <c r="G135" s="112">
        <f>SUM(G128:G134)</f>
        <v>3041</v>
      </c>
      <c r="H135" s="99">
        <f>G135+'4'!H135</f>
        <v>15592</v>
      </c>
      <c r="I135" s="327">
        <f>G135-(G35+G49)</f>
        <v>-412</v>
      </c>
      <c r="J135" s="328">
        <f>H135/DAY(B2)</f>
        <v>3118.4</v>
      </c>
    </row>
    <row r="136" spans="1:15" ht="27.75">
      <c r="A136" s="938" t="s">
        <v>325</v>
      </c>
      <c r="B136" s="938"/>
      <c r="C136" s="938"/>
      <c r="D136" s="938"/>
      <c r="E136" s="938"/>
      <c r="F136" s="938"/>
      <c r="G136" s="938"/>
      <c r="H136" s="938"/>
      <c r="I136" s="938"/>
      <c r="J136" s="938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1" t="s">
        <v>185</v>
      </c>
      <c r="B138" s="901"/>
      <c r="C138" s="901"/>
      <c r="D138" s="151" t="s">
        <v>183</v>
      </c>
      <c r="E138" s="95">
        <f>'4'!F138</f>
        <v>11033</v>
      </c>
      <c r="F138" s="147">
        <v>11158</v>
      </c>
      <c r="G138" s="112">
        <f t="shared" ref="G138:G152" si="11">F138-E138</f>
        <v>125</v>
      </c>
      <c r="H138" s="99">
        <f>G138+'4'!H138</f>
        <v>648</v>
      </c>
      <c r="I138" s="118"/>
      <c r="J138" s="328">
        <f>H138/DAY(B2)</f>
        <v>129.6</v>
      </c>
    </row>
    <row r="139" spans="1:15" ht="25.5">
      <c r="A139" s="901" t="s">
        <v>186</v>
      </c>
      <c r="B139" s="901"/>
      <c r="C139" s="901"/>
      <c r="D139" s="151" t="s">
        <v>183</v>
      </c>
      <c r="E139" s="95">
        <f>'4'!F139</f>
        <v>900093</v>
      </c>
      <c r="F139" s="148">
        <v>900245</v>
      </c>
      <c r="G139" s="112">
        <f t="shared" si="11"/>
        <v>152</v>
      </c>
      <c r="H139" s="99">
        <f>G139+'4'!H139</f>
        <v>790</v>
      </c>
      <c r="I139" s="118"/>
      <c r="J139" s="328">
        <f>H139/DAY(B2)</f>
        <v>158</v>
      </c>
    </row>
    <row r="140" spans="1:15" ht="25.5">
      <c r="A140" s="901" t="s">
        <v>187</v>
      </c>
      <c r="B140" s="901"/>
      <c r="C140" s="901"/>
      <c r="D140" s="151" t="s">
        <v>183</v>
      </c>
      <c r="E140" s="95">
        <f>'4'!F140</f>
        <v>644</v>
      </c>
      <c r="F140" s="149">
        <v>656</v>
      </c>
      <c r="G140" s="112">
        <f t="shared" si="11"/>
        <v>12</v>
      </c>
      <c r="H140" s="99">
        <f>G140+'4'!H140</f>
        <v>68</v>
      </c>
      <c r="I140" s="118"/>
      <c r="J140" s="328">
        <f>H140/DAY(B2)</f>
        <v>13.6</v>
      </c>
    </row>
    <row r="141" spans="1:15" ht="25.5">
      <c r="A141" s="905" t="s">
        <v>188</v>
      </c>
      <c r="B141" s="905"/>
      <c r="C141" s="905"/>
      <c r="D141" s="151" t="s">
        <v>183</v>
      </c>
      <c r="E141" s="95">
        <f>'4'!F141</f>
        <v>78770</v>
      </c>
      <c r="F141" s="149">
        <v>78981</v>
      </c>
      <c r="G141" s="112">
        <f t="shared" si="11"/>
        <v>211</v>
      </c>
      <c r="H141" s="99">
        <f>G141+'4'!H141</f>
        <v>1029</v>
      </c>
      <c r="I141" s="118"/>
      <c r="J141" s="328">
        <f>H141/DAY(B2)</f>
        <v>205.8</v>
      </c>
    </row>
    <row r="142" spans="1:15" ht="25.5">
      <c r="A142" s="905" t="s">
        <v>189</v>
      </c>
      <c r="B142" s="905"/>
      <c r="C142" s="905"/>
      <c r="D142" s="151" t="s">
        <v>183</v>
      </c>
      <c r="E142" s="95">
        <f>'4'!F142</f>
        <v>31192</v>
      </c>
      <c r="F142" s="148">
        <v>31361</v>
      </c>
      <c r="G142" s="112">
        <f t="shared" si="11"/>
        <v>169</v>
      </c>
      <c r="H142" s="99">
        <f>G142+'4'!H142</f>
        <v>835</v>
      </c>
      <c r="I142" s="140"/>
      <c r="J142" s="328">
        <f>H142/DAY(B2)</f>
        <v>167</v>
      </c>
    </row>
    <row r="143" spans="1:15" ht="25.5">
      <c r="A143" s="901" t="s">
        <v>91</v>
      </c>
      <c r="B143" s="901"/>
      <c r="C143" s="901"/>
      <c r="D143" s="151" t="s">
        <v>183</v>
      </c>
      <c r="E143" s="95">
        <f>'4'!F143</f>
        <v>7426</v>
      </c>
      <c r="F143" s="149">
        <v>7452</v>
      </c>
      <c r="G143" s="112">
        <f t="shared" si="11"/>
        <v>26</v>
      </c>
      <c r="H143" s="99">
        <f>G143+'4'!H143</f>
        <v>146</v>
      </c>
      <c r="I143" s="140"/>
      <c r="J143" s="328">
        <f>H143/DAY(B2)</f>
        <v>29.2</v>
      </c>
    </row>
    <row r="144" spans="1:15" ht="25.5">
      <c r="A144" s="905" t="s">
        <v>90</v>
      </c>
      <c r="B144" s="905"/>
      <c r="C144" s="905"/>
      <c r="D144" s="151" t="s">
        <v>183</v>
      </c>
      <c r="E144" s="95">
        <f>'4'!F144</f>
        <v>906039</v>
      </c>
      <c r="F144" s="149">
        <v>906287</v>
      </c>
      <c r="G144" s="112">
        <f t="shared" si="11"/>
        <v>248</v>
      </c>
      <c r="H144" s="99">
        <f>G144+'4'!H144</f>
        <v>1234</v>
      </c>
      <c r="I144" s="140"/>
      <c r="J144" s="328">
        <f>H144/DAY(B2)</f>
        <v>246.8</v>
      </c>
    </row>
    <row r="145" spans="1:10" ht="25.5">
      <c r="A145" s="901" t="s">
        <v>190</v>
      </c>
      <c r="B145" s="901"/>
      <c r="C145" s="901"/>
      <c r="D145" s="152" t="s">
        <v>183</v>
      </c>
      <c r="E145" s="95">
        <f>'4'!F145</f>
        <v>5664</v>
      </c>
      <c r="F145" s="149">
        <v>5664</v>
      </c>
      <c r="G145" s="112">
        <f t="shared" si="11"/>
        <v>0</v>
      </c>
      <c r="H145" s="99">
        <f>G145+'4'!H145</f>
        <v>0</v>
      </c>
      <c r="I145" s="140"/>
      <c r="J145" s="328">
        <f>H145/DAY(B2)</f>
        <v>0</v>
      </c>
    </row>
    <row r="146" spans="1:10" ht="25.5">
      <c r="A146" s="902" t="s">
        <v>191</v>
      </c>
      <c r="B146" s="903"/>
      <c r="C146" s="904"/>
      <c r="D146" s="152" t="s">
        <v>183</v>
      </c>
      <c r="E146" s="95">
        <f>'4'!F146</f>
        <v>778091</v>
      </c>
      <c r="F146" s="148">
        <v>778133</v>
      </c>
      <c r="G146" s="112">
        <f t="shared" si="11"/>
        <v>42</v>
      </c>
      <c r="H146" s="99">
        <f>G146+'4'!H146</f>
        <v>265</v>
      </c>
      <c r="I146" s="140"/>
      <c r="J146" s="328">
        <f>H146/DAY(B2)</f>
        <v>53</v>
      </c>
    </row>
    <row r="147" spans="1:10" ht="25.5">
      <c r="A147" s="905" t="s">
        <v>192</v>
      </c>
      <c r="B147" s="905"/>
      <c r="C147" s="905"/>
      <c r="D147" s="152" t="s">
        <v>183</v>
      </c>
      <c r="E147" s="95">
        <f>'4'!F147</f>
        <v>677342</v>
      </c>
      <c r="F147" s="148">
        <v>677377</v>
      </c>
      <c r="G147" s="112">
        <f t="shared" si="11"/>
        <v>35</v>
      </c>
      <c r="H147" s="99">
        <f>G147+'4'!H147</f>
        <v>1529</v>
      </c>
      <c r="I147" s="140"/>
      <c r="J147" s="328">
        <f>H147/DAY(B2)</f>
        <v>305.8</v>
      </c>
    </row>
    <row r="148" spans="1:10" ht="25.5">
      <c r="A148" s="897" t="s">
        <v>193</v>
      </c>
      <c r="B148" s="898"/>
      <c r="C148" s="899"/>
      <c r="D148" s="123" t="s">
        <v>130</v>
      </c>
      <c r="E148" s="95">
        <f>'4'!F148</f>
        <v>730899</v>
      </c>
      <c r="F148" s="150">
        <v>731157</v>
      </c>
      <c r="G148" s="112">
        <f t="shared" si="11"/>
        <v>258</v>
      </c>
      <c r="H148" s="99">
        <f>G148+'4'!H148</f>
        <v>1412</v>
      </c>
      <c r="I148" s="124"/>
      <c r="J148" s="328">
        <f>H148/DAY(B2)</f>
        <v>282.39999999999998</v>
      </c>
    </row>
    <row r="149" spans="1:10" ht="25.5">
      <c r="A149" s="897" t="s">
        <v>336</v>
      </c>
      <c r="B149" s="898"/>
      <c r="C149" s="899"/>
      <c r="D149" s="227" t="s">
        <v>130</v>
      </c>
      <c r="E149" s="95">
        <f>'4'!F149</f>
        <v>103281</v>
      </c>
      <c r="F149" s="146">
        <v>103855</v>
      </c>
      <c r="G149" s="112">
        <f t="shared" si="11"/>
        <v>574</v>
      </c>
      <c r="H149" s="99">
        <f>G149+'4'!H149</f>
        <v>2960</v>
      </c>
      <c r="I149" s="119"/>
      <c r="J149" s="328">
        <f>H149/DAY(B2)</f>
        <v>592</v>
      </c>
    </row>
    <row r="150" spans="1:10" ht="25.5">
      <c r="A150" s="897" t="s">
        <v>337</v>
      </c>
      <c r="B150" s="898"/>
      <c r="C150" s="899"/>
      <c r="D150" s="117" t="s">
        <v>130</v>
      </c>
      <c r="E150" s="95">
        <f>'4'!F150</f>
        <v>38104</v>
      </c>
      <c r="F150" s="233">
        <v>38324</v>
      </c>
      <c r="G150" s="112">
        <f t="shared" si="11"/>
        <v>220</v>
      </c>
      <c r="H150" s="99">
        <f>G150+'4'!H150</f>
        <v>1108</v>
      </c>
      <c r="I150" s="119"/>
      <c r="J150" s="328">
        <f>H150/DAY(B2)</f>
        <v>221.6</v>
      </c>
    </row>
    <row r="151" spans="1:10" ht="25.5">
      <c r="A151" s="897" t="s">
        <v>338</v>
      </c>
      <c r="B151" s="898"/>
      <c r="C151" s="899"/>
      <c r="D151" s="117" t="s">
        <v>130</v>
      </c>
      <c r="E151" s="95">
        <f>'4'!F151</f>
        <v>119283</v>
      </c>
      <c r="F151" s="233">
        <v>119603</v>
      </c>
      <c r="G151" s="112">
        <f t="shared" si="11"/>
        <v>320</v>
      </c>
      <c r="H151" s="99">
        <f>G151+'4'!H151</f>
        <v>1466</v>
      </c>
      <c r="I151" s="119"/>
      <c r="J151" s="328">
        <f>H151/DAY(B2)</f>
        <v>293.2</v>
      </c>
    </row>
    <row r="152" spans="1:10" ht="25.5">
      <c r="A152" s="897" t="s">
        <v>339</v>
      </c>
      <c r="B152" s="898"/>
      <c r="C152" s="899"/>
      <c r="D152" s="117" t="s">
        <v>130</v>
      </c>
      <c r="E152" s="95">
        <f>'4'!F152</f>
        <v>15933</v>
      </c>
      <c r="F152" s="233">
        <v>16078</v>
      </c>
      <c r="G152" s="112">
        <f t="shared" si="11"/>
        <v>145</v>
      </c>
      <c r="H152" s="99">
        <f>G152+'4'!H152</f>
        <v>4922</v>
      </c>
      <c r="I152" s="119"/>
      <c r="J152" s="328">
        <f>H152/DAY(B2)</f>
        <v>984.4</v>
      </c>
    </row>
    <row r="153" spans="1:10" ht="25.5">
      <c r="A153" s="959" t="s">
        <v>196</v>
      </c>
      <c r="B153" s="959"/>
      <c r="C153" s="365"/>
      <c r="D153" s="358"/>
      <c r="E153" s="360"/>
      <c r="F153" s="361"/>
      <c r="G153" s="362">
        <f>SUM(G138:G152)</f>
        <v>2537</v>
      </c>
      <c r="H153" s="363"/>
      <c r="I153" s="119">
        <f>G153-(G38+G52)</f>
        <v>103.98999999999978</v>
      </c>
      <c r="J153" s="366"/>
    </row>
    <row r="154" spans="1:10" ht="27.75">
      <c r="A154" s="938" t="s">
        <v>344</v>
      </c>
      <c r="B154" s="938"/>
      <c r="C154" s="938"/>
      <c r="D154" s="938"/>
      <c r="E154" s="938"/>
      <c r="F154" s="938"/>
      <c r="G154" s="938"/>
      <c r="H154" s="938"/>
      <c r="I154" s="938"/>
      <c r="J154" s="938"/>
    </row>
    <row r="155" spans="1:10" ht="27.75">
      <c r="A155" s="905" t="s">
        <v>345</v>
      </c>
      <c r="B155" s="905"/>
      <c r="C155" s="905"/>
      <c r="D155" s="117" t="s">
        <v>130</v>
      </c>
      <c r="E155" s="95">
        <f>'4'!F155</f>
        <v>114436</v>
      </c>
      <c r="F155" s="374">
        <v>115014</v>
      </c>
      <c r="G155" s="112">
        <f t="shared" ref="G155:G158" si="12">F155-E155</f>
        <v>578</v>
      </c>
      <c r="H155" s="99">
        <f>G155+'4'!H155</f>
        <v>3039</v>
      </c>
      <c r="I155" s="364"/>
      <c r="J155" s="328">
        <f>H155/DAY(B2)</f>
        <v>607.79999999999995</v>
      </c>
    </row>
    <row r="156" spans="1:10" ht="25.5">
      <c r="A156" s="905" t="s">
        <v>346</v>
      </c>
      <c r="B156" s="905"/>
      <c r="C156" s="905"/>
      <c r="D156" s="117" t="s">
        <v>130</v>
      </c>
      <c r="E156" s="95">
        <f>'4'!F156</f>
        <v>9965</v>
      </c>
      <c r="F156" s="155">
        <v>10032</v>
      </c>
      <c r="G156" s="112">
        <f t="shared" si="12"/>
        <v>67</v>
      </c>
      <c r="H156" s="99">
        <f>G156+'4'!H156</f>
        <v>347</v>
      </c>
      <c r="I156" s="165"/>
      <c r="J156" s="328">
        <f>H156/DAY(B2)</f>
        <v>69.400000000000006</v>
      </c>
    </row>
    <row r="157" spans="1:10" ht="25.5">
      <c r="A157" s="897" t="s">
        <v>360</v>
      </c>
      <c r="B157" s="898"/>
      <c r="C157" s="899"/>
      <c r="D157" s="117" t="s">
        <v>130</v>
      </c>
      <c r="E157" s="95">
        <f>'4'!F157</f>
        <v>18944</v>
      </c>
      <c r="F157" s="155">
        <v>19119</v>
      </c>
      <c r="G157" s="112">
        <f t="shared" si="12"/>
        <v>175</v>
      </c>
      <c r="H157" s="99">
        <f>G157+'4'!H157</f>
        <v>919</v>
      </c>
      <c r="I157" s="165"/>
      <c r="J157" s="328">
        <f>H157/DAY(B2)</f>
        <v>183.8</v>
      </c>
    </row>
    <row r="158" spans="1:10" ht="25.5">
      <c r="A158" s="897" t="s">
        <v>361</v>
      </c>
      <c r="B158" s="898"/>
      <c r="C158" s="899"/>
      <c r="D158" s="117" t="s">
        <v>130</v>
      </c>
      <c r="E158" s="95">
        <f>'4'!F158</f>
        <v>163</v>
      </c>
      <c r="F158" s="155">
        <v>164.89</v>
      </c>
      <c r="G158" s="112">
        <f t="shared" si="12"/>
        <v>1.8899999999999864</v>
      </c>
      <c r="H158" s="99">
        <f>G158+'4'!H158</f>
        <v>74.469999999999985</v>
      </c>
      <c r="I158" s="165"/>
      <c r="J158" s="328">
        <f>H158/DAY(B2)</f>
        <v>14.893999999999997</v>
      </c>
    </row>
    <row r="159" spans="1:10" ht="25.5">
      <c r="A159" s="956"/>
      <c r="B159" s="957"/>
      <c r="C159" s="958"/>
      <c r="D159" s="117"/>
      <c r="E159" s="95"/>
      <c r="F159" s="165"/>
      <c r="G159" s="112"/>
      <c r="H159" s="99"/>
      <c r="I159" s="165"/>
      <c r="J159" s="328">
        <f>H159/DAY(B2)</f>
        <v>0</v>
      </c>
    </row>
    <row r="160" spans="1:10" ht="27.75">
      <c r="A160" s="938" t="s">
        <v>326</v>
      </c>
      <c r="B160" s="938"/>
      <c r="C160" s="938"/>
      <c r="D160" s="938"/>
      <c r="E160" s="938"/>
      <c r="F160" s="938"/>
      <c r="G160" s="938"/>
      <c r="H160" s="938"/>
      <c r="I160" s="938"/>
      <c r="J160" s="938"/>
    </row>
    <row r="161" spans="1:10" ht="26.25">
      <c r="A161" s="242" t="s">
        <v>92</v>
      </c>
      <c r="B161" s="243"/>
      <c r="C161" s="243"/>
      <c r="D161" s="244" t="s">
        <v>180</v>
      </c>
      <c r="E161" s="95">
        <f>'4'!F161</f>
        <v>475421</v>
      </c>
      <c r="F161" s="235">
        <v>475514</v>
      </c>
      <c r="G161" s="238">
        <f t="shared" ref="G161:G165" si="13">F161-E161</f>
        <v>93</v>
      </c>
      <c r="H161" s="99">
        <f>G161+'4'!H161</f>
        <v>93</v>
      </c>
      <c r="I161" s="236"/>
      <c r="J161" s="239">
        <f>H161/DAY(B2)</f>
        <v>18.600000000000001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'4'!F162</f>
        <v>92885</v>
      </c>
      <c r="F162" s="235">
        <v>92907</v>
      </c>
      <c r="G162" s="238">
        <f t="shared" si="13"/>
        <v>22</v>
      </c>
      <c r="H162" s="99">
        <f>G162+'4'!H162</f>
        <v>180</v>
      </c>
      <c r="I162" s="236"/>
      <c r="J162" s="239">
        <f>H162/DAY(B2)</f>
        <v>36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'4'!F163</f>
        <v>97757</v>
      </c>
      <c r="F163" s="235">
        <v>97894</v>
      </c>
      <c r="G163" s="238">
        <f t="shared" si="13"/>
        <v>137</v>
      </c>
      <c r="H163" s="99">
        <f>G163+'4'!H163</f>
        <v>759</v>
      </c>
      <c r="I163" s="236"/>
      <c r="J163" s="239">
        <f>H163/DAY(B2)</f>
        <v>151.80000000000001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'4'!F164</f>
        <v>5591</v>
      </c>
      <c r="F164" s="235">
        <v>5599</v>
      </c>
      <c r="G164" s="238">
        <f t="shared" si="13"/>
        <v>8</v>
      </c>
      <c r="H164" s="99">
        <f>G164+'4'!H164</f>
        <v>57</v>
      </c>
      <c r="I164" s="236"/>
      <c r="J164" s="239">
        <f>H164/DAY(B2)</f>
        <v>11.4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'4'!F165</f>
        <v>31091</v>
      </c>
      <c r="F165" s="235">
        <v>31091</v>
      </c>
      <c r="G165" s="238">
        <f t="shared" si="13"/>
        <v>0</v>
      </c>
      <c r="H165" s="99">
        <f>G165+'4'!H165</f>
        <v>77</v>
      </c>
      <c r="I165" s="236"/>
      <c r="J165" s="239">
        <f>H165/DAY(B2)</f>
        <v>15.4</v>
      </c>
    </row>
    <row r="166" spans="1:10" ht="26.25">
      <c r="A166" s="937"/>
      <c r="B166" s="937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7"/>
    </row>
    <row r="167" spans="1:10" ht="26.25">
      <c r="A167" s="937"/>
      <c r="B167" s="937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7"/>
    </row>
    <row r="168" spans="1:10" ht="26.25">
      <c r="A168" s="937"/>
      <c r="B168" s="937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7"/>
    </row>
    <row r="169" spans="1:10" ht="26.25"/>
    <row r="170" spans="1:10" ht="26.25"/>
    <row r="171" spans="1:10" ht="27.75">
      <c r="A171" s="947" t="s">
        <v>330</v>
      </c>
      <c r="B171" s="948"/>
      <c r="C171" s="948"/>
      <c r="D171" s="948"/>
      <c r="E171" s="948"/>
      <c r="F171" s="948"/>
      <c r="G171" s="948"/>
      <c r="H171" s="948"/>
      <c r="I171" s="948"/>
      <c r="J171" s="949"/>
    </row>
    <row r="172" spans="1:10" ht="25.5">
      <c r="A172" s="965"/>
      <c r="B172" s="965"/>
      <c r="C172" s="390"/>
      <c r="D172" s="155"/>
      <c r="E172" s="155"/>
      <c r="F172" s="155"/>
      <c r="G172" s="155"/>
      <c r="H172" s="156"/>
      <c r="I172" s="155"/>
      <c r="J172" s="156"/>
    </row>
    <row r="173" spans="1:10" ht="25.5">
      <c r="A173" s="960" t="s">
        <v>209</v>
      </c>
      <c r="B173" s="960"/>
      <c r="C173" s="333"/>
      <c r="D173" s="155" t="s">
        <v>142</v>
      </c>
      <c r="E173" s="95">
        <f>'4'!F173</f>
        <v>8267</v>
      </c>
      <c r="F173" s="155">
        <v>8267</v>
      </c>
      <c r="G173" s="155">
        <f>F173-E173</f>
        <v>0</v>
      </c>
      <c r="H173" s="99">
        <f>G173+'4'!H173</f>
        <v>3</v>
      </c>
      <c r="I173" s="155"/>
      <c r="J173" s="156">
        <f>H173/DAY(B2)</f>
        <v>0.6</v>
      </c>
    </row>
    <row r="174" spans="1:10" ht="25.5">
      <c r="A174" s="960" t="s">
        <v>75</v>
      </c>
      <c r="B174" s="960"/>
      <c r="C174" s="333"/>
      <c r="D174" s="155" t="s">
        <v>142</v>
      </c>
      <c r="E174" s="95">
        <f>'4'!F174</f>
        <v>40402</v>
      </c>
      <c r="F174" s="157">
        <v>40402</v>
      </c>
      <c r="G174" s="155">
        <f t="shared" ref="G174:G175" si="14">F174-E174</f>
        <v>0</v>
      </c>
      <c r="H174" s="99">
        <f>G174+'4'!H174</f>
        <v>70</v>
      </c>
      <c r="I174" s="155"/>
      <c r="J174" s="156">
        <f>H174/DAY(B2)</f>
        <v>14</v>
      </c>
    </row>
    <row r="175" spans="1:10" ht="25.5">
      <c r="A175" s="960" t="s">
        <v>76</v>
      </c>
      <c r="B175" s="960"/>
      <c r="C175" s="960"/>
      <c r="D175" s="155" t="s">
        <v>142</v>
      </c>
      <c r="E175" s="95">
        <f>'4'!F175</f>
        <v>23327</v>
      </c>
      <c r="F175" s="157">
        <v>23342</v>
      </c>
      <c r="G175" s="155">
        <f t="shared" si="14"/>
        <v>15</v>
      </c>
      <c r="H175" s="99">
        <f>G175+'4'!H175</f>
        <v>84</v>
      </c>
      <c r="I175" s="155"/>
      <c r="J175" s="156">
        <f>H175/DAY(B2)</f>
        <v>16.8</v>
      </c>
    </row>
    <row r="176" spans="1:10" ht="25.5">
      <c r="A176" s="959" t="s">
        <v>196</v>
      </c>
      <c r="B176" s="959"/>
      <c r="C176" s="333"/>
      <c r="D176" s="155"/>
      <c r="E176" s="95">
        <f>'4'!F176</f>
        <v>0</v>
      </c>
      <c r="F176" s="155"/>
      <c r="G176" s="155">
        <f>SUM(G173:G175)</f>
        <v>15</v>
      </c>
      <c r="H176" s="99">
        <f>G176+'4'!H176</f>
        <v>157</v>
      </c>
      <c r="I176" s="155"/>
      <c r="J176" s="156">
        <f>H176/DAY(B2)</f>
        <v>31.4</v>
      </c>
    </row>
    <row r="177" spans="1:10" ht="25.5">
      <c r="A177" s="960" t="s">
        <v>77</v>
      </c>
      <c r="B177" s="960"/>
      <c r="C177" s="33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5.5">
      <c r="A178" s="960" t="s">
        <v>210</v>
      </c>
      <c r="B178" s="960"/>
      <c r="C178" s="333"/>
      <c r="D178" s="155" t="s">
        <v>142</v>
      </c>
      <c r="E178" s="95">
        <f>'4'!F178</f>
        <v>92216</v>
      </c>
      <c r="F178" s="155">
        <v>92307</v>
      </c>
      <c r="G178" s="155">
        <f>F178-E178</f>
        <v>91</v>
      </c>
      <c r="H178" s="99">
        <f>G178+'4'!H178</f>
        <v>485</v>
      </c>
      <c r="I178" s="155"/>
      <c r="J178" s="156">
        <f>H178/DAY(B2)</f>
        <v>97</v>
      </c>
    </row>
    <row r="179" spans="1:10" ht="25.5">
      <c r="A179" s="960" t="s">
        <v>211</v>
      </c>
      <c r="B179" s="960"/>
      <c r="C179" s="333"/>
      <c r="D179" s="155" t="s">
        <v>142</v>
      </c>
      <c r="E179" s="95">
        <f>'4'!F179</f>
        <v>35799</v>
      </c>
      <c r="F179" s="155">
        <v>35799</v>
      </c>
      <c r="G179" s="155">
        <f t="shared" ref="G179:G180" si="15">F179-E179</f>
        <v>0</v>
      </c>
      <c r="H179" s="99">
        <f>G179+'4'!H179</f>
        <v>15</v>
      </c>
      <c r="I179" s="155"/>
      <c r="J179" s="156">
        <f>H179/DAY(B2)</f>
        <v>3</v>
      </c>
    </row>
    <row r="180" spans="1:10" ht="25.5">
      <c r="A180" s="960" t="s">
        <v>212</v>
      </c>
      <c r="B180" s="960"/>
      <c r="C180" s="333"/>
      <c r="D180" s="155" t="s">
        <v>142</v>
      </c>
      <c r="E180" s="95">
        <f>'4'!F180</f>
        <v>6733</v>
      </c>
      <c r="F180" s="155">
        <v>6733</v>
      </c>
      <c r="G180" s="155">
        <f t="shared" si="15"/>
        <v>0</v>
      </c>
      <c r="H180" s="99">
        <f>G180+'4'!H180</f>
        <v>63</v>
      </c>
      <c r="I180" s="155"/>
      <c r="J180" s="156">
        <f>H180/DAY(B2)</f>
        <v>12.6</v>
      </c>
    </row>
    <row r="181" spans="1:10" ht="25.5">
      <c r="A181" s="964" t="s">
        <v>108</v>
      </c>
      <c r="B181" s="964"/>
      <c r="C181" s="333"/>
      <c r="D181" s="155"/>
      <c r="E181" s="95">
        <f>'4'!F181</f>
        <v>0</v>
      </c>
      <c r="F181" s="155"/>
      <c r="G181" s="155">
        <f>SUM(G178:G180)</f>
        <v>91</v>
      </c>
      <c r="H181" s="99">
        <f>G181+'4'!H181</f>
        <v>563</v>
      </c>
      <c r="I181" s="155"/>
      <c r="J181" s="156">
        <f>H181/DAY(B2)</f>
        <v>112.6</v>
      </c>
    </row>
    <row r="182" spans="1:10" ht="25.5">
      <c r="A182" s="960" t="s">
        <v>213</v>
      </c>
      <c r="B182" s="960"/>
      <c r="C182" s="33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5.5">
      <c r="A183" s="960" t="s">
        <v>214</v>
      </c>
      <c r="B183" s="960"/>
      <c r="C183" s="334"/>
      <c r="D183" s="155" t="s">
        <v>142</v>
      </c>
      <c r="E183" s="95">
        <f>'4'!F183</f>
        <v>17024</v>
      </c>
      <c r="F183" s="157">
        <v>17024</v>
      </c>
      <c r="G183" s="157">
        <f>F183-E183</f>
        <v>0</v>
      </c>
      <c r="H183" s="99">
        <f>G183+'4'!H183</f>
        <v>69</v>
      </c>
      <c r="I183" s="155"/>
      <c r="J183" s="156">
        <f>H183/DAY(B2)</f>
        <v>13.8</v>
      </c>
    </row>
    <row r="184" spans="1:10" ht="25.5">
      <c r="A184" s="960" t="s">
        <v>215</v>
      </c>
      <c r="B184" s="960"/>
      <c r="C184" s="334"/>
      <c r="D184" s="155" t="s">
        <v>142</v>
      </c>
      <c r="E184" s="95">
        <f>'4'!F184</f>
        <v>11531</v>
      </c>
      <c r="F184" s="157">
        <v>11531</v>
      </c>
      <c r="G184" s="157">
        <f t="shared" ref="G184:G185" si="16">F184-E184</f>
        <v>0</v>
      </c>
      <c r="H184" s="99">
        <f>G184+'4'!H184</f>
        <v>45</v>
      </c>
      <c r="I184" s="155"/>
      <c r="J184" s="156">
        <f>H184/DAY(B2)</f>
        <v>9</v>
      </c>
    </row>
    <row r="185" spans="1:10" ht="29.25" customHeight="1">
      <c r="A185" s="960" t="s">
        <v>216</v>
      </c>
      <c r="B185" s="960"/>
      <c r="C185" s="33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5.5">
      <c r="A186" s="959" t="s">
        <v>196</v>
      </c>
      <c r="B186" s="959"/>
      <c r="C186" s="334"/>
      <c r="D186" s="379"/>
      <c r="E186" s="95"/>
      <c r="F186" s="157"/>
      <c r="G186" s="157">
        <f>SUM(G183:G185)</f>
        <v>0</v>
      </c>
      <c r="H186" s="99">
        <f>G186+'4'!H186</f>
        <v>114</v>
      </c>
      <c r="I186" s="157"/>
      <c r="J186" s="156">
        <f>H186/DAY(B2)</f>
        <v>22.8</v>
      </c>
    </row>
    <row r="187" spans="1:10" ht="25.5">
      <c r="A187" s="963" t="s">
        <v>217</v>
      </c>
      <c r="B187" s="963"/>
      <c r="C187" s="333"/>
      <c r="D187" s="157" t="s">
        <v>142</v>
      </c>
      <c r="E187" s="95"/>
      <c r="F187" s="159"/>
      <c r="G187" s="378">
        <f>G62+G19</f>
        <v>272</v>
      </c>
      <c r="H187" s="99">
        <f>G187+'4'!H187</f>
        <v>1217</v>
      </c>
      <c r="I187" s="158"/>
      <c r="J187" s="159">
        <f>H187/DAY(B2)</f>
        <v>243.4</v>
      </c>
    </row>
    <row r="188" spans="1:10" ht="25.5">
      <c r="A188" s="963" t="s">
        <v>218</v>
      </c>
      <c r="B188" s="963"/>
      <c r="C188" s="333"/>
      <c r="D188" s="157" t="s">
        <v>142</v>
      </c>
      <c r="E188" s="95"/>
      <c r="F188" s="159"/>
      <c r="G188" s="378">
        <f>G65+G66+G67+G69+G70</f>
        <v>227</v>
      </c>
      <c r="H188" s="99">
        <f>G188+'4'!H188</f>
        <v>1180</v>
      </c>
      <c r="I188" s="158"/>
      <c r="J188" s="159">
        <f>H188/DAY(B2)</f>
        <v>236</v>
      </c>
    </row>
    <row r="189" spans="1:10" ht="25.5">
      <c r="A189" s="963" t="s">
        <v>219</v>
      </c>
      <c r="B189" s="963"/>
      <c r="C189" s="333"/>
      <c r="D189" s="157" t="s">
        <v>142</v>
      </c>
      <c r="E189" s="95"/>
      <c r="F189" s="157"/>
      <c r="G189" s="377">
        <f>G181</f>
        <v>91</v>
      </c>
      <c r="H189" s="99">
        <f>G189+'4'!H189</f>
        <v>563</v>
      </c>
      <c r="I189" s="158"/>
      <c r="J189" s="159">
        <f>H189/DAY(B2)</f>
        <v>112.6</v>
      </c>
    </row>
    <row r="190" spans="1:10" ht="25.5">
      <c r="A190" s="962"/>
      <c r="B190" s="962"/>
      <c r="C190" s="391"/>
      <c r="D190" s="392"/>
      <c r="E190" s="393"/>
      <c r="F190" s="392"/>
      <c r="G190" s="392"/>
      <c r="H190" s="394"/>
      <c r="I190" s="392"/>
      <c r="J190" s="395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topLeftCell="A31" zoomScale="55" zoomScaleSheetLayoutView="55" workbookViewId="0">
      <selection activeCell="G85" sqref="G8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6" t="s">
        <v>115</v>
      </c>
      <c r="B1" s="877"/>
      <c r="C1" s="877"/>
      <c r="D1" s="877"/>
      <c r="E1" s="877"/>
      <c r="F1" s="877"/>
      <c r="G1" s="877"/>
      <c r="H1" s="877"/>
      <c r="I1" s="877"/>
      <c r="J1" s="878"/>
    </row>
    <row r="2" spans="1:15" s="57" customFormat="1" ht="23.25">
      <c r="A2" s="191" t="s">
        <v>349</v>
      </c>
      <c r="B2" s="262">
        <v>44718</v>
      </c>
      <c r="C2" s="348" t="s">
        <v>67</v>
      </c>
      <c r="D2" s="218">
        <v>0.6633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25</v>
      </c>
      <c r="E3" s="885" t="s">
        <v>119</v>
      </c>
      <c r="F3" s="886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9" t="s">
        <v>128</v>
      </c>
      <c r="B6" s="880"/>
      <c r="C6" s="88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'5'!F7</f>
        <v>822937</v>
      </c>
      <c r="F7" s="95">
        <v>852216</v>
      </c>
      <c r="G7" s="112">
        <f>F7-E7</f>
        <v>29279</v>
      </c>
      <c r="H7" s="99">
        <f>G7+'5'!H7</f>
        <v>165471</v>
      </c>
      <c r="I7" s="113">
        <f>'1'!I7</f>
        <v>12000</v>
      </c>
      <c r="J7" s="175">
        <f>H7/DAY(B2)</f>
        <v>27578.5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'5'!F8</f>
        <v>943836</v>
      </c>
      <c r="F8" s="114">
        <v>974275</v>
      </c>
      <c r="G8" s="115">
        <f>F8-E8</f>
        <v>30439</v>
      </c>
      <c r="H8" s="99">
        <f>G8+'5'!H8</f>
        <v>172295</v>
      </c>
      <c r="I8" s="116"/>
      <c r="J8" s="175">
        <f>H8/DAY(B2)</f>
        <v>28715.833333333332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'5'!F9</f>
        <v>2508624</v>
      </c>
      <c r="F9" s="117">
        <v>2523930</v>
      </c>
      <c r="G9" s="112">
        <f>F9-E9</f>
        <v>15306</v>
      </c>
      <c r="H9" s="99">
        <f>G9+'5'!H9</f>
        <v>86240</v>
      </c>
      <c r="I9" s="124">
        <f>I7-J7</f>
        <v>-15578.5</v>
      </c>
      <c r="J9" s="175">
        <f>H9/DAY(B2)</f>
        <v>14373.333333333334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'5'!F10</f>
        <v>963080</v>
      </c>
      <c r="F10" s="117">
        <v>976239</v>
      </c>
      <c r="G10" s="112">
        <f t="shared" ref="G10:G12" si="0">F10-E10</f>
        <v>13159</v>
      </c>
      <c r="H10" s="99">
        <f>G10+'5'!H10</f>
        <v>74835</v>
      </c>
      <c r="I10" s="282"/>
      <c r="J10" s="175">
        <f>H10/DAY(B2)</f>
        <v>12472.5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'5'!F11</f>
        <v>37560</v>
      </c>
      <c r="F11" s="95">
        <v>37560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'5'!F12</f>
        <v>40380</v>
      </c>
      <c r="F12" s="117">
        <v>40380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28465</v>
      </c>
      <c r="H13" s="99">
        <f>G13+'5'!H13</f>
        <v>160936</v>
      </c>
      <c r="I13" s="120">
        <f>G7-G13</f>
        <v>814</v>
      </c>
      <c r="J13" s="175">
        <f>H13/DAY(B2)</f>
        <v>26822.666666666668</v>
      </c>
      <c r="K13" s="79"/>
      <c r="L13" s="66"/>
      <c r="N13" s="87"/>
      <c r="O13" s="71"/>
    </row>
    <row r="14" spans="1:15" ht="26.25">
      <c r="A14" s="882" t="s">
        <v>137</v>
      </c>
      <c r="B14" s="883"/>
      <c r="C14" s="88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'5'!F15</f>
        <v>2042601</v>
      </c>
      <c r="F15" s="469">
        <v>2043685.6</v>
      </c>
      <c r="G15" s="112">
        <f>(F15-E15)</f>
        <v>1084.6000000000931</v>
      </c>
      <c r="H15" s="99">
        <f>G15+'5'!H15</f>
        <v>6568.6000000000931</v>
      </c>
      <c r="I15" s="113">
        <f>'1'!I15</f>
        <v>800</v>
      </c>
      <c r="J15" s="175">
        <f>H15/DAY(B2)</f>
        <v>1094.7666666666821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-294.76666666668211</v>
      </c>
      <c r="J16" s="176"/>
      <c r="K16" s="79"/>
      <c r="L16" s="66"/>
      <c r="N16" s="87"/>
      <c r="O16" s="71"/>
    </row>
    <row r="17" spans="1:15" ht="26.25">
      <c r="A17" s="882" t="s">
        <v>140</v>
      </c>
      <c r="B17" s="883"/>
      <c r="C17" s="88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3" t="s">
        <v>141</v>
      </c>
      <c r="B18" s="874"/>
      <c r="C18" s="875"/>
      <c r="D18" s="151" t="s">
        <v>142</v>
      </c>
      <c r="E18" s="95">
        <f>'5'!F18</f>
        <v>26</v>
      </c>
      <c r="F18" s="122">
        <v>30</v>
      </c>
      <c r="G18" s="119">
        <f>F18*10</f>
        <v>300</v>
      </c>
      <c r="H18" s="99">
        <f>G18+'5'!H18</f>
        <v>1590</v>
      </c>
      <c r="I18" s="113">
        <f>'1'!I18</f>
        <v>65</v>
      </c>
      <c r="J18" s="175">
        <f>H18/DAY(B2)</f>
        <v>265</v>
      </c>
      <c r="K18" s="79"/>
      <c r="L18" s="66"/>
      <c r="N18" s="87"/>
      <c r="O18" s="71"/>
    </row>
    <row r="19" spans="1:15" ht="25.5">
      <c r="A19" s="873" t="s">
        <v>69</v>
      </c>
      <c r="B19" s="874"/>
      <c r="C19" s="875"/>
      <c r="D19" s="151" t="s">
        <v>142</v>
      </c>
      <c r="E19" s="95">
        <f>'5'!F19</f>
        <v>160374</v>
      </c>
      <c r="F19" s="122">
        <v>160429</v>
      </c>
      <c r="G19" s="112">
        <f t="shared" ref="G19" si="1">F19-E19</f>
        <v>55</v>
      </c>
      <c r="H19" s="99">
        <f>G19+'5'!H19</f>
        <v>322</v>
      </c>
      <c r="I19" s="335"/>
      <c r="J19" s="175">
        <f>H19/DAY(B2)</f>
        <v>53.666666666666664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355</v>
      </c>
      <c r="H20" s="99">
        <f>G20+'5'!H20</f>
        <v>1912</v>
      </c>
      <c r="I20" s="336">
        <f>I18-J20</f>
        <v>-253.66666666666669</v>
      </c>
      <c r="J20" s="175">
        <f>H20/DAY(B2)</f>
        <v>318.66666666666669</v>
      </c>
      <c r="K20" s="79"/>
      <c r="L20" s="66"/>
      <c r="N20" s="87"/>
      <c r="O20" s="71"/>
    </row>
    <row r="21" spans="1:15" ht="26.25">
      <c r="A21" s="882" t="s">
        <v>144</v>
      </c>
      <c r="B21" s="883"/>
      <c r="C21" s="88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7" t="s">
        <v>149</v>
      </c>
      <c r="B25" s="888"/>
      <c r="C25" s="88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30439</v>
      </c>
      <c r="F27" s="136">
        <v>9</v>
      </c>
      <c r="G27" s="137">
        <f>E27*F27</f>
        <v>273951</v>
      </c>
      <c r="H27" s="99">
        <f>G27+'5'!H27</f>
        <v>1550655</v>
      </c>
      <c r="I27" s="138"/>
      <c r="J27" s="175">
        <f>H27/DAY(B2)</f>
        <v>258442.5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1084.6000000000931</v>
      </c>
      <c r="F28" s="136">
        <v>70</v>
      </c>
      <c r="G28" s="137">
        <f>E28*F28</f>
        <v>75922.000000006519</v>
      </c>
      <c r="H28" s="99">
        <f>G28+'5'!H28</f>
        <v>459802.00000000652</v>
      </c>
      <c r="I28" s="140"/>
      <c r="J28" s="175">
        <f>H28/DAY(B2)</f>
        <v>76633.666666667748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G30+'5'!H30</f>
        <v>48622</v>
      </c>
      <c r="I30" s="140"/>
      <c r="J30" s="175">
        <f>H30/DAY(B2)</f>
        <v>8103.666666666667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300</v>
      </c>
      <c r="F31" s="136">
        <v>80</v>
      </c>
      <c r="G31" s="137">
        <f>E31*F31</f>
        <v>24000</v>
      </c>
      <c r="H31" s="99">
        <f>G31+'5'!H31</f>
        <v>127200</v>
      </c>
      <c r="I31" s="140"/>
      <c r="J31" s="175">
        <f>H31/DAY(B2)</f>
        <v>21200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382178.00000000652</v>
      </c>
      <c r="H32" s="99">
        <f>G32+'5'!H32</f>
        <v>2186279.0000000065</v>
      </c>
      <c r="I32" s="144"/>
      <c r="J32" s="175">
        <f>H32/DAY(B2)</f>
        <v>364379.83333333442</v>
      </c>
      <c r="K32" s="63"/>
      <c r="L32" s="89"/>
      <c r="N32" s="87"/>
      <c r="O32" s="71"/>
    </row>
    <row r="33" spans="1:15" ht="25.5" customHeight="1">
      <c r="A33" s="890" t="s">
        <v>331</v>
      </c>
      <c r="B33" s="891"/>
      <c r="C33" s="89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'5'!F35</f>
        <v>238714</v>
      </c>
      <c r="F35" s="145">
        <v>238714</v>
      </c>
      <c r="G35" s="112">
        <f t="shared" ref="G35:G46" si="3">F35-E35</f>
        <v>0</v>
      </c>
      <c r="H35" s="99">
        <f>G35+'5'!H35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'5'!F36</f>
        <v>164473</v>
      </c>
      <c r="F36" s="145">
        <v>165559</v>
      </c>
      <c r="G36" s="112">
        <f t="shared" si="3"/>
        <v>1086</v>
      </c>
      <c r="H36" s="99">
        <f>G36+'5'!H36</f>
        <v>5111</v>
      </c>
      <c r="I36" s="95"/>
      <c r="J36" s="175">
        <f>H36/DAY(B2)</f>
        <v>851.83333333333337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'5'!F37</f>
        <v>244611</v>
      </c>
      <c r="F37" s="145">
        <v>246363</v>
      </c>
      <c r="G37" s="112">
        <f t="shared" si="3"/>
        <v>1752</v>
      </c>
      <c r="H37" s="99">
        <f>G37+'5'!H37</f>
        <v>10584</v>
      </c>
      <c r="I37" s="95"/>
      <c r="J37" s="175">
        <f>H37/DAY(B2)</f>
        <v>1764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'5'!F38</f>
        <v>328677</v>
      </c>
      <c r="F38" s="108">
        <v>330909</v>
      </c>
      <c r="G38" s="112">
        <f t="shared" si="3"/>
        <v>2232</v>
      </c>
      <c r="H38" s="99">
        <f>G38+'5'!H38</f>
        <v>14617</v>
      </c>
      <c r="I38" s="95"/>
      <c r="J38" s="175">
        <f>H38/DAY(B2)</f>
        <v>2436.1666666666665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'5'!F39</f>
        <v>447252</v>
      </c>
      <c r="F39" s="145">
        <v>450234</v>
      </c>
      <c r="G39" s="112">
        <f t="shared" si="3"/>
        <v>2982</v>
      </c>
      <c r="H39" s="99">
        <f>G39+'5'!H39</f>
        <v>17949</v>
      </c>
      <c r="I39" s="95"/>
      <c r="J39" s="175">
        <f>H39/DAY(B2)</f>
        <v>2991.5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'5'!F40</f>
        <v>74520</v>
      </c>
      <c r="F40" s="145">
        <v>74661.899999999994</v>
      </c>
      <c r="G40" s="112">
        <f t="shared" si="3"/>
        <v>141.89999999999418</v>
      </c>
      <c r="H40" s="99">
        <f>G40+'5'!H40</f>
        <v>1108.8999999999942</v>
      </c>
      <c r="I40" s="95"/>
      <c r="J40" s="175">
        <f>H40/DAY(B2)</f>
        <v>184.8166666666657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'5'!F41</f>
        <v>68835</v>
      </c>
      <c r="F41" s="145">
        <v>68835</v>
      </c>
      <c r="G41" s="112">
        <f t="shared" si="3"/>
        <v>0</v>
      </c>
      <c r="H41" s="99">
        <f>G41+'5'!H41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'5'!F42</f>
        <v>584085</v>
      </c>
      <c r="F42" s="145">
        <v>590030</v>
      </c>
      <c r="G42" s="112">
        <f t="shared" si="3"/>
        <v>5945</v>
      </c>
      <c r="H42" s="99">
        <f>G42+'5'!H42</f>
        <v>30158</v>
      </c>
      <c r="I42" s="95"/>
      <c r="J42" s="175">
        <f>H42/DAY(B2)</f>
        <v>5026.333333333333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'5'!F43</f>
        <v>407028</v>
      </c>
      <c r="F43" s="145">
        <v>407028</v>
      </c>
      <c r="G43" s="112">
        <f t="shared" si="3"/>
        <v>0</v>
      </c>
      <c r="H43" s="99">
        <f>G43+'5'!H43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14138.899999999994</v>
      </c>
      <c r="H47" s="99">
        <f>G47+'5'!H47</f>
        <v>79527.899999999994</v>
      </c>
      <c r="I47" s="95"/>
      <c r="J47" s="175">
        <f>H47/DAY(B2)</f>
        <v>13254.65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'5'!F49</f>
        <v>276385</v>
      </c>
      <c r="F49" s="145">
        <v>280074</v>
      </c>
      <c r="G49" s="112">
        <f t="shared" ref="G49:G58" si="4">F49-E49</f>
        <v>3689</v>
      </c>
      <c r="H49" s="99">
        <f>G49+'5'!H49</f>
        <v>22927</v>
      </c>
      <c r="I49" s="95"/>
      <c r="J49" s="175">
        <f>H49/DAY(B2)</f>
        <v>3821.1666666666665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'5'!F50</f>
        <v>214975</v>
      </c>
      <c r="F50" s="145">
        <v>216561</v>
      </c>
      <c r="G50" s="112">
        <f t="shared" si="4"/>
        <v>1586</v>
      </c>
      <c r="H50" s="99">
        <f>G50+'5'!H50</f>
        <v>6997</v>
      </c>
      <c r="I50" s="95"/>
      <c r="J50" s="175">
        <f>H50/DAY(B2)</f>
        <v>1166.1666666666667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'5'!F51</f>
        <v>75.680000000000007</v>
      </c>
      <c r="F51" s="145">
        <v>75.680000000000007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'5'!F52</f>
        <v>9.76</v>
      </c>
      <c r="F52" s="145">
        <v>9.76</v>
      </c>
      <c r="G52" s="112">
        <f t="shared" si="4"/>
        <v>0</v>
      </c>
      <c r="H52" s="99">
        <f>G52+'5'!H52</f>
        <v>-0.24000000000000021</v>
      </c>
      <c r="I52" s="95"/>
      <c r="J52" s="175">
        <f>H52/DAY(B2)</f>
        <v>-4.0000000000000036E-2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'5'!F54</f>
        <v>66864</v>
      </c>
      <c r="F54" s="145">
        <v>67323.600000000006</v>
      </c>
      <c r="G54" s="112">
        <f t="shared" si="4"/>
        <v>459.60000000000582</v>
      </c>
      <c r="H54" s="99">
        <f>G54+'5'!H54</f>
        <v>2767.6000000000058</v>
      </c>
      <c r="I54" s="95"/>
      <c r="J54" s="175">
        <f>H54/DAY(B2)</f>
        <v>461.26666666666762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'5'!F55</f>
        <v>240794</v>
      </c>
      <c r="F55" s="145">
        <v>243857</v>
      </c>
      <c r="G55" s="112">
        <f t="shared" si="4"/>
        <v>3063</v>
      </c>
      <c r="H55" s="99">
        <f>G55+'5'!H55</f>
        <v>18384</v>
      </c>
      <c r="I55" s="95"/>
      <c r="J55" s="175">
        <f>H55/DAY(B2)</f>
        <v>3064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'5'!F56</f>
        <v>107245.66</v>
      </c>
      <c r="F56" s="145">
        <v>107245.66</v>
      </c>
      <c r="G56" s="112">
        <f t="shared" si="4"/>
        <v>0</v>
      </c>
      <c r="H56" s="99">
        <f>G56+'5'!H56</f>
        <v>-0.33999999999650754</v>
      </c>
      <c r="I56" s="95"/>
      <c r="J56" s="175">
        <f>H56/DAY(B2)</f>
        <v>-5.6666666666084588E-2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'5'!F57</f>
        <v>52503</v>
      </c>
      <c r="F57" s="145">
        <v>55702.58</v>
      </c>
      <c r="G57" s="112">
        <f t="shared" si="4"/>
        <v>3199.5800000000017</v>
      </c>
      <c r="H57" s="99">
        <f>G57+'5'!H57</f>
        <v>18099.580000000002</v>
      </c>
      <c r="I57" s="95"/>
      <c r="J57" s="175">
        <f>H57/DAY(B2)</f>
        <v>3016.5966666666668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'5'!F58</f>
        <v>33896</v>
      </c>
      <c r="F58" s="145">
        <v>34146.699999999997</v>
      </c>
      <c r="G58" s="112">
        <f t="shared" si="4"/>
        <v>250.69999999999709</v>
      </c>
      <c r="H58" s="99">
        <f>G58+'5'!H58</f>
        <v>1487.6999999999971</v>
      </c>
      <c r="I58" s="95"/>
      <c r="J58" s="175">
        <f>H58/DAY(B2)</f>
        <v>247.94999999999951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12247.880000000005</v>
      </c>
      <c r="H59" s="99">
        <f>G59+'5'!H59</f>
        <v>70662.300000000017</v>
      </c>
      <c r="I59" s="95">
        <f>G7-G60</f>
        <v>2892.2200000000012</v>
      </c>
      <c r="J59" s="175">
        <f>H59/DAY(B2)</f>
        <v>11777.050000000003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26386.78</v>
      </c>
      <c r="H60" s="99">
        <f>G60+'5'!H60</f>
        <v>150190.20000000001</v>
      </c>
      <c r="I60" s="95">
        <f>G13-G60</f>
        <v>2078.2200000000012</v>
      </c>
      <c r="J60" s="175">
        <f>H60/DAY(B2)</f>
        <v>25031.7</v>
      </c>
      <c r="K60" s="79"/>
      <c r="L60" s="66"/>
      <c r="N60" s="87"/>
      <c r="O60" s="71"/>
    </row>
    <row r="61" spans="1:15" s="68" customFormat="1" ht="26.25">
      <c r="A61" s="892" t="s">
        <v>332</v>
      </c>
      <c r="B61" s="893"/>
      <c r="C61" s="89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3" t="s">
        <v>198</v>
      </c>
      <c r="B62" s="874"/>
      <c r="C62" s="875"/>
      <c r="D62" s="151" t="s">
        <v>142</v>
      </c>
      <c r="E62" s="95">
        <f>'5'!F62</f>
        <v>289850</v>
      </c>
      <c r="F62" s="122">
        <v>289950</v>
      </c>
      <c r="G62" s="112">
        <f t="shared" ref="G62:G63" si="5">F62-E62</f>
        <v>100</v>
      </c>
      <c r="H62" s="99">
        <f>G62+'5'!H62</f>
        <v>1050</v>
      </c>
      <c r="I62" s="118"/>
      <c r="J62" s="175">
        <f>H62/DAY(B2)</f>
        <v>175</v>
      </c>
      <c r="K62" s="80"/>
      <c r="L62" s="66"/>
      <c r="N62" s="87"/>
      <c r="O62" s="71"/>
    </row>
    <row r="63" spans="1:15" ht="25.5">
      <c r="A63" s="873" t="s">
        <v>199</v>
      </c>
      <c r="B63" s="874"/>
      <c r="C63" s="875"/>
      <c r="D63" s="151" t="s">
        <v>142</v>
      </c>
      <c r="E63" s="95">
        <f>'5'!F63</f>
        <v>231859</v>
      </c>
      <c r="F63" s="122">
        <v>232012</v>
      </c>
      <c r="G63" s="112">
        <f t="shared" si="5"/>
        <v>153</v>
      </c>
      <c r="H63" s="99">
        <f>G63+'5'!H63</f>
        <v>850</v>
      </c>
      <c r="I63" s="118"/>
      <c r="J63" s="175">
        <f>H63/DAY(B2)</f>
        <v>141.66666666666666</v>
      </c>
      <c r="K63" s="69"/>
      <c r="L63" s="66"/>
      <c r="N63" s="87"/>
      <c r="O63" s="71"/>
    </row>
    <row r="64" spans="1:15" ht="26.25">
      <c r="A64" s="870" t="s">
        <v>200</v>
      </c>
      <c r="B64" s="871"/>
      <c r="C64" s="872"/>
      <c r="D64" s="151"/>
      <c r="E64" s="95">
        <f>'5'!F64</f>
        <v>0</v>
      </c>
      <c r="F64" s="122"/>
      <c r="G64" s="112">
        <f>G62+G63</f>
        <v>253</v>
      </c>
      <c r="H64" s="99">
        <f>G64+'5'!H64</f>
        <v>1900</v>
      </c>
      <c r="I64" s="118"/>
      <c r="J64" s="175">
        <f>H64/DAY(B2)</f>
        <v>316.66666666666669</v>
      </c>
      <c r="K64" s="69"/>
      <c r="L64" s="66"/>
      <c r="N64" s="87"/>
      <c r="O64" s="71"/>
    </row>
    <row r="65" spans="1:15" ht="25.5">
      <c r="A65" s="873" t="s">
        <v>201</v>
      </c>
      <c r="B65" s="874"/>
      <c r="C65" s="875"/>
      <c r="D65" s="151" t="s">
        <v>142</v>
      </c>
      <c r="E65" s="95">
        <f>'5'!F65</f>
        <v>448619</v>
      </c>
      <c r="F65" s="122">
        <v>448725</v>
      </c>
      <c r="G65" s="112">
        <f t="shared" ref="G65:G70" si="6">F65-E65</f>
        <v>106</v>
      </c>
      <c r="H65" s="99">
        <f>G65+'5'!H65</f>
        <v>698</v>
      </c>
      <c r="I65" s="118"/>
      <c r="J65" s="175">
        <f>H65/DAY(B2)</f>
        <v>116.33333333333333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'5'!F66</f>
        <v>110463</v>
      </c>
      <c r="F66" s="122">
        <v>110488</v>
      </c>
      <c r="G66" s="112">
        <f t="shared" si="6"/>
        <v>25</v>
      </c>
      <c r="H66" s="99">
        <f>G66+'5'!H66</f>
        <v>157</v>
      </c>
      <c r="I66" s="118"/>
      <c r="J66" s="175">
        <f>H66/DAY(B2)</f>
        <v>26.166666666666668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'5'!F67</f>
        <v>113623</v>
      </c>
      <c r="F67" s="122">
        <v>113635</v>
      </c>
      <c r="G67" s="112">
        <f t="shared" si="6"/>
        <v>12</v>
      </c>
      <c r="H67" s="99">
        <f>G67+'5'!H67</f>
        <v>357</v>
      </c>
      <c r="I67" s="118"/>
      <c r="J67" s="175">
        <f>H67/DAY(B2)</f>
        <v>59.5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'5'!F68</f>
        <v>162609</v>
      </c>
      <c r="F68" s="122">
        <v>162626</v>
      </c>
      <c r="G68" s="112">
        <f t="shared" si="6"/>
        <v>17</v>
      </c>
      <c r="H68" s="99">
        <f>G68+'5'!H68</f>
        <v>132</v>
      </c>
      <c r="I68" s="118"/>
      <c r="J68" s="175">
        <f>H68/DAY(B2)</f>
        <v>22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'5'!F69</f>
        <v>11927</v>
      </c>
      <c r="F69" s="122">
        <v>11939</v>
      </c>
      <c r="G69" s="112">
        <f t="shared" si="6"/>
        <v>12</v>
      </c>
      <c r="H69" s="99">
        <f>G69+'5'!H69</f>
        <v>70</v>
      </c>
      <c r="I69" s="118"/>
      <c r="J69" s="175">
        <f>H69/DAY(B2)</f>
        <v>11.666666666666666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'5'!F70</f>
        <v>9320</v>
      </c>
      <c r="F70" s="122">
        <v>9324</v>
      </c>
      <c r="G70" s="112">
        <f t="shared" si="6"/>
        <v>4</v>
      </c>
      <c r="H70" s="99">
        <f>G70+'5'!H70</f>
        <v>57</v>
      </c>
      <c r="I70" s="118"/>
      <c r="J70" s="175">
        <f>H70/DAY(B2)</f>
        <v>9.5</v>
      </c>
      <c r="K70" s="69"/>
      <c r="L70" s="66"/>
      <c r="N70" s="87"/>
      <c r="O70" s="71"/>
    </row>
    <row r="71" spans="1:15" ht="26.25">
      <c r="A71" s="870" t="s">
        <v>208</v>
      </c>
      <c r="B71" s="871"/>
      <c r="C71" s="872"/>
      <c r="D71" s="152"/>
      <c r="E71" s="152"/>
      <c r="F71" s="152"/>
      <c r="G71" s="153">
        <f>SUM(G65:G70)</f>
        <v>176</v>
      </c>
      <c r="H71" s="99">
        <f>G71+'5'!H71</f>
        <v>1471</v>
      </c>
      <c r="I71" s="154"/>
      <c r="J71" s="175">
        <f>H71/DAY(B2)</f>
        <v>245.16666666666666</v>
      </c>
      <c r="K71" s="69"/>
      <c r="L71" s="66"/>
      <c r="N71" s="87"/>
      <c r="O71" s="71"/>
    </row>
    <row r="72" spans="1:15" s="88" customFormat="1" ht="25.5">
      <c r="A72" s="916"/>
      <c r="B72" s="90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3" t="s">
        <v>220</v>
      </c>
      <c r="B74" s="874"/>
      <c r="C74" s="875"/>
      <c r="D74" s="151" t="s">
        <v>139</v>
      </c>
      <c r="E74" s="95">
        <f>'5'!F74</f>
        <v>940272</v>
      </c>
      <c r="F74" s="123">
        <v>940583.43</v>
      </c>
      <c r="G74" s="112">
        <f t="shared" ref="G74:G78" si="7">F74-E74</f>
        <v>311.43000000005122</v>
      </c>
      <c r="H74" s="99">
        <f>G74+'5'!H74</f>
        <v>1913.4300000000512</v>
      </c>
      <c r="I74" s="154"/>
      <c r="J74" s="175">
        <f>H74/DAY(B2)</f>
        <v>318.90500000000856</v>
      </c>
      <c r="K74" s="69"/>
      <c r="L74" s="66"/>
      <c r="N74" s="87"/>
      <c r="O74" s="71"/>
    </row>
    <row r="75" spans="1:15" ht="25.5">
      <c r="A75" s="873" t="s">
        <v>221</v>
      </c>
      <c r="B75" s="874"/>
      <c r="C75" s="875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7" t="s">
        <v>222</v>
      </c>
      <c r="B76" s="903"/>
      <c r="C76" s="904"/>
      <c r="D76" s="151" t="s">
        <v>139</v>
      </c>
      <c r="E76" s="95">
        <f>'5'!F76</f>
        <v>184290</v>
      </c>
      <c r="F76" s="123">
        <v>184419.1</v>
      </c>
      <c r="G76" s="112">
        <f t="shared" si="7"/>
        <v>129.10000000000582</v>
      </c>
      <c r="H76" s="99">
        <f>G76+'5'!H76</f>
        <v>713.10000000000582</v>
      </c>
      <c r="I76" s="154"/>
      <c r="J76" s="175">
        <f>H76/DAY(B2)</f>
        <v>118.85000000000097</v>
      </c>
      <c r="K76" s="69"/>
      <c r="L76" s="66"/>
      <c r="N76" s="87"/>
      <c r="O76" s="71"/>
    </row>
    <row r="77" spans="1:15" ht="25.5">
      <c r="A77" s="917" t="s">
        <v>223</v>
      </c>
      <c r="B77" s="903"/>
      <c r="C77" s="904"/>
      <c r="D77" s="151" t="s">
        <v>139</v>
      </c>
      <c r="E77" s="95">
        <f>'5'!F77</f>
        <v>47587</v>
      </c>
      <c r="F77" s="123">
        <v>47628.3</v>
      </c>
      <c r="G77" s="112">
        <f t="shared" si="7"/>
        <v>41.30000000000291</v>
      </c>
      <c r="H77" s="99">
        <f>G77+'5'!H77</f>
        <v>283.30000000000291</v>
      </c>
      <c r="I77" s="154"/>
      <c r="J77" s="175">
        <f>H77/DAY(B2)</f>
        <v>47.216666666667152</v>
      </c>
      <c r="K77" s="69"/>
      <c r="L77" s="66"/>
      <c r="N77" s="87"/>
      <c r="O77" s="71"/>
    </row>
    <row r="78" spans="1:15" ht="25.5">
      <c r="A78" s="917" t="s">
        <v>224</v>
      </c>
      <c r="B78" s="903"/>
      <c r="C78" s="904"/>
      <c r="D78" s="151" t="s">
        <v>139</v>
      </c>
      <c r="E78" s="95">
        <f>'5'!F78</f>
        <v>9563.4</v>
      </c>
      <c r="F78" s="123">
        <v>9563.4</v>
      </c>
      <c r="G78" s="112">
        <f t="shared" si="7"/>
        <v>0</v>
      </c>
      <c r="H78" s="99">
        <f>G78+'5'!H78</f>
        <v>0.3999999999996362</v>
      </c>
      <c r="I78" s="118"/>
      <c r="J78" s="175">
        <f>H78/DAY(B2)</f>
        <v>6.6666666666606034E-2</v>
      </c>
      <c r="K78" s="69"/>
      <c r="L78" s="66"/>
      <c r="N78" s="87"/>
      <c r="O78" s="71"/>
    </row>
    <row r="79" spans="1:15" s="57" customFormat="1" ht="25.5">
      <c r="A79" s="917" t="s">
        <v>225</v>
      </c>
      <c r="B79" s="903"/>
      <c r="C79" s="904"/>
      <c r="D79" s="151"/>
      <c r="E79" s="117"/>
      <c r="F79" s="117"/>
      <c r="G79" s="112">
        <f>G15-SUM(G74:G78)</f>
        <v>602.77000000003318</v>
      </c>
      <c r="H79" s="99">
        <f>G79+'5'!H79</f>
        <v>3658.3700000000335</v>
      </c>
      <c r="I79" s="118"/>
      <c r="J79" s="175"/>
      <c r="K79" s="59"/>
      <c r="L79" s="58"/>
      <c r="N79" s="87"/>
      <c r="O79" s="71"/>
    </row>
    <row r="80" spans="1:15" s="57" customFormat="1" ht="26.25">
      <c r="A80" s="870" t="s">
        <v>329</v>
      </c>
      <c r="B80" s="871"/>
      <c r="C80" s="872"/>
      <c r="D80" s="151"/>
      <c r="E80" s="117"/>
      <c r="F80" s="117"/>
      <c r="G80" s="112">
        <f>SUM(G74:G79)</f>
        <v>1084.6000000000931</v>
      </c>
      <c r="H80" s="99"/>
      <c r="I80" s="118"/>
      <c r="J80" s="175"/>
      <c r="K80" s="59"/>
      <c r="L80" s="58"/>
      <c r="N80" s="87"/>
      <c r="O80" s="71"/>
    </row>
    <row r="81" spans="1:15" ht="25.5">
      <c r="A81" s="909" t="s">
        <v>226</v>
      </c>
      <c r="B81" s="910"/>
      <c r="C81" s="91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'5'!F84</f>
        <v>41969</v>
      </c>
      <c r="F84" s="164">
        <v>41969</v>
      </c>
      <c r="G84" s="112">
        <f t="shared" si="8"/>
        <v>0</v>
      </c>
      <c r="H84" s="99">
        <f>G84+'5'!H84</f>
        <v>0</v>
      </c>
      <c r="I84" s="57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'5'!F85</f>
        <v>4445</v>
      </c>
      <c r="F85" s="164">
        <v>4469.16</v>
      </c>
      <c r="G85" s="112">
        <f t="shared" si="8"/>
        <v>24.159999999999854</v>
      </c>
      <c r="H85" s="99">
        <f>G85+'5'!H85</f>
        <v>126.15999999999985</v>
      </c>
      <c r="I85" s="573"/>
      <c r="J85" s="175">
        <f>H85/DAY(B2)</f>
        <v>21.026666666666642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'5'!F86</f>
        <v>44575</v>
      </c>
      <c r="F86" s="164">
        <v>44595.19</v>
      </c>
      <c r="G86" s="112">
        <f t="shared" si="8"/>
        <v>20.190000000002328</v>
      </c>
      <c r="H86" s="99">
        <f>G86+'5'!H86</f>
        <v>125.19000000000233</v>
      </c>
      <c r="I86" s="573"/>
      <c r="J86" s="175">
        <f>H86/DAY(B2)</f>
        <v>20.865000000000389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'5'!F87</f>
        <v>35329.06</v>
      </c>
      <c r="F87" s="164">
        <v>35329.06</v>
      </c>
      <c r="G87" s="112">
        <f t="shared" si="8"/>
        <v>0</v>
      </c>
      <c r="H87" s="99">
        <f>G87+'5'!H87</f>
        <v>5.9999999997671694E-2</v>
      </c>
      <c r="I87" s="573">
        <f>G84+G85+G86+G87</f>
        <v>44.350000000002183</v>
      </c>
      <c r="J87" s="175">
        <f>H87/DAY(B2)</f>
        <v>9.9999999996119495E-3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'5'!F88</f>
        <v>24275</v>
      </c>
      <c r="F88" s="164">
        <v>24276.95</v>
      </c>
      <c r="G88" s="112">
        <f t="shared" si="8"/>
        <v>1.9500000000007276</v>
      </c>
      <c r="H88" s="99">
        <f>G88+'5'!H88</f>
        <v>49.069999999999709</v>
      </c>
      <c r="I88" s="573"/>
      <c r="J88" s="175">
        <f>H88/DAY(B2)</f>
        <v>8.1783333333332848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'5'!F89</f>
        <v>27047</v>
      </c>
      <c r="F89" s="164">
        <v>27055.91</v>
      </c>
      <c r="G89" s="112">
        <f t="shared" si="8"/>
        <v>8.9099999999998545</v>
      </c>
      <c r="H89" s="99">
        <f>G89+'5'!H89</f>
        <v>62.5</v>
      </c>
      <c r="I89" s="573">
        <f>G88+G89</f>
        <v>10.860000000000582</v>
      </c>
      <c r="J89" s="175">
        <f>H89/DAY(B2)</f>
        <v>10.416666666666666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'5'!F90</f>
        <v>72127</v>
      </c>
      <c r="F90" s="164">
        <v>72127.12</v>
      </c>
      <c r="G90" s="112">
        <f t="shared" si="8"/>
        <v>0.11999999999534339</v>
      </c>
      <c r="H90" s="99">
        <f>G90+'5'!H90</f>
        <v>0</v>
      </c>
      <c r="I90" s="573">
        <f>G90</f>
        <v>0.11999999999534339</v>
      </c>
      <c r="J90" s="175">
        <f>H90/DAY(B2)</f>
        <v>0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'5'!F91</f>
        <v>4122</v>
      </c>
      <c r="F91" s="122">
        <v>4121.6499999999996</v>
      </c>
      <c r="G91" s="112">
        <f t="shared" si="8"/>
        <v>-0.3500000000003638</v>
      </c>
      <c r="H91" s="99">
        <f>G91+'5'!H91</f>
        <v>0</v>
      </c>
      <c r="I91" s="592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'5'!F92</f>
        <v>6273</v>
      </c>
      <c r="F92" s="122">
        <v>6283.23</v>
      </c>
      <c r="G92" s="112">
        <f t="shared" si="8"/>
        <v>10.229999999999563</v>
      </c>
      <c r="H92" s="99">
        <f>G92+'5'!H92</f>
        <v>65.979999999999563</v>
      </c>
      <c r="I92" s="598">
        <f>G91+G92</f>
        <v>9.8799999999991996</v>
      </c>
      <c r="J92" s="175">
        <f>H92/DAY(B2)</f>
        <v>10.996666666666593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3" t="s">
        <v>240</v>
      </c>
      <c r="B94" s="874"/>
      <c r="C94" s="875"/>
      <c r="D94" s="151" t="s">
        <v>130</v>
      </c>
      <c r="E94" s="151"/>
      <c r="F94" s="151"/>
      <c r="G94" s="99">
        <f>G35+G43+G49+G57</f>
        <v>6888.5800000000017</v>
      </c>
      <c r="H94" s="99">
        <f>G94+'5'!H94</f>
        <v>41026.58</v>
      </c>
      <c r="I94" s="118"/>
      <c r="J94" s="175">
        <f>H94/DAY(B2)</f>
        <v>6837.7633333333333</v>
      </c>
      <c r="K94" s="69"/>
      <c r="L94" s="66"/>
      <c r="O94" s="71"/>
    </row>
    <row r="95" spans="1:15" ht="25.5">
      <c r="A95" s="873" t="s">
        <v>241</v>
      </c>
      <c r="B95" s="874"/>
      <c r="C95" s="875"/>
      <c r="D95" s="151" t="s">
        <v>23</v>
      </c>
      <c r="E95" s="146"/>
      <c r="F95" s="146"/>
      <c r="G95" s="166">
        <f>G94/G7</f>
        <v>0.23527374568803586</v>
      </c>
      <c r="H95" s="99">
        <f>G95+'5'!H95</f>
        <v>1.4884546234819016</v>
      </c>
      <c r="I95" s="167"/>
      <c r="J95" s="175">
        <f>H95/DAY(B2)</f>
        <v>0.24807577058031693</v>
      </c>
      <c r="K95" s="69"/>
      <c r="L95" s="66"/>
      <c r="O95" s="71"/>
    </row>
    <row r="96" spans="1:15" ht="25.5">
      <c r="A96" s="873" t="s">
        <v>242</v>
      </c>
      <c r="B96" s="874"/>
      <c r="C96" s="875"/>
      <c r="D96" s="151" t="s">
        <v>130</v>
      </c>
      <c r="E96" s="95"/>
      <c r="F96" s="95"/>
      <c r="G96" s="99">
        <f>G41+G42+G55+G56</f>
        <v>9008</v>
      </c>
      <c r="H96" s="99">
        <f>G96+'5'!H96</f>
        <v>48541.66</v>
      </c>
      <c r="I96" s="118"/>
      <c r="J96" s="175">
        <f>H96/DAY(B2)</f>
        <v>8090.2766666666676</v>
      </c>
      <c r="K96" s="69"/>
      <c r="L96" s="66"/>
      <c r="O96" s="71"/>
    </row>
    <row r="97" spans="1:15" ht="25.5">
      <c r="A97" s="873" t="s">
        <v>243</v>
      </c>
      <c r="B97" s="874"/>
      <c r="C97" s="875"/>
      <c r="D97" s="151" t="s">
        <v>23</v>
      </c>
      <c r="E97" s="95"/>
      <c r="F97" s="95"/>
      <c r="G97" s="166">
        <f>G96/G7</f>
        <v>0.30766078076437037</v>
      </c>
      <c r="H97" s="99">
        <f>G97+'5'!H97</f>
        <v>1.7584170794837397</v>
      </c>
      <c r="I97" s="167"/>
      <c r="J97" s="175">
        <f>H97/DAY(B2)</f>
        <v>0.29306951324728997</v>
      </c>
      <c r="K97" s="69"/>
      <c r="L97" s="66"/>
      <c r="O97" s="71"/>
    </row>
    <row r="98" spans="1:15" ht="25.5">
      <c r="A98" s="873" t="s">
        <v>244</v>
      </c>
      <c r="B98" s="874"/>
      <c r="C98" s="875"/>
      <c r="D98" s="151" t="s">
        <v>130</v>
      </c>
      <c r="E98" s="95"/>
      <c r="F98" s="95"/>
      <c r="G98" s="99">
        <f>G39+G53</f>
        <v>2982</v>
      </c>
      <c r="H98" s="99">
        <f>G98+'5'!H98</f>
        <v>17949</v>
      </c>
      <c r="I98" s="168"/>
      <c r="J98" s="175">
        <f>H98/DAY(B2)</f>
        <v>2991.5</v>
      </c>
      <c r="K98" s="69"/>
      <c r="L98" s="66"/>
      <c r="O98" s="71"/>
    </row>
    <row r="99" spans="1:15" ht="25.5">
      <c r="A99" s="873" t="s">
        <v>245</v>
      </c>
      <c r="B99" s="874"/>
      <c r="C99" s="875"/>
      <c r="D99" s="151" t="s">
        <v>23</v>
      </c>
      <c r="E99" s="95"/>
      <c r="F99" s="95"/>
      <c r="G99" s="166">
        <f>G98/G7</f>
        <v>0.10184774070152669</v>
      </c>
      <c r="H99" s="99">
        <f>G99+'5'!H99</f>
        <v>0.65144612823947401</v>
      </c>
      <c r="I99" s="168"/>
      <c r="J99" s="175">
        <f>H99/DAY(B2)</f>
        <v>0.108574354706579</v>
      </c>
      <c r="O99" s="71"/>
    </row>
    <row r="100" spans="1:15" ht="26.25">
      <c r="A100" s="873" t="s">
        <v>246</v>
      </c>
      <c r="B100" s="874"/>
      <c r="C100" s="875"/>
      <c r="D100" s="151" t="s">
        <v>180</v>
      </c>
      <c r="E100" s="95"/>
      <c r="F100" s="95"/>
      <c r="G100" s="99">
        <f>G38+G52</f>
        <v>2232</v>
      </c>
      <c r="H100" s="99">
        <f>G100+'5'!H100</f>
        <v>14616.76</v>
      </c>
      <c r="I100" s="118"/>
      <c r="J100" s="175">
        <f>H100/DAY(B2)</f>
        <v>2436.1266666666666</v>
      </c>
      <c r="K100" s="70"/>
      <c r="O100" s="71"/>
    </row>
    <row r="101" spans="1:15" ht="25.5">
      <c r="A101" s="873" t="s">
        <v>247</v>
      </c>
      <c r="B101" s="874"/>
      <c r="C101" s="875"/>
      <c r="D101" s="151" t="s">
        <v>23</v>
      </c>
      <c r="E101" s="95"/>
      <c r="F101" s="95"/>
      <c r="G101" s="166">
        <f>G100/G7</f>
        <v>7.6232111752450565E-2</v>
      </c>
      <c r="H101" s="99">
        <f>G101+'5'!H101</f>
        <v>0.53106031359615957</v>
      </c>
      <c r="I101" s="168"/>
      <c r="J101" s="175">
        <f>H101/DAY(B2)</f>
        <v>8.8510052266026595E-2</v>
      </c>
      <c r="O101" s="71"/>
    </row>
    <row r="102" spans="1:15" ht="25.5">
      <c r="A102" s="873" t="s">
        <v>248</v>
      </c>
      <c r="B102" s="874"/>
      <c r="C102" s="875"/>
      <c r="D102" s="151" t="s">
        <v>180</v>
      </c>
      <c r="E102" s="95"/>
      <c r="F102" s="95"/>
      <c r="G102" s="99">
        <f>G36+G50</f>
        <v>2672</v>
      </c>
      <c r="H102" s="99">
        <f>G102+'5'!H102</f>
        <v>12108</v>
      </c>
      <c r="I102" s="168"/>
      <c r="J102" s="175">
        <f>H102/DAY(B2)</f>
        <v>2018</v>
      </c>
      <c r="O102" s="71"/>
    </row>
    <row r="103" spans="1:15" ht="25.5">
      <c r="A103" s="873" t="s">
        <v>249</v>
      </c>
      <c r="B103" s="874"/>
      <c r="C103" s="875"/>
      <c r="D103" s="151" t="s">
        <v>23</v>
      </c>
      <c r="E103" s="95"/>
      <c r="F103" s="95"/>
      <c r="G103" s="166">
        <f>G102/G7</f>
        <v>9.1259947402575231E-2</v>
      </c>
      <c r="H103" s="99">
        <f>G103+'5'!H103</f>
        <v>0.43786742866981487</v>
      </c>
      <c r="I103" s="118"/>
      <c r="J103" s="175">
        <f>H103/DAY(B2)</f>
        <v>7.2977904778302474E-2</v>
      </c>
      <c r="O103" s="71"/>
    </row>
    <row r="104" spans="1:15" ht="25.5">
      <c r="A104" s="873" t="s">
        <v>250</v>
      </c>
      <c r="B104" s="874"/>
      <c r="C104" s="875"/>
      <c r="D104" s="151" t="s">
        <v>180</v>
      </c>
      <c r="E104" s="95"/>
      <c r="F104" s="95"/>
      <c r="G104" s="99">
        <f>G37+G51</f>
        <v>1752</v>
      </c>
      <c r="H104" s="99">
        <f>G104+'5'!H104</f>
        <v>10584</v>
      </c>
      <c r="I104" s="118"/>
      <c r="J104" s="175">
        <f>H104/DAY(B2)</f>
        <v>1764</v>
      </c>
      <c r="O104" s="71"/>
    </row>
    <row r="105" spans="1:15" ht="26.25" thickBot="1">
      <c r="A105" s="913" t="s">
        <v>251</v>
      </c>
      <c r="B105" s="914"/>
      <c r="C105" s="915"/>
      <c r="D105" s="231" t="s">
        <v>23</v>
      </c>
      <c r="E105" s="185"/>
      <c r="F105" s="185"/>
      <c r="G105" s="186">
        <f>G104/G7</f>
        <v>5.983810922504184E-2</v>
      </c>
      <c r="H105" s="99">
        <f>G105+'5'!H105</f>
        <v>0.38403283010015843</v>
      </c>
      <c r="I105" s="187"/>
      <c r="J105" s="188">
        <f>H105/DAY(B2)</f>
        <v>6.4005471683359738E-2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7" t="s">
        <v>324</v>
      </c>
      <c r="B108" s="927"/>
      <c r="C108" s="927"/>
      <c r="D108" s="927"/>
      <c r="E108" s="927"/>
      <c r="F108" s="927"/>
      <c r="G108" s="927"/>
      <c r="H108" s="927"/>
      <c r="I108" s="927"/>
      <c r="J108" s="927"/>
    </row>
    <row r="109" spans="1:15" ht="26.25">
      <c r="A109" s="912"/>
      <c r="B109" s="912"/>
    </row>
    <row r="110" spans="1:15" ht="26.25">
      <c r="A110" s="928" t="s">
        <v>165</v>
      </c>
      <c r="B110" s="929"/>
      <c r="C110" s="929"/>
      <c r="D110" s="929"/>
      <c r="E110" s="929"/>
      <c r="F110" s="929"/>
      <c r="G110" s="929"/>
      <c r="H110" s="929"/>
      <c r="I110" s="929"/>
      <c r="J110" s="930"/>
    </row>
    <row r="111" spans="1:15" ht="25.5">
      <c r="A111" s="931"/>
      <c r="B111" s="932"/>
      <c r="C111" s="933"/>
      <c r="D111" s="165"/>
      <c r="E111" s="165"/>
      <c r="F111" s="165"/>
      <c r="G111" s="165"/>
      <c r="H111" s="156"/>
      <c r="I111" s="165"/>
      <c r="J111" s="327"/>
    </row>
    <row r="112" spans="1:15" ht="25.5">
      <c r="A112" s="906" t="s">
        <v>252</v>
      </c>
      <c r="B112" s="907"/>
      <c r="C112" s="908"/>
      <c r="D112" s="146" t="s">
        <v>183</v>
      </c>
      <c r="E112" s="95">
        <f>'5'!F112</f>
        <v>3066</v>
      </c>
      <c r="F112" s="237">
        <v>3145.18</v>
      </c>
      <c r="G112" s="112">
        <f t="shared" ref="G112:G123" si="9">F112-E112</f>
        <v>79.179999999999836</v>
      </c>
      <c r="H112" s="99">
        <f>G112+'5'!H112</f>
        <v>468.17999999999984</v>
      </c>
      <c r="I112" s="165"/>
      <c r="J112" s="328">
        <f>H112/DAY(B2)</f>
        <v>78.029999999999973</v>
      </c>
    </row>
    <row r="113" spans="1:18" ht="29.25" customHeight="1">
      <c r="A113" s="906" t="s">
        <v>253</v>
      </c>
      <c r="B113" s="907"/>
      <c r="C113" s="908"/>
      <c r="D113" s="146" t="s">
        <v>183</v>
      </c>
      <c r="E113" s="95">
        <f>'5'!F113</f>
        <v>7130</v>
      </c>
      <c r="F113" s="237">
        <v>7253.36</v>
      </c>
      <c r="G113" s="112">
        <f t="shared" si="9"/>
        <v>123.35999999999967</v>
      </c>
      <c r="H113" s="99">
        <f>G113+'5'!H113</f>
        <v>862.35999999999967</v>
      </c>
      <c r="I113" s="165"/>
      <c r="J113" s="328">
        <f>H113/DAY(B2)</f>
        <v>143.7266666666666</v>
      </c>
    </row>
    <row r="114" spans="1:18" ht="29.25" customHeight="1">
      <c r="A114" s="906" t="s">
        <v>254</v>
      </c>
      <c r="B114" s="907"/>
      <c r="C114" s="908"/>
      <c r="D114" s="146" t="s">
        <v>183</v>
      </c>
      <c r="E114" s="95">
        <f>'5'!F114</f>
        <v>8671</v>
      </c>
      <c r="F114" s="237">
        <v>8898.26</v>
      </c>
      <c r="G114" s="112">
        <f t="shared" si="9"/>
        <v>227.26000000000022</v>
      </c>
      <c r="H114" s="99">
        <f>G114+'5'!H114</f>
        <v>1328.2600000000002</v>
      </c>
      <c r="I114" s="165"/>
      <c r="J114" s="328">
        <f>H114/DAY(B2)</f>
        <v>221.37666666666669</v>
      </c>
    </row>
    <row r="115" spans="1:18" ht="29.25" customHeight="1">
      <c r="A115" s="906" t="s">
        <v>255</v>
      </c>
      <c r="B115" s="907"/>
      <c r="C115" s="908"/>
      <c r="D115" s="146" t="s">
        <v>183</v>
      </c>
      <c r="E115" s="95">
        <f>'5'!F115</f>
        <v>676</v>
      </c>
      <c r="F115" s="237">
        <v>679.53</v>
      </c>
      <c r="G115" s="112">
        <f t="shared" si="9"/>
        <v>3.5299999999999727</v>
      </c>
      <c r="H115" s="99">
        <f>G115+'5'!H115</f>
        <v>118.52999999999997</v>
      </c>
      <c r="I115" s="165"/>
      <c r="J115" s="328">
        <f>H115/DAY(B2)</f>
        <v>19.754999999999995</v>
      </c>
    </row>
    <row r="116" spans="1:18" ht="29.25" customHeight="1">
      <c r="A116" s="924" t="s">
        <v>96</v>
      </c>
      <c r="B116" s="925"/>
      <c r="C116" s="926"/>
      <c r="D116" s="146" t="s">
        <v>183</v>
      </c>
      <c r="E116" s="95">
        <f>'5'!F116</f>
        <v>48737</v>
      </c>
      <c r="F116" s="237">
        <v>49162.400000000001</v>
      </c>
      <c r="G116" s="112">
        <f t="shared" si="9"/>
        <v>425.40000000000146</v>
      </c>
      <c r="H116" s="99">
        <f>G116+'5'!H116</f>
        <v>2407.4000000000015</v>
      </c>
      <c r="I116" s="165"/>
      <c r="J116" s="328">
        <f>H116/DAY(B2)</f>
        <v>401.23333333333358</v>
      </c>
      <c r="Q116" s="906"/>
      <c r="R116" s="908"/>
    </row>
    <row r="117" spans="1:18" ht="29.25" customHeight="1">
      <c r="A117" s="924" t="s">
        <v>184</v>
      </c>
      <c r="B117" s="925"/>
      <c r="C117" s="926"/>
      <c r="D117" s="146" t="s">
        <v>183</v>
      </c>
      <c r="E117" s="95">
        <f>'5'!F117</f>
        <v>26457</v>
      </c>
      <c r="F117" s="237">
        <v>26669.3</v>
      </c>
      <c r="G117" s="112">
        <f t="shared" si="9"/>
        <v>212.29999999999927</v>
      </c>
      <c r="H117" s="99">
        <f>G117+'5'!H117</f>
        <v>1401.2999999999993</v>
      </c>
      <c r="I117" s="165"/>
      <c r="J117" s="328">
        <f>H117/DAY(B2)</f>
        <v>233.54999999999987</v>
      </c>
      <c r="Q117" s="906"/>
      <c r="R117" s="908"/>
    </row>
    <row r="118" spans="1:18" ht="25.5">
      <c r="A118" s="901" t="s">
        <v>97</v>
      </c>
      <c r="B118" s="901"/>
      <c r="C118" s="901"/>
      <c r="D118" s="151" t="s">
        <v>183</v>
      </c>
      <c r="E118" s="95">
        <f>'5'!F118</f>
        <v>28947</v>
      </c>
      <c r="F118" s="237">
        <v>29481.7</v>
      </c>
      <c r="G118" s="112">
        <f t="shared" si="9"/>
        <v>534.70000000000073</v>
      </c>
      <c r="H118" s="99">
        <f>G118+'5'!H118</f>
        <v>3256.7000000000007</v>
      </c>
      <c r="I118" s="165"/>
      <c r="J118" s="328">
        <f>H118/DAY(B2)</f>
        <v>542.78333333333342</v>
      </c>
      <c r="Q118" s="906"/>
      <c r="R118" s="908"/>
    </row>
    <row r="119" spans="1:18" ht="25.5">
      <c r="A119" s="901" t="s">
        <v>98</v>
      </c>
      <c r="B119" s="901"/>
      <c r="C119" s="901"/>
      <c r="D119" s="151" t="s">
        <v>183</v>
      </c>
      <c r="E119" s="95">
        <f>'5'!F119</f>
        <v>21060</v>
      </c>
      <c r="F119" s="237">
        <v>21476.6</v>
      </c>
      <c r="G119" s="112">
        <f t="shared" si="9"/>
        <v>416.59999999999854</v>
      </c>
      <c r="H119" s="99">
        <f>G119+'5'!H119</f>
        <v>2529.5999999999985</v>
      </c>
      <c r="I119" s="165"/>
      <c r="J119" s="328">
        <f>H119/DAY(B2)</f>
        <v>421.59999999999974</v>
      </c>
    </row>
    <row r="120" spans="1:18" ht="25.5">
      <c r="A120" s="901" t="s">
        <v>99</v>
      </c>
      <c r="B120" s="901"/>
      <c r="C120" s="901"/>
      <c r="D120" s="151" t="s">
        <v>183</v>
      </c>
      <c r="E120" s="95">
        <f>'5'!F120</f>
        <v>22239</v>
      </c>
      <c r="F120" s="237">
        <v>22732.2</v>
      </c>
      <c r="G120" s="112">
        <f t="shared" si="9"/>
        <v>493.20000000000073</v>
      </c>
      <c r="H120" s="99">
        <f>G120+'5'!H120</f>
        <v>2682.2000000000007</v>
      </c>
      <c r="I120" s="165"/>
      <c r="J120" s="328">
        <f>H120/DAY(B2)</f>
        <v>447.03333333333347</v>
      </c>
    </row>
    <row r="121" spans="1:18" ht="25.5">
      <c r="A121" s="901" t="s">
        <v>100</v>
      </c>
      <c r="B121" s="901"/>
      <c r="C121" s="901"/>
      <c r="D121" s="151" t="s">
        <v>183</v>
      </c>
      <c r="E121" s="95">
        <f>'5'!F121</f>
        <v>28330</v>
      </c>
      <c r="F121" s="237">
        <v>28765.7</v>
      </c>
      <c r="G121" s="112">
        <f t="shared" si="9"/>
        <v>435.70000000000073</v>
      </c>
      <c r="H121" s="99">
        <f>G121+'5'!H121</f>
        <v>2921.7000000000007</v>
      </c>
      <c r="I121" s="165"/>
      <c r="J121" s="328">
        <f>H121/DAY(B2)</f>
        <v>486.9500000000001</v>
      </c>
    </row>
    <row r="122" spans="1:18" ht="25.5">
      <c r="A122" s="901" t="s">
        <v>101</v>
      </c>
      <c r="B122" s="901"/>
      <c r="C122" s="901"/>
      <c r="D122" s="151" t="s">
        <v>183</v>
      </c>
      <c r="E122" s="95">
        <f>'5'!F122</f>
        <v>12786</v>
      </c>
      <c r="F122" s="237">
        <v>13084.4</v>
      </c>
      <c r="G122" s="112">
        <f t="shared" si="9"/>
        <v>298.39999999999964</v>
      </c>
      <c r="H122" s="99">
        <f>G122+'5'!H122</f>
        <v>1924.3999999999996</v>
      </c>
      <c r="I122" s="165"/>
      <c r="J122" s="328">
        <f>H122/DAY(B2)</f>
        <v>320.73333333333329</v>
      </c>
    </row>
    <row r="123" spans="1:18" ht="25.5">
      <c r="A123" s="901" t="s">
        <v>102</v>
      </c>
      <c r="B123" s="901"/>
      <c r="C123" s="901"/>
      <c r="D123" s="151" t="s">
        <v>183</v>
      </c>
      <c r="E123" s="95">
        <f>'5'!F123</f>
        <v>12195</v>
      </c>
      <c r="F123" s="237">
        <v>12373</v>
      </c>
      <c r="G123" s="112">
        <f t="shared" si="9"/>
        <v>178</v>
      </c>
      <c r="H123" s="99">
        <f>G123+'5'!H123</f>
        <v>1864</v>
      </c>
      <c r="I123" s="165"/>
      <c r="J123" s="328">
        <f>H123/DAY(B2)</f>
        <v>310.66666666666669</v>
      </c>
    </row>
    <row r="124" spans="1:18" ht="29.25" customHeight="1">
      <c r="A124" s="931"/>
      <c r="B124" s="932"/>
      <c r="C124" s="933"/>
      <c r="D124" s="165"/>
      <c r="E124" s="95">
        <f>'5'!F124</f>
        <v>0</v>
      </c>
      <c r="F124" s="165"/>
      <c r="G124" s="327"/>
      <c r="H124" s="156"/>
      <c r="I124" s="165"/>
      <c r="J124" s="328"/>
    </row>
    <row r="125" spans="1:18" ht="25.5">
      <c r="A125" s="934" t="s">
        <v>196</v>
      </c>
      <c r="B125" s="935"/>
      <c r="C125" s="245"/>
      <c r="D125" s="307"/>
      <c r="E125" s="308"/>
      <c r="F125" s="308"/>
      <c r="G125" s="309">
        <f>SUM(G112:G124)</f>
        <v>3427.630000000001</v>
      </c>
      <c r="H125" s="156"/>
      <c r="I125" s="327">
        <f>G125-(G39+G53)</f>
        <v>445.63000000000102</v>
      </c>
      <c r="J125" s="327"/>
    </row>
    <row r="126" spans="1:18" ht="25.5">
      <c r="A126" s="936" t="s">
        <v>317</v>
      </c>
      <c r="B126" s="936"/>
      <c r="C126" s="936"/>
      <c r="D126" s="936"/>
      <c r="E126" s="936"/>
      <c r="F126" s="936"/>
      <c r="G126" s="936"/>
      <c r="H126" s="936"/>
      <c r="I126" s="936"/>
      <c r="J126" s="936"/>
    </row>
    <row r="127" spans="1:18" ht="25.5">
      <c r="A127" s="937"/>
      <c r="B127" s="937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>
      <c r="A128" s="906" t="s">
        <v>318</v>
      </c>
      <c r="B128" s="907"/>
      <c r="C128" s="908"/>
      <c r="D128" s="151" t="s">
        <v>183</v>
      </c>
      <c r="E128" s="95">
        <f>'5'!F128</f>
        <v>98176</v>
      </c>
      <c r="F128" s="165">
        <v>98681.9</v>
      </c>
      <c r="G128" s="112">
        <f t="shared" ref="G128:G134" si="10">F128-E128</f>
        <v>505.89999999999418</v>
      </c>
      <c r="H128" s="99">
        <f>G128+'5'!H128</f>
        <v>2966.8999999999942</v>
      </c>
      <c r="I128" s="165"/>
      <c r="J128" s="328">
        <f>H128/DAY(B2)</f>
        <v>494.48333333333238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'5'!F129</f>
        <v>61540</v>
      </c>
      <c r="F129" s="165">
        <v>61758.6</v>
      </c>
      <c r="G129" s="112">
        <f t="shared" si="10"/>
        <v>218.59999999999854</v>
      </c>
      <c r="H129" s="99">
        <f>G129+'5'!H129</f>
        <v>1465.5999999999985</v>
      </c>
      <c r="I129" s="165"/>
      <c r="J129" s="328">
        <f>H129/DAY(B2)</f>
        <v>244.26666666666642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'5'!F130</f>
        <v>122737</v>
      </c>
      <c r="F130" s="165">
        <v>123451</v>
      </c>
      <c r="G130" s="112">
        <f t="shared" si="10"/>
        <v>714</v>
      </c>
      <c r="H130" s="99">
        <f>G130+'5'!H130</f>
        <v>4338</v>
      </c>
      <c r="I130" s="165"/>
      <c r="J130" s="328">
        <f>H130/DAY(B2)</f>
        <v>723</v>
      </c>
      <c r="N130" s="240"/>
      <c r="O130" s="241"/>
    </row>
    <row r="131" spans="1:15" ht="25.5">
      <c r="A131" s="906" t="s">
        <v>321</v>
      </c>
      <c r="B131" s="907"/>
      <c r="C131" s="908"/>
      <c r="D131" s="151" t="s">
        <v>183</v>
      </c>
      <c r="E131" s="95">
        <f>'5'!F131</f>
        <v>37255</v>
      </c>
      <c r="F131" s="165">
        <v>37482.800000000003</v>
      </c>
      <c r="G131" s="112">
        <f t="shared" si="10"/>
        <v>227.80000000000291</v>
      </c>
      <c r="H131" s="99">
        <f>G131+'5'!H131</f>
        <v>1203.8000000000029</v>
      </c>
      <c r="I131" s="165"/>
      <c r="J131" s="328">
        <f>H131/DAY(B2)</f>
        <v>200.63333333333381</v>
      </c>
      <c r="N131" s="240"/>
      <c r="O131" s="241"/>
    </row>
    <row r="132" spans="1:15" ht="25.5">
      <c r="A132" s="906" t="s">
        <v>322</v>
      </c>
      <c r="B132" s="907"/>
      <c r="C132" s="908"/>
      <c r="D132" s="151" t="s">
        <v>183</v>
      </c>
      <c r="E132" s="95">
        <f>'5'!F132</f>
        <v>105403</v>
      </c>
      <c r="F132" s="165">
        <v>105835</v>
      </c>
      <c r="G132" s="112">
        <f t="shared" si="10"/>
        <v>432</v>
      </c>
      <c r="H132" s="99">
        <f>G132+'5'!H132</f>
        <v>2323</v>
      </c>
      <c r="I132" s="165"/>
      <c r="J132" s="328">
        <f>H132/DAY(B2)</f>
        <v>387.16666666666669</v>
      </c>
    </row>
    <row r="133" spans="1:15" ht="25.5">
      <c r="A133" s="906" t="s">
        <v>323</v>
      </c>
      <c r="B133" s="907"/>
      <c r="C133" s="908"/>
      <c r="D133" s="151" t="s">
        <v>183</v>
      </c>
      <c r="E133" s="95">
        <f>'5'!F133</f>
        <v>205495</v>
      </c>
      <c r="F133" s="165">
        <v>206362</v>
      </c>
      <c r="G133" s="112">
        <f t="shared" si="10"/>
        <v>867</v>
      </c>
      <c r="H133" s="99">
        <f>G133+'5'!H133</f>
        <v>5130</v>
      </c>
      <c r="I133" s="165"/>
      <c r="J133" s="328">
        <f>H133/DAY(B2)</f>
        <v>855</v>
      </c>
    </row>
    <row r="134" spans="1:15" ht="25.5">
      <c r="A134" s="906" t="s">
        <v>340</v>
      </c>
      <c r="B134" s="907"/>
      <c r="C134" s="908"/>
      <c r="D134" s="151" t="s">
        <v>183</v>
      </c>
      <c r="E134" s="95">
        <f>'5'!F134</f>
        <v>36025</v>
      </c>
      <c r="F134" s="165">
        <v>36270.199999999997</v>
      </c>
      <c r="G134" s="112">
        <f t="shared" si="10"/>
        <v>245.19999999999709</v>
      </c>
      <c r="H134" s="99">
        <f>G134+'5'!H134</f>
        <v>1375.1999999999971</v>
      </c>
      <c r="I134" s="165"/>
      <c r="J134" s="328">
        <f>H134/DAY(B2)</f>
        <v>229.19999999999951</v>
      </c>
    </row>
    <row r="135" spans="1:15" ht="25.5">
      <c r="A135" s="934" t="s">
        <v>196</v>
      </c>
      <c r="B135" s="935"/>
      <c r="C135" s="331"/>
      <c r="D135" s="151"/>
      <c r="E135" s="95"/>
      <c r="F135" s="112"/>
      <c r="G135" s="112">
        <f>SUM(G128:G134)</f>
        <v>3210.4999999999927</v>
      </c>
      <c r="H135" s="99">
        <f>G135+'5'!H135</f>
        <v>18802.499999999993</v>
      </c>
      <c r="I135" s="327">
        <f>G135-(G35+G49)</f>
        <v>-478.50000000000728</v>
      </c>
      <c r="J135" s="328">
        <f>H135/DAY(B2)</f>
        <v>3133.7499999999986</v>
      </c>
    </row>
    <row r="136" spans="1:15" ht="27.75">
      <c r="A136" s="938" t="s">
        <v>325</v>
      </c>
      <c r="B136" s="938"/>
      <c r="C136" s="938"/>
      <c r="D136" s="938"/>
      <c r="E136" s="938"/>
      <c r="F136" s="938"/>
      <c r="G136" s="938"/>
      <c r="H136" s="938"/>
      <c r="I136" s="938"/>
      <c r="J136" s="938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1" t="s">
        <v>185</v>
      </c>
      <c r="B138" s="901"/>
      <c r="C138" s="901"/>
      <c r="D138" s="151" t="s">
        <v>183</v>
      </c>
      <c r="E138" s="95">
        <f>'5'!F138</f>
        <v>11158</v>
      </c>
      <c r="F138" s="148">
        <v>11286</v>
      </c>
      <c r="G138" s="112">
        <f t="shared" ref="G138:G152" si="11">F138-E138</f>
        <v>128</v>
      </c>
      <c r="H138" s="99">
        <f>G138+'5'!H138</f>
        <v>776</v>
      </c>
      <c r="I138" s="118"/>
      <c r="J138" s="328">
        <f>H138/DAY(B2)</f>
        <v>129.33333333333334</v>
      </c>
    </row>
    <row r="139" spans="1:15" ht="25.5">
      <c r="A139" s="901" t="s">
        <v>186</v>
      </c>
      <c r="B139" s="901"/>
      <c r="C139" s="901"/>
      <c r="D139" s="151" t="s">
        <v>183</v>
      </c>
      <c r="E139" s="95">
        <f>'5'!F139</f>
        <v>900245</v>
      </c>
      <c r="F139" s="148">
        <v>900398</v>
      </c>
      <c r="G139" s="112">
        <f t="shared" si="11"/>
        <v>153</v>
      </c>
      <c r="H139" s="99">
        <f>G139+'5'!H139</f>
        <v>943</v>
      </c>
      <c r="I139" s="118"/>
      <c r="J139" s="328">
        <f>H139/DAY(B2)</f>
        <v>157.16666666666666</v>
      </c>
    </row>
    <row r="140" spans="1:15" ht="25.5">
      <c r="A140" s="901" t="s">
        <v>187</v>
      </c>
      <c r="B140" s="901"/>
      <c r="C140" s="901"/>
      <c r="D140" s="151" t="s">
        <v>183</v>
      </c>
      <c r="E140" s="95">
        <f>'5'!F140</f>
        <v>656</v>
      </c>
      <c r="F140" s="149">
        <v>671.69</v>
      </c>
      <c r="G140" s="112">
        <f t="shared" si="11"/>
        <v>15.690000000000055</v>
      </c>
      <c r="H140" s="99">
        <f>G140+'5'!H140</f>
        <v>83.690000000000055</v>
      </c>
      <c r="I140" s="118"/>
      <c r="J140" s="328">
        <f>H140/DAY(B2)</f>
        <v>13.948333333333343</v>
      </c>
    </row>
    <row r="141" spans="1:15" ht="25.5">
      <c r="A141" s="905" t="s">
        <v>188</v>
      </c>
      <c r="B141" s="905"/>
      <c r="C141" s="905"/>
      <c r="D141" s="151" t="s">
        <v>183</v>
      </c>
      <c r="E141" s="95">
        <f>'5'!F141</f>
        <v>78981</v>
      </c>
      <c r="F141" s="149">
        <v>79185.899999999994</v>
      </c>
      <c r="G141" s="112">
        <f t="shared" si="11"/>
        <v>204.89999999999418</v>
      </c>
      <c r="H141" s="99">
        <f>G141+'5'!H141</f>
        <v>1233.8999999999942</v>
      </c>
      <c r="I141" s="118"/>
      <c r="J141" s="328">
        <f>H141/DAY(B2)</f>
        <v>205.64999999999904</v>
      </c>
    </row>
    <row r="142" spans="1:15" ht="25.5">
      <c r="A142" s="905" t="s">
        <v>189</v>
      </c>
      <c r="B142" s="905"/>
      <c r="C142" s="905"/>
      <c r="D142" s="151" t="s">
        <v>183</v>
      </c>
      <c r="E142" s="95">
        <f>'5'!F142</f>
        <v>31361</v>
      </c>
      <c r="F142" s="148">
        <v>31507.5</v>
      </c>
      <c r="G142" s="112">
        <f t="shared" si="11"/>
        <v>146.5</v>
      </c>
      <c r="H142" s="99">
        <f>G142+'5'!H142</f>
        <v>981.5</v>
      </c>
      <c r="I142" s="140"/>
      <c r="J142" s="328">
        <f>H142/DAY(B2)</f>
        <v>163.58333333333334</v>
      </c>
    </row>
    <row r="143" spans="1:15" ht="25.5">
      <c r="A143" s="901" t="s">
        <v>91</v>
      </c>
      <c r="B143" s="901"/>
      <c r="C143" s="901"/>
      <c r="D143" s="151" t="s">
        <v>183</v>
      </c>
      <c r="E143" s="95">
        <f>'5'!F143</f>
        <v>7452</v>
      </c>
      <c r="F143" s="149">
        <v>7481.28</v>
      </c>
      <c r="G143" s="112">
        <f t="shared" si="11"/>
        <v>29.279999999999745</v>
      </c>
      <c r="H143" s="99">
        <f>G143+'5'!H143</f>
        <v>175.27999999999975</v>
      </c>
      <c r="I143" s="140"/>
      <c r="J143" s="328">
        <f>H143/DAY(B2)</f>
        <v>29.213333333333292</v>
      </c>
    </row>
    <row r="144" spans="1:15" ht="25.5">
      <c r="A144" s="905" t="s">
        <v>90</v>
      </c>
      <c r="B144" s="905"/>
      <c r="C144" s="905"/>
      <c r="D144" s="151" t="s">
        <v>183</v>
      </c>
      <c r="E144" s="95">
        <f>'5'!F144</f>
        <v>906287</v>
      </c>
      <c r="F144" s="149">
        <v>906528</v>
      </c>
      <c r="G144" s="112">
        <f t="shared" si="11"/>
        <v>241</v>
      </c>
      <c r="H144" s="99">
        <f>G144+'5'!H144</f>
        <v>1475</v>
      </c>
      <c r="I144" s="140"/>
      <c r="J144" s="328">
        <f>H144/DAY(B2)</f>
        <v>245.83333333333334</v>
      </c>
    </row>
    <row r="145" spans="1:10" ht="25.5">
      <c r="A145" s="901" t="s">
        <v>190</v>
      </c>
      <c r="B145" s="901"/>
      <c r="C145" s="901"/>
      <c r="D145" s="152" t="s">
        <v>183</v>
      </c>
      <c r="E145" s="95">
        <f>'5'!F145</f>
        <v>5664</v>
      </c>
      <c r="F145" s="148">
        <v>5664.41</v>
      </c>
      <c r="G145" s="112">
        <f t="shared" si="11"/>
        <v>0.40999999999985448</v>
      </c>
      <c r="H145" s="99">
        <f>G145+'5'!H145</f>
        <v>0.40999999999985448</v>
      </c>
      <c r="I145" s="140"/>
      <c r="J145" s="328">
        <f>H145/DAY(B2)</f>
        <v>6.8333333333309085E-2</v>
      </c>
    </row>
    <row r="146" spans="1:10" ht="25.5">
      <c r="A146" s="902" t="s">
        <v>191</v>
      </c>
      <c r="B146" s="903"/>
      <c r="C146" s="904"/>
      <c r="D146" s="152" t="s">
        <v>183</v>
      </c>
      <c r="E146" s="95">
        <f>'5'!F146</f>
        <v>778133</v>
      </c>
      <c r="F146" s="148">
        <v>778200</v>
      </c>
      <c r="G146" s="112">
        <f t="shared" si="11"/>
        <v>67</v>
      </c>
      <c r="H146" s="99">
        <f>G146+'5'!H146</f>
        <v>332</v>
      </c>
      <c r="I146" s="140"/>
      <c r="J146" s="328">
        <f>H146/DAY(B2)</f>
        <v>55.333333333333336</v>
      </c>
    </row>
    <row r="147" spans="1:10" ht="25.5">
      <c r="A147" s="905" t="s">
        <v>192</v>
      </c>
      <c r="B147" s="905"/>
      <c r="C147" s="905"/>
      <c r="D147" s="152" t="s">
        <v>183</v>
      </c>
      <c r="E147" s="95">
        <f>'5'!F147</f>
        <v>677377</v>
      </c>
      <c r="F147" s="148">
        <v>678168.48</v>
      </c>
      <c r="G147" s="112">
        <f t="shared" si="11"/>
        <v>791.47999999998137</v>
      </c>
      <c r="H147" s="99">
        <f>G147+'5'!H147</f>
        <v>2320.4799999999814</v>
      </c>
      <c r="I147" s="140"/>
      <c r="J147" s="328">
        <f>H147/DAY(B2)</f>
        <v>386.74666666666354</v>
      </c>
    </row>
    <row r="148" spans="1:10" ht="25.5">
      <c r="A148" s="897" t="s">
        <v>193</v>
      </c>
      <c r="B148" s="898"/>
      <c r="C148" s="899"/>
      <c r="D148" s="123" t="s">
        <v>130</v>
      </c>
      <c r="E148" s="95">
        <f>'5'!F148</f>
        <v>731157</v>
      </c>
      <c r="F148" s="164">
        <v>731457.28</v>
      </c>
      <c r="G148" s="112">
        <f t="shared" si="11"/>
        <v>300.28000000002794</v>
      </c>
      <c r="H148" s="99">
        <f>G148+'5'!H148</f>
        <v>1712.2800000000279</v>
      </c>
      <c r="I148" s="124"/>
      <c r="J148" s="328">
        <f>H148/DAY(B2)</f>
        <v>285.38000000000466</v>
      </c>
    </row>
    <row r="149" spans="1:10" ht="25.5">
      <c r="A149" s="897" t="s">
        <v>336</v>
      </c>
      <c r="B149" s="898"/>
      <c r="C149" s="899"/>
      <c r="D149" s="227" t="s">
        <v>130</v>
      </c>
      <c r="E149" s="95">
        <f>'5'!F149</f>
        <v>103855</v>
      </c>
      <c r="F149" s="146">
        <v>104264.87</v>
      </c>
      <c r="G149" s="112">
        <f t="shared" si="11"/>
        <v>409.86999999999534</v>
      </c>
      <c r="H149" s="99">
        <f>G149+'5'!H149</f>
        <v>3369.8699999999953</v>
      </c>
      <c r="I149" s="119"/>
      <c r="J149" s="328">
        <f>H149/DAY(B2)</f>
        <v>561.64499999999919</v>
      </c>
    </row>
    <row r="150" spans="1:10" ht="25.5">
      <c r="A150" s="897" t="s">
        <v>337</v>
      </c>
      <c r="B150" s="898"/>
      <c r="C150" s="899"/>
      <c r="D150" s="117" t="s">
        <v>130</v>
      </c>
      <c r="E150" s="95">
        <f>'5'!F150</f>
        <v>38324</v>
      </c>
      <c r="F150" s="233">
        <v>38536.699999999997</v>
      </c>
      <c r="G150" s="112">
        <f t="shared" si="11"/>
        <v>212.69999999999709</v>
      </c>
      <c r="H150" s="99">
        <f>G150+'5'!H150</f>
        <v>1320.6999999999971</v>
      </c>
      <c r="I150" s="119"/>
      <c r="J150" s="328">
        <f>H150/DAY(B2)</f>
        <v>220.11666666666619</v>
      </c>
    </row>
    <row r="151" spans="1:10" ht="25.5">
      <c r="A151" s="897" t="s">
        <v>338</v>
      </c>
      <c r="B151" s="898"/>
      <c r="C151" s="899"/>
      <c r="D151" s="117" t="s">
        <v>130</v>
      </c>
      <c r="E151" s="95">
        <f>'5'!F151</f>
        <v>119603</v>
      </c>
      <c r="F151" s="233">
        <v>119878</v>
      </c>
      <c r="G151" s="112">
        <f t="shared" si="11"/>
        <v>275</v>
      </c>
      <c r="H151" s="99">
        <f>G151+'5'!H151</f>
        <v>1741</v>
      </c>
      <c r="I151" s="119"/>
      <c r="J151" s="328">
        <f>H151/DAY(B2)</f>
        <v>290.16666666666669</v>
      </c>
    </row>
    <row r="152" spans="1:10" ht="25.5">
      <c r="A152" s="897" t="s">
        <v>339</v>
      </c>
      <c r="B152" s="898"/>
      <c r="C152" s="899"/>
      <c r="D152" s="117" t="s">
        <v>130</v>
      </c>
      <c r="E152" s="95">
        <f>'5'!F152</f>
        <v>16078</v>
      </c>
      <c r="F152" s="233">
        <v>16218.4</v>
      </c>
      <c r="G152" s="112">
        <f t="shared" si="11"/>
        <v>140.39999999999964</v>
      </c>
      <c r="H152" s="99">
        <f>G152+'5'!H152</f>
        <v>5062.3999999999996</v>
      </c>
      <c r="I152" s="119"/>
      <c r="J152" s="328">
        <f>H152/DAY(B2)</f>
        <v>843.73333333333323</v>
      </c>
    </row>
    <row r="153" spans="1:10" ht="25.5">
      <c r="A153" s="934" t="s">
        <v>196</v>
      </c>
      <c r="B153" s="935"/>
      <c r="C153" s="365"/>
      <c r="D153" s="358"/>
      <c r="E153" s="360"/>
      <c r="F153" s="361"/>
      <c r="G153" s="362">
        <f>SUM(G138:G152)</f>
        <v>3115.5099999999952</v>
      </c>
      <c r="H153" s="363"/>
      <c r="I153" s="119">
        <f>G153-(G38+G52)</f>
        <v>883.50999999999522</v>
      </c>
      <c r="J153" s="366"/>
    </row>
    <row r="154" spans="1:10" ht="27.75">
      <c r="A154" s="938" t="s">
        <v>344</v>
      </c>
      <c r="B154" s="938"/>
      <c r="C154" s="938"/>
      <c r="D154" s="938"/>
      <c r="E154" s="938"/>
      <c r="F154" s="938"/>
      <c r="G154" s="938"/>
      <c r="H154" s="938"/>
      <c r="I154" s="938"/>
      <c r="J154" s="938"/>
    </row>
    <row r="155" spans="1:10" ht="27.75">
      <c r="A155" s="905" t="s">
        <v>345</v>
      </c>
      <c r="B155" s="905"/>
      <c r="C155" s="905"/>
      <c r="D155" s="117" t="s">
        <v>130</v>
      </c>
      <c r="E155" s="95">
        <f>'5'!F155</f>
        <v>115014</v>
      </c>
      <c r="F155" s="374">
        <v>115562.04</v>
      </c>
      <c r="G155" s="112">
        <f t="shared" ref="G155:G158" si="12">F155-E155</f>
        <v>548.0399999999936</v>
      </c>
      <c r="H155" s="99">
        <f>G155+'5'!H155</f>
        <v>3587.0399999999936</v>
      </c>
      <c r="I155" s="364"/>
      <c r="J155" s="328">
        <f>H155/DAY(B2)</f>
        <v>597.83999999999889</v>
      </c>
    </row>
    <row r="156" spans="1:10" ht="25.5">
      <c r="A156" s="905" t="s">
        <v>346</v>
      </c>
      <c r="B156" s="905"/>
      <c r="C156" s="905"/>
      <c r="D156" s="117" t="s">
        <v>130</v>
      </c>
      <c r="E156" s="95">
        <f>'5'!F156</f>
        <v>10032</v>
      </c>
      <c r="F156" s="155">
        <v>10110.19</v>
      </c>
      <c r="G156" s="112">
        <f t="shared" si="12"/>
        <v>78.190000000000509</v>
      </c>
      <c r="H156" s="99">
        <f>G156+'5'!H156</f>
        <v>425.19000000000051</v>
      </c>
      <c r="I156" s="165"/>
      <c r="J156" s="328">
        <f>H156/DAY(B2)</f>
        <v>70.86500000000008</v>
      </c>
    </row>
    <row r="157" spans="1:10" ht="25.5">
      <c r="A157" s="897" t="s">
        <v>360</v>
      </c>
      <c r="B157" s="898"/>
      <c r="C157" s="899"/>
      <c r="D157" s="117" t="s">
        <v>130</v>
      </c>
      <c r="E157" s="95">
        <f>'5'!F157</f>
        <v>19119</v>
      </c>
      <c r="F157" s="155">
        <v>19275.23</v>
      </c>
      <c r="G157" s="112">
        <f t="shared" si="12"/>
        <v>156.22999999999956</v>
      </c>
      <c r="H157" s="99">
        <f>G157+'5'!H157</f>
        <v>1075.2299999999996</v>
      </c>
      <c r="I157" s="165"/>
      <c r="J157" s="328">
        <f>H157/DAY(B2)</f>
        <v>179.20499999999993</v>
      </c>
    </row>
    <row r="158" spans="1:10" ht="25.5">
      <c r="A158" s="897" t="s">
        <v>361</v>
      </c>
      <c r="B158" s="898"/>
      <c r="C158" s="899"/>
      <c r="D158" s="117" t="s">
        <v>130</v>
      </c>
      <c r="E158" s="95">
        <f>'5'!F158</f>
        <v>164.89</v>
      </c>
      <c r="F158" s="155">
        <v>173.9</v>
      </c>
      <c r="G158" s="112">
        <f t="shared" si="12"/>
        <v>9.0100000000000193</v>
      </c>
      <c r="H158" s="99">
        <f>G158+'5'!H158</f>
        <v>83.48</v>
      </c>
      <c r="I158" s="165"/>
      <c r="J158" s="328">
        <f>H158/DAY(B2)</f>
        <v>13.913333333333334</v>
      </c>
    </row>
    <row r="159" spans="1:10" ht="25.5">
      <c r="A159" s="956"/>
      <c r="B159" s="957"/>
      <c r="C159" s="958"/>
      <c r="D159" s="117"/>
      <c r="E159" s="95"/>
      <c r="F159" s="155"/>
      <c r="G159" s="112"/>
      <c r="H159" s="99"/>
      <c r="I159" s="165"/>
      <c r="J159" s="328"/>
    </row>
    <row r="160" spans="1:10" ht="27.75">
      <c r="A160" s="938" t="s">
        <v>326</v>
      </c>
      <c r="B160" s="938"/>
      <c r="C160" s="938"/>
      <c r="D160" s="938"/>
      <c r="E160" s="938"/>
      <c r="F160" s="938"/>
      <c r="G160" s="938"/>
      <c r="H160" s="938"/>
      <c r="I160" s="938"/>
      <c r="J160" s="938"/>
    </row>
    <row r="161" spans="1:10" ht="26.25">
      <c r="A161" s="242" t="s">
        <v>92</v>
      </c>
      <c r="B161" s="243"/>
      <c r="C161" s="243"/>
      <c r="D161" s="244" t="s">
        <v>180</v>
      </c>
      <c r="E161" s="95">
        <f>'5'!F161</f>
        <v>475514</v>
      </c>
      <c r="F161" s="235">
        <v>475703.64</v>
      </c>
      <c r="G161" s="238">
        <f t="shared" ref="G161:G165" si="13">F161-E161</f>
        <v>189.64000000001397</v>
      </c>
      <c r="H161" s="99">
        <f>G161+'5'!H161</f>
        <v>282.64000000001397</v>
      </c>
      <c r="I161" s="236"/>
      <c r="J161" s="239">
        <f>H161/DAY(B2)</f>
        <v>47.106666666668993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'5'!F162</f>
        <v>92907</v>
      </c>
      <c r="F162" s="235">
        <v>92940.7</v>
      </c>
      <c r="G162" s="238">
        <f t="shared" si="13"/>
        <v>33.69999999999709</v>
      </c>
      <c r="H162" s="99">
        <f>G162+'5'!H162</f>
        <v>213.69999999999709</v>
      </c>
      <c r="I162" s="236"/>
      <c r="J162" s="239">
        <f>H162/DAY(B2)</f>
        <v>35.616666666666184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'5'!F163</f>
        <v>97894</v>
      </c>
      <c r="F163" s="235">
        <v>98047.1</v>
      </c>
      <c r="G163" s="238">
        <f t="shared" si="13"/>
        <v>153.10000000000582</v>
      </c>
      <c r="H163" s="99">
        <f>G163+'5'!H163</f>
        <v>912.10000000000582</v>
      </c>
      <c r="I163" s="236"/>
      <c r="J163" s="239">
        <f>H163/DAY(B2)</f>
        <v>152.01666666666765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'5'!F164</f>
        <v>5599</v>
      </c>
      <c r="F164" s="235">
        <v>5608.3</v>
      </c>
      <c r="G164" s="238">
        <f t="shared" si="13"/>
        <v>9.3000000000001819</v>
      </c>
      <c r="H164" s="99">
        <f>G164+'5'!H164</f>
        <v>66.300000000000182</v>
      </c>
      <c r="I164" s="236"/>
      <c r="J164" s="239">
        <f>H164/DAY(B2)</f>
        <v>11.050000000000031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'5'!F165</f>
        <v>31091</v>
      </c>
      <c r="F165" s="235">
        <v>31091.200000000001</v>
      </c>
      <c r="G165" s="238">
        <f t="shared" si="13"/>
        <v>0.2000000000007276</v>
      </c>
      <c r="H165" s="99">
        <f>G165+'5'!H165</f>
        <v>77.200000000000728</v>
      </c>
      <c r="I165" s="236"/>
      <c r="J165" s="239">
        <f>H165/DAY(B2)</f>
        <v>12.866666666666788</v>
      </c>
    </row>
    <row r="166" spans="1:10" ht="26.25">
      <c r="A166" s="937"/>
      <c r="B166" s="937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6.25">
      <c r="A167" s="937"/>
      <c r="B167" s="937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6.25">
      <c r="A168" s="937"/>
      <c r="B168" s="937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7" t="s">
        <v>330</v>
      </c>
      <c r="B171" s="948"/>
      <c r="C171" s="948"/>
      <c r="D171" s="948"/>
      <c r="E171" s="948"/>
      <c r="F171" s="948"/>
      <c r="G171" s="948"/>
      <c r="H171" s="948"/>
      <c r="I171" s="948"/>
      <c r="J171" s="949"/>
    </row>
    <row r="172" spans="1:10" ht="25.5">
      <c r="A172" s="943"/>
      <c r="B172" s="944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5" t="s">
        <v>209</v>
      </c>
      <c r="B173" s="896"/>
      <c r="C173" s="333"/>
      <c r="D173" s="228" t="s">
        <v>142</v>
      </c>
      <c r="E173" s="95">
        <f>'5'!F173</f>
        <v>8267</v>
      </c>
      <c r="F173" s="155">
        <v>8269</v>
      </c>
      <c r="G173" s="155">
        <f>F173-E173</f>
        <v>2</v>
      </c>
      <c r="H173" s="99">
        <f>G173+'5'!H173</f>
        <v>5</v>
      </c>
      <c r="I173" s="155"/>
      <c r="J173" s="178">
        <f>H173/DAY(B2)</f>
        <v>0.83333333333333337</v>
      </c>
    </row>
    <row r="174" spans="1:10" ht="25.5">
      <c r="A174" s="895" t="s">
        <v>75</v>
      </c>
      <c r="B174" s="896"/>
      <c r="C174" s="333"/>
      <c r="D174" s="228" t="s">
        <v>142</v>
      </c>
      <c r="E174" s="95">
        <f>'5'!F174</f>
        <v>40402</v>
      </c>
      <c r="F174" s="157">
        <v>40415</v>
      </c>
      <c r="G174" s="155">
        <f t="shared" ref="G174:G175" si="14">F174-E174</f>
        <v>13</v>
      </c>
      <c r="H174" s="99">
        <f>G174+'5'!H174</f>
        <v>83</v>
      </c>
      <c r="I174" s="155"/>
      <c r="J174" s="178">
        <f>H174/DAY(B2)</f>
        <v>13.833333333333334</v>
      </c>
    </row>
    <row r="175" spans="1:10" ht="25.5">
      <c r="A175" s="895" t="s">
        <v>76</v>
      </c>
      <c r="B175" s="900"/>
      <c r="C175" s="896"/>
      <c r="D175" s="228" t="s">
        <v>142</v>
      </c>
      <c r="E175" s="95">
        <f>'5'!F175</f>
        <v>23342</v>
      </c>
      <c r="F175" s="155">
        <v>23355</v>
      </c>
      <c r="G175" s="155">
        <f t="shared" si="14"/>
        <v>13</v>
      </c>
      <c r="H175" s="99">
        <f>G175+'5'!H175</f>
        <v>97</v>
      </c>
      <c r="I175" s="155"/>
      <c r="J175" s="178">
        <f>H175/DAY(B2)</f>
        <v>16.166666666666668</v>
      </c>
    </row>
    <row r="176" spans="1:10" ht="25.5">
      <c r="A176" s="463" t="s">
        <v>196</v>
      </c>
      <c r="B176" s="464"/>
      <c r="C176" s="333"/>
      <c r="D176" s="228"/>
      <c r="E176" s="95">
        <f>'5'!F176</f>
        <v>0</v>
      </c>
      <c r="F176" s="155"/>
      <c r="G176" s="155">
        <f>SUM(G173:G175)</f>
        <v>28</v>
      </c>
      <c r="H176" s="99">
        <f>G176+'5'!H176</f>
        <v>185</v>
      </c>
      <c r="I176" s="155"/>
      <c r="J176" s="178">
        <f>H176/DAY(B2)</f>
        <v>30.833333333333332</v>
      </c>
    </row>
    <row r="177" spans="1:14" ht="25.5">
      <c r="A177" s="895" t="s">
        <v>77</v>
      </c>
      <c r="B177" s="896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4" ht="25.5">
      <c r="A178" s="895" t="s">
        <v>210</v>
      </c>
      <c r="B178" s="896"/>
      <c r="C178" s="333"/>
      <c r="D178" s="228" t="s">
        <v>142</v>
      </c>
      <c r="E178" s="95">
        <f>'5'!F178</f>
        <v>92307</v>
      </c>
      <c r="F178" s="155">
        <v>92440.7</v>
      </c>
      <c r="G178" s="155">
        <f>F178-E178</f>
        <v>133.69999999999709</v>
      </c>
      <c r="H178" s="99">
        <f>G178+'5'!H178</f>
        <v>618.69999999999709</v>
      </c>
      <c r="I178" s="155"/>
      <c r="J178" s="178">
        <f>H178/DAY(B2)</f>
        <v>103.11666666666618</v>
      </c>
    </row>
    <row r="179" spans="1:14" ht="25.5">
      <c r="A179" s="895" t="s">
        <v>211</v>
      </c>
      <c r="B179" s="896"/>
      <c r="C179" s="333"/>
      <c r="D179" s="228" t="s">
        <v>142</v>
      </c>
      <c r="E179" s="95">
        <f>'5'!F179</f>
        <v>35799</v>
      </c>
      <c r="F179" s="157">
        <v>35799</v>
      </c>
      <c r="G179" s="155">
        <f t="shared" ref="G179:G180" si="15">F179-E179</f>
        <v>0</v>
      </c>
      <c r="H179" s="99">
        <f>G179+'5'!H179</f>
        <v>15</v>
      </c>
      <c r="I179" s="155"/>
      <c r="J179" s="178">
        <f>H179/DAY(B2)</f>
        <v>2.5</v>
      </c>
      <c r="N179" s="65" t="s">
        <v>373</v>
      </c>
    </row>
    <row r="180" spans="1:14" ht="25.5">
      <c r="A180" s="895" t="s">
        <v>212</v>
      </c>
      <c r="B180" s="896"/>
      <c r="C180" s="333"/>
      <c r="D180" s="228" t="s">
        <v>142</v>
      </c>
      <c r="E180" s="95">
        <f>'5'!F180</f>
        <v>6733</v>
      </c>
      <c r="F180" s="155">
        <v>6738</v>
      </c>
      <c r="G180" s="155">
        <f t="shared" si="15"/>
        <v>5</v>
      </c>
      <c r="H180" s="99">
        <f>G180+'5'!H180</f>
        <v>68</v>
      </c>
      <c r="I180" s="155"/>
      <c r="J180" s="178">
        <f>H180/DAY(B2)</f>
        <v>11.333333333333334</v>
      </c>
    </row>
    <row r="181" spans="1:14" ht="25.5">
      <c r="A181" s="941" t="s">
        <v>108</v>
      </c>
      <c r="B181" s="942"/>
      <c r="C181" s="333"/>
      <c r="D181" s="228"/>
      <c r="E181" s="95">
        <f>'5'!F181</f>
        <v>0</v>
      </c>
      <c r="F181" s="155"/>
      <c r="G181" s="155">
        <f>SUM(G178:G180)</f>
        <v>138.69999999999709</v>
      </c>
      <c r="H181" s="99">
        <f>G181+'5'!H181</f>
        <v>701.69999999999709</v>
      </c>
      <c r="I181" s="155"/>
      <c r="J181" s="178">
        <f>H181/DAY(B2)</f>
        <v>116.94999999999952</v>
      </c>
    </row>
    <row r="182" spans="1:14" ht="25.5">
      <c r="A182" s="895" t="s">
        <v>213</v>
      </c>
      <c r="B182" s="896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4" ht="25.5">
      <c r="A183" s="895" t="s">
        <v>214</v>
      </c>
      <c r="B183" s="896"/>
      <c r="C183" s="334"/>
      <c r="D183" s="228" t="s">
        <v>142</v>
      </c>
      <c r="E183" s="95">
        <f>'5'!F183</f>
        <v>17024</v>
      </c>
      <c r="F183" s="157">
        <v>17040</v>
      </c>
      <c r="G183" s="157">
        <f>F183-E183</f>
        <v>16</v>
      </c>
      <c r="H183" s="99">
        <f>G183+'5'!H183</f>
        <v>85</v>
      </c>
      <c r="I183" s="155"/>
      <c r="J183" s="178">
        <f>H183/DAY(B2)</f>
        <v>14.166666666666666</v>
      </c>
    </row>
    <row r="184" spans="1:14" ht="25.5">
      <c r="A184" s="895" t="s">
        <v>215</v>
      </c>
      <c r="B184" s="896"/>
      <c r="C184" s="334"/>
      <c r="D184" s="228" t="s">
        <v>142</v>
      </c>
      <c r="E184" s="95">
        <f>'5'!F184</f>
        <v>11531</v>
      </c>
      <c r="F184" s="157">
        <v>11533</v>
      </c>
      <c r="G184" s="157">
        <f t="shared" ref="G184:G185" si="16">F184-E184</f>
        <v>2</v>
      </c>
      <c r="H184" s="99">
        <f>G184+'5'!H184</f>
        <v>47</v>
      </c>
      <c r="I184" s="155"/>
      <c r="J184" s="178">
        <f>H184/DAY(B2)</f>
        <v>7.833333333333333</v>
      </c>
    </row>
    <row r="185" spans="1:14" ht="25.5">
      <c r="A185" s="895" t="s">
        <v>216</v>
      </c>
      <c r="B185" s="896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4" ht="25.5">
      <c r="A186" s="934" t="s">
        <v>196</v>
      </c>
      <c r="B186" s="935"/>
      <c r="C186" s="334"/>
      <c r="D186" s="229"/>
      <c r="E186" s="95"/>
      <c r="F186" s="157"/>
      <c r="G186" s="157">
        <f>SUM(G183:G185)</f>
        <v>18</v>
      </c>
      <c r="H186" s="99">
        <f>G186+'5'!H186</f>
        <v>132</v>
      </c>
      <c r="I186" s="157"/>
      <c r="J186" s="178">
        <f>H186/DAY(B2)</f>
        <v>22</v>
      </c>
    </row>
    <row r="187" spans="1:14" ht="25.5">
      <c r="A187" s="945" t="s">
        <v>217</v>
      </c>
      <c r="B187" s="946"/>
      <c r="C187" s="333"/>
      <c r="D187" s="230" t="s">
        <v>142</v>
      </c>
      <c r="E187" s="95"/>
      <c r="F187" s="159"/>
      <c r="G187" s="378">
        <f>G62+G19</f>
        <v>155</v>
      </c>
      <c r="H187" s="99">
        <f>G187+'5'!H187</f>
        <v>1372</v>
      </c>
      <c r="I187" s="158"/>
      <c r="J187" s="179">
        <f>H187/DAY(B2)</f>
        <v>228.66666666666666</v>
      </c>
    </row>
    <row r="188" spans="1:14" ht="25.5">
      <c r="A188" s="945" t="s">
        <v>218</v>
      </c>
      <c r="B188" s="946"/>
      <c r="C188" s="333"/>
      <c r="D188" s="230" t="s">
        <v>142</v>
      </c>
      <c r="E188" s="95"/>
      <c r="F188" s="159"/>
      <c r="G188" s="378">
        <f>G65+G66+G67+G69+G70</f>
        <v>159</v>
      </c>
      <c r="H188" s="99">
        <f>G188+'5'!H188</f>
        <v>1339</v>
      </c>
      <c r="I188" s="158"/>
      <c r="J188" s="179">
        <f>H188/DAY(B2)</f>
        <v>223.16666666666666</v>
      </c>
    </row>
    <row r="189" spans="1:14" ht="25.5">
      <c r="A189" s="945" t="s">
        <v>219</v>
      </c>
      <c r="B189" s="946"/>
      <c r="C189" s="333"/>
      <c r="D189" s="230" t="s">
        <v>142</v>
      </c>
      <c r="E189" s="95"/>
      <c r="F189" s="157"/>
      <c r="G189" s="377">
        <f>G181</f>
        <v>138.69999999999709</v>
      </c>
      <c r="H189" s="99">
        <f>G189+'5'!H189</f>
        <v>701.69999999999709</v>
      </c>
      <c r="I189" s="158"/>
      <c r="J189" s="179">
        <f>H189/DAY(B2)</f>
        <v>116.94999999999952</v>
      </c>
    </row>
    <row r="190" spans="1:14" ht="25.5">
      <c r="A190" s="939"/>
      <c r="B190" s="940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4" ht="26.25"/>
    <row r="192" spans="1:14" ht="26.25">
      <c r="E192" s="160">
        <v>822937</v>
      </c>
      <c r="F192" s="160">
        <v>26832</v>
      </c>
    </row>
    <row r="193" spans="5:6" ht="26.25">
      <c r="E193" s="160">
        <v>943836</v>
      </c>
      <c r="F193" s="160">
        <v>27996</v>
      </c>
    </row>
    <row r="194" spans="5:6" ht="26.25"/>
    <row r="195" spans="5:6" ht="26.25">
      <c r="E195" s="160">
        <f>E193-E192</f>
        <v>120899</v>
      </c>
      <c r="F195" s="160">
        <f>F193-F192</f>
        <v>1164</v>
      </c>
    </row>
    <row r="196" spans="5:6" ht="26.25"/>
    <row r="197" spans="5:6" ht="26.25"/>
    <row r="198" spans="5:6" ht="26.25"/>
    <row r="199" spans="5:6" ht="26.25"/>
    <row r="200" spans="5:6" ht="26.25"/>
    <row r="201" spans="5:6" ht="26.25"/>
    <row r="202" spans="5:6" ht="26.25"/>
    <row r="203" spans="5:6" ht="26.25"/>
    <row r="204" spans="5:6" ht="26.25"/>
    <row r="205" spans="5:6" ht="26.25"/>
    <row r="206" spans="5:6" ht="26.25"/>
    <row r="207" spans="5:6" ht="26.25"/>
    <row r="208" spans="5:6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</mergeCells>
  <pageMargins left="0.22" right="0.17" top="0.14000000000000001" bottom="0.2" header="0.2" footer="0.2"/>
  <pageSetup paperSize="5" scale="1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topLeftCell="A4" zoomScale="60" zoomScaleNormal="77" workbookViewId="0">
      <selection activeCell="A67" sqref="A67:XFD67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6" t="s">
        <v>115</v>
      </c>
      <c r="B1" s="877"/>
      <c r="C1" s="877"/>
      <c r="D1" s="877"/>
      <c r="E1" s="877"/>
      <c r="F1" s="877"/>
      <c r="G1" s="877"/>
      <c r="H1" s="877"/>
      <c r="I1" s="877"/>
      <c r="J1" s="878"/>
    </row>
    <row r="2" spans="1:15" s="57" customFormat="1" ht="23.25">
      <c r="A2" s="191" t="s">
        <v>349</v>
      </c>
      <c r="B2" s="262">
        <v>44719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885" t="s">
        <v>119</v>
      </c>
      <c r="F3" s="886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9" t="s">
        <v>128</v>
      </c>
      <c r="B6" s="880"/>
      <c r="C6" s="881"/>
      <c r="D6" s="110"/>
      <c r="E6" s="110">
        <v>0</v>
      </c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'6'!F7</f>
        <v>852216</v>
      </c>
      <c r="F7" s="95">
        <v>879576</v>
      </c>
      <c r="G7" s="112">
        <f>F7-E7</f>
        <v>27360</v>
      </c>
      <c r="H7" s="99">
        <f>G7+'6'!H7</f>
        <v>192831</v>
      </c>
      <c r="I7" s="113">
        <f>'1'!I7</f>
        <v>12000</v>
      </c>
      <c r="J7" s="175">
        <f>H7/DAY(B2)</f>
        <v>27547.285714285714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'6'!F8</f>
        <v>974275</v>
      </c>
      <c r="F8" s="114">
        <v>1002795</v>
      </c>
      <c r="G8" s="115">
        <f>F8-E8</f>
        <v>28520</v>
      </c>
      <c r="H8" s="99">
        <f>G8+'6'!H8</f>
        <v>200815</v>
      </c>
      <c r="I8" s="116"/>
      <c r="J8" s="175">
        <f>H8/DAY(B2)</f>
        <v>28687.857142857141</v>
      </c>
      <c r="K8" s="172">
        <v>1715917</v>
      </c>
      <c r="L8" s="76">
        <v>1728480</v>
      </c>
      <c r="M8" s="87">
        <f>L8-K8</f>
        <v>12563</v>
      </c>
      <c r="N8" s="87"/>
      <c r="O8" s="71">
        <f>G8-G7</f>
        <v>1160</v>
      </c>
    </row>
    <row r="9" spans="1:15" ht="26.25">
      <c r="A9" s="199" t="s">
        <v>132</v>
      </c>
      <c r="B9" s="200"/>
      <c r="C9" s="200"/>
      <c r="D9" s="151" t="s">
        <v>130</v>
      </c>
      <c r="E9" s="95">
        <f>'6'!F9</f>
        <v>2523930</v>
      </c>
      <c r="F9" s="117">
        <v>2537400</v>
      </c>
      <c r="G9" s="112">
        <f>F9-E9</f>
        <v>13470</v>
      </c>
      <c r="H9" s="99">
        <f>G9+'6'!H9</f>
        <v>99710</v>
      </c>
      <c r="I9" s="124">
        <f>I7-J7</f>
        <v>-15547.285714285714</v>
      </c>
      <c r="J9" s="175">
        <f>H9/DAY(B2)</f>
        <v>14244.285714285714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'6'!F10</f>
        <v>976239</v>
      </c>
      <c r="F10" s="117">
        <v>990222</v>
      </c>
      <c r="G10" s="112">
        <f t="shared" ref="G10:G12" si="0">F10-E10</f>
        <v>13983</v>
      </c>
      <c r="H10" s="99">
        <f>G10+'6'!H10</f>
        <v>88818</v>
      </c>
      <c r="I10" s="282"/>
      <c r="J10" s="175">
        <f>H10/DAY(B2)</f>
        <v>12688.285714285714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'6'!F11</f>
        <v>37560</v>
      </c>
      <c r="F11" s="95">
        <v>37560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'6'!F12</f>
        <v>40380</v>
      </c>
      <c r="F12" s="117">
        <v>40380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27453</v>
      </c>
      <c r="H13" s="99">
        <f>G13+'6'!H13</f>
        <v>188389</v>
      </c>
      <c r="I13" s="120">
        <f>G7-G13</f>
        <v>-93</v>
      </c>
      <c r="J13" s="175">
        <f>H13/DAY(B2)</f>
        <v>26912.714285714286</v>
      </c>
      <c r="K13" s="79"/>
      <c r="L13" s="66"/>
      <c r="N13" s="87"/>
      <c r="O13" s="71"/>
    </row>
    <row r="14" spans="1:15" ht="26.25">
      <c r="A14" s="882" t="s">
        <v>137</v>
      </c>
      <c r="B14" s="883"/>
      <c r="C14" s="88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'6'!F15</f>
        <v>2043685.6</v>
      </c>
      <c r="F15" s="469">
        <v>2044764.2</v>
      </c>
      <c r="G15" s="112">
        <f>(F15-E15)</f>
        <v>1078.5999999998603</v>
      </c>
      <c r="H15" s="99">
        <f>G15+'6'!H15</f>
        <v>7647.1999999999534</v>
      </c>
      <c r="I15" s="113">
        <f>'1'!I15</f>
        <v>800</v>
      </c>
      <c r="J15" s="175">
        <f>H15/DAY(B2)</f>
        <v>1092.4571428571362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-292.4571428571362</v>
      </c>
      <c r="J16" s="176"/>
      <c r="K16" s="79"/>
      <c r="L16" s="66"/>
      <c r="N16" s="87"/>
      <c r="O16" s="71"/>
    </row>
    <row r="17" spans="1:15" ht="26.25">
      <c r="A17" s="882" t="s">
        <v>140</v>
      </c>
      <c r="B17" s="883"/>
      <c r="C17" s="88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3" t="s">
        <v>141</v>
      </c>
      <c r="B18" s="874"/>
      <c r="C18" s="875"/>
      <c r="D18" s="151" t="s">
        <v>142</v>
      </c>
      <c r="E18" s="95">
        <f>'6'!F18</f>
        <v>30</v>
      </c>
      <c r="F18" s="122">
        <v>17</v>
      </c>
      <c r="G18" s="119">
        <f>F18*10</f>
        <v>170</v>
      </c>
      <c r="H18" s="99">
        <f>G18+'6'!H18</f>
        <v>1760</v>
      </c>
      <c r="I18" s="113">
        <f>'1'!I18</f>
        <v>65</v>
      </c>
      <c r="J18" s="175">
        <f>H18/DAY(B2)</f>
        <v>251.42857142857142</v>
      </c>
      <c r="K18" s="79"/>
      <c r="L18" s="66"/>
      <c r="N18" s="87"/>
      <c r="O18" s="71"/>
    </row>
    <row r="19" spans="1:15" ht="25.5">
      <c r="A19" s="873" t="s">
        <v>69</v>
      </c>
      <c r="B19" s="874"/>
      <c r="C19" s="875"/>
      <c r="D19" s="151" t="s">
        <v>142</v>
      </c>
      <c r="E19" s="95">
        <f>'6'!F19</f>
        <v>160429</v>
      </c>
      <c r="F19" s="122">
        <v>160477</v>
      </c>
      <c r="G19" s="112">
        <f t="shared" ref="G19" si="1">F19-E19</f>
        <v>48</v>
      </c>
      <c r="H19" s="99">
        <f>G19+'6'!H19</f>
        <v>370</v>
      </c>
      <c r="I19" s="335"/>
      <c r="J19" s="175">
        <f>H19/DAY(B2)</f>
        <v>52.857142857142854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218</v>
      </c>
      <c r="H20" s="99">
        <f>G20+'6'!H20</f>
        <v>2130</v>
      </c>
      <c r="I20" s="336">
        <f>I18-J20</f>
        <v>-239.28571428571428</v>
      </c>
      <c r="J20" s="175">
        <f>H20/DAY(B2)</f>
        <v>304.28571428571428</v>
      </c>
      <c r="K20" s="79"/>
      <c r="L20" s="66"/>
      <c r="N20" s="87"/>
      <c r="O20" s="71"/>
    </row>
    <row r="21" spans="1:15" ht="26.25">
      <c r="A21" s="882" t="s">
        <v>144</v>
      </c>
      <c r="B21" s="883"/>
      <c r="C21" s="88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'6'!F23</f>
        <v>2000</v>
      </c>
      <c r="F23" s="122">
        <v>1500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7" t="s">
        <v>149</v>
      </c>
      <c r="B25" s="888"/>
      <c r="C25" s="88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28520</v>
      </c>
      <c r="F27" s="136">
        <v>9</v>
      </c>
      <c r="G27" s="137">
        <f>E27*F27</f>
        <v>256680</v>
      </c>
      <c r="H27" s="99">
        <f>G27+'6'!H27</f>
        <v>1807335</v>
      </c>
      <c r="I27" s="138"/>
      <c r="J27" s="175">
        <f>H27/DAY(B2)</f>
        <v>258190.71428571429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1078.5999999998603</v>
      </c>
      <c r="F28" s="136">
        <v>70</v>
      </c>
      <c r="G28" s="137">
        <f>E28*F28</f>
        <v>75501.999999990221</v>
      </c>
      <c r="H28" s="99">
        <f>G28+'6'!H28</f>
        <v>535303.99999999674</v>
      </c>
      <c r="I28" s="140"/>
      <c r="J28" s="175">
        <f>H28/DAY(B2)</f>
        <v>76471.999999999534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151</v>
      </c>
      <c r="G30" s="137">
        <f>E30*F30</f>
        <v>7248</v>
      </c>
      <c r="H30" s="99">
        <f>G30+'6'!H30</f>
        <v>55870</v>
      </c>
      <c r="I30" s="140"/>
      <c r="J30" s="175">
        <f>H30/DAY(B2)</f>
        <v>7981.4285714285716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G31+'6'!H31</f>
        <v>140800</v>
      </c>
      <c r="I31" s="140"/>
      <c r="J31" s="175">
        <f>H31/DAY(B2)</f>
        <v>20114.285714285714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353029.99999999022</v>
      </c>
      <c r="H32" s="99">
        <f>G32+'6'!H32</f>
        <v>2539308.9999999967</v>
      </c>
      <c r="I32" s="144"/>
      <c r="J32" s="175">
        <f>H32/DAY(B2)</f>
        <v>362758.42857142811</v>
      </c>
      <c r="K32" s="63"/>
      <c r="L32" s="89"/>
      <c r="N32" s="87"/>
      <c r="O32" s="71"/>
    </row>
    <row r="33" spans="1:15" ht="25.5" customHeight="1">
      <c r="A33" s="890" t="s">
        <v>331</v>
      </c>
      <c r="B33" s="891"/>
      <c r="C33" s="89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'6'!F35</f>
        <v>238714</v>
      </c>
      <c r="F35" s="145">
        <v>238714</v>
      </c>
      <c r="G35" s="112">
        <f t="shared" ref="G35:G46" si="3">F35-E35</f>
        <v>0</v>
      </c>
      <c r="H35" s="99">
        <f>G35+'6'!H35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'6'!F36</f>
        <v>165559</v>
      </c>
      <c r="F36" s="145">
        <v>166581</v>
      </c>
      <c r="G36" s="112">
        <f t="shared" si="3"/>
        <v>1022</v>
      </c>
      <c r="H36" s="99">
        <f>G36+'6'!H36</f>
        <v>6133</v>
      </c>
      <c r="I36" s="95"/>
      <c r="J36" s="175">
        <f>H36/DAY(B2)</f>
        <v>876.14285714285711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'6'!F37</f>
        <v>246363</v>
      </c>
      <c r="F37" s="145">
        <v>248047</v>
      </c>
      <c r="G37" s="112">
        <f t="shared" si="3"/>
        <v>1684</v>
      </c>
      <c r="H37" s="99">
        <f>G37+'6'!H37</f>
        <v>12268</v>
      </c>
      <c r="I37" s="95"/>
      <c r="J37" s="175">
        <f>H37/DAY(B2)</f>
        <v>1752.5714285714287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'6'!F38</f>
        <v>330909</v>
      </c>
      <c r="F38" s="108">
        <v>333231</v>
      </c>
      <c r="G38" s="112">
        <f t="shared" si="3"/>
        <v>2322</v>
      </c>
      <c r="H38" s="99">
        <f>G38+'6'!H38</f>
        <v>16939</v>
      </c>
      <c r="I38" s="95"/>
      <c r="J38" s="175">
        <f>H38/DAY(B2)</f>
        <v>2419.8571428571427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'6'!F39</f>
        <v>450234</v>
      </c>
      <c r="F39" s="145">
        <v>453236</v>
      </c>
      <c r="G39" s="112">
        <f t="shared" si="3"/>
        <v>3002</v>
      </c>
      <c r="H39" s="99">
        <f>G39+'6'!H39</f>
        <v>20951</v>
      </c>
      <c r="I39" s="95"/>
      <c r="J39" s="175">
        <f>H39/DAY(B2)</f>
        <v>2993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'6'!F40</f>
        <v>74661.899999999994</v>
      </c>
      <c r="F40" s="145">
        <v>75133</v>
      </c>
      <c r="G40" s="112">
        <f t="shared" si="3"/>
        <v>471.10000000000582</v>
      </c>
      <c r="H40" s="99">
        <f>G40+'6'!H40</f>
        <v>1580</v>
      </c>
      <c r="I40" s="95"/>
      <c r="J40" s="175">
        <f>H40/DAY(B2)</f>
        <v>225.71428571428572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'6'!F41</f>
        <v>68835</v>
      </c>
      <c r="F41" s="145">
        <v>68835</v>
      </c>
      <c r="G41" s="112">
        <f t="shared" si="3"/>
        <v>0</v>
      </c>
      <c r="H41" s="99">
        <f>G41+'6'!H41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'6'!F42</f>
        <v>590030</v>
      </c>
      <c r="F42" s="145">
        <v>594219</v>
      </c>
      <c r="G42" s="112">
        <f t="shared" si="3"/>
        <v>4189</v>
      </c>
      <c r="H42" s="99">
        <f>G42+'6'!H42</f>
        <v>34347</v>
      </c>
      <c r="I42" s="95"/>
      <c r="J42" s="175">
        <f>H42/DAY(B2)</f>
        <v>4906.7142857142853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'6'!F43</f>
        <v>407028</v>
      </c>
      <c r="F43" s="423">
        <v>407028</v>
      </c>
      <c r="G43" s="112">
        <f t="shared" si="3"/>
        <v>0</v>
      </c>
      <c r="H43" s="99">
        <f>G43+'6'!H43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12690.100000000006</v>
      </c>
      <c r="H47" s="99">
        <f>G47+'6'!H47</f>
        <v>92218</v>
      </c>
      <c r="I47" s="95"/>
      <c r="J47" s="175">
        <f>H47/DAY(B2)</f>
        <v>13174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'6'!F49</f>
        <v>280074</v>
      </c>
      <c r="F49" s="145">
        <v>283713</v>
      </c>
      <c r="G49" s="112">
        <f t="shared" ref="G49:G58" si="4">F49-E49</f>
        <v>3639</v>
      </c>
      <c r="H49" s="99">
        <f>G49+'6'!H49</f>
        <v>26566</v>
      </c>
      <c r="I49" s="95"/>
      <c r="J49" s="175">
        <f>H49/DAY(B2)</f>
        <v>3795.1428571428573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'6'!F50</f>
        <v>216561</v>
      </c>
      <c r="F50" s="145">
        <v>217641</v>
      </c>
      <c r="G50" s="112">
        <f t="shared" si="4"/>
        <v>1080</v>
      </c>
      <c r="H50" s="99">
        <f>G50+'6'!H50</f>
        <v>8077</v>
      </c>
      <c r="I50" s="95"/>
      <c r="J50" s="175">
        <f>H50/DAY(B2)</f>
        <v>1153.8571428571429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'6'!F51</f>
        <v>75.680000000000007</v>
      </c>
      <c r="F51" s="145">
        <v>75.680000000000007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'6'!F52</f>
        <v>9.76</v>
      </c>
      <c r="F52" s="145">
        <v>9.76</v>
      </c>
      <c r="G52" s="112">
        <f t="shared" si="4"/>
        <v>0</v>
      </c>
      <c r="H52" s="99">
        <f>G52+'6'!H52</f>
        <v>-0.24000000000000021</v>
      </c>
      <c r="I52" s="95"/>
      <c r="J52" s="175">
        <f>H52/DAY(B2)</f>
        <v>-3.4285714285714315E-2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'6'!F54</f>
        <v>67323.600000000006</v>
      </c>
      <c r="F54" s="145">
        <v>67784.600000000006</v>
      </c>
      <c r="G54" s="112">
        <f t="shared" si="4"/>
        <v>461</v>
      </c>
      <c r="H54" s="99">
        <f>G54+'6'!H54</f>
        <v>3228.6000000000058</v>
      </c>
      <c r="I54" s="95"/>
      <c r="J54" s="175">
        <f>H54/DAY(B2)</f>
        <v>461.22857142857225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'6'!F55</f>
        <v>243857</v>
      </c>
      <c r="F55" s="145">
        <v>247724</v>
      </c>
      <c r="G55" s="112">
        <f t="shared" si="4"/>
        <v>3867</v>
      </c>
      <c r="H55" s="99">
        <f>G55+'6'!H55</f>
        <v>22251</v>
      </c>
      <c r="I55" s="95"/>
      <c r="J55" s="175">
        <f>H55/DAY(B2)</f>
        <v>3178.7142857142858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'6'!F56</f>
        <v>107245.66</v>
      </c>
      <c r="F56" s="145">
        <v>107245.86</v>
      </c>
      <c r="G56" s="112">
        <f t="shared" si="4"/>
        <v>0.19999999999708962</v>
      </c>
      <c r="H56" s="99">
        <f>G56+'6'!H56</f>
        <v>-0.13999999999941792</v>
      </c>
      <c r="I56" s="95"/>
      <c r="J56" s="175">
        <f>H56/DAY(B2)</f>
        <v>-1.9999999999916845E-2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'6'!F57</f>
        <v>55702.58</v>
      </c>
      <c r="F57" s="145">
        <v>58856.5</v>
      </c>
      <c r="G57" s="112">
        <f t="shared" si="4"/>
        <v>3153.9199999999983</v>
      </c>
      <c r="H57" s="99">
        <f>G57+'6'!H57</f>
        <v>21253.5</v>
      </c>
      <c r="I57" s="95"/>
      <c r="J57" s="175">
        <f>H57/DAY(B2)</f>
        <v>3036.2142857142858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'6'!F58</f>
        <v>34146.699999999997</v>
      </c>
      <c r="F58" s="145">
        <v>34378.5</v>
      </c>
      <c r="G58" s="112">
        <f t="shared" si="4"/>
        <v>231.80000000000291</v>
      </c>
      <c r="H58" s="99">
        <f>G58+'6'!H58</f>
        <v>1719.5</v>
      </c>
      <c r="I58" s="95"/>
      <c r="J58" s="175">
        <f>H58/DAY(B2)</f>
        <v>245.64285714285714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12432.919999999998</v>
      </c>
      <c r="H59" s="99">
        <f>G59+'6'!H59</f>
        <v>83095.220000000016</v>
      </c>
      <c r="I59" s="95">
        <f>G7-G60</f>
        <v>2236.9799999999959</v>
      </c>
      <c r="J59" s="175">
        <f>H59/DAY(B2)</f>
        <v>11870.745714285717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25123.020000000004</v>
      </c>
      <c r="H60" s="99">
        <f>G60+'6'!H60</f>
        <v>175313.22000000003</v>
      </c>
      <c r="I60" s="95">
        <f>G13-G60</f>
        <v>2329.9799999999959</v>
      </c>
      <c r="J60" s="175">
        <f>H60/DAY(B2)</f>
        <v>25044.74571428572</v>
      </c>
      <c r="K60" s="79"/>
      <c r="L60" s="66"/>
      <c r="N60" s="87"/>
      <c r="O60" s="71"/>
    </row>
    <row r="61" spans="1:15" s="68" customFormat="1" ht="26.25">
      <c r="A61" s="892" t="s">
        <v>332</v>
      </c>
      <c r="B61" s="893"/>
      <c r="C61" s="89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3" t="s">
        <v>198</v>
      </c>
      <c r="B62" s="874"/>
      <c r="C62" s="875"/>
      <c r="D62" s="151" t="s">
        <v>142</v>
      </c>
      <c r="E62" s="95">
        <f>'6'!F62</f>
        <v>289950</v>
      </c>
      <c r="F62" s="122">
        <v>290122.40000000002</v>
      </c>
      <c r="G62" s="112">
        <f t="shared" ref="G62:G63" si="5">F62-E62</f>
        <v>172.40000000002328</v>
      </c>
      <c r="H62" s="99">
        <f>G62+'6'!H62</f>
        <v>1222.4000000000233</v>
      </c>
      <c r="I62" s="118"/>
      <c r="J62" s="175">
        <f>H62/DAY(B2)</f>
        <v>174.62857142857476</v>
      </c>
      <c r="K62" s="80"/>
      <c r="L62" s="66"/>
      <c r="N62" s="87"/>
      <c r="O62" s="71"/>
    </row>
    <row r="63" spans="1:15" ht="25.5">
      <c r="A63" s="873" t="s">
        <v>199</v>
      </c>
      <c r="B63" s="874"/>
      <c r="C63" s="875"/>
      <c r="D63" s="151" t="s">
        <v>142</v>
      </c>
      <c r="E63" s="95">
        <f>'6'!F63</f>
        <v>232012</v>
      </c>
      <c r="F63" s="122">
        <v>232157</v>
      </c>
      <c r="G63" s="112">
        <f t="shared" si="5"/>
        <v>145</v>
      </c>
      <c r="H63" s="99">
        <f>G63+'6'!H63</f>
        <v>995</v>
      </c>
      <c r="I63" s="118"/>
      <c r="J63" s="175">
        <f>H63/DAY(B2)</f>
        <v>142.14285714285714</v>
      </c>
      <c r="K63" s="69"/>
      <c r="L63" s="66"/>
      <c r="N63" s="87"/>
      <c r="O63" s="71"/>
    </row>
    <row r="64" spans="1:15" ht="26.25">
      <c r="A64" s="870" t="s">
        <v>200</v>
      </c>
      <c r="B64" s="871"/>
      <c r="C64" s="872"/>
      <c r="D64" s="151"/>
      <c r="E64" s="95">
        <f>'6'!F64</f>
        <v>0</v>
      </c>
      <c r="F64" s="122"/>
      <c r="G64" s="112">
        <f>G62+G63</f>
        <v>317.40000000002328</v>
      </c>
      <c r="H64" s="99">
        <f>G64+'6'!H64</f>
        <v>2217.4000000000233</v>
      </c>
      <c r="I64" s="118"/>
      <c r="J64" s="175">
        <f>H64/DAY(B2)</f>
        <v>316.7714285714319</v>
      </c>
      <c r="K64" s="69"/>
      <c r="L64" s="66"/>
      <c r="N64" s="87"/>
      <c r="O64" s="71"/>
    </row>
    <row r="65" spans="1:15" ht="25.5">
      <c r="A65" s="873" t="s">
        <v>201</v>
      </c>
      <c r="B65" s="874"/>
      <c r="C65" s="875"/>
      <c r="D65" s="151" t="s">
        <v>142</v>
      </c>
      <c r="E65" s="95">
        <f>'6'!F65</f>
        <v>448725</v>
      </c>
      <c r="F65" s="122">
        <v>448882</v>
      </c>
      <c r="G65" s="112">
        <f t="shared" ref="G65:G70" si="6">F65-E65</f>
        <v>157</v>
      </c>
      <c r="H65" s="99">
        <f>G65+'6'!H65</f>
        <v>855</v>
      </c>
      <c r="I65" s="118"/>
      <c r="J65" s="175">
        <f>H65/DAY(B2)</f>
        <v>122.14285714285714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'6'!F66</f>
        <v>110488</v>
      </c>
      <c r="F66" s="122">
        <v>110520</v>
      </c>
      <c r="G66" s="112">
        <f t="shared" si="6"/>
        <v>32</v>
      </c>
      <c r="H66" s="99">
        <f>G66+'6'!H66</f>
        <v>189</v>
      </c>
      <c r="I66" s="118"/>
      <c r="J66" s="175">
        <f>H66/DAY(B2)</f>
        <v>27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'6'!F67</f>
        <v>113635</v>
      </c>
      <c r="F67" s="150">
        <v>113650</v>
      </c>
      <c r="G67" s="112">
        <f t="shared" si="6"/>
        <v>15</v>
      </c>
      <c r="H67" s="99">
        <f>G67+'6'!H67</f>
        <v>372</v>
      </c>
      <c r="I67" s="118"/>
      <c r="J67" s="175">
        <f>H67/DAY(B2)</f>
        <v>53.142857142857146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'6'!F68</f>
        <v>162626</v>
      </c>
      <c r="F68" s="122">
        <v>162647</v>
      </c>
      <c r="G68" s="112">
        <f t="shared" si="6"/>
        <v>21</v>
      </c>
      <c r="H68" s="99">
        <f>G68+'6'!H68</f>
        <v>153</v>
      </c>
      <c r="I68" s="118"/>
      <c r="J68" s="175">
        <f>H68/DAY(B2)</f>
        <v>21.857142857142858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'6'!F69</f>
        <v>11939</v>
      </c>
      <c r="F69" s="122">
        <v>11964</v>
      </c>
      <c r="G69" s="112">
        <f t="shared" si="6"/>
        <v>25</v>
      </c>
      <c r="H69" s="99">
        <f>G69+'6'!H69</f>
        <v>95</v>
      </c>
      <c r="I69" s="118"/>
      <c r="J69" s="175">
        <f>H69/DAY(B2)</f>
        <v>13.571428571428571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'6'!F70</f>
        <v>9324</v>
      </c>
      <c r="F70" s="150">
        <v>9330</v>
      </c>
      <c r="G70" s="112">
        <f t="shared" si="6"/>
        <v>6</v>
      </c>
      <c r="H70" s="99">
        <f>G70+'6'!H70</f>
        <v>63</v>
      </c>
      <c r="I70" s="118"/>
      <c r="J70" s="175">
        <f>H70/DAY(B2)</f>
        <v>9</v>
      </c>
      <c r="K70" s="69"/>
      <c r="L70" s="66"/>
      <c r="N70" s="87"/>
      <c r="O70" s="71"/>
    </row>
    <row r="71" spans="1:15" ht="26.25">
      <c r="A71" s="870" t="s">
        <v>208</v>
      </c>
      <c r="B71" s="871"/>
      <c r="C71" s="872"/>
      <c r="D71" s="152"/>
      <c r="E71" s="152"/>
      <c r="F71" s="152"/>
      <c r="G71" s="153">
        <f>SUM(G65:G70)</f>
        <v>256</v>
      </c>
      <c r="H71" s="99">
        <f>G71+'6'!H71</f>
        <v>1727</v>
      </c>
      <c r="I71" s="154"/>
      <c r="J71" s="175">
        <f>H71/DAY(B2)</f>
        <v>246.71428571428572</v>
      </c>
      <c r="K71" s="69"/>
      <c r="L71" s="66"/>
      <c r="N71" s="87"/>
      <c r="O71" s="71"/>
    </row>
    <row r="72" spans="1:15" s="88" customFormat="1" ht="25.5">
      <c r="A72" s="916"/>
      <c r="B72" s="90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3" t="s">
        <v>220</v>
      </c>
      <c r="B74" s="874"/>
      <c r="C74" s="875"/>
      <c r="D74" s="151" t="s">
        <v>139</v>
      </c>
      <c r="E74" s="95">
        <f>'6'!F74</f>
        <v>940583.43</v>
      </c>
      <c r="F74" s="123">
        <v>940904.56</v>
      </c>
      <c r="G74" s="112">
        <f t="shared" ref="G74:G78" si="7">F74-E74</f>
        <v>321.13000000000466</v>
      </c>
      <c r="H74" s="99">
        <f>G74+'6'!H74</f>
        <v>2234.5600000000559</v>
      </c>
      <c r="I74" s="154"/>
      <c r="J74" s="175">
        <f>H74/DAY(B2)</f>
        <v>319.22285714286511</v>
      </c>
      <c r="K74" s="69"/>
      <c r="L74" s="66"/>
      <c r="N74" s="87"/>
      <c r="O74" s="71"/>
    </row>
    <row r="75" spans="1:15" ht="25.5">
      <c r="A75" s="873" t="s">
        <v>221</v>
      </c>
      <c r="B75" s="874"/>
      <c r="C75" s="875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7" t="s">
        <v>222</v>
      </c>
      <c r="B76" s="903"/>
      <c r="C76" s="904"/>
      <c r="D76" s="151" t="s">
        <v>139</v>
      </c>
      <c r="E76" s="95">
        <f>'6'!F76</f>
        <v>184419.1</v>
      </c>
      <c r="F76" s="123">
        <v>184537</v>
      </c>
      <c r="G76" s="112">
        <f t="shared" si="7"/>
        <v>117.89999999999418</v>
      </c>
      <c r="H76" s="99">
        <f>G76+'6'!H76</f>
        <v>831</v>
      </c>
      <c r="I76" s="154"/>
      <c r="J76" s="175">
        <f>H76/DAY(B2)</f>
        <v>118.71428571428571</v>
      </c>
      <c r="K76" s="69"/>
      <c r="L76" s="66"/>
      <c r="N76" s="87"/>
      <c r="O76" s="71"/>
    </row>
    <row r="77" spans="1:15" ht="25.5">
      <c r="A77" s="917" t="s">
        <v>223</v>
      </c>
      <c r="B77" s="903"/>
      <c r="C77" s="904"/>
      <c r="D77" s="151" t="s">
        <v>139</v>
      </c>
      <c r="E77" s="95">
        <f>'6'!F77</f>
        <v>47628.3</v>
      </c>
      <c r="F77" s="123">
        <v>47680.9</v>
      </c>
      <c r="G77" s="112">
        <f t="shared" si="7"/>
        <v>52.599999999998545</v>
      </c>
      <c r="H77" s="99">
        <f>G77+'6'!H77</f>
        <v>335.90000000000146</v>
      </c>
      <c r="I77" s="154"/>
      <c r="J77" s="175">
        <f>H77/DAY(B2)</f>
        <v>47.985714285714494</v>
      </c>
      <c r="K77" s="69"/>
      <c r="L77" s="66"/>
      <c r="N77" s="87"/>
      <c r="O77" s="71"/>
    </row>
    <row r="78" spans="1:15" ht="25.5">
      <c r="A78" s="917" t="s">
        <v>224</v>
      </c>
      <c r="B78" s="903"/>
      <c r="C78" s="904"/>
      <c r="D78" s="151" t="s">
        <v>139</v>
      </c>
      <c r="E78" s="95">
        <f>'6'!F78</f>
        <v>9563.4</v>
      </c>
      <c r="F78" s="123">
        <v>9563.4</v>
      </c>
      <c r="G78" s="112">
        <f t="shared" si="7"/>
        <v>0</v>
      </c>
      <c r="H78" s="99">
        <f>G78+'6'!H78</f>
        <v>0.3999999999996362</v>
      </c>
      <c r="I78" s="118"/>
      <c r="J78" s="175">
        <f>H78/DAY(B2)</f>
        <v>5.7142857142805169E-2</v>
      </c>
      <c r="K78" s="69"/>
      <c r="L78" s="66"/>
      <c r="N78" s="87"/>
      <c r="O78" s="71"/>
    </row>
    <row r="79" spans="1:15" s="57" customFormat="1" ht="25.5">
      <c r="A79" s="917" t="s">
        <v>225</v>
      </c>
      <c r="B79" s="903"/>
      <c r="C79" s="904"/>
      <c r="D79" s="151"/>
      <c r="E79" s="95">
        <f>'6'!F79</f>
        <v>0</v>
      </c>
      <c r="F79" s="123"/>
      <c r="G79" s="112">
        <f>G15-SUM(G74:G78)</f>
        <v>586.96999999986292</v>
      </c>
      <c r="H79" s="99">
        <f>G79+'6'!H79</f>
        <v>4245.3399999998965</v>
      </c>
      <c r="I79" s="118"/>
      <c r="J79" s="175"/>
      <c r="K79" s="59"/>
      <c r="L79" s="58"/>
      <c r="N79" s="87"/>
      <c r="O79" s="71"/>
    </row>
    <row r="80" spans="1:15" s="57" customFormat="1" ht="26.25">
      <c r="A80" s="870" t="s">
        <v>329</v>
      </c>
      <c r="B80" s="871"/>
      <c r="C80" s="872"/>
      <c r="D80" s="151"/>
      <c r="E80" s="117"/>
      <c r="F80" s="117"/>
      <c r="G80" s="112">
        <f>SUM(G74:G79)</f>
        <v>1078.5999999998603</v>
      </c>
      <c r="H80" s="99">
        <f>G80+'6'!H80</f>
        <v>1078.5999999998603</v>
      </c>
      <c r="I80" s="118"/>
      <c r="J80" s="175"/>
      <c r="K80" s="59"/>
      <c r="L80" s="58"/>
      <c r="N80" s="87"/>
      <c r="O80" s="71"/>
    </row>
    <row r="81" spans="1:15" ht="25.5">
      <c r="A81" s="909" t="s">
        <v>226</v>
      </c>
      <c r="B81" s="910"/>
      <c r="C81" s="91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'6'!F84</f>
        <v>41969</v>
      </c>
      <c r="F84" s="164">
        <v>41969</v>
      </c>
      <c r="G84" s="112">
        <f t="shared" si="8"/>
        <v>0</v>
      </c>
      <c r="H84" s="99">
        <f>G84+'6'!H84</f>
        <v>0</v>
      </c>
      <c r="I84" s="57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'6'!F85</f>
        <v>4469.16</v>
      </c>
      <c r="F85" s="164">
        <v>4487</v>
      </c>
      <c r="G85" s="112">
        <f t="shared" si="8"/>
        <v>17.840000000000146</v>
      </c>
      <c r="H85" s="99">
        <f>G85+'6'!H85</f>
        <v>144</v>
      </c>
      <c r="I85" s="573"/>
      <c r="J85" s="175">
        <f>H85/DAY(B2)</f>
        <v>20.571428571428573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'6'!F86</f>
        <v>44595.19</v>
      </c>
      <c r="F86" s="164">
        <v>44619.3</v>
      </c>
      <c r="G86" s="112">
        <f t="shared" si="8"/>
        <v>24.110000000000582</v>
      </c>
      <c r="H86" s="99">
        <f>G86+'6'!H86</f>
        <v>149.30000000000291</v>
      </c>
      <c r="I86" s="573"/>
      <c r="J86" s="175">
        <f>H86/DAY(B2)</f>
        <v>21.328571428571845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'6'!F87</f>
        <v>35329.06</v>
      </c>
      <c r="F87" s="164">
        <v>35329.06</v>
      </c>
      <c r="G87" s="112">
        <f t="shared" si="8"/>
        <v>0</v>
      </c>
      <c r="H87" s="99">
        <f>G87+'6'!H87</f>
        <v>5.9999999997671694E-2</v>
      </c>
      <c r="I87" s="555">
        <f>G84+G85+G86+G87</f>
        <v>41.950000000000728</v>
      </c>
      <c r="J87" s="175">
        <f>H87/DAY(B2)</f>
        <v>8.571428571095956E-3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'6'!F88</f>
        <v>24276.95</v>
      </c>
      <c r="F88" s="164">
        <v>24276.95</v>
      </c>
      <c r="G88" s="112">
        <f t="shared" si="8"/>
        <v>0</v>
      </c>
      <c r="H88" s="99">
        <f>G88+'6'!H88</f>
        <v>49.069999999999709</v>
      </c>
      <c r="I88" s="555"/>
      <c r="J88" s="175">
        <f>H88/DAY(B2)</f>
        <v>7.009999999999958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'6'!F89</f>
        <v>27055.91</v>
      </c>
      <c r="F89" s="164">
        <v>27065.95</v>
      </c>
      <c r="G89" s="112">
        <f t="shared" si="8"/>
        <v>10.040000000000873</v>
      </c>
      <c r="H89" s="99">
        <f>G89+'6'!H89</f>
        <v>72.540000000000873</v>
      </c>
      <c r="I89" s="555">
        <f>G88+G89</f>
        <v>10.040000000000873</v>
      </c>
      <c r="J89" s="175">
        <f>H89/DAY(B2)</f>
        <v>10.362857142857267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'6'!F90</f>
        <v>72127.12</v>
      </c>
      <c r="F90" s="164">
        <v>72127.12</v>
      </c>
      <c r="G90" s="112">
        <f t="shared" si="8"/>
        <v>0</v>
      </c>
      <c r="H90" s="99">
        <f>G90+'6'!H90</f>
        <v>0</v>
      </c>
      <c r="I90" s="555">
        <f>G90</f>
        <v>0</v>
      </c>
      <c r="J90" s="175">
        <f>H90/DAY(B2)</f>
        <v>0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'6'!F91</f>
        <v>4121.6499999999996</v>
      </c>
      <c r="F91" s="122">
        <v>4121.6499999999996</v>
      </c>
      <c r="G91" s="112">
        <f t="shared" si="8"/>
        <v>0</v>
      </c>
      <c r="H91" s="99">
        <f>G91+'6'!H91</f>
        <v>0</v>
      </c>
      <c r="I91" s="616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'6'!F92</f>
        <v>6283.23</v>
      </c>
      <c r="F92" s="122">
        <v>6294</v>
      </c>
      <c r="G92" s="112">
        <f t="shared" si="8"/>
        <v>10.770000000000437</v>
      </c>
      <c r="H92" s="99">
        <f>G92+'6'!H92</f>
        <v>76.75</v>
      </c>
      <c r="I92" s="617">
        <f>G91+G92</f>
        <v>10.770000000000437</v>
      </c>
      <c r="J92" s="175">
        <f>H92/DAY(B2)</f>
        <v>10.964285714285714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3" t="s">
        <v>240</v>
      </c>
      <c r="B94" s="874"/>
      <c r="C94" s="875"/>
      <c r="D94" s="151" t="s">
        <v>130</v>
      </c>
      <c r="E94" s="151"/>
      <c r="F94" s="151"/>
      <c r="G94" s="99">
        <f>G35+G43+G49+G57</f>
        <v>6792.9199999999983</v>
      </c>
      <c r="H94" s="99">
        <f>G94+'6'!H94</f>
        <v>47819.5</v>
      </c>
      <c r="I94" s="118"/>
      <c r="J94" s="175">
        <f>H94/DAY(B2)</f>
        <v>6831.3571428571431</v>
      </c>
      <c r="K94" s="69"/>
      <c r="L94" s="66"/>
      <c r="O94" s="71"/>
    </row>
    <row r="95" spans="1:15" ht="25.5">
      <c r="A95" s="873" t="s">
        <v>241</v>
      </c>
      <c r="B95" s="874"/>
      <c r="C95" s="875"/>
      <c r="D95" s="151" t="s">
        <v>23</v>
      </c>
      <c r="E95" s="146"/>
      <c r="F95" s="146"/>
      <c r="G95" s="166">
        <f>G94/G7</f>
        <v>0.24827923976608179</v>
      </c>
      <c r="H95" s="99">
        <f>G95+'6'!H95</f>
        <v>1.7367338632479834</v>
      </c>
      <c r="I95" s="167"/>
      <c r="J95" s="175">
        <f>H95/DAY(B2)</f>
        <v>0.24810483760685478</v>
      </c>
      <c r="K95" s="69"/>
      <c r="L95" s="66"/>
      <c r="O95" s="71"/>
    </row>
    <row r="96" spans="1:15" ht="25.5">
      <c r="A96" s="873" t="s">
        <v>242</v>
      </c>
      <c r="B96" s="874"/>
      <c r="C96" s="875"/>
      <c r="D96" s="151" t="s">
        <v>130</v>
      </c>
      <c r="E96" s="95"/>
      <c r="F96" s="95"/>
      <c r="G96" s="99">
        <f>G41+G42+G55+G56</f>
        <v>8056.1999999999971</v>
      </c>
      <c r="H96" s="99">
        <f>G96+'6'!H96</f>
        <v>56597.86</v>
      </c>
      <c r="I96" s="118"/>
      <c r="J96" s="175">
        <f>H96/DAY(B2)</f>
        <v>8085.4085714285711</v>
      </c>
      <c r="K96" s="69"/>
      <c r="L96" s="66"/>
      <c r="O96" s="71"/>
    </row>
    <row r="97" spans="1:15" ht="25.5">
      <c r="A97" s="873" t="s">
        <v>243</v>
      </c>
      <c r="B97" s="874"/>
      <c r="C97" s="875"/>
      <c r="D97" s="151" t="s">
        <v>23</v>
      </c>
      <c r="E97" s="95"/>
      <c r="F97" s="95"/>
      <c r="G97" s="166">
        <f>G96/G7</f>
        <v>0.29445175438596483</v>
      </c>
      <c r="H97" s="99">
        <f>G97+'6'!H97</f>
        <v>2.0528688338697045</v>
      </c>
      <c r="I97" s="167"/>
      <c r="J97" s="175">
        <f>H97/DAY(B2)</f>
        <v>0.29326697626710063</v>
      </c>
      <c r="K97" s="69"/>
      <c r="L97" s="66"/>
      <c r="O97" s="71"/>
    </row>
    <row r="98" spans="1:15" ht="25.5">
      <c r="A98" s="873" t="s">
        <v>244</v>
      </c>
      <c r="B98" s="874"/>
      <c r="C98" s="875"/>
      <c r="D98" s="151" t="s">
        <v>130</v>
      </c>
      <c r="E98" s="95"/>
      <c r="F98" s="95"/>
      <c r="G98" s="99">
        <f>G39+G53</f>
        <v>3002</v>
      </c>
      <c r="H98" s="99">
        <f>G98+'6'!H98</f>
        <v>20951</v>
      </c>
      <c r="I98" s="168"/>
      <c r="J98" s="175">
        <f>H98/DAY(B2)</f>
        <v>2993</v>
      </c>
      <c r="K98" s="69"/>
      <c r="L98" s="66"/>
      <c r="O98" s="71"/>
    </row>
    <row r="99" spans="1:15" ht="25.5">
      <c r="A99" s="873" t="s">
        <v>245</v>
      </c>
      <c r="B99" s="874"/>
      <c r="C99" s="875"/>
      <c r="D99" s="151" t="s">
        <v>23</v>
      </c>
      <c r="E99" s="95"/>
      <c r="F99" s="95"/>
      <c r="G99" s="166">
        <f>G98/G7</f>
        <v>0.10972222222222222</v>
      </c>
      <c r="H99" s="99">
        <f>G99+'6'!H99</f>
        <v>0.76116835046169617</v>
      </c>
      <c r="I99" s="168"/>
      <c r="J99" s="175">
        <f>H99/DAY(B2)</f>
        <v>0.10873833578024231</v>
      </c>
      <c r="O99" s="71"/>
    </row>
    <row r="100" spans="1:15" ht="26.25">
      <c r="A100" s="873" t="s">
        <v>246</v>
      </c>
      <c r="B100" s="874"/>
      <c r="C100" s="875"/>
      <c r="D100" s="151" t="s">
        <v>180</v>
      </c>
      <c r="E100" s="95"/>
      <c r="F100" s="95"/>
      <c r="G100" s="99">
        <f>G38+G52</f>
        <v>2322</v>
      </c>
      <c r="H100" s="99">
        <f>G100+'6'!H100</f>
        <v>16938.760000000002</v>
      </c>
      <c r="I100" s="118"/>
      <c r="J100" s="175">
        <f>H100/DAY(B2)</f>
        <v>2419.8228571428576</v>
      </c>
      <c r="K100" s="70"/>
      <c r="O100" s="71"/>
    </row>
    <row r="101" spans="1:15" ht="25.5">
      <c r="A101" s="873" t="s">
        <v>247</v>
      </c>
      <c r="B101" s="874"/>
      <c r="C101" s="875"/>
      <c r="D101" s="151" t="s">
        <v>23</v>
      </c>
      <c r="E101" s="95"/>
      <c r="F101" s="95"/>
      <c r="G101" s="166">
        <f>G100/G7</f>
        <v>8.4868421052631579E-2</v>
      </c>
      <c r="H101" s="99">
        <f>G101+'6'!H101</f>
        <v>0.61592873464879117</v>
      </c>
      <c r="I101" s="168"/>
      <c r="J101" s="175">
        <f>H101/DAY(B2)</f>
        <v>8.7989819235541597E-2</v>
      </c>
      <c r="O101" s="71"/>
    </row>
    <row r="102" spans="1:15" ht="25.5">
      <c r="A102" s="873" t="s">
        <v>248</v>
      </c>
      <c r="B102" s="874"/>
      <c r="C102" s="875"/>
      <c r="D102" s="151" t="s">
        <v>180</v>
      </c>
      <c r="E102" s="95"/>
      <c r="F102" s="95"/>
      <c r="G102" s="99">
        <f>G36+G50</f>
        <v>2102</v>
      </c>
      <c r="H102" s="99">
        <f>G102+'6'!H102</f>
        <v>14210</v>
      </c>
      <c r="I102" s="168"/>
      <c r="J102" s="175">
        <f>H102/DAY(B2)</f>
        <v>2030</v>
      </c>
      <c r="O102" s="71"/>
    </row>
    <row r="103" spans="1:15" ht="25.5">
      <c r="A103" s="873" t="s">
        <v>249</v>
      </c>
      <c r="B103" s="874"/>
      <c r="C103" s="875"/>
      <c r="D103" s="151" t="s">
        <v>23</v>
      </c>
      <c r="E103" s="95"/>
      <c r="F103" s="95"/>
      <c r="G103" s="166">
        <f>G102/G7</f>
        <v>7.6827485380116953E-2</v>
      </c>
      <c r="H103" s="99">
        <f>G103+'6'!H103</f>
        <v>0.51469491404993184</v>
      </c>
      <c r="I103" s="118"/>
      <c r="J103" s="175">
        <f>H103/DAY(B2)</f>
        <v>7.3527844864275979E-2</v>
      </c>
      <c r="O103" s="71"/>
    </row>
    <row r="104" spans="1:15" ht="25.5">
      <c r="A104" s="873" t="s">
        <v>250</v>
      </c>
      <c r="B104" s="874"/>
      <c r="C104" s="875"/>
      <c r="D104" s="151" t="s">
        <v>180</v>
      </c>
      <c r="E104" s="95"/>
      <c r="F104" s="95"/>
      <c r="G104" s="99">
        <f>G37+G51</f>
        <v>1684</v>
      </c>
      <c r="H104" s="99">
        <f>G104+'6'!H104</f>
        <v>12268</v>
      </c>
      <c r="I104" s="118"/>
      <c r="J104" s="175">
        <f>H104/DAY(B2)</f>
        <v>1752.5714285714287</v>
      </c>
      <c r="O104" s="71"/>
    </row>
    <row r="105" spans="1:15" ht="26.25" thickBot="1">
      <c r="A105" s="913" t="s">
        <v>251</v>
      </c>
      <c r="B105" s="914"/>
      <c r="C105" s="915"/>
      <c r="D105" s="231" t="s">
        <v>23</v>
      </c>
      <c r="E105" s="185"/>
      <c r="F105" s="185"/>
      <c r="G105" s="186">
        <f>G104/G7</f>
        <v>6.1549707602339181E-2</v>
      </c>
      <c r="H105" s="99">
        <f>G105+'6'!H105</f>
        <v>0.44558253770249762</v>
      </c>
      <c r="I105" s="187"/>
      <c r="J105" s="188">
        <f>H105/DAY(B2)</f>
        <v>6.3654648243213943E-2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7" t="s">
        <v>324</v>
      </c>
      <c r="B108" s="927"/>
      <c r="C108" s="927"/>
      <c r="D108" s="927"/>
      <c r="E108" s="927"/>
      <c r="F108" s="927"/>
      <c r="G108" s="927"/>
      <c r="H108" s="927"/>
      <c r="I108" s="927"/>
      <c r="J108" s="927"/>
    </row>
    <row r="109" spans="1:15" ht="26.25">
      <c r="A109" s="912"/>
      <c r="B109" s="912"/>
    </row>
    <row r="110" spans="1:15" ht="26.25">
      <c r="A110" s="928" t="s">
        <v>165</v>
      </c>
      <c r="B110" s="929"/>
      <c r="C110" s="929"/>
      <c r="D110" s="929"/>
      <c r="E110" s="929"/>
      <c r="F110" s="929"/>
      <c r="G110" s="929"/>
      <c r="H110" s="929"/>
      <c r="I110" s="929"/>
      <c r="J110" s="930"/>
    </row>
    <row r="111" spans="1:15" ht="25.5">
      <c r="A111" s="931"/>
      <c r="B111" s="932"/>
      <c r="C111" s="933"/>
      <c r="D111" s="165"/>
      <c r="E111" s="165"/>
      <c r="F111" s="165"/>
      <c r="G111" s="165"/>
      <c r="H111" s="156"/>
      <c r="I111" s="165"/>
      <c r="J111" s="327"/>
    </row>
    <row r="112" spans="1:15" ht="25.5">
      <c r="A112" s="906" t="s">
        <v>252</v>
      </c>
      <c r="B112" s="907"/>
      <c r="C112" s="908"/>
      <c r="D112" s="146" t="s">
        <v>183</v>
      </c>
      <c r="E112" s="95">
        <f>'6'!F112</f>
        <v>3145.18</v>
      </c>
      <c r="F112" s="237">
        <v>3219.13</v>
      </c>
      <c r="G112" s="112">
        <f t="shared" ref="G112:G123" si="9">F112-E112</f>
        <v>73.950000000000273</v>
      </c>
      <c r="H112" s="99">
        <f>G112+'6'!H112</f>
        <v>542.13000000000011</v>
      </c>
      <c r="I112" s="165"/>
      <c r="J112" s="328">
        <f>H112/DAY(B2)</f>
        <v>77.447142857142879</v>
      </c>
    </row>
    <row r="113" spans="1:18" ht="29.25" customHeight="1">
      <c r="A113" s="906" t="s">
        <v>253</v>
      </c>
      <c r="B113" s="907"/>
      <c r="C113" s="908"/>
      <c r="D113" s="146" t="s">
        <v>183</v>
      </c>
      <c r="E113" s="95">
        <f>'6'!F113</f>
        <v>7253.36</v>
      </c>
      <c r="F113" s="237">
        <v>7376.25</v>
      </c>
      <c r="G113" s="112">
        <f t="shared" si="9"/>
        <v>122.89000000000033</v>
      </c>
      <c r="H113" s="99">
        <f>G113+'6'!H113</f>
        <v>985.25</v>
      </c>
      <c r="I113" s="165"/>
      <c r="J113" s="328">
        <f>H113/DAY(B2)</f>
        <v>140.75</v>
      </c>
    </row>
    <row r="114" spans="1:18" ht="29.25" customHeight="1">
      <c r="A114" s="906" t="s">
        <v>254</v>
      </c>
      <c r="B114" s="907"/>
      <c r="C114" s="908"/>
      <c r="D114" s="146" t="s">
        <v>183</v>
      </c>
      <c r="E114" s="95">
        <f>'6'!F114</f>
        <v>8898.26</v>
      </c>
      <c r="F114" s="237">
        <v>9111.89</v>
      </c>
      <c r="G114" s="112">
        <f t="shared" si="9"/>
        <v>213.6299999999992</v>
      </c>
      <c r="H114" s="99">
        <f>G114+'6'!H114</f>
        <v>1541.8899999999994</v>
      </c>
      <c r="I114" s="165"/>
      <c r="J114" s="328">
        <f>H114/DAY(B2)</f>
        <v>220.26999999999992</v>
      </c>
    </row>
    <row r="115" spans="1:18" ht="29.25" customHeight="1">
      <c r="A115" s="906" t="s">
        <v>255</v>
      </c>
      <c r="B115" s="907"/>
      <c r="C115" s="908"/>
      <c r="D115" s="146" t="s">
        <v>183</v>
      </c>
      <c r="E115" s="95">
        <f>'6'!F115</f>
        <v>679.53</v>
      </c>
      <c r="F115" s="237">
        <v>698.51</v>
      </c>
      <c r="G115" s="112">
        <f t="shared" si="9"/>
        <v>18.980000000000018</v>
      </c>
      <c r="H115" s="99">
        <f>G115+'6'!H115</f>
        <v>137.51</v>
      </c>
      <c r="I115" s="165"/>
      <c r="J115" s="328">
        <f>H115/DAY(B2)</f>
        <v>19.644285714285711</v>
      </c>
    </row>
    <row r="116" spans="1:18" ht="29.25" customHeight="1">
      <c r="A116" s="924" t="s">
        <v>96</v>
      </c>
      <c r="B116" s="925"/>
      <c r="C116" s="926"/>
      <c r="D116" s="146" t="s">
        <v>183</v>
      </c>
      <c r="E116" s="95">
        <f>'6'!F116</f>
        <v>49162.400000000001</v>
      </c>
      <c r="F116" s="237">
        <v>49546.1</v>
      </c>
      <c r="G116" s="112">
        <f t="shared" si="9"/>
        <v>383.69999999999709</v>
      </c>
      <c r="H116" s="99">
        <f>G116+'6'!H116</f>
        <v>2791.0999999999985</v>
      </c>
      <c r="I116" s="165"/>
      <c r="J116" s="328">
        <f>H116/DAY(B2)</f>
        <v>398.72857142857123</v>
      </c>
      <c r="Q116" s="906" t="s">
        <v>311</v>
      </c>
      <c r="R116" s="908"/>
    </row>
    <row r="117" spans="1:18" ht="29.25" customHeight="1">
      <c r="A117" s="924" t="s">
        <v>184</v>
      </c>
      <c r="B117" s="925"/>
      <c r="C117" s="926"/>
      <c r="D117" s="146" t="s">
        <v>183</v>
      </c>
      <c r="E117" s="95">
        <f>'6'!F117</f>
        <v>26669.3</v>
      </c>
      <c r="F117" s="237">
        <v>26882.799999999999</v>
      </c>
      <c r="G117" s="112">
        <f t="shared" si="9"/>
        <v>213.5</v>
      </c>
      <c r="H117" s="99">
        <f>G117+'6'!H117</f>
        <v>1614.7999999999993</v>
      </c>
      <c r="I117" s="165"/>
      <c r="J117" s="328">
        <f>H117/DAY(B2)</f>
        <v>230.68571428571417</v>
      </c>
      <c r="Q117" s="906" t="s">
        <v>312</v>
      </c>
      <c r="R117" s="908"/>
    </row>
    <row r="118" spans="1:18" ht="25.5">
      <c r="A118" s="901" t="s">
        <v>97</v>
      </c>
      <c r="B118" s="901"/>
      <c r="C118" s="901"/>
      <c r="D118" s="151" t="s">
        <v>183</v>
      </c>
      <c r="E118" s="95">
        <f>'6'!F118</f>
        <v>29481.7</v>
      </c>
      <c r="F118" s="237">
        <v>30066.7</v>
      </c>
      <c r="G118" s="112">
        <f t="shared" si="9"/>
        <v>585</v>
      </c>
      <c r="H118" s="99">
        <f>G118+'6'!H118</f>
        <v>3841.7000000000007</v>
      </c>
      <c r="I118" s="165"/>
      <c r="J118" s="328">
        <f>H118/DAY(B2)</f>
        <v>548.8142857142858</v>
      </c>
      <c r="Q118" s="906" t="s">
        <v>311</v>
      </c>
      <c r="R118" s="908"/>
    </row>
    <row r="119" spans="1:18" ht="25.5">
      <c r="A119" s="901" t="s">
        <v>98</v>
      </c>
      <c r="B119" s="901"/>
      <c r="C119" s="901"/>
      <c r="D119" s="151" t="s">
        <v>183</v>
      </c>
      <c r="E119" s="95">
        <f>'6'!F119</f>
        <v>21476.6</v>
      </c>
      <c r="F119" s="237">
        <v>21880.6</v>
      </c>
      <c r="G119" s="112">
        <f t="shared" si="9"/>
        <v>404</v>
      </c>
      <c r="H119" s="99">
        <f>G119+'6'!H119</f>
        <v>2933.5999999999985</v>
      </c>
      <c r="I119" s="165"/>
      <c r="J119" s="328">
        <f>H119/DAY(B2)</f>
        <v>419.08571428571406</v>
      </c>
    </row>
    <row r="120" spans="1:18" ht="25.5">
      <c r="A120" s="901" t="s">
        <v>99</v>
      </c>
      <c r="B120" s="901"/>
      <c r="C120" s="901"/>
      <c r="D120" s="151" t="s">
        <v>183</v>
      </c>
      <c r="E120" s="95">
        <f>'6'!F120</f>
        <v>22732.2</v>
      </c>
      <c r="F120" s="237">
        <v>23180.1</v>
      </c>
      <c r="G120" s="112">
        <f t="shared" si="9"/>
        <v>447.89999999999782</v>
      </c>
      <c r="H120" s="99">
        <f>G120+'6'!H120</f>
        <v>3130.0999999999985</v>
      </c>
      <c r="I120" s="165"/>
      <c r="J120" s="328">
        <f>H120/DAY(B2)</f>
        <v>447.15714285714267</v>
      </c>
    </row>
    <row r="121" spans="1:18" ht="25.5">
      <c r="A121" s="901" t="s">
        <v>100</v>
      </c>
      <c r="B121" s="901"/>
      <c r="C121" s="901"/>
      <c r="D121" s="151" t="s">
        <v>183</v>
      </c>
      <c r="E121" s="95">
        <f>'6'!F121</f>
        <v>28765.7</v>
      </c>
      <c r="F121" s="237">
        <v>29212.5</v>
      </c>
      <c r="G121" s="112">
        <f t="shared" si="9"/>
        <v>446.79999999999927</v>
      </c>
      <c r="H121" s="99">
        <f>G121+'6'!H121</f>
        <v>3368.5</v>
      </c>
      <c r="I121" s="165"/>
      <c r="J121" s="328">
        <f>H121/DAY(B2)</f>
        <v>481.21428571428572</v>
      </c>
    </row>
    <row r="122" spans="1:18" ht="25.5">
      <c r="A122" s="901" t="s">
        <v>101</v>
      </c>
      <c r="B122" s="901"/>
      <c r="C122" s="901"/>
      <c r="D122" s="151" t="s">
        <v>183</v>
      </c>
      <c r="E122" s="95">
        <f>'6'!F122</f>
        <v>13084.4</v>
      </c>
      <c r="F122" s="237">
        <v>13347.1</v>
      </c>
      <c r="G122" s="112">
        <f t="shared" si="9"/>
        <v>262.70000000000073</v>
      </c>
      <c r="H122" s="99">
        <f>G122+'6'!H122</f>
        <v>2187.1000000000004</v>
      </c>
      <c r="I122" s="165"/>
      <c r="J122" s="328">
        <f>H122/DAY(B2)</f>
        <v>312.44285714285718</v>
      </c>
    </row>
    <row r="123" spans="1:18" ht="25.5">
      <c r="A123" s="901" t="s">
        <v>102</v>
      </c>
      <c r="B123" s="901"/>
      <c r="C123" s="901"/>
      <c r="D123" s="151" t="s">
        <v>183</v>
      </c>
      <c r="E123" s="95">
        <f>'6'!F123</f>
        <v>12373</v>
      </c>
      <c r="F123" s="237">
        <v>12675.8</v>
      </c>
      <c r="G123" s="112">
        <f t="shared" si="9"/>
        <v>302.79999999999927</v>
      </c>
      <c r="H123" s="99">
        <f>G123+'6'!H123</f>
        <v>2166.7999999999993</v>
      </c>
      <c r="I123" s="165"/>
      <c r="J123" s="328">
        <f>H123/DAY(B2)</f>
        <v>309.54285714285703</v>
      </c>
    </row>
    <row r="124" spans="1:18" ht="29.25" customHeight="1">
      <c r="A124" s="931"/>
      <c r="B124" s="932"/>
      <c r="C124" s="933"/>
      <c r="D124" s="165"/>
      <c r="E124" s="165"/>
      <c r="F124" s="165"/>
      <c r="G124" s="327"/>
      <c r="H124" s="156"/>
      <c r="I124" s="165"/>
      <c r="J124" s="328"/>
    </row>
    <row r="125" spans="1:18" ht="25.5">
      <c r="A125" s="934" t="s">
        <v>196</v>
      </c>
      <c r="B125" s="935"/>
      <c r="C125" s="245"/>
      <c r="D125" s="307"/>
      <c r="E125" s="308"/>
      <c r="F125" s="308"/>
      <c r="G125" s="309">
        <f>SUM(G112:G124)</f>
        <v>3475.849999999994</v>
      </c>
      <c r="H125" s="156"/>
      <c r="I125" s="327">
        <f>G125-(G39+G53)</f>
        <v>473.849999999994</v>
      </c>
      <c r="J125" s="327"/>
    </row>
    <row r="126" spans="1:18" ht="25.5">
      <c r="A126" s="936" t="s">
        <v>317</v>
      </c>
      <c r="B126" s="936"/>
      <c r="C126" s="936"/>
      <c r="D126" s="936"/>
      <c r="E126" s="936"/>
      <c r="F126" s="936"/>
      <c r="G126" s="936"/>
      <c r="H126" s="936"/>
      <c r="I126" s="936"/>
      <c r="J126" s="936"/>
    </row>
    <row r="127" spans="1:18" ht="25.5">
      <c r="A127" s="937"/>
      <c r="B127" s="937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>
      <c r="A128" s="906" t="s">
        <v>318</v>
      </c>
      <c r="B128" s="907"/>
      <c r="C128" s="908"/>
      <c r="D128" s="151" t="s">
        <v>183</v>
      </c>
      <c r="E128" s="95">
        <f>'6'!F128</f>
        <v>98681.9</v>
      </c>
      <c r="F128" s="165">
        <v>99165.6</v>
      </c>
      <c r="G128" s="112">
        <f t="shared" ref="G128:G134" si="10">F128-E128</f>
        <v>483.70000000001164</v>
      </c>
      <c r="H128" s="99">
        <f>G128+'6'!H128</f>
        <v>3450.6000000000058</v>
      </c>
      <c r="I128" s="165"/>
      <c r="J128" s="328">
        <f>H128/DAY(B2)</f>
        <v>492.94285714285797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'6'!F129</f>
        <v>61758.6</v>
      </c>
      <c r="F129" s="165">
        <v>61995.1</v>
      </c>
      <c r="G129" s="112">
        <f t="shared" si="10"/>
        <v>236.5</v>
      </c>
      <c r="H129" s="99">
        <f>G129+'6'!H129</f>
        <v>1702.0999999999985</v>
      </c>
      <c r="I129" s="165"/>
      <c r="J129" s="328">
        <f>H129/DAY(B2)</f>
        <v>243.15714285714265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'6'!F130</f>
        <v>123451</v>
      </c>
      <c r="F130" s="165">
        <v>124202</v>
      </c>
      <c r="G130" s="112">
        <f t="shared" si="10"/>
        <v>751</v>
      </c>
      <c r="H130" s="99">
        <f>G130+'6'!H130</f>
        <v>5089</v>
      </c>
      <c r="I130" s="165"/>
      <c r="J130" s="328">
        <f>H130/DAY(B2)</f>
        <v>727</v>
      </c>
      <c r="N130" s="240"/>
      <c r="O130" s="241"/>
    </row>
    <row r="131" spans="1:15" ht="25.5">
      <c r="A131" s="906" t="s">
        <v>321</v>
      </c>
      <c r="B131" s="907"/>
      <c r="C131" s="908"/>
      <c r="D131" s="151" t="s">
        <v>183</v>
      </c>
      <c r="E131" s="95">
        <f>'6'!F131</f>
        <v>37482.800000000003</v>
      </c>
      <c r="F131" s="165">
        <v>37689.4</v>
      </c>
      <c r="G131" s="112">
        <f t="shared" si="10"/>
        <v>206.59999999999854</v>
      </c>
      <c r="H131" s="99">
        <f>G131+'6'!H131</f>
        <v>1410.4000000000015</v>
      </c>
      <c r="I131" s="165"/>
      <c r="J131" s="328">
        <f>H131/DAY(B2)</f>
        <v>201.48571428571449</v>
      </c>
      <c r="N131" s="240"/>
      <c r="O131" s="241"/>
    </row>
    <row r="132" spans="1:15" ht="25.5">
      <c r="A132" s="906" t="s">
        <v>322</v>
      </c>
      <c r="B132" s="907"/>
      <c r="C132" s="908"/>
      <c r="D132" s="151" t="s">
        <v>183</v>
      </c>
      <c r="E132" s="95">
        <f>'6'!F132</f>
        <v>105835</v>
      </c>
      <c r="F132" s="165">
        <v>106268</v>
      </c>
      <c r="G132" s="112">
        <f t="shared" si="10"/>
        <v>433</v>
      </c>
      <c r="H132" s="99">
        <f>G132+'6'!H132</f>
        <v>2756</v>
      </c>
      <c r="I132" s="165"/>
      <c r="J132" s="328">
        <f>H132/DAY(B2)</f>
        <v>393.71428571428572</v>
      </c>
    </row>
    <row r="133" spans="1:15" ht="25.5">
      <c r="A133" s="906" t="s">
        <v>323</v>
      </c>
      <c r="B133" s="907"/>
      <c r="C133" s="908"/>
      <c r="D133" s="151" t="s">
        <v>183</v>
      </c>
      <c r="E133" s="95">
        <f>'6'!F133</f>
        <v>206362</v>
      </c>
      <c r="F133" s="165">
        <v>207181</v>
      </c>
      <c r="G133" s="112">
        <f t="shared" si="10"/>
        <v>819</v>
      </c>
      <c r="H133" s="99">
        <f>G133+'6'!H133</f>
        <v>5949</v>
      </c>
      <c r="I133" s="165"/>
      <c r="J133" s="328">
        <f>H133/DAY(B2)</f>
        <v>849.85714285714289</v>
      </c>
    </row>
    <row r="134" spans="1:15" ht="25.5">
      <c r="A134" s="906" t="s">
        <v>340</v>
      </c>
      <c r="B134" s="907"/>
      <c r="C134" s="908"/>
      <c r="D134" s="151" t="s">
        <v>183</v>
      </c>
      <c r="E134" s="95">
        <f>'6'!F134</f>
        <v>36270.199999999997</v>
      </c>
      <c r="F134" s="165">
        <v>36506.400000000001</v>
      </c>
      <c r="G134" s="112">
        <f t="shared" si="10"/>
        <v>236.20000000000437</v>
      </c>
      <c r="H134" s="99">
        <f>G134+'6'!H134</f>
        <v>1611.4000000000015</v>
      </c>
      <c r="I134" s="165"/>
      <c r="J134" s="328">
        <f>H134/DAY(B2)</f>
        <v>230.20000000000022</v>
      </c>
    </row>
    <row r="135" spans="1:15" ht="25.5">
      <c r="A135" s="934" t="s">
        <v>196</v>
      </c>
      <c r="B135" s="935"/>
      <c r="C135" s="331"/>
      <c r="D135" s="151"/>
      <c r="E135" s="95"/>
      <c r="F135" s="165"/>
      <c r="G135" s="112">
        <f>SUM(G128:G134)</f>
        <v>3166.0000000000146</v>
      </c>
      <c r="H135" s="99">
        <f>G135+'6'!H135</f>
        <v>21968.500000000007</v>
      </c>
      <c r="I135" s="327">
        <f>G135-(G35+G49)</f>
        <v>-472.99999999998545</v>
      </c>
      <c r="J135" s="328">
        <f>H135/DAY(B2)</f>
        <v>3138.357142857144</v>
      </c>
    </row>
    <row r="136" spans="1:15" ht="27.75">
      <c r="A136" s="938" t="s">
        <v>325</v>
      </c>
      <c r="B136" s="938"/>
      <c r="C136" s="938"/>
      <c r="D136" s="938"/>
      <c r="E136" s="938"/>
      <c r="F136" s="938"/>
      <c r="G136" s="938"/>
      <c r="H136" s="938"/>
      <c r="I136" s="938"/>
      <c r="J136" s="938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1" t="s">
        <v>185</v>
      </c>
      <c r="B138" s="901"/>
      <c r="C138" s="901"/>
      <c r="D138" s="151" t="s">
        <v>183</v>
      </c>
      <c r="E138" s="95">
        <f>'6'!F138</f>
        <v>11286</v>
      </c>
      <c r="F138" s="147">
        <v>11410.6</v>
      </c>
      <c r="G138" s="112">
        <f t="shared" ref="G138:G152" si="11">F138-E138</f>
        <v>124.60000000000036</v>
      </c>
      <c r="H138" s="99">
        <f>G138+'6'!H138</f>
        <v>900.60000000000036</v>
      </c>
      <c r="I138" s="118"/>
      <c r="J138" s="328">
        <f>H138/DAY(B2)</f>
        <v>128.6571428571429</v>
      </c>
    </row>
    <row r="139" spans="1:15" ht="25.5">
      <c r="A139" s="901" t="s">
        <v>186</v>
      </c>
      <c r="B139" s="901"/>
      <c r="C139" s="901"/>
      <c r="D139" s="151" t="s">
        <v>183</v>
      </c>
      <c r="E139" s="95">
        <f>'6'!F139</f>
        <v>900398</v>
      </c>
      <c r="F139" s="148">
        <v>900553</v>
      </c>
      <c r="G139" s="112">
        <f t="shared" si="11"/>
        <v>155</v>
      </c>
      <c r="H139" s="99">
        <f>G139+'6'!H139</f>
        <v>1098</v>
      </c>
      <c r="I139" s="118"/>
      <c r="J139" s="328">
        <f>H139/DAY(B2)</f>
        <v>156.85714285714286</v>
      </c>
    </row>
    <row r="140" spans="1:15" ht="25.5">
      <c r="A140" s="901" t="s">
        <v>187</v>
      </c>
      <c r="B140" s="901"/>
      <c r="C140" s="901"/>
      <c r="D140" s="151" t="s">
        <v>183</v>
      </c>
      <c r="E140" s="95">
        <f>'6'!F140</f>
        <v>671.69</v>
      </c>
      <c r="F140" s="149">
        <v>686.7</v>
      </c>
      <c r="G140" s="112">
        <f t="shared" si="11"/>
        <v>15.009999999999991</v>
      </c>
      <c r="H140" s="99">
        <f>G140+'6'!H140</f>
        <v>98.700000000000045</v>
      </c>
      <c r="I140" s="118"/>
      <c r="J140" s="328">
        <f>H140/DAY(B2)</f>
        <v>14.100000000000007</v>
      </c>
    </row>
    <row r="141" spans="1:15" ht="25.5">
      <c r="A141" s="905" t="s">
        <v>188</v>
      </c>
      <c r="B141" s="905"/>
      <c r="C141" s="905"/>
      <c r="D141" s="151" t="s">
        <v>183</v>
      </c>
      <c r="E141" s="95">
        <f>'6'!F141</f>
        <v>79185.899999999994</v>
      </c>
      <c r="F141" s="149">
        <v>79374.899999999994</v>
      </c>
      <c r="G141" s="112">
        <f t="shared" si="11"/>
        <v>189</v>
      </c>
      <c r="H141" s="99">
        <f>G141+'6'!H141</f>
        <v>1422.8999999999942</v>
      </c>
      <c r="I141" s="118"/>
      <c r="J141" s="328">
        <f>H141/DAY(B2)</f>
        <v>203.27142857142775</v>
      </c>
    </row>
    <row r="142" spans="1:15" ht="25.5">
      <c r="A142" s="905" t="s">
        <v>189</v>
      </c>
      <c r="B142" s="905"/>
      <c r="C142" s="905"/>
      <c r="D142" s="151" t="s">
        <v>183</v>
      </c>
      <c r="E142" s="95">
        <f>'6'!F142</f>
        <v>31507.5</v>
      </c>
      <c r="F142" s="148">
        <v>31649.9</v>
      </c>
      <c r="G142" s="112">
        <f t="shared" si="11"/>
        <v>142.40000000000146</v>
      </c>
      <c r="H142" s="99">
        <f>G142+'6'!H142</f>
        <v>1123.9000000000015</v>
      </c>
      <c r="I142" s="140"/>
      <c r="J142" s="328">
        <f>H142/DAY(B2)</f>
        <v>160.55714285714308</v>
      </c>
    </row>
    <row r="143" spans="1:15" ht="25.5">
      <c r="A143" s="901" t="s">
        <v>91</v>
      </c>
      <c r="B143" s="901"/>
      <c r="C143" s="901"/>
      <c r="D143" s="151" t="s">
        <v>183</v>
      </c>
      <c r="E143" s="95">
        <f>'6'!F143</f>
        <v>7481.28</v>
      </c>
      <c r="F143" s="149">
        <v>7509.48</v>
      </c>
      <c r="G143" s="112">
        <f t="shared" si="11"/>
        <v>28.199999999999818</v>
      </c>
      <c r="H143" s="99">
        <f>G143+'6'!H143</f>
        <v>203.47999999999956</v>
      </c>
      <c r="I143" s="140"/>
      <c r="J143" s="328">
        <f>H143/DAY(B2)</f>
        <v>29.068571428571367</v>
      </c>
    </row>
    <row r="144" spans="1:15" ht="25.5">
      <c r="A144" s="905" t="s">
        <v>90</v>
      </c>
      <c r="B144" s="905"/>
      <c r="C144" s="905"/>
      <c r="D144" s="151" t="s">
        <v>183</v>
      </c>
      <c r="E144" s="95">
        <f>'6'!F144</f>
        <v>906528</v>
      </c>
      <c r="F144" s="149">
        <v>906763</v>
      </c>
      <c r="G144" s="112">
        <f t="shared" si="11"/>
        <v>235</v>
      </c>
      <c r="H144" s="99">
        <f>G144+'6'!H144</f>
        <v>1710</v>
      </c>
      <c r="I144" s="140"/>
      <c r="J144" s="328">
        <f>H144/DAY(B2)</f>
        <v>244.28571428571428</v>
      </c>
    </row>
    <row r="145" spans="1:10" ht="25.5">
      <c r="A145" s="901" t="s">
        <v>190</v>
      </c>
      <c r="B145" s="901"/>
      <c r="C145" s="901"/>
      <c r="D145" s="152" t="s">
        <v>183</v>
      </c>
      <c r="E145" s="95">
        <f>'6'!F145</f>
        <v>5664.41</v>
      </c>
      <c r="F145" s="149">
        <v>5664.44</v>
      </c>
      <c r="G145" s="112">
        <f t="shared" si="11"/>
        <v>2.9999999999745341E-2</v>
      </c>
      <c r="H145" s="99">
        <f>G145+'6'!H145</f>
        <v>0.43999999999959982</v>
      </c>
      <c r="I145" s="140"/>
      <c r="J145" s="328">
        <f>H145/DAY(B2)</f>
        <v>6.2857142857085685E-2</v>
      </c>
    </row>
    <row r="146" spans="1:10" ht="25.5">
      <c r="A146" s="902" t="s">
        <v>191</v>
      </c>
      <c r="B146" s="903"/>
      <c r="C146" s="904"/>
      <c r="D146" s="152" t="s">
        <v>183</v>
      </c>
      <c r="E146" s="95">
        <f>'6'!F146</f>
        <v>778200</v>
      </c>
      <c r="F146" s="148">
        <v>778220</v>
      </c>
      <c r="G146" s="112">
        <f t="shared" si="11"/>
        <v>20</v>
      </c>
      <c r="H146" s="99">
        <f>G146+'6'!H146</f>
        <v>352</v>
      </c>
      <c r="I146" s="140"/>
      <c r="J146" s="328">
        <f>H146/DAY(B2)</f>
        <v>50.285714285714285</v>
      </c>
    </row>
    <row r="147" spans="1:10" ht="25.5">
      <c r="A147" s="905" t="s">
        <v>192</v>
      </c>
      <c r="B147" s="905"/>
      <c r="C147" s="905"/>
      <c r="D147" s="152" t="s">
        <v>183</v>
      </c>
      <c r="E147" s="95">
        <f>'6'!F147</f>
        <v>678168.48</v>
      </c>
      <c r="F147" s="148">
        <v>678508.88</v>
      </c>
      <c r="G147" s="112">
        <f t="shared" si="11"/>
        <v>340.40000000002328</v>
      </c>
      <c r="H147" s="99">
        <f>G147+'6'!H147</f>
        <v>2660.8800000000047</v>
      </c>
      <c r="I147" s="140"/>
      <c r="J147" s="328">
        <f>H147/DAY(B2)</f>
        <v>380.12571428571493</v>
      </c>
    </row>
    <row r="148" spans="1:10" ht="25.5">
      <c r="A148" s="897" t="s">
        <v>193</v>
      </c>
      <c r="B148" s="898"/>
      <c r="C148" s="899"/>
      <c r="D148" s="123" t="s">
        <v>130</v>
      </c>
      <c r="E148" s="95">
        <f>'6'!F148</f>
        <v>731457.28</v>
      </c>
      <c r="F148" s="150">
        <v>731750.32</v>
      </c>
      <c r="G148" s="112">
        <f t="shared" si="11"/>
        <v>293.03999999992084</v>
      </c>
      <c r="H148" s="99">
        <f>G148+'6'!H148</f>
        <v>2005.3199999999488</v>
      </c>
      <c r="I148" s="124"/>
      <c r="J148" s="328">
        <f>H148/DAY(B2)</f>
        <v>286.47428571427838</v>
      </c>
    </row>
    <row r="149" spans="1:10" ht="25.5">
      <c r="A149" s="897" t="s">
        <v>336</v>
      </c>
      <c r="B149" s="898"/>
      <c r="C149" s="899"/>
      <c r="D149" s="227" t="s">
        <v>130</v>
      </c>
      <c r="E149" s="95">
        <f>'6'!F149</f>
        <v>104264.87</v>
      </c>
      <c r="F149" s="146">
        <v>104811</v>
      </c>
      <c r="G149" s="112">
        <f t="shared" si="11"/>
        <v>546.13000000000466</v>
      </c>
      <c r="H149" s="99">
        <f>G149+'6'!H149</f>
        <v>3916</v>
      </c>
      <c r="I149" s="119"/>
      <c r="J149" s="328">
        <f>H149/DAY(B2)</f>
        <v>559.42857142857144</v>
      </c>
    </row>
    <row r="150" spans="1:10" ht="25.5">
      <c r="A150" s="897" t="s">
        <v>337</v>
      </c>
      <c r="B150" s="898"/>
      <c r="C150" s="899"/>
      <c r="D150" s="117" t="s">
        <v>130</v>
      </c>
      <c r="E150" s="95">
        <f>'6'!F150</f>
        <v>38536.699999999997</v>
      </c>
      <c r="F150" s="233">
        <v>38739.1</v>
      </c>
      <c r="G150" s="112">
        <f t="shared" si="11"/>
        <v>202.40000000000146</v>
      </c>
      <c r="H150" s="99">
        <f>G150+'6'!H150</f>
        <v>1523.0999999999985</v>
      </c>
      <c r="I150" s="119"/>
      <c r="J150" s="328">
        <f>H150/DAY(B2)</f>
        <v>217.58571428571409</v>
      </c>
    </row>
    <row r="151" spans="1:10" ht="25.5">
      <c r="A151" s="897" t="s">
        <v>338</v>
      </c>
      <c r="B151" s="898"/>
      <c r="C151" s="899"/>
      <c r="D151" s="117" t="s">
        <v>130</v>
      </c>
      <c r="E151" s="95">
        <f>'6'!F151</f>
        <v>119878</v>
      </c>
      <c r="F151" s="233">
        <v>120171</v>
      </c>
      <c r="G151" s="112">
        <f t="shared" si="11"/>
        <v>293</v>
      </c>
      <c r="H151" s="99">
        <f>G151+'6'!H151</f>
        <v>2034</v>
      </c>
      <c r="I151" s="119"/>
      <c r="J151" s="328">
        <f>H151/DAY(B2)</f>
        <v>290.57142857142856</v>
      </c>
    </row>
    <row r="152" spans="1:10" ht="25.5">
      <c r="A152" s="897" t="s">
        <v>339</v>
      </c>
      <c r="B152" s="898"/>
      <c r="C152" s="899"/>
      <c r="D152" s="117" t="s">
        <v>130</v>
      </c>
      <c r="E152" s="95">
        <f>'6'!F152</f>
        <v>16218.4</v>
      </c>
      <c r="F152" s="233">
        <v>16342.2</v>
      </c>
      <c r="G152" s="112">
        <f t="shared" si="11"/>
        <v>123.80000000000109</v>
      </c>
      <c r="H152" s="99">
        <f>G152+'6'!H152</f>
        <v>5186.2000000000007</v>
      </c>
      <c r="I152" s="119"/>
      <c r="J152" s="328">
        <f>H152/DAY(B2)</f>
        <v>740.88571428571436</v>
      </c>
    </row>
    <row r="153" spans="1:10" ht="25.5">
      <c r="A153" s="934" t="s">
        <v>196</v>
      </c>
      <c r="B153" s="935"/>
      <c r="C153" s="365"/>
      <c r="D153" s="358"/>
      <c r="E153" s="360"/>
      <c r="F153" s="361"/>
      <c r="G153" s="362">
        <f>SUM(G138:G152)</f>
        <v>2708.0099999999529</v>
      </c>
      <c r="H153" s="363"/>
      <c r="I153" s="119" t="s">
        <v>207</v>
      </c>
      <c r="J153" s="366"/>
    </row>
    <row r="154" spans="1:10" ht="27.75">
      <c r="A154" s="938" t="s">
        <v>344</v>
      </c>
      <c r="B154" s="938"/>
      <c r="C154" s="938"/>
      <c r="D154" s="938"/>
      <c r="E154" s="938"/>
      <c r="F154" s="938"/>
      <c r="G154" s="938"/>
      <c r="H154" s="938"/>
      <c r="I154" s="938"/>
      <c r="J154" s="938"/>
    </row>
    <row r="155" spans="1:10" ht="27.75">
      <c r="A155" s="905" t="s">
        <v>345</v>
      </c>
      <c r="B155" s="905"/>
      <c r="C155" s="905"/>
      <c r="D155" s="117" t="s">
        <v>130</v>
      </c>
      <c r="E155" s="95">
        <f>'6'!F155</f>
        <v>115562.04</v>
      </c>
      <c r="F155" s="374">
        <v>116199.27</v>
      </c>
      <c r="G155" s="112">
        <f t="shared" ref="G155:G158" si="12">F155-E155</f>
        <v>637.23000000001048</v>
      </c>
      <c r="H155" s="99">
        <f>G155+'6'!H155</f>
        <v>4224.2700000000041</v>
      </c>
      <c r="I155" s="364"/>
      <c r="J155" s="328">
        <f>H155/DAY(B2)</f>
        <v>603.46714285714347</v>
      </c>
    </row>
    <row r="156" spans="1:10" ht="25.5">
      <c r="A156" s="905" t="s">
        <v>346</v>
      </c>
      <c r="B156" s="905"/>
      <c r="C156" s="905"/>
      <c r="D156" s="117" t="s">
        <v>130</v>
      </c>
      <c r="E156" s="95">
        <f>'6'!F156</f>
        <v>10110.19</v>
      </c>
      <c r="F156" s="155">
        <v>10191.39</v>
      </c>
      <c r="G156" s="112">
        <f t="shared" si="12"/>
        <v>81.199999999998909</v>
      </c>
      <c r="H156" s="99">
        <f>G156+'6'!H156</f>
        <v>506.38999999999942</v>
      </c>
      <c r="I156" s="165"/>
      <c r="J156" s="328">
        <f>H156/DAY(B2)</f>
        <v>72.341428571428494</v>
      </c>
    </row>
    <row r="157" spans="1:10" ht="25.5">
      <c r="A157" s="897" t="s">
        <v>360</v>
      </c>
      <c r="B157" s="898"/>
      <c r="C157" s="899"/>
      <c r="D157" s="117" t="s">
        <v>130</v>
      </c>
      <c r="E157" s="95">
        <f>'6'!F157</f>
        <v>19275.23</v>
      </c>
      <c r="F157" s="155">
        <v>19428.16</v>
      </c>
      <c r="G157" s="112">
        <f t="shared" si="12"/>
        <v>152.93000000000029</v>
      </c>
      <c r="H157" s="99">
        <f>G157+'6'!H157</f>
        <v>1228.1599999999999</v>
      </c>
      <c r="I157" s="165"/>
      <c r="J157" s="328">
        <f>H157/DAY(B2)</f>
        <v>175.45142857142855</v>
      </c>
    </row>
    <row r="158" spans="1:10" ht="25.5">
      <c r="A158" s="897" t="s">
        <v>361</v>
      </c>
      <c r="B158" s="898"/>
      <c r="C158" s="899"/>
      <c r="D158" s="117" t="s">
        <v>130</v>
      </c>
      <c r="E158" s="95">
        <f>'6'!F158</f>
        <v>173.9</v>
      </c>
      <c r="F158" s="155">
        <v>173.9</v>
      </c>
      <c r="G158" s="112">
        <f t="shared" si="12"/>
        <v>0</v>
      </c>
      <c r="H158" s="99">
        <f>G158+'6'!H158</f>
        <v>83.48</v>
      </c>
      <c r="I158" s="165"/>
      <c r="J158" s="328">
        <f>H158/DAY(B2)</f>
        <v>11.925714285714287</v>
      </c>
    </row>
    <row r="159" spans="1:10" ht="25.5">
      <c r="A159" s="956"/>
      <c r="B159" s="957"/>
      <c r="C159" s="958"/>
      <c r="D159" s="117"/>
      <c r="E159" s="95"/>
      <c r="F159" s="165"/>
      <c r="G159" s="112"/>
      <c r="H159" s="99"/>
      <c r="I159" s="165"/>
      <c r="J159" s="328"/>
    </row>
    <row r="160" spans="1:10" ht="27.75">
      <c r="A160" s="938" t="s">
        <v>326</v>
      </c>
      <c r="B160" s="938"/>
      <c r="C160" s="938"/>
      <c r="D160" s="938"/>
      <c r="E160" s="938"/>
      <c r="F160" s="938"/>
      <c r="G160" s="938"/>
      <c r="H160" s="938"/>
      <c r="I160" s="938"/>
      <c r="J160" s="938"/>
    </row>
    <row r="161" spans="1:10" ht="26.25">
      <c r="A161" s="242" t="s">
        <v>92</v>
      </c>
      <c r="B161" s="243"/>
      <c r="C161" s="243"/>
      <c r="D161" s="244" t="s">
        <v>180</v>
      </c>
      <c r="E161" s="95">
        <f>'6'!F161</f>
        <v>475703.64</v>
      </c>
      <c r="F161" s="235">
        <v>475879.56</v>
      </c>
      <c r="G161" s="238">
        <f t="shared" ref="G161:G165" si="13">F161-E161</f>
        <v>175.9199999999837</v>
      </c>
      <c r="H161" s="99">
        <f>G161+'6'!H161</f>
        <v>458.55999999999767</v>
      </c>
      <c r="I161" s="236"/>
      <c r="J161" s="239">
        <f>H161/DAY(B2)</f>
        <v>65.508571428571102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'6'!F162</f>
        <v>92940.7</v>
      </c>
      <c r="F162" s="235">
        <v>92972</v>
      </c>
      <c r="G162" s="238">
        <f t="shared" si="13"/>
        <v>31.30000000000291</v>
      </c>
      <c r="H162" s="99">
        <f>G162+'6'!H162</f>
        <v>245</v>
      </c>
      <c r="I162" s="236"/>
      <c r="J162" s="239">
        <f>H162/DAY(B2)</f>
        <v>35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'6'!F163</f>
        <v>98047.1</v>
      </c>
      <c r="F163" s="235">
        <v>98199</v>
      </c>
      <c r="G163" s="238">
        <f t="shared" si="13"/>
        <v>151.89999999999418</v>
      </c>
      <c r="H163" s="99">
        <f>G163+'6'!H163</f>
        <v>1064</v>
      </c>
      <c r="I163" s="236"/>
      <c r="J163" s="239">
        <f>H163/DAY(B2)</f>
        <v>152</v>
      </c>
    </row>
    <row r="164" spans="1:10" ht="30" customHeight="1">
      <c r="A164" s="242" t="s">
        <v>197</v>
      </c>
      <c r="B164" s="243"/>
      <c r="C164" s="243"/>
      <c r="D164" s="244" t="s">
        <v>180</v>
      </c>
      <c r="E164" s="95">
        <f>'6'!F164</f>
        <v>5608.3</v>
      </c>
      <c r="F164" s="235">
        <v>5619.6</v>
      </c>
      <c r="G164" s="238">
        <f t="shared" si="13"/>
        <v>11.300000000000182</v>
      </c>
      <c r="H164" s="99">
        <f>G164+'6'!H164</f>
        <v>77.600000000000364</v>
      </c>
      <c r="I164" s="236"/>
      <c r="J164" s="239">
        <f>H164/DAY(B2)</f>
        <v>11.085714285714337</v>
      </c>
    </row>
    <row r="165" spans="1:10" ht="28.5" customHeight="1">
      <c r="A165" s="242" t="s">
        <v>309</v>
      </c>
      <c r="B165" s="243"/>
      <c r="C165" s="243"/>
      <c r="D165" s="244" t="s">
        <v>180</v>
      </c>
      <c r="E165" s="95">
        <f>'6'!F165</f>
        <v>31091.200000000001</v>
      </c>
      <c r="F165" s="235">
        <v>31093.99</v>
      </c>
      <c r="G165" s="238">
        <f t="shared" si="13"/>
        <v>2.7900000000008731</v>
      </c>
      <c r="H165" s="99">
        <f>G165+'6'!H165</f>
        <v>79.990000000001601</v>
      </c>
      <c r="I165" s="236"/>
      <c r="J165" s="239">
        <f>H165/DAY(B2)</f>
        <v>11.427142857143085</v>
      </c>
    </row>
    <row r="166" spans="1:10" ht="25.5" customHeight="1">
      <c r="A166" s="937"/>
      <c r="B166" s="937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6.25">
      <c r="A167" s="937"/>
      <c r="B167" s="937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6.25">
      <c r="A168" s="937"/>
      <c r="B168" s="937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7" t="s">
        <v>330</v>
      </c>
      <c r="B171" s="948"/>
      <c r="C171" s="948"/>
      <c r="D171" s="948"/>
      <c r="E171" s="948"/>
      <c r="F171" s="948"/>
      <c r="G171" s="948"/>
      <c r="H171" s="948"/>
      <c r="I171" s="948"/>
      <c r="J171" s="949"/>
    </row>
    <row r="172" spans="1:10" ht="25.5">
      <c r="A172" s="943"/>
      <c r="B172" s="944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5" t="s">
        <v>209</v>
      </c>
      <c r="B173" s="896"/>
      <c r="C173" s="333"/>
      <c r="D173" s="228" t="s">
        <v>142</v>
      </c>
      <c r="E173" s="95">
        <f>'6'!F173</f>
        <v>8269</v>
      </c>
      <c r="F173" s="155">
        <v>8270</v>
      </c>
      <c r="G173" s="155">
        <f>F173-E173</f>
        <v>1</v>
      </c>
      <c r="H173" s="99">
        <f>G173+'6'!H173</f>
        <v>6</v>
      </c>
      <c r="I173" s="155"/>
      <c r="J173" s="178">
        <f>H173/DAY(B2)</f>
        <v>0.8571428571428571</v>
      </c>
    </row>
    <row r="174" spans="1:10" ht="25.5">
      <c r="A174" s="895" t="s">
        <v>75</v>
      </c>
      <c r="B174" s="896"/>
      <c r="C174" s="333"/>
      <c r="D174" s="228" t="s">
        <v>142</v>
      </c>
      <c r="E174" s="95">
        <f>'6'!F174</f>
        <v>40415</v>
      </c>
      <c r="F174" s="157">
        <v>40430</v>
      </c>
      <c r="G174" s="155">
        <f t="shared" ref="G174:G175" si="14">F174-E174</f>
        <v>15</v>
      </c>
      <c r="H174" s="99">
        <f>G174+'6'!H174</f>
        <v>98</v>
      </c>
      <c r="I174" s="155"/>
      <c r="J174" s="178">
        <f>H174/DAY(B2)</f>
        <v>14</v>
      </c>
    </row>
    <row r="175" spans="1:10" ht="25.5">
      <c r="A175" s="895" t="s">
        <v>76</v>
      </c>
      <c r="B175" s="900"/>
      <c r="C175" s="896"/>
      <c r="D175" s="228" t="s">
        <v>142</v>
      </c>
      <c r="E175" s="95">
        <f>'6'!F175</f>
        <v>23355</v>
      </c>
      <c r="F175" s="155">
        <v>23369</v>
      </c>
      <c r="G175" s="155">
        <f t="shared" si="14"/>
        <v>14</v>
      </c>
      <c r="H175" s="99">
        <f>G175+'6'!H175</f>
        <v>111</v>
      </c>
      <c r="I175" s="155"/>
      <c r="J175" s="178">
        <f>H175/DAY(B2)</f>
        <v>15.857142857142858</v>
      </c>
    </row>
    <row r="176" spans="1:10" ht="25.5">
      <c r="A176" s="463" t="s">
        <v>196</v>
      </c>
      <c r="B176" s="464"/>
      <c r="C176" s="333"/>
      <c r="D176" s="228" t="s">
        <v>142</v>
      </c>
      <c r="E176" s="95"/>
      <c r="F176" s="155"/>
      <c r="G176" s="155">
        <f>SUM(G173:G175)</f>
        <v>30</v>
      </c>
      <c r="H176" s="99">
        <f>G176+'6'!H176</f>
        <v>215</v>
      </c>
      <c r="I176" s="155"/>
      <c r="J176" s="178">
        <f>H176/DAY(B2)</f>
        <v>30.714285714285715</v>
      </c>
    </row>
    <row r="177" spans="1:10" ht="25.5">
      <c r="A177" s="895" t="s">
        <v>77</v>
      </c>
      <c r="B177" s="896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5.5">
      <c r="A178" s="895" t="s">
        <v>210</v>
      </c>
      <c r="B178" s="896"/>
      <c r="C178" s="333"/>
      <c r="D178" s="228" t="s">
        <v>142</v>
      </c>
      <c r="E178" s="95">
        <f>'6'!F178</f>
        <v>92440.7</v>
      </c>
      <c r="F178" s="155">
        <v>92556</v>
      </c>
      <c r="G178" s="155">
        <f>F178-E178</f>
        <v>115.30000000000291</v>
      </c>
      <c r="H178" s="99">
        <f>G178+'6'!H178</f>
        <v>734</v>
      </c>
      <c r="I178" s="155"/>
      <c r="J178" s="178">
        <f>H178/DAY(B2)</f>
        <v>104.85714285714286</v>
      </c>
    </row>
    <row r="179" spans="1:10" ht="25.5">
      <c r="A179" s="895" t="s">
        <v>211</v>
      </c>
      <c r="B179" s="896"/>
      <c r="C179" s="333"/>
      <c r="D179" s="228" t="s">
        <v>142</v>
      </c>
      <c r="E179" s="95">
        <f>'6'!F179</f>
        <v>35799</v>
      </c>
      <c r="F179" s="155">
        <v>35892</v>
      </c>
      <c r="G179" s="155">
        <f t="shared" ref="G179:G180" si="15">F179-E179</f>
        <v>93</v>
      </c>
      <c r="H179" s="99">
        <f>G179+'6'!H179</f>
        <v>108</v>
      </c>
      <c r="I179" s="155"/>
      <c r="J179" s="178">
        <f>H179/DAY(B2)</f>
        <v>15.428571428571429</v>
      </c>
    </row>
    <row r="180" spans="1:10" ht="25.5">
      <c r="A180" s="895" t="s">
        <v>212</v>
      </c>
      <c r="B180" s="896"/>
      <c r="C180" s="333"/>
      <c r="D180" s="228" t="s">
        <v>142</v>
      </c>
      <c r="E180" s="95">
        <f>'6'!F180</f>
        <v>6738</v>
      </c>
      <c r="F180" s="155">
        <v>6758</v>
      </c>
      <c r="G180" s="155">
        <f t="shared" si="15"/>
        <v>20</v>
      </c>
      <c r="H180" s="99">
        <f>G180+'6'!H180</f>
        <v>88</v>
      </c>
      <c r="I180" s="155"/>
      <c r="J180" s="178">
        <f>H180/DAY(B2)</f>
        <v>12.571428571428571</v>
      </c>
    </row>
    <row r="181" spans="1:10" ht="25.5">
      <c r="A181" s="941" t="s">
        <v>108</v>
      </c>
      <c r="B181" s="942"/>
      <c r="C181" s="333"/>
      <c r="D181" s="228" t="s">
        <v>142</v>
      </c>
      <c r="E181" s="95"/>
      <c r="F181" s="155"/>
      <c r="G181" s="155">
        <f>SUM(G178:G180)</f>
        <v>228.30000000000291</v>
      </c>
      <c r="H181" s="99">
        <f>G181+'6'!H181</f>
        <v>930</v>
      </c>
      <c r="I181" s="155"/>
      <c r="J181" s="178">
        <f>H181/DAY(B2)</f>
        <v>132.85714285714286</v>
      </c>
    </row>
    <row r="182" spans="1:10" ht="25.5">
      <c r="A182" s="895" t="s">
        <v>213</v>
      </c>
      <c r="B182" s="896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5.5">
      <c r="A183" s="895" t="s">
        <v>214</v>
      </c>
      <c r="B183" s="896"/>
      <c r="C183" s="334"/>
      <c r="D183" s="228" t="s">
        <v>142</v>
      </c>
      <c r="E183" s="95">
        <f>'6'!F183</f>
        <v>17040</v>
      </c>
      <c r="F183" s="157">
        <v>17068</v>
      </c>
      <c r="G183" s="157">
        <f>F183-E183</f>
        <v>28</v>
      </c>
      <c r="H183" s="99">
        <f>G183+'6'!H183</f>
        <v>113</v>
      </c>
      <c r="I183" s="155"/>
      <c r="J183" s="178">
        <f>H183/DAY(B2)</f>
        <v>16.142857142857142</v>
      </c>
    </row>
    <row r="184" spans="1:10" ht="25.5">
      <c r="A184" s="895" t="s">
        <v>215</v>
      </c>
      <c r="B184" s="896"/>
      <c r="C184" s="334"/>
      <c r="D184" s="228" t="s">
        <v>142</v>
      </c>
      <c r="E184" s="95">
        <f>'6'!F184</f>
        <v>11533</v>
      </c>
      <c r="F184" s="157">
        <v>11539</v>
      </c>
      <c r="G184" s="157">
        <f t="shared" ref="G184:G185" si="16">F184-E184</f>
        <v>6</v>
      </c>
      <c r="H184" s="99">
        <f>G184+'6'!H184</f>
        <v>53</v>
      </c>
      <c r="I184" s="155"/>
      <c r="J184" s="178">
        <f>H184/DAY(B2)</f>
        <v>7.5714285714285712</v>
      </c>
    </row>
    <row r="185" spans="1:10" ht="25.5">
      <c r="A185" s="895" t="s">
        <v>216</v>
      </c>
      <c r="B185" s="896"/>
      <c r="C185" s="334"/>
      <c r="D185" s="228" t="s">
        <v>142</v>
      </c>
      <c r="E185" s="95">
        <f>'6'!F185</f>
        <v>0</v>
      </c>
      <c r="F185" s="157"/>
      <c r="G185" s="157">
        <f t="shared" si="16"/>
        <v>0</v>
      </c>
      <c r="H185" s="99">
        <f>G185+'6'!H185</f>
        <v>0</v>
      </c>
      <c r="I185" s="155"/>
      <c r="J185" s="178">
        <f>H185/DAY(B2)</f>
        <v>0</v>
      </c>
    </row>
    <row r="186" spans="1:10" ht="25.5">
      <c r="A186" s="934" t="s">
        <v>196</v>
      </c>
      <c r="B186" s="935"/>
      <c r="C186" s="334"/>
      <c r="D186" s="228" t="s">
        <v>142</v>
      </c>
      <c r="E186" s="95"/>
      <c r="F186" s="157"/>
      <c r="G186" s="157">
        <f>SUM(G183:G185)</f>
        <v>34</v>
      </c>
      <c r="H186" s="99">
        <f>G186+'6'!H186</f>
        <v>166</v>
      </c>
      <c r="I186" s="157"/>
      <c r="J186" s="178">
        <f>H186/DAY(B2)</f>
        <v>23.714285714285715</v>
      </c>
    </row>
    <row r="187" spans="1:10" ht="25.5">
      <c r="A187" s="945" t="s">
        <v>217</v>
      </c>
      <c r="B187" s="946"/>
      <c r="C187" s="333"/>
      <c r="D187" s="228" t="s">
        <v>142</v>
      </c>
      <c r="E187" s="95"/>
      <c r="F187" s="159"/>
      <c r="G187" s="378">
        <f>G62+G19</f>
        <v>220.40000000002328</v>
      </c>
      <c r="H187" s="99">
        <f>G187+'6'!H187</f>
        <v>1592.4000000000233</v>
      </c>
      <c r="I187" s="158"/>
      <c r="J187" s="179">
        <f>H187/DAY(B2)</f>
        <v>227.48571428571762</v>
      </c>
    </row>
    <row r="188" spans="1:10" ht="25.5">
      <c r="A188" s="945" t="s">
        <v>218</v>
      </c>
      <c r="B188" s="946"/>
      <c r="C188" s="333"/>
      <c r="D188" s="230" t="s">
        <v>142</v>
      </c>
      <c r="E188" s="95"/>
      <c r="F188" s="159"/>
      <c r="G188" s="378">
        <f>G65+G66+G67+G69+G70</f>
        <v>235</v>
      </c>
      <c r="H188" s="99">
        <f>G188+'6'!H188</f>
        <v>1574</v>
      </c>
      <c r="I188" s="158"/>
      <c r="J188" s="179">
        <f>H188/DAY(B2)</f>
        <v>224.85714285714286</v>
      </c>
    </row>
    <row r="189" spans="1:10" ht="25.5">
      <c r="A189" s="945" t="s">
        <v>219</v>
      </c>
      <c r="B189" s="946"/>
      <c r="C189" s="333"/>
      <c r="D189" s="230" t="s">
        <v>142</v>
      </c>
      <c r="E189" s="95"/>
      <c r="F189" s="157"/>
      <c r="G189" s="377">
        <f>G181</f>
        <v>228.30000000000291</v>
      </c>
      <c r="H189" s="99">
        <f>G189+'6'!H189</f>
        <v>930</v>
      </c>
      <c r="I189" s="158"/>
      <c r="J189" s="179">
        <f>H189/DAY(B2)</f>
        <v>132.85714285714286</v>
      </c>
    </row>
    <row r="190" spans="1:10" ht="25.5">
      <c r="A190" s="939"/>
      <c r="B190" s="940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topLeftCell="A169" zoomScale="55" zoomScaleSheetLayoutView="55" workbookViewId="0">
      <selection activeCell="E185" sqref="E18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76" t="s">
        <v>115</v>
      </c>
      <c r="B1" s="877"/>
      <c r="C1" s="877"/>
      <c r="D1" s="877"/>
      <c r="E1" s="877"/>
      <c r="F1" s="877"/>
      <c r="G1" s="877"/>
      <c r="H1" s="877"/>
      <c r="I1" s="877"/>
      <c r="J1" s="878"/>
    </row>
    <row r="2" spans="1:16" s="57" customFormat="1" ht="23.25">
      <c r="A2" s="191" t="s">
        <v>349</v>
      </c>
      <c r="B2" s="262">
        <v>44720</v>
      </c>
      <c r="C2" s="348" t="s">
        <v>67</v>
      </c>
      <c r="D2" s="218">
        <v>0.65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32</v>
      </c>
      <c r="E3" s="885" t="s">
        <v>119</v>
      </c>
      <c r="F3" s="886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879" t="s">
        <v>128</v>
      </c>
      <c r="B6" s="880"/>
      <c r="C6" s="881"/>
      <c r="D6" s="110"/>
      <c r="E6" s="110"/>
      <c r="F6" s="110"/>
      <c r="G6" s="110"/>
      <c r="H6" s="111"/>
      <c r="I6" s="111"/>
      <c r="J6" s="174"/>
      <c r="K6" s="78"/>
      <c r="L6" s="66"/>
      <c r="O6" s="65">
        <v>903668</v>
      </c>
    </row>
    <row r="7" spans="1:16" ht="27" thickBot="1">
      <c r="A7" s="194" t="s">
        <v>129</v>
      </c>
      <c r="B7" s="195"/>
      <c r="C7" s="195"/>
      <c r="D7" s="151" t="s">
        <v>130</v>
      </c>
      <c r="E7" s="95">
        <f>'7'!F7</f>
        <v>879576</v>
      </c>
      <c r="F7" s="95">
        <v>903668</v>
      </c>
      <c r="G7" s="112">
        <f>F7-E7</f>
        <v>24092</v>
      </c>
      <c r="H7" s="99">
        <f>G7+'7'!H7</f>
        <v>216923</v>
      </c>
      <c r="I7" s="113">
        <f>'1'!I7</f>
        <v>12000</v>
      </c>
      <c r="J7" s="175">
        <f>H7/DAY(B2)</f>
        <v>27115.375</v>
      </c>
      <c r="K7" s="172">
        <v>1375467</v>
      </c>
      <c r="L7" s="66"/>
      <c r="N7" s="87" t="s">
        <v>374</v>
      </c>
      <c r="O7" s="71">
        <v>1028046.66</v>
      </c>
    </row>
    <row r="8" spans="1:16" ht="27" thickBot="1">
      <c r="A8" s="196" t="s">
        <v>131</v>
      </c>
      <c r="B8" s="197"/>
      <c r="C8" s="198"/>
      <c r="D8" s="224" t="s">
        <v>24</v>
      </c>
      <c r="E8" s="95">
        <f>'7'!F8</f>
        <v>1002795</v>
      </c>
      <c r="F8" s="114">
        <v>1028046.66</v>
      </c>
      <c r="G8" s="115">
        <f>F8-E8</f>
        <v>25251.660000000033</v>
      </c>
      <c r="H8" s="99">
        <f>G8+'7'!H8</f>
        <v>226066.66000000003</v>
      </c>
      <c r="I8" s="116"/>
      <c r="J8" s="175">
        <f>H8/DAY(B2)</f>
        <v>28258.332500000004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'7'!F9</f>
        <v>2537400</v>
      </c>
      <c r="F9" s="117">
        <v>2541330</v>
      </c>
      <c r="G9" s="112">
        <f>F9-E9</f>
        <v>3930</v>
      </c>
      <c r="H9" s="99">
        <f>G9+'7'!H9</f>
        <v>103640</v>
      </c>
      <c r="I9" s="124">
        <f>I7-J7</f>
        <v>-15115.375</v>
      </c>
      <c r="J9" s="175">
        <f>H9/DAY(B2)</f>
        <v>12955</v>
      </c>
      <c r="K9" s="79">
        <f>K8-100</f>
        <v>1715817</v>
      </c>
      <c r="L9" s="66"/>
      <c r="N9" s="87"/>
      <c r="O9" s="71">
        <f>G8-1160</f>
        <v>24091.660000000033</v>
      </c>
      <c r="P9" s="71">
        <f>G7-O9</f>
        <v>0.33999999996740371</v>
      </c>
    </row>
    <row r="10" spans="1:16" ht="26.25">
      <c r="A10" s="194" t="s">
        <v>133</v>
      </c>
      <c r="B10" s="195"/>
      <c r="C10" s="195"/>
      <c r="D10" s="151" t="s">
        <v>130</v>
      </c>
      <c r="E10" s="95">
        <f>'7'!F10</f>
        <v>990222</v>
      </c>
      <c r="F10" s="117">
        <v>994318</v>
      </c>
      <c r="G10" s="112">
        <f t="shared" ref="G10:G12" si="0">F10-E10</f>
        <v>4096</v>
      </c>
      <c r="H10" s="99">
        <f>G10+'7'!H10</f>
        <v>92914</v>
      </c>
      <c r="I10" s="282"/>
      <c r="J10" s="175">
        <f>H10/DAY(B2)</f>
        <v>11614.25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'7'!F11</f>
        <v>37560</v>
      </c>
      <c r="F11" s="95">
        <v>37560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'7'!F12</f>
        <v>40380</v>
      </c>
      <c r="F12" s="117">
        <v>40380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8026</v>
      </c>
      <c r="H13" s="99">
        <f>G13+'7'!H13</f>
        <v>196415</v>
      </c>
      <c r="I13" s="120">
        <f>G7-G13</f>
        <v>16066</v>
      </c>
      <c r="J13" s="175">
        <f>H13/DAY(B2)</f>
        <v>24551.875</v>
      </c>
      <c r="K13" s="79"/>
      <c r="L13" s="66"/>
      <c r="N13" s="87"/>
      <c r="O13" s="71"/>
    </row>
    <row r="14" spans="1:16" ht="26.25">
      <c r="A14" s="882" t="s">
        <v>137</v>
      </c>
      <c r="B14" s="883"/>
      <c r="C14" s="88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'7'!F15</f>
        <v>2044764.2</v>
      </c>
      <c r="F15" s="469">
        <v>2045817</v>
      </c>
      <c r="G15" s="112">
        <f>(F15-E15)</f>
        <v>1052.8000000000466</v>
      </c>
      <c r="H15" s="99">
        <f>G15+'7'!H15</f>
        <v>8700</v>
      </c>
      <c r="I15" s="113">
        <f>'1'!I15</f>
        <v>800</v>
      </c>
      <c r="J15" s="175">
        <f>H15/DAY(B2)</f>
        <v>1087.5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-287.5</v>
      </c>
      <c r="J16" s="176"/>
      <c r="K16" s="79"/>
      <c r="L16" s="66"/>
      <c r="N16" s="87"/>
      <c r="O16" s="71"/>
    </row>
    <row r="17" spans="1:15" ht="26.25">
      <c r="A17" s="882" t="s">
        <v>140</v>
      </c>
      <c r="B17" s="883"/>
      <c r="C17" s="88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3" t="s">
        <v>141</v>
      </c>
      <c r="B18" s="874"/>
      <c r="C18" s="875"/>
      <c r="D18" s="151" t="s">
        <v>142</v>
      </c>
      <c r="E18" s="95">
        <f>'7'!F18</f>
        <v>17</v>
      </c>
      <c r="F18" s="122">
        <v>14</v>
      </c>
      <c r="G18" s="119">
        <f>F18*10</f>
        <v>140</v>
      </c>
      <c r="H18" s="99">
        <f>G18+'7'!H18</f>
        <v>1900</v>
      </c>
      <c r="I18" s="113">
        <f>'1'!I18</f>
        <v>65</v>
      </c>
      <c r="J18" s="175">
        <f>H18/DAY(B2)</f>
        <v>237.5</v>
      </c>
      <c r="K18" s="79"/>
      <c r="L18" s="66"/>
      <c r="N18" s="87"/>
      <c r="O18" s="71"/>
    </row>
    <row r="19" spans="1:15" ht="25.5">
      <c r="A19" s="873" t="s">
        <v>69</v>
      </c>
      <c r="B19" s="874"/>
      <c r="C19" s="875"/>
      <c r="D19" s="151" t="s">
        <v>142</v>
      </c>
      <c r="E19" s="95">
        <f>'7'!F19</f>
        <v>160477</v>
      </c>
      <c r="F19" s="122">
        <v>160532</v>
      </c>
      <c r="G19" s="112">
        <f t="shared" ref="G19" si="1">F19-E19</f>
        <v>55</v>
      </c>
      <c r="H19" s="99">
        <f>G19+'7'!H19</f>
        <v>425</v>
      </c>
      <c r="I19" s="335"/>
      <c r="J19" s="175">
        <f>H19/DAY(B2)</f>
        <v>53.125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195</v>
      </c>
      <c r="H20" s="99">
        <f>G20+'7'!H20</f>
        <v>2325</v>
      </c>
      <c r="I20" s="336">
        <f>I18-J20</f>
        <v>-225.625</v>
      </c>
      <c r="J20" s="175">
        <f>H20/DAY(B2)</f>
        <v>290.625</v>
      </c>
      <c r="K20" s="79"/>
      <c r="L20" s="66"/>
      <c r="N20" s="87"/>
      <c r="O20" s="71"/>
    </row>
    <row r="21" spans="1:15" ht="26.25">
      <c r="A21" s="882" t="s">
        <v>144</v>
      </c>
      <c r="B21" s="883"/>
      <c r="C21" s="88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2970</v>
      </c>
      <c r="F24" s="128">
        <v>2970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7" t="s">
        <v>149</v>
      </c>
      <c r="B25" s="888"/>
      <c r="C25" s="88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25251.660000000033</v>
      </c>
      <c r="F27" s="136">
        <v>9</v>
      </c>
      <c r="G27" s="137">
        <f>E27*F27</f>
        <v>227264.94000000029</v>
      </c>
      <c r="H27" s="99">
        <f>G27+'7'!H27</f>
        <v>2034599.9400000004</v>
      </c>
      <c r="I27" s="138"/>
      <c r="J27" s="175">
        <f>H27/DAY(B2)</f>
        <v>254324.99250000005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1052.8000000000466</v>
      </c>
      <c r="F28" s="136">
        <v>70</v>
      </c>
      <c r="G28" s="137">
        <f>E28*F28</f>
        <v>73696.00000000326</v>
      </c>
      <c r="H28" s="99">
        <f>G28+'7'!H28</f>
        <v>609000</v>
      </c>
      <c r="I28" s="140"/>
      <c r="J28" s="175">
        <f>H28/DAY(B2)</f>
        <v>76125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G30+'7'!H30</f>
        <v>64175</v>
      </c>
      <c r="I30" s="140"/>
      <c r="J30" s="175">
        <f>H30/DAY(B2)</f>
        <v>8021.875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G31+'7'!H31</f>
        <v>152000</v>
      </c>
      <c r="I31" s="140"/>
      <c r="J31" s="175">
        <f>H31/DAY(B2)</f>
        <v>19000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320465.94000000355</v>
      </c>
      <c r="H32" s="99">
        <f>G32+'7'!H32</f>
        <v>2859774.9400000004</v>
      </c>
      <c r="I32" s="144"/>
      <c r="J32" s="175">
        <f>H32/DAY(B2)</f>
        <v>357471.86750000005</v>
      </c>
      <c r="K32" s="63"/>
      <c r="L32" s="89"/>
      <c r="N32" s="87"/>
      <c r="O32" s="71"/>
    </row>
    <row r="33" spans="1:15" ht="25.5" customHeight="1">
      <c r="A33" s="890" t="s">
        <v>331</v>
      </c>
      <c r="B33" s="891"/>
      <c r="C33" s="89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'7'!F35</f>
        <v>238714</v>
      </c>
      <c r="F35" s="145">
        <v>238714</v>
      </c>
      <c r="G35" s="112">
        <f t="shared" ref="G35:G46" si="3">F35-E35</f>
        <v>0</v>
      </c>
      <c r="H35" s="99">
        <f>G35+'7'!H35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'7'!F36</f>
        <v>166581</v>
      </c>
      <c r="F36" s="145">
        <v>166882</v>
      </c>
      <c r="G36" s="112">
        <f t="shared" si="3"/>
        <v>301</v>
      </c>
      <c r="H36" s="99">
        <f>G36+'7'!H36</f>
        <v>6434</v>
      </c>
      <c r="I36" s="95"/>
      <c r="J36" s="175">
        <f>H36/DAY(B2)</f>
        <v>804.25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'7'!F37</f>
        <v>248047</v>
      </c>
      <c r="F37" s="145">
        <v>248619</v>
      </c>
      <c r="G37" s="112">
        <f t="shared" si="3"/>
        <v>572</v>
      </c>
      <c r="H37" s="99">
        <f>G37+'7'!H37</f>
        <v>12840</v>
      </c>
      <c r="I37" s="95"/>
      <c r="J37" s="175">
        <f>H37/DAY(B2)</f>
        <v>1605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'7'!F38</f>
        <v>333231</v>
      </c>
      <c r="F38" s="108">
        <v>333966</v>
      </c>
      <c r="G38" s="112">
        <f t="shared" si="3"/>
        <v>735</v>
      </c>
      <c r="H38" s="99">
        <f>G38+'7'!H38</f>
        <v>17674</v>
      </c>
      <c r="I38" s="95"/>
      <c r="J38" s="175">
        <f>H38/DAY(B2)</f>
        <v>2209.25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'7'!F39</f>
        <v>453236</v>
      </c>
      <c r="F39" s="145">
        <v>454175</v>
      </c>
      <c r="G39" s="112">
        <f t="shared" si="3"/>
        <v>939</v>
      </c>
      <c r="H39" s="99">
        <f>G39+'7'!H39</f>
        <v>21890</v>
      </c>
      <c r="I39" s="95"/>
      <c r="J39" s="175">
        <f>H39/DAY(B2)</f>
        <v>2736.25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'7'!F40</f>
        <v>75133</v>
      </c>
      <c r="F40" s="145">
        <v>75276.5</v>
      </c>
      <c r="G40" s="112">
        <f t="shared" si="3"/>
        <v>143.5</v>
      </c>
      <c r="H40" s="99">
        <f>G40+'7'!H40</f>
        <v>1723.5</v>
      </c>
      <c r="I40" s="95"/>
      <c r="J40" s="175">
        <f>H40/DAY(B2)</f>
        <v>215.4375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'7'!F41</f>
        <v>68835</v>
      </c>
      <c r="F41" s="145">
        <v>68835</v>
      </c>
      <c r="G41" s="112">
        <f t="shared" si="3"/>
        <v>0</v>
      </c>
      <c r="H41" s="99">
        <f>G41+'7'!H41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'7'!F42</f>
        <v>594219</v>
      </c>
      <c r="F42" s="145">
        <v>594996</v>
      </c>
      <c r="G42" s="112">
        <f t="shared" si="3"/>
        <v>777</v>
      </c>
      <c r="H42" s="99">
        <f>G42+'7'!H42</f>
        <v>35124</v>
      </c>
      <c r="I42" s="95"/>
      <c r="J42" s="175">
        <f>H42/DAY(B2)</f>
        <v>4390.5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'7'!F43</f>
        <v>407028</v>
      </c>
      <c r="F43" s="145">
        <v>407028</v>
      </c>
      <c r="G43" s="112">
        <f t="shared" si="3"/>
        <v>0</v>
      </c>
      <c r="H43" s="99">
        <f>G43+'7'!H43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3467.5</v>
      </c>
      <c r="H47" s="99">
        <f>G47+'7'!H47</f>
        <v>95685.5</v>
      </c>
      <c r="I47" s="95"/>
      <c r="J47" s="175">
        <f>H47/DAY(B2)</f>
        <v>11960.6875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'7'!F49</f>
        <v>283713</v>
      </c>
      <c r="F49" s="145">
        <v>284972</v>
      </c>
      <c r="G49" s="112">
        <f t="shared" ref="G49:G58" si="4">F49-E49</f>
        <v>1259</v>
      </c>
      <c r="H49" s="99">
        <f>G49+'7'!H49</f>
        <v>27825</v>
      </c>
      <c r="I49" s="95"/>
      <c r="J49" s="175">
        <f>H49/DAY(B2)</f>
        <v>3478.125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'7'!F50</f>
        <v>217641</v>
      </c>
      <c r="F50" s="145">
        <v>218060</v>
      </c>
      <c r="G50" s="112">
        <f t="shared" si="4"/>
        <v>419</v>
      </c>
      <c r="H50" s="99">
        <f>G50+'7'!H50</f>
        <v>8496</v>
      </c>
      <c r="I50" s="95"/>
      <c r="J50" s="175">
        <f>H50/DAY(B2)</f>
        <v>1062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'7'!F51</f>
        <v>75.680000000000007</v>
      </c>
      <c r="F51" s="145">
        <v>75.680000000000007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'7'!F52</f>
        <v>9.76</v>
      </c>
      <c r="F52" s="145">
        <v>9.76</v>
      </c>
      <c r="G52" s="112">
        <f t="shared" si="4"/>
        <v>0</v>
      </c>
      <c r="H52" s="99">
        <f>G52+'7'!H52</f>
        <v>-0.24000000000000021</v>
      </c>
      <c r="I52" s="95"/>
      <c r="J52" s="175">
        <f>H52/DAY(B2)</f>
        <v>-3.0000000000000027E-2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'7'!F54</f>
        <v>67784.600000000006</v>
      </c>
      <c r="F54" s="145">
        <v>67939.8</v>
      </c>
      <c r="G54" s="112">
        <f t="shared" si="4"/>
        <v>155.19999999999709</v>
      </c>
      <c r="H54" s="99">
        <f>G54+'7'!H54</f>
        <v>3383.8000000000029</v>
      </c>
      <c r="I54" s="95"/>
      <c r="J54" s="175">
        <f>H54/DAY(B2)</f>
        <v>422.97500000000036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'7'!F55</f>
        <v>247724</v>
      </c>
      <c r="F55" s="145">
        <v>248955</v>
      </c>
      <c r="G55" s="112">
        <f t="shared" si="4"/>
        <v>1231</v>
      </c>
      <c r="H55" s="99">
        <f>G55+'7'!H55</f>
        <v>23482</v>
      </c>
      <c r="I55" s="95"/>
      <c r="J55" s="175">
        <f>H55/DAY(B2)</f>
        <v>2935.25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'7'!F56</f>
        <v>107245.86</v>
      </c>
      <c r="F56" s="145">
        <v>107245.86</v>
      </c>
      <c r="G56" s="112">
        <f t="shared" si="4"/>
        <v>0</v>
      </c>
      <c r="H56" s="99">
        <f>G56+'7'!H56</f>
        <v>-0.13999999999941792</v>
      </c>
      <c r="I56" s="95"/>
      <c r="J56" s="175">
        <f>H56/DAY(B2)</f>
        <v>-1.749999999992724E-2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'7'!F57</f>
        <v>58856.5</v>
      </c>
      <c r="F57" s="145">
        <v>62193.23</v>
      </c>
      <c r="G57" s="112">
        <f t="shared" si="4"/>
        <v>3336.7300000000032</v>
      </c>
      <c r="H57" s="99">
        <f>G57+'7'!H57</f>
        <v>24590.230000000003</v>
      </c>
      <c r="I57" s="95"/>
      <c r="J57" s="175">
        <f>H57/DAY(B2)</f>
        <v>3073.7787500000004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'7'!F58</f>
        <v>34378.5</v>
      </c>
      <c r="F58" s="145">
        <v>34402.199999999997</v>
      </c>
      <c r="G58" s="112">
        <f t="shared" si="4"/>
        <v>23.69999999999709</v>
      </c>
      <c r="H58" s="99">
        <f>G58+'7'!H58</f>
        <v>1743.1999999999971</v>
      </c>
      <c r="I58" s="95"/>
      <c r="J58" s="175">
        <f>H58/DAY(B2)</f>
        <v>217.89999999999964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6424.6299999999974</v>
      </c>
      <c r="H59" s="99">
        <f>G59+'7'!H59</f>
        <v>89519.85</v>
      </c>
      <c r="I59" s="95">
        <f>G7-G60</f>
        <v>14199.870000000003</v>
      </c>
      <c r="J59" s="175">
        <f>H59/DAY(B2)</f>
        <v>11189.981250000001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9892.1299999999974</v>
      </c>
      <c r="H60" s="99">
        <f>G60+'7'!H60</f>
        <v>185205.35000000003</v>
      </c>
      <c r="I60" s="95">
        <f>G13-G60</f>
        <v>-1866.1299999999974</v>
      </c>
      <c r="J60" s="175">
        <f>H60/DAY(B2)</f>
        <v>23150.668750000004</v>
      </c>
      <c r="K60" s="79"/>
      <c r="L60" s="66"/>
      <c r="N60" s="87"/>
      <c r="O60" s="71"/>
    </row>
    <row r="61" spans="1:15" s="68" customFormat="1" ht="26.25">
      <c r="A61" s="892" t="s">
        <v>332</v>
      </c>
      <c r="B61" s="893"/>
      <c r="C61" s="89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3" t="s">
        <v>198</v>
      </c>
      <c r="B62" s="874"/>
      <c r="C62" s="875"/>
      <c r="D62" s="151" t="s">
        <v>142</v>
      </c>
      <c r="E62" s="95">
        <f>'7'!F62</f>
        <v>290122.40000000002</v>
      </c>
      <c r="F62" s="122">
        <v>290210</v>
      </c>
      <c r="G62" s="112">
        <f t="shared" ref="G62:G63" si="5">F62-E62</f>
        <v>87.599999999976717</v>
      </c>
      <c r="H62" s="99">
        <f>G62+'7'!H62</f>
        <v>1310</v>
      </c>
      <c r="I62" s="118"/>
      <c r="J62" s="175">
        <f>H62/DAY(B2)</f>
        <v>163.75</v>
      </c>
      <c r="K62" s="80"/>
      <c r="L62" s="66"/>
      <c r="N62" s="87"/>
      <c r="O62" s="71"/>
    </row>
    <row r="63" spans="1:15" ht="25.5">
      <c r="A63" s="873" t="s">
        <v>199</v>
      </c>
      <c r="B63" s="874"/>
      <c r="C63" s="875"/>
      <c r="D63" s="151" t="s">
        <v>142</v>
      </c>
      <c r="E63" s="95">
        <f>'7'!F63</f>
        <v>232157</v>
      </c>
      <c r="F63" s="122">
        <v>232238</v>
      </c>
      <c r="G63" s="112">
        <f t="shared" si="5"/>
        <v>81</v>
      </c>
      <c r="H63" s="99">
        <f>G63+'7'!H63</f>
        <v>1076</v>
      </c>
      <c r="I63" s="118"/>
      <c r="J63" s="175">
        <f>H63/DAY(B2)</f>
        <v>134.5</v>
      </c>
      <c r="K63" s="69"/>
      <c r="L63" s="66"/>
      <c r="N63" s="87"/>
      <c r="O63" s="71"/>
    </row>
    <row r="64" spans="1:15" ht="26.25">
      <c r="A64" s="870" t="s">
        <v>200</v>
      </c>
      <c r="B64" s="871"/>
      <c r="C64" s="872"/>
      <c r="D64" s="151"/>
      <c r="E64" s="95">
        <f>'7'!F64</f>
        <v>0</v>
      </c>
      <c r="F64" s="122"/>
      <c r="G64" s="112">
        <f>G62+G63</f>
        <v>168.59999999997672</v>
      </c>
      <c r="H64" s="99">
        <f>G64+'7'!H64</f>
        <v>2386</v>
      </c>
      <c r="I64" s="118"/>
      <c r="J64" s="175">
        <f>H64/DAY(B2)</f>
        <v>298.25</v>
      </c>
      <c r="K64" s="69"/>
      <c r="L64" s="66"/>
      <c r="N64" s="87"/>
      <c r="O64" s="71"/>
    </row>
    <row r="65" spans="1:15" ht="25.5">
      <c r="A65" s="873" t="s">
        <v>201</v>
      </c>
      <c r="B65" s="874"/>
      <c r="C65" s="875"/>
      <c r="D65" s="151" t="s">
        <v>142</v>
      </c>
      <c r="E65" s="95">
        <f>'7'!F65</f>
        <v>448882</v>
      </c>
      <c r="F65" s="122">
        <v>448974</v>
      </c>
      <c r="G65" s="112">
        <f t="shared" ref="G65:G70" si="6">F65-E65</f>
        <v>92</v>
      </c>
      <c r="H65" s="99">
        <f>G65+'7'!H65</f>
        <v>947</v>
      </c>
      <c r="I65" s="118"/>
      <c r="J65" s="175">
        <f>H65/DAY(B2)</f>
        <v>118.375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'7'!F66</f>
        <v>110520</v>
      </c>
      <c r="F66" s="122">
        <v>110545</v>
      </c>
      <c r="G66" s="112">
        <f t="shared" si="6"/>
        <v>25</v>
      </c>
      <c r="H66" s="99">
        <f>G66+'7'!H66</f>
        <v>214</v>
      </c>
      <c r="I66" s="118"/>
      <c r="J66" s="175">
        <f>H66/DAY(B2)</f>
        <v>26.75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'7'!F67</f>
        <v>113650</v>
      </c>
      <c r="F67" s="122">
        <v>113663</v>
      </c>
      <c r="G67" s="112">
        <f t="shared" si="6"/>
        <v>13</v>
      </c>
      <c r="H67" s="99">
        <f>G67+'7'!H67</f>
        <v>385</v>
      </c>
      <c r="I67" s="118"/>
      <c r="J67" s="175">
        <f>H67/DAY(B2)</f>
        <v>48.125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'7'!F68</f>
        <v>162647</v>
      </c>
      <c r="F68" s="122">
        <v>162678</v>
      </c>
      <c r="G68" s="112">
        <f t="shared" si="6"/>
        <v>31</v>
      </c>
      <c r="H68" s="99">
        <f>G68+'7'!H68</f>
        <v>184</v>
      </c>
      <c r="I68" s="118"/>
      <c r="J68" s="175">
        <f>H68/DAY(B2)</f>
        <v>23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'7'!F69</f>
        <v>11964</v>
      </c>
      <c r="F69" s="122">
        <v>11972</v>
      </c>
      <c r="G69" s="112">
        <f t="shared" si="6"/>
        <v>8</v>
      </c>
      <c r="H69" s="99">
        <f>G69+'7'!H69</f>
        <v>103</v>
      </c>
      <c r="I69" s="118"/>
      <c r="J69" s="175">
        <f>H69/DAY(B2)</f>
        <v>12.875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'7'!F70</f>
        <v>9330</v>
      </c>
      <c r="F70" s="122">
        <v>9336</v>
      </c>
      <c r="G70" s="112">
        <f t="shared" si="6"/>
        <v>6</v>
      </c>
      <c r="H70" s="99">
        <f>G70+'7'!H70</f>
        <v>69</v>
      </c>
      <c r="I70" s="118"/>
      <c r="J70" s="175">
        <f>H70/DAY(B2)</f>
        <v>8.625</v>
      </c>
      <c r="K70" s="69"/>
      <c r="L70" s="66"/>
      <c r="N70" s="87"/>
      <c r="O70" s="71"/>
    </row>
    <row r="71" spans="1:15" ht="26.25">
      <c r="A71" s="870" t="s">
        <v>208</v>
      </c>
      <c r="B71" s="871"/>
      <c r="C71" s="872"/>
      <c r="D71" s="152"/>
      <c r="E71" s="152"/>
      <c r="F71" s="152"/>
      <c r="G71" s="153">
        <f>SUM(G65:G70)</f>
        <v>175</v>
      </c>
      <c r="H71" s="99">
        <f>G71+'7'!H71</f>
        <v>1902</v>
      </c>
      <c r="I71" s="154"/>
      <c r="J71" s="175">
        <f>H71/DAY(B2)</f>
        <v>237.75</v>
      </c>
      <c r="K71" s="69"/>
      <c r="L71" s="66"/>
      <c r="N71" s="87"/>
      <c r="O71" s="71"/>
    </row>
    <row r="72" spans="1:15" s="88" customFormat="1" ht="25.5">
      <c r="A72" s="916"/>
      <c r="B72" s="90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3" t="s">
        <v>220</v>
      </c>
      <c r="B74" s="874"/>
      <c r="C74" s="875"/>
      <c r="D74" s="151" t="s">
        <v>139</v>
      </c>
      <c r="E74" s="95">
        <f>'7'!F74</f>
        <v>940904.56</v>
      </c>
      <c r="F74" s="123">
        <v>941197.74</v>
      </c>
      <c r="G74" s="112">
        <f t="shared" ref="G74:G78" si="7">F74-E74</f>
        <v>293.17999999993481</v>
      </c>
      <c r="H74" s="99">
        <f>G74+'7'!H74</f>
        <v>2527.7399999999907</v>
      </c>
      <c r="I74" s="154"/>
      <c r="J74" s="175">
        <f>H74/DAY(B2)</f>
        <v>315.96749999999884</v>
      </c>
      <c r="K74" s="69"/>
      <c r="L74" s="66"/>
      <c r="N74" s="87"/>
      <c r="O74" s="71"/>
    </row>
    <row r="75" spans="1:15" ht="25.5">
      <c r="A75" s="873" t="s">
        <v>221</v>
      </c>
      <c r="B75" s="874"/>
      <c r="C75" s="875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7" t="s">
        <v>222</v>
      </c>
      <c r="B76" s="903"/>
      <c r="C76" s="904"/>
      <c r="D76" s="151" t="s">
        <v>139</v>
      </c>
      <c r="E76" s="95">
        <f>'7'!F76</f>
        <v>184537</v>
      </c>
      <c r="F76" s="123">
        <v>184650</v>
      </c>
      <c r="G76" s="112">
        <f t="shared" si="7"/>
        <v>113</v>
      </c>
      <c r="H76" s="99">
        <f>G76+'7'!H76</f>
        <v>944</v>
      </c>
      <c r="I76" s="154"/>
      <c r="J76" s="175">
        <f>H76/DAY(B2)</f>
        <v>118</v>
      </c>
      <c r="K76" s="69"/>
      <c r="L76" s="66"/>
      <c r="N76" s="87"/>
      <c r="O76" s="71"/>
    </row>
    <row r="77" spans="1:15" ht="25.5">
      <c r="A77" s="917" t="s">
        <v>223</v>
      </c>
      <c r="B77" s="903"/>
      <c r="C77" s="904"/>
      <c r="D77" s="151" t="s">
        <v>139</v>
      </c>
      <c r="E77" s="95">
        <f>'7'!F77</f>
        <v>47680.9</v>
      </c>
      <c r="F77" s="123">
        <v>47730</v>
      </c>
      <c r="G77" s="112">
        <f t="shared" si="7"/>
        <v>49.099999999998545</v>
      </c>
      <c r="H77" s="99">
        <f>G77+'7'!H77</f>
        <v>385</v>
      </c>
      <c r="I77" s="154"/>
      <c r="J77" s="175">
        <f>H77/DAY(B2)</f>
        <v>48.125</v>
      </c>
      <c r="K77" s="69"/>
      <c r="L77" s="66"/>
      <c r="N77" s="87"/>
      <c r="O77" s="71"/>
    </row>
    <row r="78" spans="1:15" ht="25.5">
      <c r="A78" s="917" t="s">
        <v>224</v>
      </c>
      <c r="B78" s="903"/>
      <c r="C78" s="904"/>
      <c r="D78" s="151" t="s">
        <v>139</v>
      </c>
      <c r="E78" s="95">
        <f>'7'!F78</f>
        <v>9563.4</v>
      </c>
      <c r="F78" s="123">
        <v>9563</v>
      </c>
      <c r="G78" s="112">
        <f t="shared" si="7"/>
        <v>-0.3999999999996362</v>
      </c>
      <c r="H78" s="99">
        <f>G78+'7'!H78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7" t="s">
        <v>225</v>
      </c>
      <c r="B79" s="903"/>
      <c r="C79" s="904"/>
      <c r="D79" s="151"/>
      <c r="E79" s="95">
        <f>'7'!F79</f>
        <v>0</v>
      </c>
      <c r="F79" s="117"/>
      <c r="G79" s="112">
        <f>G15-SUM(G74:G78)</f>
        <v>597.92000000011285</v>
      </c>
      <c r="H79" s="99">
        <f>G79+'7'!H79</f>
        <v>4843.2600000000093</v>
      </c>
      <c r="I79" s="118"/>
      <c r="J79" s="175"/>
      <c r="K79" s="59"/>
      <c r="L79" s="58"/>
      <c r="N79" s="87"/>
      <c r="O79" s="71"/>
    </row>
    <row r="80" spans="1:15" s="57" customFormat="1" ht="26.25">
      <c r="A80" s="870" t="s">
        <v>329</v>
      </c>
      <c r="B80" s="871"/>
      <c r="C80" s="872"/>
      <c r="D80" s="151"/>
      <c r="E80" s="117"/>
      <c r="F80" s="117"/>
      <c r="G80" s="112">
        <f>SUM(G74:G79)</f>
        <v>1052.8000000000466</v>
      </c>
      <c r="H80" s="99"/>
      <c r="I80" s="118"/>
      <c r="J80" s="175"/>
      <c r="K80" s="59"/>
      <c r="L80" s="58"/>
      <c r="N80" s="87"/>
      <c r="O80" s="71"/>
    </row>
    <row r="81" spans="1:15" ht="25.5">
      <c r="A81" s="909" t="s">
        <v>226</v>
      </c>
      <c r="B81" s="910"/>
      <c r="C81" s="91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'7'!F84</f>
        <v>41969</v>
      </c>
      <c r="F84" s="164">
        <v>41969</v>
      </c>
      <c r="G84" s="112">
        <f t="shared" si="8"/>
        <v>0</v>
      </c>
      <c r="H84" s="99">
        <f>G84+'7'!H84</f>
        <v>0</v>
      </c>
      <c r="I84" s="57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'7'!F85</f>
        <v>4487</v>
      </c>
      <c r="F85" s="164">
        <v>4506.2</v>
      </c>
      <c r="G85" s="112">
        <f t="shared" si="8"/>
        <v>19.199999999999818</v>
      </c>
      <c r="H85" s="99">
        <f>G85+'7'!H85</f>
        <v>163.19999999999982</v>
      </c>
      <c r="I85" s="573"/>
      <c r="J85" s="175">
        <f>H85/DAY(B2)</f>
        <v>20.399999999999977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'7'!F86</f>
        <v>44619.3</v>
      </c>
      <c r="F86" s="164">
        <v>44643.5</v>
      </c>
      <c r="G86" s="112">
        <f t="shared" si="8"/>
        <v>24.19999999999709</v>
      </c>
      <c r="H86" s="99">
        <f>G86+'7'!H86</f>
        <v>173.5</v>
      </c>
      <c r="I86" s="573"/>
      <c r="J86" s="175">
        <f>H86/DAY(B2)</f>
        <v>21.6875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'7'!F87</f>
        <v>35329.06</v>
      </c>
      <c r="F87" s="164">
        <v>35329.06</v>
      </c>
      <c r="G87" s="112">
        <f t="shared" si="8"/>
        <v>0</v>
      </c>
      <c r="H87" s="99">
        <f>G87+'7'!H87</f>
        <v>5.9999999997671694E-2</v>
      </c>
      <c r="I87" s="555">
        <f>G84+G85+G86+G87</f>
        <v>43.399999999996908</v>
      </c>
      <c r="J87" s="175">
        <f>H87/DAY(B2)</f>
        <v>7.4999999997089617E-3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'7'!F88</f>
        <v>24276.95</v>
      </c>
      <c r="F88" s="164">
        <v>24276.98</v>
      </c>
      <c r="G88" s="112">
        <f t="shared" si="8"/>
        <v>2.9999999998835847E-2</v>
      </c>
      <c r="H88" s="99">
        <f>G88+'7'!H88</f>
        <v>49.099999999998545</v>
      </c>
      <c r="I88" s="555"/>
      <c r="J88" s="175">
        <f>H88/DAY(B2)</f>
        <v>6.1374999999998181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'7'!F89</f>
        <v>27065.95</v>
      </c>
      <c r="F89" s="164">
        <v>27076.28</v>
      </c>
      <c r="G89" s="112">
        <f t="shared" si="8"/>
        <v>10.329999999998108</v>
      </c>
      <c r="H89" s="99">
        <f>G89+'7'!H89</f>
        <v>82.869999999998981</v>
      </c>
      <c r="I89" s="555">
        <f>G88+G89</f>
        <v>10.359999999996944</v>
      </c>
      <c r="J89" s="175">
        <f>H89/DAY(B2)</f>
        <v>10.358749999999873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'7'!F90</f>
        <v>72127.12</v>
      </c>
      <c r="F90" s="164">
        <v>72127.12</v>
      </c>
      <c r="G90" s="112">
        <f t="shared" si="8"/>
        <v>0</v>
      </c>
      <c r="H90" s="99">
        <f>G90+'7'!H90</f>
        <v>0</v>
      </c>
      <c r="I90" s="555">
        <f>G90</f>
        <v>0</v>
      </c>
      <c r="J90" s="175">
        <f>H90/DAY(B2)</f>
        <v>0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'7'!F91</f>
        <v>4121.6499999999996</v>
      </c>
      <c r="F91" s="122">
        <v>4121.6499999999996</v>
      </c>
      <c r="G91" s="112">
        <f t="shared" si="8"/>
        <v>0</v>
      </c>
      <c r="H91" s="99">
        <f>G91+'7'!H91</f>
        <v>0</v>
      </c>
      <c r="I91" s="616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'7'!F92</f>
        <v>6294</v>
      </c>
      <c r="F92" s="122">
        <v>6304.91</v>
      </c>
      <c r="G92" s="112">
        <f t="shared" si="8"/>
        <v>10.909999999999854</v>
      </c>
      <c r="H92" s="99">
        <f>G92+'7'!H92</f>
        <v>87.659999999999854</v>
      </c>
      <c r="I92" s="617">
        <f>G91+G92</f>
        <v>10.909999999999854</v>
      </c>
      <c r="J92" s="175">
        <f>H92/DAY(B2)</f>
        <v>10.957499999999982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3" t="s">
        <v>240</v>
      </c>
      <c r="B94" s="874"/>
      <c r="C94" s="875"/>
      <c r="D94" s="151" t="s">
        <v>130</v>
      </c>
      <c r="E94" s="151"/>
      <c r="F94" s="151"/>
      <c r="G94" s="99">
        <f>G35+G43+G49+G57</f>
        <v>4595.7300000000032</v>
      </c>
      <c r="H94" s="99">
        <f>G94+'7'!H94</f>
        <v>52415.23</v>
      </c>
      <c r="I94" s="118"/>
      <c r="J94" s="175">
        <f>H94/DAY(B2)</f>
        <v>6551.9037500000004</v>
      </c>
      <c r="K94" s="69"/>
      <c r="L94" s="66"/>
      <c r="O94" s="71"/>
    </row>
    <row r="95" spans="1:15" ht="25.5">
      <c r="A95" s="873" t="s">
        <v>241</v>
      </c>
      <c r="B95" s="874"/>
      <c r="C95" s="875"/>
      <c r="D95" s="151" t="s">
        <v>23</v>
      </c>
      <c r="E95" s="146"/>
      <c r="F95" s="146"/>
      <c r="G95" s="166">
        <f>G94/G7</f>
        <v>0.19075751286734199</v>
      </c>
      <c r="H95" s="99">
        <f>G95+'7'!H95</f>
        <v>1.9274913761153254</v>
      </c>
      <c r="I95" s="167"/>
      <c r="J95" s="175">
        <f>H95/DAY(B2)</f>
        <v>0.24093642201441567</v>
      </c>
      <c r="K95" s="69"/>
      <c r="L95" s="66"/>
      <c r="O95" s="71"/>
    </row>
    <row r="96" spans="1:15" ht="25.5">
      <c r="A96" s="873" t="s">
        <v>242</v>
      </c>
      <c r="B96" s="874"/>
      <c r="C96" s="875"/>
      <c r="D96" s="151" t="s">
        <v>130</v>
      </c>
      <c r="E96" s="95"/>
      <c r="F96" s="95"/>
      <c r="G96" s="99">
        <f>G41+G42+G55+G56</f>
        <v>2008</v>
      </c>
      <c r="H96" s="99">
        <f>G96+'7'!H96</f>
        <v>58605.86</v>
      </c>
      <c r="I96" s="118"/>
      <c r="J96" s="175">
        <f>H96/DAY(B2)</f>
        <v>7325.7325000000001</v>
      </c>
      <c r="K96" s="69"/>
      <c r="L96" s="66"/>
      <c r="O96" s="71"/>
    </row>
    <row r="97" spans="1:15" ht="25.5">
      <c r="A97" s="873" t="s">
        <v>243</v>
      </c>
      <c r="B97" s="874"/>
      <c r="C97" s="875"/>
      <c r="D97" s="151" t="s">
        <v>23</v>
      </c>
      <c r="E97" s="95"/>
      <c r="F97" s="95"/>
      <c r="G97" s="166">
        <f>G96/G7</f>
        <v>8.3347169184791625E-2</v>
      </c>
      <c r="H97" s="99">
        <f>G97+'7'!H97</f>
        <v>2.1362160030544963</v>
      </c>
      <c r="I97" s="167"/>
      <c r="J97" s="175">
        <f>H97/DAY(B2)</f>
        <v>0.26702700038181204</v>
      </c>
      <c r="K97" s="69"/>
      <c r="L97" s="66"/>
      <c r="O97" s="71"/>
    </row>
    <row r="98" spans="1:15" ht="25.5">
      <c r="A98" s="873" t="s">
        <v>244</v>
      </c>
      <c r="B98" s="874"/>
      <c r="C98" s="875"/>
      <c r="D98" s="151" t="s">
        <v>130</v>
      </c>
      <c r="E98" s="95"/>
      <c r="F98" s="95"/>
      <c r="G98" s="99">
        <f>G39+G53</f>
        <v>939</v>
      </c>
      <c r="H98" s="99">
        <f>G98+'7'!H98</f>
        <v>21890</v>
      </c>
      <c r="I98" s="168"/>
      <c r="J98" s="175">
        <f>H98/DAY(B2)</f>
        <v>2736.25</v>
      </c>
      <c r="K98" s="69"/>
      <c r="L98" s="66"/>
      <c r="O98" s="71"/>
    </row>
    <row r="99" spans="1:15" ht="25.5">
      <c r="A99" s="873" t="s">
        <v>245</v>
      </c>
      <c r="B99" s="874"/>
      <c r="C99" s="875"/>
      <c r="D99" s="151" t="s">
        <v>23</v>
      </c>
      <c r="E99" s="95"/>
      <c r="F99" s="95"/>
      <c r="G99" s="166">
        <f>G98/G7</f>
        <v>3.8975593558027564E-2</v>
      </c>
      <c r="H99" s="99">
        <f>G99+'7'!H99</f>
        <v>0.80014394401972377</v>
      </c>
      <c r="I99" s="168"/>
      <c r="J99" s="175">
        <f>H99/DAY(B2)</f>
        <v>0.10001799300246547</v>
      </c>
      <c r="O99" s="71"/>
    </row>
    <row r="100" spans="1:15" ht="26.25">
      <c r="A100" s="873" t="s">
        <v>246</v>
      </c>
      <c r="B100" s="874"/>
      <c r="C100" s="875"/>
      <c r="D100" s="151" t="s">
        <v>180</v>
      </c>
      <c r="E100" s="95"/>
      <c r="F100" s="95"/>
      <c r="G100" s="99">
        <f>G38+G52</f>
        <v>735</v>
      </c>
      <c r="H100" s="99">
        <f>G100+'7'!H100</f>
        <v>17673.760000000002</v>
      </c>
      <c r="I100" s="118"/>
      <c r="J100" s="175">
        <f>H100/DAY(B2)</f>
        <v>2209.2200000000003</v>
      </c>
      <c r="K100" s="70"/>
      <c r="O100" s="71"/>
    </row>
    <row r="101" spans="1:15" ht="25.5">
      <c r="A101" s="873" t="s">
        <v>247</v>
      </c>
      <c r="B101" s="874"/>
      <c r="C101" s="875"/>
      <c r="D101" s="151" t="s">
        <v>23</v>
      </c>
      <c r="E101" s="95"/>
      <c r="F101" s="95"/>
      <c r="G101" s="166">
        <f>G100/G7</f>
        <v>3.0508052465548729E-2</v>
      </c>
      <c r="H101" s="99">
        <f>G101+'7'!H101</f>
        <v>0.64643678711433994</v>
      </c>
      <c r="I101" s="168"/>
      <c r="J101" s="175">
        <f>H101/DAY(B2)</f>
        <v>8.0804598389292492E-2</v>
      </c>
      <c r="O101" s="71"/>
    </row>
    <row r="102" spans="1:15" ht="25.5">
      <c r="A102" s="873" t="s">
        <v>248</v>
      </c>
      <c r="B102" s="874"/>
      <c r="C102" s="875"/>
      <c r="D102" s="151" t="s">
        <v>180</v>
      </c>
      <c r="E102" s="95"/>
      <c r="F102" s="95"/>
      <c r="G102" s="99">
        <f>G36+G50</f>
        <v>720</v>
      </c>
      <c r="H102" s="99">
        <f>G102+'7'!H102</f>
        <v>14930</v>
      </c>
      <c r="I102" s="168"/>
      <c r="J102" s="175">
        <f>H102/DAY(B2)</f>
        <v>1866.25</v>
      </c>
      <c r="O102" s="71"/>
    </row>
    <row r="103" spans="1:15" ht="25.5">
      <c r="A103" s="873" t="s">
        <v>249</v>
      </c>
      <c r="B103" s="874"/>
      <c r="C103" s="875"/>
      <c r="D103" s="151" t="s">
        <v>23</v>
      </c>
      <c r="E103" s="95"/>
      <c r="F103" s="95"/>
      <c r="G103" s="166">
        <f>G102/G7</f>
        <v>2.9885439149925287E-2</v>
      </c>
      <c r="H103" s="99">
        <f>G103+'7'!H103</f>
        <v>0.54458035319985709</v>
      </c>
      <c r="I103" s="118"/>
      <c r="J103" s="175">
        <f>H103/DAY(B2)</f>
        <v>6.8072544149982137E-2</v>
      </c>
      <c r="O103" s="71"/>
    </row>
    <row r="104" spans="1:15" ht="25.5">
      <c r="A104" s="873" t="s">
        <v>250</v>
      </c>
      <c r="B104" s="874"/>
      <c r="C104" s="875"/>
      <c r="D104" s="151" t="s">
        <v>180</v>
      </c>
      <c r="E104" s="95"/>
      <c r="F104" s="95"/>
      <c r="G104" s="99">
        <f>G37+G51</f>
        <v>572</v>
      </c>
      <c r="H104" s="99">
        <f>G104+'7'!H104</f>
        <v>12840</v>
      </c>
      <c r="I104" s="118"/>
      <c r="J104" s="175">
        <f>H104/DAY(B2)</f>
        <v>1605</v>
      </c>
      <c r="O104" s="71"/>
    </row>
    <row r="105" spans="1:15" ht="26.25" thickBot="1">
      <c r="A105" s="913" t="s">
        <v>251</v>
      </c>
      <c r="B105" s="914"/>
      <c r="C105" s="915"/>
      <c r="D105" s="231" t="s">
        <v>23</v>
      </c>
      <c r="E105" s="185"/>
      <c r="F105" s="185"/>
      <c r="G105" s="186">
        <f>G104/G7</f>
        <v>2.3742321102440643E-2</v>
      </c>
      <c r="H105" s="99">
        <f>G105+'7'!H105</f>
        <v>0.46932485880493824</v>
      </c>
      <c r="I105" s="187"/>
      <c r="J105" s="188">
        <f>H105/DAY(B2)</f>
        <v>5.866560735061728E-2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7" t="s">
        <v>324</v>
      </c>
      <c r="B108" s="927"/>
      <c r="C108" s="927"/>
      <c r="D108" s="927"/>
      <c r="E108" s="927"/>
      <c r="F108" s="927"/>
      <c r="G108" s="927"/>
      <c r="H108" s="927"/>
      <c r="I108" s="927"/>
      <c r="J108" s="927"/>
    </row>
    <row r="109" spans="1:15" ht="26.25">
      <c r="A109" s="912"/>
      <c r="B109" s="912"/>
    </row>
    <row r="110" spans="1:15" ht="26.25">
      <c r="A110" s="928" t="s">
        <v>165</v>
      </c>
      <c r="B110" s="929"/>
      <c r="C110" s="929"/>
      <c r="D110" s="929"/>
      <c r="E110" s="929"/>
      <c r="F110" s="929"/>
      <c r="G110" s="929"/>
      <c r="H110" s="929"/>
      <c r="I110" s="929"/>
      <c r="J110" s="930"/>
    </row>
    <row r="111" spans="1:15" ht="25.5">
      <c r="A111" s="931"/>
      <c r="B111" s="932"/>
      <c r="C111" s="933"/>
      <c r="D111" s="165"/>
      <c r="E111" s="165"/>
      <c r="F111" s="165"/>
      <c r="G111" s="165"/>
      <c r="H111" s="156"/>
      <c r="I111" s="165"/>
      <c r="J111" s="327"/>
    </row>
    <row r="112" spans="1:15" ht="25.5">
      <c r="A112" s="906" t="s">
        <v>252</v>
      </c>
      <c r="B112" s="907"/>
      <c r="C112" s="908"/>
      <c r="D112" s="146" t="s">
        <v>183</v>
      </c>
      <c r="E112" s="95">
        <f>'7'!F112</f>
        <v>3219.13</v>
      </c>
      <c r="F112" s="237">
        <v>3247</v>
      </c>
      <c r="G112" s="112">
        <f t="shared" ref="G112:G123" si="9">F112-E112</f>
        <v>27.869999999999891</v>
      </c>
      <c r="H112" s="99">
        <f>G112+'7'!H112</f>
        <v>570</v>
      </c>
      <c r="I112" s="165"/>
      <c r="J112" s="328">
        <f>H112/DAY(B2)</f>
        <v>71.25</v>
      </c>
    </row>
    <row r="113" spans="1:18" ht="29.25" customHeight="1">
      <c r="A113" s="906" t="s">
        <v>253</v>
      </c>
      <c r="B113" s="907"/>
      <c r="C113" s="908"/>
      <c r="D113" s="146" t="s">
        <v>183</v>
      </c>
      <c r="E113" s="95">
        <f>'7'!F113</f>
        <v>7376.25</v>
      </c>
      <c r="F113" s="237">
        <v>7418.97</v>
      </c>
      <c r="G113" s="112">
        <f t="shared" si="9"/>
        <v>42.720000000000255</v>
      </c>
      <c r="H113" s="99">
        <f>G113+'7'!H113</f>
        <v>1027.9700000000003</v>
      </c>
      <c r="I113" s="165"/>
      <c r="J113" s="328">
        <f>H113/DAY(B2)</f>
        <v>128.49625000000003</v>
      </c>
    </row>
    <row r="114" spans="1:18" ht="29.25" customHeight="1">
      <c r="A114" s="906" t="s">
        <v>254</v>
      </c>
      <c r="B114" s="907"/>
      <c r="C114" s="908"/>
      <c r="D114" s="146" t="s">
        <v>183</v>
      </c>
      <c r="E114" s="95">
        <f>'7'!F114</f>
        <v>9111.89</v>
      </c>
      <c r="F114" s="237">
        <v>9187.1200000000008</v>
      </c>
      <c r="G114" s="112">
        <f t="shared" si="9"/>
        <v>75.230000000001382</v>
      </c>
      <c r="H114" s="99">
        <f>G114+'7'!H114</f>
        <v>1617.1200000000008</v>
      </c>
      <c r="I114" s="165"/>
      <c r="J114" s="328">
        <f>H114/DAY(B2)</f>
        <v>202.1400000000001</v>
      </c>
    </row>
    <row r="115" spans="1:18" ht="29.25" customHeight="1">
      <c r="A115" s="906" t="s">
        <v>255</v>
      </c>
      <c r="B115" s="907"/>
      <c r="C115" s="908"/>
      <c r="D115" s="146" t="s">
        <v>183</v>
      </c>
      <c r="E115" s="95">
        <f>'7'!F115</f>
        <v>698.51</v>
      </c>
      <c r="F115" s="237">
        <v>715.72</v>
      </c>
      <c r="G115" s="112">
        <f t="shared" si="9"/>
        <v>17.210000000000036</v>
      </c>
      <c r="H115" s="99">
        <f>G115+'7'!H115</f>
        <v>154.72000000000003</v>
      </c>
      <c r="I115" s="165"/>
      <c r="J115" s="328">
        <f>H115/DAY(B2)</f>
        <v>19.340000000000003</v>
      </c>
    </row>
    <row r="116" spans="1:18" ht="29.25" customHeight="1">
      <c r="A116" s="924" t="s">
        <v>96</v>
      </c>
      <c r="B116" s="925"/>
      <c r="C116" s="926"/>
      <c r="D116" s="146" t="s">
        <v>183</v>
      </c>
      <c r="E116" s="95">
        <f>'7'!F116</f>
        <v>49546.1</v>
      </c>
      <c r="F116" s="237">
        <v>49664.800000000003</v>
      </c>
      <c r="G116" s="112">
        <f t="shared" si="9"/>
        <v>118.70000000000437</v>
      </c>
      <c r="H116" s="99">
        <f>G116+'7'!H116</f>
        <v>2909.8000000000029</v>
      </c>
      <c r="I116" s="165"/>
      <c r="J116" s="328">
        <f>H116/DAY(B2)</f>
        <v>363.72500000000036</v>
      </c>
      <c r="Q116" s="906" t="s">
        <v>311</v>
      </c>
      <c r="R116" s="908"/>
    </row>
    <row r="117" spans="1:18" ht="29.25" customHeight="1">
      <c r="A117" s="924" t="s">
        <v>184</v>
      </c>
      <c r="B117" s="925"/>
      <c r="C117" s="926"/>
      <c r="D117" s="146" t="s">
        <v>183</v>
      </c>
      <c r="E117" s="95">
        <f>'7'!F117</f>
        <v>26882.799999999999</v>
      </c>
      <c r="F117" s="237">
        <v>26942.1</v>
      </c>
      <c r="G117" s="112">
        <f t="shared" si="9"/>
        <v>59.299999999999272</v>
      </c>
      <c r="H117" s="99">
        <f>G117+'7'!H117</f>
        <v>1674.0999999999985</v>
      </c>
      <c r="I117" s="165"/>
      <c r="J117" s="328">
        <f>H117/DAY(B2)</f>
        <v>209.26249999999982</v>
      </c>
      <c r="Q117" s="906" t="s">
        <v>312</v>
      </c>
      <c r="R117" s="908"/>
    </row>
    <row r="118" spans="1:18" ht="25.5">
      <c r="A118" s="901" t="s">
        <v>97</v>
      </c>
      <c r="B118" s="901"/>
      <c r="C118" s="901"/>
      <c r="D118" s="151" t="s">
        <v>183</v>
      </c>
      <c r="E118" s="95">
        <f>'7'!F118</f>
        <v>30066.7</v>
      </c>
      <c r="F118" s="237">
        <v>30246.799999999999</v>
      </c>
      <c r="G118" s="112">
        <f t="shared" si="9"/>
        <v>180.09999999999854</v>
      </c>
      <c r="H118" s="99">
        <f>G118+'7'!H118</f>
        <v>4021.7999999999993</v>
      </c>
      <c r="I118" s="165"/>
      <c r="J118" s="328">
        <f>H118/DAY(B2)</f>
        <v>502.72499999999991</v>
      </c>
      <c r="Q118" s="906" t="s">
        <v>311</v>
      </c>
      <c r="R118" s="908"/>
    </row>
    <row r="119" spans="1:18" ht="25.5">
      <c r="A119" s="901" t="s">
        <v>98</v>
      </c>
      <c r="B119" s="901"/>
      <c r="C119" s="901"/>
      <c r="D119" s="151" t="s">
        <v>183</v>
      </c>
      <c r="E119" s="95">
        <f>'7'!F119</f>
        <v>21880.6</v>
      </c>
      <c r="F119" s="237">
        <v>22027.200000000001</v>
      </c>
      <c r="G119" s="112">
        <f t="shared" si="9"/>
        <v>146.60000000000218</v>
      </c>
      <c r="H119" s="99">
        <f>G119+'7'!H119</f>
        <v>3080.2000000000007</v>
      </c>
      <c r="I119" s="165"/>
      <c r="J119" s="328">
        <f>H119/DAY(B2)</f>
        <v>385.02500000000009</v>
      </c>
    </row>
    <row r="120" spans="1:18" ht="25.5">
      <c r="A120" s="901" t="s">
        <v>99</v>
      </c>
      <c r="B120" s="901"/>
      <c r="C120" s="901"/>
      <c r="D120" s="151" t="s">
        <v>183</v>
      </c>
      <c r="E120" s="95">
        <f>'7'!F120</f>
        <v>23180.1</v>
      </c>
      <c r="F120" s="237">
        <v>23310.2</v>
      </c>
      <c r="G120" s="112">
        <f t="shared" si="9"/>
        <v>130.10000000000218</v>
      </c>
      <c r="H120" s="99">
        <f>G120+'7'!H120</f>
        <v>3260.2000000000007</v>
      </c>
      <c r="I120" s="165"/>
      <c r="J120" s="328">
        <f>H120/DAY(B2)</f>
        <v>407.52500000000009</v>
      </c>
    </row>
    <row r="121" spans="1:18" ht="25.5">
      <c r="A121" s="901" t="s">
        <v>100</v>
      </c>
      <c r="B121" s="901"/>
      <c r="C121" s="901"/>
      <c r="D121" s="151" t="s">
        <v>183</v>
      </c>
      <c r="E121" s="95">
        <f>'7'!F121</f>
        <v>29212.5</v>
      </c>
      <c r="F121" s="237">
        <v>29342.9</v>
      </c>
      <c r="G121" s="112">
        <f t="shared" si="9"/>
        <v>130.40000000000146</v>
      </c>
      <c r="H121" s="99">
        <f>G121+'7'!H121</f>
        <v>3498.9000000000015</v>
      </c>
      <c r="I121" s="165"/>
      <c r="J121" s="328">
        <f>H121/DAY(B2)</f>
        <v>437.36250000000018</v>
      </c>
    </row>
    <row r="122" spans="1:18" ht="25.5">
      <c r="A122" s="901" t="s">
        <v>101</v>
      </c>
      <c r="B122" s="901"/>
      <c r="C122" s="901"/>
      <c r="D122" s="151" t="s">
        <v>183</v>
      </c>
      <c r="E122" s="95">
        <f>'7'!F122</f>
        <v>13347.1</v>
      </c>
      <c r="F122" s="237">
        <v>13420.9</v>
      </c>
      <c r="G122" s="112">
        <f t="shared" si="9"/>
        <v>73.799999999999272</v>
      </c>
      <c r="H122" s="99">
        <f>G122+'7'!H122</f>
        <v>2260.8999999999996</v>
      </c>
      <c r="I122" s="165"/>
      <c r="J122" s="328">
        <f>H122/DAY(B2)</f>
        <v>282.61249999999995</v>
      </c>
    </row>
    <row r="123" spans="1:18" ht="25.5">
      <c r="A123" s="901" t="s">
        <v>102</v>
      </c>
      <c r="B123" s="901"/>
      <c r="C123" s="901"/>
      <c r="D123" s="151" t="s">
        <v>183</v>
      </c>
      <c r="E123" s="95">
        <f>'7'!F123</f>
        <v>12675.8</v>
      </c>
      <c r="F123" s="237">
        <v>12772.5</v>
      </c>
      <c r="G123" s="112">
        <f t="shared" si="9"/>
        <v>96.700000000000728</v>
      </c>
      <c r="H123" s="99">
        <f>G123+'7'!H123</f>
        <v>2263.5</v>
      </c>
      <c r="I123" s="165"/>
      <c r="J123" s="328">
        <f>H123/DAY(B2)</f>
        <v>282.9375</v>
      </c>
    </row>
    <row r="124" spans="1:18" ht="29.25" customHeight="1">
      <c r="A124" s="931"/>
      <c r="B124" s="932"/>
      <c r="C124" s="933"/>
      <c r="D124" s="165"/>
      <c r="E124" s="165"/>
      <c r="F124" s="165"/>
      <c r="G124" s="327"/>
      <c r="H124" s="156"/>
      <c r="I124" s="165"/>
      <c r="J124" s="327"/>
    </row>
    <row r="125" spans="1:18" ht="25.5">
      <c r="A125" s="934" t="s">
        <v>196</v>
      </c>
      <c r="B125" s="935"/>
      <c r="C125" s="245"/>
      <c r="D125" s="307"/>
      <c r="E125" s="308"/>
      <c r="F125" s="308"/>
      <c r="G125" s="309">
        <f>SUM(G112:G124)</f>
        <v>1098.7300000000096</v>
      </c>
      <c r="H125" s="156"/>
      <c r="I125" s="327">
        <f>G125-(G39+G53)</f>
        <v>159.73000000000957</v>
      </c>
      <c r="J125" s="327"/>
    </row>
    <row r="126" spans="1:18" ht="25.5">
      <c r="A126" s="936" t="s">
        <v>317</v>
      </c>
      <c r="B126" s="936"/>
      <c r="C126" s="936"/>
      <c r="D126" s="936"/>
      <c r="E126" s="936"/>
      <c r="F126" s="936"/>
      <c r="G126" s="936"/>
      <c r="H126" s="936"/>
      <c r="I126" s="936"/>
      <c r="J126" s="936"/>
    </row>
    <row r="127" spans="1:18" ht="25.5">
      <c r="A127" s="937"/>
      <c r="B127" s="937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>
      <c r="A128" s="906" t="s">
        <v>318</v>
      </c>
      <c r="B128" s="907"/>
      <c r="C128" s="908"/>
      <c r="D128" s="151" t="s">
        <v>183</v>
      </c>
      <c r="E128" s="95">
        <f>'7'!F128</f>
        <v>99165.6</v>
      </c>
      <c r="F128" s="165">
        <v>99335.3</v>
      </c>
      <c r="G128" s="112">
        <f t="shared" ref="G128:G134" si="10">F128-E128</f>
        <v>169.69999999999709</v>
      </c>
      <c r="H128" s="99">
        <f>G128+'7'!H128</f>
        <v>3620.3000000000029</v>
      </c>
      <c r="I128" s="165"/>
      <c r="J128" s="328">
        <f>H128/DAY(B2)</f>
        <v>452.53750000000036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'7'!F129</f>
        <v>61995.1</v>
      </c>
      <c r="F129" s="165">
        <v>62076.7</v>
      </c>
      <c r="G129" s="112">
        <f t="shared" si="10"/>
        <v>81.599999999998545</v>
      </c>
      <c r="H129" s="99">
        <f>G129+'7'!H129</f>
        <v>1783.6999999999971</v>
      </c>
      <c r="I129" s="165"/>
      <c r="J129" s="328">
        <f>H129/DAY(B2)</f>
        <v>222.96249999999964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'7'!F130</f>
        <v>124202</v>
      </c>
      <c r="F130" s="165">
        <v>124349</v>
      </c>
      <c r="G130" s="112">
        <f t="shared" si="10"/>
        <v>147</v>
      </c>
      <c r="H130" s="99">
        <f>G130+'7'!H130</f>
        <v>5236</v>
      </c>
      <c r="I130" s="165"/>
      <c r="J130" s="328">
        <f>H130/DAY(B2)</f>
        <v>654.5</v>
      </c>
      <c r="N130" s="240"/>
      <c r="O130" s="241"/>
    </row>
    <row r="131" spans="1:15" ht="25.5">
      <c r="A131" s="906" t="s">
        <v>321</v>
      </c>
      <c r="B131" s="907"/>
      <c r="C131" s="908"/>
      <c r="D131" s="151" t="s">
        <v>183</v>
      </c>
      <c r="E131" s="95">
        <f>'7'!F131</f>
        <v>37689.4</v>
      </c>
      <c r="F131" s="165">
        <v>37738.699999999997</v>
      </c>
      <c r="G131" s="112">
        <f t="shared" si="10"/>
        <v>49.299999999995634</v>
      </c>
      <c r="H131" s="99">
        <f>G131+'7'!H131</f>
        <v>1459.6999999999971</v>
      </c>
      <c r="I131" s="165"/>
      <c r="J131" s="328">
        <f>H131/DAY(B2)</f>
        <v>182.46249999999964</v>
      </c>
      <c r="N131" s="240"/>
      <c r="O131" s="241"/>
    </row>
    <row r="132" spans="1:15" ht="25.5">
      <c r="A132" s="906" t="s">
        <v>322</v>
      </c>
      <c r="B132" s="907"/>
      <c r="C132" s="908"/>
      <c r="D132" s="151" t="s">
        <v>183</v>
      </c>
      <c r="E132" s="95">
        <f>'7'!F132</f>
        <v>106268</v>
      </c>
      <c r="F132" s="165">
        <v>106407</v>
      </c>
      <c r="G132" s="112">
        <f t="shared" si="10"/>
        <v>139</v>
      </c>
      <c r="H132" s="99">
        <f>G132+'7'!H132</f>
        <v>2895</v>
      </c>
      <c r="I132" s="165"/>
      <c r="J132" s="328">
        <f>H132/DAY(B2)</f>
        <v>361.875</v>
      </c>
    </row>
    <row r="133" spans="1:15" ht="25.5">
      <c r="A133" s="906" t="s">
        <v>323</v>
      </c>
      <c r="B133" s="907"/>
      <c r="C133" s="908"/>
      <c r="D133" s="151" t="s">
        <v>183</v>
      </c>
      <c r="E133" s="95">
        <f>'7'!F133</f>
        <v>207181</v>
      </c>
      <c r="F133" s="165">
        <v>207501</v>
      </c>
      <c r="G133" s="112">
        <f t="shared" si="10"/>
        <v>320</v>
      </c>
      <c r="H133" s="99">
        <f>G133+'7'!H133</f>
        <v>6269</v>
      </c>
      <c r="I133" s="165"/>
      <c r="J133" s="328">
        <f>H133/DAY(B2)</f>
        <v>783.625</v>
      </c>
    </row>
    <row r="134" spans="1:15" ht="25.5">
      <c r="A134" s="906" t="s">
        <v>340</v>
      </c>
      <c r="B134" s="907"/>
      <c r="C134" s="908"/>
      <c r="D134" s="151" t="s">
        <v>183</v>
      </c>
      <c r="E134" s="95">
        <f>'7'!F134</f>
        <v>36506.400000000001</v>
      </c>
      <c r="F134" s="165">
        <v>36600.5</v>
      </c>
      <c r="G134" s="112">
        <f t="shared" si="10"/>
        <v>94.099999999998545</v>
      </c>
      <c r="H134" s="99">
        <f>G134+'7'!H134</f>
        <v>1705.5</v>
      </c>
      <c r="I134" s="165"/>
      <c r="J134" s="328">
        <f>H134/DAY(B2)</f>
        <v>213.1875</v>
      </c>
    </row>
    <row r="135" spans="1:15" ht="25.5">
      <c r="A135" s="934" t="s">
        <v>196</v>
      </c>
      <c r="B135" s="935"/>
      <c r="C135" s="331"/>
      <c r="D135" s="151"/>
      <c r="E135" s="95"/>
      <c r="F135" s="165"/>
      <c r="G135" s="112">
        <f>SUM(G128:G134)</f>
        <v>1000.6999999999898</v>
      </c>
      <c r="H135" s="99">
        <f>G135+'7'!H135</f>
        <v>22969.199999999997</v>
      </c>
      <c r="I135" s="327">
        <f>G135-(G35+G49)</f>
        <v>-258.30000000001019</v>
      </c>
      <c r="J135" s="328">
        <f>H135/DAY(B2)</f>
        <v>2871.1499999999996</v>
      </c>
    </row>
    <row r="136" spans="1:15" ht="27.75">
      <c r="A136" s="938" t="s">
        <v>325</v>
      </c>
      <c r="B136" s="938"/>
      <c r="C136" s="938"/>
      <c r="D136" s="938"/>
      <c r="E136" s="938"/>
      <c r="F136" s="938"/>
      <c r="G136" s="938"/>
      <c r="H136" s="938"/>
      <c r="I136" s="938"/>
      <c r="J136" s="938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1" t="s">
        <v>185</v>
      </c>
      <c r="B138" s="901"/>
      <c r="C138" s="901"/>
      <c r="D138" s="151" t="s">
        <v>183</v>
      </c>
      <c r="E138" s="95">
        <f>'7'!F138</f>
        <v>11410.6</v>
      </c>
      <c r="F138" s="147">
        <v>11446.3</v>
      </c>
      <c r="G138" s="112">
        <f t="shared" ref="G138:G152" si="11">F138-E138</f>
        <v>35.699999999998909</v>
      </c>
      <c r="H138" s="99">
        <f>G138+'7'!H138</f>
        <v>936.29999999999927</v>
      </c>
      <c r="I138" s="118"/>
      <c r="J138" s="328">
        <f>H138/DAY(B2)</f>
        <v>117.03749999999991</v>
      </c>
    </row>
    <row r="139" spans="1:15" ht="25.5">
      <c r="A139" s="901" t="s">
        <v>186</v>
      </c>
      <c r="B139" s="901"/>
      <c r="C139" s="901"/>
      <c r="D139" s="151" t="s">
        <v>183</v>
      </c>
      <c r="E139" s="95">
        <f>'7'!F139</f>
        <v>900553</v>
      </c>
      <c r="F139" s="148">
        <v>900718</v>
      </c>
      <c r="G139" s="112">
        <f t="shared" si="11"/>
        <v>165</v>
      </c>
      <c r="H139" s="99">
        <f>G139+'7'!H139</f>
        <v>1263</v>
      </c>
      <c r="I139" s="118"/>
      <c r="J139" s="328">
        <f>H139/DAY(B2)</f>
        <v>157.875</v>
      </c>
    </row>
    <row r="140" spans="1:15" ht="25.5">
      <c r="A140" s="901" t="s">
        <v>187</v>
      </c>
      <c r="B140" s="901"/>
      <c r="C140" s="901"/>
      <c r="D140" s="151" t="s">
        <v>183</v>
      </c>
      <c r="E140" s="95">
        <f>'7'!F140</f>
        <v>686.7</v>
      </c>
      <c r="F140" s="149">
        <v>690.74</v>
      </c>
      <c r="G140" s="112">
        <f t="shared" si="11"/>
        <v>4.0399999999999636</v>
      </c>
      <c r="H140" s="99">
        <f>G140+'7'!H140</f>
        <v>102.74000000000001</v>
      </c>
      <c r="I140" s="118"/>
      <c r="J140" s="328">
        <f>H140/DAY(B2)</f>
        <v>12.842500000000001</v>
      </c>
    </row>
    <row r="141" spans="1:15" ht="25.5">
      <c r="A141" s="905" t="s">
        <v>188</v>
      </c>
      <c r="B141" s="905"/>
      <c r="C141" s="905"/>
      <c r="D141" s="151" t="s">
        <v>183</v>
      </c>
      <c r="E141" s="95">
        <f>'7'!F141</f>
        <v>79374.899999999994</v>
      </c>
      <c r="F141" s="149">
        <v>79445.2</v>
      </c>
      <c r="G141" s="112">
        <f t="shared" si="11"/>
        <v>70.30000000000291</v>
      </c>
      <c r="H141" s="99">
        <f>G141+'7'!H141</f>
        <v>1493.1999999999971</v>
      </c>
      <c r="I141" s="118"/>
      <c r="J141" s="328">
        <f>H141/DAY(B2)</f>
        <v>186.64999999999964</v>
      </c>
    </row>
    <row r="142" spans="1:15" ht="25.5">
      <c r="A142" s="905" t="s">
        <v>189</v>
      </c>
      <c r="B142" s="905"/>
      <c r="C142" s="905"/>
      <c r="D142" s="151" t="s">
        <v>183</v>
      </c>
      <c r="E142" s="95">
        <f>'7'!F142</f>
        <v>31649.9</v>
      </c>
      <c r="F142" s="148">
        <v>31694</v>
      </c>
      <c r="G142" s="112">
        <f t="shared" si="11"/>
        <v>44.099999999998545</v>
      </c>
      <c r="H142" s="99">
        <f>G142+'7'!H142</f>
        <v>1168</v>
      </c>
      <c r="I142" s="140"/>
      <c r="J142" s="328">
        <f>H142/DAY(B2)</f>
        <v>146</v>
      </c>
    </row>
    <row r="143" spans="1:15" ht="25.5">
      <c r="A143" s="901" t="s">
        <v>91</v>
      </c>
      <c r="B143" s="901"/>
      <c r="C143" s="901"/>
      <c r="D143" s="151" t="s">
        <v>183</v>
      </c>
      <c r="E143" s="95">
        <f>'7'!F143</f>
        <v>7509.48</v>
      </c>
      <c r="F143" s="149">
        <v>7512</v>
      </c>
      <c r="G143" s="112">
        <f t="shared" si="11"/>
        <v>2.5200000000004366</v>
      </c>
      <c r="H143" s="99">
        <f>G143+'7'!H143</f>
        <v>206</v>
      </c>
      <c r="I143" s="140"/>
      <c r="J143" s="328">
        <f>H143/DAY(B2)</f>
        <v>25.75</v>
      </c>
    </row>
    <row r="144" spans="1:15" ht="25.5">
      <c r="A144" s="905" t="s">
        <v>90</v>
      </c>
      <c r="B144" s="905"/>
      <c r="C144" s="905"/>
      <c r="D144" s="151" t="s">
        <v>183</v>
      </c>
      <c r="E144" s="95">
        <f>'7'!F144</f>
        <v>906763</v>
      </c>
      <c r="F144" s="149">
        <v>907012</v>
      </c>
      <c r="G144" s="112">
        <f t="shared" si="11"/>
        <v>249</v>
      </c>
      <c r="H144" s="99">
        <f>G144+'7'!H144</f>
        <v>1959</v>
      </c>
      <c r="I144" s="140"/>
      <c r="J144" s="328">
        <f>H144/DAY(B2)</f>
        <v>244.875</v>
      </c>
    </row>
    <row r="145" spans="1:10" ht="25.5">
      <c r="A145" s="901" t="s">
        <v>190</v>
      </c>
      <c r="B145" s="901"/>
      <c r="C145" s="901"/>
      <c r="D145" s="152" t="s">
        <v>183</v>
      </c>
      <c r="E145" s="95">
        <f>'7'!F145</f>
        <v>5664.44</v>
      </c>
      <c r="F145" s="148">
        <v>5664</v>
      </c>
      <c r="G145" s="112">
        <f t="shared" si="11"/>
        <v>-0.43999999999959982</v>
      </c>
      <c r="H145" s="99">
        <f>G145+'7'!H145</f>
        <v>0</v>
      </c>
      <c r="I145" s="140"/>
      <c r="J145" s="328">
        <f>H145/DAY(B2)</f>
        <v>0</v>
      </c>
    </row>
    <row r="146" spans="1:10" ht="25.5">
      <c r="A146" s="902" t="s">
        <v>191</v>
      </c>
      <c r="B146" s="903"/>
      <c r="C146" s="904"/>
      <c r="D146" s="152" t="s">
        <v>183</v>
      </c>
      <c r="E146" s="95">
        <f>'7'!F146</f>
        <v>778220</v>
      </c>
      <c r="F146" s="148">
        <v>778264</v>
      </c>
      <c r="G146" s="112">
        <f t="shared" si="11"/>
        <v>44</v>
      </c>
      <c r="H146" s="99">
        <f>G146+'7'!H146</f>
        <v>396</v>
      </c>
      <c r="I146" s="140"/>
      <c r="J146" s="328">
        <f>H146/DAY(B2)</f>
        <v>49.5</v>
      </c>
    </row>
    <row r="147" spans="1:10" ht="25.5">
      <c r="A147" s="905" t="s">
        <v>192</v>
      </c>
      <c r="B147" s="905"/>
      <c r="C147" s="905"/>
      <c r="D147" s="152" t="s">
        <v>183</v>
      </c>
      <c r="E147" s="95">
        <f>'7'!F147</f>
        <v>678508.88</v>
      </c>
      <c r="F147" s="148">
        <v>678898</v>
      </c>
      <c r="G147" s="112">
        <f t="shared" si="11"/>
        <v>389.11999999999534</v>
      </c>
      <c r="H147" s="99">
        <f>G147+'7'!H147</f>
        <v>3050</v>
      </c>
      <c r="I147" s="140"/>
      <c r="J147" s="328">
        <f>H147/DAY(B2)</f>
        <v>381.25</v>
      </c>
    </row>
    <row r="148" spans="1:10" ht="25.5">
      <c r="A148" s="897" t="s">
        <v>193</v>
      </c>
      <c r="B148" s="898"/>
      <c r="C148" s="899"/>
      <c r="D148" s="123" t="s">
        <v>130</v>
      </c>
      <c r="E148" s="95">
        <f>'7'!F148</f>
        <v>731750.32</v>
      </c>
      <c r="F148" s="150">
        <v>732075.12</v>
      </c>
      <c r="G148" s="112">
        <f t="shared" si="11"/>
        <v>324.80000000004657</v>
      </c>
      <c r="H148" s="99">
        <f>G148+'7'!H148</f>
        <v>2330.1199999999953</v>
      </c>
      <c r="I148" s="124"/>
      <c r="J148" s="328">
        <f>H148/DAY(B2)</f>
        <v>291.26499999999942</v>
      </c>
    </row>
    <row r="149" spans="1:10" ht="25.5">
      <c r="A149" s="897" t="s">
        <v>336</v>
      </c>
      <c r="B149" s="898"/>
      <c r="C149" s="899"/>
      <c r="D149" s="227" t="s">
        <v>130</v>
      </c>
      <c r="E149" s="95">
        <f>'7'!F149</f>
        <v>104811</v>
      </c>
      <c r="F149" s="146">
        <v>105303.52</v>
      </c>
      <c r="G149" s="112">
        <f t="shared" si="11"/>
        <v>492.52000000000407</v>
      </c>
      <c r="H149" s="99">
        <f>G149+'7'!H149</f>
        <v>4408.5200000000041</v>
      </c>
      <c r="I149" s="119"/>
      <c r="J149" s="328">
        <f>H149/DAY(B2)</f>
        <v>551.06500000000051</v>
      </c>
    </row>
    <row r="150" spans="1:10" ht="25.5">
      <c r="A150" s="897" t="s">
        <v>337</v>
      </c>
      <c r="B150" s="898"/>
      <c r="C150" s="899"/>
      <c r="D150" s="117" t="s">
        <v>130</v>
      </c>
      <c r="E150" s="95">
        <f>'7'!F150</f>
        <v>38739.1</v>
      </c>
      <c r="F150" s="233">
        <v>38811.800000000003</v>
      </c>
      <c r="G150" s="112">
        <f t="shared" si="11"/>
        <v>72.700000000004366</v>
      </c>
      <c r="H150" s="99">
        <f>G150+'7'!H150</f>
        <v>1595.8000000000029</v>
      </c>
      <c r="I150" s="119"/>
      <c r="J150" s="328">
        <f>H150/DAY(B2)</f>
        <v>199.47500000000036</v>
      </c>
    </row>
    <row r="151" spans="1:10" ht="25.5">
      <c r="A151" s="897" t="s">
        <v>338</v>
      </c>
      <c r="B151" s="898"/>
      <c r="C151" s="899"/>
      <c r="D151" s="117" t="s">
        <v>130</v>
      </c>
      <c r="E151" s="95">
        <f>'7'!F151</f>
        <v>120171</v>
      </c>
      <c r="F151" s="233">
        <v>120464</v>
      </c>
      <c r="G151" s="112">
        <f t="shared" si="11"/>
        <v>293</v>
      </c>
      <c r="H151" s="99">
        <f>G151+'7'!H151</f>
        <v>2327</v>
      </c>
      <c r="I151" s="119"/>
      <c r="J151" s="328">
        <f>H151/DAY(B2)</f>
        <v>290.875</v>
      </c>
    </row>
    <row r="152" spans="1:10" ht="25.5">
      <c r="A152" s="897" t="s">
        <v>339</v>
      </c>
      <c r="B152" s="898"/>
      <c r="C152" s="899"/>
      <c r="D152" s="117" t="s">
        <v>130</v>
      </c>
      <c r="E152" s="95">
        <f>'7'!F152</f>
        <v>16342.2</v>
      </c>
      <c r="F152" s="233">
        <v>16390.5</v>
      </c>
      <c r="G152" s="112">
        <f t="shared" si="11"/>
        <v>48.299999999999272</v>
      </c>
      <c r="H152" s="99">
        <f>G152+'7'!H152</f>
        <v>5234.5</v>
      </c>
      <c r="I152" s="119"/>
      <c r="J152" s="328">
        <f>H152/DAY(B2)</f>
        <v>654.3125</v>
      </c>
    </row>
    <row r="153" spans="1:10" ht="25.5">
      <c r="A153" s="934" t="s">
        <v>196</v>
      </c>
      <c r="B153" s="935"/>
      <c r="C153" s="365"/>
      <c r="D153" s="358"/>
      <c r="E153" s="360"/>
      <c r="F153" s="361"/>
      <c r="G153" s="362">
        <f>SUM(G138:G152)</f>
        <v>2234.6600000000508</v>
      </c>
      <c r="H153" s="363"/>
      <c r="I153" s="119">
        <f>G153-(G38+G52)</f>
        <v>1499.6600000000508</v>
      </c>
      <c r="J153" s="366"/>
    </row>
    <row r="154" spans="1:10" ht="27.75">
      <c r="A154" s="938" t="s">
        <v>344</v>
      </c>
      <c r="B154" s="938"/>
      <c r="C154" s="938"/>
      <c r="D154" s="938"/>
      <c r="E154" s="938"/>
      <c r="F154" s="938"/>
      <c r="G154" s="938"/>
      <c r="H154" s="938"/>
      <c r="I154" s="938"/>
      <c r="J154" s="938"/>
    </row>
    <row r="155" spans="1:10" ht="27.75">
      <c r="A155" s="905" t="s">
        <v>345</v>
      </c>
      <c r="B155" s="905"/>
      <c r="C155" s="905"/>
      <c r="D155" s="117" t="s">
        <v>130</v>
      </c>
      <c r="E155" s="95">
        <f>'7'!F155</f>
        <v>116199.27</v>
      </c>
      <c r="F155" s="374">
        <v>116837</v>
      </c>
      <c r="G155" s="112">
        <f t="shared" ref="G155:G158" si="12">F155-E155</f>
        <v>637.72999999999593</v>
      </c>
      <c r="H155" s="99">
        <f>G155+'7'!H155</f>
        <v>4862</v>
      </c>
      <c r="I155" s="364"/>
      <c r="J155" s="328">
        <f>H155/DAY(B2)</f>
        <v>607.75</v>
      </c>
    </row>
    <row r="156" spans="1:10" ht="25.5">
      <c r="A156" s="905" t="s">
        <v>346</v>
      </c>
      <c r="B156" s="905"/>
      <c r="C156" s="905"/>
      <c r="D156" s="117" t="s">
        <v>130</v>
      </c>
      <c r="E156" s="95">
        <f>'7'!F156</f>
        <v>10191.39</v>
      </c>
      <c r="F156" s="155">
        <v>10270</v>
      </c>
      <c r="G156" s="112">
        <f t="shared" si="12"/>
        <v>78.610000000000582</v>
      </c>
      <c r="H156" s="99">
        <f>G156+'7'!H156</f>
        <v>585</v>
      </c>
      <c r="I156" s="165"/>
      <c r="J156" s="328">
        <f>H156/DAY(B2)</f>
        <v>73.125</v>
      </c>
    </row>
    <row r="157" spans="1:10" ht="25.5">
      <c r="A157" s="897" t="s">
        <v>360</v>
      </c>
      <c r="B157" s="898"/>
      <c r="C157" s="899"/>
      <c r="D157" s="117" t="s">
        <v>130</v>
      </c>
      <c r="E157" s="95">
        <f>'7'!F157</f>
        <v>19428.16</v>
      </c>
      <c r="F157" s="155">
        <v>19618.46</v>
      </c>
      <c r="G157" s="112">
        <f t="shared" si="12"/>
        <v>190.29999999999927</v>
      </c>
      <c r="H157" s="99">
        <f>G157+'7'!H157</f>
        <v>1418.4599999999991</v>
      </c>
      <c r="I157" s="165"/>
      <c r="J157" s="328">
        <f>H157/DAY(B2)</f>
        <v>177.30749999999989</v>
      </c>
    </row>
    <row r="158" spans="1:10" ht="25.5">
      <c r="A158" s="897" t="s">
        <v>361</v>
      </c>
      <c r="B158" s="898"/>
      <c r="C158" s="899"/>
      <c r="D158" s="117" t="s">
        <v>130</v>
      </c>
      <c r="E158" s="95">
        <f>'7'!F158</f>
        <v>173.9</v>
      </c>
      <c r="F158" s="155">
        <v>177.9</v>
      </c>
      <c r="G158" s="112">
        <f t="shared" si="12"/>
        <v>4</v>
      </c>
      <c r="H158" s="99">
        <f>G158+'7'!H158</f>
        <v>87.48</v>
      </c>
      <c r="I158" s="165"/>
      <c r="J158" s="328">
        <f>H158/DAY(B2)</f>
        <v>10.935</v>
      </c>
    </row>
    <row r="159" spans="1:10" ht="25.5">
      <c r="A159" s="956"/>
      <c r="B159" s="957"/>
      <c r="C159" s="958"/>
      <c r="D159" s="117"/>
      <c r="E159" s="95"/>
      <c r="F159" s="155"/>
      <c r="G159" s="112"/>
      <c r="H159" s="99"/>
      <c r="I159" s="165"/>
      <c r="J159" s="328"/>
    </row>
    <row r="160" spans="1:10" ht="27.75">
      <c r="A160" s="938" t="s">
        <v>326</v>
      </c>
      <c r="B160" s="938"/>
      <c r="C160" s="938"/>
      <c r="D160" s="938"/>
      <c r="E160" s="938"/>
      <c r="F160" s="938"/>
      <c r="G160" s="938"/>
      <c r="H160" s="938"/>
      <c r="I160" s="938"/>
      <c r="J160" s="938"/>
    </row>
    <row r="161" spans="1:10" ht="26.25">
      <c r="A161" s="242" t="s">
        <v>92</v>
      </c>
      <c r="B161" s="243"/>
      <c r="C161" s="243"/>
      <c r="D161" s="244" t="s">
        <v>180</v>
      </c>
      <c r="E161" s="95">
        <f>'7'!F161</f>
        <v>475879.56</v>
      </c>
      <c r="F161" s="235">
        <v>476071.2</v>
      </c>
      <c r="G161" s="238">
        <f t="shared" ref="G161:G165" si="13">F161-E161</f>
        <v>191.64000000001397</v>
      </c>
      <c r="H161" s="99">
        <f>G161+'7'!H161</f>
        <v>650.20000000001164</v>
      </c>
      <c r="I161" s="236"/>
      <c r="J161" s="239">
        <f>H161/DAY(B2)</f>
        <v>81.275000000001455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'7'!F162</f>
        <v>92972</v>
      </c>
      <c r="F162" s="235">
        <v>93004.800000000003</v>
      </c>
      <c r="G162" s="238">
        <f t="shared" si="13"/>
        <v>32.80000000000291</v>
      </c>
      <c r="H162" s="99">
        <f>G162+'7'!H162</f>
        <v>277.80000000000291</v>
      </c>
      <c r="I162" s="236"/>
      <c r="J162" s="239">
        <f>H162/DAY(B2)</f>
        <v>34.725000000000364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'7'!F163</f>
        <v>98199</v>
      </c>
      <c r="F163" s="235">
        <v>98394.7</v>
      </c>
      <c r="G163" s="238">
        <f t="shared" si="13"/>
        <v>195.69999999999709</v>
      </c>
      <c r="H163" s="99">
        <f>G163+'7'!H163</f>
        <v>1259.6999999999971</v>
      </c>
      <c r="I163" s="236"/>
      <c r="J163" s="239">
        <f>H163/DAY(B2)</f>
        <v>157.46249999999964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'7'!F164</f>
        <v>5619.6</v>
      </c>
      <c r="F164" s="235">
        <v>5636.1</v>
      </c>
      <c r="G164" s="238">
        <f t="shared" si="13"/>
        <v>16.5</v>
      </c>
      <c r="H164" s="99">
        <f>G164+'7'!H164</f>
        <v>94.100000000000364</v>
      </c>
      <c r="I164" s="236"/>
      <c r="J164" s="239">
        <f>H164/DAY(B2)</f>
        <v>11.762500000000045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'7'!F165</f>
        <v>31093.99</v>
      </c>
      <c r="F165" s="235">
        <v>31104.75</v>
      </c>
      <c r="G165" s="238">
        <f t="shared" si="13"/>
        <v>10.759999999998399</v>
      </c>
      <c r="H165" s="99">
        <f>G165+'7'!H165</f>
        <v>90.75</v>
      </c>
      <c r="I165" s="236"/>
      <c r="J165" s="239">
        <f>H165/DAY(B2)</f>
        <v>11.34375</v>
      </c>
    </row>
    <row r="166" spans="1:10" ht="26.25">
      <c r="A166" s="937"/>
      <c r="B166" s="937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6.25">
      <c r="A167" s="937"/>
      <c r="B167" s="937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6.25">
      <c r="A168" s="937"/>
      <c r="B168" s="937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7" t="s">
        <v>330</v>
      </c>
      <c r="B171" s="948"/>
      <c r="C171" s="948"/>
      <c r="D171" s="948"/>
      <c r="E171" s="948"/>
      <c r="F171" s="948"/>
      <c r="G171" s="948"/>
      <c r="H171" s="948"/>
      <c r="I171" s="948"/>
      <c r="J171" s="949"/>
    </row>
    <row r="172" spans="1:10" ht="25.5">
      <c r="A172" s="943"/>
      <c r="B172" s="944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5" t="s">
        <v>209</v>
      </c>
      <c r="B173" s="896"/>
      <c r="C173" s="333"/>
      <c r="D173" s="228" t="s">
        <v>142</v>
      </c>
      <c r="E173" s="95">
        <f>'7'!F173</f>
        <v>8270</v>
      </c>
      <c r="F173" s="155">
        <v>8273</v>
      </c>
      <c r="G173" s="155">
        <f>F173-E173</f>
        <v>3</v>
      </c>
      <c r="H173" s="99">
        <f>G173+'7'!H173</f>
        <v>9</v>
      </c>
      <c r="I173" s="155"/>
      <c r="J173" s="178">
        <f>H173/DAY(B2)</f>
        <v>1.125</v>
      </c>
    </row>
    <row r="174" spans="1:10" ht="25.5">
      <c r="A174" s="895" t="s">
        <v>75</v>
      </c>
      <c r="B174" s="896"/>
      <c r="C174" s="333"/>
      <c r="D174" s="228" t="s">
        <v>142</v>
      </c>
      <c r="E174" s="95">
        <f>'7'!F174</f>
        <v>40430</v>
      </c>
      <c r="F174" s="157">
        <v>40445</v>
      </c>
      <c r="G174" s="155">
        <f t="shared" ref="G174:G175" si="14">F174-E174</f>
        <v>15</v>
      </c>
      <c r="H174" s="99">
        <f>G174+'7'!H174</f>
        <v>113</v>
      </c>
      <c r="I174" s="155"/>
      <c r="J174" s="178">
        <f>H174/DAY(B2)</f>
        <v>14.125</v>
      </c>
    </row>
    <row r="175" spans="1:10" ht="25.5">
      <c r="A175" s="895" t="s">
        <v>76</v>
      </c>
      <c r="B175" s="900"/>
      <c r="C175" s="896"/>
      <c r="D175" s="228" t="s">
        <v>142</v>
      </c>
      <c r="E175" s="95">
        <f>'7'!F175</f>
        <v>23369</v>
      </c>
      <c r="F175" s="155">
        <v>23382</v>
      </c>
      <c r="G175" s="155">
        <f t="shared" si="14"/>
        <v>13</v>
      </c>
      <c r="H175" s="99">
        <f>G175+'7'!H175</f>
        <v>124</v>
      </c>
      <c r="I175" s="155"/>
      <c r="J175" s="178">
        <f>H175/DAY(B2)</f>
        <v>15.5</v>
      </c>
    </row>
    <row r="176" spans="1:10" ht="25.5">
      <c r="A176" s="934" t="s">
        <v>196</v>
      </c>
      <c r="B176" s="935"/>
      <c r="C176" s="333"/>
      <c r="D176" s="228" t="s">
        <v>142</v>
      </c>
      <c r="E176" s="95"/>
      <c r="F176" s="155"/>
      <c r="G176" s="155">
        <f>SUM(G173:G175)</f>
        <v>31</v>
      </c>
      <c r="H176" s="99">
        <f>G176+'7'!H176</f>
        <v>246</v>
      </c>
      <c r="I176" s="155"/>
      <c r="J176" s="178">
        <f>H176/DAY(B2)</f>
        <v>30.75</v>
      </c>
    </row>
    <row r="177" spans="1:10" ht="25.5">
      <c r="A177" s="895" t="s">
        <v>77</v>
      </c>
      <c r="B177" s="896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5.5">
      <c r="A178" s="895" t="s">
        <v>210</v>
      </c>
      <c r="B178" s="896"/>
      <c r="C178" s="333"/>
      <c r="D178" s="228" t="s">
        <v>142</v>
      </c>
      <c r="E178" s="95">
        <f>'7'!F178</f>
        <v>92556</v>
      </c>
      <c r="F178" s="157">
        <v>92662</v>
      </c>
      <c r="G178" s="155">
        <f>F178-E178</f>
        <v>106</v>
      </c>
      <c r="H178" s="99">
        <f>G178+'7'!H178</f>
        <v>840</v>
      </c>
      <c r="I178" s="155"/>
      <c r="J178" s="178">
        <f>H178/DAY(B2)</f>
        <v>105</v>
      </c>
    </row>
    <row r="179" spans="1:10" ht="25.5">
      <c r="A179" s="895" t="s">
        <v>211</v>
      </c>
      <c r="B179" s="896"/>
      <c r="C179" s="333"/>
      <c r="D179" s="228" t="s">
        <v>142</v>
      </c>
      <c r="E179" s="95">
        <f>'7'!F179</f>
        <v>35892</v>
      </c>
      <c r="F179" s="155">
        <v>35926</v>
      </c>
      <c r="G179" s="155">
        <f t="shared" ref="G179:G180" si="15">F179-E179</f>
        <v>34</v>
      </c>
      <c r="H179" s="99">
        <f>G179+'7'!H179</f>
        <v>142</v>
      </c>
      <c r="I179" s="155"/>
      <c r="J179" s="178">
        <f>H179/DAY(B2)</f>
        <v>17.75</v>
      </c>
    </row>
    <row r="180" spans="1:10" ht="25.5">
      <c r="A180" s="895" t="s">
        <v>212</v>
      </c>
      <c r="B180" s="896"/>
      <c r="C180" s="333"/>
      <c r="D180" s="228" t="s">
        <v>142</v>
      </c>
      <c r="E180" s="95">
        <f>'7'!F180</f>
        <v>6758</v>
      </c>
      <c r="F180" s="155">
        <v>6762</v>
      </c>
      <c r="G180" s="155">
        <f t="shared" si="15"/>
        <v>4</v>
      </c>
      <c r="H180" s="99">
        <f>G180+'7'!H180</f>
        <v>92</v>
      </c>
      <c r="I180" s="155"/>
      <c r="J180" s="178">
        <f>H180/DAY(B2)</f>
        <v>11.5</v>
      </c>
    </row>
    <row r="181" spans="1:10" ht="25.5">
      <c r="A181" s="941" t="s">
        <v>108</v>
      </c>
      <c r="B181" s="942"/>
      <c r="C181" s="333"/>
      <c r="D181" s="228" t="s">
        <v>142</v>
      </c>
      <c r="E181" s="95"/>
      <c r="F181" s="155"/>
      <c r="G181" s="155">
        <f>SUM(G178:G180)</f>
        <v>144</v>
      </c>
      <c r="H181" s="99">
        <f>G181+'7'!H181</f>
        <v>1074</v>
      </c>
      <c r="I181" s="155"/>
      <c r="J181" s="178">
        <f>H181/DAY(B2)</f>
        <v>134.25</v>
      </c>
    </row>
    <row r="182" spans="1:10" ht="25.5">
      <c r="A182" s="895" t="s">
        <v>213</v>
      </c>
      <c r="B182" s="896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5.5">
      <c r="A183" s="895" t="s">
        <v>214</v>
      </c>
      <c r="B183" s="896"/>
      <c r="C183" s="334"/>
      <c r="D183" s="228" t="s">
        <v>142</v>
      </c>
      <c r="E183" s="95">
        <f>'7'!F183</f>
        <v>17068</v>
      </c>
      <c r="F183" s="157">
        <v>17080</v>
      </c>
      <c r="G183" s="157">
        <f>F183-E183</f>
        <v>12</v>
      </c>
      <c r="H183" s="99">
        <f>G183+'7'!H183</f>
        <v>125</v>
      </c>
      <c r="I183" s="155"/>
      <c r="J183" s="178">
        <f>H183/DAY(B2)</f>
        <v>15.625</v>
      </c>
    </row>
    <row r="184" spans="1:10" ht="25.5">
      <c r="A184" s="895" t="s">
        <v>215</v>
      </c>
      <c r="B184" s="896"/>
      <c r="C184" s="334"/>
      <c r="D184" s="228" t="s">
        <v>142</v>
      </c>
      <c r="E184" s="95">
        <f>'7'!F184</f>
        <v>11539</v>
      </c>
      <c r="F184" s="157">
        <v>11543</v>
      </c>
      <c r="G184" s="157">
        <f t="shared" ref="G184:G185" si="16">F184-E184</f>
        <v>4</v>
      </c>
      <c r="H184" s="99">
        <f>G184+'7'!H184</f>
        <v>57</v>
      </c>
      <c r="I184" s="155"/>
      <c r="J184" s="178">
        <f>H184/DAY(B2)</f>
        <v>7.125</v>
      </c>
    </row>
    <row r="185" spans="1:10" ht="25.5">
      <c r="A185" s="895" t="s">
        <v>216</v>
      </c>
      <c r="B185" s="896"/>
      <c r="C185" s="334"/>
      <c r="D185" s="228" t="s">
        <v>142</v>
      </c>
      <c r="E185" s="95">
        <f>'7'!F185</f>
        <v>0</v>
      </c>
      <c r="F185" s="157"/>
      <c r="G185" s="157">
        <f t="shared" si="16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>
      <c r="A186" s="934" t="s">
        <v>196</v>
      </c>
      <c r="B186" s="935"/>
      <c r="C186" s="334"/>
      <c r="D186" s="228" t="s">
        <v>142</v>
      </c>
      <c r="E186" s="95"/>
      <c r="F186" s="157"/>
      <c r="G186" s="157">
        <f>SUM(G183:G185)</f>
        <v>16</v>
      </c>
      <c r="H186" s="99">
        <f>G186+'7'!H186</f>
        <v>182</v>
      </c>
      <c r="I186" s="157"/>
      <c r="J186" s="178">
        <f>H186/DAY(B2)</f>
        <v>22.75</v>
      </c>
    </row>
    <row r="187" spans="1:10" ht="25.5">
      <c r="A187" s="945" t="s">
        <v>217</v>
      </c>
      <c r="B187" s="946"/>
      <c r="C187" s="333"/>
      <c r="D187" s="230" t="s">
        <v>142</v>
      </c>
      <c r="E187" s="95"/>
      <c r="F187" s="159"/>
      <c r="G187" s="159">
        <f>G62+G19</f>
        <v>142.59999999997672</v>
      </c>
      <c r="H187" s="99">
        <f>G187+'7'!H187</f>
        <v>1735</v>
      </c>
      <c r="I187" s="158"/>
      <c r="J187" s="179">
        <f>H187/DAY(B2)</f>
        <v>216.875</v>
      </c>
    </row>
    <row r="188" spans="1:10" ht="25.5">
      <c r="A188" s="945" t="s">
        <v>218</v>
      </c>
      <c r="B188" s="946"/>
      <c r="C188" s="333"/>
      <c r="D188" s="230" t="s">
        <v>142</v>
      </c>
      <c r="E188" s="95"/>
      <c r="F188" s="159"/>
      <c r="G188" s="159">
        <f>G65+G66+G67+G69+G70</f>
        <v>144</v>
      </c>
      <c r="H188" s="99">
        <f>G188+'7'!H188</f>
        <v>1718</v>
      </c>
      <c r="I188" s="158"/>
      <c r="J188" s="179">
        <f>H188/DAY(B2)</f>
        <v>214.75</v>
      </c>
    </row>
    <row r="189" spans="1:10" ht="25.5">
      <c r="A189" s="945" t="s">
        <v>219</v>
      </c>
      <c r="B189" s="946"/>
      <c r="C189" s="333"/>
      <c r="D189" s="230" t="s">
        <v>142</v>
      </c>
      <c r="E189" s="95"/>
      <c r="F189" s="157"/>
      <c r="G189" s="157">
        <f>G181</f>
        <v>144</v>
      </c>
      <c r="H189" s="99">
        <f>G189+'7'!H189</f>
        <v>1074</v>
      </c>
      <c r="I189" s="158"/>
      <c r="J189" s="179">
        <f>H189/DAY(B2)</f>
        <v>134.25</v>
      </c>
    </row>
    <row r="190" spans="1:10" ht="25.5">
      <c r="A190" s="939"/>
      <c r="B190" s="940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0.25" customHeight="1"/>
    <row r="195" ht="20.25" customHeight="1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</mergeCells>
  <pageMargins left="0.22" right="0.17" top="0.14000000000000001" bottom="0.2" header="0.2" footer="0.2"/>
  <pageSetup paperSize="5" scale="2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zoomScale="55" zoomScaleNormal="80" zoomScaleSheetLayoutView="55" workbookViewId="0">
      <selection activeCell="H202" sqref="H202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6" t="s">
        <v>115</v>
      </c>
      <c r="B1" s="877"/>
      <c r="C1" s="877"/>
      <c r="D1" s="877"/>
      <c r="E1" s="877"/>
      <c r="F1" s="877"/>
      <c r="G1" s="877"/>
      <c r="H1" s="877"/>
      <c r="I1" s="877"/>
      <c r="J1" s="878"/>
    </row>
    <row r="2" spans="1:15" s="57" customFormat="1" ht="23.25">
      <c r="A2" s="191" t="s">
        <v>375</v>
      </c>
      <c r="B2" s="262">
        <v>44660</v>
      </c>
      <c r="C2" s="348" t="s">
        <v>67</v>
      </c>
      <c r="D2" s="218">
        <v>0.65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885" t="s">
        <v>119</v>
      </c>
      <c r="F3" s="886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9" t="s">
        <v>128</v>
      </c>
      <c r="B6" s="880"/>
      <c r="C6" s="88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v>910044</v>
      </c>
      <c r="F7" s="95">
        <v>939640</v>
      </c>
      <c r="G7" s="112">
        <f>F7-E7</f>
        <v>29596</v>
      </c>
      <c r="H7" s="99">
        <f>G7+'8'!H7</f>
        <v>246519</v>
      </c>
      <c r="I7" s="113">
        <f>'1'!I7</f>
        <v>12000</v>
      </c>
      <c r="J7" s="175">
        <f>H7/DAY(B2)</f>
        <v>27391</v>
      </c>
      <c r="K7" s="172">
        <v>1375467</v>
      </c>
      <c r="L7" s="66"/>
      <c r="N7" s="87">
        <f>G7+600</f>
        <v>30196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v>34725.56</v>
      </c>
      <c r="F8" s="114">
        <v>65526</v>
      </c>
      <c r="G8" s="115">
        <f>F8-E8</f>
        <v>30800.440000000002</v>
      </c>
      <c r="H8" s="99">
        <f>G8+'8'!H8</f>
        <v>256867.10000000003</v>
      </c>
      <c r="I8" s="116"/>
      <c r="J8" s="175">
        <f>H8/DAY(B2)</f>
        <v>28540.788888888892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v>2553748.7000000002</v>
      </c>
      <c r="F9" s="352">
        <v>2569054.7000000002</v>
      </c>
      <c r="G9" s="112">
        <f>F9-E9</f>
        <v>15306</v>
      </c>
      <c r="H9" s="99">
        <f>G9+'8'!H9</f>
        <v>118946</v>
      </c>
      <c r="I9" s="124">
        <f>I7-J7</f>
        <v>-15391</v>
      </c>
      <c r="J9" s="175">
        <f>H9/DAY(B2)</f>
        <v>13216.222222222223</v>
      </c>
      <c r="K9" s="79">
        <f>K8-100</f>
        <v>1715817</v>
      </c>
      <c r="L9" s="66"/>
      <c r="N9" s="87">
        <f>E8+234223+600</f>
        <v>269548.56</v>
      </c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v>1003317.2</v>
      </c>
      <c r="F10" s="117">
        <v>1016376.2</v>
      </c>
      <c r="G10" s="112">
        <f t="shared" ref="G10:G12" si="0">F10-E10</f>
        <v>13059</v>
      </c>
      <c r="H10" s="99">
        <f>G10+'8'!H10</f>
        <v>105973</v>
      </c>
      <c r="I10" s="282"/>
      <c r="J10" s="175">
        <f>H10/DAY(B2)</f>
        <v>11774.777777777777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'8'!F11</f>
        <v>37560</v>
      </c>
      <c r="F11" s="95">
        <v>37560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'8'!F12</f>
        <v>40380</v>
      </c>
      <c r="F12" s="117">
        <v>40380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28365</v>
      </c>
      <c r="H13" s="99">
        <f>G13+'8'!H13</f>
        <v>224780</v>
      </c>
      <c r="I13" s="120">
        <f>G7-G13</f>
        <v>1231</v>
      </c>
      <c r="J13" s="175">
        <f>H13/DAY(B2)</f>
        <v>24975.555555555555</v>
      </c>
      <c r="K13" s="79"/>
      <c r="L13" s="66"/>
      <c r="N13" s="87"/>
      <c r="O13" s="71"/>
    </row>
    <row r="14" spans="1:15" ht="26.25">
      <c r="A14" s="882" t="s">
        <v>137</v>
      </c>
      <c r="B14" s="883"/>
      <c r="C14" s="88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'8'!F15</f>
        <v>2045817</v>
      </c>
      <c r="F15" s="469">
        <v>2046733</v>
      </c>
      <c r="G15" s="112">
        <f>(F15-E15)</f>
        <v>916</v>
      </c>
      <c r="H15" s="99">
        <f>G15+'8'!H15</f>
        <v>9616</v>
      </c>
      <c r="I15" s="113">
        <f>'1'!I15</f>
        <v>800</v>
      </c>
      <c r="J15" s="175">
        <f>H15/DAY(B2)</f>
        <v>1068.4444444444443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-268.44444444444434</v>
      </c>
      <c r="J16" s="176"/>
      <c r="K16" s="79"/>
      <c r="L16" s="66"/>
      <c r="N16" s="87"/>
      <c r="O16" s="71"/>
    </row>
    <row r="17" spans="1:15" ht="26.25">
      <c r="A17" s="882" t="s">
        <v>140</v>
      </c>
      <c r="B17" s="883"/>
      <c r="C17" s="88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3" t="s">
        <v>141</v>
      </c>
      <c r="B18" s="874"/>
      <c r="C18" s="875"/>
      <c r="D18" s="151" t="s">
        <v>142</v>
      </c>
      <c r="E18" s="95">
        <f>'8'!F18</f>
        <v>14</v>
      </c>
      <c r="F18" s="164">
        <v>23</v>
      </c>
      <c r="G18" s="119">
        <f>F18*10</f>
        <v>230</v>
      </c>
      <c r="H18" s="99">
        <f>G18+'8'!H18</f>
        <v>2130</v>
      </c>
      <c r="I18" s="113">
        <f>'1'!I18</f>
        <v>65</v>
      </c>
      <c r="J18" s="175">
        <f>H18/DAY(B2)</f>
        <v>236.66666666666666</v>
      </c>
      <c r="K18" s="79"/>
      <c r="L18" s="66"/>
      <c r="N18" s="87"/>
      <c r="O18" s="71"/>
    </row>
    <row r="19" spans="1:15" ht="25.5">
      <c r="A19" s="873" t="s">
        <v>69</v>
      </c>
      <c r="B19" s="874"/>
      <c r="C19" s="875"/>
      <c r="D19" s="151" t="s">
        <v>142</v>
      </c>
      <c r="E19" s="95">
        <f>'8'!F19</f>
        <v>160532</v>
      </c>
      <c r="F19" s="122">
        <f>160532+50</f>
        <v>160582</v>
      </c>
      <c r="G19" s="112">
        <f t="shared" ref="G19" si="1">F19-E19</f>
        <v>50</v>
      </c>
      <c r="H19" s="99">
        <f>G19+'8'!H19</f>
        <v>475</v>
      </c>
      <c r="I19" s="335"/>
      <c r="J19" s="175">
        <f>H19/DAY(B2)</f>
        <v>52.777777777777779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280</v>
      </c>
      <c r="H20" s="99">
        <f>G20+'8'!H20</f>
        <v>2605</v>
      </c>
      <c r="I20" s="336">
        <f>I18-J20</f>
        <v>-224.44444444444446</v>
      </c>
      <c r="J20" s="175">
        <f>H20/DAY(B2)</f>
        <v>289.44444444444446</v>
      </c>
      <c r="K20" s="79"/>
      <c r="L20" s="66"/>
      <c r="N20" s="87"/>
      <c r="O20" s="71"/>
    </row>
    <row r="21" spans="1:15" ht="26.25">
      <c r="A21" s="882" t="s">
        <v>144</v>
      </c>
      <c r="B21" s="883"/>
      <c r="C21" s="88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'8'!F23</f>
        <v>2000</v>
      </c>
      <c r="F23" s="122">
        <v>1500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'8'!F24</f>
        <v>2970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7" t="s">
        <v>149</v>
      </c>
      <c r="B25" s="888"/>
      <c r="C25" s="88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30800.440000000002</v>
      </c>
      <c r="F27" s="136">
        <v>9</v>
      </c>
      <c r="G27" s="137">
        <f>E27*F27</f>
        <v>277203.96000000002</v>
      </c>
      <c r="H27" s="99">
        <f>G27+'8'!H27</f>
        <v>2311803.9000000004</v>
      </c>
      <c r="I27" s="138"/>
      <c r="J27" s="175">
        <f>H27/DAY(B2)</f>
        <v>256867.10000000003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916</v>
      </c>
      <c r="F28" s="136">
        <v>52</v>
      </c>
      <c r="G28" s="137">
        <f>E28*F28</f>
        <v>47632</v>
      </c>
      <c r="H28" s="99">
        <f>G28+'8'!H28</f>
        <v>656632</v>
      </c>
      <c r="I28" s="140"/>
      <c r="J28" s="175">
        <f>H28/DAY(B2)</f>
        <v>72959.111111111109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G30+'8'!H30</f>
        <v>71475</v>
      </c>
      <c r="I30" s="140"/>
      <c r="J30" s="175">
        <f>H30/DAY(B2)</f>
        <v>7941.666666666667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137">
        <f>E31*F31</f>
        <v>18400</v>
      </c>
      <c r="H31" s="99">
        <f>G31+'8'!H31</f>
        <v>170400</v>
      </c>
      <c r="I31" s="140"/>
      <c r="J31" s="175">
        <f>H31/DAY(B2)</f>
        <v>18933.333333333332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350535.96</v>
      </c>
      <c r="H32" s="99">
        <f>G32+'8'!H32</f>
        <v>3210310.9000000004</v>
      </c>
      <c r="I32" s="144"/>
      <c r="J32" s="175">
        <f>H32/DAY(B2)</f>
        <v>356701.21111111116</v>
      </c>
      <c r="K32" s="63"/>
      <c r="L32" s="89"/>
      <c r="N32" s="87"/>
      <c r="O32" s="71"/>
    </row>
    <row r="33" spans="1:15" ht="25.5" customHeight="1">
      <c r="A33" s="890" t="s">
        <v>331</v>
      </c>
      <c r="B33" s="891"/>
      <c r="C33" s="89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145">
        <f>'8'!F35</f>
        <v>238714</v>
      </c>
      <c r="F35" s="145">
        <v>238713.05</v>
      </c>
      <c r="G35" s="112">
        <f t="shared" ref="G35:G46" si="3">F35-E35</f>
        <v>-0.95000000001164153</v>
      </c>
      <c r="H35" s="99">
        <f>G35+'8'!H35</f>
        <v>-0.95000000001164153</v>
      </c>
      <c r="I35" s="95"/>
      <c r="J35" s="175">
        <f>H35/DAY(B2)</f>
        <v>-0.10555555555684906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145">
        <f>'8'!F36</f>
        <v>166882</v>
      </c>
      <c r="F36" s="145">
        <v>168511</v>
      </c>
      <c r="G36" s="112">
        <f t="shared" si="3"/>
        <v>1629</v>
      </c>
      <c r="H36" s="99">
        <f>G36+'8'!H36</f>
        <v>8063</v>
      </c>
      <c r="I36" s="95"/>
      <c r="J36" s="175">
        <f>H36/DAY(B2)</f>
        <v>895.88888888888891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145">
        <f>'8'!F37</f>
        <v>248619</v>
      </c>
      <c r="F37" s="145">
        <v>251726</v>
      </c>
      <c r="G37" s="112">
        <f t="shared" si="3"/>
        <v>3107</v>
      </c>
      <c r="H37" s="99">
        <f>G37+'8'!H37</f>
        <v>15947</v>
      </c>
      <c r="I37" s="95"/>
      <c r="J37" s="175">
        <f>H37/DAY(B2)</f>
        <v>1771.8888888888889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762">
        <f>'8'!F38+2000</f>
        <v>335966</v>
      </c>
      <c r="F38" s="108">
        <v>338216.55</v>
      </c>
      <c r="G38" s="112">
        <f t="shared" si="3"/>
        <v>2250.5499999999884</v>
      </c>
      <c r="H38" s="99">
        <f>G38+'8'!H38</f>
        <v>19924.549999999988</v>
      </c>
      <c r="I38" s="95"/>
      <c r="J38" s="175">
        <f>H38/DAY(B2)</f>
        <v>2213.8388888888876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145">
        <f>F39-2000</f>
        <v>457219.91</v>
      </c>
      <c r="F39" s="145">
        <v>459219.91</v>
      </c>
      <c r="G39" s="112">
        <f t="shared" si="3"/>
        <v>2000</v>
      </c>
      <c r="H39" s="99">
        <f>G39+'8'!H39</f>
        <v>23890</v>
      </c>
      <c r="I39" s="95"/>
      <c r="J39" s="175">
        <f>H39/DAY(B2)</f>
        <v>2654.4444444444443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145">
        <f>'8'!F40</f>
        <v>75276.5</v>
      </c>
      <c r="F40" s="145">
        <v>75530.111000000004</v>
      </c>
      <c r="G40" s="112">
        <f t="shared" si="3"/>
        <v>253.61100000000442</v>
      </c>
      <c r="H40" s="99">
        <f>G40+'8'!H40</f>
        <v>1977.1110000000044</v>
      </c>
      <c r="I40" s="95"/>
      <c r="J40" s="175">
        <f>H40/DAY(B2)</f>
        <v>219.67900000000049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145">
        <f>'8'!F41</f>
        <v>68835</v>
      </c>
      <c r="F41" s="145">
        <v>71544.28</v>
      </c>
      <c r="G41" s="112">
        <f t="shared" si="3"/>
        <v>2709.2799999999988</v>
      </c>
      <c r="H41" s="99">
        <f>G41+'8'!H41</f>
        <v>2709.2799999999988</v>
      </c>
      <c r="I41" s="95"/>
      <c r="J41" s="175">
        <f>H41/DAY(B2)</f>
        <v>301.03111111111099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145">
        <f>'8'!F42+3000</f>
        <v>597996</v>
      </c>
      <c r="F42" s="145">
        <v>603888.23</v>
      </c>
      <c r="G42" s="112">
        <f t="shared" si="3"/>
        <v>5892.2299999999814</v>
      </c>
      <c r="H42" s="99">
        <f>G42+'8'!H42</f>
        <v>41016.229999999981</v>
      </c>
      <c r="I42" s="95"/>
      <c r="J42" s="175">
        <f>H42/DAY(B2)</f>
        <v>4557.3588888888871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145">
        <f>'8'!F43</f>
        <v>407028</v>
      </c>
      <c r="F43" s="145">
        <v>407028</v>
      </c>
      <c r="G43" s="112">
        <f t="shared" si="3"/>
        <v>0</v>
      </c>
      <c r="H43" s="99">
        <f>G43+'8'!H43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14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14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14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17840.720999999961</v>
      </c>
      <c r="H47" s="99">
        <f>G47+'8'!H47</f>
        <v>113526.22099999996</v>
      </c>
      <c r="I47" s="95"/>
      <c r="J47" s="175">
        <f>H47/DAY(B2)</f>
        <v>12614.024555555552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145">
        <f>'8'!F49+3000</f>
        <v>287972</v>
      </c>
      <c r="F49" s="145">
        <v>291648.84999999998</v>
      </c>
      <c r="G49" s="112">
        <f t="shared" ref="G49:G58" si="4">F49-E49</f>
        <v>3676.8499999999767</v>
      </c>
      <c r="H49" s="99">
        <f>G49+'8'!H49</f>
        <v>31501.849999999977</v>
      </c>
      <c r="I49" s="95"/>
      <c r="J49" s="175">
        <f>H49/DAY(B2)</f>
        <v>3500.205555555553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f>'8'!F50</f>
        <v>218060</v>
      </c>
      <c r="F50" s="145">
        <v>219946.93</v>
      </c>
      <c r="G50" s="112">
        <f t="shared" si="4"/>
        <v>1886.929999999993</v>
      </c>
      <c r="H50" s="99">
        <f>G50+'8'!H50</f>
        <v>10382.929999999993</v>
      </c>
      <c r="I50" s="95"/>
      <c r="J50" s="175">
        <f>H50/DAY(B2)</f>
        <v>1153.6588888888882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145">
        <f>'8'!F51</f>
        <v>75.680000000000007</v>
      </c>
      <c r="F51" s="145">
        <v>76</v>
      </c>
      <c r="G51" s="112">
        <f t="shared" si="4"/>
        <v>0.31999999999999318</v>
      </c>
      <c r="H51" s="99">
        <f>G51+'8'!H51</f>
        <v>0.31999999999999318</v>
      </c>
      <c r="I51" s="95"/>
      <c r="J51" s="175">
        <f>H51/DAY(B2)</f>
        <v>3.5555555555554799E-2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145">
        <f>'8'!F52</f>
        <v>9.76</v>
      </c>
      <c r="F52" s="145">
        <v>10</v>
      </c>
      <c r="G52" s="112">
        <f t="shared" si="4"/>
        <v>0.24000000000000021</v>
      </c>
      <c r="H52" s="99">
        <f>G52+'8'!H52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145">
        <f>'8'!F53</f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145">
        <f>'8'!F54</f>
        <v>67939.8</v>
      </c>
      <c r="F54" s="145">
        <v>68707.210000000006</v>
      </c>
      <c r="G54" s="112">
        <f t="shared" si="4"/>
        <v>767.41000000000349</v>
      </c>
      <c r="H54" s="99">
        <f>G54+'8'!H54</f>
        <v>4151.2100000000064</v>
      </c>
      <c r="I54" s="95"/>
      <c r="J54" s="175">
        <f>H54/DAY(B2)</f>
        <v>461.24555555555628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145">
        <f>'8'!F55</f>
        <v>248955</v>
      </c>
      <c r="F55" s="145">
        <v>253923.91</v>
      </c>
      <c r="G55" s="112">
        <f t="shared" si="4"/>
        <v>4968.9100000000035</v>
      </c>
      <c r="H55" s="99">
        <f>G55+'8'!H55</f>
        <v>28450.910000000003</v>
      </c>
      <c r="I55" s="95"/>
      <c r="J55" s="175">
        <f>H55/DAY(B2)</f>
        <v>3161.2122222222224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145">
        <f>'8'!F56</f>
        <v>107245.86</v>
      </c>
      <c r="F56" s="145">
        <v>107245.86</v>
      </c>
      <c r="G56" s="112">
        <f t="shared" si="4"/>
        <v>0</v>
      </c>
      <c r="H56" s="99">
        <f>G56+'8'!H56</f>
        <v>-0.13999999999941792</v>
      </c>
      <c r="I56" s="95"/>
      <c r="J56" s="175">
        <f>H56/DAY(B2)</f>
        <v>-1.5555555555490881E-2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145">
        <f>'8'!F57</f>
        <v>62193.23</v>
      </c>
      <c r="F57" s="145">
        <v>65441.86</v>
      </c>
      <c r="G57" s="112">
        <f t="shared" si="4"/>
        <v>3248.6299999999974</v>
      </c>
      <c r="H57" s="99">
        <f>G57+'8'!H57</f>
        <v>27838.86</v>
      </c>
      <c r="I57" s="95"/>
      <c r="J57" s="175">
        <f>H57/DAY(B2)</f>
        <v>3093.2066666666669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145">
        <f>'8'!F58+230</f>
        <v>34632.199999999997</v>
      </c>
      <c r="F58" s="145">
        <v>34858.410000000003</v>
      </c>
      <c r="G58" s="112">
        <f t="shared" si="4"/>
        <v>226.2100000000064</v>
      </c>
      <c r="H58" s="99">
        <f>G58+'8'!H58</f>
        <v>1969.4100000000035</v>
      </c>
      <c r="I58" s="95"/>
      <c r="J58" s="175">
        <f>H58/DAY(B2)</f>
        <v>218.82333333333372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14775.49999999998</v>
      </c>
      <c r="H59" s="99">
        <f>G59+'8'!H59</f>
        <v>104295.34999999999</v>
      </c>
      <c r="I59" s="95">
        <f>G7-G60</f>
        <v>-3020.2209999999395</v>
      </c>
      <c r="J59" s="175">
        <f>H59/DAY(B2)</f>
        <v>11588.37222222222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32616.22099999994</v>
      </c>
      <c r="H60" s="99">
        <f>G60+'8'!H60</f>
        <v>217821.57099999997</v>
      </c>
      <c r="I60" s="95">
        <f>G13-G60</f>
        <v>-4251.2209999999395</v>
      </c>
      <c r="J60" s="175">
        <f>H60/DAY(B2)</f>
        <v>24202.396777777773</v>
      </c>
      <c r="K60" s="79"/>
      <c r="L60" s="66"/>
      <c r="N60" s="87"/>
      <c r="O60" s="71"/>
    </row>
    <row r="61" spans="1:15" s="68" customFormat="1" ht="26.25">
      <c r="A61" s="892" t="s">
        <v>332</v>
      </c>
      <c r="B61" s="893"/>
      <c r="C61" s="89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3" t="s">
        <v>198</v>
      </c>
      <c r="B62" s="874"/>
      <c r="C62" s="875"/>
      <c r="D62" s="151" t="s">
        <v>142</v>
      </c>
      <c r="E62" s="122">
        <f>'8'!F62</f>
        <v>290210</v>
      </c>
      <c r="F62" s="122">
        <v>290337</v>
      </c>
      <c r="G62" s="112">
        <f t="shared" ref="G62:G63" si="5">F62-E62</f>
        <v>127</v>
      </c>
      <c r="H62" s="99">
        <f>G62+'8'!H62</f>
        <v>1437</v>
      </c>
      <c r="I62" s="118"/>
      <c r="J62" s="175">
        <f>H62/DAY(B2)</f>
        <v>159.66666666666666</v>
      </c>
      <c r="K62" s="80"/>
      <c r="L62" s="66"/>
      <c r="N62" s="87"/>
      <c r="O62" s="71"/>
    </row>
    <row r="63" spans="1:15" ht="25.5">
      <c r="A63" s="873" t="s">
        <v>199</v>
      </c>
      <c r="B63" s="874"/>
      <c r="C63" s="875"/>
      <c r="D63" s="151" t="s">
        <v>142</v>
      </c>
      <c r="E63" s="95">
        <f>'8'!F63</f>
        <v>232238</v>
      </c>
      <c r="F63" s="122">
        <v>232367</v>
      </c>
      <c r="G63" s="112">
        <f t="shared" si="5"/>
        <v>129</v>
      </c>
      <c r="H63" s="99">
        <f>G63+'8'!H63</f>
        <v>1205</v>
      </c>
      <c r="I63" s="118"/>
      <c r="J63" s="175">
        <f>H63/DAY(B2)</f>
        <v>133.88888888888889</v>
      </c>
      <c r="K63" s="69"/>
      <c r="L63" s="66"/>
      <c r="N63" s="87"/>
      <c r="O63" s="71"/>
    </row>
    <row r="64" spans="1:15" ht="26.25">
      <c r="A64" s="870" t="s">
        <v>200</v>
      </c>
      <c r="B64" s="871"/>
      <c r="C64" s="872"/>
      <c r="D64" s="151"/>
      <c r="E64" s="95">
        <f>'8'!F64</f>
        <v>0</v>
      </c>
      <c r="F64" s="122">
        <v>0</v>
      </c>
      <c r="G64" s="112">
        <f>G62+G63</f>
        <v>256</v>
      </c>
      <c r="H64" s="99">
        <f>G64+'8'!H64</f>
        <v>2642</v>
      </c>
      <c r="I64" s="118"/>
      <c r="J64" s="175">
        <f>H64/DAY(B2)</f>
        <v>293.55555555555554</v>
      </c>
      <c r="K64" s="69"/>
      <c r="L64" s="66"/>
      <c r="N64" s="87"/>
      <c r="O64" s="71"/>
    </row>
    <row r="65" spans="1:15" ht="25.5">
      <c r="A65" s="873" t="s">
        <v>201</v>
      </c>
      <c r="B65" s="874"/>
      <c r="C65" s="875"/>
      <c r="D65" s="151" t="s">
        <v>142</v>
      </c>
      <c r="E65" s="95">
        <f>'8'!F65</f>
        <v>448974</v>
      </c>
      <c r="F65" s="122">
        <v>449093</v>
      </c>
      <c r="G65" s="112">
        <f t="shared" ref="G65:G70" si="6">F65-E65</f>
        <v>119</v>
      </c>
      <c r="H65" s="99">
        <f>G65+'8'!H65</f>
        <v>1066</v>
      </c>
      <c r="I65" s="118"/>
      <c r="J65" s="175">
        <f>H65/DAY(B2)</f>
        <v>118.44444444444444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'8'!F66</f>
        <v>110545</v>
      </c>
      <c r="F66" s="122">
        <v>110576</v>
      </c>
      <c r="G66" s="112">
        <f t="shared" si="6"/>
        <v>31</v>
      </c>
      <c r="H66" s="99">
        <f>G66+'8'!H66</f>
        <v>245</v>
      </c>
      <c r="I66" s="118"/>
      <c r="J66" s="175">
        <f>H66/DAY(B2)</f>
        <v>27.222222222222221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'8'!F67</f>
        <v>113663</v>
      </c>
      <c r="F67" s="122">
        <v>113678</v>
      </c>
      <c r="G67" s="112">
        <f t="shared" si="6"/>
        <v>15</v>
      </c>
      <c r="H67" s="99">
        <f>G67+'8'!H67</f>
        <v>400</v>
      </c>
      <c r="I67" s="118"/>
      <c r="J67" s="175">
        <f>H67/DAY(B2)</f>
        <v>44.444444444444443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'8'!F68</f>
        <v>162678</v>
      </c>
      <c r="F68" s="122">
        <v>162718</v>
      </c>
      <c r="G68" s="112">
        <f t="shared" si="6"/>
        <v>40</v>
      </c>
      <c r="H68" s="99">
        <f>G68+'8'!H68</f>
        <v>224</v>
      </c>
      <c r="I68" s="118"/>
      <c r="J68" s="175">
        <f>H68/DAY(B2)</f>
        <v>24.888888888888889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'8'!F69</f>
        <v>11972</v>
      </c>
      <c r="F69" s="122">
        <v>11980</v>
      </c>
      <c r="G69" s="112">
        <f t="shared" si="6"/>
        <v>8</v>
      </c>
      <c r="H69" s="99">
        <f>G69+'8'!H69</f>
        <v>111</v>
      </c>
      <c r="I69" s="118"/>
      <c r="J69" s="175">
        <f>H69/DAY(B2)</f>
        <v>12.333333333333334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'8'!F70</f>
        <v>9336</v>
      </c>
      <c r="F70" s="122">
        <v>9345</v>
      </c>
      <c r="G70" s="112">
        <f t="shared" si="6"/>
        <v>9</v>
      </c>
      <c r="H70" s="99">
        <f>G70+'8'!H70</f>
        <v>78</v>
      </c>
      <c r="I70" s="118"/>
      <c r="J70" s="175">
        <f>H70/DAY(B2)</f>
        <v>8.6666666666666661</v>
      </c>
      <c r="K70" s="69"/>
      <c r="L70" s="66"/>
      <c r="N70" s="87"/>
      <c r="O70" s="71"/>
    </row>
    <row r="71" spans="1:15" ht="26.25">
      <c r="A71" s="870" t="s">
        <v>208</v>
      </c>
      <c r="B71" s="871"/>
      <c r="C71" s="872"/>
      <c r="D71" s="152"/>
      <c r="E71" s="152"/>
      <c r="F71" s="152"/>
      <c r="G71" s="153">
        <f>SUM(G65:G70)</f>
        <v>222</v>
      </c>
      <c r="H71" s="99">
        <f>G71+'8'!H71</f>
        <v>2124</v>
      </c>
      <c r="I71" s="154"/>
      <c r="J71" s="175">
        <f>H71/DAY(B2)</f>
        <v>236</v>
      </c>
      <c r="K71" s="69"/>
      <c r="L71" s="66"/>
      <c r="N71" s="87"/>
      <c r="O71" s="71"/>
    </row>
    <row r="72" spans="1:15" s="88" customFormat="1" ht="25.5">
      <c r="A72" s="916"/>
      <c r="B72" s="90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3" t="s">
        <v>220</v>
      </c>
      <c r="B74" s="874"/>
      <c r="C74" s="875"/>
      <c r="D74" s="151" t="s">
        <v>139</v>
      </c>
      <c r="E74" s="95">
        <f>'8'!F74</f>
        <v>941197.74</v>
      </c>
      <c r="F74" s="117">
        <v>941497.89199999999</v>
      </c>
      <c r="G74" s="112">
        <f t="shared" ref="G74:G78" si="7">F74-E74</f>
        <v>300.15200000000186</v>
      </c>
      <c r="H74" s="99">
        <f>G74+'8'!H74</f>
        <v>2827.8919999999925</v>
      </c>
      <c r="I74" s="154"/>
      <c r="J74" s="175">
        <f>H74/DAY(B2)</f>
        <v>314.21022222222138</v>
      </c>
      <c r="K74" s="69"/>
      <c r="L74" s="66"/>
      <c r="N74" s="87"/>
      <c r="O74" s="71"/>
    </row>
    <row r="75" spans="1:15" ht="25.5">
      <c r="A75" s="873" t="s">
        <v>221</v>
      </c>
      <c r="B75" s="874"/>
      <c r="C75" s="875"/>
      <c r="D75" s="151" t="s">
        <v>139</v>
      </c>
      <c r="E75" s="95">
        <f>'8'!F75</f>
        <v>73586.8</v>
      </c>
      <c r="F75" s="123">
        <v>73586</v>
      </c>
      <c r="G75" s="112">
        <f t="shared" si="7"/>
        <v>-0.80000000000291038</v>
      </c>
      <c r="H75" s="99">
        <f>G75+'8'!H75</f>
        <v>-0.80000000000291038</v>
      </c>
      <c r="I75" s="154"/>
      <c r="J75" s="175">
        <f>H75/DAY(B2)</f>
        <v>-8.8888888889212259E-2</v>
      </c>
      <c r="K75" s="69"/>
      <c r="L75" s="66"/>
      <c r="N75" s="87"/>
      <c r="O75" s="71"/>
    </row>
    <row r="76" spans="1:15" ht="25.5">
      <c r="A76" s="917" t="s">
        <v>222</v>
      </c>
      <c r="B76" s="903"/>
      <c r="C76" s="904"/>
      <c r="D76" s="151" t="s">
        <v>139</v>
      </c>
      <c r="E76" s="95">
        <f>'8'!F76</f>
        <v>184650</v>
      </c>
      <c r="F76" s="123">
        <v>184746</v>
      </c>
      <c r="G76" s="112">
        <f t="shared" si="7"/>
        <v>96</v>
      </c>
      <c r="H76" s="99">
        <f>G76+'8'!H76</f>
        <v>1040</v>
      </c>
      <c r="I76" s="154"/>
      <c r="J76" s="175">
        <f>H76/DAY(B2)</f>
        <v>115.55555555555556</v>
      </c>
      <c r="K76" s="69"/>
      <c r="L76" s="66"/>
      <c r="N76" s="87"/>
      <c r="O76" s="71"/>
    </row>
    <row r="77" spans="1:15" ht="25.5">
      <c r="A77" s="917" t="s">
        <v>223</v>
      </c>
      <c r="B77" s="903"/>
      <c r="C77" s="904"/>
      <c r="D77" s="151" t="s">
        <v>139</v>
      </c>
      <c r="E77" s="95">
        <f>'8'!F77</f>
        <v>47730</v>
      </c>
      <c r="F77" s="123">
        <v>47773</v>
      </c>
      <c r="G77" s="112">
        <f t="shared" si="7"/>
        <v>43</v>
      </c>
      <c r="H77" s="99">
        <f>G77+'8'!H77</f>
        <v>428</v>
      </c>
      <c r="I77" s="154"/>
      <c r="J77" s="175">
        <f>H77/DAY(B2)</f>
        <v>47.555555555555557</v>
      </c>
      <c r="K77" s="69"/>
      <c r="L77" s="66"/>
      <c r="N77" s="87"/>
      <c r="O77" s="71"/>
    </row>
    <row r="78" spans="1:15" ht="25.5">
      <c r="A78" s="917" t="s">
        <v>224</v>
      </c>
      <c r="B78" s="903"/>
      <c r="C78" s="904"/>
      <c r="D78" s="151" t="s">
        <v>139</v>
      </c>
      <c r="E78" s="95">
        <f>'8'!F78</f>
        <v>9563</v>
      </c>
      <c r="F78" s="123">
        <v>9563</v>
      </c>
      <c r="G78" s="112">
        <f t="shared" si="7"/>
        <v>0</v>
      </c>
      <c r="H78" s="99">
        <f>G78+'8'!H78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7" t="s">
        <v>225</v>
      </c>
      <c r="B79" s="903"/>
      <c r="C79" s="904"/>
      <c r="D79" s="151"/>
      <c r="E79" s="95">
        <f>'8'!F79</f>
        <v>0</v>
      </c>
      <c r="F79" s="117"/>
      <c r="G79" s="112">
        <f>G15-SUM(G74:G78)</f>
        <v>477.64800000000105</v>
      </c>
      <c r="H79" s="99">
        <f>G79+'8'!H79</f>
        <v>5320.9080000000104</v>
      </c>
      <c r="I79" s="118"/>
      <c r="J79" s="175"/>
      <c r="K79" s="59"/>
      <c r="L79" s="58"/>
      <c r="N79" s="87"/>
      <c r="O79" s="71"/>
    </row>
    <row r="80" spans="1:15" s="57" customFormat="1" ht="26.25">
      <c r="A80" s="870" t="s">
        <v>329</v>
      </c>
      <c r="B80" s="871"/>
      <c r="C80" s="872"/>
      <c r="D80" s="151"/>
      <c r="E80" s="117"/>
      <c r="F80" s="117"/>
      <c r="G80" s="112">
        <f>SUM(G74:G79)</f>
        <v>916</v>
      </c>
      <c r="H80" s="99"/>
      <c r="I80" s="118"/>
      <c r="J80" s="175"/>
      <c r="K80" s="59"/>
      <c r="L80" s="58"/>
      <c r="N80" s="87"/>
      <c r="O80" s="71"/>
    </row>
    <row r="81" spans="1:15" ht="25.5">
      <c r="A81" s="909" t="s">
        <v>226</v>
      </c>
      <c r="B81" s="910"/>
      <c r="C81" s="91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'8'!F84</f>
        <v>41969</v>
      </c>
      <c r="F84" s="164">
        <v>41980</v>
      </c>
      <c r="G84" s="112">
        <f t="shared" si="8"/>
        <v>11</v>
      </c>
      <c r="H84" s="99">
        <f>G84+'8'!H84</f>
        <v>11</v>
      </c>
      <c r="I84" s="573"/>
      <c r="J84" s="175">
        <f>H84/DAY(B2)</f>
        <v>1.2222222222222223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'8'!F85</f>
        <v>4506.2</v>
      </c>
      <c r="F85" s="164">
        <v>4525.25</v>
      </c>
      <c r="G85" s="112">
        <f t="shared" si="8"/>
        <v>19.050000000000182</v>
      </c>
      <c r="H85" s="99">
        <f>G85+'8'!H85</f>
        <v>182.25</v>
      </c>
      <c r="I85" s="573"/>
      <c r="J85" s="175">
        <f>H85/DAY(B2)</f>
        <v>20.25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'8'!F86</f>
        <v>44643.5</v>
      </c>
      <c r="F86" s="164">
        <v>44658</v>
      </c>
      <c r="G86" s="112">
        <f t="shared" si="8"/>
        <v>14.5</v>
      </c>
      <c r="H86" s="99">
        <f>G86+'8'!H86</f>
        <v>188</v>
      </c>
      <c r="I86" s="573"/>
      <c r="J86" s="175">
        <f>H86/DAY(B2)</f>
        <v>20.888888888888889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'8'!F87</f>
        <v>35329.06</v>
      </c>
      <c r="F87" s="164">
        <v>35329.06</v>
      </c>
      <c r="G87" s="112">
        <f t="shared" si="8"/>
        <v>0</v>
      </c>
      <c r="H87" s="99">
        <f>G87+'8'!H87</f>
        <v>5.9999999997671694E-2</v>
      </c>
      <c r="I87" s="555">
        <f>G84+G85+G86+G87</f>
        <v>44.550000000000182</v>
      </c>
      <c r="J87" s="175">
        <f>H87/DAY(B2)</f>
        <v>6.666666666407966E-3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'8'!F88</f>
        <v>24276.98</v>
      </c>
      <c r="F88" s="164">
        <v>24276.95</v>
      </c>
      <c r="G88" s="112">
        <f t="shared" si="8"/>
        <v>-2.9999999998835847E-2</v>
      </c>
      <c r="H88" s="99">
        <f>G88+'8'!H88</f>
        <v>49.069999999999709</v>
      </c>
      <c r="I88" s="555"/>
      <c r="J88" s="175">
        <f>H88/DAY(B2)</f>
        <v>5.4522222222221899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'8'!F89</f>
        <v>27076.28</v>
      </c>
      <c r="F89" s="164">
        <v>27086.31</v>
      </c>
      <c r="G89" s="112">
        <f t="shared" si="8"/>
        <v>10.030000000002474</v>
      </c>
      <c r="H89" s="99">
        <f>G89+'8'!H89</f>
        <v>92.900000000001455</v>
      </c>
      <c r="I89" s="555">
        <f>G88+G89</f>
        <v>10.000000000003638</v>
      </c>
      <c r="J89" s="175">
        <f>H89/DAY(B2)</f>
        <v>10.322222222222385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'8'!F90</f>
        <v>72127.12</v>
      </c>
      <c r="F90" s="164">
        <v>72127.12</v>
      </c>
      <c r="G90" s="112">
        <f t="shared" si="8"/>
        <v>0</v>
      </c>
      <c r="H90" s="99">
        <f>G90+'8'!H90</f>
        <v>0</v>
      </c>
      <c r="I90" s="555">
        <f>G90</f>
        <v>0</v>
      </c>
      <c r="J90" s="175">
        <f>H90/DAY(B2)</f>
        <v>0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'8'!F91</f>
        <v>4121.6499999999996</v>
      </c>
      <c r="F91" s="122">
        <v>4121.6499999999996</v>
      </c>
      <c r="G91" s="112">
        <f t="shared" si="8"/>
        <v>0</v>
      </c>
      <c r="H91" s="99">
        <f>G91+'8'!H91</f>
        <v>0</v>
      </c>
      <c r="I91" s="616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'8'!F92</f>
        <v>6304.91</v>
      </c>
      <c r="F92" s="122">
        <v>6315.75</v>
      </c>
      <c r="G92" s="112">
        <f t="shared" si="8"/>
        <v>10.840000000000146</v>
      </c>
      <c r="H92" s="99">
        <f>G92+'8'!H92</f>
        <v>98.5</v>
      </c>
      <c r="I92" s="617">
        <f>G91+G92</f>
        <v>10.840000000000146</v>
      </c>
      <c r="J92" s="175">
        <f>H92/DAY(B2)</f>
        <v>10.944444444444445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3" t="s">
        <v>240</v>
      </c>
      <c r="B94" s="874"/>
      <c r="C94" s="875"/>
      <c r="D94" s="151" t="s">
        <v>130</v>
      </c>
      <c r="E94" s="151"/>
      <c r="F94" s="151"/>
      <c r="G94" s="99">
        <f>G35+G43+G49+G57</f>
        <v>6924.5299999999625</v>
      </c>
      <c r="H94" s="99">
        <f>G94+'8'!H94</f>
        <v>59339.759999999966</v>
      </c>
      <c r="I94" s="118"/>
      <c r="J94" s="175">
        <f>H94/DAY(B2)</f>
        <v>6593.3066666666627</v>
      </c>
      <c r="K94" s="69"/>
      <c r="L94" s="66"/>
      <c r="O94" s="71"/>
    </row>
    <row r="95" spans="1:15" ht="25.5">
      <c r="A95" s="873" t="s">
        <v>241</v>
      </c>
      <c r="B95" s="874"/>
      <c r="C95" s="875"/>
      <c r="D95" s="151" t="s">
        <v>23</v>
      </c>
      <c r="E95" s="146"/>
      <c r="F95" s="146"/>
      <c r="G95" s="166">
        <f>G94/G7</f>
        <v>0.23396844168130701</v>
      </c>
      <c r="H95" s="99">
        <f>G95+'8'!H95</f>
        <v>2.1614598177966324</v>
      </c>
      <c r="I95" s="167"/>
      <c r="J95" s="175">
        <f>H95/DAY(B2)</f>
        <v>0.24016220197740359</v>
      </c>
      <c r="K95" s="69"/>
      <c r="L95" s="66"/>
      <c r="O95" s="71"/>
    </row>
    <row r="96" spans="1:15" ht="25.5">
      <c r="A96" s="873" t="s">
        <v>242</v>
      </c>
      <c r="B96" s="874"/>
      <c r="C96" s="875"/>
      <c r="D96" s="151" t="s">
        <v>130</v>
      </c>
      <c r="E96" s="95"/>
      <c r="F96" s="95"/>
      <c r="G96" s="99">
        <f>G41+G42+G55+G56</f>
        <v>13570.419999999984</v>
      </c>
      <c r="H96" s="99">
        <f>G96+'8'!H96</f>
        <v>72176.279999999984</v>
      </c>
      <c r="I96" s="118"/>
      <c r="J96" s="175">
        <f>H96/DAY(B2)</f>
        <v>8019.5866666666652</v>
      </c>
      <c r="K96" s="69"/>
      <c r="L96" s="66"/>
      <c r="O96" s="71"/>
    </row>
    <row r="97" spans="1:15" ht="25.5">
      <c r="A97" s="873" t="s">
        <v>243</v>
      </c>
      <c r="B97" s="874"/>
      <c r="C97" s="875"/>
      <c r="D97" s="151" t="s">
        <v>23</v>
      </c>
      <c r="E97" s="95"/>
      <c r="F97" s="95"/>
      <c r="G97" s="166">
        <f>G96/G7</f>
        <v>0.45852209758075363</v>
      </c>
      <c r="H97" s="99">
        <f>G97+'8'!H97</f>
        <v>2.5947381006352499</v>
      </c>
      <c r="I97" s="167"/>
      <c r="J97" s="175">
        <f>H97/DAY(B2)</f>
        <v>0.28830423340391664</v>
      </c>
      <c r="K97" s="69"/>
      <c r="L97" s="66"/>
      <c r="O97" s="71"/>
    </row>
    <row r="98" spans="1:15" ht="25.5">
      <c r="A98" s="873" t="s">
        <v>244</v>
      </c>
      <c r="B98" s="874"/>
      <c r="C98" s="875"/>
      <c r="D98" s="151" t="s">
        <v>130</v>
      </c>
      <c r="E98" s="95"/>
      <c r="F98" s="95"/>
      <c r="G98" s="99">
        <f>G39+G53</f>
        <v>2000</v>
      </c>
      <c r="H98" s="99">
        <f>G98+'8'!H98</f>
        <v>23890</v>
      </c>
      <c r="I98" s="168"/>
      <c r="J98" s="175">
        <f>H98/DAY(B2)</f>
        <v>2654.4444444444443</v>
      </c>
      <c r="K98" s="69"/>
      <c r="L98" s="66"/>
      <c r="O98" s="71"/>
    </row>
    <row r="99" spans="1:15" ht="25.5">
      <c r="A99" s="873" t="s">
        <v>245</v>
      </c>
      <c r="B99" s="874"/>
      <c r="C99" s="875"/>
      <c r="D99" s="151" t="s">
        <v>23</v>
      </c>
      <c r="E99" s="95"/>
      <c r="F99" s="95"/>
      <c r="G99" s="166">
        <f>G98/G7</f>
        <v>6.7576699553993785E-2</v>
      </c>
      <c r="H99" s="99">
        <f>G99+'8'!H99</f>
        <v>0.86772064357371759</v>
      </c>
      <c r="I99" s="168"/>
      <c r="J99" s="175">
        <f>H99/DAY(B2)</f>
        <v>9.6413404841524178E-2</v>
      </c>
      <c r="O99" s="71"/>
    </row>
    <row r="100" spans="1:15" ht="26.25">
      <c r="A100" s="873" t="s">
        <v>246</v>
      </c>
      <c r="B100" s="874"/>
      <c r="C100" s="875"/>
      <c r="D100" s="151" t="s">
        <v>180</v>
      </c>
      <c r="E100" s="95"/>
      <c r="F100" s="95"/>
      <c r="G100" s="99">
        <f>G38+G52</f>
        <v>2250.7899999999881</v>
      </c>
      <c r="H100" s="99">
        <f>G100+'8'!H100</f>
        <v>19924.549999999988</v>
      </c>
      <c r="I100" s="118"/>
      <c r="J100" s="175">
        <f>H100/DAY(B2)</f>
        <v>2213.8388888888876</v>
      </c>
      <c r="K100" s="70"/>
      <c r="O100" s="71"/>
    </row>
    <row r="101" spans="1:15" ht="25.5">
      <c r="A101" s="873" t="s">
        <v>247</v>
      </c>
      <c r="B101" s="874"/>
      <c r="C101" s="875"/>
      <c r="D101" s="151" t="s">
        <v>23</v>
      </c>
      <c r="E101" s="95"/>
      <c r="F101" s="95"/>
      <c r="G101" s="166">
        <f>G100/G7</f>
        <v>7.6050479794566431E-2</v>
      </c>
      <c r="H101" s="99">
        <f>G101+'8'!H101</f>
        <v>0.72248726690890641</v>
      </c>
      <c r="I101" s="168"/>
      <c r="J101" s="175">
        <f>H101/DAY(B2)</f>
        <v>8.0276362989878489E-2</v>
      </c>
      <c r="O101" s="71"/>
    </row>
    <row r="102" spans="1:15" ht="25.5">
      <c r="A102" s="873" t="s">
        <v>248</v>
      </c>
      <c r="B102" s="874"/>
      <c r="C102" s="875"/>
      <c r="D102" s="151" t="s">
        <v>180</v>
      </c>
      <c r="E102" s="95"/>
      <c r="F102" s="95"/>
      <c r="G102" s="99">
        <f>G36+G50</f>
        <v>3515.929999999993</v>
      </c>
      <c r="H102" s="99">
        <f>G102+'8'!H102</f>
        <v>18445.929999999993</v>
      </c>
      <c r="I102" s="168"/>
      <c r="J102" s="175">
        <f>H102/DAY(B2)</f>
        <v>2049.5477777777769</v>
      </c>
      <c r="O102" s="71"/>
    </row>
    <row r="103" spans="1:15" ht="25.5">
      <c r="A103" s="873" t="s">
        <v>249</v>
      </c>
      <c r="B103" s="874"/>
      <c r="C103" s="875"/>
      <c r="D103" s="151" t="s">
        <v>23</v>
      </c>
      <c r="E103" s="95"/>
      <c r="F103" s="95"/>
      <c r="G103" s="166">
        <f>G102/G7</f>
        <v>0.11879747263143645</v>
      </c>
      <c r="H103" s="99">
        <f>G103+'8'!H103</f>
        <v>0.66337782583129357</v>
      </c>
      <c r="I103" s="118"/>
      <c r="J103" s="175">
        <f>H103/DAY(B2)</f>
        <v>7.3708647314588177E-2</v>
      </c>
      <c r="O103" s="71"/>
    </row>
    <row r="104" spans="1:15" ht="25.5">
      <c r="A104" s="873" t="s">
        <v>250</v>
      </c>
      <c r="B104" s="874"/>
      <c r="C104" s="875"/>
      <c r="D104" s="151" t="s">
        <v>180</v>
      </c>
      <c r="E104" s="95"/>
      <c r="F104" s="95"/>
      <c r="G104" s="99">
        <f>G37+G51</f>
        <v>3107.32</v>
      </c>
      <c r="H104" s="99">
        <f>G104+'8'!H104</f>
        <v>15947.32</v>
      </c>
      <c r="I104" s="118"/>
      <c r="J104" s="175">
        <f>H104/DAY(B2)</f>
        <v>1771.9244444444444</v>
      </c>
      <c r="O104" s="71"/>
    </row>
    <row r="105" spans="1:15" ht="26.25" thickBot="1">
      <c r="A105" s="913" t="s">
        <v>251</v>
      </c>
      <c r="B105" s="914"/>
      <c r="C105" s="915"/>
      <c r="D105" s="231" t="s">
        <v>23</v>
      </c>
      <c r="E105" s="185"/>
      <c r="F105" s="185"/>
      <c r="G105" s="186">
        <f>G104/G7</f>
        <v>0.10499121502905799</v>
      </c>
      <c r="H105" s="99">
        <f>G105+'8'!H105</f>
        <v>0.57431607383399619</v>
      </c>
      <c r="I105" s="187"/>
      <c r="J105" s="188">
        <f>H105/DAY(B2)</f>
        <v>6.3812897092666243E-2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7" t="s">
        <v>324</v>
      </c>
      <c r="B108" s="927"/>
      <c r="C108" s="927"/>
      <c r="D108" s="927"/>
      <c r="E108" s="927"/>
      <c r="F108" s="927"/>
      <c r="G108" s="927"/>
      <c r="H108" s="927"/>
      <c r="I108" s="927"/>
      <c r="J108" s="927"/>
    </row>
    <row r="109" spans="1:15" ht="26.25">
      <c r="A109" s="912"/>
      <c r="B109" s="912"/>
    </row>
    <row r="110" spans="1:15" ht="26.25">
      <c r="A110" s="928" t="s">
        <v>165</v>
      </c>
      <c r="B110" s="929"/>
      <c r="C110" s="929"/>
      <c r="D110" s="929"/>
      <c r="E110" s="929"/>
      <c r="F110" s="929"/>
      <c r="G110" s="929"/>
      <c r="H110" s="929"/>
      <c r="I110" s="929"/>
      <c r="J110" s="930"/>
    </row>
    <row r="111" spans="1:15" ht="25.5">
      <c r="A111" s="931"/>
      <c r="B111" s="932"/>
      <c r="C111" s="933"/>
      <c r="D111" s="165"/>
      <c r="E111" s="165"/>
      <c r="F111" s="165"/>
      <c r="G111" s="165"/>
      <c r="H111" s="156"/>
      <c r="I111" s="165"/>
      <c r="J111" s="327"/>
    </row>
    <row r="112" spans="1:15" ht="25.5">
      <c r="A112" s="906" t="s">
        <v>252</v>
      </c>
      <c r="B112" s="907"/>
      <c r="C112" s="908"/>
      <c r="D112" s="146" t="s">
        <v>183</v>
      </c>
      <c r="E112" s="95">
        <f>'8'!F112</f>
        <v>3247</v>
      </c>
      <c r="F112" s="237">
        <v>3372</v>
      </c>
      <c r="G112" s="112">
        <f t="shared" ref="G112:G123" si="9">F112-E112</f>
        <v>125</v>
      </c>
      <c r="H112" s="99">
        <f>G112+'8'!H112</f>
        <v>695</v>
      </c>
      <c r="I112" s="165"/>
      <c r="J112" s="328">
        <f>H112/DAY(B2)</f>
        <v>77.222222222222229</v>
      </c>
    </row>
    <row r="113" spans="1:18" ht="29.25" customHeight="1">
      <c r="A113" s="906" t="s">
        <v>253</v>
      </c>
      <c r="B113" s="907"/>
      <c r="C113" s="908"/>
      <c r="D113" s="146" t="s">
        <v>183</v>
      </c>
      <c r="E113" s="95">
        <f>'8'!F113</f>
        <v>7418.97</v>
      </c>
      <c r="F113" s="237">
        <v>7652.4</v>
      </c>
      <c r="G113" s="112">
        <f t="shared" si="9"/>
        <v>233.42999999999938</v>
      </c>
      <c r="H113" s="99">
        <f>G113+'8'!H113</f>
        <v>1261.3999999999996</v>
      </c>
      <c r="I113" s="165"/>
      <c r="J113" s="328">
        <f>H113/DAY(B2)</f>
        <v>140.15555555555551</v>
      </c>
    </row>
    <row r="114" spans="1:18" ht="29.25" customHeight="1">
      <c r="A114" s="906" t="s">
        <v>254</v>
      </c>
      <c r="B114" s="907"/>
      <c r="C114" s="908"/>
      <c r="D114" s="146" t="s">
        <v>183</v>
      </c>
      <c r="E114" s="95">
        <f>'8'!F114</f>
        <v>9187.1200000000008</v>
      </c>
      <c r="F114" s="237">
        <v>9558.2000000000007</v>
      </c>
      <c r="G114" s="112">
        <f t="shared" si="9"/>
        <v>371.07999999999993</v>
      </c>
      <c r="H114" s="99">
        <f>G114+'8'!H114</f>
        <v>1988.2000000000007</v>
      </c>
      <c r="I114" s="165"/>
      <c r="J114" s="328">
        <f>H114/DAY(B2)</f>
        <v>220.91111111111118</v>
      </c>
    </row>
    <row r="115" spans="1:18" ht="29.25" customHeight="1">
      <c r="A115" s="906" t="s">
        <v>255</v>
      </c>
      <c r="B115" s="907"/>
      <c r="C115" s="908"/>
      <c r="D115" s="146" t="s">
        <v>183</v>
      </c>
      <c r="E115" s="95">
        <v>50165.1</v>
      </c>
      <c r="F115" s="417">
        <v>50182.1</v>
      </c>
      <c r="G115" s="112">
        <f t="shared" si="9"/>
        <v>17</v>
      </c>
      <c r="H115" s="99">
        <f>G115+'8'!H115</f>
        <v>171.72000000000003</v>
      </c>
      <c r="I115" s="165"/>
      <c r="J115" s="328">
        <f>H115/DAY(B2)</f>
        <v>19.080000000000002</v>
      </c>
    </row>
    <row r="116" spans="1:18" ht="29.25" customHeight="1">
      <c r="A116" s="924" t="s">
        <v>96</v>
      </c>
      <c r="B116" s="925"/>
      <c r="C116" s="926"/>
      <c r="D116" s="146" t="s">
        <v>183</v>
      </c>
      <c r="E116" s="95">
        <f>'8'!F116</f>
        <v>49664.800000000003</v>
      </c>
      <c r="F116" s="237">
        <v>50182.1</v>
      </c>
      <c r="G116" s="112">
        <f t="shared" si="9"/>
        <v>517.29999999999563</v>
      </c>
      <c r="H116" s="99">
        <f>G116+'8'!H116</f>
        <v>3427.0999999999985</v>
      </c>
      <c r="I116" s="165"/>
      <c r="J116" s="328">
        <f>H116/DAY(B2)</f>
        <v>380.78888888888872</v>
      </c>
      <c r="Q116" s="906"/>
      <c r="R116" s="908"/>
    </row>
    <row r="117" spans="1:18" ht="29.25" customHeight="1">
      <c r="A117" s="924" t="s">
        <v>184</v>
      </c>
      <c r="B117" s="925"/>
      <c r="C117" s="926"/>
      <c r="D117" s="146" t="s">
        <v>183</v>
      </c>
      <c r="E117" s="406">
        <f>'8'!F117</f>
        <v>26942.1</v>
      </c>
      <c r="F117" s="417">
        <v>27337.8</v>
      </c>
      <c r="G117" s="236">
        <f t="shared" si="9"/>
        <v>395.70000000000073</v>
      </c>
      <c r="H117" s="99">
        <f>G117+'8'!H117</f>
        <v>2069.7999999999993</v>
      </c>
      <c r="I117" s="165"/>
      <c r="J117" s="328">
        <f>H117/DAY(B2)</f>
        <v>229.9777777777777</v>
      </c>
      <c r="Q117" s="906"/>
      <c r="R117" s="908"/>
    </row>
    <row r="118" spans="1:18" ht="25.5">
      <c r="A118" s="901" t="s">
        <v>97</v>
      </c>
      <c r="B118" s="901"/>
      <c r="C118" s="901"/>
      <c r="D118" s="151" t="s">
        <v>183</v>
      </c>
      <c r="E118" s="406">
        <f>'8'!F118</f>
        <v>30246.799999999999</v>
      </c>
      <c r="F118" s="417">
        <v>31287.599999999999</v>
      </c>
      <c r="G118" s="236">
        <f t="shared" si="9"/>
        <v>1040.7999999999993</v>
      </c>
      <c r="H118" s="99">
        <f>G118+'8'!H118</f>
        <v>5062.5999999999985</v>
      </c>
      <c r="I118" s="165"/>
      <c r="J118" s="328">
        <f>H118/DAY(B2)</f>
        <v>562.51111111111095</v>
      </c>
      <c r="Q118" s="906"/>
      <c r="R118" s="908"/>
    </row>
    <row r="119" spans="1:18" ht="25.5">
      <c r="A119" s="901" t="s">
        <v>98</v>
      </c>
      <c r="B119" s="901"/>
      <c r="C119" s="901"/>
      <c r="D119" s="151" t="s">
        <v>183</v>
      </c>
      <c r="E119" s="406">
        <f>'8'!F119</f>
        <v>22027.200000000001</v>
      </c>
      <c r="F119" s="417">
        <v>22768.400000000001</v>
      </c>
      <c r="G119" s="236">
        <f t="shared" si="9"/>
        <v>741.20000000000073</v>
      </c>
      <c r="H119" s="99">
        <f>G119+'8'!H119</f>
        <v>3821.4000000000015</v>
      </c>
      <c r="I119" s="165"/>
      <c r="J119" s="328">
        <f>H119/DAY(B2)</f>
        <v>424.60000000000014</v>
      </c>
    </row>
    <row r="120" spans="1:18" ht="25.5">
      <c r="A120" s="901" t="s">
        <v>99</v>
      </c>
      <c r="B120" s="901"/>
      <c r="C120" s="901"/>
      <c r="D120" s="151" t="s">
        <v>183</v>
      </c>
      <c r="E120" s="95">
        <f>'8'!F120</f>
        <v>23310.2</v>
      </c>
      <c r="F120" s="237">
        <v>24035</v>
      </c>
      <c r="G120" s="112">
        <f t="shared" si="9"/>
        <v>724.79999999999927</v>
      </c>
      <c r="H120" s="99">
        <f>G120+'8'!H120</f>
        <v>3985</v>
      </c>
      <c r="I120" s="165"/>
      <c r="J120" s="328">
        <f>H120/DAY(B2)</f>
        <v>442.77777777777777</v>
      </c>
    </row>
    <row r="121" spans="1:18" ht="25.5">
      <c r="A121" s="901" t="s">
        <v>100</v>
      </c>
      <c r="B121" s="901"/>
      <c r="C121" s="901"/>
      <c r="D121" s="151" t="s">
        <v>183</v>
      </c>
      <c r="E121" s="95">
        <f>'8'!F121</f>
        <v>29342.9</v>
      </c>
      <c r="F121" s="237">
        <v>30094.6</v>
      </c>
      <c r="G121" s="112">
        <f t="shared" si="9"/>
        <v>751.69999999999709</v>
      </c>
      <c r="H121" s="99">
        <f>G121+'8'!H121</f>
        <v>4250.5999999999985</v>
      </c>
      <c r="I121" s="165"/>
      <c r="J121" s="328">
        <f>H121/DAY(B2)</f>
        <v>472.28888888888872</v>
      </c>
    </row>
    <row r="122" spans="1:18" ht="25.5">
      <c r="A122" s="901" t="s">
        <v>101</v>
      </c>
      <c r="B122" s="901"/>
      <c r="C122" s="901"/>
      <c r="D122" s="151" t="s">
        <v>183</v>
      </c>
      <c r="E122" s="95">
        <f>'8'!F122</f>
        <v>13420.9</v>
      </c>
      <c r="F122" s="237">
        <v>13895.7</v>
      </c>
      <c r="G122" s="112">
        <f t="shared" si="9"/>
        <v>474.80000000000109</v>
      </c>
      <c r="H122" s="99">
        <f>G122+'8'!H122</f>
        <v>2735.7000000000007</v>
      </c>
      <c r="I122" s="165"/>
      <c r="J122" s="328">
        <f>H122/DAY(B2)</f>
        <v>303.96666666666675</v>
      </c>
    </row>
    <row r="123" spans="1:18" ht="25.5">
      <c r="A123" s="901" t="s">
        <v>102</v>
      </c>
      <c r="B123" s="901"/>
      <c r="C123" s="901"/>
      <c r="D123" s="151" t="s">
        <v>183</v>
      </c>
      <c r="E123" s="95">
        <f>'8'!F123</f>
        <v>12772.5</v>
      </c>
      <c r="F123" s="237">
        <v>13753.37</v>
      </c>
      <c r="G123" s="112">
        <f t="shared" si="9"/>
        <v>980.8700000000008</v>
      </c>
      <c r="H123" s="99">
        <f>G123+'8'!H123</f>
        <v>3244.3700000000008</v>
      </c>
      <c r="I123" s="165"/>
      <c r="J123" s="328">
        <f>H123/DAY(B2)</f>
        <v>360.48555555555566</v>
      </c>
    </row>
    <row r="124" spans="1:18" ht="29.25" customHeight="1">
      <c r="A124" s="931"/>
      <c r="B124" s="932"/>
      <c r="C124" s="933"/>
      <c r="D124" s="165"/>
      <c r="E124" s="165"/>
      <c r="F124" s="165"/>
      <c r="G124" s="327"/>
      <c r="H124" s="156"/>
      <c r="I124" s="165"/>
      <c r="J124" s="327"/>
    </row>
    <row r="125" spans="1:18" ht="25.5">
      <c r="A125" s="934" t="s">
        <v>196</v>
      </c>
      <c r="B125" s="935"/>
      <c r="C125" s="245"/>
      <c r="D125" s="307"/>
      <c r="E125" s="308"/>
      <c r="F125" s="308"/>
      <c r="G125" s="309">
        <f>SUM(G112:G124)</f>
        <v>6373.6799999999939</v>
      </c>
      <c r="H125" s="156"/>
      <c r="I125" s="327">
        <f>G125-(G39+G53)</f>
        <v>4373.6799999999939</v>
      </c>
      <c r="J125" s="327"/>
    </row>
    <row r="126" spans="1:18" ht="25.5">
      <c r="A126" s="936" t="s">
        <v>317</v>
      </c>
      <c r="B126" s="936"/>
      <c r="C126" s="936"/>
      <c r="D126" s="936"/>
      <c r="E126" s="936"/>
      <c r="F126" s="936"/>
      <c r="G126" s="936"/>
      <c r="H126" s="936"/>
      <c r="I126" s="936"/>
      <c r="J126" s="936"/>
    </row>
    <row r="127" spans="1:18" ht="25.5">
      <c r="A127" s="937"/>
      <c r="B127" s="937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>
      <c r="A128" s="906" t="s">
        <v>318</v>
      </c>
      <c r="B128" s="907"/>
      <c r="C128" s="908"/>
      <c r="D128" s="151" t="s">
        <v>183</v>
      </c>
      <c r="E128" s="95">
        <f>'8'!F128</f>
        <v>99335.3</v>
      </c>
      <c r="F128" s="155">
        <v>100288.71</v>
      </c>
      <c r="G128" s="112">
        <f t="shared" ref="G128:G134" si="10">F128-E128</f>
        <v>953.41000000000349</v>
      </c>
      <c r="H128" s="99">
        <f>G128+'8'!H128</f>
        <v>4573.7100000000064</v>
      </c>
      <c r="I128" s="165"/>
      <c r="J128" s="328">
        <f>H128/DAY(B2)</f>
        <v>508.19000000000074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'8'!F129</f>
        <v>62076.7</v>
      </c>
      <c r="F129" s="155">
        <v>62479.5</v>
      </c>
      <c r="G129" s="112">
        <f t="shared" si="10"/>
        <v>402.80000000000291</v>
      </c>
      <c r="H129" s="99">
        <f>G129+'8'!H129</f>
        <v>2186.5</v>
      </c>
      <c r="I129" s="165"/>
      <c r="J129" s="328">
        <f>H129/DAY(B2)</f>
        <v>242.94444444444446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v>128755.31</v>
      </c>
      <c r="F130" s="157">
        <v>128825.31</v>
      </c>
      <c r="G130" s="112">
        <f t="shared" si="10"/>
        <v>70</v>
      </c>
      <c r="H130" s="99">
        <f>G130+'8'!H130</f>
        <v>5306</v>
      </c>
      <c r="I130" s="165"/>
      <c r="J130" s="328">
        <f>H130/DAY(B2)</f>
        <v>589.55555555555554</v>
      </c>
      <c r="N130" s="240"/>
      <c r="O130" s="241"/>
    </row>
    <row r="131" spans="1:15" ht="25.5">
      <c r="A131" s="906" t="s">
        <v>321</v>
      </c>
      <c r="B131" s="907"/>
      <c r="C131" s="908"/>
      <c r="D131" s="151" t="s">
        <v>183</v>
      </c>
      <c r="E131" s="95">
        <f>'8'!F131</f>
        <v>37738.699999999997</v>
      </c>
      <c r="F131" s="155">
        <v>38147.99</v>
      </c>
      <c r="G131" s="112">
        <f t="shared" si="10"/>
        <v>409.29000000000087</v>
      </c>
      <c r="H131" s="99">
        <f>G131+'8'!H131</f>
        <v>1868.989999999998</v>
      </c>
      <c r="I131" s="165"/>
      <c r="J131" s="328">
        <f>H131/DAY(B2)</f>
        <v>207.66555555555533</v>
      </c>
      <c r="N131" s="240"/>
      <c r="O131" s="241"/>
    </row>
    <row r="132" spans="1:15" ht="25.5">
      <c r="A132" s="906" t="s">
        <v>322</v>
      </c>
      <c r="B132" s="907"/>
      <c r="C132" s="908"/>
      <c r="D132" s="151" t="s">
        <v>183</v>
      </c>
      <c r="E132" s="95">
        <f>'8'!F132</f>
        <v>106407</v>
      </c>
      <c r="F132" s="155">
        <v>107126.68</v>
      </c>
      <c r="G132" s="112">
        <f t="shared" si="10"/>
        <v>719.67999999999302</v>
      </c>
      <c r="H132" s="99">
        <f>G132+'8'!H132</f>
        <v>3614.679999999993</v>
      </c>
      <c r="I132" s="165"/>
      <c r="J132" s="328">
        <f>H132/DAY(B2)</f>
        <v>401.63111111111033</v>
      </c>
    </row>
    <row r="133" spans="1:15" ht="25.5">
      <c r="A133" s="906" t="s">
        <v>323</v>
      </c>
      <c r="B133" s="907"/>
      <c r="C133" s="908"/>
      <c r="D133" s="151" t="s">
        <v>183</v>
      </c>
      <c r="E133" s="95">
        <f>'8'!F133</f>
        <v>207501</v>
      </c>
      <c r="F133" s="155">
        <v>208938.25</v>
      </c>
      <c r="G133" s="112">
        <f t="shared" si="10"/>
        <v>1437.25</v>
      </c>
      <c r="H133" s="99">
        <f>G133+'8'!H133</f>
        <v>7706.25</v>
      </c>
      <c r="I133" s="165"/>
      <c r="J133" s="328">
        <f>H133/DAY(B2)</f>
        <v>856.25</v>
      </c>
    </row>
    <row r="134" spans="1:15" ht="25.5">
      <c r="A134" s="906" t="s">
        <v>340</v>
      </c>
      <c r="B134" s="907"/>
      <c r="C134" s="908"/>
      <c r="D134" s="151" t="s">
        <v>183</v>
      </c>
      <c r="E134" s="95">
        <f>'8'!F134</f>
        <v>36600.5</v>
      </c>
      <c r="F134" s="155">
        <v>37017.35</v>
      </c>
      <c r="G134" s="112">
        <f t="shared" si="10"/>
        <v>416.84999999999854</v>
      </c>
      <c r="H134" s="99">
        <f>G134+'8'!H134</f>
        <v>2122.3499999999985</v>
      </c>
      <c r="I134" s="165"/>
      <c r="J134" s="328">
        <f>H134/DAY(B2)</f>
        <v>235.81666666666649</v>
      </c>
    </row>
    <row r="135" spans="1:15" ht="25.5">
      <c r="A135" s="934" t="s">
        <v>196</v>
      </c>
      <c r="B135" s="935"/>
      <c r="C135" s="331"/>
      <c r="D135" s="151"/>
      <c r="E135" s="95"/>
      <c r="F135" s="165"/>
      <c r="G135" s="112">
        <f>SUM(G128:G134)</f>
        <v>4409.2799999999988</v>
      </c>
      <c r="H135" s="99">
        <f>G135+'8'!H135</f>
        <v>27378.479999999996</v>
      </c>
      <c r="I135" s="327">
        <f>G135-(G35+G49)</f>
        <v>733.38000000003376</v>
      </c>
      <c r="J135" s="328">
        <f>H135/DAY(B2)</f>
        <v>3042.0533333333328</v>
      </c>
    </row>
    <row r="136" spans="1:15" ht="27.75">
      <c r="A136" s="938" t="s">
        <v>325</v>
      </c>
      <c r="B136" s="938"/>
      <c r="C136" s="938"/>
      <c r="D136" s="938"/>
      <c r="E136" s="938"/>
      <c r="F136" s="938"/>
      <c r="G136" s="938"/>
      <c r="H136" s="938"/>
      <c r="I136" s="938"/>
      <c r="J136" s="938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1" t="s">
        <v>185</v>
      </c>
      <c r="B138" s="901"/>
      <c r="C138" s="901"/>
      <c r="D138" s="151" t="s">
        <v>183</v>
      </c>
      <c r="E138" s="95">
        <f>F138-125</f>
        <v>884214</v>
      </c>
      <c r="F138" s="148">
        <v>884339</v>
      </c>
      <c r="G138" s="112">
        <f t="shared" ref="G138:G152" si="11">F138-E138</f>
        <v>125</v>
      </c>
      <c r="H138" s="99">
        <f>G138+'8'!H138</f>
        <v>1061.2999999999993</v>
      </c>
      <c r="I138" s="118"/>
      <c r="J138" s="328">
        <f>H138/DAY(B2)</f>
        <v>117.92222222222215</v>
      </c>
    </row>
    <row r="139" spans="1:15" ht="25.5">
      <c r="A139" s="901" t="s">
        <v>186</v>
      </c>
      <c r="B139" s="901"/>
      <c r="C139" s="901"/>
      <c r="D139" s="151" t="s">
        <v>183</v>
      </c>
      <c r="E139" s="95">
        <f>'8'!F139</f>
        <v>900718</v>
      </c>
      <c r="F139" s="148">
        <v>900867</v>
      </c>
      <c r="G139" s="112">
        <f t="shared" si="11"/>
        <v>149</v>
      </c>
      <c r="H139" s="99">
        <f>G139+'8'!H139</f>
        <v>1412</v>
      </c>
      <c r="I139" s="118"/>
      <c r="J139" s="328">
        <f>H139/DAY(B2)</f>
        <v>156.88888888888889</v>
      </c>
    </row>
    <row r="140" spans="1:15" ht="25.5">
      <c r="A140" s="901" t="s">
        <v>187</v>
      </c>
      <c r="B140" s="901"/>
      <c r="C140" s="901"/>
      <c r="D140" s="151" t="s">
        <v>183</v>
      </c>
      <c r="E140" s="95">
        <v>89115.6</v>
      </c>
      <c r="F140" s="148">
        <v>89130.6</v>
      </c>
      <c r="G140" s="112">
        <f t="shared" si="11"/>
        <v>15</v>
      </c>
      <c r="H140" s="99">
        <f>G140+'8'!H140</f>
        <v>117.74000000000001</v>
      </c>
      <c r="I140" s="118"/>
      <c r="J140" s="328">
        <f>H140/DAY(B2)</f>
        <v>13.082222222222223</v>
      </c>
    </row>
    <row r="141" spans="1:15" ht="25.5">
      <c r="A141" s="905" t="s">
        <v>188</v>
      </c>
      <c r="B141" s="905"/>
      <c r="C141" s="905"/>
      <c r="D141" s="151" t="s">
        <v>183</v>
      </c>
      <c r="E141" s="95">
        <f>'8'!F141</f>
        <v>79445.2</v>
      </c>
      <c r="F141" s="149">
        <v>79787.5</v>
      </c>
      <c r="G141" s="112">
        <f t="shared" si="11"/>
        <v>342.30000000000291</v>
      </c>
      <c r="H141" s="99">
        <f>G141+'8'!H141</f>
        <v>1835.5</v>
      </c>
      <c r="I141" s="118"/>
      <c r="J141" s="328">
        <f>H141/DAY(B2)</f>
        <v>203.94444444444446</v>
      </c>
    </row>
    <row r="142" spans="1:15" ht="25.5">
      <c r="A142" s="905" t="s">
        <v>189</v>
      </c>
      <c r="B142" s="905"/>
      <c r="C142" s="905"/>
      <c r="D142" s="151" t="s">
        <v>183</v>
      </c>
      <c r="E142" s="95">
        <f>'8'!F142</f>
        <v>31694</v>
      </c>
      <c r="F142" s="148">
        <v>31945.9</v>
      </c>
      <c r="G142" s="112">
        <f t="shared" si="11"/>
        <v>251.90000000000146</v>
      </c>
      <c r="H142" s="99">
        <f>G142+'8'!H142</f>
        <v>1419.9000000000015</v>
      </c>
      <c r="I142" s="140"/>
      <c r="J142" s="328">
        <f>H142/DAY(B2)</f>
        <v>157.76666666666682</v>
      </c>
    </row>
    <row r="143" spans="1:15" ht="25.5">
      <c r="A143" s="901" t="s">
        <v>91</v>
      </c>
      <c r="B143" s="901"/>
      <c r="C143" s="901"/>
      <c r="D143" s="151" t="s">
        <v>183</v>
      </c>
      <c r="E143" s="95">
        <f>'8'!F143</f>
        <v>7512</v>
      </c>
      <c r="F143" s="149">
        <v>7562</v>
      </c>
      <c r="G143" s="112">
        <f t="shared" si="11"/>
        <v>50</v>
      </c>
      <c r="H143" s="99">
        <f>G143+'8'!H143</f>
        <v>256</v>
      </c>
      <c r="I143" s="140"/>
      <c r="J143" s="328">
        <f>H143/DAY(B2)</f>
        <v>28.444444444444443</v>
      </c>
    </row>
    <row r="144" spans="1:15" ht="25.5">
      <c r="A144" s="905" t="s">
        <v>90</v>
      </c>
      <c r="B144" s="905"/>
      <c r="C144" s="905"/>
      <c r="D144" s="151" t="s">
        <v>183</v>
      </c>
      <c r="E144" s="406">
        <f>'8'!F144</f>
        <v>907012</v>
      </c>
      <c r="F144" s="148">
        <v>907238</v>
      </c>
      <c r="G144" s="112">
        <f t="shared" si="11"/>
        <v>226</v>
      </c>
      <c r="H144" s="99">
        <f>G144+'8'!H144</f>
        <v>2185</v>
      </c>
      <c r="I144" s="140"/>
      <c r="J144" s="328">
        <f>H144/DAY(B2)</f>
        <v>242.77777777777777</v>
      </c>
    </row>
    <row r="145" spans="1:10" ht="25.5">
      <c r="A145" s="901" t="s">
        <v>190</v>
      </c>
      <c r="B145" s="901"/>
      <c r="C145" s="901"/>
      <c r="D145" s="152" t="s">
        <v>183</v>
      </c>
      <c r="E145" s="406">
        <f>'8'!F145</f>
        <v>5664</v>
      </c>
      <c r="F145" s="148">
        <v>5664.5</v>
      </c>
      <c r="G145" s="112">
        <f t="shared" si="11"/>
        <v>0.5</v>
      </c>
      <c r="H145" s="99">
        <f>G145+'8'!H145</f>
        <v>0.5</v>
      </c>
      <c r="I145" s="140"/>
      <c r="J145" s="328">
        <f>H145/DAY(B2)</f>
        <v>5.5555555555555552E-2</v>
      </c>
    </row>
    <row r="146" spans="1:10" ht="25.5">
      <c r="A146" s="902" t="s">
        <v>191</v>
      </c>
      <c r="B146" s="903"/>
      <c r="C146" s="904"/>
      <c r="D146" s="152" t="s">
        <v>183</v>
      </c>
      <c r="E146" s="406">
        <f>'8'!F146</f>
        <v>778264</v>
      </c>
      <c r="F146" s="148">
        <v>778305</v>
      </c>
      <c r="G146" s="112">
        <f t="shared" si="11"/>
        <v>41</v>
      </c>
      <c r="H146" s="99">
        <f>G146+'8'!H146</f>
        <v>437</v>
      </c>
      <c r="I146" s="140"/>
      <c r="J146" s="328">
        <f>H146/DAY(B2)</f>
        <v>48.555555555555557</v>
      </c>
    </row>
    <row r="147" spans="1:10" ht="25.5">
      <c r="A147" s="905" t="s">
        <v>192</v>
      </c>
      <c r="B147" s="905"/>
      <c r="C147" s="905"/>
      <c r="D147" s="152" t="s">
        <v>183</v>
      </c>
      <c r="E147" s="406">
        <f>'8'!F147</f>
        <v>678898</v>
      </c>
      <c r="F147" s="148">
        <v>679280.24</v>
      </c>
      <c r="G147" s="112">
        <f t="shared" si="11"/>
        <v>382.23999999999069</v>
      </c>
      <c r="H147" s="99">
        <f>G147+'8'!H147</f>
        <v>3432.2399999999907</v>
      </c>
      <c r="I147" s="140"/>
      <c r="J147" s="328">
        <f>H147/DAY(B2)</f>
        <v>381.35999999999899</v>
      </c>
    </row>
    <row r="148" spans="1:10" ht="25.5">
      <c r="A148" s="897" t="s">
        <v>193</v>
      </c>
      <c r="B148" s="898"/>
      <c r="C148" s="899"/>
      <c r="D148" s="123" t="s">
        <v>130</v>
      </c>
      <c r="E148" s="406">
        <f>'8'!F148</f>
        <v>732075.12</v>
      </c>
      <c r="F148" s="164">
        <v>732358.8</v>
      </c>
      <c r="G148" s="112">
        <f t="shared" si="11"/>
        <v>283.68000000005122</v>
      </c>
      <c r="H148" s="99">
        <f>G148+'8'!H148</f>
        <v>2613.8000000000466</v>
      </c>
      <c r="I148" s="124"/>
      <c r="J148" s="328">
        <f>H148/DAY(B2)</f>
        <v>290.42222222222739</v>
      </c>
    </row>
    <row r="149" spans="1:10" ht="25.5">
      <c r="A149" s="897" t="s">
        <v>336</v>
      </c>
      <c r="B149" s="898"/>
      <c r="C149" s="899"/>
      <c r="D149" s="227" t="s">
        <v>130</v>
      </c>
      <c r="E149" s="406">
        <f>'8'!F149</f>
        <v>105303.52</v>
      </c>
      <c r="F149" s="416">
        <v>105918.15</v>
      </c>
      <c r="G149" s="112">
        <f t="shared" si="11"/>
        <v>614.6299999999901</v>
      </c>
      <c r="H149" s="99">
        <f>G149+'8'!H149</f>
        <v>5023.1499999999942</v>
      </c>
      <c r="I149" s="119"/>
      <c r="J149" s="328">
        <f>H149/DAY(B2)</f>
        <v>558.12777777777717</v>
      </c>
    </row>
    <row r="150" spans="1:10" ht="25.5">
      <c r="A150" s="897" t="s">
        <v>337</v>
      </c>
      <c r="B150" s="898"/>
      <c r="C150" s="899"/>
      <c r="D150" s="117" t="s">
        <v>130</v>
      </c>
      <c r="E150" s="406">
        <f>'8'!F150</f>
        <v>38811.800000000003</v>
      </c>
      <c r="F150" s="233">
        <v>39011</v>
      </c>
      <c r="G150" s="112">
        <f t="shared" si="11"/>
        <v>199.19999999999709</v>
      </c>
      <c r="H150" s="99">
        <f>G150+'8'!H150</f>
        <v>1795</v>
      </c>
      <c r="I150" s="119"/>
      <c r="J150" s="328">
        <f>H150/DAY(B2)</f>
        <v>199.44444444444446</v>
      </c>
    </row>
    <row r="151" spans="1:10" ht="25.5">
      <c r="A151" s="897" t="s">
        <v>338</v>
      </c>
      <c r="B151" s="898"/>
      <c r="C151" s="899"/>
      <c r="D151" s="117" t="s">
        <v>130</v>
      </c>
      <c r="E151" s="95">
        <f>'8'!F151</f>
        <v>120464</v>
      </c>
      <c r="F151" s="233">
        <v>120775</v>
      </c>
      <c r="G151" s="112">
        <f t="shared" si="11"/>
        <v>311</v>
      </c>
      <c r="H151" s="99">
        <f>G151+'8'!H151</f>
        <v>2638</v>
      </c>
      <c r="I151" s="119"/>
      <c r="J151" s="328">
        <f>H151/DAY(B2)</f>
        <v>293.11111111111109</v>
      </c>
    </row>
    <row r="152" spans="1:10" ht="25.5">
      <c r="A152" s="897" t="s">
        <v>339</v>
      </c>
      <c r="B152" s="898"/>
      <c r="C152" s="899"/>
      <c r="D152" s="117" t="s">
        <v>130</v>
      </c>
      <c r="E152" s="95">
        <f>'8'!F152</f>
        <v>16390.5</v>
      </c>
      <c r="F152" s="233">
        <v>16604.2</v>
      </c>
      <c r="G152" s="112">
        <f t="shared" si="11"/>
        <v>213.70000000000073</v>
      </c>
      <c r="H152" s="99">
        <f>G152+'8'!H152</f>
        <v>5448.2000000000007</v>
      </c>
      <c r="I152" s="119"/>
      <c r="J152" s="328">
        <f>H152/DAY(B2)</f>
        <v>605.35555555555561</v>
      </c>
    </row>
    <row r="153" spans="1:10" ht="25.5">
      <c r="A153" s="934" t="s">
        <v>196</v>
      </c>
      <c r="B153" s="935"/>
      <c r="C153" s="365"/>
      <c r="D153" s="358"/>
      <c r="E153" s="360"/>
      <c r="F153" s="361"/>
      <c r="G153" s="362">
        <f>SUM(G138:G152)</f>
        <v>3205.1500000000342</v>
      </c>
      <c r="H153" s="363"/>
      <c r="I153" s="119">
        <f>G153-(G38+G52)</f>
        <v>954.36000000004606</v>
      </c>
      <c r="J153" s="366"/>
    </row>
    <row r="154" spans="1:10" ht="27.75">
      <c r="A154" s="938" t="s">
        <v>344</v>
      </c>
      <c r="B154" s="938"/>
      <c r="C154" s="938"/>
      <c r="D154" s="938"/>
      <c r="E154" s="938"/>
      <c r="F154" s="938"/>
      <c r="G154" s="938"/>
      <c r="H154" s="938"/>
      <c r="I154" s="938"/>
      <c r="J154" s="938"/>
    </row>
    <row r="155" spans="1:10" ht="27.75">
      <c r="A155" s="905" t="s">
        <v>345</v>
      </c>
      <c r="B155" s="905"/>
      <c r="C155" s="905"/>
      <c r="D155" s="117" t="s">
        <v>130</v>
      </c>
      <c r="E155" s="95">
        <f>'8'!F155</f>
        <v>116837</v>
      </c>
      <c r="F155" s="374">
        <v>117467</v>
      </c>
      <c r="G155" s="112">
        <f t="shared" ref="G155:G158" si="12">F155-E155</f>
        <v>630</v>
      </c>
      <c r="H155" s="99">
        <f>G155+'8'!H155</f>
        <v>5492</v>
      </c>
      <c r="I155" s="364"/>
      <c r="J155" s="328">
        <f>H155/DAY(B2)</f>
        <v>610.22222222222217</v>
      </c>
    </row>
    <row r="156" spans="1:10" ht="25.5">
      <c r="A156" s="905" t="s">
        <v>346</v>
      </c>
      <c r="B156" s="905"/>
      <c r="C156" s="905"/>
      <c r="D156" s="117" t="s">
        <v>130</v>
      </c>
      <c r="E156" s="95">
        <f>'8'!F156</f>
        <v>10270</v>
      </c>
      <c r="F156" s="155">
        <v>10352</v>
      </c>
      <c r="G156" s="112">
        <f t="shared" si="12"/>
        <v>82</v>
      </c>
      <c r="H156" s="99">
        <f>G156+'8'!H156</f>
        <v>667</v>
      </c>
      <c r="I156" s="165"/>
      <c r="J156" s="328">
        <f>H156/DAY(B2)</f>
        <v>74.111111111111114</v>
      </c>
    </row>
    <row r="157" spans="1:10" ht="25.5">
      <c r="A157" s="897" t="s">
        <v>360</v>
      </c>
      <c r="B157" s="898"/>
      <c r="C157" s="899"/>
      <c r="D157" s="117" t="s">
        <v>130</v>
      </c>
      <c r="E157" s="95">
        <f>'8'!F157</f>
        <v>19618.46</v>
      </c>
      <c r="F157" s="155">
        <v>19797.8</v>
      </c>
      <c r="G157" s="112">
        <f t="shared" si="12"/>
        <v>179.34000000000015</v>
      </c>
      <c r="H157" s="99">
        <f>G157+'8'!H157</f>
        <v>1597.7999999999993</v>
      </c>
      <c r="I157" s="165"/>
      <c r="J157" s="328">
        <f>H157/DAY(B2)</f>
        <v>177.53333333333325</v>
      </c>
    </row>
    <row r="158" spans="1:10" ht="25.5">
      <c r="A158" s="897" t="s">
        <v>361</v>
      </c>
      <c r="B158" s="898"/>
      <c r="C158" s="899"/>
      <c r="D158" s="117" t="s">
        <v>130</v>
      </c>
      <c r="E158" s="95">
        <f>'8'!F158</f>
        <v>177.9</v>
      </c>
      <c r="F158" s="155">
        <v>177</v>
      </c>
      <c r="G158" s="112">
        <f t="shared" si="12"/>
        <v>-0.90000000000000568</v>
      </c>
      <c r="H158" s="99">
        <f>G158+'8'!H158</f>
        <v>86.58</v>
      </c>
      <c r="I158" s="165"/>
      <c r="J158" s="328">
        <f>H158/DAY(B2)</f>
        <v>9.6199999999999992</v>
      </c>
    </row>
    <row r="159" spans="1:10" ht="25.5">
      <c r="A159" s="956"/>
      <c r="B159" s="957"/>
      <c r="C159" s="958"/>
      <c r="D159" s="117"/>
      <c r="E159" s="95"/>
      <c r="F159" s="155"/>
      <c r="G159" s="112"/>
      <c r="H159" s="99">
        <f>G159+'8'!H159</f>
        <v>0</v>
      </c>
      <c r="I159" s="165"/>
      <c r="J159" s="328">
        <f>H159/DAY(B2)</f>
        <v>0</v>
      </c>
    </row>
    <row r="160" spans="1:10" ht="27.75">
      <c r="A160" s="938" t="s">
        <v>326</v>
      </c>
      <c r="B160" s="938"/>
      <c r="C160" s="938"/>
      <c r="D160" s="938"/>
      <c r="E160" s="938"/>
      <c r="F160" s="938"/>
      <c r="G160" s="938"/>
      <c r="H160" s="938"/>
      <c r="I160" s="938"/>
      <c r="J160" s="938"/>
    </row>
    <row r="161" spans="1:10" ht="26.25">
      <c r="A161" s="242" t="s">
        <v>92</v>
      </c>
      <c r="B161" s="243"/>
      <c r="C161" s="243"/>
      <c r="D161" s="244" t="s">
        <v>180</v>
      </c>
      <c r="E161" s="95">
        <f>'8'!F161</f>
        <v>476071.2</v>
      </c>
      <c r="F161" s="235">
        <v>476258.44</v>
      </c>
      <c r="G161" s="238">
        <f t="shared" ref="G161:G166" si="13">F161-E161</f>
        <v>187.23999999999069</v>
      </c>
      <c r="H161" s="99">
        <f>G161+'8'!H161</f>
        <v>837.44000000000233</v>
      </c>
      <c r="I161" s="236"/>
      <c r="J161" s="239">
        <f>H161/DAY(B2)</f>
        <v>93.048888888889152</v>
      </c>
    </row>
    <row r="162" spans="1:10" ht="27" customHeight="1">
      <c r="A162" s="242" t="s">
        <v>93</v>
      </c>
      <c r="B162" s="243"/>
      <c r="C162" s="243"/>
      <c r="D162" s="244" t="s">
        <v>180</v>
      </c>
      <c r="E162" s="95">
        <f>'8'!F162</f>
        <v>93004.800000000003</v>
      </c>
      <c r="F162" s="235">
        <v>93043.01</v>
      </c>
      <c r="G162" s="238">
        <f t="shared" si="13"/>
        <v>38.209999999991851</v>
      </c>
      <c r="H162" s="99">
        <f>G162+'8'!H162</f>
        <v>316.00999999999476</v>
      </c>
      <c r="I162" s="236"/>
      <c r="J162" s="239">
        <f>H162/DAY(B2)</f>
        <v>35.112222222221639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'8'!F163</f>
        <v>98394.7</v>
      </c>
      <c r="F163" s="235">
        <v>98556.3</v>
      </c>
      <c r="G163" s="238">
        <f t="shared" si="13"/>
        <v>161.60000000000582</v>
      </c>
      <c r="H163" s="99">
        <f>G163+'8'!H163</f>
        <v>1421.3000000000029</v>
      </c>
      <c r="I163" s="236"/>
      <c r="J163" s="239">
        <f>H163/DAY(B2)</f>
        <v>157.92222222222256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'8'!F164</f>
        <v>5636.1</v>
      </c>
      <c r="F164" s="235">
        <v>5649.2</v>
      </c>
      <c r="G164" s="238">
        <f t="shared" si="13"/>
        <v>13.099999999999454</v>
      </c>
      <c r="H164" s="99">
        <f>G164+'8'!H164</f>
        <v>107.19999999999982</v>
      </c>
      <c r="I164" s="236"/>
      <c r="J164" s="239">
        <f>H164/DAY(B2)</f>
        <v>11.91111111111109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'8'!F165</f>
        <v>31104.75</v>
      </c>
      <c r="F165" s="235">
        <v>31118.46</v>
      </c>
      <c r="G165" s="238">
        <f t="shared" si="13"/>
        <v>13.709999999999127</v>
      </c>
      <c r="H165" s="99">
        <f>G165+'8'!H165</f>
        <v>104.45999999999913</v>
      </c>
      <c r="I165" s="236"/>
      <c r="J165" s="239">
        <f>H165/DAY(B2)</f>
        <v>11.60666666666657</v>
      </c>
    </row>
    <row r="166" spans="1:10" ht="26.25">
      <c r="A166" s="937"/>
      <c r="B166" s="937"/>
      <c r="C166" s="246"/>
      <c r="D166" s="244" t="s">
        <v>180</v>
      </c>
      <c r="E166" s="95">
        <f>'8'!F166</f>
        <v>0</v>
      </c>
      <c r="F166" s="165">
        <v>0</v>
      </c>
      <c r="G166" s="16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6.25">
      <c r="A167" s="937"/>
      <c r="B167" s="937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6.25">
      <c r="A168" s="937"/>
      <c r="B168" s="937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7" t="s">
        <v>330</v>
      </c>
      <c r="B171" s="948"/>
      <c r="C171" s="948"/>
      <c r="D171" s="948"/>
      <c r="E171" s="948"/>
      <c r="F171" s="948"/>
      <c r="G171" s="948"/>
      <c r="H171" s="948"/>
      <c r="I171" s="948"/>
      <c r="J171" s="949"/>
    </row>
    <row r="172" spans="1:10" ht="25.5">
      <c r="A172" s="943"/>
      <c r="B172" s="944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5" t="s">
        <v>209</v>
      </c>
      <c r="B173" s="896"/>
      <c r="C173" s="333"/>
      <c r="D173" s="228" t="s">
        <v>142</v>
      </c>
      <c r="E173" s="95">
        <f>'8'!F173</f>
        <v>8273</v>
      </c>
      <c r="F173" s="155">
        <v>8273</v>
      </c>
      <c r="G173" s="155">
        <f>F173-E173</f>
        <v>0</v>
      </c>
      <c r="H173" s="99">
        <f>G173+'8'!H173</f>
        <v>9</v>
      </c>
      <c r="I173" s="155"/>
      <c r="J173" s="178">
        <f>H173/DAY(B2)</f>
        <v>1</v>
      </c>
    </row>
    <row r="174" spans="1:10" ht="25.5">
      <c r="A174" s="895" t="s">
        <v>75</v>
      </c>
      <c r="B174" s="896"/>
      <c r="C174" s="333"/>
      <c r="D174" s="228" t="s">
        <v>142</v>
      </c>
      <c r="E174" s="95">
        <f>'8'!F174</f>
        <v>40445</v>
      </c>
      <c r="F174" s="157">
        <v>40458</v>
      </c>
      <c r="G174" s="155">
        <f t="shared" ref="G174:G175" si="14">F174-E174</f>
        <v>13</v>
      </c>
      <c r="H174" s="99">
        <f>G174+'8'!H174</f>
        <v>126</v>
      </c>
      <c r="I174" s="155"/>
      <c r="J174" s="178">
        <f>H174/DAY(B2)</f>
        <v>14</v>
      </c>
    </row>
    <row r="175" spans="1:10" ht="25.5">
      <c r="A175" s="895" t="s">
        <v>76</v>
      </c>
      <c r="B175" s="900"/>
      <c r="C175" s="896"/>
      <c r="D175" s="228" t="s">
        <v>142</v>
      </c>
      <c r="E175" s="95">
        <f>'8'!F175</f>
        <v>23382</v>
      </c>
      <c r="F175" s="155">
        <v>23395</v>
      </c>
      <c r="G175" s="155">
        <f t="shared" si="14"/>
        <v>13</v>
      </c>
      <c r="H175" s="99">
        <f>G175+'8'!H175</f>
        <v>137</v>
      </c>
      <c r="I175" s="155"/>
      <c r="J175" s="178">
        <f>H175/DAY(B2)</f>
        <v>15.222222222222221</v>
      </c>
    </row>
    <row r="176" spans="1:10" ht="25.5">
      <c r="A176" s="934" t="s">
        <v>196</v>
      </c>
      <c r="B176" s="935"/>
      <c r="C176" s="333"/>
      <c r="D176" s="228" t="s">
        <v>142</v>
      </c>
      <c r="E176" s="95"/>
      <c r="F176" s="155"/>
      <c r="G176" s="155">
        <f>SUM(G173:G175)</f>
        <v>26</v>
      </c>
      <c r="H176" s="99">
        <f>G176+'8'!H176</f>
        <v>272</v>
      </c>
      <c r="I176" s="155"/>
      <c r="J176" s="178">
        <f>H176/DAY(B2)</f>
        <v>30.222222222222221</v>
      </c>
    </row>
    <row r="177" spans="1:10" ht="25.5">
      <c r="A177" s="895" t="s">
        <v>77</v>
      </c>
      <c r="B177" s="896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5.5">
      <c r="A178" s="895" t="s">
        <v>210</v>
      </c>
      <c r="B178" s="896"/>
      <c r="C178" s="333"/>
      <c r="D178" s="228" t="s">
        <v>142</v>
      </c>
      <c r="E178" s="95">
        <f>'8'!F178</f>
        <v>92662</v>
      </c>
      <c r="F178" s="157">
        <v>92799</v>
      </c>
      <c r="G178" s="761">
        <f>F178-E178</f>
        <v>137</v>
      </c>
      <c r="H178" s="99">
        <f>G178+'8'!H178</f>
        <v>977</v>
      </c>
      <c r="I178" s="155"/>
      <c r="J178" s="178">
        <f>H178/DAY(B2)</f>
        <v>108.55555555555556</v>
      </c>
    </row>
    <row r="179" spans="1:10" ht="25.5">
      <c r="A179" s="895" t="s">
        <v>211</v>
      </c>
      <c r="B179" s="896"/>
      <c r="C179" s="333"/>
      <c r="D179" s="228" t="s">
        <v>142</v>
      </c>
      <c r="E179" s="95">
        <f>'8'!F179</f>
        <v>35926</v>
      </c>
      <c r="F179" s="157">
        <v>35956</v>
      </c>
      <c r="G179" s="155">
        <f t="shared" ref="G179:G180" si="15">F179-E179</f>
        <v>30</v>
      </c>
      <c r="H179" s="99">
        <f>G179+'8'!H179</f>
        <v>172</v>
      </c>
      <c r="I179" s="155"/>
      <c r="J179" s="178">
        <f>H179/DAY(B2)</f>
        <v>19.111111111111111</v>
      </c>
    </row>
    <row r="180" spans="1:10" ht="31.5" customHeight="1">
      <c r="A180" s="895" t="s">
        <v>212</v>
      </c>
      <c r="B180" s="896"/>
      <c r="C180" s="333"/>
      <c r="D180" s="228" t="s">
        <v>142</v>
      </c>
      <c r="E180" s="95">
        <f>'8'!F180</f>
        <v>6762</v>
      </c>
      <c r="F180" s="155">
        <v>6792</v>
      </c>
      <c r="G180" s="155">
        <f t="shared" si="15"/>
        <v>30</v>
      </c>
      <c r="H180" s="99">
        <f>G180+'8'!H180</f>
        <v>122</v>
      </c>
      <c r="I180" s="155"/>
      <c r="J180" s="178">
        <f>H180/DAY(B2)</f>
        <v>13.555555555555555</v>
      </c>
    </row>
    <row r="181" spans="1:10" ht="25.5">
      <c r="A181" s="941" t="s">
        <v>108</v>
      </c>
      <c r="B181" s="942"/>
      <c r="C181" s="333"/>
      <c r="D181" s="228" t="s">
        <v>142</v>
      </c>
      <c r="E181" s="95"/>
      <c r="F181" s="155"/>
      <c r="G181" s="155">
        <f>SUM(G178:G180)</f>
        <v>197</v>
      </c>
      <c r="H181" s="99">
        <f>G181+'8'!H181</f>
        <v>1271</v>
      </c>
      <c r="I181" s="155"/>
      <c r="J181" s="178">
        <f>H181/DAY(B2)</f>
        <v>141.22222222222223</v>
      </c>
    </row>
    <row r="182" spans="1:10" ht="25.5">
      <c r="A182" s="895" t="s">
        <v>213</v>
      </c>
      <c r="B182" s="896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5.5">
      <c r="A183" s="895" t="s">
        <v>214</v>
      </c>
      <c r="B183" s="896"/>
      <c r="C183" s="334"/>
      <c r="D183" s="228" t="s">
        <v>142</v>
      </c>
      <c r="E183" s="95">
        <f>'8'!F183</f>
        <v>17080</v>
      </c>
      <c r="F183" s="157">
        <v>17088</v>
      </c>
      <c r="G183" s="157">
        <f>F183-E183</f>
        <v>8</v>
      </c>
      <c r="H183" s="99">
        <f>G183+'8'!H183</f>
        <v>133</v>
      </c>
      <c r="I183" s="155"/>
      <c r="J183" s="178">
        <f>H183/DAY(B2)</f>
        <v>14.777777777777779</v>
      </c>
    </row>
    <row r="184" spans="1:10" ht="25.5">
      <c r="A184" s="895" t="s">
        <v>215</v>
      </c>
      <c r="B184" s="896"/>
      <c r="C184" s="334"/>
      <c r="D184" s="228" t="s">
        <v>142</v>
      </c>
      <c r="E184" s="95">
        <f>'8'!F184</f>
        <v>11543</v>
      </c>
      <c r="F184" s="157">
        <v>11549</v>
      </c>
      <c r="G184" s="157">
        <f t="shared" ref="G184:G185" si="16">F184-E184</f>
        <v>6</v>
      </c>
      <c r="H184" s="99">
        <f>G184+'8'!H184</f>
        <v>63</v>
      </c>
      <c r="I184" s="155"/>
      <c r="J184" s="178">
        <f>H184/DAY(B2)</f>
        <v>7</v>
      </c>
    </row>
    <row r="185" spans="1:10" ht="35.25" customHeight="1">
      <c r="A185" s="895" t="s">
        <v>216</v>
      </c>
      <c r="B185" s="896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>
      <c r="A186" s="934" t="s">
        <v>196</v>
      </c>
      <c r="B186" s="935"/>
      <c r="C186" s="334"/>
      <c r="D186" s="228" t="s">
        <v>142</v>
      </c>
      <c r="E186" s="95"/>
      <c r="F186" s="157"/>
      <c r="G186" s="157">
        <f>SUM(G183:G185)</f>
        <v>14</v>
      </c>
      <c r="H186" s="99">
        <f>G186+'8'!H186</f>
        <v>196</v>
      </c>
      <c r="I186" s="157"/>
      <c r="J186" s="178">
        <f>H186/DAY(B2)</f>
        <v>21.777777777777779</v>
      </c>
    </row>
    <row r="187" spans="1:10" ht="25.5">
      <c r="A187" s="945" t="s">
        <v>217</v>
      </c>
      <c r="B187" s="946"/>
      <c r="C187" s="333"/>
      <c r="D187" s="230" t="s">
        <v>142</v>
      </c>
      <c r="E187" s="95"/>
      <c r="F187" s="159"/>
      <c r="G187" s="159">
        <f>G62+G19</f>
        <v>177</v>
      </c>
      <c r="H187" s="99">
        <f>G187+'8'!H187</f>
        <v>1912</v>
      </c>
      <c r="I187" s="158"/>
      <c r="J187" s="179">
        <f>H187/DAY(B2)</f>
        <v>212.44444444444446</v>
      </c>
    </row>
    <row r="188" spans="1:10" ht="25.5">
      <c r="A188" s="945" t="s">
        <v>218</v>
      </c>
      <c r="B188" s="946"/>
      <c r="C188" s="333"/>
      <c r="D188" s="230" t="s">
        <v>142</v>
      </c>
      <c r="E188" s="95"/>
      <c r="F188" s="159"/>
      <c r="G188" s="159">
        <f>G65+G66+G67+G69+G70</f>
        <v>182</v>
      </c>
      <c r="H188" s="99">
        <f>G188+'8'!H188</f>
        <v>1900</v>
      </c>
      <c r="I188" s="158"/>
      <c r="J188" s="179">
        <f>H188/DAY(B2)</f>
        <v>211.11111111111111</v>
      </c>
    </row>
    <row r="189" spans="1:10" ht="25.5">
      <c r="A189" s="945" t="s">
        <v>219</v>
      </c>
      <c r="B189" s="946"/>
      <c r="C189" s="333"/>
      <c r="D189" s="230" t="s">
        <v>142</v>
      </c>
      <c r="E189" s="95"/>
      <c r="F189" s="157"/>
      <c r="G189" s="157">
        <f>G181</f>
        <v>197</v>
      </c>
      <c r="H189" s="99">
        <f>G189+'8'!H189</f>
        <v>1271</v>
      </c>
      <c r="I189" s="158"/>
      <c r="J189" s="179">
        <f>H189/DAY(B2)</f>
        <v>141.22222222222223</v>
      </c>
    </row>
    <row r="190" spans="1:10" ht="29.25" customHeight="1">
      <c r="A190" s="939"/>
      <c r="B190" s="940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zoomScale="55" zoomScaleNormal="55" zoomScaleSheetLayoutView="55" workbookViewId="0">
      <selection activeCell="F66" sqref="F66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6" t="s">
        <v>115</v>
      </c>
      <c r="B1" s="877"/>
      <c r="C1" s="877"/>
      <c r="D1" s="877"/>
      <c r="E1" s="877"/>
      <c r="F1" s="877"/>
      <c r="G1" s="877"/>
      <c r="H1" s="877"/>
      <c r="I1" s="877"/>
      <c r="J1" s="878"/>
    </row>
    <row r="2" spans="1:15" s="57" customFormat="1" ht="23.25">
      <c r="A2" s="191" t="s">
        <v>349</v>
      </c>
      <c r="B2" s="262">
        <v>44722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25</v>
      </c>
      <c r="E3" s="885" t="s">
        <v>119</v>
      </c>
      <c r="F3" s="886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9" t="s">
        <v>128</v>
      </c>
      <c r="B6" s="880"/>
      <c r="C6" s="88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'9 taken physical reading &amp; Adj'!F7</f>
        <v>939640</v>
      </c>
      <c r="F7" s="95">
        <v>969642</v>
      </c>
      <c r="G7" s="112">
        <f>F7-E7</f>
        <v>30002</v>
      </c>
      <c r="H7" s="99">
        <f>G7+'9 taken physical reading &amp; Adj'!H7</f>
        <v>276521</v>
      </c>
      <c r="I7" s="113">
        <f>'1'!I7</f>
        <v>12000</v>
      </c>
      <c r="J7" s="175">
        <f>H7/DAY(B2)</f>
        <v>27652.1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'9 taken physical reading &amp; Adj'!F8</f>
        <v>65526</v>
      </c>
      <c r="F8" s="114">
        <v>96536</v>
      </c>
      <c r="G8" s="115">
        <f>F8-E8</f>
        <v>31010</v>
      </c>
      <c r="H8" s="99">
        <f>G8+'9 taken physical reading &amp; Adj'!H8</f>
        <v>287877.10000000003</v>
      </c>
      <c r="I8" s="116"/>
      <c r="J8" s="175">
        <f>H8/DAY(B2)</f>
        <v>28787.710000000003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'9 taken physical reading &amp; Adj'!F9</f>
        <v>2569054.7000000002</v>
      </c>
      <c r="F9" s="469">
        <v>2589139</v>
      </c>
      <c r="G9" s="112">
        <f>F9-E9</f>
        <v>20084.299999999814</v>
      </c>
      <c r="H9" s="99">
        <f>G9+'9 taken physical reading &amp; Adj'!H9</f>
        <v>139030.29999999981</v>
      </c>
      <c r="I9" s="124">
        <f>I7-J7</f>
        <v>-15652.099999999999</v>
      </c>
      <c r="J9" s="175">
        <f>H9/DAY(B2)</f>
        <v>13903.029999999981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'9 taken physical reading &amp; Adj'!F10</f>
        <v>1016376.2</v>
      </c>
      <c r="F10" s="117">
        <v>1025496.9</v>
      </c>
      <c r="G10" s="112">
        <f t="shared" ref="G10:G12" si="0">F10-E10</f>
        <v>9120.7000000000698</v>
      </c>
      <c r="H10" s="99">
        <f>G10+'9 taken physical reading &amp; Adj'!H10</f>
        <v>115093.70000000007</v>
      </c>
      <c r="I10" s="282"/>
      <c r="J10" s="175">
        <f>H10/DAY(B2)</f>
        <v>11509.370000000006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'9 taken physical reading &amp; Adj'!F11</f>
        <v>37560</v>
      </c>
      <c r="F11" s="95">
        <v>37560</v>
      </c>
      <c r="G11" s="112">
        <f t="shared" si="0"/>
        <v>0</v>
      </c>
      <c r="H11" s="99">
        <f>G11+'9 taken physical reading &amp; Adj'!H11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'9 taken physical reading &amp; Adj'!F12</f>
        <v>40380</v>
      </c>
      <c r="F12" s="117">
        <v>40380</v>
      </c>
      <c r="G12" s="112">
        <f t="shared" si="0"/>
        <v>0</v>
      </c>
      <c r="H12" s="99">
        <f>G12+'9 taken physical reading &amp; Adj'!H12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29204.999999999884</v>
      </c>
      <c r="H13" s="99">
        <f>G13+'9 taken physical reading &amp; Adj'!H13</f>
        <v>253984.99999999988</v>
      </c>
      <c r="I13" s="120">
        <f>G7-G13</f>
        <v>797.00000000011642</v>
      </c>
      <c r="J13" s="175">
        <f>H13/DAY(B2)</f>
        <v>25398.499999999989</v>
      </c>
      <c r="K13" s="79"/>
      <c r="L13" s="66"/>
      <c r="N13" s="87"/>
      <c r="O13" s="71"/>
    </row>
    <row r="14" spans="1:15" ht="26.25">
      <c r="A14" s="882" t="s">
        <v>137</v>
      </c>
      <c r="B14" s="883"/>
      <c r="C14" s="88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'9 taken physical reading &amp; Adj'!F15</f>
        <v>2046733</v>
      </c>
      <c r="F15" s="469">
        <v>2047794.5</v>
      </c>
      <c r="G15" s="112">
        <f>(F15-E15)</f>
        <v>1061.5</v>
      </c>
      <c r="H15" s="99">
        <f>G15+'9 taken physical reading &amp; Adj'!H15</f>
        <v>10677.5</v>
      </c>
      <c r="I15" s="113">
        <f>'1'!I15</f>
        <v>800</v>
      </c>
      <c r="J15" s="175">
        <f>H15/DAY(B2)</f>
        <v>1067.75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-267.75</v>
      </c>
      <c r="J16" s="176"/>
      <c r="K16" s="79"/>
      <c r="L16" s="66"/>
      <c r="N16" s="87"/>
      <c r="O16" s="71"/>
    </row>
    <row r="17" spans="1:15" ht="26.25">
      <c r="A17" s="882" t="s">
        <v>140</v>
      </c>
      <c r="B17" s="883"/>
      <c r="C17" s="88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3" t="s">
        <v>141</v>
      </c>
      <c r="B18" s="874"/>
      <c r="C18" s="875"/>
      <c r="D18" s="151" t="s">
        <v>142</v>
      </c>
      <c r="E18" s="95">
        <f>'9 taken physical reading &amp; Adj'!F18</f>
        <v>23</v>
      </c>
      <c r="F18" s="164">
        <v>15</v>
      </c>
      <c r="G18" s="119">
        <f>F18*10</f>
        <v>150</v>
      </c>
      <c r="H18" s="99">
        <f>G18+'9 taken physical reading &amp; Adj'!H18</f>
        <v>2280</v>
      </c>
      <c r="I18" s="113">
        <f>'1'!I18</f>
        <v>65</v>
      </c>
      <c r="J18" s="175">
        <f>H18/DAY(B2)</f>
        <v>228</v>
      </c>
      <c r="K18" s="79"/>
      <c r="L18" s="66"/>
      <c r="N18" s="87"/>
      <c r="O18" s="71"/>
    </row>
    <row r="19" spans="1:15" ht="25.5">
      <c r="A19" s="873" t="s">
        <v>69</v>
      </c>
      <c r="B19" s="874"/>
      <c r="C19" s="875"/>
      <c r="D19" s="151" t="s">
        <v>142</v>
      </c>
      <c r="E19" s="95">
        <f>'9 taken physical reading &amp; Adj'!F19</f>
        <v>160582</v>
      </c>
      <c r="F19" s="122">
        <f>160582+53</f>
        <v>160635</v>
      </c>
      <c r="G19" s="112">
        <v>50</v>
      </c>
      <c r="H19" s="99">
        <f>G19+'9 taken physical reading &amp; Adj'!H19</f>
        <v>525</v>
      </c>
      <c r="I19" s="335"/>
      <c r="J19" s="175">
        <f>H19/DAY(B2)</f>
        <v>52.5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200</v>
      </c>
      <c r="H20" s="99">
        <f>G20+'9 taken physical reading &amp; Adj'!H20</f>
        <v>2805</v>
      </c>
      <c r="I20" s="336">
        <f>I18-J20</f>
        <v>-215.5</v>
      </c>
      <c r="J20" s="175">
        <f>H20/DAY(B2)</f>
        <v>280.5</v>
      </c>
      <c r="K20" s="79"/>
      <c r="L20" s="66"/>
      <c r="N20" s="87"/>
      <c r="O20" s="71"/>
    </row>
    <row r="21" spans="1:15" ht="26.25">
      <c r="A21" s="882" t="s">
        <v>144</v>
      </c>
      <c r="B21" s="883"/>
      <c r="C21" s="88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'9 taken physical reading &amp; Adj'!F22</f>
        <v>2970</v>
      </c>
      <c r="F22" s="122">
        <v>2970</v>
      </c>
      <c r="G22" s="119">
        <f t="shared" ref="G22" si="1">(F22-E22)</f>
        <v>0</v>
      </c>
      <c r="H22" s="99">
        <f>G22+'9 taken physical reading &amp; Adj'!H22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'9 taken physical reading &amp; Adj'!F23</f>
        <v>1500</v>
      </c>
      <c r="F23" s="122">
        <v>1500</v>
      </c>
      <c r="G23" s="119">
        <v>0</v>
      </c>
      <c r="H23" s="99">
        <f>G23+'9 taken physical reading &amp; Adj'!H23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'9 taken physical reading &amp; Adj'!F24</f>
        <v>4970</v>
      </c>
      <c r="F24" s="128">
        <v>4970</v>
      </c>
      <c r="G24" s="119">
        <v>0</v>
      </c>
      <c r="H24" s="99">
        <f>G24+'9 taken physical reading &amp; Adj'!H24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7" t="s">
        <v>149</v>
      </c>
      <c r="B25" s="888"/>
      <c r="C25" s="88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 taken physical reading &amp; Adj'!H26</f>
        <v>0</v>
      </c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31010</v>
      </c>
      <c r="F27" s="136">
        <v>9</v>
      </c>
      <c r="G27" s="137">
        <f>E27*F27</f>
        <v>279090</v>
      </c>
      <c r="H27" s="99">
        <f>G27+'9 taken physical reading &amp; Adj'!H27</f>
        <v>2590893.9000000004</v>
      </c>
      <c r="I27" s="138"/>
      <c r="J27" s="175">
        <f>H27/DAY(B2)</f>
        <v>259089.39000000004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1061.5</v>
      </c>
      <c r="F28" s="136">
        <v>52</v>
      </c>
      <c r="G28" s="137">
        <f>E28*F28</f>
        <v>55198</v>
      </c>
      <c r="H28" s="99">
        <f>G28+'9 taken physical reading &amp; Adj'!H28</f>
        <v>711830</v>
      </c>
      <c r="I28" s="140"/>
      <c r="J28" s="175">
        <f>H28/DAY(B2)</f>
        <v>71183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 taken physical reading &amp; Adj'!H29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G30+'9 taken physical reading &amp; Adj'!H30</f>
        <v>78775</v>
      </c>
      <c r="I30" s="140"/>
      <c r="J30" s="175">
        <f>H30/DAY(B2)</f>
        <v>7877.5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80</v>
      </c>
      <c r="G31" s="137">
        <f>E31*F31</f>
        <v>12000</v>
      </c>
      <c r="H31" s="99">
        <f>G31+'9 taken physical reading &amp; Adj'!H31</f>
        <v>182400</v>
      </c>
      <c r="I31" s="140"/>
      <c r="J31" s="175">
        <f>H31/DAY(B2)</f>
        <v>18240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353588</v>
      </c>
      <c r="H32" s="99">
        <f>G32+'9 taken physical reading &amp; Adj'!H32</f>
        <v>3563898.9000000004</v>
      </c>
      <c r="I32" s="144"/>
      <c r="J32" s="175">
        <f>H32/DAY(B2)</f>
        <v>356389.89</v>
      </c>
      <c r="K32" s="63"/>
      <c r="L32" s="89"/>
      <c r="N32" s="87"/>
      <c r="O32" s="71"/>
    </row>
    <row r="33" spans="1:15" ht="25.5" customHeight="1">
      <c r="A33" s="890" t="s">
        <v>331</v>
      </c>
      <c r="B33" s="891"/>
      <c r="C33" s="89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'9 taken physical reading &amp; Adj'!F35</f>
        <v>238713.05</v>
      </c>
      <c r="F35" s="145">
        <v>238713.05</v>
      </c>
      <c r="G35" s="112">
        <f t="shared" ref="G35:G46" si="2">F35-E35</f>
        <v>0</v>
      </c>
      <c r="H35" s="99">
        <f>G35+'9 taken physical reading &amp; Adj'!H35</f>
        <v>-0.95000000001164153</v>
      </c>
      <c r="I35" s="95"/>
      <c r="J35" s="175">
        <f>H35/DAY(B2)</f>
        <v>-9.5000000001164153E-2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'9 taken physical reading &amp; Adj'!F36</f>
        <v>168511</v>
      </c>
      <c r="F36" s="145">
        <v>169496.8</v>
      </c>
      <c r="G36" s="112">
        <f t="shared" si="2"/>
        <v>985.79999999998836</v>
      </c>
      <c r="H36" s="99">
        <f>G36+'9 taken physical reading &amp; Adj'!H36</f>
        <v>9048.7999999999884</v>
      </c>
      <c r="I36" s="95"/>
      <c r="J36" s="175">
        <f>H36/DAY(B2)</f>
        <v>904.87999999999886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'9 taken physical reading &amp; Adj'!F37</f>
        <v>251726</v>
      </c>
      <c r="F37" s="145">
        <v>253484.13</v>
      </c>
      <c r="G37" s="112">
        <f t="shared" si="2"/>
        <v>1758.1300000000047</v>
      </c>
      <c r="H37" s="99">
        <f>G37+'9 taken physical reading &amp; Adj'!H37</f>
        <v>17705.130000000005</v>
      </c>
      <c r="I37" s="95"/>
      <c r="J37" s="175">
        <f>H37/DAY(B2)</f>
        <v>1770.5130000000004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'9 taken physical reading &amp; Adj'!F38</f>
        <v>338216.55</v>
      </c>
      <c r="F38" s="108">
        <v>340674</v>
      </c>
      <c r="G38" s="112">
        <f t="shared" si="2"/>
        <v>2457.4500000000116</v>
      </c>
      <c r="H38" s="99">
        <f>G38+'9 taken physical reading &amp; Adj'!H38</f>
        <v>22382</v>
      </c>
      <c r="I38" s="95"/>
      <c r="J38" s="175">
        <f>H38/DAY(B2)</f>
        <v>2238.1999999999998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'9 taken physical reading &amp; Adj'!F39</f>
        <v>459219.91</v>
      </c>
      <c r="F39" s="145">
        <v>462299</v>
      </c>
      <c r="G39" s="112">
        <f t="shared" si="2"/>
        <v>3079.0900000000256</v>
      </c>
      <c r="H39" s="99">
        <f>G39+'9 taken physical reading &amp; Adj'!H39</f>
        <v>26969.090000000026</v>
      </c>
      <c r="I39" s="95"/>
      <c r="J39" s="175">
        <f>H39/DAY(B2)</f>
        <v>2696.9090000000024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'9 taken physical reading &amp; Adj'!F40</f>
        <v>75530.111000000004</v>
      </c>
      <c r="F40" s="145">
        <v>75854</v>
      </c>
      <c r="G40" s="112">
        <f t="shared" si="2"/>
        <v>323.88899999999558</v>
      </c>
      <c r="H40" s="99">
        <f>G40+'9 taken physical reading &amp; Adj'!H40</f>
        <v>2301</v>
      </c>
      <c r="I40" s="95"/>
      <c r="J40" s="175">
        <f>H40/DAY(B2)</f>
        <v>230.1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'9 taken physical reading &amp; Adj'!F41</f>
        <v>71544.28</v>
      </c>
      <c r="F41" s="145">
        <v>76191.53</v>
      </c>
      <c r="G41" s="112">
        <f t="shared" si="2"/>
        <v>4647.25</v>
      </c>
      <c r="H41" s="99">
        <f>G41+'9 taken physical reading &amp; Adj'!H41</f>
        <v>7356.5299999999988</v>
      </c>
      <c r="I41" s="95"/>
      <c r="J41" s="175">
        <f>H41/DAY(B2)</f>
        <v>735.65299999999991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'9 taken physical reading &amp; Adj'!F42</f>
        <v>603888.23</v>
      </c>
      <c r="F42" s="145">
        <v>609864.9</v>
      </c>
      <c r="G42" s="112">
        <f t="shared" si="2"/>
        <v>5976.6700000000419</v>
      </c>
      <c r="H42" s="99">
        <f>G42+'9 taken physical reading &amp; Adj'!H42</f>
        <v>46992.900000000023</v>
      </c>
      <c r="I42" s="95"/>
      <c r="J42" s="175">
        <f>H42/DAY(B2)</f>
        <v>4699.2900000000027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'9 taken physical reading &amp; Adj'!F43</f>
        <v>407028</v>
      </c>
      <c r="F43" s="145">
        <v>407028</v>
      </c>
      <c r="G43" s="112">
        <f t="shared" si="2"/>
        <v>0</v>
      </c>
      <c r="H43" s="99">
        <f>G43+'9 taken physical reading &amp; Adj'!H43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'9 taken physical reading &amp; Adj'!F44</f>
        <v>0</v>
      </c>
      <c r="F44" s="145">
        <v>0</v>
      </c>
      <c r="G44" s="112">
        <f t="shared" si="2"/>
        <v>0</v>
      </c>
      <c r="H44" s="99">
        <f>G44+'9 taken physical reading &amp; Adj'!H44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'9 taken physical reading &amp; Adj'!F45</f>
        <v>0</v>
      </c>
      <c r="F45" s="145">
        <v>0</v>
      </c>
      <c r="G45" s="112">
        <f t="shared" si="2"/>
        <v>0</v>
      </c>
      <c r="H45" s="99">
        <f>G45+'9 taken physical reading &amp; Adj'!H45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'9 taken physical reading &amp; Adj'!F46</f>
        <v>0</v>
      </c>
      <c r="F46" s="145">
        <v>0</v>
      </c>
      <c r="G46" s="112">
        <f t="shared" si="2"/>
        <v>0</v>
      </c>
      <c r="H46" s="99">
        <f>G46+'9 taken physical reading &amp; Adj'!H46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19228.279000000068</v>
      </c>
      <c r="H47" s="99">
        <f>G47+'9 taken physical reading &amp; Adj'!H47</f>
        <v>132754.50000000003</v>
      </c>
      <c r="I47" s="95"/>
      <c r="J47" s="175">
        <f>H47/DAY(B2)</f>
        <v>13275.450000000003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'9 taken physical reading &amp; Adj'!F49</f>
        <v>291648.84999999998</v>
      </c>
      <c r="F49" s="145">
        <v>295445.90000000002</v>
      </c>
      <c r="G49" s="112">
        <f t="shared" ref="G49:G58" si="3">F49-E49</f>
        <v>3797.0500000000466</v>
      </c>
      <c r="H49" s="99">
        <f>G49+'9 taken physical reading &amp; Adj'!H49</f>
        <v>35298.900000000023</v>
      </c>
      <c r="I49" s="95"/>
      <c r="J49" s="175">
        <f>H49/DAY(B2)</f>
        <v>3529.8900000000021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'9 taken physical reading &amp; Adj'!F50</f>
        <v>219946.93</v>
      </c>
      <c r="F50" s="145">
        <v>221354.11</v>
      </c>
      <c r="G50" s="112">
        <f t="shared" si="3"/>
        <v>1407.179999999993</v>
      </c>
      <c r="H50" s="99">
        <f>G50+'9 taken physical reading &amp; Adj'!H50</f>
        <v>11790.109999999986</v>
      </c>
      <c r="I50" s="95"/>
      <c r="J50" s="175">
        <f>H50/DAY(B2)</f>
        <v>1179.0109999999986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'9 taken physical reading &amp; Adj'!F51</f>
        <v>76</v>
      </c>
      <c r="F51" s="145">
        <v>76</v>
      </c>
      <c r="G51" s="112">
        <f t="shared" si="3"/>
        <v>0</v>
      </c>
      <c r="H51" s="99">
        <f>G51+'9 taken physical reading &amp; Adj'!H51</f>
        <v>0.31999999999999318</v>
      </c>
      <c r="I51" s="95"/>
      <c r="J51" s="175">
        <f>H51/DAY(B2)</f>
        <v>3.1999999999999321E-2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'9 taken physical reading &amp; Adj'!F52</f>
        <v>10</v>
      </c>
      <c r="F52" s="145">
        <v>10</v>
      </c>
      <c r="G52" s="112">
        <f t="shared" si="3"/>
        <v>0</v>
      </c>
      <c r="H52" s="99">
        <f>G52+'9 taken physical reading &amp; Adj'!H52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'9 taken physical reading &amp; Adj'!F53</f>
        <v>0</v>
      </c>
      <c r="F53" s="145">
        <v>0</v>
      </c>
      <c r="G53" s="112">
        <f t="shared" si="3"/>
        <v>0</v>
      </c>
      <c r="H53" s="99">
        <f>G53+'9 taken physical reading &amp; Adj'!H53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'9 taken physical reading &amp; Adj'!F54</f>
        <v>68707.210000000006</v>
      </c>
      <c r="F54" s="145">
        <v>69169.3</v>
      </c>
      <c r="G54" s="112">
        <f t="shared" si="3"/>
        <v>462.08999999999651</v>
      </c>
      <c r="H54" s="99">
        <f>G54+'9 taken physical reading &amp; Adj'!H54</f>
        <v>4613.3000000000029</v>
      </c>
      <c r="I54" s="95"/>
      <c r="J54" s="175">
        <f>H54/DAY(B2)</f>
        <v>461.33000000000027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'9 taken physical reading &amp; Adj'!F55</f>
        <v>253923.91</v>
      </c>
      <c r="F55" s="423">
        <v>253923.91</v>
      </c>
      <c r="G55" s="112">
        <f t="shared" si="3"/>
        <v>0</v>
      </c>
      <c r="H55" s="99">
        <f>G55+'9 taken physical reading &amp; Adj'!H55</f>
        <v>28450.910000000003</v>
      </c>
      <c r="I55" s="95"/>
      <c r="J55" s="175">
        <f>H55/DAY(B2)</f>
        <v>2845.0910000000003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'9 taken physical reading &amp; Adj'!F56</f>
        <v>107245.86</v>
      </c>
      <c r="F56" s="423">
        <v>107245.66</v>
      </c>
      <c r="G56" s="112">
        <f t="shared" si="3"/>
        <v>-0.19999999999708962</v>
      </c>
      <c r="H56" s="99">
        <f>G56+'9 taken physical reading &amp; Adj'!H56</f>
        <v>-0.33999999999650754</v>
      </c>
      <c r="I56" s="95"/>
      <c r="J56" s="175">
        <f>H56/DAY(B2)</f>
        <v>-3.3999999999650754E-2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'9 taken physical reading &amp; Adj'!F57</f>
        <v>65441.86</v>
      </c>
      <c r="F57" s="423">
        <v>68638.899999999994</v>
      </c>
      <c r="G57" s="112">
        <f t="shared" si="3"/>
        <v>3197.0399999999936</v>
      </c>
      <c r="H57" s="99">
        <f>G57+'9 taken physical reading &amp; Adj'!H57</f>
        <v>31035.899999999994</v>
      </c>
      <c r="I57" s="95"/>
      <c r="J57" s="175">
        <f>H57/DAY(B2)</f>
        <v>3103.5899999999992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'9 taken physical reading &amp; Adj'!F58</f>
        <v>34858.410000000003</v>
      </c>
      <c r="F58" s="423">
        <v>35108</v>
      </c>
      <c r="G58" s="112">
        <f t="shared" si="3"/>
        <v>249.58999999999651</v>
      </c>
      <c r="H58" s="99">
        <f>G58+'9 taken physical reading &amp; Adj'!H58</f>
        <v>2219</v>
      </c>
      <c r="I58" s="95"/>
      <c r="J58" s="175">
        <f>H58/DAY(B2)</f>
        <v>221.9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9112.7500000000291</v>
      </c>
      <c r="H59" s="99">
        <f>G59+'9 taken physical reading &amp; Adj'!H59</f>
        <v>113408.10000000002</v>
      </c>
      <c r="I59" s="95">
        <f>G7-G60</f>
        <v>1660.9709999999031</v>
      </c>
      <c r="J59" s="175">
        <f>H59/DAY(B2)</f>
        <v>11340.810000000001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28341.029000000097</v>
      </c>
      <c r="H60" s="99">
        <f>G60+'9 taken physical reading &amp; Adj'!H60</f>
        <v>246162.60000000006</v>
      </c>
      <c r="I60" s="95">
        <f>G13-G60</f>
        <v>863.97099999978673</v>
      </c>
      <c r="J60" s="175">
        <f>H60/DAY(B2)</f>
        <v>24616.260000000006</v>
      </c>
      <c r="K60" s="79"/>
      <c r="L60" s="66"/>
      <c r="N60" s="87"/>
      <c r="O60" s="71"/>
    </row>
    <row r="61" spans="1:15" s="68" customFormat="1" ht="26.25">
      <c r="A61" s="892" t="s">
        <v>332</v>
      </c>
      <c r="B61" s="893"/>
      <c r="C61" s="89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3" t="s">
        <v>198</v>
      </c>
      <c r="B62" s="874"/>
      <c r="C62" s="875"/>
      <c r="D62" s="151" t="s">
        <v>142</v>
      </c>
      <c r="E62" s="95">
        <f>'9 taken physical reading &amp; Adj'!F62</f>
        <v>290337</v>
      </c>
      <c r="F62" s="122">
        <v>290468</v>
      </c>
      <c r="G62" s="112">
        <f t="shared" ref="G62:G63" si="4">F62-E62</f>
        <v>131</v>
      </c>
      <c r="H62" s="99">
        <f>G62+'9 taken physical reading &amp; Adj'!H62</f>
        <v>1568</v>
      </c>
      <c r="I62" s="118"/>
      <c r="J62" s="175">
        <f>H62/DAY(B2)</f>
        <v>156.80000000000001</v>
      </c>
      <c r="K62" s="80"/>
      <c r="L62" s="66"/>
      <c r="N62" s="87"/>
      <c r="O62" s="71"/>
    </row>
    <row r="63" spans="1:15" ht="25.5">
      <c r="A63" s="873" t="s">
        <v>199</v>
      </c>
      <c r="B63" s="874"/>
      <c r="C63" s="875"/>
      <c r="D63" s="151" t="s">
        <v>142</v>
      </c>
      <c r="E63" s="95">
        <f>'9 taken physical reading &amp; Adj'!F63</f>
        <v>232367</v>
      </c>
      <c r="F63" s="164">
        <v>232472</v>
      </c>
      <c r="G63" s="112">
        <f t="shared" si="4"/>
        <v>105</v>
      </c>
      <c r="H63" s="99">
        <f>G63+'9 taken physical reading &amp; Adj'!H63</f>
        <v>1310</v>
      </c>
      <c r="I63" s="118"/>
      <c r="J63" s="175">
        <f>H63/DAY(B2)</f>
        <v>131</v>
      </c>
      <c r="K63" s="69"/>
      <c r="L63" s="66"/>
      <c r="N63" s="87"/>
      <c r="O63" s="71"/>
    </row>
    <row r="64" spans="1:15" ht="26.25">
      <c r="A64" s="870" t="s">
        <v>200</v>
      </c>
      <c r="B64" s="871"/>
      <c r="C64" s="872"/>
      <c r="D64" s="151"/>
      <c r="E64" s="95">
        <f>'9 taken physical reading &amp; Adj'!F64</f>
        <v>0</v>
      </c>
      <c r="F64" s="122"/>
      <c r="G64" s="112">
        <f>G62+G63</f>
        <v>236</v>
      </c>
      <c r="H64" s="99">
        <f>G64+'9 taken physical reading &amp; Adj'!H64</f>
        <v>2878</v>
      </c>
      <c r="I64" s="118"/>
      <c r="J64" s="175">
        <f>H64/DAY(B2)</f>
        <v>287.8</v>
      </c>
      <c r="K64" s="69"/>
      <c r="L64" s="66"/>
      <c r="N64" s="87"/>
      <c r="O64" s="71"/>
    </row>
    <row r="65" spans="1:15" ht="25.5">
      <c r="A65" s="873" t="s">
        <v>201</v>
      </c>
      <c r="B65" s="874"/>
      <c r="C65" s="875"/>
      <c r="D65" s="151" t="s">
        <v>142</v>
      </c>
      <c r="E65" s="95">
        <f>'9 taken physical reading &amp; Adj'!F65</f>
        <v>449093</v>
      </c>
      <c r="F65" s="122">
        <v>449209</v>
      </c>
      <c r="G65" s="112">
        <f t="shared" ref="G65:G70" si="5">F65-E65</f>
        <v>116</v>
      </c>
      <c r="H65" s="99">
        <f>G65+'9 taken physical reading &amp; Adj'!H65</f>
        <v>1182</v>
      </c>
      <c r="I65" s="118"/>
      <c r="J65" s="175">
        <f>H65/DAY(B2)</f>
        <v>118.2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'9 taken physical reading &amp; Adj'!F66</f>
        <v>110576</v>
      </c>
      <c r="F66" s="122">
        <v>110599</v>
      </c>
      <c r="G66" s="112">
        <f t="shared" si="5"/>
        <v>23</v>
      </c>
      <c r="H66" s="99">
        <f>G66+'9 taken physical reading &amp; Adj'!H66</f>
        <v>268</v>
      </c>
      <c r="I66" s="118"/>
      <c r="J66" s="175">
        <f>H66/DAY(B2)</f>
        <v>26.8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'9 taken physical reading &amp; Adj'!F67</f>
        <v>113678</v>
      </c>
      <c r="F67" s="122">
        <v>113680</v>
      </c>
      <c r="G67" s="112">
        <f t="shared" si="5"/>
        <v>2</v>
      </c>
      <c r="H67" s="99">
        <f>G67+'9 taken physical reading &amp; Adj'!H67</f>
        <v>402</v>
      </c>
      <c r="I67" s="118"/>
      <c r="J67" s="175">
        <f>H67/DAY(B2)</f>
        <v>40.200000000000003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'9 taken physical reading &amp; Adj'!F68</f>
        <v>162718</v>
      </c>
      <c r="F68" s="122">
        <v>162749</v>
      </c>
      <c r="G68" s="112">
        <f t="shared" si="5"/>
        <v>31</v>
      </c>
      <c r="H68" s="99">
        <f>G68+'9 taken physical reading &amp; Adj'!H68</f>
        <v>255</v>
      </c>
      <c r="I68" s="118"/>
      <c r="J68" s="175">
        <f>H68/DAY(B2)</f>
        <v>25.5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'9 taken physical reading &amp; Adj'!F69</f>
        <v>11980</v>
      </c>
      <c r="F69" s="122">
        <v>11990</v>
      </c>
      <c r="G69" s="112">
        <f t="shared" si="5"/>
        <v>10</v>
      </c>
      <c r="H69" s="99">
        <f>G69+'9 taken physical reading &amp; Adj'!H69</f>
        <v>121</v>
      </c>
      <c r="I69" s="118"/>
      <c r="J69" s="175">
        <f>H69/DAY(B2)</f>
        <v>12.1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'9 taken physical reading &amp; Adj'!F70</f>
        <v>9345</v>
      </c>
      <c r="F70" s="122">
        <v>9360</v>
      </c>
      <c r="G70" s="112">
        <f t="shared" si="5"/>
        <v>15</v>
      </c>
      <c r="H70" s="99">
        <f>G70+'9 taken physical reading &amp; Adj'!H70</f>
        <v>93</v>
      </c>
      <c r="I70" s="118"/>
      <c r="J70" s="175">
        <f>H70/DAY(B2)</f>
        <v>9.3000000000000007</v>
      </c>
      <c r="K70" s="69"/>
      <c r="L70" s="66"/>
      <c r="N70" s="87"/>
      <c r="O70" s="71"/>
    </row>
    <row r="71" spans="1:15" ht="26.25">
      <c r="A71" s="870" t="s">
        <v>208</v>
      </c>
      <c r="B71" s="871"/>
      <c r="C71" s="872"/>
      <c r="D71" s="152"/>
      <c r="E71" s="152"/>
      <c r="F71" s="152"/>
      <c r="G71" s="153">
        <f>SUM(G65:G70)</f>
        <v>197</v>
      </c>
      <c r="H71" s="99">
        <f>G71+'9 taken physical reading &amp; Adj'!H71</f>
        <v>2321</v>
      </c>
      <c r="I71" s="154"/>
      <c r="J71" s="175">
        <f>H71/DAY(B2)</f>
        <v>232.1</v>
      </c>
      <c r="K71" s="69"/>
      <c r="L71" s="66"/>
      <c r="N71" s="87"/>
      <c r="O71" s="71"/>
    </row>
    <row r="72" spans="1:15" s="88" customFormat="1" ht="25.5">
      <c r="A72" s="916"/>
      <c r="B72" s="90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3" t="s">
        <v>220</v>
      </c>
      <c r="B74" s="874"/>
      <c r="C74" s="875"/>
      <c r="D74" s="151" t="s">
        <v>139</v>
      </c>
      <c r="E74" s="95">
        <f>'9 taken physical reading &amp; Adj'!F74</f>
        <v>941497.89199999999</v>
      </c>
      <c r="F74" s="117">
        <v>941789.17299999995</v>
      </c>
      <c r="G74" s="112">
        <f t="shared" ref="G74:G78" si="6">F74-E74</f>
        <v>291.28099999995902</v>
      </c>
      <c r="H74" s="99">
        <f>G74+'9 taken physical reading &amp; Adj'!H74</f>
        <v>3119.1729999999516</v>
      </c>
      <c r="I74" s="154"/>
      <c r="J74" s="175">
        <f>H74/DAY(B2)</f>
        <v>311.91729999999518</v>
      </c>
      <c r="K74" s="69"/>
      <c r="L74" s="66"/>
      <c r="N74" s="87"/>
      <c r="O74" s="71"/>
    </row>
    <row r="75" spans="1:15" ht="25.5">
      <c r="A75" s="873" t="s">
        <v>221</v>
      </c>
      <c r="B75" s="874"/>
      <c r="C75" s="875"/>
      <c r="D75" s="151" t="s">
        <v>139</v>
      </c>
      <c r="E75" s="95">
        <f>'9 taken physical reading &amp; Adj'!F75</f>
        <v>73586</v>
      </c>
      <c r="F75" s="123">
        <v>73586.8</v>
      </c>
      <c r="G75" s="112">
        <f t="shared" si="6"/>
        <v>0.80000000000291038</v>
      </c>
      <c r="H75" s="99">
        <f>G75+'9 taken physical reading &amp; Adj'!H75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7" t="s">
        <v>222</v>
      </c>
      <c r="B76" s="903"/>
      <c r="C76" s="904"/>
      <c r="D76" s="151" t="s">
        <v>139</v>
      </c>
      <c r="E76" s="95">
        <f>'9 taken physical reading &amp; Adj'!F76</f>
        <v>184746</v>
      </c>
      <c r="F76" s="123">
        <v>184854</v>
      </c>
      <c r="G76" s="112">
        <f t="shared" si="6"/>
        <v>108</v>
      </c>
      <c r="H76" s="99">
        <f>G76+'9 taken physical reading &amp; Adj'!H76</f>
        <v>1148</v>
      </c>
      <c r="I76" s="154"/>
      <c r="J76" s="175">
        <f>H76/DAY(B2)</f>
        <v>114.8</v>
      </c>
      <c r="K76" s="69"/>
      <c r="L76" s="66"/>
      <c r="N76" s="87"/>
      <c r="O76" s="71"/>
    </row>
    <row r="77" spans="1:15" ht="25.5">
      <c r="A77" s="917" t="s">
        <v>223</v>
      </c>
      <c r="B77" s="903"/>
      <c r="C77" s="904"/>
      <c r="D77" s="151" t="s">
        <v>139</v>
      </c>
      <c r="E77" s="95">
        <f>'9 taken physical reading &amp; Adj'!F77</f>
        <v>47773</v>
      </c>
      <c r="F77" s="123">
        <v>47831</v>
      </c>
      <c r="G77" s="112">
        <f t="shared" si="6"/>
        <v>58</v>
      </c>
      <c r="H77" s="99">
        <f>G77+'9 taken physical reading &amp; Adj'!H77</f>
        <v>486</v>
      </c>
      <c r="I77" s="154"/>
      <c r="J77" s="175">
        <f>H77/DAY(B2)</f>
        <v>48.6</v>
      </c>
      <c r="K77" s="69"/>
      <c r="L77" s="66"/>
      <c r="N77" s="87"/>
      <c r="O77" s="71"/>
    </row>
    <row r="78" spans="1:15" ht="25.5">
      <c r="A78" s="917" t="s">
        <v>224</v>
      </c>
      <c r="B78" s="903"/>
      <c r="C78" s="904"/>
      <c r="D78" s="151" t="s">
        <v>139</v>
      </c>
      <c r="E78" s="95">
        <f>'9 taken physical reading &amp; Adj'!F78</f>
        <v>9563</v>
      </c>
      <c r="F78" s="123">
        <v>9563</v>
      </c>
      <c r="G78" s="112">
        <f t="shared" si="6"/>
        <v>0</v>
      </c>
      <c r="H78" s="99">
        <f>G78+'9 taken physical reading &amp; Adj'!H78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7" t="s">
        <v>225</v>
      </c>
      <c r="B79" s="903"/>
      <c r="C79" s="904"/>
      <c r="D79" s="151"/>
      <c r="E79" s="95">
        <f>'9 taken physical reading &amp; Adj'!F79</f>
        <v>0</v>
      </c>
      <c r="F79" s="117"/>
      <c r="G79" s="112">
        <f>G15-SUM(G74:G78)</f>
        <v>603.41900000003807</v>
      </c>
      <c r="H79" s="99">
        <f>G79+'9 taken physical reading &amp; Adj'!H79</f>
        <v>5924.3270000000484</v>
      </c>
      <c r="I79" s="118"/>
      <c r="J79" s="175"/>
      <c r="K79" s="59"/>
      <c r="L79" s="58"/>
      <c r="N79" s="87"/>
      <c r="O79" s="71"/>
    </row>
    <row r="80" spans="1:15" s="57" customFormat="1" ht="26.25">
      <c r="A80" s="870" t="s">
        <v>329</v>
      </c>
      <c r="B80" s="871"/>
      <c r="C80" s="872"/>
      <c r="D80" s="151"/>
      <c r="E80" s="117"/>
      <c r="F80" s="117"/>
      <c r="G80" s="112">
        <f>SUM(G74:G79)</f>
        <v>1061.5</v>
      </c>
      <c r="H80" s="99"/>
      <c r="I80" s="118"/>
      <c r="J80" s="175"/>
      <c r="K80" s="59"/>
      <c r="L80" s="58"/>
      <c r="N80" s="87"/>
      <c r="O80" s="71"/>
    </row>
    <row r="81" spans="1:15" ht="25.5">
      <c r="A81" s="909" t="s">
        <v>226</v>
      </c>
      <c r="B81" s="910"/>
      <c r="C81" s="91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'9 taken physical reading &amp; Adj'!F82</f>
        <v>0</v>
      </c>
      <c r="F82" s="122">
        <v>0</v>
      </c>
      <c r="G82" s="112">
        <f t="shared" ref="G82:G92" si="7">F82-E82</f>
        <v>0</v>
      </c>
      <c r="H82" s="99">
        <f>G82+'9 taken physical reading &amp; Adj'!H82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'9 taken physical reading &amp; Adj'!F83</f>
        <v>0</v>
      </c>
      <c r="F83" s="122">
        <v>0</v>
      </c>
      <c r="G83" s="112">
        <f t="shared" si="7"/>
        <v>0</v>
      </c>
      <c r="H83" s="99">
        <f>G83+'9 taken physical reading &amp; Adj'!H83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'9 taken physical reading &amp; Adj'!F84</f>
        <v>41980</v>
      </c>
      <c r="F84" s="164">
        <v>41998</v>
      </c>
      <c r="G84" s="112">
        <f t="shared" si="7"/>
        <v>18</v>
      </c>
      <c r="H84" s="99">
        <f>G84+'9 taken physical reading &amp; Adj'!H84</f>
        <v>29</v>
      </c>
      <c r="I84" s="573"/>
      <c r="J84" s="175">
        <f>H84/DAY(B2)</f>
        <v>2.9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'9 taken physical reading &amp; Adj'!F85</f>
        <v>4525.25</v>
      </c>
      <c r="F85" s="164">
        <v>4549.21</v>
      </c>
      <c r="G85" s="112">
        <f t="shared" si="7"/>
        <v>23.960000000000036</v>
      </c>
      <c r="H85" s="99">
        <f>G85+'9 taken physical reading &amp; Adj'!H85</f>
        <v>206.21000000000004</v>
      </c>
      <c r="I85" s="573"/>
      <c r="J85" s="175">
        <f>H85/DAY(B2)</f>
        <v>20.621000000000002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'9 taken physical reading &amp; Adj'!F86</f>
        <v>44658</v>
      </c>
      <c r="F86" s="164">
        <v>44658</v>
      </c>
      <c r="G86" s="112">
        <f t="shared" si="7"/>
        <v>0</v>
      </c>
      <c r="H86" s="99">
        <f>G86+'9 taken physical reading &amp; Adj'!H86</f>
        <v>188</v>
      </c>
      <c r="I86" s="573"/>
      <c r="J86" s="175">
        <f>H86/DAY(B2)</f>
        <v>18.8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'9 taken physical reading &amp; Adj'!F87</f>
        <v>35329.06</v>
      </c>
      <c r="F87" s="164">
        <v>35329.06</v>
      </c>
      <c r="G87" s="112">
        <f t="shared" si="7"/>
        <v>0</v>
      </c>
      <c r="H87" s="99">
        <f>G87+'9 taken physical reading &amp; Adj'!H87</f>
        <v>5.9999999997671694E-2</v>
      </c>
      <c r="I87" s="573">
        <f>G84+G85+G86+G87</f>
        <v>41.960000000000036</v>
      </c>
      <c r="J87" s="175">
        <f>H87/DAY(B2)</f>
        <v>5.999999999767169E-3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'9 taken physical reading &amp; Adj'!F88</f>
        <v>24276.95</v>
      </c>
      <c r="F88" s="164">
        <v>24276.95</v>
      </c>
      <c r="G88" s="112">
        <f t="shared" si="7"/>
        <v>0</v>
      </c>
      <c r="H88" s="99">
        <f>G88+'9 taken physical reading &amp; Adj'!H88</f>
        <v>49.069999999999709</v>
      </c>
      <c r="I88" s="573"/>
      <c r="J88" s="175">
        <f>H88/DAY(B2)</f>
        <v>4.9069999999999707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'9 taken physical reading &amp; Adj'!F89</f>
        <v>27086.31</v>
      </c>
      <c r="F89" s="164">
        <v>27096.400000000001</v>
      </c>
      <c r="G89" s="112">
        <f t="shared" si="7"/>
        <v>10.090000000000146</v>
      </c>
      <c r="H89" s="99">
        <f>G89+'9 taken physical reading &amp; Adj'!H89</f>
        <v>102.9900000000016</v>
      </c>
      <c r="I89" s="573">
        <f>G88+G89</f>
        <v>10.090000000000146</v>
      </c>
      <c r="J89" s="175">
        <f>H89/DAY(B2)</f>
        <v>10.299000000000159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'9 taken physical reading &amp; Adj'!F90</f>
        <v>72127.12</v>
      </c>
      <c r="F90" s="164">
        <v>72127.12</v>
      </c>
      <c r="G90" s="112">
        <f t="shared" si="7"/>
        <v>0</v>
      </c>
      <c r="H90" s="99">
        <f>G90+'9 taken physical reading &amp; Adj'!H90</f>
        <v>0</v>
      </c>
      <c r="I90" s="573">
        <f>G90</f>
        <v>0</v>
      </c>
      <c r="J90" s="175">
        <f>H90/DAY(B2)</f>
        <v>0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'9 taken physical reading &amp; Adj'!F91</f>
        <v>4121.6499999999996</v>
      </c>
      <c r="F91" s="122">
        <v>4121.6499999999996</v>
      </c>
      <c r="G91" s="112">
        <f t="shared" si="7"/>
        <v>0</v>
      </c>
      <c r="H91" s="99">
        <f>G91+'9 taken physical reading &amp; Adj'!H91</f>
        <v>0</v>
      </c>
      <c r="I91" s="592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'9 taken physical reading &amp; Adj'!F92</f>
        <v>6315.75</v>
      </c>
      <c r="F92" s="122">
        <v>6326.29</v>
      </c>
      <c r="G92" s="112">
        <f t="shared" si="7"/>
        <v>10.539999999999964</v>
      </c>
      <c r="H92" s="99">
        <f>G92+'9 taken physical reading &amp; Adj'!H92</f>
        <v>109.03999999999996</v>
      </c>
      <c r="I92" s="598">
        <f>G91+G92</f>
        <v>10.539999999999964</v>
      </c>
      <c r="J92" s="175">
        <f>H92/DAY(B2)</f>
        <v>10.903999999999996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3" t="s">
        <v>240</v>
      </c>
      <c r="B94" s="874"/>
      <c r="C94" s="875"/>
      <c r="D94" s="151" t="s">
        <v>130</v>
      </c>
      <c r="E94" s="151"/>
      <c r="F94" s="151"/>
      <c r="G94" s="99">
        <f>G35+G43+G49+G57</f>
        <v>6994.0900000000402</v>
      </c>
      <c r="H94" s="99">
        <f>G94+'9 taken physical reading &amp; Adj'!H94</f>
        <v>66333.850000000006</v>
      </c>
      <c r="I94" s="118"/>
      <c r="J94" s="175">
        <f>H94/DAY(B2)</f>
        <v>6633.3850000000002</v>
      </c>
      <c r="K94" s="69"/>
      <c r="L94" s="66"/>
      <c r="O94" s="71"/>
    </row>
    <row r="95" spans="1:15" ht="25.5">
      <c r="A95" s="873" t="s">
        <v>241</v>
      </c>
      <c r="B95" s="874"/>
      <c r="C95" s="875"/>
      <c r="D95" s="151" t="s">
        <v>23</v>
      </c>
      <c r="E95" s="146"/>
      <c r="F95" s="146"/>
      <c r="G95" s="166">
        <f>G94/G7</f>
        <v>0.23312079194720486</v>
      </c>
      <c r="H95" s="99">
        <f>G95+'9 taken physical reading &amp; Adj'!H95</f>
        <v>2.3945806097438371</v>
      </c>
      <c r="I95" s="167"/>
      <c r="J95" s="175">
        <f>H95/DAY(B2)</f>
        <v>0.23945806097438371</v>
      </c>
      <c r="K95" s="69"/>
      <c r="L95" s="66"/>
      <c r="O95" s="71"/>
    </row>
    <row r="96" spans="1:15" ht="25.5">
      <c r="A96" s="873" t="s">
        <v>242</v>
      </c>
      <c r="B96" s="874"/>
      <c r="C96" s="875"/>
      <c r="D96" s="151" t="s">
        <v>130</v>
      </c>
      <c r="E96" s="95"/>
      <c r="F96" s="95"/>
      <c r="G96" s="99">
        <f>G41+G42+G55+G56</f>
        <v>10623.720000000045</v>
      </c>
      <c r="H96" s="99">
        <f>G96+'9 taken physical reading &amp; Adj'!H96</f>
        <v>82800.000000000029</v>
      </c>
      <c r="I96" s="118"/>
      <c r="J96" s="175">
        <f>H96/DAY(B2)</f>
        <v>8280.0000000000036</v>
      </c>
      <c r="K96" s="69"/>
      <c r="L96" s="66"/>
      <c r="O96" s="71"/>
    </row>
    <row r="97" spans="1:15" ht="25.5">
      <c r="A97" s="873" t="s">
        <v>243</v>
      </c>
      <c r="B97" s="874"/>
      <c r="C97" s="875"/>
      <c r="D97" s="151" t="s">
        <v>23</v>
      </c>
      <c r="E97" s="95"/>
      <c r="F97" s="95"/>
      <c r="G97" s="166">
        <f>G96/G7</f>
        <v>0.35410039330711435</v>
      </c>
      <c r="H97" s="99">
        <f>G97+'9 taken physical reading &amp; Adj'!H97</f>
        <v>2.9488384939423642</v>
      </c>
      <c r="I97" s="167"/>
      <c r="J97" s="175">
        <f>H97/DAY(B2)</f>
        <v>0.2948838493942364</v>
      </c>
      <c r="K97" s="69"/>
      <c r="L97" s="66"/>
      <c r="O97" s="71"/>
    </row>
    <row r="98" spans="1:15" ht="25.5">
      <c r="A98" s="873" t="s">
        <v>244</v>
      </c>
      <c r="B98" s="874"/>
      <c r="C98" s="875"/>
      <c r="D98" s="151" t="s">
        <v>130</v>
      </c>
      <c r="E98" s="95"/>
      <c r="F98" s="95"/>
      <c r="G98" s="99">
        <f>G39+G53</f>
        <v>3079.0900000000256</v>
      </c>
      <c r="H98" s="99">
        <f>G98+'9 taken physical reading &amp; Adj'!H98</f>
        <v>26969.090000000026</v>
      </c>
      <c r="I98" s="168"/>
      <c r="J98" s="175">
        <f>H98/DAY(B2)</f>
        <v>2696.9090000000024</v>
      </c>
      <c r="K98" s="69"/>
      <c r="L98" s="66"/>
      <c r="O98" s="71"/>
    </row>
    <row r="99" spans="1:15" ht="25.5">
      <c r="A99" s="873" t="s">
        <v>245</v>
      </c>
      <c r="B99" s="874"/>
      <c r="C99" s="875"/>
      <c r="D99" s="151" t="s">
        <v>23</v>
      </c>
      <c r="E99" s="95"/>
      <c r="F99" s="95"/>
      <c r="G99" s="166">
        <f>G98/G7</f>
        <v>0.10262949136724303</v>
      </c>
      <c r="H99" s="99">
        <f>G99+'9 taken physical reading &amp; Adj'!H99</f>
        <v>0.97035013494096067</v>
      </c>
      <c r="I99" s="168"/>
      <c r="J99" s="175">
        <f>H99/DAY(B2)</f>
        <v>9.7035013494096073E-2</v>
      </c>
      <c r="O99" s="71"/>
    </row>
    <row r="100" spans="1:15" ht="26.25">
      <c r="A100" s="873" t="s">
        <v>246</v>
      </c>
      <c r="B100" s="874"/>
      <c r="C100" s="875"/>
      <c r="D100" s="151" t="s">
        <v>180</v>
      </c>
      <c r="E100" s="95"/>
      <c r="F100" s="95"/>
      <c r="G100" s="99">
        <f>G38+G52</f>
        <v>2457.4500000000116</v>
      </c>
      <c r="H100" s="99">
        <f>G100+'9 taken physical reading &amp; Adj'!H100</f>
        <v>22382</v>
      </c>
      <c r="I100" s="118"/>
      <c r="J100" s="175">
        <f>H100/DAY(B2)</f>
        <v>2238.1999999999998</v>
      </c>
      <c r="K100" s="70"/>
      <c r="O100" s="71"/>
    </row>
    <row r="101" spans="1:15" ht="25.5">
      <c r="A101" s="873" t="s">
        <v>247</v>
      </c>
      <c r="B101" s="874"/>
      <c r="C101" s="875"/>
      <c r="D101" s="151" t="s">
        <v>23</v>
      </c>
      <c r="E101" s="95"/>
      <c r="F101" s="95"/>
      <c r="G101" s="166">
        <f>G100/G7</f>
        <v>8.1909539364042785E-2</v>
      </c>
      <c r="H101" s="99">
        <f>G101+'9 taken physical reading &amp; Adj'!H101</f>
        <v>0.80439680627294918</v>
      </c>
      <c r="I101" s="168"/>
      <c r="J101" s="175">
        <f>H101/DAY(B2)</f>
        <v>8.0439680627294924E-2</v>
      </c>
      <c r="O101" s="71"/>
    </row>
    <row r="102" spans="1:15" ht="25.5">
      <c r="A102" s="873" t="s">
        <v>248</v>
      </c>
      <c r="B102" s="874"/>
      <c r="C102" s="875"/>
      <c r="D102" s="151" t="s">
        <v>180</v>
      </c>
      <c r="E102" s="95"/>
      <c r="F102" s="95"/>
      <c r="G102" s="99">
        <f>G36+G50</f>
        <v>2392.9799999999814</v>
      </c>
      <c r="H102" s="99">
        <f>G102+'9 taken physical reading &amp; Adj'!H102</f>
        <v>20838.909999999974</v>
      </c>
      <c r="I102" s="168"/>
      <c r="J102" s="175">
        <f>H102/DAY(B2)</f>
        <v>2083.8909999999973</v>
      </c>
      <c r="O102" s="71"/>
    </row>
    <row r="103" spans="1:15" ht="25.5">
      <c r="A103" s="873" t="s">
        <v>249</v>
      </c>
      <c r="B103" s="874"/>
      <c r="C103" s="875"/>
      <c r="D103" s="151" t="s">
        <v>23</v>
      </c>
      <c r="E103" s="95"/>
      <c r="F103" s="95"/>
      <c r="G103" s="166">
        <f>G102/G7</f>
        <v>7.9760682621157972E-2</v>
      </c>
      <c r="H103" s="99">
        <f>G103+'9 taken physical reading &amp; Adj'!H103</f>
        <v>0.74313850845245155</v>
      </c>
      <c r="I103" s="118"/>
      <c r="J103" s="175">
        <f>H103/DAY(B2)</f>
        <v>7.4313850845245152E-2</v>
      </c>
      <c r="O103" s="71"/>
    </row>
    <row r="104" spans="1:15" ht="25.5">
      <c r="A104" s="873" t="s">
        <v>250</v>
      </c>
      <c r="B104" s="874"/>
      <c r="C104" s="875"/>
      <c r="D104" s="151" t="s">
        <v>180</v>
      </c>
      <c r="E104" s="95"/>
      <c r="F104" s="95"/>
      <c r="G104" s="99">
        <f>G37+G51</f>
        <v>1758.1300000000047</v>
      </c>
      <c r="H104" s="99">
        <f>G104+'9 taken physical reading &amp; Adj'!H104</f>
        <v>17705.450000000004</v>
      </c>
      <c r="I104" s="118"/>
      <c r="J104" s="175">
        <f>H104/DAY(B2)</f>
        <v>1770.5450000000005</v>
      </c>
      <c r="O104" s="71"/>
    </row>
    <row r="105" spans="1:15" ht="26.25" thickBot="1">
      <c r="A105" s="913" t="s">
        <v>251</v>
      </c>
      <c r="B105" s="914"/>
      <c r="C105" s="915"/>
      <c r="D105" s="231" t="s">
        <v>23</v>
      </c>
      <c r="E105" s="185"/>
      <c r="F105" s="185"/>
      <c r="G105" s="186">
        <f>G104/G7</f>
        <v>5.8600426638224276E-2</v>
      </c>
      <c r="H105" s="99">
        <f>G105+'9 taken physical reading &amp; Adj'!H105</f>
        <v>0.63291650047222048</v>
      </c>
      <c r="I105" s="187"/>
      <c r="J105" s="188">
        <f>H105/DAY(B2)</f>
        <v>6.3291650047222051E-2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7" t="s">
        <v>324</v>
      </c>
      <c r="B108" s="927"/>
      <c r="C108" s="927"/>
      <c r="D108" s="927"/>
      <c r="E108" s="927"/>
      <c r="F108" s="927"/>
      <c r="G108" s="927"/>
      <c r="H108" s="927"/>
      <c r="I108" s="927"/>
      <c r="J108" s="927"/>
    </row>
    <row r="109" spans="1:15" ht="26.25">
      <c r="A109" s="912"/>
      <c r="B109" s="912"/>
    </row>
    <row r="110" spans="1:15" ht="26.25">
      <c r="A110" s="928" t="s">
        <v>165</v>
      </c>
      <c r="B110" s="929"/>
      <c r="C110" s="929"/>
      <c r="D110" s="929"/>
      <c r="E110" s="929"/>
      <c r="F110" s="929"/>
      <c r="G110" s="929"/>
      <c r="H110" s="929"/>
      <c r="I110" s="929"/>
      <c r="J110" s="930"/>
    </row>
    <row r="111" spans="1:15" ht="25.5">
      <c r="A111" s="931"/>
      <c r="B111" s="932"/>
      <c r="C111" s="933"/>
      <c r="D111" s="165"/>
      <c r="E111" s="165"/>
      <c r="F111" s="165"/>
      <c r="G111" s="165"/>
      <c r="H111" s="156"/>
      <c r="I111" s="165"/>
      <c r="J111" s="327"/>
    </row>
    <row r="112" spans="1:15" ht="25.5">
      <c r="A112" s="906" t="s">
        <v>252</v>
      </c>
      <c r="B112" s="907"/>
      <c r="C112" s="908"/>
      <c r="D112" s="146" t="s">
        <v>183</v>
      </c>
      <c r="E112" s="95">
        <f>'9 taken physical reading &amp; Adj'!F112</f>
        <v>3372</v>
      </c>
      <c r="F112" s="237">
        <v>3446.2</v>
      </c>
      <c r="G112" s="112">
        <f t="shared" ref="G112:G123" si="8">F112-E112</f>
        <v>74.199999999999818</v>
      </c>
      <c r="H112" s="99">
        <f>G112+'9 taken physical reading &amp; Adj'!H112</f>
        <v>769.19999999999982</v>
      </c>
      <c r="I112" s="165"/>
      <c r="J112" s="328">
        <f>H112/DAY(B2)</f>
        <v>76.919999999999987</v>
      </c>
    </row>
    <row r="113" spans="1:18" ht="29.25" customHeight="1">
      <c r="A113" s="906" t="s">
        <v>253</v>
      </c>
      <c r="B113" s="907"/>
      <c r="C113" s="908"/>
      <c r="D113" s="146" t="s">
        <v>183</v>
      </c>
      <c r="E113" s="95">
        <f>'9 taken physical reading &amp; Adj'!F113</f>
        <v>7652.4</v>
      </c>
      <c r="F113" s="237">
        <v>7798.3</v>
      </c>
      <c r="G113" s="112">
        <f t="shared" si="8"/>
        <v>145.90000000000055</v>
      </c>
      <c r="H113" s="99">
        <f>G113+'9 taken physical reading &amp; Adj'!H113</f>
        <v>1407.3000000000002</v>
      </c>
      <c r="I113" s="165"/>
      <c r="J113" s="328">
        <f>H113/DAY(B2)</f>
        <v>140.73000000000002</v>
      </c>
    </row>
    <row r="114" spans="1:18" ht="29.25" customHeight="1">
      <c r="A114" s="906" t="s">
        <v>254</v>
      </c>
      <c r="B114" s="907"/>
      <c r="C114" s="908"/>
      <c r="D114" s="146" t="s">
        <v>183</v>
      </c>
      <c r="E114" s="95">
        <f>'9 taken physical reading &amp; Adj'!F114</f>
        <v>9558.2000000000007</v>
      </c>
      <c r="F114" s="237">
        <v>9775.1</v>
      </c>
      <c r="G114" s="112">
        <f t="shared" si="8"/>
        <v>216.89999999999964</v>
      </c>
      <c r="H114" s="99">
        <f>G114+'9 taken physical reading &amp; Adj'!H114</f>
        <v>2205.1000000000004</v>
      </c>
      <c r="I114" s="165"/>
      <c r="J114" s="328">
        <f>H114/DAY(B2)</f>
        <v>220.51000000000005</v>
      </c>
    </row>
    <row r="115" spans="1:18" ht="29.25" customHeight="1">
      <c r="A115" s="906" t="s">
        <v>255</v>
      </c>
      <c r="B115" s="907"/>
      <c r="C115" s="908"/>
      <c r="D115" s="146" t="s">
        <v>183</v>
      </c>
      <c r="E115" s="95">
        <f>F115-17</f>
        <v>6302.2</v>
      </c>
      <c r="F115" s="417">
        <v>6319.2</v>
      </c>
      <c r="G115" s="112">
        <f t="shared" si="8"/>
        <v>17</v>
      </c>
      <c r="H115" s="99">
        <f>G115+'9 taken physical reading &amp; Adj'!H115</f>
        <v>188.72000000000003</v>
      </c>
      <c r="I115" s="165"/>
      <c r="J115" s="328">
        <f>H115/DAY(B2)</f>
        <v>18.872000000000003</v>
      </c>
    </row>
    <row r="116" spans="1:18" ht="29.25" customHeight="1">
      <c r="A116" s="924" t="s">
        <v>96</v>
      </c>
      <c r="B116" s="925"/>
      <c r="C116" s="926"/>
      <c r="D116" s="146" t="s">
        <v>183</v>
      </c>
      <c r="E116" s="95">
        <f>'9 taken physical reading &amp; Adj'!F116</f>
        <v>50182.1</v>
      </c>
      <c r="F116" s="237">
        <v>50650.2</v>
      </c>
      <c r="G116" s="112">
        <f t="shared" si="8"/>
        <v>468.09999999999854</v>
      </c>
      <c r="H116" s="99">
        <f>G116+'9 taken physical reading &amp; Adj'!H116</f>
        <v>3895.1999999999971</v>
      </c>
      <c r="I116" s="165"/>
      <c r="J116" s="328">
        <f>H116/DAY(B2)</f>
        <v>389.5199999999997</v>
      </c>
      <c r="Q116" s="906" t="s">
        <v>311</v>
      </c>
      <c r="R116" s="908"/>
    </row>
    <row r="117" spans="1:18" ht="29.25" customHeight="1">
      <c r="A117" s="924" t="s">
        <v>184</v>
      </c>
      <c r="B117" s="925"/>
      <c r="C117" s="926"/>
      <c r="D117" s="146" t="s">
        <v>183</v>
      </c>
      <c r="E117" s="95">
        <f>'9 taken physical reading &amp; Adj'!F117</f>
        <v>27337.8</v>
      </c>
      <c r="F117" s="237">
        <v>27507.4</v>
      </c>
      <c r="G117" s="112">
        <f t="shared" si="8"/>
        <v>169.60000000000218</v>
      </c>
      <c r="H117" s="99">
        <f>G117+'9 taken physical reading &amp; Adj'!H117</f>
        <v>2239.4000000000015</v>
      </c>
      <c r="I117" s="165"/>
      <c r="J117" s="328">
        <f>H117/DAY(B2)</f>
        <v>223.94000000000014</v>
      </c>
      <c r="Q117" s="906" t="s">
        <v>312</v>
      </c>
      <c r="R117" s="908"/>
    </row>
    <row r="118" spans="1:18" ht="25.5">
      <c r="A118" s="901" t="s">
        <v>97</v>
      </c>
      <c r="B118" s="901"/>
      <c r="C118" s="901"/>
      <c r="D118" s="151" t="s">
        <v>183</v>
      </c>
      <c r="E118" s="95">
        <f>'9 taken physical reading &amp; Adj'!F118</f>
        <v>31287.599999999999</v>
      </c>
      <c r="F118" s="237">
        <v>31909.9</v>
      </c>
      <c r="G118" s="112">
        <f t="shared" si="8"/>
        <v>622.30000000000291</v>
      </c>
      <c r="H118" s="99">
        <f>G118+'9 taken physical reading &amp; Adj'!H118</f>
        <v>5684.9000000000015</v>
      </c>
      <c r="I118" s="165"/>
      <c r="J118" s="328">
        <f>H118/DAY(B2)</f>
        <v>568.49000000000012</v>
      </c>
      <c r="Q118" s="906" t="s">
        <v>311</v>
      </c>
      <c r="R118" s="908"/>
    </row>
    <row r="119" spans="1:18" ht="25.5">
      <c r="A119" s="901" t="s">
        <v>98</v>
      </c>
      <c r="B119" s="901"/>
      <c r="C119" s="901"/>
      <c r="D119" s="151" t="s">
        <v>183</v>
      </c>
      <c r="E119" s="95">
        <f>'9 taken physical reading &amp; Adj'!F119</f>
        <v>22768.400000000001</v>
      </c>
      <c r="F119" s="237">
        <v>23215.5</v>
      </c>
      <c r="G119" s="112">
        <f t="shared" si="8"/>
        <v>447.09999999999854</v>
      </c>
      <c r="H119" s="99">
        <f>G119+'9 taken physical reading &amp; Adj'!H119</f>
        <v>4268.5</v>
      </c>
      <c r="I119" s="165"/>
      <c r="J119" s="328">
        <f>H119/DAY(B2)</f>
        <v>426.85</v>
      </c>
    </row>
    <row r="120" spans="1:18" ht="25.5">
      <c r="A120" s="901" t="s">
        <v>99</v>
      </c>
      <c r="B120" s="901"/>
      <c r="C120" s="901"/>
      <c r="D120" s="151" t="s">
        <v>183</v>
      </c>
      <c r="E120" s="95">
        <f>'9 taken physical reading &amp; Adj'!F120</f>
        <v>24035</v>
      </c>
      <c r="F120" s="237">
        <v>24466</v>
      </c>
      <c r="G120" s="112">
        <f t="shared" si="8"/>
        <v>431</v>
      </c>
      <c r="H120" s="99">
        <f>G120+'9 taken physical reading &amp; Adj'!H120</f>
        <v>4416</v>
      </c>
      <c r="I120" s="165"/>
      <c r="J120" s="328">
        <f>H120/DAY(B2)</f>
        <v>441.6</v>
      </c>
    </row>
    <row r="121" spans="1:18" ht="25.5">
      <c r="A121" s="901" t="s">
        <v>100</v>
      </c>
      <c r="B121" s="901"/>
      <c r="C121" s="901"/>
      <c r="D121" s="151" t="s">
        <v>183</v>
      </c>
      <c r="E121" s="95">
        <f>'9 taken physical reading &amp; Adj'!F121</f>
        <v>30094.6</v>
      </c>
      <c r="F121" s="237">
        <v>30529</v>
      </c>
      <c r="G121" s="112">
        <f t="shared" si="8"/>
        <v>434.40000000000146</v>
      </c>
      <c r="H121" s="99">
        <f>G121+'9 taken physical reading &amp; Adj'!H121</f>
        <v>4685</v>
      </c>
      <c r="I121" s="165"/>
      <c r="J121" s="328">
        <f>H121/DAY(B2)</f>
        <v>468.5</v>
      </c>
    </row>
    <row r="122" spans="1:18" ht="25.5">
      <c r="A122" s="901" t="s">
        <v>101</v>
      </c>
      <c r="B122" s="901"/>
      <c r="C122" s="901"/>
      <c r="D122" s="151" t="s">
        <v>183</v>
      </c>
      <c r="E122" s="95">
        <f>'9 taken physical reading &amp; Adj'!F122</f>
        <v>13895.7</v>
      </c>
      <c r="F122" s="237">
        <v>14197.7</v>
      </c>
      <c r="G122" s="112">
        <f t="shared" si="8"/>
        <v>302</v>
      </c>
      <c r="H122" s="99">
        <f>G122+'9 taken physical reading &amp; Adj'!H122</f>
        <v>3037.7000000000007</v>
      </c>
      <c r="I122" s="165"/>
      <c r="J122" s="328">
        <f>H122/DAY(B2)</f>
        <v>303.7700000000001</v>
      </c>
    </row>
    <row r="123" spans="1:18" ht="25.5">
      <c r="A123" s="901" t="s">
        <v>102</v>
      </c>
      <c r="B123" s="901"/>
      <c r="C123" s="901"/>
      <c r="D123" s="151" t="s">
        <v>183</v>
      </c>
      <c r="E123" s="95">
        <f>'9 taken physical reading &amp; Adj'!F123</f>
        <v>13753.37</v>
      </c>
      <c r="F123" s="237">
        <v>14062.8</v>
      </c>
      <c r="G123" s="112">
        <f t="shared" si="8"/>
        <v>309.42999999999847</v>
      </c>
      <c r="H123" s="99">
        <f>G123+'9 taken physical reading &amp; Adj'!H123</f>
        <v>3553.7999999999993</v>
      </c>
      <c r="I123" s="165"/>
      <c r="J123" s="328">
        <f>H123/DAY(B2)</f>
        <v>355.37999999999994</v>
      </c>
    </row>
    <row r="124" spans="1:18" ht="29.25" customHeight="1">
      <c r="A124" s="931"/>
      <c r="B124" s="932"/>
      <c r="C124" s="933"/>
      <c r="D124" s="165"/>
      <c r="E124" s="95">
        <f>'9 taken physical reading &amp; Adj'!F124</f>
        <v>0</v>
      </c>
      <c r="F124" s="165"/>
      <c r="G124" s="327"/>
      <c r="H124" s="99">
        <f>G124+'9 taken physical reading &amp; Adj'!H124</f>
        <v>0</v>
      </c>
      <c r="I124" s="165"/>
      <c r="J124" s="327"/>
    </row>
    <row r="125" spans="1:18" ht="25.5">
      <c r="A125" s="934" t="s">
        <v>196</v>
      </c>
      <c r="B125" s="935"/>
      <c r="C125" s="245"/>
      <c r="D125" s="307"/>
      <c r="E125" s="308"/>
      <c r="F125" s="308"/>
      <c r="G125" s="309">
        <f>SUM(G112:G124)</f>
        <v>3637.9300000000021</v>
      </c>
      <c r="H125" s="156"/>
      <c r="I125" s="327">
        <f>G125-(G39+G53)</f>
        <v>558.8399999999765</v>
      </c>
      <c r="J125" s="327"/>
    </row>
    <row r="126" spans="1:18" ht="25.5">
      <c r="A126" s="936" t="s">
        <v>317</v>
      </c>
      <c r="B126" s="936"/>
      <c r="C126" s="936"/>
      <c r="D126" s="936"/>
      <c r="E126" s="936"/>
      <c r="F126" s="936"/>
      <c r="G126" s="936"/>
      <c r="H126" s="936"/>
      <c r="I126" s="936"/>
      <c r="J126" s="936"/>
    </row>
    <row r="127" spans="1:18" ht="25.5">
      <c r="A127" s="937"/>
      <c r="B127" s="937"/>
      <c r="C127" s="245"/>
      <c r="D127" s="307"/>
      <c r="E127" s="308"/>
      <c r="F127" s="308"/>
      <c r="G127" s="309"/>
      <c r="H127" s="99">
        <f>G127+'9 taken physical reading &amp; Adj'!H127</f>
        <v>0</v>
      </c>
      <c r="I127" s="165"/>
      <c r="J127" s="328">
        <f>H127/DAY(B2)</f>
        <v>0</v>
      </c>
    </row>
    <row r="128" spans="1:18" ht="29.25" customHeight="1">
      <c r="A128" s="906" t="s">
        <v>318</v>
      </c>
      <c r="B128" s="907"/>
      <c r="C128" s="908"/>
      <c r="D128" s="151" t="s">
        <v>183</v>
      </c>
      <c r="E128" s="95">
        <f>'9 taken physical reading &amp; Adj'!F128</f>
        <v>100288.71</v>
      </c>
      <c r="F128" s="155">
        <v>100847</v>
      </c>
      <c r="G128" s="112">
        <f t="shared" ref="G128:G134" si="9">F128-E128</f>
        <v>558.2899999999936</v>
      </c>
      <c r="H128" s="99">
        <f>G128+'9 taken physical reading &amp; Adj'!H128</f>
        <v>5132</v>
      </c>
      <c r="I128" s="165"/>
      <c r="J128" s="328">
        <f>H128/DAY(B2)</f>
        <v>513.20000000000005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'9 taken physical reading &amp; Adj'!F129</f>
        <v>62479.5</v>
      </c>
      <c r="F129" s="155">
        <v>62861.9</v>
      </c>
      <c r="G129" s="112">
        <f t="shared" si="9"/>
        <v>382.40000000000146</v>
      </c>
      <c r="H129" s="99">
        <f>G129+'9 taken physical reading &amp; Adj'!H129</f>
        <v>2568.9000000000015</v>
      </c>
      <c r="I129" s="165"/>
      <c r="J129" s="328">
        <f>H129/DAY(B2)</f>
        <v>256.89000000000016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F130-183</f>
        <v>126435</v>
      </c>
      <c r="F130" s="157">
        <v>126618</v>
      </c>
      <c r="G130" s="112">
        <f t="shared" si="9"/>
        <v>183</v>
      </c>
      <c r="H130" s="99">
        <f>G130+'9 taken physical reading &amp; Adj'!H130</f>
        <v>5489</v>
      </c>
      <c r="I130" s="165"/>
      <c r="J130" s="328">
        <f>H130/DAY(B2)</f>
        <v>548.9</v>
      </c>
      <c r="N130" s="240"/>
      <c r="O130" s="241"/>
    </row>
    <row r="131" spans="1:15" ht="25.5">
      <c r="A131" s="906" t="s">
        <v>321</v>
      </c>
      <c r="B131" s="907"/>
      <c r="C131" s="908"/>
      <c r="D131" s="151" t="s">
        <v>183</v>
      </c>
      <c r="E131" s="95">
        <f>'9 taken physical reading &amp; Adj'!F131</f>
        <v>38147.99</v>
      </c>
      <c r="F131" s="155">
        <v>38343.71</v>
      </c>
      <c r="G131" s="112">
        <f t="shared" si="9"/>
        <v>195.72000000000116</v>
      </c>
      <c r="H131" s="99">
        <f>G131+'9 taken physical reading &amp; Adj'!H131</f>
        <v>2064.7099999999991</v>
      </c>
      <c r="I131" s="165"/>
      <c r="J131" s="328">
        <f>H131/DAY(B2)</f>
        <v>206.47099999999992</v>
      </c>
      <c r="N131" s="240"/>
      <c r="O131" s="241"/>
    </row>
    <row r="132" spans="1:15" ht="25.5">
      <c r="A132" s="906" t="s">
        <v>322</v>
      </c>
      <c r="B132" s="907"/>
      <c r="C132" s="908"/>
      <c r="D132" s="151" t="s">
        <v>183</v>
      </c>
      <c r="E132" s="95">
        <f>'9 taken physical reading &amp; Adj'!F132</f>
        <v>107126.68</v>
      </c>
      <c r="F132" s="155">
        <v>107548.27</v>
      </c>
      <c r="G132" s="112">
        <f t="shared" si="9"/>
        <v>421.59000000001106</v>
      </c>
      <c r="H132" s="99">
        <f>G132+'9 taken physical reading &amp; Adj'!H132</f>
        <v>4036.2700000000041</v>
      </c>
      <c r="I132" s="165"/>
      <c r="J132" s="328">
        <f>H132/DAY(B2)</f>
        <v>403.62700000000041</v>
      </c>
    </row>
    <row r="133" spans="1:15" ht="25.5">
      <c r="A133" s="906" t="s">
        <v>323</v>
      </c>
      <c r="B133" s="907"/>
      <c r="C133" s="908"/>
      <c r="D133" s="151" t="s">
        <v>183</v>
      </c>
      <c r="E133" s="95">
        <f>'9 taken physical reading &amp; Adj'!F133</f>
        <v>208938.25</v>
      </c>
      <c r="F133" s="155">
        <v>209786.75</v>
      </c>
      <c r="G133" s="112">
        <f t="shared" si="9"/>
        <v>848.5</v>
      </c>
      <c r="H133" s="99">
        <f>G133+'9 taken physical reading &amp; Adj'!H133</f>
        <v>8554.75</v>
      </c>
      <c r="I133" s="165"/>
      <c r="J133" s="328">
        <f>H133/DAY(B2)</f>
        <v>855.47500000000002</v>
      </c>
    </row>
    <row r="134" spans="1:15" ht="25.5">
      <c r="A134" s="906" t="s">
        <v>340</v>
      </c>
      <c r="B134" s="907"/>
      <c r="C134" s="908"/>
      <c r="D134" s="151" t="s">
        <v>183</v>
      </c>
      <c r="E134" s="95">
        <f>'9 taken physical reading &amp; Adj'!F134</f>
        <v>37017.35</v>
      </c>
      <c r="F134" s="157">
        <v>37267.199999999997</v>
      </c>
      <c r="G134" s="112">
        <f t="shared" si="9"/>
        <v>249.84999999999854</v>
      </c>
      <c r="H134" s="99">
        <f>G134+'9 taken physical reading &amp; Adj'!H134</f>
        <v>2372.1999999999971</v>
      </c>
      <c r="I134" s="165"/>
      <c r="J134" s="328">
        <f>H134/DAY(B2)</f>
        <v>237.21999999999971</v>
      </c>
    </row>
    <row r="135" spans="1:15" ht="25.5">
      <c r="A135" s="934" t="s">
        <v>196</v>
      </c>
      <c r="B135" s="935"/>
      <c r="C135" s="331"/>
      <c r="D135" s="151"/>
      <c r="E135" s="95"/>
      <c r="F135" s="165"/>
      <c r="G135" s="112">
        <f>SUM(G128:G134)</f>
        <v>2839.3500000000058</v>
      </c>
      <c r="H135" s="99">
        <f>G135+'9 taken physical reading &amp; Adj'!H135</f>
        <v>30217.83</v>
      </c>
      <c r="I135" s="327">
        <f>G135-(G35+G49)</f>
        <v>-957.70000000004075</v>
      </c>
      <c r="J135" s="328">
        <f>H135/DAY(B2)</f>
        <v>3021.7830000000004</v>
      </c>
    </row>
    <row r="136" spans="1:15" ht="27.75">
      <c r="A136" s="938" t="s">
        <v>325</v>
      </c>
      <c r="B136" s="938"/>
      <c r="C136" s="938"/>
      <c r="D136" s="938"/>
      <c r="E136" s="938"/>
      <c r="F136" s="938"/>
      <c r="G136" s="938"/>
      <c r="H136" s="938"/>
      <c r="I136" s="938"/>
      <c r="J136" s="938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1" t="s">
        <v>185</v>
      </c>
      <c r="B138" s="901"/>
      <c r="C138" s="901"/>
      <c r="D138" s="151" t="s">
        <v>183</v>
      </c>
      <c r="E138" s="95">
        <f>'9 taken physical reading &amp; Adj'!F138</f>
        <v>884339</v>
      </c>
      <c r="F138" s="147">
        <v>884489</v>
      </c>
      <c r="G138" s="112">
        <f t="shared" ref="G138:G152" si="10">F138-E138</f>
        <v>150</v>
      </c>
      <c r="H138" s="99">
        <f>G138+'9 taken physical reading &amp; Adj'!H138</f>
        <v>1211.2999999999993</v>
      </c>
      <c r="I138" s="118"/>
      <c r="J138" s="328">
        <f>H138/DAY(B2)</f>
        <v>121.12999999999992</v>
      </c>
    </row>
    <row r="139" spans="1:15" ht="25.5">
      <c r="A139" s="901" t="s">
        <v>186</v>
      </c>
      <c r="B139" s="901"/>
      <c r="C139" s="901"/>
      <c r="D139" s="151" t="s">
        <v>183</v>
      </c>
      <c r="E139" s="95">
        <f>'9 taken physical reading &amp; Adj'!F139</f>
        <v>900867</v>
      </c>
      <c r="F139" s="148">
        <v>901017</v>
      </c>
      <c r="G139" s="112">
        <f t="shared" si="10"/>
        <v>150</v>
      </c>
      <c r="H139" s="99">
        <f>G139+'9 taken physical reading &amp; Adj'!H139</f>
        <v>1562</v>
      </c>
      <c r="I139" s="118"/>
      <c r="J139" s="328">
        <f>H139/DAY(B2)</f>
        <v>156.19999999999999</v>
      </c>
    </row>
    <row r="140" spans="1:15" ht="25.5">
      <c r="A140" s="901" t="s">
        <v>187</v>
      </c>
      <c r="B140" s="901"/>
      <c r="C140" s="901"/>
      <c r="D140" s="151" t="s">
        <v>183</v>
      </c>
      <c r="E140" s="95">
        <f>'9 taken physical reading &amp; Adj'!F140</f>
        <v>89130.6</v>
      </c>
      <c r="F140" s="149">
        <v>89133.1</v>
      </c>
      <c r="G140" s="112">
        <f t="shared" si="10"/>
        <v>2.5</v>
      </c>
      <c r="H140" s="99">
        <f>G140+'9 taken physical reading &amp; Adj'!H140</f>
        <v>120.24000000000001</v>
      </c>
      <c r="I140" s="118"/>
      <c r="J140" s="328">
        <f>H140/DAY(B2)</f>
        <v>12.024000000000001</v>
      </c>
    </row>
    <row r="141" spans="1:15" ht="25.5">
      <c r="A141" s="905" t="s">
        <v>188</v>
      </c>
      <c r="B141" s="905"/>
      <c r="C141" s="905"/>
      <c r="D141" s="151" t="s">
        <v>183</v>
      </c>
      <c r="E141" s="95">
        <f>'9 taken physical reading &amp; Adj'!F141</f>
        <v>79787.5</v>
      </c>
      <c r="F141" s="149">
        <v>79993.899999999994</v>
      </c>
      <c r="G141" s="112">
        <f t="shared" si="10"/>
        <v>206.39999999999418</v>
      </c>
      <c r="H141" s="99">
        <f>G141+'9 taken physical reading &amp; Adj'!H141</f>
        <v>2041.8999999999942</v>
      </c>
      <c r="I141" s="118"/>
      <c r="J141" s="328">
        <f>H141/DAY(B2)</f>
        <v>204.18999999999943</v>
      </c>
    </row>
    <row r="142" spans="1:15" ht="25.5">
      <c r="A142" s="905" t="s">
        <v>189</v>
      </c>
      <c r="B142" s="905"/>
      <c r="C142" s="905"/>
      <c r="D142" s="151" t="s">
        <v>183</v>
      </c>
      <c r="E142" s="95">
        <f>'9 taken physical reading &amp; Adj'!F142</f>
        <v>31945.9</v>
      </c>
      <c r="F142" s="148">
        <v>32087.9</v>
      </c>
      <c r="G142" s="112">
        <f t="shared" si="10"/>
        <v>142</v>
      </c>
      <c r="H142" s="99">
        <f>G142+'9 taken physical reading &amp; Adj'!H142</f>
        <v>1561.9000000000015</v>
      </c>
      <c r="I142" s="140"/>
      <c r="J142" s="328">
        <f>H142/DAY(B2)</f>
        <v>156.19000000000014</v>
      </c>
    </row>
    <row r="143" spans="1:15" ht="25.5">
      <c r="A143" s="901" t="s">
        <v>91</v>
      </c>
      <c r="B143" s="901"/>
      <c r="C143" s="901"/>
      <c r="D143" s="151" t="s">
        <v>183</v>
      </c>
      <c r="E143" s="95">
        <f>'9 taken physical reading &amp; Adj'!F143</f>
        <v>7562</v>
      </c>
      <c r="F143" s="149">
        <v>7584.4</v>
      </c>
      <c r="G143" s="112">
        <f t="shared" si="10"/>
        <v>22.399999999999636</v>
      </c>
      <c r="H143" s="99">
        <f>G143+'9 taken physical reading &amp; Adj'!H143</f>
        <v>278.39999999999964</v>
      </c>
      <c r="I143" s="140"/>
      <c r="J143" s="328">
        <f>H143/DAY(B2)</f>
        <v>27.839999999999964</v>
      </c>
      <c r="O143" s="148">
        <v>582206</v>
      </c>
    </row>
    <row r="144" spans="1:15" ht="25.5">
      <c r="A144" s="905" t="s">
        <v>90</v>
      </c>
      <c r="B144" s="905"/>
      <c r="C144" s="905"/>
      <c r="D144" s="151" t="s">
        <v>183</v>
      </c>
      <c r="E144" s="95">
        <f>'9 taken physical reading &amp; Adj'!F144</f>
        <v>907238</v>
      </c>
      <c r="F144" s="149">
        <v>907482</v>
      </c>
      <c r="G144" s="112">
        <f t="shared" si="10"/>
        <v>244</v>
      </c>
      <c r="H144" s="99">
        <f>G144+'9 taken physical reading &amp; Adj'!H144</f>
        <v>2429</v>
      </c>
      <c r="I144" s="140"/>
      <c r="J144" s="328">
        <f>H144/DAY(B2)</f>
        <v>242.9</v>
      </c>
    </row>
    <row r="145" spans="1:15" ht="25.5">
      <c r="A145" s="901" t="s">
        <v>190</v>
      </c>
      <c r="B145" s="901"/>
      <c r="C145" s="901"/>
      <c r="D145" s="152" t="s">
        <v>183</v>
      </c>
      <c r="E145" s="95">
        <f>'9 taken physical reading &amp; Adj'!F145</f>
        <v>5664.5</v>
      </c>
      <c r="F145" s="149">
        <v>5664.5</v>
      </c>
      <c r="G145" s="112">
        <f t="shared" si="10"/>
        <v>0</v>
      </c>
      <c r="H145" s="99">
        <f>G145+'9 taken physical reading &amp; Adj'!H145</f>
        <v>0.5</v>
      </c>
      <c r="I145" s="140"/>
      <c r="J145" s="328">
        <f>H145/DAY(B2)</f>
        <v>0.05</v>
      </c>
    </row>
    <row r="146" spans="1:15" ht="25.5">
      <c r="A146" s="902" t="s">
        <v>191</v>
      </c>
      <c r="B146" s="903"/>
      <c r="C146" s="904"/>
      <c r="D146" s="152" t="s">
        <v>183</v>
      </c>
      <c r="E146" s="95">
        <f>'9 taken physical reading &amp; Adj'!F146</f>
        <v>778305</v>
      </c>
      <c r="F146" s="148">
        <v>778344</v>
      </c>
      <c r="G146" s="236">
        <f t="shared" si="10"/>
        <v>39</v>
      </c>
      <c r="H146" s="99">
        <f>G146+'9 taken physical reading &amp; Adj'!H146</f>
        <v>476</v>
      </c>
      <c r="I146" s="140"/>
      <c r="J146" s="328">
        <f>H146/DAY(B2)</f>
        <v>47.6</v>
      </c>
    </row>
    <row r="147" spans="1:15" ht="25.5">
      <c r="A147" s="905" t="s">
        <v>192</v>
      </c>
      <c r="B147" s="905"/>
      <c r="C147" s="905"/>
      <c r="D147" s="152" t="s">
        <v>183</v>
      </c>
      <c r="E147" s="95">
        <f>'9 taken physical reading &amp; Adj'!F147</f>
        <v>679280.24</v>
      </c>
      <c r="F147" s="148">
        <v>679637.44</v>
      </c>
      <c r="G147" s="112">
        <f t="shared" si="10"/>
        <v>357.19999999995343</v>
      </c>
      <c r="H147" s="99">
        <f>G147+'9 taken physical reading &amp; Adj'!H147</f>
        <v>3789.4399999999441</v>
      </c>
      <c r="I147" s="140"/>
      <c r="J147" s="328">
        <f>H147/DAY(B2)</f>
        <v>378.94399999999439</v>
      </c>
    </row>
    <row r="148" spans="1:15" ht="25.5">
      <c r="A148" s="897" t="s">
        <v>193</v>
      </c>
      <c r="B148" s="898"/>
      <c r="C148" s="899"/>
      <c r="D148" s="123" t="s">
        <v>130</v>
      </c>
      <c r="E148" s="95">
        <f>'9 taken physical reading &amp; Adj'!F148</f>
        <v>732358.8</v>
      </c>
      <c r="F148" s="150">
        <v>732611.28</v>
      </c>
      <c r="G148" s="112">
        <f t="shared" si="10"/>
        <v>252.47999999998137</v>
      </c>
      <c r="H148" s="99">
        <f>G148+'9 taken physical reading &amp; Adj'!H148</f>
        <v>2866.2800000000279</v>
      </c>
      <c r="I148" s="124"/>
      <c r="J148" s="328">
        <f>H148/DAY(B2)</f>
        <v>286.62800000000277</v>
      </c>
    </row>
    <row r="149" spans="1:15" ht="25.5">
      <c r="A149" s="897" t="s">
        <v>336</v>
      </c>
      <c r="B149" s="898"/>
      <c r="C149" s="899"/>
      <c r="D149" s="227" t="s">
        <v>130</v>
      </c>
      <c r="E149" s="95">
        <f>'9 taken physical reading &amp; Adj'!F149</f>
        <v>105918.15</v>
      </c>
      <c r="F149" s="146">
        <v>106517</v>
      </c>
      <c r="G149" s="112">
        <f t="shared" si="10"/>
        <v>598.85000000000582</v>
      </c>
      <c r="H149" s="99">
        <f>G149+'9 taken physical reading &amp; Adj'!H149</f>
        <v>5622</v>
      </c>
      <c r="I149" s="119"/>
      <c r="J149" s="328">
        <f>H149/DAY(B2)</f>
        <v>562.20000000000005</v>
      </c>
    </row>
    <row r="150" spans="1:15" ht="25.5">
      <c r="A150" s="897" t="s">
        <v>337</v>
      </c>
      <c r="B150" s="898"/>
      <c r="C150" s="899"/>
      <c r="D150" s="117" t="s">
        <v>130</v>
      </c>
      <c r="E150" s="95">
        <f>'9 taken physical reading &amp; Adj'!F150</f>
        <v>39011</v>
      </c>
      <c r="F150" s="233">
        <v>39402</v>
      </c>
      <c r="G150" s="112">
        <f t="shared" si="10"/>
        <v>391</v>
      </c>
      <c r="H150" s="99">
        <f>G150+'9 taken physical reading &amp; Adj'!H150</f>
        <v>2186</v>
      </c>
      <c r="I150" s="119"/>
      <c r="J150" s="328">
        <f>H150/DAY(B2)</f>
        <v>218.6</v>
      </c>
    </row>
    <row r="151" spans="1:15" ht="25.5">
      <c r="A151" s="897" t="s">
        <v>338</v>
      </c>
      <c r="B151" s="898"/>
      <c r="C151" s="899"/>
      <c r="D151" s="117" t="s">
        <v>130</v>
      </c>
      <c r="E151" s="95">
        <f>'9 taken physical reading &amp; Adj'!F151</f>
        <v>120775</v>
      </c>
      <c r="F151" s="233">
        <v>121063</v>
      </c>
      <c r="G151" s="112">
        <f t="shared" si="10"/>
        <v>288</v>
      </c>
      <c r="H151" s="99">
        <f>G151+'9 taken physical reading &amp; Adj'!H151</f>
        <v>2926</v>
      </c>
      <c r="I151" s="119"/>
      <c r="J151" s="328">
        <f>H151/DAY(B2)</f>
        <v>292.60000000000002</v>
      </c>
    </row>
    <row r="152" spans="1:15" ht="25.5">
      <c r="A152" s="897" t="s">
        <v>339</v>
      </c>
      <c r="B152" s="898"/>
      <c r="C152" s="899"/>
      <c r="D152" s="117" t="s">
        <v>130</v>
      </c>
      <c r="E152" s="95">
        <f>'9 taken physical reading &amp; Adj'!F152</f>
        <v>16604.2</v>
      </c>
      <c r="F152" s="233">
        <v>16729.2</v>
      </c>
      <c r="G152" s="112">
        <f t="shared" si="10"/>
        <v>125</v>
      </c>
      <c r="H152" s="99">
        <f>G152+'9 taken physical reading &amp; Adj'!H152</f>
        <v>5573.2000000000007</v>
      </c>
      <c r="I152" s="119"/>
      <c r="J152" s="328">
        <f>H152/DAY(B2)</f>
        <v>557.32000000000005</v>
      </c>
    </row>
    <row r="153" spans="1:15" ht="25.5">
      <c r="A153" s="934" t="s">
        <v>196</v>
      </c>
      <c r="B153" s="935"/>
      <c r="C153" s="365"/>
      <c r="D153" s="358"/>
      <c r="E153" s="360"/>
      <c r="F153" s="361"/>
      <c r="G153" s="362">
        <f>SUM(G138:G152)</f>
        <v>2968.8299999999344</v>
      </c>
      <c r="H153" s="363"/>
      <c r="I153" s="119">
        <f>G153-(G38+G52)</f>
        <v>511.3799999999228</v>
      </c>
      <c r="J153" s="366"/>
    </row>
    <row r="154" spans="1:15" ht="27.75">
      <c r="A154" s="938" t="s">
        <v>344</v>
      </c>
      <c r="B154" s="938"/>
      <c r="C154" s="938"/>
      <c r="D154" s="938"/>
      <c r="E154" s="938"/>
      <c r="F154" s="938"/>
      <c r="G154" s="938"/>
      <c r="H154" s="938"/>
      <c r="I154" s="938"/>
      <c r="J154" s="938"/>
    </row>
    <row r="155" spans="1:15" ht="27.75">
      <c r="A155" s="905" t="s">
        <v>345</v>
      </c>
      <c r="B155" s="905"/>
      <c r="C155" s="905"/>
      <c r="D155" s="117" t="s">
        <v>130</v>
      </c>
      <c r="E155" s="95">
        <f>'9 taken physical reading &amp; Adj'!F155</f>
        <v>117467</v>
      </c>
      <c r="F155" s="374">
        <v>118148</v>
      </c>
      <c r="G155" s="112">
        <f t="shared" ref="G155:G158" si="11">F155-E155</f>
        <v>681</v>
      </c>
      <c r="H155" s="99">
        <f>G155+'9 taken physical reading &amp; Adj'!H155</f>
        <v>6173</v>
      </c>
      <c r="I155" s="364"/>
      <c r="J155" s="328">
        <f>H155/DAY(B2)</f>
        <v>617.29999999999995</v>
      </c>
      <c r="O155" s="65">
        <v>678.99000000000524</v>
      </c>
    </row>
    <row r="156" spans="1:15" ht="25.5">
      <c r="A156" s="905" t="s">
        <v>346</v>
      </c>
      <c r="B156" s="905"/>
      <c r="C156" s="905"/>
      <c r="D156" s="117" t="s">
        <v>130</v>
      </c>
      <c r="E156" s="95">
        <f>'9 taken physical reading &amp; Adj'!F156</f>
        <v>10352</v>
      </c>
      <c r="F156" s="155">
        <v>10433</v>
      </c>
      <c r="G156" s="112">
        <f t="shared" si="11"/>
        <v>81</v>
      </c>
      <c r="H156" s="99">
        <f>G156+'9 taken physical reading &amp; Adj'!H156</f>
        <v>748</v>
      </c>
      <c r="I156" s="165"/>
      <c r="J156" s="328">
        <f>H156/DAY(B2)</f>
        <v>74.8</v>
      </c>
      <c r="O156" s="65">
        <v>50.350000000000364</v>
      </c>
    </row>
    <row r="157" spans="1:15" ht="25.5">
      <c r="A157" s="897" t="s">
        <v>360</v>
      </c>
      <c r="B157" s="898"/>
      <c r="C157" s="899"/>
      <c r="D157" s="117" t="s">
        <v>130</v>
      </c>
      <c r="E157" s="95">
        <f>'9 taken physical reading &amp; Adj'!F157</f>
        <v>19797.8</v>
      </c>
      <c r="F157" s="155">
        <v>19946</v>
      </c>
      <c r="G157" s="112">
        <f t="shared" si="11"/>
        <v>148.20000000000073</v>
      </c>
      <c r="H157" s="99">
        <f>G157+'9 taken physical reading &amp; Adj'!H157</f>
        <v>1746</v>
      </c>
      <c r="I157" s="165"/>
      <c r="J157" s="328">
        <f>H157/DAY(B2)</f>
        <v>174.6</v>
      </c>
      <c r="O157" s="65">
        <v>101.82999999999993</v>
      </c>
    </row>
    <row r="158" spans="1:15" ht="25.5">
      <c r="A158" s="897" t="s">
        <v>361</v>
      </c>
      <c r="B158" s="898"/>
      <c r="C158" s="899"/>
      <c r="D158" s="117" t="s">
        <v>130</v>
      </c>
      <c r="E158" s="95">
        <f>'9 taken physical reading &amp; Adj'!F158</f>
        <v>177</v>
      </c>
      <c r="F158" s="155">
        <v>182.3</v>
      </c>
      <c r="G158" s="112">
        <f t="shared" si="11"/>
        <v>5.3000000000000114</v>
      </c>
      <c r="H158" s="99">
        <f>G158+'9 taken physical reading &amp; Adj'!H158</f>
        <v>91.88000000000001</v>
      </c>
      <c r="I158" s="165"/>
      <c r="J158" s="328">
        <f>H158/DAY(B2)</f>
        <v>9.1880000000000006</v>
      </c>
    </row>
    <row r="159" spans="1:15" ht="25.5">
      <c r="A159" s="956"/>
      <c r="B159" s="957"/>
      <c r="C159" s="958"/>
      <c r="D159" s="117"/>
      <c r="E159" s="95"/>
      <c r="F159" s="155"/>
      <c r="G159" s="112"/>
      <c r="H159" s="99"/>
      <c r="I159" s="165"/>
      <c r="J159" s="328"/>
    </row>
    <row r="160" spans="1:15" ht="27.75">
      <c r="A160" s="938" t="s">
        <v>326</v>
      </c>
      <c r="B160" s="938"/>
      <c r="C160" s="938"/>
      <c r="D160" s="938"/>
      <c r="E160" s="938"/>
      <c r="F160" s="938"/>
      <c r="G160" s="938"/>
      <c r="H160" s="938"/>
      <c r="I160" s="938"/>
      <c r="J160" s="938"/>
    </row>
    <row r="161" spans="1:10" ht="26.25">
      <c r="A161" s="242" t="s">
        <v>92</v>
      </c>
      <c r="B161" s="243"/>
      <c r="C161" s="243"/>
      <c r="D161" s="244" t="s">
        <v>180</v>
      </c>
      <c r="E161" s="95">
        <f>'9 taken physical reading &amp; Adj'!F161</f>
        <v>476258.44</v>
      </c>
      <c r="F161" s="235">
        <v>476438.52</v>
      </c>
      <c r="G161" s="238">
        <f t="shared" ref="G161:G165" si="12">F161-E161</f>
        <v>180.0800000000163</v>
      </c>
      <c r="H161" s="99">
        <f>G161+'9 taken physical reading &amp; Adj'!H161</f>
        <v>1017.5200000000186</v>
      </c>
      <c r="I161" s="236"/>
      <c r="J161" s="239">
        <f>H161/DAY(B2)</f>
        <v>101.75200000000186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'9 taken physical reading &amp; Adj'!F162</f>
        <v>93043.01</v>
      </c>
      <c r="F162" s="235">
        <v>93080</v>
      </c>
      <c r="G162" s="238">
        <f t="shared" si="12"/>
        <v>36.990000000005239</v>
      </c>
      <c r="H162" s="99">
        <f>G162+'9 taken physical reading &amp; Adj'!H162</f>
        <v>353</v>
      </c>
      <c r="I162" s="236"/>
      <c r="J162" s="239">
        <f>H162/DAY(B2)</f>
        <v>35.299999999999997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'9 taken physical reading &amp; Adj'!F163</f>
        <v>98556.3</v>
      </c>
      <c r="F163" s="235">
        <v>98714</v>
      </c>
      <c r="G163" s="238">
        <f t="shared" si="12"/>
        <v>157.69999999999709</v>
      </c>
      <c r="H163" s="99">
        <f>G163+'9 taken physical reading &amp; Adj'!H163</f>
        <v>1579</v>
      </c>
      <c r="I163" s="236"/>
      <c r="J163" s="239">
        <f>H163/DAY(B2)</f>
        <v>157.9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'9 taken physical reading &amp; Adj'!F164</f>
        <v>5649.2</v>
      </c>
      <c r="F164" s="235">
        <v>5660.3</v>
      </c>
      <c r="G164" s="238">
        <f t="shared" si="12"/>
        <v>11.100000000000364</v>
      </c>
      <c r="H164" s="99">
        <f>G164+'9 taken physical reading &amp; Adj'!H164</f>
        <v>118.30000000000018</v>
      </c>
      <c r="I164" s="236"/>
      <c r="J164" s="239">
        <f>H164/DAY(B2)</f>
        <v>11.830000000000018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'9 taken physical reading &amp; Adj'!F165</f>
        <v>31118.46</v>
      </c>
      <c r="F165" s="235">
        <v>31129.4</v>
      </c>
      <c r="G165" s="238">
        <f t="shared" si="12"/>
        <v>10.940000000002328</v>
      </c>
      <c r="H165" s="99">
        <f>G165+'9 taken physical reading &amp; Adj'!H165</f>
        <v>115.40000000000146</v>
      </c>
      <c r="I165" s="236"/>
      <c r="J165" s="239">
        <f>H165/DAY(B2)</f>
        <v>11.540000000000145</v>
      </c>
    </row>
    <row r="166" spans="1:10" ht="26.25">
      <c r="A166" s="937"/>
      <c r="B166" s="937"/>
      <c r="C166" s="246"/>
      <c r="D166" s="244" t="s">
        <v>180</v>
      </c>
      <c r="E166" s="95">
        <f>'9 taken physical reading &amp; Adj'!F166</f>
        <v>0</v>
      </c>
      <c r="F166" s="165"/>
      <c r="G166" s="165"/>
      <c r="H166" s="99">
        <f>G166+'9 taken physical reading &amp; Adj'!H166</f>
        <v>0</v>
      </c>
      <c r="I166" s="165"/>
      <c r="J166" s="239">
        <f>H166/DAY(B2)</f>
        <v>0</v>
      </c>
    </row>
    <row r="167" spans="1:10" ht="26.25">
      <c r="A167" s="937"/>
      <c r="B167" s="937"/>
      <c r="C167" s="246"/>
      <c r="D167" s="244" t="s">
        <v>180</v>
      </c>
      <c r="E167" s="95">
        <f>'9 taken physical reading &amp; Adj'!F167</f>
        <v>0</v>
      </c>
      <c r="F167" s="165"/>
      <c r="G167" s="165"/>
      <c r="H167" s="99">
        <f>G167+'9 taken physical reading &amp; Adj'!H167</f>
        <v>0</v>
      </c>
      <c r="I167" s="165"/>
      <c r="J167" s="239">
        <f>H167/DAY(B2)</f>
        <v>0</v>
      </c>
    </row>
    <row r="168" spans="1:10" ht="26.25">
      <c r="A168" s="937"/>
      <c r="B168" s="937"/>
      <c r="C168" s="246"/>
      <c r="D168" s="244" t="s">
        <v>180</v>
      </c>
      <c r="E168" s="95">
        <f>'9 taken physical reading &amp; Adj'!F168</f>
        <v>0</v>
      </c>
      <c r="F168" s="165"/>
      <c r="G168" s="165"/>
      <c r="H168" s="99">
        <f>G168+'9 taken physical reading &amp; Adj'!H168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7" t="s">
        <v>330</v>
      </c>
      <c r="B171" s="948"/>
      <c r="C171" s="948"/>
      <c r="D171" s="948"/>
      <c r="E171" s="948"/>
      <c r="F171" s="948"/>
      <c r="G171" s="948"/>
      <c r="H171" s="948"/>
      <c r="I171" s="948"/>
      <c r="J171" s="949"/>
    </row>
    <row r="172" spans="1:10" ht="25.5">
      <c r="A172" s="943"/>
      <c r="B172" s="944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5" t="s">
        <v>209</v>
      </c>
      <c r="B173" s="896"/>
      <c r="C173" s="333"/>
      <c r="D173" s="228" t="s">
        <v>142</v>
      </c>
      <c r="E173" s="95">
        <f>'9 taken physical reading &amp; Adj'!F173</f>
        <v>8273</v>
      </c>
      <c r="F173" s="155">
        <v>8275</v>
      </c>
      <c r="G173" s="155">
        <f>F173-E173</f>
        <v>2</v>
      </c>
      <c r="H173" s="99">
        <f>G173+'9 taken physical reading &amp; Adj'!H173</f>
        <v>11</v>
      </c>
      <c r="I173" s="155"/>
      <c r="J173" s="178">
        <f>H173/DAY(B2)</f>
        <v>1.1000000000000001</v>
      </c>
    </row>
    <row r="174" spans="1:10" ht="34.5" customHeight="1">
      <c r="A174" s="895" t="s">
        <v>75</v>
      </c>
      <c r="B174" s="896"/>
      <c r="C174" s="333"/>
      <c r="D174" s="228" t="s">
        <v>142</v>
      </c>
      <c r="E174" s="95">
        <f>'9 taken physical reading &amp; Adj'!F174</f>
        <v>40458</v>
      </c>
      <c r="F174" s="157">
        <v>40475</v>
      </c>
      <c r="G174" s="155">
        <f t="shared" ref="G174:G175" si="13">F174-E174</f>
        <v>17</v>
      </c>
      <c r="H174" s="99">
        <f>G174+'9 taken physical reading &amp; Adj'!H174</f>
        <v>143</v>
      </c>
      <c r="I174" s="155"/>
      <c r="J174" s="178">
        <f>H174/DAY(B2)</f>
        <v>14.3</v>
      </c>
    </row>
    <row r="175" spans="1:10" ht="31.5" customHeight="1">
      <c r="A175" s="895" t="s">
        <v>76</v>
      </c>
      <c r="B175" s="900"/>
      <c r="C175" s="896"/>
      <c r="D175" s="228" t="s">
        <v>142</v>
      </c>
      <c r="E175" s="95">
        <f>'9 taken physical reading &amp; Adj'!F175</f>
        <v>23395</v>
      </c>
      <c r="F175" s="155">
        <v>23408</v>
      </c>
      <c r="G175" s="155">
        <f t="shared" si="13"/>
        <v>13</v>
      </c>
      <c r="H175" s="99">
        <f>G175+'9 taken physical reading &amp; Adj'!H175</f>
        <v>150</v>
      </c>
      <c r="I175" s="155"/>
      <c r="J175" s="178">
        <f>H175/DAY(B2)</f>
        <v>15</v>
      </c>
    </row>
    <row r="176" spans="1:10" ht="21.75" customHeight="1">
      <c r="A176" s="934" t="s">
        <v>196</v>
      </c>
      <c r="B176" s="935"/>
      <c r="C176" s="333"/>
      <c r="D176" s="228"/>
      <c r="E176" s="95"/>
      <c r="F176" s="155"/>
      <c r="G176" s="155">
        <f>SUM(G173:G175)</f>
        <v>32</v>
      </c>
      <c r="H176" s="99">
        <f>G176+'9 taken physical reading &amp; Adj'!H176</f>
        <v>304</v>
      </c>
      <c r="I176" s="155"/>
      <c r="J176" s="178">
        <f>H176/DAY(B2)</f>
        <v>30.4</v>
      </c>
    </row>
    <row r="177" spans="1:10" ht="27.75" customHeight="1">
      <c r="A177" s="895" t="s">
        <v>77</v>
      </c>
      <c r="B177" s="896"/>
      <c r="C177" s="333"/>
      <c r="D177" s="228" t="s">
        <v>142</v>
      </c>
      <c r="E177" s="95"/>
      <c r="F177" s="155"/>
      <c r="G177" s="155"/>
      <c r="H177" s="99">
        <f>G177+'9 taken physical reading &amp; Adj'!H177</f>
        <v>0</v>
      </c>
      <c r="I177" s="155"/>
      <c r="J177" s="178">
        <f>H177/DAY(B2)</f>
        <v>0</v>
      </c>
    </row>
    <row r="178" spans="1:10" ht="21.75" customHeight="1">
      <c r="A178" s="895" t="s">
        <v>210</v>
      </c>
      <c r="B178" s="896"/>
      <c r="C178" s="333"/>
      <c r="D178" s="228" t="s">
        <v>142</v>
      </c>
      <c r="E178" s="95">
        <f>'9 taken physical reading &amp; Adj'!F178</f>
        <v>92799</v>
      </c>
      <c r="F178" s="157">
        <v>92909</v>
      </c>
      <c r="G178" s="155">
        <f>F178-E178</f>
        <v>110</v>
      </c>
      <c r="H178" s="99">
        <f>G178+'9 taken physical reading &amp; Adj'!H178</f>
        <v>1087</v>
      </c>
      <c r="I178" s="155"/>
      <c r="J178" s="178">
        <f>H178/DAY(B2)</f>
        <v>108.7</v>
      </c>
    </row>
    <row r="179" spans="1:10" ht="27.75" customHeight="1">
      <c r="A179" s="895" t="s">
        <v>211</v>
      </c>
      <c r="B179" s="896"/>
      <c r="C179" s="333"/>
      <c r="D179" s="228" t="s">
        <v>142</v>
      </c>
      <c r="E179" s="95">
        <f>'9 taken physical reading &amp; Adj'!F179</f>
        <v>35956</v>
      </c>
      <c r="F179" s="155">
        <v>35985</v>
      </c>
      <c r="G179" s="155">
        <f t="shared" ref="G179:G180" si="14">F179-E179</f>
        <v>29</v>
      </c>
      <c r="H179" s="99">
        <f>G179+'9 taken physical reading &amp; Adj'!H179</f>
        <v>201</v>
      </c>
      <c r="I179" s="155"/>
      <c r="J179" s="178">
        <f>H179/DAY(B2)</f>
        <v>20.100000000000001</v>
      </c>
    </row>
    <row r="180" spans="1:10" ht="25.5">
      <c r="A180" s="895" t="s">
        <v>212</v>
      </c>
      <c r="B180" s="896"/>
      <c r="C180" s="333"/>
      <c r="D180" s="228" t="s">
        <v>142</v>
      </c>
      <c r="E180" s="95">
        <f>'9 taken physical reading &amp; Adj'!F180</f>
        <v>6792</v>
      </c>
      <c r="F180" s="155">
        <v>6795</v>
      </c>
      <c r="G180" s="155">
        <f t="shared" si="14"/>
        <v>3</v>
      </c>
      <c r="H180" s="99">
        <f>G180+'9 taken physical reading &amp; Adj'!H180</f>
        <v>125</v>
      </c>
      <c r="I180" s="155"/>
      <c r="J180" s="178">
        <f>H180/DAY(B2)</f>
        <v>12.5</v>
      </c>
    </row>
    <row r="181" spans="1:10" ht="25.5">
      <c r="A181" s="941" t="s">
        <v>108</v>
      </c>
      <c r="B181" s="942"/>
      <c r="C181" s="333"/>
      <c r="D181" s="228"/>
      <c r="E181" s="95"/>
      <c r="F181" s="155"/>
      <c r="G181" s="155">
        <f>SUM(G178:G180)</f>
        <v>142</v>
      </c>
      <c r="H181" s="99">
        <f>G181+'9 taken physical reading &amp; Adj'!H181</f>
        <v>1413</v>
      </c>
      <c r="I181" s="155"/>
      <c r="J181" s="178">
        <f>H181/DAY(B2)</f>
        <v>141.30000000000001</v>
      </c>
    </row>
    <row r="182" spans="1:10" ht="25.5">
      <c r="A182" s="895" t="s">
        <v>213</v>
      </c>
      <c r="B182" s="896"/>
      <c r="C182" s="333"/>
      <c r="D182" s="228"/>
      <c r="E182" s="95"/>
      <c r="F182" s="155"/>
      <c r="G182" s="155"/>
      <c r="H182" s="99">
        <f>G182+'9 taken physical reading &amp; Adj'!H182</f>
        <v>0</v>
      </c>
      <c r="I182" s="155"/>
      <c r="J182" s="178">
        <f>H182/DAY(B2)</f>
        <v>0</v>
      </c>
    </row>
    <row r="183" spans="1:10" ht="25.5">
      <c r="A183" s="895" t="s">
        <v>214</v>
      </c>
      <c r="B183" s="896"/>
      <c r="C183" s="334"/>
      <c r="D183" s="228" t="s">
        <v>142</v>
      </c>
      <c r="E183" s="95">
        <f>'9 taken physical reading &amp; Adj'!F183</f>
        <v>17088</v>
      </c>
      <c r="F183" s="157">
        <v>17102</v>
      </c>
      <c r="G183" s="157">
        <f>F183-E183</f>
        <v>14</v>
      </c>
      <c r="H183" s="99">
        <f>G183+'9 taken physical reading &amp; Adj'!H183</f>
        <v>147</v>
      </c>
      <c r="I183" s="155"/>
      <c r="J183" s="178">
        <f>H183/DAY(B2)</f>
        <v>14.7</v>
      </c>
    </row>
    <row r="184" spans="1:10" ht="25.5">
      <c r="A184" s="895" t="s">
        <v>215</v>
      </c>
      <c r="B184" s="896"/>
      <c r="C184" s="334"/>
      <c r="D184" s="228" t="s">
        <v>142</v>
      </c>
      <c r="E184" s="95">
        <f>'9 taken physical reading &amp; Adj'!F184</f>
        <v>11549</v>
      </c>
      <c r="F184" s="157">
        <v>11559</v>
      </c>
      <c r="G184" s="157">
        <f t="shared" ref="G184:G185" si="15">F184-E184</f>
        <v>10</v>
      </c>
      <c r="H184" s="99">
        <f>G184+'9 taken physical reading &amp; Adj'!H184</f>
        <v>73</v>
      </c>
      <c r="I184" s="155"/>
      <c r="J184" s="178">
        <f>H184/DAY(B2)</f>
        <v>7.3</v>
      </c>
    </row>
    <row r="185" spans="1:10" ht="37.5" customHeight="1">
      <c r="A185" s="895" t="s">
        <v>216</v>
      </c>
      <c r="B185" s="896"/>
      <c r="C185" s="334"/>
      <c r="D185" s="228" t="s">
        <v>142</v>
      </c>
      <c r="E185" s="95">
        <v>0</v>
      </c>
      <c r="F185" s="157">
        <v>0</v>
      </c>
      <c r="G185" s="157">
        <f t="shared" si="15"/>
        <v>0</v>
      </c>
      <c r="H185" s="99">
        <f>G185+'9 taken physical reading &amp; Adj'!H185</f>
        <v>0</v>
      </c>
      <c r="I185" s="155"/>
      <c r="J185" s="178">
        <f>H185/DAY(B2)</f>
        <v>0</v>
      </c>
    </row>
    <row r="186" spans="1:10" ht="26.25" customHeight="1">
      <c r="A186" s="934" t="s">
        <v>196</v>
      </c>
      <c r="B186" s="935"/>
      <c r="C186" s="334"/>
      <c r="D186" s="229"/>
      <c r="E186" s="95"/>
      <c r="F186" s="157"/>
      <c r="G186" s="157">
        <f>SUM(G183:G185)</f>
        <v>24</v>
      </c>
      <c r="H186" s="99">
        <f>G186+'9 taken physical reading &amp; Adj'!H186</f>
        <v>220</v>
      </c>
      <c r="I186" s="157"/>
      <c r="J186" s="178">
        <f>H186/DAY(B2)</f>
        <v>22</v>
      </c>
    </row>
    <row r="187" spans="1:10" ht="21.75" customHeight="1">
      <c r="A187" s="945" t="s">
        <v>217</v>
      </c>
      <c r="B187" s="946"/>
      <c r="C187" s="333"/>
      <c r="D187" s="230" t="s">
        <v>142</v>
      </c>
      <c r="E187" s="95"/>
      <c r="F187" s="159"/>
      <c r="G187" s="424">
        <f>G62+G19</f>
        <v>181</v>
      </c>
      <c r="H187" s="99">
        <f>G187+'9 taken physical reading &amp; Adj'!H187</f>
        <v>2093</v>
      </c>
      <c r="I187" s="158"/>
      <c r="J187" s="179">
        <f>H187/DAY(B2)</f>
        <v>209.3</v>
      </c>
    </row>
    <row r="188" spans="1:10" ht="21.75" customHeight="1">
      <c r="A188" s="945" t="s">
        <v>218</v>
      </c>
      <c r="B188" s="946"/>
      <c r="C188" s="333"/>
      <c r="D188" s="230" t="s">
        <v>142</v>
      </c>
      <c r="E188" s="95"/>
      <c r="F188" s="159"/>
      <c r="G188" s="424">
        <f>G65+G66+G67+G69+G70</f>
        <v>166</v>
      </c>
      <c r="H188" s="99">
        <f>G188+'9 taken physical reading &amp; Adj'!H188</f>
        <v>2066</v>
      </c>
      <c r="I188" s="158"/>
      <c r="J188" s="179">
        <f>H188/DAY(B2)</f>
        <v>206.6</v>
      </c>
    </row>
    <row r="189" spans="1:10" ht="21.75" customHeight="1">
      <c r="A189" s="945" t="s">
        <v>219</v>
      </c>
      <c r="B189" s="946"/>
      <c r="C189" s="333"/>
      <c r="D189" s="230" t="s">
        <v>142</v>
      </c>
      <c r="E189" s="95"/>
      <c r="F189" s="157"/>
      <c r="G189" s="421">
        <f>G181</f>
        <v>142</v>
      </c>
      <c r="H189" s="99">
        <f>G189+'9 taken physical reading &amp; Adj'!H189</f>
        <v>1413</v>
      </c>
      <c r="I189" s="158"/>
      <c r="J189" s="179">
        <f>H189/DAY(B2)</f>
        <v>141.30000000000001</v>
      </c>
    </row>
    <row r="190" spans="1:10" ht="27" customHeight="1">
      <c r="A190" s="939"/>
      <c r="B190" s="940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1.75" customHeight="1"/>
    <row r="192" spans="1:10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36.75" customHeight="1"/>
    <row r="203" ht="26.25"/>
    <row r="204" ht="26.25"/>
    <row r="205" ht="26.25"/>
    <row r="206" ht="26.25"/>
    <row r="207" ht="26.25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</mergeCells>
  <pageMargins left="0.22" right="0.17" top="0.14000000000000001" bottom="0.2" header="0.2" footer="0.2"/>
  <pageSetup paperSize="5" scale="2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136" zoomScale="55" zoomScaleNormal="55" workbookViewId="0">
      <selection activeCell="F52" sqref="F52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0.75" customHeight="1">
      <c r="A1" s="876" t="s">
        <v>115</v>
      </c>
      <c r="B1" s="877"/>
      <c r="C1" s="877"/>
      <c r="D1" s="877"/>
      <c r="E1" s="877"/>
      <c r="F1" s="877"/>
      <c r="G1" s="877"/>
      <c r="H1" s="877"/>
      <c r="I1" s="877"/>
      <c r="J1" s="878"/>
    </row>
    <row r="2" spans="1:16" s="57" customFormat="1" ht="30.75" customHeight="1">
      <c r="A2" s="191" t="s">
        <v>349</v>
      </c>
      <c r="B2" s="262">
        <v>44723</v>
      </c>
      <c r="C2" s="348" t="s">
        <v>67</v>
      </c>
      <c r="D2" s="218">
        <v>0.72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30.75" customHeight="1">
      <c r="A3" s="189"/>
      <c r="B3" s="221"/>
      <c r="C3" s="348" t="s">
        <v>118</v>
      </c>
      <c r="D3" s="219">
        <v>31</v>
      </c>
      <c r="E3" s="885" t="s">
        <v>119</v>
      </c>
      <c r="F3" s="886"/>
      <c r="G3" s="101"/>
      <c r="H3" s="102"/>
      <c r="I3" s="102"/>
      <c r="J3" s="222"/>
      <c r="K3" s="61"/>
      <c r="L3" s="58"/>
    </row>
    <row r="4" spans="1:16" s="57" customFormat="1" ht="30.75" customHeight="1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6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30.75" customHeight="1">
      <c r="A6" s="879" t="s">
        <v>128</v>
      </c>
      <c r="B6" s="880"/>
      <c r="C6" s="881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.75" customHeight="1" thickBot="1">
      <c r="A7" s="194" t="s">
        <v>129</v>
      </c>
      <c r="B7" s="195"/>
      <c r="C7" s="195"/>
      <c r="D7" s="151" t="s">
        <v>130</v>
      </c>
      <c r="E7" s="95">
        <f>'10'!F7</f>
        <v>969642</v>
      </c>
      <c r="F7" s="95">
        <v>997460.3</v>
      </c>
      <c r="G7" s="112">
        <f>F7-E7</f>
        <v>27818.300000000047</v>
      </c>
      <c r="H7" s="99">
        <f>G7+'10'!H7</f>
        <v>304339.30000000005</v>
      </c>
      <c r="I7" s="113">
        <f>'1'!I7</f>
        <v>12000</v>
      </c>
      <c r="J7" s="175">
        <f>H7/DAY(B2)</f>
        <v>27667.209090909095</v>
      </c>
      <c r="K7" s="172">
        <v>1375467</v>
      </c>
      <c r="L7" s="66"/>
      <c r="N7" s="87"/>
      <c r="O7" s="71"/>
    </row>
    <row r="8" spans="1:16" ht="30.75" customHeight="1" thickBot="1">
      <c r="A8" s="196" t="s">
        <v>131</v>
      </c>
      <c r="B8" s="197"/>
      <c r="C8" s="198"/>
      <c r="D8" s="224" t="s">
        <v>24</v>
      </c>
      <c r="E8" s="95">
        <f>'10'!F8</f>
        <v>96536</v>
      </c>
      <c r="F8" s="114">
        <v>125287</v>
      </c>
      <c r="G8" s="115">
        <f>F8-E8</f>
        <v>28751</v>
      </c>
      <c r="H8" s="99">
        <f>G8+'10'!H8</f>
        <v>316628.10000000003</v>
      </c>
      <c r="I8" s="116"/>
      <c r="J8" s="175">
        <f>H8/DAY(B2)</f>
        <v>28784.37272727273</v>
      </c>
      <c r="K8" s="172">
        <v>1715917</v>
      </c>
      <c r="L8" s="76">
        <v>1728480</v>
      </c>
      <c r="M8" s="87">
        <f>L8-K8</f>
        <v>12563</v>
      </c>
      <c r="N8" s="87"/>
      <c r="O8" s="71">
        <f>4500/60</f>
        <v>75</v>
      </c>
      <c r="P8" s="65">
        <f>O8*12</f>
        <v>900</v>
      </c>
    </row>
    <row r="9" spans="1:16" ht="30.75" customHeight="1">
      <c r="A9" s="199" t="s">
        <v>132</v>
      </c>
      <c r="B9" s="200"/>
      <c r="C9" s="200"/>
      <c r="D9" s="151" t="s">
        <v>130</v>
      </c>
      <c r="E9" s="95">
        <f>'10'!F9</f>
        <v>2589139</v>
      </c>
      <c r="F9" s="469">
        <v>2608015</v>
      </c>
      <c r="G9" s="112">
        <f>F9-E9</f>
        <v>18876</v>
      </c>
      <c r="H9" s="99">
        <f>G9+'10'!H9</f>
        <v>157906.29999999981</v>
      </c>
      <c r="I9" s="124">
        <f>I7-J7</f>
        <v>-15667.209090909095</v>
      </c>
      <c r="J9" s="175">
        <f>H9/DAY(B2)</f>
        <v>14355.118181818165</v>
      </c>
      <c r="K9" s="79">
        <f>K8-100</f>
        <v>1715817</v>
      </c>
      <c r="L9" s="66"/>
      <c r="N9" s="87"/>
      <c r="O9" s="71"/>
    </row>
    <row r="10" spans="1:16" ht="30.75" customHeight="1">
      <c r="A10" s="194" t="s">
        <v>133</v>
      </c>
      <c r="B10" s="195"/>
      <c r="C10" s="195"/>
      <c r="D10" s="151" t="s">
        <v>130</v>
      </c>
      <c r="E10" s="95">
        <f>'10'!F10</f>
        <v>1025496.9</v>
      </c>
      <c r="F10" s="353">
        <v>1033663.8</v>
      </c>
      <c r="G10" s="112">
        <f t="shared" ref="G10:G12" si="0">F10-E10</f>
        <v>8166.9000000000233</v>
      </c>
      <c r="H10" s="99">
        <f>G10+'10'!H10</f>
        <v>123260.60000000009</v>
      </c>
      <c r="I10" s="282"/>
      <c r="J10" s="175">
        <f>H10/DAY(B2)</f>
        <v>11205.5090909091</v>
      </c>
      <c r="K10" s="79"/>
      <c r="L10" s="66"/>
      <c r="N10" s="87"/>
      <c r="O10" s="71"/>
    </row>
    <row r="11" spans="1:16" ht="30.75" customHeight="1">
      <c r="A11" s="194" t="s">
        <v>134</v>
      </c>
      <c r="B11" s="195"/>
      <c r="C11" s="195"/>
      <c r="D11" s="151" t="s">
        <v>130</v>
      </c>
      <c r="E11" s="95">
        <f>'10'!F11</f>
        <v>37560</v>
      </c>
      <c r="F11" s="95">
        <v>37560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30.75" customHeight="1">
      <c r="A12" s="194" t="s">
        <v>135</v>
      </c>
      <c r="B12" s="195"/>
      <c r="C12" s="195"/>
      <c r="D12" s="151" t="s">
        <v>130</v>
      </c>
      <c r="E12" s="95">
        <f>'10'!F12</f>
        <v>40380</v>
      </c>
      <c r="F12" s="117">
        <v>40380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27042.900000000023</v>
      </c>
      <c r="H13" s="99">
        <f>G13+'10'!H13</f>
        <v>281027.89999999991</v>
      </c>
      <c r="I13" s="120">
        <f>G7-G13</f>
        <v>775.40000000002328</v>
      </c>
      <c r="J13" s="175">
        <f>H13/DAY(B2)</f>
        <v>25547.990909090902</v>
      </c>
      <c r="K13" s="79"/>
      <c r="L13" s="66"/>
      <c r="N13" s="87"/>
      <c r="O13" s="71"/>
    </row>
    <row r="14" spans="1:16" ht="30.75" customHeight="1">
      <c r="A14" s="882" t="s">
        <v>137</v>
      </c>
      <c r="B14" s="883"/>
      <c r="C14" s="88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30.75" customHeight="1">
      <c r="A15" s="345" t="s">
        <v>138</v>
      </c>
      <c r="B15" s="205"/>
      <c r="C15" s="205"/>
      <c r="D15" s="151" t="s">
        <v>139</v>
      </c>
      <c r="E15" s="95">
        <f>'10'!F15</f>
        <v>2047794.5</v>
      </c>
      <c r="F15" s="469">
        <v>2048848</v>
      </c>
      <c r="G15" s="112">
        <f>(F15-E15)</f>
        <v>1053.5</v>
      </c>
      <c r="H15" s="99">
        <f>G15+'10'!H15</f>
        <v>11731</v>
      </c>
      <c r="I15" s="113">
        <f>'1'!I15</f>
        <v>800</v>
      </c>
      <c r="J15" s="175">
        <f>H15/DAY(B2)</f>
        <v>1066.4545454545455</v>
      </c>
      <c r="K15" s="79"/>
      <c r="L15" s="66"/>
      <c r="N15" s="87"/>
      <c r="O15" s="71"/>
    </row>
    <row r="16" spans="1:16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-266.4545454545455</v>
      </c>
      <c r="J16" s="176"/>
      <c r="K16" s="79"/>
      <c r="L16" s="66"/>
      <c r="N16" s="87"/>
      <c r="O16" s="71"/>
    </row>
    <row r="17" spans="1:15" ht="30.75" customHeight="1">
      <c r="A17" s="882" t="s">
        <v>140</v>
      </c>
      <c r="B17" s="883"/>
      <c r="C17" s="88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73" t="s">
        <v>141</v>
      </c>
      <c r="B18" s="874"/>
      <c r="C18" s="875"/>
      <c r="D18" s="151" t="s">
        <v>142</v>
      </c>
      <c r="E18" s="95">
        <f>'10'!F18</f>
        <v>15</v>
      </c>
      <c r="F18" s="164">
        <v>31</v>
      </c>
      <c r="G18" s="119">
        <f>F18*10</f>
        <v>310</v>
      </c>
      <c r="H18" s="99">
        <f>G18+'10'!H18</f>
        <v>2590</v>
      </c>
      <c r="I18" s="113">
        <f>'1'!I18</f>
        <v>65</v>
      </c>
      <c r="J18" s="175">
        <f>H18/DAY(B2)</f>
        <v>235.45454545454547</v>
      </c>
      <c r="K18" s="79"/>
      <c r="L18" s="66"/>
      <c r="N18" s="87"/>
      <c r="O18" s="71"/>
    </row>
    <row r="19" spans="1:15" ht="30.75" customHeight="1">
      <c r="A19" s="873" t="s">
        <v>69</v>
      </c>
      <c r="B19" s="874"/>
      <c r="C19" s="875"/>
      <c r="D19" s="151" t="s">
        <v>142</v>
      </c>
      <c r="E19" s="95">
        <f>'10'!F19</f>
        <v>160635</v>
      </c>
      <c r="F19" s="122">
        <f>160635+50</f>
        <v>160685</v>
      </c>
      <c r="G19" s="112">
        <f t="shared" ref="G19" si="1">F19-E19</f>
        <v>50</v>
      </c>
      <c r="H19" s="99">
        <f>G19+'10'!H19</f>
        <v>575</v>
      </c>
      <c r="I19" s="335"/>
      <c r="J19" s="175">
        <f>H19/DAY(B2)</f>
        <v>52.272727272727273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360</v>
      </c>
      <c r="H20" s="99">
        <f>G20+'10'!H20</f>
        <v>3165</v>
      </c>
      <c r="I20" s="336">
        <f>I18-J20</f>
        <v>-222.72727272727275</v>
      </c>
      <c r="J20" s="175">
        <f>H20/DAY(B2)</f>
        <v>287.72727272727275</v>
      </c>
      <c r="K20" s="79"/>
      <c r="L20" s="66"/>
      <c r="N20" s="87"/>
      <c r="O20" s="71"/>
    </row>
    <row r="21" spans="1:15" ht="30.75" customHeight="1">
      <c r="A21" s="882" t="s">
        <v>144</v>
      </c>
      <c r="B21" s="883"/>
      <c r="C21" s="88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'10'!F23</f>
        <v>1500</v>
      </c>
      <c r="F23" s="122">
        <v>1500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87" t="s">
        <v>149</v>
      </c>
      <c r="B25" s="888"/>
      <c r="C25" s="88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28751</v>
      </c>
      <c r="F27" s="136">
        <v>9</v>
      </c>
      <c r="G27" s="137">
        <f>E27*F27</f>
        <v>258759</v>
      </c>
      <c r="H27" s="99">
        <f>G27+'10'!H27</f>
        <v>2849652.9000000004</v>
      </c>
      <c r="I27" s="138"/>
      <c r="J27" s="175">
        <f>H27/DAY(B2)</f>
        <v>259059.35454545458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1053.5</v>
      </c>
      <c r="F28" s="136">
        <v>52</v>
      </c>
      <c r="G28" s="137">
        <f>E28*F28</f>
        <v>54782</v>
      </c>
      <c r="H28" s="99">
        <f>G28+'10'!H28</f>
        <v>766612</v>
      </c>
      <c r="I28" s="140"/>
      <c r="J28" s="175">
        <f>H28/DAY(B2)</f>
        <v>69692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G30+'10'!H30</f>
        <v>86075</v>
      </c>
      <c r="I30" s="140"/>
      <c r="J30" s="175">
        <f>H30/DAY(B2)</f>
        <v>7825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310</v>
      </c>
      <c r="F31" s="136">
        <v>80</v>
      </c>
      <c r="G31" s="137">
        <f>E31*F31</f>
        <v>24800</v>
      </c>
      <c r="H31" s="99">
        <f>G31+'10'!H31</f>
        <v>207200</v>
      </c>
      <c r="I31" s="140"/>
      <c r="J31" s="175">
        <f>H31/DAY(B2)</f>
        <v>18836.363636363636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345641</v>
      </c>
      <c r="H32" s="99">
        <f>G32+'10'!H32</f>
        <v>3909539.9000000004</v>
      </c>
      <c r="I32" s="144"/>
      <c r="J32" s="175">
        <f>H32/DAY(B2)</f>
        <v>355412.7181818182</v>
      </c>
      <c r="K32" s="63"/>
      <c r="L32" s="89"/>
      <c r="N32" s="87"/>
      <c r="O32" s="71"/>
    </row>
    <row r="33" spans="1:15" ht="30.75" customHeight="1">
      <c r="A33" s="890" t="s">
        <v>331</v>
      </c>
      <c r="B33" s="891"/>
      <c r="C33" s="89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'10'!F35</f>
        <v>238713.05</v>
      </c>
      <c r="F35" s="145">
        <v>238713.05</v>
      </c>
      <c r="G35" s="112">
        <f t="shared" ref="G35:G46" si="3">F35-E35</f>
        <v>0</v>
      </c>
      <c r="H35" s="99">
        <f>G35+'10'!H35</f>
        <v>-0.95000000001164153</v>
      </c>
      <c r="I35" s="95"/>
      <c r="J35" s="175">
        <f>H35/DAY(B2)</f>
        <v>-8.6363636364694685E-2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'10'!F36</f>
        <v>169496.8</v>
      </c>
      <c r="F36" s="145">
        <v>170215.9</v>
      </c>
      <c r="G36" s="112">
        <f t="shared" si="3"/>
        <v>719.10000000000582</v>
      </c>
      <c r="H36" s="99">
        <f>G36+'10'!H36</f>
        <v>9767.8999999999942</v>
      </c>
      <c r="I36" s="95"/>
      <c r="J36" s="175">
        <f>H36/DAY(B2)</f>
        <v>887.99090909090853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'10'!F37</f>
        <v>253484.13</v>
      </c>
      <c r="F37" s="145">
        <v>255223.25</v>
      </c>
      <c r="G37" s="112">
        <f t="shared" si="3"/>
        <v>1739.1199999999953</v>
      </c>
      <c r="H37" s="99">
        <f>G37+'10'!H37</f>
        <v>19444.25</v>
      </c>
      <c r="I37" s="95"/>
      <c r="J37" s="175">
        <f>H37/DAY(B2)</f>
        <v>1767.659090909091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'10'!F38</f>
        <v>340674</v>
      </c>
      <c r="F38" s="108">
        <v>343165.7</v>
      </c>
      <c r="G38" s="112">
        <f t="shared" si="3"/>
        <v>2491.7000000000116</v>
      </c>
      <c r="H38" s="99">
        <f>G38+'10'!H38</f>
        <v>24873.700000000012</v>
      </c>
      <c r="I38" s="95"/>
      <c r="J38" s="175">
        <f>H38/DAY(B2)</f>
        <v>2261.2454545454557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'10'!F39</f>
        <v>462299</v>
      </c>
      <c r="F39" s="145">
        <v>465400.95</v>
      </c>
      <c r="G39" s="112">
        <f t="shared" si="3"/>
        <v>3101.9500000000116</v>
      </c>
      <c r="H39" s="99">
        <f>G39+'10'!H39</f>
        <v>30071.040000000037</v>
      </c>
      <c r="I39" s="95"/>
      <c r="J39" s="175">
        <f>H39/DAY(B2)</f>
        <v>2733.7309090909125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'10'!F40</f>
        <v>75854</v>
      </c>
      <c r="F40" s="145">
        <v>76051.3</v>
      </c>
      <c r="G40" s="112">
        <f t="shared" si="3"/>
        <v>197.30000000000291</v>
      </c>
      <c r="H40" s="99">
        <f>G40+'10'!H40</f>
        <v>2498.3000000000029</v>
      </c>
      <c r="I40" s="95"/>
      <c r="J40" s="175">
        <f>H40/DAY(B2)</f>
        <v>227.11818181818208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'10'!F41</f>
        <v>76191.53</v>
      </c>
      <c r="F41" s="145">
        <v>81484.86</v>
      </c>
      <c r="G41" s="112">
        <f t="shared" si="3"/>
        <v>5293.3300000000017</v>
      </c>
      <c r="H41" s="99">
        <f>G41+'10'!H41</f>
        <v>12649.86</v>
      </c>
      <c r="I41" s="95"/>
      <c r="J41" s="175">
        <f>H41/DAY(B2)</f>
        <v>1149.9872727272727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'10'!F42</f>
        <v>609864.9</v>
      </c>
      <c r="F42" s="145">
        <v>614186.82999999996</v>
      </c>
      <c r="G42" s="112">
        <f t="shared" si="3"/>
        <v>4321.9299999999348</v>
      </c>
      <c r="H42" s="99">
        <f>G42+'10'!H42</f>
        <v>51314.829999999958</v>
      </c>
      <c r="I42" s="95"/>
      <c r="J42" s="175">
        <f>H42/DAY(B2)</f>
        <v>4664.9845454545421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'10'!F43</f>
        <v>407028</v>
      </c>
      <c r="F43" s="423">
        <v>407028</v>
      </c>
      <c r="G43" s="112">
        <f t="shared" si="3"/>
        <v>0</v>
      </c>
      <c r="H43" s="99">
        <f>G43+'10'!H43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17864.429999999964</v>
      </c>
      <c r="H47" s="99">
        <f>G47+'10'!H47</f>
        <v>150618.93</v>
      </c>
      <c r="I47" s="95"/>
      <c r="J47" s="175">
        <f>H47/DAY(B2)</f>
        <v>13692.63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'10'!F49</f>
        <v>295445.90000000002</v>
      </c>
      <c r="F49" s="145">
        <v>299195.01</v>
      </c>
      <c r="G49" s="112">
        <f t="shared" ref="G49:G58" si="4">F49-E49</f>
        <v>3749.109999999986</v>
      </c>
      <c r="H49" s="99">
        <f>G49+'10'!H49</f>
        <v>39048.010000000009</v>
      </c>
      <c r="I49" s="95"/>
      <c r="J49" s="175">
        <f>H49/DAY(B2)</f>
        <v>3549.8190909090918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'10'!F50</f>
        <v>221354.11</v>
      </c>
      <c r="F50" s="145">
        <v>222349.89</v>
      </c>
      <c r="G50" s="112">
        <f t="shared" si="4"/>
        <v>995.78000000002794</v>
      </c>
      <c r="H50" s="99">
        <f>G50+'10'!H50</f>
        <v>12785.890000000014</v>
      </c>
      <c r="I50" s="95"/>
      <c r="J50" s="175">
        <f>H50/DAY(B2)</f>
        <v>1162.3536363636376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'10'!F51</f>
        <v>76</v>
      </c>
      <c r="F51" s="145">
        <v>76</v>
      </c>
      <c r="G51" s="112">
        <f t="shared" si="4"/>
        <v>0</v>
      </c>
      <c r="H51" s="99">
        <f>G51+'10'!H51</f>
        <v>0.31999999999999318</v>
      </c>
      <c r="I51" s="95"/>
      <c r="J51" s="175">
        <f>H51/DAY(B2)</f>
        <v>2.909090909090847E-2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'10'!F52</f>
        <v>10</v>
      </c>
      <c r="F52" s="145">
        <v>10</v>
      </c>
      <c r="G52" s="112">
        <f t="shared" si="4"/>
        <v>0</v>
      </c>
      <c r="H52" s="99">
        <f>G52+'10'!H52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'10'!F54</f>
        <v>69169.3</v>
      </c>
      <c r="F54" s="145">
        <v>69622.53</v>
      </c>
      <c r="G54" s="112">
        <f t="shared" si="4"/>
        <v>453.22999999999593</v>
      </c>
      <c r="H54" s="99">
        <f>G54+'10'!H54</f>
        <v>5066.5299999999988</v>
      </c>
      <c r="I54" s="95"/>
      <c r="J54" s="175">
        <f>H54/DAY(B2)</f>
        <v>460.59363636363628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'10'!F55</f>
        <v>253923.91</v>
      </c>
      <c r="F55" s="145">
        <v>254287.5</v>
      </c>
      <c r="G55" s="112">
        <f t="shared" si="4"/>
        <v>363.58999999999651</v>
      </c>
      <c r="H55" s="99">
        <f>G55+'10'!H55</f>
        <v>28814.5</v>
      </c>
      <c r="I55" s="95"/>
      <c r="J55" s="175">
        <f>H55/DAY(B2)</f>
        <v>2619.5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'10'!F56</f>
        <v>107245.66</v>
      </c>
      <c r="F56" s="423">
        <v>107245.66</v>
      </c>
      <c r="G56" s="112">
        <f t="shared" si="4"/>
        <v>0</v>
      </c>
      <c r="H56" s="99">
        <f>G56+'10'!H56</f>
        <v>-0.33999999999650754</v>
      </c>
      <c r="I56" s="95"/>
      <c r="J56" s="175">
        <f>H56/DAY(B2)</f>
        <v>-3.0909090908773414E-2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'10'!F57</f>
        <v>68638.899999999994</v>
      </c>
      <c r="F57" s="145">
        <v>71886.100000000006</v>
      </c>
      <c r="G57" s="112">
        <f t="shared" si="4"/>
        <v>3247.2000000000116</v>
      </c>
      <c r="H57" s="99">
        <f>G57+'10'!H57</f>
        <v>34283.100000000006</v>
      </c>
      <c r="I57" s="95"/>
      <c r="J57" s="175">
        <f>H57/DAY(B2)</f>
        <v>3116.6454545454549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'10'!F58</f>
        <v>35108</v>
      </c>
      <c r="F58" s="145">
        <v>35350.400000000001</v>
      </c>
      <c r="G58" s="112">
        <f t="shared" si="4"/>
        <v>242.40000000000146</v>
      </c>
      <c r="H58" s="99">
        <f>G58+'10'!H58</f>
        <v>2461.4000000000015</v>
      </c>
      <c r="I58" s="95"/>
      <c r="J58" s="175">
        <f>H58/DAY(B2)</f>
        <v>223.76363636363649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9051.3100000000195</v>
      </c>
      <c r="H59" s="99">
        <f>G59+'10'!H59</f>
        <v>122459.41000000003</v>
      </c>
      <c r="I59" s="95">
        <f>G7-G60</f>
        <v>902.56000000006316</v>
      </c>
      <c r="J59" s="175">
        <f>H59/DAY(B2)</f>
        <v>11132.673636363639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26915.739999999983</v>
      </c>
      <c r="H60" s="99">
        <f>G60+'10'!H60</f>
        <v>273078.34000000003</v>
      </c>
      <c r="I60" s="95">
        <f>G13-G60</f>
        <v>127.16000000003987</v>
      </c>
      <c r="J60" s="175">
        <f>H60/DAY(B2)</f>
        <v>24825.303636363638</v>
      </c>
      <c r="K60" s="79"/>
      <c r="L60" s="66"/>
      <c r="N60" s="87"/>
      <c r="O60" s="71"/>
    </row>
    <row r="61" spans="1:15" s="68" customFormat="1" ht="30.75" customHeight="1">
      <c r="A61" s="892" t="s">
        <v>332</v>
      </c>
      <c r="B61" s="893"/>
      <c r="C61" s="89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873" t="s">
        <v>198</v>
      </c>
      <c r="B62" s="874"/>
      <c r="C62" s="875"/>
      <c r="D62" s="151" t="s">
        <v>142</v>
      </c>
      <c r="E62" s="95">
        <f>'10'!F62</f>
        <v>290468</v>
      </c>
      <c r="F62" s="122">
        <v>290610</v>
      </c>
      <c r="G62" s="112">
        <f t="shared" ref="G62:G63" si="5">F62-E62</f>
        <v>142</v>
      </c>
      <c r="H62" s="99">
        <f>G62+'10'!H62</f>
        <v>1710</v>
      </c>
      <c r="I62" s="118"/>
      <c r="J62" s="175">
        <f>H62/DAY(B2)</f>
        <v>155.45454545454547</v>
      </c>
      <c r="K62" s="80"/>
      <c r="L62" s="66"/>
      <c r="N62" s="87"/>
      <c r="O62" s="71"/>
    </row>
    <row r="63" spans="1:15" ht="30.75" customHeight="1">
      <c r="A63" s="873" t="s">
        <v>199</v>
      </c>
      <c r="B63" s="874"/>
      <c r="C63" s="875"/>
      <c r="D63" s="151" t="s">
        <v>142</v>
      </c>
      <c r="E63" s="95">
        <f>'10'!F63</f>
        <v>232472</v>
      </c>
      <c r="F63" s="150">
        <v>232593</v>
      </c>
      <c r="G63" s="112">
        <f t="shared" si="5"/>
        <v>121</v>
      </c>
      <c r="H63" s="99">
        <f>G63+'10'!H63</f>
        <v>1431</v>
      </c>
      <c r="I63" s="118"/>
      <c r="J63" s="175">
        <f>H63/DAY(B2)</f>
        <v>130.09090909090909</v>
      </c>
      <c r="K63" s="69"/>
      <c r="L63" s="66"/>
      <c r="N63" s="87"/>
      <c r="O63" s="71"/>
    </row>
    <row r="64" spans="1:15" ht="30.75" customHeight="1">
      <c r="A64" s="870" t="s">
        <v>200</v>
      </c>
      <c r="B64" s="871"/>
      <c r="C64" s="872"/>
      <c r="D64" s="151"/>
      <c r="E64" s="95">
        <f>'10'!F64</f>
        <v>0</v>
      </c>
      <c r="F64" s="122"/>
      <c r="G64" s="112">
        <f>G62+G63</f>
        <v>263</v>
      </c>
      <c r="H64" s="99">
        <f>G64+'10'!H64</f>
        <v>3141</v>
      </c>
      <c r="I64" s="118"/>
      <c r="J64" s="175">
        <f>H64/DAY(B2)</f>
        <v>285.54545454545456</v>
      </c>
      <c r="K64" s="69"/>
      <c r="L64" s="66"/>
      <c r="N64" s="87"/>
      <c r="O64" s="71"/>
    </row>
    <row r="65" spans="1:15" ht="30.75" customHeight="1">
      <c r="A65" s="873" t="s">
        <v>201</v>
      </c>
      <c r="B65" s="874"/>
      <c r="C65" s="875"/>
      <c r="D65" s="151" t="s">
        <v>142</v>
      </c>
      <c r="E65" s="95">
        <f>'10'!F65</f>
        <v>449209</v>
      </c>
      <c r="F65" s="122">
        <v>449338</v>
      </c>
      <c r="G65" s="112">
        <f t="shared" ref="G65:G70" si="6">F65-E65</f>
        <v>129</v>
      </c>
      <c r="H65" s="99">
        <f>G65+'10'!H65</f>
        <v>1311</v>
      </c>
      <c r="I65" s="118"/>
      <c r="J65" s="175">
        <f>H65/DAY(B2)</f>
        <v>119.18181818181819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'10'!F66</f>
        <v>110599</v>
      </c>
      <c r="F66" s="122">
        <v>110632</v>
      </c>
      <c r="G66" s="112">
        <f t="shared" si="6"/>
        <v>33</v>
      </c>
      <c r="H66" s="99">
        <f>G66+'10'!H66</f>
        <v>301</v>
      </c>
      <c r="I66" s="118"/>
      <c r="J66" s="175">
        <f>H66/DAY(B2)</f>
        <v>27.363636363636363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'10'!F67</f>
        <v>113680</v>
      </c>
      <c r="F67" s="404">
        <v>113680</v>
      </c>
      <c r="G67" s="112">
        <f t="shared" si="6"/>
        <v>0</v>
      </c>
      <c r="H67" s="99">
        <f>G67+'10'!H67</f>
        <v>402</v>
      </c>
      <c r="I67" s="118"/>
      <c r="J67" s="175">
        <f>H67/DAY(B2)</f>
        <v>36.545454545454547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'10'!F68</f>
        <v>162749</v>
      </c>
      <c r="F68" s="122">
        <v>162785</v>
      </c>
      <c r="G68" s="112">
        <f t="shared" si="6"/>
        <v>36</v>
      </c>
      <c r="H68" s="99">
        <f>G68+'10'!H68</f>
        <v>291</v>
      </c>
      <c r="I68" s="118"/>
      <c r="J68" s="175">
        <f>H68/DAY(B2)</f>
        <v>26.454545454545453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'10'!F69</f>
        <v>11990</v>
      </c>
      <c r="F69" s="122">
        <v>11998</v>
      </c>
      <c r="G69" s="112">
        <f t="shared" si="6"/>
        <v>8</v>
      </c>
      <c r="H69" s="99">
        <f>G69+'10'!H69</f>
        <v>129</v>
      </c>
      <c r="I69" s="118"/>
      <c r="J69" s="175">
        <f>H69/DAY(B2)</f>
        <v>11.727272727272727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'10'!F70</f>
        <v>9360</v>
      </c>
      <c r="F70" s="122">
        <v>9368</v>
      </c>
      <c r="G70" s="112">
        <f t="shared" si="6"/>
        <v>8</v>
      </c>
      <c r="H70" s="99">
        <f>G70+'10'!H70</f>
        <v>101</v>
      </c>
      <c r="I70" s="118"/>
      <c r="J70" s="175">
        <f>H70/DAY(B2)</f>
        <v>9.1818181818181817</v>
      </c>
      <c r="K70" s="69"/>
      <c r="L70" s="66"/>
      <c r="N70" s="87"/>
      <c r="O70" s="71"/>
    </row>
    <row r="71" spans="1:15" ht="30.75" customHeight="1">
      <c r="A71" s="870" t="s">
        <v>208</v>
      </c>
      <c r="B71" s="871"/>
      <c r="C71" s="872"/>
      <c r="D71" s="152"/>
      <c r="E71" s="152"/>
      <c r="F71" s="152"/>
      <c r="G71" s="153">
        <f>SUM(G65:G70)</f>
        <v>214</v>
      </c>
      <c r="H71" s="99">
        <f>G71+'10'!H71</f>
        <v>2535</v>
      </c>
      <c r="I71" s="154"/>
      <c r="J71" s="175">
        <f>H71/DAY(B2)</f>
        <v>230.45454545454547</v>
      </c>
      <c r="K71" s="69"/>
      <c r="L71" s="66"/>
      <c r="N71" s="87"/>
      <c r="O71" s="71"/>
    </row>
    <row r="72" spans="1:15" s="88" customFormat="1" ht="30.75" customHeight="1">
      <c r="A72" s="916"/>
      <c r="B72" s="90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73" t="s">
        <v>220</v>
      </c>
      <c r="B74" s="874"/>
      <c r="C74" s="875"/>
      <c r="D74" s="151" t="s">
        <v>139</v>
      </c>
      <c r="E74" s="95">
        <f>'10'!F74</f>
        <v>941789.17299999995</v>
      </c>
      <c r="F74" s="117">
        <v>942067.68</v>
      </c>
      <c r="G74" s="112">
        <f>F74-E74</f>
        <v>278.50700000009965</v>
      </c>
      <c r="H74" s="99">
        <f>G74+'10'!H74</f>
        <v>3397.6800000000512</v>
      </c>
      <c r="I74" s="154"/>
      <c r="J74" s="175">
        <f>H74/DAY(B2)</f>
        <v>308.88000000000466</v>
      </c>
      <c r="K74" s="69"/>
      <c r="L74" s="66"/>
      <c r="N74" s="87"/>
      <c r="O74" s="71"/>
    </row>
    <row r="75" spans="1:15" ht="30.75" customHeight="1">
      <c r="A75" s="873" t="s">
        <v>221</v>
      </c>
      <c r="B75" s="874"/>
      <c r="C75" s="875"/>
      <c r="D75" s="151" t="s">
        <v>139</v>
      </c>
      <c r="E75" s="95">
        <f>'10'!F75</f>
        <v>73586.8</v>
      </c>
      <c r="F75" s="123">
        <v>73586.8</v>
      </c>
      <c r="G75" s="112">
        <f t="shared" ref="G75:G78" si="7">F75-E75</f>
        <v>0</v>
      </c>
      <c r="H75" s="99">
        <f>G75+'10'!H75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917" t="s">
        <v>222</v>
      </c>
      <c r="B76" s="903"/>
      <c r="C76" s="904"/>
      <c r="D76" s="151" t="s">
        <v>139</v>
      </c>
      <c r="E76" s="95">
        <f>'10'!F76</f>
        <v>184854</v>
      </c>
      <c r="F76" s="123">
        <v>184959</v>
      </c>
      <c r="G76" s="112">
        <f t="shared" si="7"/>
        <v>105</v>
      </c>
      <c r="H76" s="99">
        <f>G76+'10'!H76</f>
        <v>1253</v>
      </c>
      <c r="I76" s="154"/>
      <c r="J76" s="175">
        <f>H76/DAY(B2)</f>
        <v>113.90909090909091</v>
      </c>
      <c r="K76" s="69"/>
      <c r="L76" s="66"/>
      <c r="N76" s="87"/>
      <c r="O76" s="71"/>
    </row>
    <row r="77" spans="1:15" ht="30.75" customHeight="1">
      <c r="A77" s="917" t="s">
        <v>223</v>
      </c>
      <c r="B77" s="903"/>
      <c r="C77" s="904"/>
      <c r="D77" s="151" t="s">
        <v>139</v>
      </c>
      <c r="E77" s="95">
        <f>'10'!F77</f>
        <v>47831</v>
      </c>
      <c r="F77" s="123">
        <v>47881</v>
      </c>
      <c r="G77" s="112">
        <f t="shared" si="7"/>
        <v>50</v>
      </c>
      <c r="H77" s="99">
        <f>G77+'10'!H77</f>
        <v>536</v>
      </c>
      <c r="I77" s="154"/>
      <c r="J77" s="175">
        <f>H77/DAY(B2)</f>
        <v>48.727272727272727</v>
      </c>
      <c r="K77" s="69"/>
      <c r="L77" s="66"/>
      <c r="N77" s="87"/>
      <c r="O77" s="71"/>
    </row>
    <row r="78" spans="1:15" ht="30.75" customHeight="1">
      <c r="A78" s="917" t="s">
        <v>224</v>
      </c>
      <c r="B78" s="903"/>
      <c r="C78" s="904"/>
      <c r="D78" s="151" t="s">
        <v>139</v>
      </c>
      <c r="E78" s="95">
        <f>'10'!F78</f>
        <v>9563</v>
      </c>
      <c r="F78" s="123">
        <v>9563.4</v>
      </c>
      <c r="G78" s="112">
        <f t="shared" si="7"/>
        <v>0.3999999999996362</v>
      </c>
      <c r="H78" s="99">
        <f>G78+'10'!H78</f>
        <v>0.3999999999996362</v>
      </c>
      <c r="I78" s="118"/>
      <c r="J78" s="175">
        <f>H78/DAY(B2)</f>
        <v>3.6363636363603291E-2</v>
      </c>
      <c r="K78" s="69"/>
      <c r="L78" s="66"/>
      <c r="N78" s="87"/>
      <c r="O78" s="71"/>
    </row>
    <row r="79" spans="1:15" s="57" customFormat="1" ht="30.75" customHeight="1">
      <c r="A79" s="917" t="s">
        <v>225</v>
      </c>
      <c r="B79" s="903"/>
      <c r="C79" s="904"/>
      <c r="D79" s="151"/>
      <c r="E79" s="95">
        <f>'10'!F79</f>
        <v>0</v>
      </c>
      <c r="F79" s="117"/>
      <c r="G79" s="112">
        <f>G15-SUM(G74:G78)</f>
        <v>619.59299999990071</v>
      </c>
      <c r="H79" s="99">
        <f>G79+'10'!H79</f>
        <v>6543.9199999999491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70" t="s">
        <v>329</v>
      </c>
      <c r="B80" s="871"/>
      <c r="C80" s="872"/>
      <c r="D80" s="151"/>
      <c r="E80" s="117"/>
      <c r="F80" s="117"/>
      <c r="G80" s="112">
        <f>SUM(G74:G79)</f>
        <v>1053.5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09" t="s">
        <v>226</v>
      </c>
      <c r="B81" s="910"/>
      <c r="C81" s="911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573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573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'10'!F84</f>
        <v>41998</v>
      </c>
      <c r="F84" s="164">
        <v>42022.16</v>
      </c>
      <c r="G84" s="112">
        <f t="shared" si="8"/>
        <v>24.160000000003492</v>
      </c>
      <c r="H84" s="99">
        <f>G84+'10'!H84</f>
        <v>53.160000000003492</v>
      </c>
      <c r="I84" s="573"/>
      <c r="J84" s="175">
        <f>H84/DAY(B2)</f>
        <v>4.8327272727275901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'10'!F85</f>
        <v>4549.21</v>
      </c>
      <c r="F85" s="164">
        <v>4568.3</v>
      </c>
      <c r="G85" s="112">
        <f t="shared" si="8"/>
        <v>19.090000000000146</v>
      </c>
      <c r="H85" s="99">
        <f>G85+'10'!H85</f>
        <v>225.30000000000018</v>
      </c>
      <c r="I85" s="573"/>
      <c r="J85" s="175">
        <f>H85/DAY(B2)</f>
        <v>20.481818181818198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'10'!F86</f>
        <v>44658</v>
      </c>
      <c r="F86" s="164">
        <v>44658</v>
      </c>
      <c r="G86" s="112">
        <f t="shared" si="8"/>
        <v>0</v>
      </c>
      <c r="H86" s="99">
        <f>G86+'10'!H86</f>
        <v>188</v>
      </c>
      <c r="I86" s="573"/>
      <c r="J86" s="175">
        <f>H86/DAY(B2)</f>
        <v>17.09090909090909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'10'!F87</f>
        <v>35329.06</v>
      </c>
      <c r="F87" s="164">
        <v>35329.06</v>
      </c>
      <c r="G87" s="112">
        <f t="shared" si="8"/>
        <v>0</v>
      </c>
      <c r="H87" s="99">
        <f>G87+'10'!H87</f>
        <v>5.9999999997671694E-2</v>
      </c>
      <c r="I87" s="573">
        <f>G84+G85+G86+G87</f>
        <v>43.250000000003638</v>
      </c>
      <c r="J87" s="175">
        <f>H87/DAY(B2)</f>
        <v>5.4545454543337901E-3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'10'!F88</f>
        <v>24276.95</v>
      </c>
      <c r="F88" s="164">
        <v>24276.95</v>
      </c>
      <c r="G88" s="112">
        <f t="shared" si="8"/>
        <v>0</v>
      </c>
      <c r="H88" s="99">
        <f>G88+'10'!H88</f>
        <v>49.069999999999709</v>
      </c>
      <c r="I88" s="573"/>
      <c r="J88" s="175">
        <f>H88/DAY(B2)</f>
        <v>4.4609090909090643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'10'!F89</f>
        <v>27096.400000000001</v>
      </c>
      <c r="F89" s="164">
        <v>27106.89</v>
      </c>
      <c r="G89" s="112">
        <f t="shared" si="8"/>
        <v>10.489999999997963</v>
      </c>
      <c r="H89" s="99">
        <f>G89+'10'!H89</f>
        <v>113.47999999999956</v>
      </c>
      <c r="I89" s="573">
        <f>G88+G89</f>
        <v>10.489999999997963</v>
      </c>
      <c r="J89" s="175">
        <f>H89/DAY(B2)</f>
        <v>10.316363636363597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'10'!F90</f>
        <v>72127.12</v>
      </c>
      <c r="F90" s="164">
        <v>72133.899999999994</v>
      </c>
      <c r="G90" s="112">
        <f t="shared" si="8"/>
        <v>6.7799999999988358</v>
      </c>
      <c r="H90" s="99">
        <f>G90+'10'!H90</f>
        <v>6.7799999999988358</v>
      </c>
      <c r="I90" s="573">
        <f>G90</f>
        <v>6.7799999999988358</v>
      </c>
      <c r="J90" s="175">
        <f>H90/DAY(B2)</f>
        <v>0.61636363636353053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'10'!F91</f>
        <v>4121.6499999999996</v>
      </c>
      <c r="F91" s="122">
        <v>4121.6499999999996</v>
      </c>
      <c r="G91" s="112">
        <f t="shared" si="8"/>
        <v>0</v>
      </c>
      <c r="H91" s="99">
        <f>G91+'10'!H91</f>
        <v>0</v>
      </c>
      <c r="I91" s="592"/>
      <c r="J91" s="175">
        <f>H91/DAY(B2)</f>
        <v>0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'10'!F92</f>
        <v>6326.29</v>
      </c>
      <c r="F92" s="122">
        <v>6336.15</v>
      </c>
      <c r="G92" s="112">
        <f t="shared" si="8"/>
        <v>9.8599999999996726</v>
      </c>
      <c r="H92" s="99">
        <f>G92+'10'!H92</f>
        <v>118.89999999999964</v>
      </c>
      <c r="I92" s="598">
        <f>G91+G92</f>
        <v>9.8599999999996726</v>
      </c>
      <c r="J92" s="175">
        <f>H92/DAY(B2)</f>
        <v>10.809090909090877</v>
      </c>
      <c r="O92" s="71"/>
    </row>
    <row r="93" spans="1:15" ht="30.75" customHeight="1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73" t="s">
        <v>240</v>
      </c>
      <c r="B94" s="874"/>
      <c r="C94" s="875"/>
      <c r="D94" s="151" t="s">
        <v>130</v>
      </c>
      <c r="E94" s="151"/>
      <c r="F94" s="151"/>
      <c r="G94" s="99">
        <f>G35+G43+G49+G57</f>
        <v>6996.3099999999977</v>
      </c>
      <c r="H94" s="99">
        <f>G94+'10'!H94</f>
        <v>73330.16</v>
      </c>
      <c r="I94" s="118"/>
      <c r="J94" s="175">
        <f>H94/DAY(B2)</f>
        <v>6666.3781818181824</v>
      </c>
      <c r="K94" s="69"/>
      <c r="L94" s="66"/>
      <c r="O94" s="71"/>
    </row>
    <row r="95" spans="1:15" ht="30.75" customHeight="1">
      <c r="A95" s="873" t="s">
        <v>241</v>
      </c>
      <c r="B95" s="874"/>
      <c r="C95" s="875"/>
      <c r="D95" s="151" t="s">
        <v>23</v>
      </c>
      <c r="E95" s="146"/>
      <c r="F95" s="146"/>
      <c r="G95" s="166">
        <f>G94/G7</f>
        <v>0.25150027140407522</v>
      </c>
      <c r="H95" s="99">
        <f>G95+'10'!H95</f>
        <v>2.6460808811479124</v>
      </c>
      <c r="I95" s="167"/>
      <c r="J95" s="175">
        <f>H95/DAY(B2)</f>
        <v>0.24055280737708296</v>
      </c>
      <c r="K95" s="69"/>
      <c r="L95" s="66"/>
      <c r="O95" s="71"/>
    </row>
    <row r="96" spans="1:15" ht="30.75" customHeight="1">
      <c r="A96" s="873" t="s">
        <v>242</v>
      </c>
      <c r="B96" s="874"/>
      <c r="C96" s="875"/>
      <c r="D96" s="151" t="s">
        <v>130</v>
      </c>
      <c r="E96" s="95"/>
      <c r="F96" s="95"/>
      <c r="G96" s="99">
        <f>G41+G42+G55+G56</f>
        <v>9978.8499999999331</v>
      </c>
      <c r="H96" s="99">
        <f>G96+'10'!H96</f>
        <v>92778.849999999962</v>
      </c>
      <c r="I96" s="118"/>
      <c r="J96" s="175">
        <f>H96/DAY(B2)</f>
        <v>8434.4409090909048</v>
      </c>
      <c r="K96" s="69"/>
      <c r="L96" s="66"/>
      <c r="O96" s="71"/>
    </row>
    <row r="97" spans="1:15" ht="30.75" customHeight="1">
      <c r="A97" s="873" t="s">
        <v>243</v>
      </c>
      <c r="B97" s="874"/>
      <c r="C97" s="875"/>
      <c r="D97" s="151" t="s">
        <v>23</v>
      </c>
      <c r="E97" s="95"/>
      <c r="F97" s="95"/>
      <c r="G97" s="166">
        <f>G96/G7</f>
        <v>0.35871530611144165</v>
      </c>
      <c r="H97" s="99">
        <f>G97+'10'!H97</f>
        <v>3.3075538000538058</v>
      </c>
      <c r="I97" s="167"/>
      <c r="J97" s="175">
        <f>H97/DAY(B2)</f>
        <v>0.30068670909580053</v>
      </c>
      <c r="K97" s="69"/>
      <c r="L97" s="66"/>
      <c r="O97" s="71"/>
    </row>
    <row r="98" spans="1:15" ht="30.75" customHeight="1">
      <c r="A98" s="873" t="s">
        <v>244</v>
      </c>
      <c r="B98" s="874"/>
      <c r="C98" s="875"/>
      <c r="D98" s="151" t="s">
        <v>130</v>
      </c>
      <c r="E98" s="95"/>
      <c r="F98" s="95"/>
      <c r="G98" s="99">
        <f>G39+G53</f>
        <v>3101.9500000000116</v>
      </c>
      <c r="H98" s="99">
        <f>G98+'10'!H98</f>
        <v>30071.040000000037</v>
      </c>
      <c r="I98" s="168"/>
      <c r="J98" s="175">
        <f>H98/DAY(B2)</f>
        <v>2733.7309090909125</v>
      </c>
      <c r="K98" s="69"/>
      <c r="L98" s="66"/>
      <c r="O98" s="71"/>
    </row>
    <row r="99" spans="1:15" ht="30.75" customHeight="1">
      <c r="A99" s="873" t="s">
        <v>245</v>
      </c>
      <c r="B99" s="874"/>
      <c r="C99" s="875"/>
      <c r="D99" s="151" t="s">
        <v>23</v>
      </c>
      <c r="E99" s="95"/>
      <c r="F99" s="95"/>
      <c r="G99" s="166">
        <f>G98/G7</f>
        <v>0.11150753281113535</v>
      </c>
      <c r="H99" s="99">
        <f>G99+'10'!H99</f>
        <v>1.0818576677520961</v>
      </c>
      <c r="I99" s="168"/>
      <c r="J99" s="175">
        <f>H99/DAY(B2)</f>
        <v>9.8350697068372378E-2</v>
      </c>
      <c r="O99" s="71"/>
    </row>
    <row r="100" spans="1:15" ht="30.75" customHeight="1">
      <c r="A100" s="873" t="s">
        <v>246</v>
      </c>
      <c r="B100" s="874"/>
      <c r="C100" s="875"/>
      <c r="D100" s="151" t="s">
        <v>180</v>
      </c>
      <c r="E100" s="95"/>
      <c r="F100" s="95"/>
      <c r="G100" s="99">
        <f>G38+G52</f>
        <v>2491.7000000000116</v>
      </c>
      <c r="H100" s="99">
        <f>G100+'10'!H100</f>
        <v>24873.700000000012</v>
      </c>
      <c r="I100" s="118"/>
      <c r="J100" s="175">
        <f>H100/DAY(B2)</f>
        <v>2261.2454545454557</v>
      </c>
      <c r="K100" s="70"/>
      <c r="O100" s="71"/>
    </row>
    <row r="101" spans="1:15" ht="30.75" customHeight="1">
      <c r="A101" s="873" t="s">
        <v>247</v>
      </c>
      <c r="B101" s="874"/>
      <c r="C101" s="875"/>
      <c r="D101" s="151" t="s">
        <v>23</v>
      </c>
      <c r="E101" s="95"/>
      <c r="F101" s="95"/>
      <c r="G101" s="166">
        <f>G100/G7</f>
        <v>8.9570534504265442E-2</v>
      </c>
      <c r="H101" s="99">
        <f>G101+'10'!H101</f>
        <v>0.89396734077721463</v>
      </c>
      <c r="I101" s="168"/>
      <c r="J101" s="175">
        <f>H101/DAY(B2)</f>
        <v>8.1269758252474053E-2</v>
      </c>
      <c r="O101" s="71"/>
    </row>
    <row r="102" spans="1:15" ht="30.75" customHeight="1">
      <c r="A102" s="873" t="s">
        <v>248</v>
      </c>
      <c r="B102" s="874"/>
      <c r="C102" s="875"/>
      <c r="D102" s="151" t="s">
        <v>180</v>
      </c>
      <c r="E102" s="95"/>
      <c r="F102" s="95"/>
      <c r="G102" s="99">
        <f>G36+G50</f>
        <v>1714.8800000000338</v>
      </c>
      <c r="H102" s="99">
        <f>G102+'10'!H102</f>
        <v>22553.790000000008</v>
      </c>
      <c r="I102" s="168"/>
      <c r="J102" s="175">
        <f>H102/DAY(B2)</f>
        <v>2050.3445454545463</v>
      </c>
      <c r="O102" s="71"/>
    </row>
    <row r="103" spans="1:15" ht="30.75" customHeight="1">
      <c r="A103" s="873" t="s">
        <v>249</v>
      </c>
      <c r="B103" s="874"/>
      <c r="C103" s="875"/>
      <c r="D103" s="151" t="s">
        <v>23</v>
      </c>
      <c r="E103" s="95"/>
      <c r="F103" s="95"/>
      <c r="G103" s="166">
        <f>G102/G7</f>
        <v>6.1645751178182377E-2</v>
      </c>
      <c r="H103" s="99">
        <f>G103+'10'!H103</f>
        <v>0.80478425963063394</v>
      </c>
      <c r="I103" s="118"/>
      <c r="J103" s="175">
        <f>H103/DAY(B2)</f>
        <v>7.3162205420966728E-2</v>
      </c>
      <c r="O103" s="71"/>
    </row>
    <row r="104" spans="1:15" ht="30.75" customHeight="1">
      <c r="A104" s="873" t="s">
        <v>250</v>
      </c>
      <c r="B104" s="874"/>
      <c r="C104" s="875"/>
      <c r="D104" s="151" t="s">
        <v>180</v>
      </c>
      <c r="E104" s="95"/>
      <c r="F104" s="95"/>
      <c r="G104" s="99">
        <f>G37+G51</f>
        <v>1739.1199999999953</v>
      </c>
      <c r="H104" s="99">
        <f>G104+'10'!H104</f>
        <v>19444.57</v>
      </c>
      <c r="I104" s="118"/>
      <c r="J104" s="175">
        <f>H104/DAY(B2)</f>
        <v>1767.6881818181819</v>
      </c>
      <c r="O104" s="71"/>
    </row>
    <row r="105" spans="1:15" ht="30.75" customHeight="1" thickBot="1">
      <c r="A105" s="913" t="s">
        <v>251</v>
      </c>
      <c r="B105" s="914"/>
      <c r="C105" s="915"/>
      <c r="D105" s="231" t="s">
        <v>23</v>
      </c>
      <c r="E105" s="185"/>
      <c r="F105" s="185"/>
      <c r="G105" s="186">
        <f>G104/G7</f>
        <v>6.2517120025306808E-2</v>
      </c>
      <c r="H105" s="99">
        <f>G105+'10'!H105</f>
        <v>0.69543362049752733</v>
      </c>
      <c r="I105" s="187"/>
      <c r="J105" s="188">
        <f>H105/DAY(B2)</f>
        <v>6.3221238227047935E-2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27" t="s">
        <v>324</v>
      </c>
      <c r="B108" s="927"/>
      <c r="C108" s="927"/>
      <c r="D108" s="927"/>
      <c r="E108" s="927"/>
      <c r="F108" s="927"/>
      <c r="G108" s="927"/>
      <c r="H108" s="927"/>
      <c r="I108" s="927"/>
      <c r="J108" s="927"/>
    </row>
    <row r="109" spans="1:15" ht="30.75" customHeight="1">
      <c r="A109" s="912"/>
      <c r="B109" s="912"/>
    </row>
    <row r="110" spans="1:15" ht="30.75" customHeight="1">
      <c r="A110" s="928" t="s">
        <v>165</v>
      </c>
      <c r="B110" s="929"/>
      <c r="C110" s="929"/>
      <c r="D110" s="929"/>
      <c r="E110" s="929"/>
      <c r="F110" s="929"/>
      <c r="G110" s="929"/>
      <c r="H110" s="929"/>
      <c r="I110" s="929"/>
      <c r="J110" s="930"/>
    </row>
    <row r="111" spans="1:15" ht="30.75" customHeight="1">
      <c r="A111" s="931"/>
      <c r="B111" s="932"/>
      <c r="C111" s="933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906" t="s">
        <v>252</v>
      </c>
      <c r="B112" s="907"/>
      <c r="C112" s="908"/>
      <c r="D112" s="146" t="s">
        <v>183</v>
      </c>
      <c r="E112" s="95">
        <f>'10'!F112</f>
        <v>3446.2</v>
      </c>
      <c r="F112" s="237">
        <v>3516</v>
      </c>
      <c r="G112" s="112">
        <f t="shared" ref="G112:G123" si="9">F112-E112</f>
        <v>69.800000000000182</v>
      </c>
      <c r="H112" s="99">
        <f>G112+'10'!H112</f>
        <v>839</v>
      </c>
      <c r="I112" s="165"/>
      <c r="J112" s="328">
        <f>H112/DAY(B2)</f>
        <v>76.272727272727266</v>
      </c>
    </row>
    <row r="113" spans="1:18" ht="30.75" customHeight="1">
      <c r="A113" s="906" t="s">
        <v>253</v>
      </c>
      <c r="B113" s="907"/>
      <c r="C113" s="908"/>
      <c r="D113" s="146" t="s">
        <v>183</v>
      </c>
      <c r="E113" s="95">
        <f>'10'!F113</f>
        <v>7798.3</v>
      </c>
      <c r="F113" s="237">
        <v>7939.2</v>
      </c>
      <c r="G113" s="112">
        <f t="shared" si="9"/>
        <v>140.89999999999964</v>
      </c>
      <c r="H113" s="99">
        <f>G113+'10'!H113</f>
        <v>1548.1999999999998</v>
      </c>
      <c r="I113" s="165"/>
      <c r="J113" s="328">
        <f>H113/DAY(B2)</f>
        <v>140.74545454545452</v>
      </c>
    </row>
    <row r="114" spans="1:18" ht="30.75" customHeight="1">
      <c r="A114" s="906" t="s">
        <v>254</v>
      </c>
      <c r="B114" s="907"/>
      <c r="C114" s="908"/>
      <c r="D114" s="146" t="s">
        <v>183</v>
      </c>
      <c r="E114" s="95">
        <f>'10'!F114</f>
        <v>9775.1</v>
      </c>
      <c r="F114" s="237">
        <v>9984.56</v>
      </c>
      <c r="G114" s="112">
        <f t="shared" si="9"/>
        <v>209.45999999999913</v>
      </c>
      <c r="H114" s="99">
        <f>G114+'10'!H114</f>
        <v>2414.5599999999995</v>
      </c>
      <c r="I114" s="165"/>
      <c r="J114" s="328">
        <f>H114/DAY(B2)</f>
        <v>219.50545454545451</v>
      </c>
    </row>
    <row r="115" spans="1:18" ht="30.75" customHeight="1">
      <c r="A115" s="906" t="s">
        <v>255</v>
      </c>
      <c r="B115" s="907"/>
      <c r="C115" s="908"/>
      <c r="D115" s="146" t="s">
        <v>183</v>
      </c>
      <c r="E115" s="95">
        <f>'10'!F115</f>
        <v>6319.2</v>
      </c>
      <c r="F115" s="237">
        <v>6436.2</v>
      </c>
      <c r="G115" s="112">
        <f t="shared" si="9"/>
        <v>117</v>
      </c>
      <c r="H115" s="99">
        <f>G115+'10'!H115</f>
        <v>305.72000000000003</v>
      </c>
      <c r="I115" s="165"/>
      <c r="J115" s="328">
        <f>H115/DAY(B2)</f>
        <v>27.792727272727276</v>
      </c>
    </row>
    <row r="116" spans="1:18" ht="30.75" customHeight="1">
      <c r="A116" s="924" t="s">
        <v>96</v>
      </c>
      <c r="B116" s="925"/>
      <c r="C116" s="926"/>
      <c r="D116" s="146" t="s">
        <v>183</v>
      </c>
      <c r="E116" s="95">
        <f>'10'!F116</f>
        <v>50650.2</v>
      </c>
      <c r="F116" s="237">
        <v>51126</v>
      </c>
      <c r="G116" s="112">
        <f t="shared" si="9"/>
        <v>475.80000000000291</v>
      </c>
      <c r="H116" s="99">
        <f>G116+'10'!H116</f>
        <v>4371</v>
      </c>
      <c r="I116" s="165"/>
      <c r="J116" s="328">
        <f>H116/DAY(B2)</f>
        <v>397.36363636363637</v>
      </c>
      <c r="Q116" s="906" t="s">
        <v>311</v>
      </c>
      <c r="R116" s="908"/>
    </row>
    <row r="117" spans="1:18" ht="30.75" customHeight="1">
      <c r="A117" s="924" t="s">
        <v>184</v>
      </c>
      <c r="B117" s="925"/>
      <c r="C117" s="926"/>
      <c r="D117" s="146" t="s">
        <v>183</v>
      </c>
      <c r="E117" s="95">
        <f>'10'!F117</f>
        <v>27507.4</v>
      </c>
      <c r="F117" s="237">
        <v>27724.2</v>
      </c>
      <c r="G117" s="112">
        <f t="shared" si="9"/>
        <v>216.79999999999927</v>
      </c>
      <c r="H117" s="99">
        <f>G117+'10'!H117</f>
        <v>2456.2000000000007</v>
      </c>
      <c r="I117" s="165"/>
      <c r="J117" s="328">
        <f>H117/DAY(B2)</f>
        <v>223.29090909090917</v>
      </c>
      <c r="Q117" s="906" t="s">
        <v>312</v>
      </c>
      <c r="R117" s="908"/>
    </row>
    <row r="118" spans="1:18" ht="30.75" customHeight="1">
      <c r="A118" s="901" t="s">
        <v>97</v>
      </c>
      <c r="B118" s="901"/>
      <c r="C118" s="901"/>
      <c r="D118" s="151" t="s">
        <v>183</v>
      </c>
      <c r="E118" s="95">
        <f>'10'!F118</f>
        <v>31909.9</v>
      </c>
      <c r="F118" s="417">
        <v>32538.14</v>
      </c>
      <c r="G118" s="112">
        <f t="shared" si="9"/>
        <v>628.23999999999796</v>
      </c>
      <c r="H118" s="99">
        <f>G118+'10'!H118</f>
        <v>6313.1399999999994</v>
      </c>
      <c r="I118" s="165"/>
      <c r="J118" s="328">
        <f>H118/DAY(B2)</f>
        <v>573.92181818181814</v>
      </c>
      <c r="Q118" s="906" t="s">
        <v>311</v>
      </c>
      <c r="R118" s="908"/>
    </row>
    <row r="119" spans="1:18" ht="30.75" customHeight="1">
      <c r="A119" s="901" t="s">
        <v>98</v>
      </c>
      <c r="B119" s="901"/>
      <c r="C119" s="901"/>
      <c r="D119" s="151" t="s">
        <v>183</v>
      </c>
      <c r="E119" s="95">
        <f>'10'!F119</f>
        <v>23215.5</v>
      </c>
      <c r="F119" s="237">
        <v>23664.9</v>
      </c>
      <c r="G119" s="112">
        <f t="shared" si="9"/>
        <v>449.40000000000146</v>
      </c>
      <c r="H119" s="99">
        <f>G119+'10'!H119</f>
        <v>4717.9000000000015</v>
      </c>
      <c r="I119" s="165"/>
      <c r="J119" s="328">
        <f>H119/DAY(B2)</f>
        <v>428.90000000000015</v>
      </c>
    </row>
    <row r="120" spans="1:18" ht="30.75" customHeight="1">
      <c r="A120" s="901" t="s">
        <v>99</v>
      </c>
      <c r="B120" s="901"/>
      <c r="C120" s="901"/>
      <c r="D120" s="151" t="s">
        <v>183</v>
      </c>
      <c r="E120" s="95">
        <f>'10'!F120</f>
        <v>24466</v>
      </c>
      <c r="F120" s="237">
        <v>24877.599999999999</v>
      </c>
      <c r="G120" s="112">
        <f t="shared" si="9"/>
        <v>411.59999999999854</v>
      </c>
      <c r="H120" s="99">
        <f>G120+'10'!H120</f>
        <v>4827.5999999999985</v>
      </c>
      <c r="I120" s="165"/>
      <c r="J120" s="328">
        <f>H120/DAY(B2)</f>
        <v>438.87272727272716</v>
      </c>
    </row>
    <row r="121" spans="1:18" ht="30.75" customHeight="1">
      <c r="A121" s="901" t="s">
        <v>100</v>
      </c>
      <c r="B121" s="901"/>
      <c r="C121" s="901"/>
      <c r="D121" s="151" t="s">
        <v>183</v>
      </c>
      <c r="E121" s="95">
        <f>'10'!F121</f>
        <v>30529</v>
      </c>
      <c r="F121" s="237">
        <v>30977.4</v>
      </c>
      <c r="G121" s="112">
        <f t="shared" si="9"/>
        <v>448.40000000000146</v>
      </c>
      <c r="H121" s="99">
        <f>G121+'10'!H121</f>
        <v>5133.4000000000015</v>
      </c>
      <c r="I121" s="165"/>
      <c r="J121" s="328">
        <f>H121/DAY(B2)</f>
        <v>466.6727272727274</v>
      </c>
    </row>
    <row r="122" spans="1:18" ht="30.75" customHeight="1">
      <c r="A122" s="901" t="s">
        <v>101</v>
      </c>
      <c r="B122" s="901"/>
      <c r="C122" s="901"/>
      <c r="D122" s="151" t="s">
        <v>183</v>
      </c>
      <c r="E122" s="95">
        <f>'10'!F122</f>
        <v>14197.7</v>
      </c>
      <c r="F122" s="237">
        <v>14515</v>
      </c>
      <c r="G122" s="112">
        <f t="shared" si="9"/>
        <v>317.29999999999927</v>
      </c>
      <c r="H122" s="99">
        <f>G122+'10'!H122</f>
        <v>3355</v>
      </c>
      <c r="I122" s="165"/>
      <c r="J122" s="328">
        <f>H122/DAY(B2)</f>
        <v>305</v>
      </c>
    </row>
    <row r="123" spans="1:18" ht="30.75" customHeight="1">
      <c r="A123" s="901" t="s">
        <v>102</v>
      </c>
      <c r="B123" s="901"/>
      <c r="C123" s="901"/>
      <c r="D123" s="151" t="s">
        <v>183</v>
      </c>
      <c r="E123" s="95">
        <f>'10'!F123</f>
        <v>14062.8</v>
      </c>
      <c r="F123" s="237">
        <v>14370</v>
      </c>
      <c r="G123" s="112">
        <f t="shared" si="9"/>
        <v>307.20000000000073</v>
      </c>
      <c r="H123" s="99">
        <f>G123+'10'!H123</f>
        <v>3861</v>
      </c>
      <c r="I123" s="165"/>
      <c r="J123" s="328">
        <f>H123/DAY(B2)</f>
        <v>351</v>
      </c>
    </row>
    <row r="124" spans="1:18" ht="30.75" customHeight="1">
      <c r="A124" s="931"/>
      <c r="B124" s="932"/>
      <c r="C124" s="933"/>
      <c r="D124" s="165"/>
      <c r="E124" s="165"/>
      <c r="F124" s="165"/>
      <c r="G124" s="327"/>
      <c r="H124" s="156"/>
      <c r="I124" s="165"/>
      <c r="J124" s="327"/>
    </row>
    <row r="125" spans="1:18" ht="30.75" customHeight="1">
      <c r="A125" s="934" t="s">
        <v>196</v>
      </c>
      <c r="B125" s="935"/>
      <c r="C125" s="245"/>
      <c r="D125" s="307"/>
      <c r="E125" s="308"/>
      <c r="F125" s="308"/>
      <c r="G125" s="309">
        <f>SUM(G112:G124)</f>
        <v>3791.9000000000005</v>
      </c>
      <c r="H125" s="156"/>
      <c r="I125" s="327">
        <f>G125-(G39+G53)</f>
        <v>689.9499999999889</v>
      </c>
      <c r="J125" s="327"/>
    </row>
    <row r="126" spans="1:18" ht="30.75" customHeight="1">
      <c r="A126" s="936" t="s">
        <v>317</v>
      </c>
      <c r="B126" s="936"/>
      <c r="C126" s="936"/>
      <c r="D126" s="936"/>
      <c r="E126" s="936"/>
      <c r="F126" s="936"/>
      <c r="G126" s="936"/>
      <c r="H126" s="936"/>
      <c r="I126" s="936"/>
      <c r="J126" s="936"/>
    </row>
    <row r="127" spans="1:18" ht="30.75" customHeight="1">
      <c r="A127" s="937"/>
      <c r="B127" s="937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>
      <c r="A128" s="906" t="s">
        <v>318</v>
      </c>
      <c r="B128" s="907"/>
      <c r="C128" s="908"/>
      <c r="D128" s="151" t="s">
        <v>183</v>
      </c>
      <c r="E128" s="95">
        <f>'10'!F128</f>
        <v>100847</v>
      </c>
      <c r="F128" s="157">
        <v>101404.14</v>
      </c>
      <c r="G128" s="112">
        <f t="shared" ref="G128:G134" si="10">F128-E128</f>
        <v>557.13999999999942</v>
      </c>
      <c r="H128" s="99">
        <f>G128+'10'!H128</f>
        <v>5689.1399999999994</v>
      </c>
      <c r="I128" s="165"/>
      <c r="J128" s="328">
        <f>H128/DAY(B2)</f>
        <v>517.19454545454539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'10'!F129</f>
        <v>62861.9</v>
      </c>
      <c r="F129" s="157">
        <v>62912.800000000003</v>
      </c>
      <c r="G129" s="112">
        <f t="shared" si="10"/>
        <v>50.900000000001455</v>
      </c>
      <c r="H129" s="99">
        <f>G129+'10'!H129</f>
        <v>2619.8000000000029</v>
      </c>
      <c r="I129" s="165"/>
      <c r="J129" s="328">
        <f>H129/DAY(B2)</f>
        <v>238.16363636363664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'10'!F130</f>
        <v>126618</v>
      </c>
      <c r="F130" s="157">
        <v>127385.8</v>
      </c>
      <c r="G130" s="112">
        <f t="shared" si="10"/>
        <v>767.80000000000291</v>
      </c>
      <c r="H130" s="99">
        <f>G130+'10'!H130</f>
        <v>6256.8000000000029</v>
      </c>
      <c r="I130" s="165"/>
      <c r="J130" s="328">
        <f>H130/DAY(B2)</f>
        <v>568.8000000000003</v>
      </c>
      <c r="N130" s="240"/>
      <c r="O130" s="241"/>
    </row>
    <row r="131" spans="1:15" ht="30.75" customHeight="1">
      <c r="A131" s="906" t="s">
        <v>321</v>
      </c>
      <c r="B131" s="907"/>
      <c r="C131" s="908"/>
      <c r="D131" s="151" t="s">
        <v>183</v>
      </c>
      <c r="E131" s="95">
        <f>'10'!F131</f>
        <v>38343.71</v>
      </c>
      <c r="F131" s="157">
        <v>38530.410000000003</v>
      </c>
      <c r="G131" s="112">
        <f t="shared" si="10"/>
        <v>186.70000000000437</v>
      </c>
      <c r="H131" s="99">
        <f>G131+'10'!H131</f>
        <v>2251.4100000000035</v>
      </c>
      <c r="I131" s="165"/>
      <c r="J131" s="328">
        <f>H131/DAY(B2)</f>
        <v>204.67363636363669</v>
      </c>
      <c r="N131" s="240"/>
      <c r="O131" s="241"/>
    </row>
    <row r="132" spans="1:15" ht="30.75" customHeight="1">
      <c r="A132" s="906" t="s">
        <v>322</v>
      </c>
      <c r="B132" s="907"/>
      <c r="C132" s="908"/>
      <c r="D132" s="151" t="s">
        <v>183</v>
      </c>
      <c r="E132" s="95">
        <f>'10'!F132</f>
        <v>107548.27</v>
      </c>
      <c r="F132" s="157">
        <v>107959</v>
      </c>
      <c r="G132" s="112">
        <f t="shared" si="10"/>
        <v>410.72999999999593</v>
      </c>
      <c r="H132" s="99">
        <f>G132+'10'!H132</f>
        <v>4447</v>
      </c>
      <c r="I132" s="165"/>
      <c r="J132" s="328">
        <f>H132/DAY(B2)</f>
        <v>404.27272727272725</v>
      </c>
    </row>
    <row r="133" spans="1:15" ht="30.75" customHeight="1">
      <c r="A133" s="906" t="s">
        <v>359</v>
      </c>
      <c r="B133" s="907"/>
      <c r="C133" s="908"/>
      <c r="D133" s="151" t="s">
        <v>183</v>
      </c>
      <c r="E133" s="95">
        <f>'10'!F133</f>
        <v>209786.75</v>
      </c>
      <c r="F133" s="157">
        <v>210653</v>
      </c>
      <c r="G133" s="112">
        <f t="shared" si="10"/>
        <v>866.25</v>
      </c>
      <c r="H133" s="99">
        <f>G133+'10'!H133</f>
        <v>9421</v>
      </c>
      <c r="I133" s="165"/>
      <c r="J133" s="328">
        <f>H133/DAY(B2)</f>
        <v>856.4545454545455</v>
      </c>
    </row>
    <row r="134" spans="1:15" ht="30.75" customHeight="1">
      <c r="A134" s="906" t="s">
        <v>340</v>
      </c>
      <c r="B134" s="907"/>
      <c r="C134" s="908"/>
      <c r="D134" s="151" t="s">
        <v>183</v>
      </c>
      <c r="E134" s="95">
        <f>'10'!F134</f>
        <v>37267.199999999997</v>
      </c>
      <c r="F134" s="157">
        <v>37513.4</v>
      </c>
      <c r="G134" s="112">
        <f t="shared" si="10"/>
        <v>246.20000000000437</v>
      </c>
      <c r="H134" s="99">
        <f>G134+'10'!H134</f>
        <v>2618.4000000000015</v>
      </c>
      <c r="I134" s="165"/>
      <c r="J134" s="328">
        <f>H134/DAY(B2)</f>
        <v>238.03636363636377</v>
      </c>
    </row>
    <row r="135" spans="1:15" ht="30.75" customHeight="1">
      <c r="A135" s="934" t="s">
        <v>196</v>
      </c>
      <c r="B135" s="935"/>
      <c r="C135" s="331"/>
      <c r="D135" s="151"/>
      <c r="E135" s="95"/>
      <c r="F135" s="165"/>
      <c r="G135" s="112">
        <f>SUM(G128:G134)</f>
        <v>3085.7200000000084</v>
      </c>
      <c r="H135" s="99">
        <f>G135+'10'!H135</f>
        <v>33303.55000000001</v>
      </c>
      <c r="I135" s="327">
        <f>G135-(G35+G49)</f>
        <v>-663.38999999997759</v>
      </c>
      <c r="J135" s="328">
        <f>H135/DAY(B2)</f>
        <v>3027.5954545454556</v>
      </c>
    </row>
    <row r="136" spans="1:15" ht="30.75" customHeight="1">
      <c r="A136" s="938" t="s">
        <v>325</v>
      </c>
      <c r="B136" s="938"/>
      <c r="C136" s="938"/>
      <c r="D136" s="938"/>
      <c r="E136" s="938"/>
      <c r="F136" s="938"/>
      <c r="G136" s="938"/>
      <c r="H136" s="938"/>
      <c r="I136" s="938"/>
      <c r="J136" s="938"/>
    </row>
    <row r="137" spans="1:15" ht="30.75" customHeight="1">
      <c r="A137" s="245"/>
      <c r="B137" s="246"/>
      <c r="C137" s="246"/>
      <c r="D137" s="165"/>
      <c r="E137" s="165"/>
      <c r="F137" s="165" t="s">
        <v>356</v>
      </c>
      <c r="G137" s="165"/>
      <c r="H137" s="156"/>
      <c r="I137" s="165"/>
      <c r="J137" s="327"/>
    </row>
    <row r="138" spans="1:15" ht="30.75" customHeight="1">
      <c r="A138" s="901" t="s">
        <v>185</v>
      </c>
      <c r="B138" s="901"/>
      <c r="C138" s="901"/>
      <c r="D138" s="151" t="s">
        <v>183</v>
      </c>
      <c r="E138" s="95">
        <f>'10'!F138</f>
        <v>884489</v>
      </c>
      <c r="F138" s="148">
        <v>884639</v>
      </c>
      <c r="G138" s="112">
        <f t="shared" ref="G138:G152" si="11">F138-E138</f>
        <v>150</v>
      </c>
      <c r="H138" s="99">
        <f>G138+'10'!H138</f>
        <v>1361.2999999999993</v>
      </c>
      <c r="I138" s="118"/>
      <c r="J138" s="328">
        <f>H138/DAY(B2)</f>
        <v>123.75454545454539</v>
      </c>
    </row>
    <row r="139" spans="1:15" ht="30.75" customHeight="1">
      <c r="A139" s="901" t="s">
        <v>186</v>
      </c>
      <c r="B139" s="901"/>
      <c r="C139" s="901"/>
      <c r="D139" s="151" t="s">
        <v>183</v>
      </c>
      <c r="E139" s="95">
        <f>'10'!F139</f>
        <v>901017</v>
      </c>
      <c r="F139" s="148">
        <v>901169</v>
      </c>
      <c r="G139" s="112">
        <f t="shared" si="11"/>
        <v>152</v>
      </c>
      <c r="H139" s="99">
        <f>G139+'10'!H139</f>
        <v>1714</v>
      </c>
      <c r="I139" s="118"/>
      <c r="J139" s="328">
        <f>H139/DAY(B2)</f>
        <v>155.81818181818181</v>
      </c>
    </row>
    <row r="140" spans="1:15" ht="30.75" customHeight="1">
      <c r="A140" s="901" t="s">
        <v>187</v>
      </c>
      <c r="B140" s="901"/>
      <c r="C140" s="901"/>
      <c r="D140" s="151" t="s">
        <v>183</v>
      </c>
      <c r="E140" s="95">
        <f>'10'!F140</f>
        <v>89133.1</v>
      </c>
      <c r="F140" s="148">
        <v>89136.1</v>
      </c>
      <c r="G140" s="112">
        <f t="shared" si="11"/>
        <v>3</v>
      </c>
      <c r="H140" s="99">
        <f>G140+'10'!H140</f>
        <v>123.24000000000001</v>
      </c>
      <c r="I140" s="118"/>
      <c r="J140" s="328">
        <f>H140/DAY(B2)</f>
        <v>11.203636363636365</v>
      </c>
    </row>
    <row r="141" spans="1:15" ht="30.75" customHeight="1">
      <c r="A141" s="905" t="s">
        <v>188</v>
      </c>
      <c r="B141" s="905"/>
      <c r="C141" s="905"/>
      <c r="D141" s="151" t="s">
        <v>183</v>
      </c>
      <c r="E141" s="95">
        <f>'10'!F141</f>
        <v>79993.899999999994</v>
      </c>
      <c r="F141" s="149">
        <v>80202.95</v>
      </c>
      <c r="G141" s="112">
        <f t="shared" si="11"/>
        <v>209.05000000000291</v>
      </c>
      <c r="H141" s="99">
        <f>G141+'10'!H141</f>
        <v>2250.9499999999971</v>
      </c>
      <c r="I141" s="118"/>
      <c r="J141" s="328">
        <f>H141/DAY(B2)</f>
        <v>204.63181818181792</v>
      </c>
    </row>
    <row r="142" spans="1:15" ht="30.75" customHeight="1">
      <c r="A142" s="905" t="s">
        <v>189</v>
      </c>
      <c r="B142" s="905"/>
      <c r="C142" s="905"/>
      <c r="D142" s="151" t="s">
        <v>183</v>
      </c>
      <c r="E142" s="95">
        <f>'10'!F142</f>
        <v>32087.9</v>
      </c>
      <c r="F142" s="148">
        <v>32230.2</v>
      </c>
      <c r="G142" s="112">
        <f t="shared" si="11"/>
        <v>142.29999999999927</v>
      </c>
      <c r="H142" s="99">
        <f>G142+'10'!H142</f>
        <v>1704.2000000000007</v>
      </c>
      <c r="I142" s="140"/>
      <c r="J142" s="328">
        <f>H142/DAY(B2)</f>
        <v>154.92727272727279</v>
      </c>
    </row>
    <row r="143" spans="1:15" ht="30.75" customHeight="1">
      <c r="A143" s="901" t="s">
        <v>91</v>
      </c>
      <c r="B143" s="901"/>
      <c r="C143" s="901"/>
      <c r="D143" s="151" t="s">
        <v>183</v>
      </c>
      <c r="E143" s="95">
        <f>'10'!F143</f>
        <v>7584.4</v>
      </c>
      <c r="F143" s="149">
        <v>7613.96</v>
      </c>
      <c r="G143" s="112">
        <f t="shared" si="11"/>
        <v>29.5600000000004</v>
      </c>
      <c r="H143" s="99">
        <f>G143+'10'!H143</f>
        <v>307.96000000000004</v>
      </c>
      <c r="I143" s="140"/>
      <c r="J143" s="328">
        <f>H143/DAY(B2)</f>
        <v>27.99636363636364</v>
      </c>
    </row>
    <row r="144" spans="1:15" ht="30.75" customHeight="1">
      <c r="A144" s="905" t="s">
        <v>90</v>
      </c>
      <c r="B144" s="905"/>
      <c r="C144" s="905"/>
      <c r="D144" s="151" t="s">
        <v>183</v>
      </c>
      <c r="E144" s="95">
        <f>'10'!F144</f>
        <v>907482</v>
      </c>
      <c r="F144" s="149">
        <v>907723</v>
      </c>
      <c r="G144" s="112">
        <f t="shared" si="11"/>
        <v>241</v>
      </c>
      <c r="H144" s="99">
        <f>G144+'10'!H144</f>
        <v>2670</v>
      </c>
      <c r="I144" s="140"/>
      <c r="J144" s="328">
        <f>H144/DAY(B2)</f>
        <v>242.72727272727272</v>
      </c>
    </row>
    <row r="145" spans="1:10" ht="30.75" customHeight="1">
      <c r="A145" s="901" t="s">
        <v>190</v>
      </c>
      <c r="B145" s="901"/>
      <c r="C145" s="901"/>
      <c r="D145" s="152" t="s">
        <v>183</v>
      </c>
      <c r="E145" s="95">
        <f>'10'!F145</f>
        <v>5664.5</v>
      </c>
      <c r="F145" s="149">
        <v>5664.72</v>
      </c>
      <c r="G145" s="112">
        <f t="shared" si="11"/>
        <v>0.22000000000025466</v>
      </c>
      <c r="H145" s="99">
        <f>G145+'10'!H145</f>
        <v>0.72000000000025466</v>
      </c>
      <c r="I145" s="140"/>
      <c r="J145" s="328">
        <f>H145/DAY(B2)</f>
        <v>6.5454545454568608E-2</v>
      </c>
    </row>
    <row r="146" spans="1:10" ht="30.75" customHeight="1">
      <c r="A146" s="902" t="s">
        <v>191</v>
      </c>
      <c r="B146" s="903"/>
      <c r="C146" s="904"/>
      <c r="D146" s="152" t="s">
        <v>183</v>
      </c>
      <c r="E146" s="95">
        <f>'10'!F146</f>
        <v>778344</v>
      </c>
      <c r="F146" s="148">
        <v>778415</v>
      </c>
      <c r="G146" s="112">
        <f t="shared" si="11"/>
        <v>71</v>
      </c>
      <c r="H146" s="99">
        <f>G146+'10'!H146</f>
        <v>547</v>
      </c>
      <c r="I146" s="140"/>
      <c r="J146" s="328">
        <f>H146/DAY(B2)</f>
        <v>49.727272727272727</v>
      </c>
    </row>
    <row r="147" spans="1:10" ht="30.75" customHeight="1">
      <c r="A147" s="905" t="s">
        <v>192</v>
      </c>
      <c r="B147" s="905"/>
      <c r="C147" s="905"/>
      <c r="D147" s="152" t="s">
        <v>183</v>
      </c>
      <c r="E147" s="95">
        <f>'10'!F147</f>
        <v>679637.44</v>
      </c>
      <c r="F147" s="148">
        <v>680055.4</v>
      </c>
      <c r="G147" s="112">
        <f t="shared" si="11"/>
        <v>417.96000000007916</v>
      </c>
      <c r="H147" s="99">
        <f>G147+'10'!H147</f>
        <v>4207.4000000000233</v>
      </c>
      <c r="I147" s="140"/>
      <c r="J147" s="328">
        <f>H147/DAY(B2)</f>
        <v>382.4909090909112</v>
      </c>
    </row>
    <row r="148" spans="1:10" ht="30.75" customHeight="1">
      <c r="A148" s="897" t="s">
        <v>193</v>
      </c>
      <c r="B148" s="898"/>
      <c r="C148" s="899"/>
      <c r="D148" s="123" t="s">
        <v>130</v>
      </c>
      <c r="E148" s="95">
        <f>'10'!F148</f>
        <v>732611.28</v>
      </c>
      <c r="F148" s="150">
        <v>732876.80000000005</v>
      </c>
      <c r="G148" s="112">
        <f t="shared" si="11"/>
        <v>265.52000000001863</v>
      </c>
      <c r="H148" s="99">
        <f>G148+'10'!H148</f>
        <v>3131.8000000000466</v>
      </c>
      <c r="I148" s="124"/>
      <c r="J148" s="328">
        <f>H148/DAY(B2)</f>
        <v>284.70909090909515</v>
      </c>
    </row>
    <row r="149" spans="1:10" ht="30.75" customHeight="1">
      <c r="A149" s="897" t="s">
        <v>336</v>
      </c>
      <c r="B149" s="898"/>
      <c r="C149" s="899"/>
      <c r="D149" s="227" t="s">
        <v>130</v>
      </c>
      <c r="E149" s="95">
        <f>'10'!F149</f>
        <v>106517</v>
      </c>
      <c r="F149" s="146">
        <v>107150.98</v>
      </c>
      <c r="G149" s="112">
        <f t="shared" si="11"/>
        <v>633.97999999999593</v>
      </c>
      <c r="H149" s="99">
        <f>G149+'10'!H149</f>
        <v>6255.9799999999959</v>
      </c>
      <c r="I149" s="119"/>
      <c r="J149" s="328">
        <f>H149/DAY(B2)</f>
        <v>568.72545454545423</v>
      </c>
    </row>
    <row r="150" spans="1:10" ht="30.75" customHeight="1">
      <c r="A150" s="897" t="s">
        <v>337</v>
      </c>
      <c r="B150" s="898"/>
      <c r="C150" s="899"/>
      <c r="D150" s="117" t="s">
        <v>130</v>
      </c>
      <c r="E150" s="95">
        <f>'10'!F150</f>
        <v>39402</v>
      </c>
      <c r="F150" s="233">
        <v>39616.6</v>
      </c>
      <c r="G150" s="112">
        <f t="shared" si="11"/>
        <v>214.59999999999854</v>
      </c>
      <c r="H150" s="99">
        <f>G150+'10'!H150</f>
        <v>2400.5999999999985</v>
      </c>
      <c r="I150" s="119"/>
      <c r="J150" s="328">
        <f>H150/DAY(B2)</f>
        <v>218.23636363636351</v>
      </c>
    </row>
    <row r="151" spans="1:10" ht="30.75" customHeight="1">
      <c r="A151" s="897" t="s">
        <v>338</v>
      </c>
      <c r="B151" s="898"/>
      <c r="C151" s="899"/>
      <c r="D151" s="117" t="s">
        <v>130</v>
      </c>
      <c r="E151" s="95">
        <f>'10'!F151</f>
        <v>121063</v>
      </c>
      <c r="F151" s="233">
        <v>121362</v>
      </c>
      <c r="G151" s="112">
        <f t="shared" si="11"/>
        <v>299</v>
      </c>
      <c r="H151" s="99">
        <f>G151+'10'!H151</f>
        <v>3225</v>
      </c>
      <c r="I151" s="119"/>
      <c r="J151" s="328">
        <f>H151/DAY(B2)</f>
        <v>293.18181818181819</v>
      </c>
    </row>
    <row r="152" spans="1:10" ht="30.75" customHeight="1">
      <c r="A152" s="897" t="s">
        <v>339</v>
      </c>
      <c r="B152" s="898"/>
      <c r="C152" s="899"/>
      <c r="D152" s="117" t="s">
        <v>130</v>
      </c>
      <c r="E152" s="95">
        <f>'10'!F152</f>
        <v>16729.2</v>
      </c>
      <c r="F152" s="233">
        <v>16855.45</v>
      </c>
      <c r="G152" s="112">
        <f t="shared" si="11"/>
        <v>126.25</v>
      </c>
      <c r="H152" s="99">
        <f>G152+'10'!H152</f>
        <v>5699.4500000000007</v>
      </c>
      <c r="I152" s="119"/>
      <c r="J152" s="328">
        <f>H152/DAY(B2)</f>
        <v>518.13181818181829</v>
      </c>
    </row>
    <row r="153" spans="1:10" ht="30.75" customHeight="1">
      <c r="A153" s="934" t="s">
        <v>196</v>
      </c>
      <c r="B153" s="935"/>
      <c r="C153" s="365"/>
      <c r="D153" s="358"/>
      <c r="E153" s="360"/>
      <c r="F153" s="361"/>
      <c r="G153" s="362">
        <f>SUM(G138:G152)</f>
        <v>2955.4400000000951</v>
      </c>
      <c r="H153" s="363"/>
      <c r="I153" s="119">
        <f>G153-(G38+G52)</f>
        <v>463.74000000008346</v>
      </c>
      <c r="J153" s="366"/>
    </row>
    <row r="154" spans="1:10" ht="30.75" customHeight="1">
      <c r="A154" s="938" t="s">
        <v>344</v>
      </c>
      <c r="B154" s="938"/>
      <c r="C154" s="938"/>
      <c r="D154" s="938"/>
      <c r="E154" s="938"/>
      <c r="F154" s="938"/>
      <c r="G154" s="938"/>
      <c r="H154" s="938"/>
      <c r="I154" s="938"/>
      <c r="J154" s="938"/>
    </row>
    <row r="155" spans="1:10" ht="30.75" customHeight="1">
      <c r="A155" s="905" t="s">
        <v>345</v>
      </c>
      <c r="B155" s="905"/>
      <c r="C155" s="905"/>
      <c r="D155" s="117" t="s">
        <v>130</v>
      </c>
      <c r="E155" s="95">
        <f>'10'!F155</f>
        <v>118148</v>
      </c>
      <c r="F155" s="157">
        <v>118756.42</v>
      </c>
      <c r="G155" s="112">
        <f t="shared" ref="G155:G159" si="12">F155-E155</f>
        <v>608.41999999999825</v>
      </c>
      <c r="H155" s="99">
        <f>G155+'10'!H155</f>
        <v>6781.4199999999983</v>
      </c>
      <c r="I155" s="364"/>
      <c r="J155" s="328">
        <f>H155/DAY(B2)</f>
        <v>616.49272727272717</v>
      </c>
    </row>
    <row r="156" spans="1:10" ht="30.75" customHeight="1">
      <c r="A156" s="905" t="s">
        <v>347</v>
      </c>
      <c r="B156" s="905"/>
      <c r="C156" s="905"/>
      <c r="D156" s="117" t="s">
        <v>130</v>
      </c>
      <c r="E156" s="95">
        <f>'10'!F156</f>
        <v>10433</v>
      </c>
      <c r="F156" s="155">
        <v>10515.8</v>
      </c>
      <c r="G156" s="112">
        <f t="shared" si="12"/>
        <v>82.799999999999272</v>
      </c>
      <c r="H156" s="99">
        <f>G156+'10'!H156</f>
        <v>830.79999999999927</v>
      </c>
      <c r="I156" s="165"/>
      <c r="J156" s="328">
        <f>H156/DAY(B2)</f>
        <v>75.52727272727266</v>
      </c>
    </row>
    <row r="157" spans="1:10" ht="30.75" customHeight="1">
      <c r="A157" s="897" t="s">
        <v>360</v>
      </c>
      <c r="B157" s="898"/>
      <c r="C157" s="899"/>
      <c r="D157" s="117" t="s">
        <v>130</v>
      </c>
      <c r="E157" s="95">
        <f>'10'!F157</f>
        <v>19946</v>
      </c>
      <c r="F157" s="155">
        <v>20103.45</v>
      </c>
      <c r="G157" s="112">
        <f t="shared" si="12"/>
        <v>157.45000000000073</v>
      </c>
      <c r="H157" s="99">
        <f>G157+'10'!H157</f>
        <v>1903.4500000000007</v>
      </c>
      <c r="I157" s="165"/>
      <c r="J157" s="328">
        <f>H157/DAY(B2)</f>
        <v>173.04090909090917</v>
      </c>
    </row>
    <row r="158" spans="1:10" ht="30.75" customHeight="1">
      <c r="A158" s="897" t="s">
        <v>361</v>
      </c>
      <c r="B158" s="898"/>
      <c r="C158" s="899"/>
      <c r="D158" s="117" t="s">
        <v>130</v>
      </c>
      <c r="E158" s="95">
        <f>'10'!F158</f>
        <v>182.3</v>
      </c>
      <c r="F158" s="155">
        <v>188.3</v>
      </c>
      <c r="G158" s="112">
        <f t="shared" si="12"/>
        <v>6</v>
      </c>
      <c r="H158" s="99">
        <f>G158+'10'!H158</f>
        <v>97.88000000000001</v>
      </c>
      <c r="I158" s="165"/>
      <c r="J158" s="328">
        <f>H158/DAY(B2)</f>
        <v>8.8981818181818184</v>
      </c>
    </row>
    <row r="159" spans="1:10" ht="30.75" customHeight="1">
      <c r="A159" s="956"/>
      <c r="B159" s="957"/>
      <c r="C159" s="958"/>
      <c r="D159" s="117"/>
      <c r="E159" s="95"/>
      <c r="F159" s="155"/>
      <c r="G159" s="112">
        <f t="shared" si="12"/>
        <v>0</v>
      </c>
      <c r="H159" s="99">
        <f>G159+'10'!H159</f>
        <v>0</v>
      </c>
      <c r="I159" s="165"/>
      <c r="J159" s="328">
        <f>H159/DAY(B2)</f>
        <v>0</v>
      </c>
    </row>
    <row r="160" spans="1:10" ht="30.75" customHeight="1">
      <c r="A160" s="938" t="s">
        <v>326</v>
      </c>
      <c r="B160" s="938"/>
      <c r="C160" s="938"/>
      <c r="D160" s="938"/>
      <c r="E160" s="938"/>
      <c r="F160" s="938"/>
      <c r="G160" s="938"/>
      <c r="H160" s="938"/>
      <c r="I160" s="938"/>
      <c r="J160" s="938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'10'!F161</f>
        <v>476438.52</v>
      </c>
      <c r="F161" s="235">
        <v>476583</v>
      </c>
      <c r="G161" s="238">
        <f>F161-E161</f>
        <v>144.47999999998137</v>
      </c>
      <c r="H161" s="99">
        <f>G161+'10'!H161</f>
        <v>1162</v>
      </c>
      <c r="I161" s="236"/>
      <c r="J161" s="239">
        <f>H161/DAY(B2)</f>
        <v>105.63636363636364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'10'!F162</f>
        <v>93080</v>
      </c>
      <c r="F162" s="235">
        <v>93102.9</v>
      </c>
      <c r="G162" s="238">
        <f t="shared" ref="G162:G165" si="13">F162-E162</f>
        <v>22.899999999994179</v>
      </c>
      <c r="H162" s="99">
        <f>G162+'10'!H162</f>
        <v>375.89999999999418</v>
      </c>
      <c r="I162" s="236"/>
      <c r="J162" s="239">
        <f>H162/DAY(B2)</f>
        <v>34.172727272726746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'10'!F163</f>
        <v>98714</v>
      </c>
      <c r="F163" s="235">
        <v>98894.8</v>
      </c>
      <c r="G163" s="238">
        <f t="shared" si="13"/>
        <v>180.80000000000291</v>
      </c>
      <c r="H163" s="99">
        <f>G163+'10'!H163</f>
        <v>1759.8000000000029</v>
      </c>
      <c r="I163" s="236"/>
      <c r="J163" s="239">
        <f>H163/DAY(B2)</f>
        <v>159.98181818181845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'10'!F164</f>
        <v>5660.3</v>
      </c>
      <c r="F164" s="235">
        <v>5669</v>
      </c>
      <c r="G164" s="238">
        <f t="shared" si="13"/>
        <v>8.6999999999998181</v>
      </c>
      <c r="H164" s="99">
        <f>G164+'10'!H164</f>
        <v>127</v>
      </c>
      <c r="I164" s="236"/>
      <c r="J164" s="239">
        <f>H164/DAY(B2)</f>
        <v>11.545454545454545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'10'!F165</f>
        <v>31129.4</v>
      </c>
      <c r="F165" s="235">
        <v>31138</v>
      </c>
      <c r="G165" s="238">
        <f t="shared" si="13"/>
        <v>8.5999999999985448</v>
      </c>
      <c r="H165" s="99">
        <f>G165+'10'!H165</f>
        <v>124</v>
      </c>
      <c r="I165" s="236"/>
      <c r="J165" s="239">
        <f>H165/DAY(B2)</f>
        <v>11.272727272727273</v>
      </c>
    </row>
    <row r="166" spans="1:10" ht="30.75" customHeight="1">
      <c r="A166" s="937"/>
      <c r="B166" s="937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>
      <c r="A167" s="937"/>
      <c r="B167" s="937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>
      <c r="A168" s="937"/>
      <c r="B168" s="937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>
      <c r="A171" s="947" t="s">
        <v>330</v>
      </c>
      <c r="B171" s="948"/>
      <c r="C171" s="948"/>
      <c r="D171" s="948"/>
      <c r="E171" s="948"/>
      <c r="F171" s="948"/>
      <c r="G171" s="948"/>
      <c r="H171" s="948"/>
      <c r="I171" s="948"/>
      <c r="J171" s="949"/>
    </row>
    <row r="172" spans="1:10" ht="30.75" customHeight="1">
      <c r="A172" s="943"/>
      <c r="B172" s="944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95" t="s">
        <v>209</v>
      </c>
      <c r="B173" s="896"/>
      <c r="C173" s="333"/>
      <c r="D173" s="228" t="s">
        <v>142</v>
      </c>
      <c r="E173" s="95">
        <f>'10'!F173</f>
        <v>8275</v>
      </c>
      <c r="F173" s="157">
        <v>8276</v>
      </c>
      <c r="G173" s="155">
        <f>F173-E173</f>
        <v>1</v>
      </c>
      <c r="H173" s="99">
        <f>G173+'10'!H173</f>
        <v>12</v>
      </c>
      <c r="I173" s="155"/>
      <c r="J173" s="178">
        <f>H173/DAY(B2)</f>
        <v>1.0909090909090908</v>
      </c>
    </row>
    <row r="174" spans="1:10" ht="30.75" customHeight="1">
      <c r="A174" s="895" t="s">
        <v>75</v>
      </c>
      <c r="B174" s="896"/>
      <c r="C174" s="333"/>
      <c r="D174" s="228" t="s">
        <v>142</v>
      </c>
      <c r="E174" s="95">
        <f>'10'!F174</f>
        <v>40475</v>
      </c>
      <c r="F174" s="157">
        <v>40491</v>
      </c>
      <c r="G174" s="155">
        <f t="shared" ref="G174:G175" si="14">F174-E174</f>
        <v>16</v>
      </c>
      <c r="H174" s="99">
        <f>G174+'10'!H174</f>
        <v>159</v>
      </c>
      <c r="I174" s="155"/>
      <c r="J174" s="178">
        <f>H174/DAY(B2)</f>
        <v>14.454545454545455</v>
      </c>
    </row>
    <row r="175" spans="1:10" ht="30.75" customHeight="1">
      <c r="A175" s="895" t="s">
        <v>76</v>
      </c>
      <c r="B175" s="900"/>
      <c r="C175" s="896"/>
      <c r="D175" s="228" t="s">
        <v>142</v>
      </c>
      <c r="E175" s="95">
        <f>'10'!F175</f>
        <v>23408</v>
      </c>
      <c r="F175" s="155">
        <v>23421</v>
      </c>
      <c r="G175" s="155">
        <f t="shared" si="14"/>
        <v>13</v>
      </c>
      <c r="H175" s="99">
        <f>G175+'10'!H175</f>
        <v>163</v>
      </c>
      <c r="I175" s="155"/>
      <c r="J175" s="178">
        <f>H175/DAY(B2)</f>
        <v>14.818181818181818</v>
      </c>
    </row>
    <row r="176" spans="1:10" ht="30.75" customHeight="1">
      <c r="A176" s="934" t="s">
        <v>196</v>
      </c>
      <c r="B176" s="935"/>
      <c r="C176" s="401"/>
      <c r="D176" s="228" t="s">
        <v>142</v>
      </c>
      <c r="E176" s="95"/>
      <c r="F176" s="155"/>
      <c r="G176" s="155">
        <f>SUM(G173:G175)</f>
        <v>30</v>
      </c>
      <c r="H176" s="99">
        <f>G176+'10'!H176</f>
        <v>334</v>
      </c>
      <c r="I176" s="155"/>
      <c r="J176" s="178">
        <f>H176/DAY(B2)</f>
        <v>30.363636363636363</v>
      </c>
    </row>
    <row r="177" spans="1:10" ht="30.75" customHeight="1">
      <c r="A177" s="895" t="s">
        <v>77</v>
      </c>
      <c r="B177" s="896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>
      <c r="A178" s="895" t="s">
        <v>210</v>
      </c>
      <c r="B178" s="896"/>
      <c r="C178" s="333"/>
      <c r="D178" s="228" t="s">
        <v>142</v>
      </c>
      <c r="E178" s="95">
        <f>'10'!F178</f>
        <v>92909</v>
      </c>
      <c r="F178" s="155">
        <v>93044</v>
      </c>
      <c r="G178" s="155">
        <f>F178-E178</f>
        <v>135</v>
      </c>
      <c r="H178" s="99">
        <f>G178+'10'!H178</f>
        <v>1222</v>
      </c>
      <c r="I178" s="155"/>
      <c r="J178" s="178">
        <f>H178/DAY(B2)</f>
        <v>111.09090909090909</v>
      </c>
    </row>
    <row r="179" spans="1:10" ht="30.75" customHeight="1">
      <c r="A179" s="895" t="s">
        <v>211</v>
      </c>
      <c r="B179" s="896"/>
      <c r="C179" s="333"/>
      <c r="D179" s="228" t="s">
        <v>142</v>
      </c>
      <c r="E179" s="95">
        <f>'10'!F179</f>
        <v>35985</v>
      </c>
      <c r="F179" s="155">
        <v>35986</v>
      </c>
      <c r="G179" s="155">
        <f t="shared" ref="G179:G180" si="15">F179-E179</f>
        <v>1</v>
      </c>
      <c r="H179" s="99">
        <f>G179+'10'!H179</f>
        <v>202</v>
      </c>
      <c r="I179" s="155"/>
      <c r="J179" s="178">
        <f>H179/DAY(B2)</f>
        <v>18.363636363636363</v>
      </c>
    </row>
    <row r="180" spans="1:10" ht="30.75" customHeight="1">
      <c r="A180" s="895" t="s">
        <v>212</v>
      </c>
      <c r="B180" s="896"/>
      <c r="C180" s="333"/>
      <c r="D180" s="228" t="s">
        <v>142</v>
      </c>
      <c r="E180" s="95">
        <f>'10'!F180</f>
        <v>6795</v>
      </c>
      <c r="F180" s="155">
        <v>6799</v>
      </c>
      <c r="G180" s="155">
        <f t="shared" si="15"/>
        <v>4</v>
      </c>
      <c r="H180" s="99">
        <f>G180+'10'!H180</f>
        <v>129</v>
      </c>
      <c r="I180" s="155"/>
      <c r="J180" s="178">
        <f>H180/DAY(B2)</f>
        <v>11.727272727272727</v>
      </c>
    </row>
    <row r="181" spans="1:10" ht="30.75" customHeight="1">
      <c r="A181" s="941" t="s">
        <v>108</v>
      </c>
      <c r="B181" s="942"/>
      <c r="C181" s="401"/>
      <c r="D181" s="228" t="s">
        <v>142</v>
      </c>
      <c r="E181" s="95"/>
      <c r="F181" s="155"/>
      <c r="G181" s="155">
        <f>SUM(G178:G180)</f>
        <v>140</v>
      </c>
      <c r="H181" s="99">
        <f>G181+'10'!H181</f>
        <v>1553</v>
      </c>
      <c r="I181" s="155"/>
      <c r="J181" s="178">
        <f>H181/DAY(B2)</f>
        <v>141.18181818181819</v>
      </c>
    </row>
    <row r="182" spans="1:10" ht="30.75" customHeight="1">
      <c r="A182" s="895" t="s">
        <v>213</v>
      </c>
      <c r="B182" s="896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>
      <c r="A183" s="895" t="s">
        <v>214</v>
      </c>
      <c r="B183" s="896"/>
      <c r="C183" s="334"/>
      <c r="D183" s="228" t="s">
        <v>142</v>
      </c>
      <c r="E183" s="95">
        <f>'10'!F183</f>
        <v>17102</v>
      </c>
      <c r="F183" s="157">
        <v>17112</v>
      </c>
      <c r="G183" s="157">
        <f>F183-E183</f>
        <v>10</v>
      </c>
      <c r="H183" s="99">
        <f>G183+'10'!H183</f>
        <v>157</v>
      </c>
      <c r="I183" s="155"/>
      <c r="J183" s="178">
        <f>H183/DAY(B2)</f>
        <v>14.272727272727273</v>
      </c>
    </row>
    <row r="184" spans="1:10" ht="30.75" customHeight="1">
      <c r="A184" s="895" t="s">
        <v>215</v>
      </c>
      <c r="B184" s="896"/>
      <c r="C184" s="334"/>
      <c r="D184" s="228" t="s">
        <v>142</v>
      </c>
      <c r="E184" s="95">
        <f>'10'!F184</f>
        <v>11559</v>
      </c>
      <c r="F184" s="157">
        <v>11563</v>
      </c>
      <c r="G184" s="157">
        <f t="shared" ref="G184:G185" si="16">F184-E184</f>
        <v>4</v>
      </c>
      <c r="H184" s="99">
        <f>G184+'10'!H184</f>
        <v>77</v>
      </c>
      <c r="I184" s="155"/>
      <c r="J184" s="178">
        <f>H184/DAY(B2)</f>
        <v>7</v>
      </c>
    </row>
    <row r="185" spans="1:10" ht="30.75" customHeight="1">
      <c r="A185" s="895" t="s">
        <v>216</v>
      </c>
      <c r="B185" s="896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>
      <c r="A186" s="934" t="s">
        <v>196</v>
      </c>
      <c r="B186" s="935"/>
      <c r="C186" s="400"/>
      <c r="D186" s="228" t="s">
        <v>142</v>
      </c>
      <c r="E186" s="95"/>
      <c r="F186" s="157"/>
      <c r="G186" s="157">
        <f>SUM(G183:G185)</f>
        <v>14</v>
      </c>
      <c r="H186" s="99">
        <f>G186+'10'!H186</f>
        <v>234</v>
      </c>
      <c r="I186" s="157"/>
      <c r="J186" s="178">
        <f>H186/DAY(B2)</f>
        <v>21.272727272727273</v>
      </c>
    </row>
    <row r="187" spans="1:10" ht="30.75" customHeight="1">
      <c r="A187" s="945" t="s">
        <v>217</v>
      </c>
      <c r="B187" s="946"/>
      <c r="C187" s="333"/>
      <c r="D187" s="230" t="s">
        <v>142</v>
      </c>
      <c r="E187" s="95"/>
      <c r="F187" s="159"/>
      <c r="G187" s="378">
        <f>G62+G19</f>
        <v>192</v>
      </c>
      <c r="H187" s="99">
        <f>G187+'10'!H187</f>
        <v>2285</v>
      </c>
      <c r="I187" s="158"/>
      <c r="J187" s="179">
        <f>H187/DAY(B2)</f>
        <v>207.72727272727272</v>
      </c>
    </row>
    <row r="188" spans="1:10" ht="30.75" customHeight="1">
      <c r="A188" s="945" t="s">
        <v>218</v>
      </c>
      <c r="B188" s="946"/>
      <c r="C188" s="333"/>
      <c r="D188" s="230" t="s">
        <v>142</v>
      </c>
      <c r="E188" s="95"/>
      <c r="F188" s="159"/>
      <c r="G188" s="378">
        <f>G65+G66+G67+G69+G70</f>
        <v>178</v>
      </c>
      <c r="H188" s="99">
        <f>G188+'10'!H188</f>
        <v>2244</v>
      </c>
      <c r="I188" s="158"/>
      <c r="J188" s="179">
        <f>H188/DAY(B2)</f>
        <v>204</v>
      </c>
    </row>
    <row r="189" spans="1:10" ht="30.75" customHeight="1">
      <c r="A189" s="945" t="s">
        <v>219</v>
      </c>
      <c r="B189" s="946"/>
      <c r="C189" s="333"/>
      <c r="D189" s="230" t="s">
        <v>142</v>
      </c>
      <c r="E189" s="95"/>
      <c r="F189" s="157"/>
      <c r="G189" s="377">
        <f>G181</f>
        <v>140</v>
      </c>
      <c r="H189" s="99">
        <f>G189+'10'!H189</f>
        <v>1553</v>
      </c>
      <c r="I189" s="158"/>
      <c r="J189" s="179">
        <f>H189/DAY(B2)</f>
        <v>141.18181818181819</v>
      </c>
    </row>
    <row r="190" spans="1:10" ht="30.75" customHeight="1">
      <c r="A190" s="939"/>
      <c r="B190" s="940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topLeftCell="A148" zoomScale="55" zoomScaleNormal="75" zoomScaleSheetLayoutView="55" workbookViewId="0">
      <selection activeCell="F147" sqref="F147"/>
    </sheetView>
  </sheetViews>
  <sheetFormatPr defaultColWidth="22.33203125" defaultRowHeight="32.2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>
      <c r="A1" s="876" t="s">
        <v>115</v>
      </c>
      <c r="B1" s="877"/>
      <c r="C1" s="877"/>
      <c r="D1" s="877"/>
      <c r="E1" s="877"/>
      <c r="F1" s="877"/>
      <c r="G1" s="877"/>
      <c r="H1" s="877"/>
      <c r="I1" s="877"/>
      <c r="J1" s="878"/>
    </row>
    <row r="2" spans="1:15" s="57" customFormat="1" ht="32.25" customHeight="1">
      <c r="A2" s="191" t="s">
        <v>376</v>
      </c>
      <c r="B2" s="262">
        <v>44724</v>
      </c>
      <c r="C2" s="34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>
      <c r="A3" s="189"/>
      <c r="B3" s="221"/>
      <c r="C3" s="348" t="s">
        <v>118</v>
      </c>
      <c r="D3" s="219">
        <v>30</v>
      </c>
      <c r="E3" s="885" t="s">
        <v>119</v>
      </c>
      <c r="F3" s="886"/>
      <c r="G3" s="101"/>
      <c r="H3" s="102"/>
      <c r="I3" s="102"/>
      <c r="J3" s="222"/>
      <c r="K3" s="61"/>
      <c r="L3" s="58"/>
    </row>
    <row r="4" spans="1:15" s="57" customFormat="1" ht="32.25" customHeight="1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>
      <c r="A6" s="879" t="s">
        <v>128</v>
      </c>
      <c r="B6" s="880"/>
      <c r="C6" s="88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>
      <c r="A7" s="194" t="s">
        <v>129</v>
      </c>
      <c r="B7" s="195"/>
      <c r="C7" s="195"/>
      <c r="D7" s="151" t="s">
        <v>130</v>
      </c>
      <c r="E7" s="95">
        <f>'11'!F7</f>
        <v>997460.3</v>
      </c>
      <c r="F7" s="95">
        <v>1026852</v>
      </c>
      <c r="G7" s="112">
        <f>F7-E7</f>
        <v>29391.699999999953</v>
      </c>
      <c r="H7" s="99">
        <f>G7+'11'!H7</f>
        <v>333731</v>
      </c>
      <c r="I7" s="113">
        <f>'1'!I7</f>
        <v>12000</v>
      </c>
      <c r="J7" s="175">
        <f>H7/DAY(B2)</f>
        <v>27810.916666666668</v>
      </c>
      <c r="K7" s="172">
        <v>1375467</v>
      </c>
      <c r="L7" s="66"/>
      <c r="N7" s="87"/>
      <c r="O7" s="71"/>
    </row>
    <row r="8" spans="1:15" ht="32.25" customHeight="1" thickBot="1">
      <c r="A8" s="196" t="s">
        <v>131</v>
      </c>
      <c r="B8" s="197"/>
      <c r="C8" s="198"/>
      <c r="D8" s="224" t="s">
        <v>24</v>
      </c>
      <c r="E8" s="95">
        <f>'11'!F8</f>
        <v>125287</v>
      </c>
      <c r="F8" s="114">
        <v>155363</v>
      </c>
      <c r="G8" s="115">
        <f>F8-E8</f>
        <v>30076</v>
      </c>
      <c r="H8" s="99">
        <f>G8+'11'!H8</f>
        <v>346704.10000000003</v>
      </c>
      <c r="I8" s="116"/>
      <c r="J8" s="175">
        <f>H8/DAY(B2)</f>
        <v>28892.008333333335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>
      <c r="A9" s="199" t="s">
        <v>132</v>
      </c>
      <c r="B9" s="200"/>
      <c r="C9" s="200"/>
      <c r="D9" s="151" t="s">
        <v>130</v>
      </c>
      <c r="E9" s="95">
        <f>'11'!F9</f>
        <v>2608015</v>
      </c>
      <c r="F9" s="469">
        <v>2627958</v>
      </c>
      <c r="G9" s="112">
        <f>F9-E9</f>
        <v>19943</v>
      </c>
      <c r="H9" s="99">
        <f>G9+'11'!H9</f>
        <v>177849.29999999981</v>
      </c>
      <c r="I9" s="124">
        <f>I7-J7</f>
        <v>-15810.916666666668</v>
      </c>
      <c r="J9" s="175">
        <f>H9/DAY(B2)</f>
        <v>14820.774999999985</v>
      </c>
      <c r="K9" s="79">
        <f>K8-100</f>
        <v>1715817</v>
      </c>
      <c r="L9" s="66"/>
      <c r="N9" s="87"/>
      <c r="O9" s="71">
        <f>G9-G10</f>
        <v>11572.800000000047</v>
      </c>
    </row>
    <row r="10" spans="1:15" ht="32.25" customHeight="1">
      <c r="A10" s="194" t="s">
        <v>133</v>
      </c>
      <c r="B10" s="195"/>
      <c r="C10" s="195"/>
      <c r="D10" s="151" t="s">
        <v>130</v>
      </c>
      <c r="E10" s="95">
        <f>'11'!F10</f>
        <v>1033663.8</v>
      </c>
      <c r="F10" s="353">
        <v>1042034</v>
      </c>
      <c r="G10" s="112">
        <f t="shared" ref="G10:G12" si="0">F10-E10</f>
        <v>8370.1999999999534</v>
      </c>
      <c r="H10" s="99">
        <f>G10+'11'!H10</f>
        <v>131630.80000000005</v>
      </c>
      <c r="I10" s="282"/>
      <c r="J10" s="175">
        <f>H10/DAY(B2)</f>
        <v>10969.233333333337</v>
      </c>
      <c r="K10" s="79"/>
      <c r="L10" s="66"/>
      <c r="N10" s="87"/>
      <c r="O10" s="71"/>
    </row>
    <row r="11" spans="1:15" ht="32.25" customHeight="1">
      <c r="A11" s="194" t="s">
        <v>134</v>
      </c>
      <c r="B11" s="195"/>
      <c r="C11" s="195"/>
      <c r="D11" s="151" t="s">
        <v>130</v>
      </c>
      <c r="E11" s="95">
        <f>'11'!F11</f>
        <v>37560</v>
      </c>
      <c r="F11" s="95">
        <v>37560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>
      <c r="A12" s="194" t="s">
        <v>135</v>
      </c>
      <c r="B12" s="195"/>
      <c r="C12" s="195"/>
      <c r="D12" s="151" t="s">
        <v>130</v>
      </c>
      <c r="E12" s="95">
        <f>'11'!F12</f>
        <v>40380</v>
      </c>
      <c r="F12" s="117">
        <v>40380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28313.199999999953</v>
      </c>
      <c r="H13" s="99">
        <f>G13+'11'!H13</f>
        <v>309341.09999999986</v>
      </c>
      <c r="I13" s="120">
        <f>G7-G13</f>
        <v>1078.5</v>
      </c>
      <c r="J13" s="175">
        <f>H13/DAY(B2)</f>
        <v>25778.424999999988</v>
      </c>
      <c r="K13" s="79"/>
      <c r="L13" s="66"/>
      <c r="N13" s="87"/>
      <c r="O13" s="71"/>
    </row>
    <row r="14" spans="1:15" ht="32.25" customHeight="1">
      <c r="A14" s="882" t="s">
        <v>137</v>
      </c>
      <c r="B14" s="883"/>
      <c r="C14" s="88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>
      <c r="A15" s="345" t="s">
        <v>138</v>
      </c>
      <c r="B15" s="205"/>
      <c r="C15" s="205"/>
      <c r="D15" s="151" t="s">
        <v>139</v>
      </c>
      <c r="E15" s="95">
        <f>'11'!F15</f>
        <v>2048848</v>
      </c>
      <c r="F15" s="469">
        <v>2049887</v>
      </c>
      <c r="G15" s="112">
        <f>(F15-E15)</f>
        <v>1039</v>
      </c>
      <c r="H15" s="99">
        <f>G15+'11'!H15</f>
        <v>12770</v>
      </c>
      <c r="I15" s="113">
        <f>'1'!I15</f>
        <v>800</v>
      </c>
      <c r="J15" s="175">
        <f>H15/DAY(B2)</f>
        <v>1064.1666666666667</v>
      </c>
      <c r="K15" s="79"/>
      <c r="L15" s="66"/>
      <c r="N15" s="87"/>
      <c r="O15" s="71"/>
    </row>
    <row r="16" spans="1:15" ht="32.2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-264.16666666666674</v>
      </c>
      <c r="J16" s="176"/>
      <c r="K16" s="79"/>
      <c r="L16" s="66"/>
      <c r="N16" s="87"/>
      <c r="O16" s="71"/>
    </row>
    <row r="17" spans="1:15" ht="32.25" customHeight="1">
      <c r="A17" s="882" t="s">
        <v>140</v>
      </c>
      <c r="B17" s="883"/>
      <c r="C17" s="88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>
      <c r="A18" s="873" t="s">
        <v>141</v>
      </c>
      <c r="B18" s="874"/>
      <c r="C18" s="875"/>
      <c r="D18" s="151" t="s">
        <v>142</v>
      </c>
      <c r="E18" s="95">
        <f>'11'!F18</f>
        <v>31</v>
      </c>
      <c r="F18" s="122">
        <v>22</v>
      </c>
      <c r="G18" s="119">
        <f>F18*10</f>
        <v>220</v>
      </c>
      <c r="H18" s="99">
        <f>G18+'11'!H18</f>
        <v>2810</v>
      </c>
      <c r="I18" s="113">
        <f>'1'!I18</f>
        <v>65</v>
      </c>
      <c r="J18" s="175">
        <f>H18/DAY(B2)</f>
        <v>234.16666666666666</v>
      </c>
      <c r="K18" s="79"/>
      <c r="L18" s="66"/>
      <c r="N18" s="87"/>
      <c r="O18" s="71"/>
    </row>
    <row r="19" spans="1:15" ht="32.25" customHeight="1">
      <c r="A19" s="873" t="s">
        <v>69</v>
      </c>
      <c r="B19" s="874"/>
      <c r="C19" s="875"/>
      <c r="D19" s="151" t="s">
        <v>142</v>
      </c>
      <c r="E19" s="95">
        <f>'11'!F19</f>
        <v>160685</v>
      </c>
      <c r="F19" s="122">
        <v>160735</v>
      </c>
      <c r="G19" s="112">
        <f t="shared" ref="G19" si="1">F19-E19</f>
        <v>50</v>
      </c>
      <c r="H19" s="99">
        <f>G19+'11'!H19</f>
        <v>625</v>
      </c>
      <c r="I19" s="335"/>
      <c r="J19" s="175">
        <f>H19/DAY(B2)</f>
        <v>52.083333333333336</v>
      </c>
      <c r="K19" s="79"/>
      <c r="L19" s="66"/>
      <c r="N19" s="87"/>
      <c r="O19" s="71"/>
    </row>
    <row r="20" spans="1:15" ht="32.25" customHeight="1">
      <c r="A20" s="201" t="s">
        <v>143</v>
      </c>
      <c r="B20" s="202"/>
      <c r="C20" s="202"/>
      <c r="D20" s="126"/>
      <c r="E20" s="126"/>
      <c r="F20" s="126"/>
      <c r="G20" s="127">
        <f>G18+G19</f>
        <v>270</v>
      </c>
      <c r="H20" s="99">
        <f>G20+'11'!H20</f>
        <v>3435</v>
      </c>
      <c r="I20" s="336">
        <f>I18-J20</f>
        <v>-221.25</v>
      </c>
      <c r="J20" s="175">
        <f>H20/DAY(B2)</f>
        <v>286.25</v>
      </c>
      <c r="K20" s="79"/>
      <c r="L20" s="66"/>
      <c r="N20" s="87"/>
      <c r="O20" s="71"/>
    </row>
    <row r="21" spans="1:15" ht="32.25" customHeight="1">
      <c r="A21" s="882" t="s">
        <v>144</v>
      </c>
      <c r="B21" s="883"/>
      <c r="C21" s="88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>
      <c r="A23" s="345" t="s">
        <v>147</v>
      </c>
      <c r="B23" s="205"/>
      <c r="C23" s="205"/>
      <c r="D23" s="151" t="s">
        <v>146</v>
      </c>
      <c r="E23" s="95">
        <f>'11'!F23</f>
        <v>1500</v>
      </c>
      <c r="F23" s="122">
        <v>1500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>
      <c r="A24" s="206" t="s">
        <v>148</v>
      </c>
      <c r="B24" s="207"/>
      <c r="C24" s="207"/>
      <c r="D24" s="146" t="s">
        <v>146</v>
      </c>
      <c r="E24" s="95">
        <f>'11'!F24</f>
        <v>4470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>
      <c r="A25" s="887" t="s">
        <v>149</v>
      </c>
      <c r="B25" s="888"/>
      <c r="C25" s="88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>
      <c r="A27" s="208" t="s">
        <v>5</v>
      </c>
      <c r="B27" s="209"/>
      <c r="C27" s="210"/>
      <c r="D27" s="226" t="s">
        <v>24</v>
      </c>
      <c r="E27" s="135">
        <f>G8</f>
        <v>30076</v>
      </c>
      <c r="F27" s="136">
        <v>9</v>
      </c>
      <c r="G27" s="137">
        <f>E27*F27</f>
        <v>270684</v>
      </c>
      <c r="H27" s="99">
        <f>G27+'11'!H27</f>
        <v>3120336.9000000004</v>
      </c>
      <c r="I27" s="138"/>
      <c r="J27" s="175">
        <f>H27/DAY(B2)</f>
        <v>260028.07500000004</v>
      </c>
      <c r="K27" s="63"/>
      <c r="L27" s="89"/>
      <c r="N27" s="87"/>
      <c r="O27" s="71"/>
    </row>
    <row r="28" spans="1:15" s="88" customFormat="1" ht="32.25" customHeight="1">
      <c r="A28" s="208" t="s">
        <v>152</v>
      </c>
      <c r="B28" s="209"/>
      <c r="C28" s="210"/>
      <c r="D28" s="226" t="s">
        <v>153</v>
      </c>
      <c r="E28" s="139">
        <f>G15</f>
        <v>1039</v>
      </c>
      <c r="F28" s="136">
        <v>70</v>
      </c>
      <c r="G28" s="137">
        <f>E28*F28</f>
        <v>72730</v>
      </c>
      <c r="H28" s="99">
        <f>G28+'11'!H28</f>
        <v>839342</v>
      </c>
      <c r="I28" s="140"/>
      <c r="J28" s="175">
        <f>H28/DAY(B2)</f>
        <v>69945.166666666672</v>
      </c>
      <c r="K28" s="63"/>
      <c r="L28" s="89"/>
      <c r="N28" s="87"/>
      <c r="O28" s="71"/>
    </row>
    <row r="29" spans="1:15" s="88" customFormat="1" ht="32.2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G30+'11'!H30</f>
        <v>93625</v>
      </c>
      <c r="I30" s="140"/>
      <c r="J30" s="175">
        <f>H30/DAY(B2)</f>
        <v>7802.083333333333</v>
      </c>
      <c r="K30" s="63"/>
      <c r="L30" s="89"/>
      <c r="N30" s="87"/>
      <c r="O30" s="71"/>
    </row>
    <row r="31" spans="1:15" s="88" customFormat="1" ht="32.25" customHeight="1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G31+'11'!H31</f>
        <v>224800</v>
      </c>
      <c r="I31" s="140"/>
      <c r="J31" s="175">
        <f>H31/DAY(B2)</f>
        <v>18733.333333333332</v>
      </c>
      <c r="K31" s="63"/>
      <c r="L31" s="89"/>
      <c r="N31" s="87"/>
      <c r="O31" s="71"/>
    </row>
    <row r="32" spans="1:15" s="88" customFormat="1" ht="32.2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368564</v>
      </c>
      <c r="H32" s="99">
        <f>G32+'11'!H32</f>
        <v>4278103.9000000004</v>
      </c>
      <c r="I32" s="144"/>
      <c r="J32" s="175">
        <f>H32/DAY(B2)</f>
        <v>356508.65833333338</v>
      </c>
      <c r="K32" s="63"/>
      <c r="L32" s="89"/>
      <c r="N32" s="87"/>
      <c r="O32" s="71"/>
    </row>
    <row r="33" spans="1:15" ht="32.25" customHeight="1">
      <c r="A33" s="890" t="s">
        <v>331</v>
      </c>
      <c r="B33" s="891"/>
      <c r="C33" s="89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>
      <c r="A35" s="194" t="s">
        <v>161</v>
      </c>
      <c r="B35" s="195"/>
      <c r="C35" s="195"/>
      <c r="D35" s="151" t="s">
        <v>130</v>
      </c>
      <c r="E35" s="95">
        <f>'11'!F35</f>
        <v>238713.05</v>
      </c>
      <c r="F35" s="145">
        <v>238713</v>
      </c>
      <c r="G35" s="112">
        <f t="shared" ref="G35:G46" si="3">F35-E35</f>
        <v>-4.9999999988358468E-2</v>
      </c>
      <c r="H35" s="99">
        <f>G35+'11'!H35</f>
        <v>-1</v>
      </c>
      <c r="I35" s="95"/>
      <c r="J35" s="175">
        <f>H35/DAY(B2)</f>
        <v>-8.3333333333333329E-2</v>
      </c>
      <c r="K35" s="79"/>
      <c r="L35" s="66"/>
      <c r="N35" s="87"/>
      <c r="O35" s="71"/>
    </row>
    <row r="36" spans="1:15" ht="32.25" customHeight="1">
      <c r="A36" s="194" t="s">
        <v>162</v>
      </c>
      <c r="B36" s="195"/>
      <c r="C36" s="195"/>
      <c r="D36" s="151" t="s">
        <v>130</v>
      </c>
      <c r="E36" s="95">
        <f>'11'!F36</f>
        <v>170215.9</v>
      </c>
      <c r="F36" s="145">
        <v>171171</v>
      </c>
      <c r="G36" s="112">
        <f t="shared" si="3"/>
        <v>955.10000000000582</v>
      </c>
      <c r="H36" s="99">
        <f>G36+'11'!H36</f>
        <v>10723</v>
      </c>
      <c r="I36" s="95"/>
      <c r="J36" s="175">
        <f>H36/DAY(B2)</f>
        <v>893.58333333333337</v>
      </c>
      <c r="K36" s="79"/>
      <c r="L36" s="66"/>
      <c r="N36" s="87"/>
      <c r="O36" s="344"/>
    </row>
    <row r="37" spans="1:15" ht="32.25" customHeight="1">
      <c r="A37" s="194" t="s">
        <v>163</v>
      </c>
      <c r="B37" s="195"/>
      <c r="C37" s="195"/>
      <c r="D37" s="151" t="s">
        <v>130</v>
      </c>
      <c r="E37" s="95">
        <f>'11'!F37</f>
        <v>255223.25</v>
      </c>
      <c r="F37" s="376">
        <v>256944</v>
      </c>
      <c r="G37" s="112">
        <f t="shared" si="3"/>
        <v>1720.75</v>
      </c>
      <c r="H37" s="99">
        <f>G37+'11'!H37</f>
        <v>21165</v>
      </c>
      <c r="I37" s="95"/>
      <c r="J37" s="175">
        <f>H37/DAY(B2)</f>
        <v>1763.75</v>
      </c>
      <c r="K37" s="79"/>
      <c r="L37" s="66"/>
      <c r="N37" s="87"/>
      <c r="O37" s="234"/>
    </row>
    <row r="38" spans="1:15" ht="32.25" customHeight="1">
      <c r="A38" s="194" t="s">
        <v>164</v>
      </c>
      <c r="B38" s="195"/>
      <c r="C38" s="195"/>
      <c r="D38" s="151" t="s">
        <v>130</v>
      </c>
      <c r="E38" s="95">
        <f>'11'!F38</f>
        <v>343165.7</v>
      </c>
      <c r="F38" s="108">
        <v>345689</v>
      </c>
      <c r="G38" s="112">
        <f t="shared" si="3"/>
        <v>2523.2999999999884</v>
      </c>
      <c r="H38" s="99">
        <f>G38+'11'!H38</f>
        <v>27397</v>
      </c>
      <c r="I38" s="95"/>
      <c r="J38" s="175">
        <f>H38/DAY(B2)</f>
        <v>2283.0833333333335</v>
      </c>
      <c r="K38" s="79"/>
      <c r="L38" s="66"/>
      <c r="N38" s="87"/>
      <c r="O38" s="71"/>
    </row>
    <row r="39" spans="1:15" ht="32.25" customHeight="1">
      <c r="A39" s="194" t="s">
        <v>165</v>
      </c>
      <c r="B39" s="195"/>
      <c r="C39" s="195"/>
      <c r="D39" s="151" t="s">
        <v>130</v>
      </c>
      <c r="E39" s="95">
        <f>'11'!F39</f>
        <v>465400.95</v>
      </c>
      <c r="F39" s="145">
        <v>468590</v>
      </c>
      <c r="G39" s="112">
        <f t="shared" si="3"/>
        <v>3189.0499999999884</v>
      </c>
      <c r="H39" s="99">
        <f>G39+'11'!H39</f>
        <v>33260.090000000026</v>
      </c>
      <c r="I39" s="95"/>
      <c r="J39" s="175">
        <f>H39/DAY(B2)</f>
        <v>2771.674166666669</v>
      </c>
      <c r="K39" s="79"/>
      <c r="L39" s="66"/>
      <c r="N39" s="87"/>
      <c r="O39" s="71"/>
    </row>
    <row r="40" spans="1:15" ht="32.25" customHeight="1">
      <c r="A40" s="215" t="s">
        <v>166</v>
      </c>
      <c r="B40" s="216"/>
      <c r="C40" s="216"/>
      <c r="D40" s="151" t="s">
        <v>130</v>
      </c>
      <c r="E40" s="95">
        <f>'11'!F40</f>
        <v>76051.3</v>
      </c>
      <c r="F40" s="145">
        <v>76428</v>
      </c>
      <c r="G40" s="112">
        <f t="shared" si="3"/>
        <v>376.69999999999709</v>
      </c>
      <c r="H40" s="99">
        <f>G40+'11'!H40</f>
        <v>2875</v>
      </c>
      <c r="I40" s="95"/>
      <c r="J40" s="175">
        <f>H40/DAY(B2)</f>
        <v>239.58333333333334</v>
      </c>
      <c r="K40" s="80"/>
      <c r="L40" s="66"/>
      <c r="N40" s="87"/>
      <c r="O40" s="71"/>
    </row>
    <row r="41" spans="1:15" ht="32.25" customHeight="1">
      <c r="A41" s="194" t="s">
        <v>167</v>
      </c>
      <c r="B41" s="195"/>
      <c r="C41" s="195"/>
      <c r="D41" s="151" t="s">
        <v>130</v>
      </c>
      <c r="E41" s="95">
        <f>'11'!F41</f>
        <v>81484.86</v>
      </c>
      <c r="F41" s="145">
        <v>87138</v>
      </c>
      <c r="G41" s="112">
        <f t="shared" si="3"/>
        <v>5653.1399999999994</v>
      </c>
      <c r="H41" s="99">
        <f>G41+'11'!H41</f>
        <v>18303</v>
      </c>
      <c r="I41" s="95"/>
      <c r="J41" s="175">
        <f>H41/DAY(B2)</f>
        <v>1525.25</v>
      </c>
      <c r="K41" s="79"/>
      <c r="L41" s="66"/>
      <c r="N41" s="87"/>
      <c r="O41" s="71"/>
    </row>
    <row r="42" spans="1:15" ht="32.25" customHeight="1">
      <c r="A42" s="194" t="s">
        <v>168</v>
      </c>
      <c r="B42" s="195"/>
      <c r="C42" s="195"/>
      <c r="D42" s="151" t="s">
        <v>130</v>
      </c>
      <c r="E42" s="95">
        <f>'11'!F42</f>
        <v>614186.82999999996</v>
      </c>
      <c r="F42" s="145">
        <v>618826</v>
      </c>
      <c r="G42" s="112">
        <f t="shared" si="3"/>
        <v>4639.1700000000419</v>
      </c>
      <c r="H42" s="99">
        <f>G42+'11'!H42</f>
        <v>55954</v>
      </c>
      <c r="I42" s="95"/>
      <c r="J42" s="175">
        <f>H42/DAY(B2)</f>
        <v>4662.833333333333</v>
      </c>
      <c r="K42" s="79"/>
      <c r="L42" s="66"/>
      <c r="N42" s="87"/>
      <c r="O42" s="71"/>
    </row>
    <row r="43" spans="1:15" ht="32.25" customHeight="1">
      <c r="A43" s="194" t="s">
        <v>169</v>
      </c>
      <c r="B43" s="195"/>
      <c r="C43" s="195"/>
      <c r="D43" s="151" t="s">
        <v>130</v>
      </c>
      <c r="E43" s="95">
        <f>'11'!F43</f>
        <v>407028</v>
      </c>
      <c r="F43" s="376">
        <v>407028</v>
      </c>
      <c r="G43" s="112">
        <f t="shared" si="3"/>
        <v>0</v>
      </c>
      <c r="H43" s="99">
        <f>G43+'11'!H43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2.25" customHeight="1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19057.160000000033</v>
      </c>
      <c r="H47" s="99">
        <f>G47+'11'!H47</f>
        <v>169676.09000000003</v>
      </c>
      <c r="I47" s="95"/>
      <c r="J47" s="175">
        <f>H47/DAY(B2)</f>
        <v>14139.674166666669</v>
      </c>
      <c r="K47" s="79"/>
      <c r="L47" s="66"/>
      <c r="N47" s="87"/>
      <c r="O47" s="71"/>
    </row>
    <row r="48" spans="1:15" ht="32.2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>
      <c r="A49" s="194" t="s">
        <v>161</v>
      </c>
      <c r="B49" s="217"/>
      <c r="C49" s="217"/>
      <c r="D49" s="151" t="s">
        <v>130</v>
      </c>
      <c r="E49" s="95">
        <f>'11'!F49</f>
        <v>299195.01</v>
      </c>
      <c r="F49" s="145">
        <v>303145</v>
      </c>
      <c r="G49" s="112">
        <f t="shared" ref="G49:G58" si="4">F49-E49</f>
        <v>3949.9899999999907</v>
      </c>
      <c r="H49" s="99">
        <f>G49+'11'!H49</f>
        <v>42998</v>
      </c>
      <c r="I49" s="95"/>
      <c r="J49" s="175">
        <f>H49/DAY(B2)</f>
        <v>3583.1666666666665</v>
      </c>
      <c r="K49" s="79"/>
      <c r="L49" s="66"/>
      <c r="N49" s="87"/>
      <c r="O49" s="71"/>
    </row>
    <row r="50" spans="1:15" ht="32.25" customHeight="1">
      <c r="A50" s="194" t="s">
        <v>175</v>
      </c>
      <c r="B50" s="217"/>
      <c r="C50" s="217"/>
      <c r="D50" s="151" t="s">
        <v>130</v>
      </c>
      <c r="E50" s="95">
        <f>'11'!F50</f>
        <v>222349.89</v>
      </c>
      <c r="F50" s="145">
        <v>223299</v>
      </c>
      <c r="G50" s="112">
        <f t="shared" si="4"/>
        <v>949.10999999998603</v>
      </c>
      <c r="H50" s="99">
        <f>G50+'11'!H50</f>
        <v>13735</v>
      </c>
      <c r="I50" s="95"/>
      <c r="J50" s="175">
        <f>H50/DAY(B2)</f>
        <v>1144.5833333333333</v>
      </c>
      <c r="K50" s="79"/>
      <c r="L50" s="66"/>
      <c r="N50" s="87"/>
      <c r="O50" s="71"/>
    </row>
    <row r="51" spans="1:15" ht="32.25" customHeight="1">
      <c r="A51" s="194" t="s">
        <v>163</v>
      </c>
      <c r="B51" s="217"/>
      <c r="C51" s="217"/>
      <c r="D51" s="151" t="s">
        <v>130</v>
      </c>
      <c r="E51" s="95">
        <f>'11'!F51</f>
        <v>76</v>
      </c>
      <c r="F51" s="145">
        <v>76</v>
      </c>
      <c r="G51" s="112">
        <f t="shared" si="4"/>
        <v>0</v>
      </c>
      <c r="H51" s="99">
        <f>G51+'11'!H51</f>
        <v>0.31999999999999318</v>
      </c>
      <c r="I51" s="95"/>
      <c r="J51" s="175">
        <f>H51/DAY(B2)</f>
        <v>2.6666666666666099E-2</v>
      </c>
      <c r="K51" s="79"/>
      <c r="L51" s="66"/>
      <c r="N51" s="87"/>
      <c r="O51" s="71"/>
    </row>
    <row r="52" spans="1:15" ht="32.25" customHeight="1">
      <c r="A52" s="194" t="s">
        <v>176</v>
      </c>
      <c r="B52" s="217"/>
      <c r="C52" s="217"/>
      <c r="D52" s="151" t="s">
        <v>130</v>
      </c>
      <c r="E52" s="95">
        <f>'11'!F52</f>
        <v>10</v>
      </c>
      <c r="F52" s="145">
        <v>10</v>
      </c>
      <c r="G52" s="112">
        <f t="shared" si="4"/>
        <v>0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>
      <c r="A54" s="194" t="s">
        <v>177</v>
      </c>
      <c r="B54" s="217"/>
      <c r="C54" s="217"/>
      <c r="D54" s="151" t="s">
        <v>130</v>
      </c>
      <c r="E54" s="95">
        <f>'11'!F54</f>
        <v>69622.53</v>
      </c>
      <c r="F54" s="145">
        <v>70096</v>
      </c>
      <c r="G54" s="112">
        <f t="shared" si="4"/>
        <v>473.47000000000116</v>
      </c>
      <c r="H54" s="99">
        <f>G54+'11'!H54</f>
        <v>5540</v>
      </c>
      <c r="I54" s="95"/>
      <c r="J54" s="175">
        <f>H54/DAY(B2)</f>
        <v>461.66666666666669</v>
      </c>
      <c r="K54" s="79"/>
      <c r="L54" s="66"/>
      <c r="N54" s="87"/>
      <c r="O54" s="71"/>
    </row>
    <row r="55" spans="1:15" ht="32.25" customHeight="1">
      <c r="A55" s="194" t="s">
        <v>178</v>
      </c>
      <c r="B55" s="217"/>
      <c r="C55" s="217"/>
      <c r="D55" s="151" t="s">
        <v>130</v>
      </c>
      <c r="E55" s="95">
        <f>'11'!F55</f>
        <v>254287.5</v>
      </c>
      <c r="F55" s="145">
        <v>254288</v>
      </c>
      <c r="G55" s="112">
        <f t="shared" si="4"/>
        <v>0.5</v>
      </c>
      <c r="H55" s="99">
        <f>G55+'11'!H55</f>
        <v>28815</v>
      </c>
      <c r="I55" s="95"/>
      <c r="J55" s="175">
        <f>H55/DAY(B2)</f>
        <v>2401.25</v>
      </c>
      <c r="K55" s="79"/>
      <c r="L55" s="66"/>
      <c r="N55" s="87"/>
      <c r="O55" s="71"/>
    </row>
    <row r="56" spans="1:15" ht="32.25" customHeight="1">
      <c r="A56" s="194" t="s">
        <v>179</v>
      </c>
      <c r="B56" s="217"/>
      <c r="C56" s="217"/>
      <c r="D56" s="151" t="s">
        <v>180</v>
      </c>
      <c r="E56" s="95">
        <f>'11'!F56</f>
        <v>107245.66</v>
      </c>
      <c r="F56" s="145">
        <v>107245.6</v>
      </c>
      <c r="G56" s="112">
        <f t="shared" si="4"/>
        <v>-5.9999999997671694E-2</v>
      </c>
      <c r="H56" s="99">
        <f>G56+'11'!H56</f>
        <v>-0.39999999999417923</v>
      </c>
      <c r="I56" s="95"/>
      <c r="J56" s="175">
        <f>H56/DAY(B2)</f>
        <v>-3.3333333332848269E-2</v>
      </c>
      <c r="K56" s="78"/>
      <c r="L56" s="66"/>
      <c r="N56" s="87"/>
      <c r="O56" s="71"/>
    </row>
    <row r="57" spans="1:15" ht="32.25" customHeight="1">
      <c r="A57" s="194" t="s">
        <v>169</v>
      </c>
      <c r="B57" s="217"/>
      <c r="C57" s="217"/>
      <c r="D57" s="151" t="s">
        <v>130</v>
      </c>
      <c r="E57" s="95">
        <f>'11'!F57</f>
        <v>71886.100000000006</v>
      </c>
      <c r="F57" s="145">
        <v>75200</v>
      </c>
      <c r="G57" s="112">
        <f t="shared" si="4"/>
        <v>3313.8999999999942</v>
      </c>
      <c r="H57" s="99">
        <f>G57+'11'!H57</f>
        <v>37597</v>
      </c>
      <c r="I57" s="95"/>
      <c r="J57" s="175">
        <f>H57/DAY(B2)</f>
        <v>3133.0833333333335</v>
      </c>
      <c r="K57" s="79"/>
      <c r="L57" s="66"/>
      <c r="N57" s="87"/>
      <c r="O57" s="71"/>
    </row>
    <row r="58" spans="1:15" ht="32.25" customHeight="1">
      <c r="A58" s="194" t="s">
        <v>181</v>
      </c>
      <c r="B58" s="217"/>
      <c r="C58" s="217"/>
      <c r="D58" s="151" t="s">
        <v>130</v>
      </c>
      <c r="E58" s="95">
        <f>'11'!F58</f>
        <v>35350.400000000001</v>
      </c>
      <c r="F58" s="145">
        <v>35591</v>
      </c>
      <c r="G58" s="112">
        <f t="shared" si="4"/>
        <v>240.59999999999854</v>
      </c>
      <c r="H58" s="99">
        <f>G58+'11'!H58</f>
        <v>2702</v>
      </c>
      <c r="I58" s="95"/>
      <c r="J58" s="175">
        <f>H58/DAY(B2)</f>
        <v>225.16666666666666</v>
      </c>
      <c r="K58" s="79"/>
      <c r="L58" s="66"/>
      <c r="N58" s="87"/>
      <c r="O58" s="71"/>
    </row>
    <row r="59" spans="1:15" ht="32.2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8927.5099999999729</v>
      </c>
      <c r="H59" s="99">
        <f>G59+'11'!H59</f>
        <v>131386.92000000001</v>
      </c>
      <c r="I59" s="95">
        <f>G7-G60</f>
        <v>1407.0299999999479</v>
      </c>
      <c r="J59" s="175">
        <f>H59/DAY(B2)</f>
        <v>10948.910000000002</v>
      </c>
      <c r="K59" s="79"/>
      <c r="L59" s="66"/>
      <c r="N59" s="87"/>
      <c r="O59" s="71"/>
    </row>
    <row r="60" spans="1:15" ht="32.25" customHeight="1">
      <c r="A60" s="194"/>
      <c r="B60" s="195"/>
      <c r="C60" s="195"/>
      <c r="D60" s="146" t="s">
        <v>182</v>
      </c>
      <c r="E60" s="146"/>
      <c r="F60" s="146"/>
      <c r="G60" s="119">
        <f>G47+G59</f>
        <v>27984.670000000006</v>
      </c>
      <c r="H60" s="99">
        <f>G60+'11'!H60</f>
        <v>301063.01</v>
      </c>
      <c r="I60" s="95">
        <f>G13-G60</f>
        <v>328.5299999999479</v>
      </c>
      <c r="J60" s="175">
        <f>H60/DAY(B2)</f>
        <v>25088.584166666667</v>
      </c>
      <c r="K60" s="79"/>
      <c r="L60" s="66"/>
      <c r="N60" s="87"/>
      <c r="O60" s="71"/>
    </row>
    <row r="61" spans="1:15" s="68" customFormat="1" ht="32.25" customHeight="1">
      <c r="A61" s="892" t="s">
        <v>332</v>
      </c>
      <c r="B61" s="893"/>
      <c r="C61" s="89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>
      <c r="A62" s="873" t="s">
        <v>198</v>
      </c>
      <c r="B62" s="874"/>
      <c r="C62" s="875"/>
      <c r="D62" s="151" t="s">
        <v>142</v>
      </c>
      <c r="E62" s="95">
        <f>'11'!F62</f>
        <v>290610</v>
      </c>
      <c r="F62" s="122">
        <v>290732</v>
      </c>
      <c r="G62" s="112">
        <f t="shared" ref="G62:G63" si="5">F62-E62</f>
        <v>122</v>
      </c>
      <c r="H62" s="99">
        <f>G62+'11'!H62</f>
        <v>1832</v>
      </c>
      <c r="I62" s="118"/>
      <c r="J62" s="175">
        <f>H62/DAY(B2)</f>
        <v>152.66666666666666</v>
      </c>
      <c r="K62" s="80"/>
      <c r="L62" s="66"/>
      <c r="N62" s="87"/>
      <c r="O62" s="71"/>
    </row>
    <row r="63" spans="1:15" ht="32.25" customHeight="1">
      <c r="A63" s="873" t="s">
        <v>199</v>
      </c>
      <c r="B63" s="874"/>
      <c r="C63" s="875"/>
      <c r="D63" s="151" t="s">
        <v>142</v>
      </c>
      <c r="E63" s="95">
        <f>'11'!F63</f>
        <v>232593</v>
      </c>
      <c r="F63" s="122">
        <v>232747</v>
      </c>
      <c r="G63" s="112">
        <f t="shared" si="5"/>
        <v>154</v>
      </c>
      <c r="H63" s="99">
        <f>G63+'11'!H63</f>
        <v>1585</v>
      </c>
      <c r="I63" s="118"/>
      <c r="J63" s="175">
        <f>H63/DAY(B2)</f>
        <v>132.08333333333334</v>
      </c>
      <c r="K63" s="69"/>
      <c r="L63" s="66"/>
      <c r="N63" s="87"/>
      <c r="O63" s="71"/>
    </row>
    <row r="64" spans="1:15" ht="32.25" customHeight="1">
      <c r="A64" s="870" t="s">
        <v>200</v>
      </c>
      <c r="B64" s="871"/>
      <c r="C64" s="872"/>
      <c r="D64" s="151"/>
      <c r="E64" s="95">
        <f>'11'!F64</f>
        <v>0</v>
      </c>
      <c r="F64" s="122"/>
      <c r="G64" s="112">
        <f>G62+G63</f>
        <v>276</v>
      </c>
      <c r="H64" s="99">
        <f>G64+'11'!H64</f>
        <v>3417</v>
      </c>
      <c r="I64" s="118"/>
      <c r="J64" s="175">
        <f>H64/DAY(B2)</f>
        <v>284.75</v>
      </c>
      <c r="K64" s="69"/>
      <c r="L64" s="66"/>
      <c r="N64" s="87"/>
      <c r="O64" s="71"/>
    </row>
    <row r="65" spans="1:15" ht="32.25" customHeight="1">
      <c r="A65" s="873" t="s">
        <v>201</v>
      </c>
      <c r="B65" s="874"/>
      <c r="C65" s="875"/>
      <c r="D65" s="151" t="s">
        <v>142</v>
      </c>
      <c r="E65" s="95">
        <f>'11'!F65</f>
        <v>449338</v>
      </c>
      <c r="F65" s="122">
        <v>449447</v>
      </c>
      <c r="G65" s="112">
        <f t="shared" ref="G65:G70" si="6">F65-E65</f>
        <v>109</v>
      </c>
      <c r="H65" s="99">
        <f>G65+'11'!H65</f>
        <v>1420</v>
      </c>
      <c r="I65" s="118"/>
      <c r="J65" s="175">
        <f>H65/DAY(B2)</f>
        <v>118.33333333333333</v>
      </c>
      <c r="K65" s="69"/>
      <c r="L65" s="66"/>
      <c r="N65" s="87"/>
      <c r="O65" s="71"/>
    </row>
    <row r="66" spans="1:15" ht="32.25" customHeight="1">
      <c r="A66" s="345" t="s">
        <v>202</v>
      </c>
      <c r="B66" s="346"/>
      <c r="C66" s="346"/>
      <c r="D66" s="151" t="s">
        <v>142</v>
      </c>
      <c r="E66" s="95">
        <f>'11'!F66</f>
        <v>110632</v>
      </c>
      <c r="F66" s="122">
        <v>110661</v>
      </c>
      <c r="G66" s="112">
        <f t="shared" si="6"/>
        <v>29</v>
      </c>
      <c r="H66" s="99">
        <f>G66+'11'!H66</f>
        <v>330</v>
      </c>
      <c r="I66" s="118"/>
      <c r="J66" s="175">
        <f>H66/DAY(B2)</f>
        <v>27.5</v>
      </c>
      <c r="K66" s="78"/>
      <c r="L66" s="66"/>
      <c r="N66" s="87"/>
      <c r="O66" s="71"/>
    </row>
    <row r="67" spans="1:15" ht="32.25" customHeight="1">
      <c r="A67" s="345" t="s">
        <v>203</v>
      </c>
      <c r="B67" s="346"/>
      <c r="C67" s="346"/>
      <c r="D67" s="151" t="s">
        <v>142</v>
      </c>
      <c r="E67" s="95">
        <f>'11'!F67</f>
        <v>113680</v>
      </c>
      <c r="F67" s="122">
        <v>113680</v>
      </c>
      <c r="G67" s="112">
        <f t="shared" si="6"/>
        <v>0</v>
      </c>
      <c r="H67" s="99">
        <f>G67+'11'!H67</f>
        <v>402</v>
      </c>
      <c r="I67" s="118"/>
      <c r="J67" s="175">
        <f>H67/DAY(B2)</f>
        <v>33.5</v>
      </c>
      <c r="K67" s="81"/>
      <c r="L67" s="66"/>
      <c r="N67" s="87"/>
      <c r="O67" s="71"/>
    </row>
    <row r="68" spans="1:15" ht="32.25" customHeight="1">
      <c r="A68" s="345" t="s">
        <v>204</v>
      </c>
      <c r="B68" s="346"/>
      <c r="C68" s="346"/>
      <c r="D68" s="151" t="s">
        <v>142</v>
      </c>
      <c r="E68" s="95">
        <f>'11'!F68</f>
        <v>162785</v>
      </c>
      <c r="F68" s="122">
        <v>162822</v>
      </c>
      <c r="G68" s="112">
        <f t="shared" si="6"/>
        <v>37</v>
      </c>
      <c r="H68" s="99">
        <f>G68+'11'!H68</f>
        <v>328</v>
      </c>
      <c r="I68" s="118"/>
      <c r="J68" s="175">
        <f>H68/DAY(B2)</f>
        <v>27.333333333333332</v>
      </c>
      <c r="K68" s="69"/>
      <c r="L68" s="66"/>
      <c r="N68" s="87"/>
      <c r="O68" s="71"/>
    </row>
    <row r="69" spans="1:15" ht="32.25" customHeight="1">
      <c r="A69" s="345" t="s">
        <v>205</v>
      </c>
      <c r="B69" s="346"/>
      <c r="C69" s="346"/>
      <c r="D69" s="151" t="s">
        <v>142</v>
      </c>
      <c r="E69" s="95">
        <f>'11'!F69</f>
        <v>11998</v>
      </c>
      <c r="F69" s="122">
        <v>12006</v>
      </c>
      <c r="G69" s="112">
        <f t="shared" si="6"/>
        <v>8</v>
      </c>
      <c r="H69" s="99">
        <f>G69+'11'!H69</f>
        <v>137</v>
      </c>
      <c r="I69" s="118"/>
      <c r="J69" s="175">
        <f>H69/DAY(B2)</f>
        <v>11.416666666666666</v>
      </c>
      <c r="K69" s="69"/>
      <c r="L69" s="66"/>
      <c r="N69" s="87"/>
      <c r="O69" s="71"/>
    </row>
    <row r="70" spans="1:15" ht="32.25" customHeight="1">
      <c r="A70" s="345" t="s">
        <v>206</v>
      </c>
      <c r="B70" s="346"/>
      <c r="C70" s="346"/>
      <c r="D70" s="151" t="s">
        <v>142</v>
      </c>
      <c r="E70" s="95">
        <f>'11'!F70</f>
        <v>9368</v>
      </c>
      <c r="F70" s="122">
        <v>9375</v>
      </c>
      <c r="G70" s="112">
        <f t="shared" si="6"/>
        <v>7</v>
      </c>
      <c r="H70" s="99">
        <f>G70+'11'!H70</f>
        <v>108</v>
      </c>
      <c r="I70" s="118"/>
      <c r="J70" s="175">
        <f>H70/DAY(B2)</f>
        <v>9</v>
      </c>
      <c r="K70" s="69"/>
      <c r="L70" s="66"/>
      <c r="N70" s="87"/>
      <c r="O70" s="71"/>
    </row>
    <row r="71" spans="1:15" ht="32.25" customHeight="1">
      <c r="A71" s="870" t="s">
        <v>208</v>
      </c>
      <c r="B71" s="871"/>
      <c r="C71" s="872"/>
      <c r="D71" s="152"/>
      <c r="E71" s="152"/>
      <c r="F71" s="152"/>
      <c r="G71" s="153">
        <f>SUM(G65:G70)</f>
        <v>190</v>
      </c>
      <c r="H71" s="99">
        <f>G71+'11'!H71</f>
        <v>2725</v>
      </c>
      <c r="I71" s="154"/>
      <c r="J71" s="175">
        <f>H71/DAY(B2)</f>
        <v>227.08333333333334</v>
      </c>
      <c r="K71" s="69"/>
      <c r="L71" s="66"/>
      <c r="N71" s="87"/>
      <c r="O71" s="71"/>
    </row>
    <row r="72" spans="1:15" s="88" customFormat="1" ht="32.25" customHeight="1">
      <c r="A72" s="916"/>
      <c r="B72" s="90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2.25" customHeight="1">
      <c r="A74" s="873" t="s">
        <v>220</v>
      </c>
      <c r="B74" s="874"/>
      <c r="C74" s="875"/>
      <c r="D74" s="151" t="s">
        <v>139</v>
      </c>
      <c r="E74" s="95">
        <f>'11'!F74</f>
        <v>942067.68</v>
      </c>
      <c r="F74" s="117">
        <v>942388</v>
      </c>
      <c r="G74" s="112">
        <f t="shared" ref="G74:G78" si="7">F74-E74</f>
        <v>320.31999999994878</v>
      </c>
      <c r="H74" s="99">
        <f>G74+'11'!H74</f>
        <v>3718</v>
      </c>
      <c r="I74" s="154"/>
      <c r="J74" s="175">
        <f>H74/DAY(B2)</f>
        <v>309.83333333333331</v>
      </c>
      <c r="K74" s="69"/>
      <c r="L74" s="66"/>
      <c r="N74" s="87"/>
      <c r="O74" s="71"/>
    </row>
    <row r="75" spans="1:15" ht="32.25" customHeight="1">
      <c r="A75" s="873" t="s">
        <v>221</v>
      </c>
      <c r="B75" s="874"/>
      <c r="C75" s="875"/>
      <c r="D75" s="151" t="s">
        <v>139</v>
      </c>
      <c r="E75" s="95">
        <f>'11'!F75</f>
        <v>73586.8</v>
      </c>
      <c r="F75" s="123">
        <v>73587</v>
      </c>
      <c r="G75" s="112">
        <f t="shared" si="7"/>
        <v>0.19999999999708962</v>
      </c>
      <c r="H75" s="99">
        <f>G75+'11'!H75</f>
        <v>0.19999999999708962</v>
      </c>
      <c r="I75" s="154"/>
      <c r="J75" s="175">
        <f>H75/DAY(B2)</f>
        <v>1.6666666666424135E-2</v>
      </c>
      <c r="K75" s="69"/>
      <c r="L75" s="66"/>
      <c r="N75" s="87"/>
      <c r="O75" s="71"/>
    </row>
    <row r="76" spans="1:15" ht="32.25" customHeight="1">
      <c r="A76" s="917" t="s">
        <v>222</v>
      </c>
      <c r="B76" s="903"/>
      <c r="C76" s="904"/>
      <c r="D76" s="151" t="s">
        <v>139</v>
      </c>
      <c r="E76" s="95">
        <f>'11'!F76</f>
        <v>184959</v>
      </c>
      <c r="F76" s="123">
        <v>185065</v>
      </c>
      <c r="G76" s="112">
        <f t="shared" si="7"/>
        <v>106</v>
      </c>
      <c r="H76" s="99">
        <f>G76+'11'!H76</f>
        <v>1359</v>
      </c>
      <c r="I76" s="154"/>
      <c r="J76" s="175">
        <f>H76/DAY(B2)</f>
        <v>113.25</v>
      </c>
      <c r="K76" s="69"/>
      <c r="L76" s="66"/>
      <c r="N76" s="87"/>
      <c r="O76" s="71"/>
    </row>
    <row r="77" spans="1:15" ht="32.25" customHeight="1">
      <c r="A77" s="917" t="s">
        <v>223</v>
      </c>
      <c r="B77" s="903"/>
      <c r="C77" s="904"/>
      <c r="D77" s="151" t="s">
        <v>139</v>
      </c>
      <c r="E77" s="95">
        <f>'11'!F77</f>
        <v>47881</v>
      </c>
      <c r="F77" s="123">
        <v>47926</v>
      </c>
      <c r="G77" s="112">
        <f t="shared" si="7"/>
        <v>45</v>
      </c>
      <c r="H77" s="99">
        <f>G77+'11'!H77</f>
        <v>581</v>
      </c>
      <c r="I77" s="154"/>
      <c r="J77" s="175">
        <f>H77/DAY(B2)</f>
        <v>48.416666666666664</v>
      </c>
      <c r="K77" s="69"/>
      <c r="L77" s="66"/>
      <c r="N77" s="87"/>
      <c r="O77" s="71"/>
    </row>
    <row r="78" spans="1:15" ht="32.25" customHeight="1">
      <c r="A78" s="917" t="s">
        <v>224</v>
      </c>
      <c r="B78" s="903"/>
      <c r="C78" s="904"/>
      <c r="D78" s="151" t="s">
        <v>139</v>
      </c>
      <c r="E78" s="95">
        <f>'11'!F78</f>
        <v>9563.4</v>
      </c>
      <c r="F78" s="123">
        <v>9563.4</v>
      </c>
      <c r="G78" s="112">
        <f t="shared" si="7"/>
        <v>0</v>
      </c>
      <c r="H78" s="99">
        <f>G78+'11'!H78</f>
        <v>0.3999999999996362</v>
      </c>
      <c r="I78" s="118"/>
      <c r="J78" s="175">
        <f>H78/DAY(B2)</f>
        <v>3.3333333333303017E-2</v>
      </c>
      <c r="K78" s="69"/>
      <c r="L78" s="66"/>
      <c r="N78" s="87"/>
      <c r="O78" s="71"/>
    </row>
    <row r="79" spans="1:15" s="57" customFormat="1" ht="32.25" customHeight="1">
      <c r="A79" s="917" t="s">
        <v>225</v>
      </c>
      <c r="B79" s="903"/>
      <c r="C79" s="904"/>
      <c r="D79" s="151"/>
      <c r="E79" s="95">
        <f>'11'!F79</f>
        <v>0</v>
      </c>
      <c r="F79" s="117"/>
      <c r="G79" s="112">
        <f>G15-SUM(G74:G78)</f>
        <v>567.48000000005413</v>
      </c>
      <c r="H79" s="99">
        <f>G79+'11'!H79</f>
        <v>7111.4000000000033</v>
      </c>
      <c r="I79" s="118"/>
      <c r="J79" s="175">
        <f>H79/DAY(B2)</f>
        <v>592.6166666666669</v>
      </c>
      <c r="K79" s="59"/>
      <c r="L79" s="58"/>
      <c r="N79" s="87"/>
      <c r="O79" s="71"/>
    </row>
    <row r="80" spans="1:15" s="57" customFormat="1" ht="32.25" customHeight="1">
      <c r="A80" s="870" t="s">
        <v>329</v>
      </c>
      <c r="B80" s="871"/>
      <c r="C80" s="872"/>
      <c r="D80" s="151"/>
      <c r="E80" s="117"/>
      <c r="F80" s="117"/>
      <c r="G80" s="112">
        <f>SUM(G74:G79)</f>
        <v>1039</v>
      </c>
      <c r="H80" s="99">
        <f>G80+'11'!H80</f>
        <v>1039</v>
      </c>
      <c r="I80" s="118"/>
      <c r="J80" s="175">
        <f>H80/DAY(B2)</f>
        <v>86.583333333333329</v>
      </c>
      <c r="K80" s="59"/>
      <c r="L80" s="58"/>
      <c r="N80" s="87"/>
      <c r="O80" s="71"/>
    </row>
    <row r="81" spans="1:15" ht="32.25" customHeight="1">
      <c r="A81" s="909" t="s">
        <v>226</v>
      </c>
      <c r="B81" s="910"/>
      <c r="C81" s="911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573"/>
      <c r="J82" s="175">
        <f>H82/DAY(B2)</f>
        <v>0</v>
      </c>
      <c r="O82" s="71"/>
    </row>
    <row r="83" spans="1:15" ht="32.25" customHeight="1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573"/>
      <c r="J83" s="175">
        <f>H83/DAY(B2)</f>
        <v>0</v>
      </c>
      <c r="O83" s="71"/>
    </row>
    <row r="84" spans="1:15" ht="32.25" customHeight="1">
      <c r="A84" s="345" t="s">
        <v>230</v>
      </c>
      <c r="B84" s="346"/>
      <c r="C84" s="346"/>
      <c r="D84" s="151" t="s">
        <v>228</v>
      </c>
      <c r="E84" s="95">
        <f>'11'!F84</f>
        <v>42022.16</v>
      </c>
      <c r="F84" s="164">
        <v>42046</v>
      </c>
      <c r="G84" s="112">
        <f t="shared" si="8"/>
        <v>23.839999999996508</v>
      </c>
      <c r="H84" s="99">
        <f>G84+'11'!H84</f>
        <v>77</v>
      </c>
      <c r="I84" s="573"/>
      <c r="J84" s="175">
        <f>H84/DAY(B2)</f>
        <v>6.416666666666667</v>
      </c>
      <c r="O84" s="71"/>
    </row>
    <row r="85" spans="1:15" ht="32.25" customHeight="1">
      <c r="A85" s="345" t="s">
        <v>231</v>
      </c>
      <c r="B85" s="346"/>
      <c r="C85" s="346"/>
      <c r="D85" s="151" t="s">
        <v>228</v>
      </c>
      <c r="E85" s="95">
        <f>'11'!F85</f>
        <v>4568.3</v>
      </c>
      <c r="F85" s="164">
        <v>4585</v>
      </c>
      <c r="G85" s="112">
        <f t="shared" si="8"/>
        <v>16.699999999999818</v>
      </c>
      <c r="H85" s="99">
        <f>G85+'11'!H85</f>
        <v>242</v>
      </c>
      <c r="I85" s="573"/>
      <c r="J85" s="175">
        <f>H85/DAY(B2)</f>
        <v>20.166666666666668</v>
      </c>
      <c r="O85" s="71"/>
    </row>
    <row r="86" spans="1:15" ht="32.25" customHeight="1">
      <c r="A86" s="345" t="s">
        <v>232</v>
      </c>
      <c r="B86" s="346"/>
      <c r="C86" s="346"/>
      <c r="D86" s="151" t="s">
        <v>228</v>
      </c>
      <c r="E86" s="95">
        <f>'11'!F86</f>
        <v>44658</v>
      </c>
      <c r="F86" s="164">
        <v>44658</v>
      </c>
      <c r="G86" s="112">
        <f t="shared" si="8"/>
        <v>0</v>
      </c>
      <c r="H86" s="99">
        <f>G86+'11'!H86</f>
        <v>188</v>
      </c>
      <c r="I86" s="573"/>
      <c r="J86" s="175">
        <f>H86/DAY(B2)</f>
        <v>15.666666666666666</v>
      </c>
      <c r="O86" s="71"/>
    </row>
    <row r="87" spans="1:15" ht="32.25" customHeight="1">
      <c r="A87" s="345" t="s">
        <v>233</v>
      </c>
      <c r="B87" s="346"/>
      <c r="C87" s="346"/>
      <c r="D87" s="151" t="s">
        <v>228</v>
      </c>
      <c r="E87" s="95">
        <f>'11'!F87</f>
        <v>35329.06</v>
      </c>
      <c r="F87" s="164">
        <v>35329</v>
      </c>
      <c r="G87" s="112">
        <f t="shared" si="8"/>
        <v>-5.9999999997671694E-2</v>
      </c>
      <c r="H87" s="99">
        <f>G87+'11'!H87</f>
        <v>0</v>
      </c>
      <c r="I87" s="573">
        <f>G84+G85+G86+G87</f>
        <v>40.479999999998654</v>
      </c>
      <c r="J87" s="175">
        <f>H87/DAY(B2)</f>
        <v>0</v>
      </c>
      <c r="O87" s="71"/>
    </row>
    <row r="88" spans="1:15" ht="32.25" customHeight="1">
      <c r="A88" s="345" t="s">
        <v>234</v>
      </c>
      <c r="B88" s="346"/>
      <c r="C88" s="346"/>
      <c r="D88" s="151" t="s">
        <v>228</v>
      </c>
      <c r="E88" s="95">
        <f>'11'!F88</f>
        <v>24276.95</v>
      </c>
      <c r="F88" s="164">
        <v>24276.95</v>
      </c>
      <c r="G88" s="112">
        <f t="shared" si="8"/>
        <v>0</v>
      </c>
      <c r="H88" s="99">
        <f>G88+'11'!H88</f>
        <v>49.069999999999709</v>
      </c>
      <c r="I88" s="573"/>
      <c r="J88" s="175">
        <f>H88/DAY(B2)</f>
        <v>4.0891666666666424</v>
      </c>
      <c r="O88" s="71"/>
    </row>
    <row r="89" spans="1:15" ht="32.25" customHeight="1">
      <c r="A89" s="345" t="s">
        <v>235</v>
      </c>
      <c r="B89" s="346"/>
      <c r="C89" s="346"/>
      <c r="D89" s="151" t="s">
        <v>228</v>
      </c>
      <c r="E89" s="95">
        <f>'11'!F89</f>
        <v>27106.89</v>
      </c>
      <c r="F89" s="164">
        <v>27117</v>
      </c>
      <c r="G89" s="112">
        <f t="shared" si="8"/>
        <v>10.110000000000582</v>
      </c>
      <c r="H89" s="99">
        <f>G89+'11'!H89</f>
        <v>123.59000000000015</v>
      </c>
      <c r="I89" s="573">
        <f>G88+G89</f>
        <v>10.110000000000582</v>
      </c>
      <c r="J89" s="175">
        <f>H89/DAY(B2)</f>
        <v>10.299166666666679</v>
      </c>
      <c r="O89" s="71"/>
    </row>
    <row r="90" spans="1:15" ht="32.25" customHeight="1">
      <c r="A90" s="345" t="s">
        <v>236</v>
      </c>
      <c r="B90" s="346"/>
      <c r="C90" s="346"/>
      <c r="D90" s="151" t="s">
        <v>228</v>
      </c>
      <c r="E90" s="95">
        <f>'11'!F90</f>
        <v>72133.899999999994</v>
      </c>
      <c r="F90" s="164">
        <v>72143</v>
      </c>
      <c r="G90" s="112">
        <f t="shared" si="8"/>
        <v>9.1000000000058208</v>
      </c>
      <c r="H90" s="99">
        <f>G90+'11'!H90</f>
        <v>15.880000000004657</v>
      </c>
      <c r="I90" s="573">
        <f>G90</f>
        <v>9.1000000000058208</v>
      </c>
      <c r="J90" s="175">
        <f>H90/DAY(B2)</f>
        <v>1.3233333333337214</v>
      </c>
      <c r="O90" s="71"/>
    </row>
    <row r="91" spans="1:15" ht="32.25" customHeight="1">
      <c r="A91" s="345" t="s">
        <v>237</v>
      </c>
      <c r="B91" s="346"/>
      <c r="C91" s="346"/>
      <c r="D91" s="151" t="s">
        <v>228</v>
      </c>
      <c r="E91" s="95">
        <f>'11'!F91</f>
        <v>4121.6499999999996</v>
      </c>
      <c r="F91" s="122">
        <v>4121.6499999999996</v>
      </c>
      <c r="G91" s="112">
        <f t="shared" si="8"/>
        <v>0</v>
      </c>
      <c r="H91" s="99">
        <f>G91+'11'!H91</f>
        <v>0</v>
      </c>
      <c r="I91" s="592"/>
      <c r="J91" s="175">
        <f>H91/DAY(B2)</f>
        <v>0</v>
      </c>
      <c r="O91" s="71"/>
    </row>
    <row r="92" spans="1:15" ht="32.25" customHeight="1">
      <c r="A92" s="345" t="s">
        <v>238</v>
      </c>
      <c r="B92" s="346"/>
      <c r="C92" s="346"/>
      <c r="D92" s="151" t="s">
        <v>228</v>
      </c>
      <c r="E92" s="95">
        <f>'11'!F92</f>
        <v>6336.15</v>
      </c>
      <c r="F92" s="122">
        <v>6349.16</v>
      </c>
      <c r="G92" s="112">
        <f t="shared" si="8"/>
        <v>13.010000000000218</v>
      </c>
      <c r="H92" s="99">
        <f>G92+'11'!H92</f>
        <v>131.90999999999985</v>
      </c>
      <c r="I92" s="598">
        <f>G91+G92</f>
        <v>13.010000000000218</v>
      </c>
      <c r="J92" s="175">
        <f>H92/DAY(B2)</f>
        <v>10.992499999999987</v>
      </c>
      <c r="O92" s="71"/>
    </row>
    <row r="93" spans="1:15" ht="32.25" customHeight="1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>
      <c r="A94" s="873" t="s">
        <v>240</v>
      </c>
      <c r="B94" s="874"/>
      <c r="C94" s="875"/>
      <c r="D94" s="151" t="s">
        <v>130</v>
      </c>
      <c r="E94" s="151"/>
      <c r="F94" s="151"/>
      <c r="G94" s="99">
        <f>G35+G43+G49+G57</f>
        <v>7263.8399999999965</v>
      </c>
      <c r="H94" s="99">
        <f>G94+'11'!H94</f>
        <v>80594</v>
      </c>
      <c r="I94" s="118"/>
      <c r="J94" s="175">
        <f>H94/DAY(B2)</f>
        <v>6716.166666666667</v>
      </c>
      <c r="K94" s="69"/>
      <c r="L94" s="66"/>
      <c r="O94" s="71"/>
    </row>
    <row r="95" spans="1:15" ht="32.25" customHeight="1">
      <c r="A95" s="873" t="s">
        <v>241</v>
      </c>
      <c r="B95" s="874"/>
      <c r="C95" s="875"/>
      <c r="D95" s="151" t="s">
        <v>23</v>
      </c>
      <c r="E95" s="146"/>
      <c r="F95" s="146"/>
      <c r="G95" s="166">
        <f>G94/G7</f>
        <v>0.24713915833381561</v>
      </c>
      <c r="H95" s="99">
        <f>G95+'11'!H95</f>
        <v>2.893220039481728</v>
      </c>
      <c r="I95" s="167"/>
      <c r="J95" s="175">
        <f>H95/DAY(B2)</f>
        <v>0.24110166995681068</v>
      </c>
      <c r="K95" s="69"/>
      <c r="L95" s="66"/>
      <c r="O95" s="71"/>
    </row>
    <row r="96" spans="1:15" ht="32.25" customHeight="1">
      <c r="A96" s="873" t="s">
        <v>242</v>
      </c>
      <c r="B96" s="874"/>
      <c r="C96" s="875"/>
      <c r="D96" s="151" t="s">
        <v>130</v>
      </c>
      <c r="E96" s="95"/>
      <c r="F96" s="95"/>
      <c r="G96" s="99">
        <f>G41+G42+G55+G56</f>
        <v>10292.750000000044</v>
      </c>
      <c r="H96" s="99">
        <f>G96+'11'!H96</f>
        <v>103071.6</v>
      </c>
      <c r="I96" s="118"/>
      <c r="J96" s="175">
        <f>H96/DAY(B2)</f>
        <v>8589.3000000000011</v>
      </c>
      <c r="K96" s="69"/>
      <c r="L96" s="66"/>
      <c r="O96" s="71"/>
    </row>
    <row r="97" spans="1:15" ht="32.25" customHeight="1">
      <c r="A97" s="873" t="s">
        <v>243</v>
      </c>
      <c r="B97" s="874"/>
      <c r="C97" s="875"/>
      <c r="D97" s="151" t="s">
        <v>23</v>
      </c>
      <c r="E97" s="95"/>
      <c r="F97" s="95"/>
      <c r="G97" s="166">
        <f>G96/G7</f>
        <v>0.35019240125613899</v>
      </c>
      <c r="H97" s="99">
        <f>G97+'11'!H97</f>
        <v>3.6577462013099447</v>
      </c>
      <c r="I97" s="167"/>
      <c r="J97" s="175">
        <f>H97/DAY(B2)</f>
        <v>0.30481218344249539</v>
      </c>
      <c r="K97" s="69"/>
      <c r="L97" s="66"/>
      <c r="O97" s="71"/>
    </row>
    <row r="98" spans="1:15" ht="32.25" customHeight="1">
      <c r="A98" s="873" t="s">
        <v>244</v>
      </c>
      <c r="B98" s="874"/>
      <c r="C98" s="875"/>
      <c r="D98" s="151" t="s">
        <v>130</v>
      </c>
      <c r="E98" s="95"/>
      <c r="F98" s="95"/>
      <c r="G98" s="99">
        <f>G39+G53</f>
        <v>3189.0499999999884</v>
      </c>
      <c r="H98" s="99">
        <f>G98+'11'!H98</f>
        <v>33260.090000000026</v>
      </c>
      <c r="I98" s="168"/>
      <c r="J98" s="175">
        <f>H98/DAY(B2)</f>
        <v>2771.674166666669</v>
      </c>
      <c r="K98" s="69"/>
      <c r="L98" s="66"/>
      <c r="O98" s="71"/>
    </row>
    <row r="99" spans="1:15" ht="32.25" customHeight="1">
      <c r="A99" s="873" t="s">
        <v>245</v>
      </c>
      <c r="B99" s="874"/>
      <c r="C99" s="875"/>
      <c r="D99" s="151" t="s">
        <v>23</v>
      </c>
      <c r="E99" s="95"/>
      <c r="F99" s="95"/>
      <c r="G99" s="166">
        <f>G98/G7</f>
        <v>0.10850171987329733</v>
      </c>
      <c r="H99" s="99">
        <f>G99+'11'!H99</f>
        <v>1.1903593876253935</v>
      </c>
      <c r="I99" s="168"/>
      <c r="J99" s="175">
        <f>H99/DAY(B2)</f>
        <v>9.9196615635449459E-2</v>
      </c>
      <c r="O99" s="71"/>
    </row>
    <row r="100" spans="1:15" ht="32.25" customHeight="1">
      <c r="A100" s="873" t="s">
        <v>246</v>
      </c>
      <c r="B100" s="874"/>
      <c r="C100" s="875"/>
      <c r="D100" s="151" t="s">
        <v>180</v>
      </c>
      <c r="E100" s="95"/>
      <c r="F100" s="95"/>
      <c r="G100" s="99">
        <f>G38+G52</f>
        <v>2523.2999999999884</v>
      </c>
      <c r="H100" s="99">
        <f>G100+'11'!H100</f>
        <v>27397</v>
      </c>
      <c r="I100" s="118"/>
      <c r="J100" s="175">
        <f>H100/DAY(B2)</f>
        <v>2283.0833333333335</v>
      </c>
      <c r="K100" s="70"/>
      <c r="O100" s="71"/>
    </row>
    <row r="101" spans="1:15" ht="32.25" customHeight="1">
      <c r="A101" s="873" t="s">
        <v>247</v>
      </c>
      <c r="B101" s="874"/>
      <c r="C101" s="875"/>
      <c r="D101" s="151" t="s">
        <v>23</v>
      </c>
      <c r="E101" s="95"/>
      <c r="F101" s="95"/>
      <c r="G101" s="166">
        <f>G100/G7</f>
        <v>8.585076739351559E-2</v>
      </c>
      <c r="H101" s="99">
        <f>G101+'11'!H101</f>
        <v>0.97981810817073023</v>
      </c>
      <c r="I101" s="168"/>
      <c r="J101" s="175">
        <f>H101/DAY(B2)</f>
        <v>8.1651509014227519E-2</v>
      </c>
      <c r="O101" s="71"/>
    </row>
    <row r="102" spans="1:15" ht="32.25" customHeight="1">
      <c r="A102" s="873" t="s">
        <v>248</v>
      </c>
      <c r="B102" s="874"/>
      <c r="C102" s="875"/>
      <c r="D102" s="151" t="s">
        <v>180</v>
      </c>
      <c r="E102" s="95"/>
      <c r="F102" s="95"/>
      <c r="G102" s="99">
        <f>G36+G50</f>
        <v>1904.2099999999919</v>
      </c>
      <c r="H102" s="99">
        <f>G102+'11'!H102</f>
        <v>24458</v>
      </c>
      <c r="I102" s="168"/>
      <c r="J102" s="175">
        <f>H102/DAY(B2)</f>
        <v>2038.1666666666667</v>
      </c>
      <c r="O102" s="71"/>
    </row>
    <row r="103" spans="1:15" ht="32.25" customHeight="1">
      <c r="A103" s="873" t="s">
        <v>249</v>
      </c>
      <c r="B103" s="874"/>
      <c r="C103" s="875"/>
      <c r="D103" s="151" t="s">
        <v>23</v>
      </c>
      <c r="E103" s="95"/>
      <c r="F103" s="95"/>
      <c r="G103" s="166">
        <f>G102/G7</f>
        <v>6.4787337921930171E-2</v>
      </c>
      <c r="H103" s="99">
        <f>G103+'11'!H103</f>
        <v>0.86957159755256408</v>
      </c>
      <c r="I103" s="118"/>
      <c r="J103" s="175">
        <f>H103/DAY(B2)</f>
        <v>7.2464299796047002E-2</v>
      </c>
      <c r="O103" s="71"/>
    </row>
    <row r="104" spans="1:15" ht="32.25" customHeight="1">
      <c r="A104" s="873" t="s">
        <v>250</v>
      </c>
      <c r="B104" s="874"/>
      <c r="C104" s="875"/>
      <c r="D104" s="151" t="s">
        <v>180</v>
      </c>
      <c r="E104" s="95"/>
      <c r="F104" s="95"/>
      <c r="G104" s="99">
        <f>G37+G51</f>
        <v>1720.75</v>
      </c>
      <c r="H104" s="99">
        <f>G104+'11'!H104</f>
        <v>21165.32</v>
      </c>
      <c r="I104" s="118"/>
      <c r="J104" s="175">
        <f>H104/DAY(B2)</f>
        <v>1763.7766666666666</v>
      </c>
      <c r="O104" s="71"/>
    </row>
    <row r="105" spans="1:15" ht="32.25" customHeight="1" thickBot="1">
      <c r="A105" s="913" t="s">
        <v>251</v>
      </c>
      <c r="B105" s="914"/>
      <c r="C105" s="915"/>
      <c r="D105" s="231" t="s">
        <v>23</v>
      </c>
      <c r="E105" s="185"/>
      <c r="F105" s="185"/>
      <c r="G105" s="186">
        <f>G104/G7</f>
        <v>5.8545439698962726E-2</v>
      </c>
      <c r="H105" s="99">
        <f>G105+'11'!H105</f>
        <v>0.75397906019649008</v>
      </c>
      <c r="I105" s="187"/>
      <c r="J105" s="188">
        <f>H105/DAY(B2)</f>
        <v>6.2831588349707507E-2</v>
      </c>
      <c r="O105" s="71"/>
    </row>
    <row r="106" spans="1:15" ht="32.2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>
      <c r="A108" s="927" t="s">
        <v>324</v>
      </c>
      <c r="B108" s="927"/>
      <c r="C108" s="927"/>
      <c r="D108" s="927"/>
      <c r="E108" s="927"/>
      <c r="F108" s="927"/>
      <c r="G108" s="927"/>
      <c r="H108" s="927"/>
      <c r="I108" s="927"/>
      <c r="J108" s="927"/>
    </row>
    <row r="109" spans="1:15" ht="32.25" customHeight="1">
      <c r="A109" s="912"/>
      <c r="B109" s="912"/>
    </row>
    <row r="110" spans="1:15" ht="32.25" customHeight="1">
      <c r="A110" s="928" t="s">
        <v>165</v>
      </c>
      <c r="B110" s="929"/>
      <c r="C110" s="929"/>
      <c r="D110" s="929"/>
      <c r="E110" s="929"/>
      <c r="F110" s="929"/>
      <c r="G110" s="929"/>
      <c r="H110" s="929"/>
      <c r="I110" s="929"/>
      <c r="J110" s="930"/>
    </row>
    <row r="111" spans="1:15" ht="32.25" customHeight="1">
      <c r="A111" s="931"/>
      <c r="B111" s="932"/>
      <c r="C111" s="933"/>
      <c r="D111" s="165"/>
      <c r="E111" s="165"/>
      <c r="F111" s="165"/>
      <c r="G111" s="165"/>
      <c r="H111" s="156"/>
      <c r="I111" s="165"/>
      <c r="J111" s="327"/>
    </row>
    <row r="112" spans="1:15" ht="32.25" customHeight="1">
      <c r="A112" s="906" t="s">
        <v>252</v>
      </c>
      <c r="B112" s="907"/>
      <c r="C112" s="908"/>
      <c r="D112" s="146" t="s">
        <v>183</v>
      </c>
      <c r="E112" s="95">
        <f>'11'!F112</f>
        <v>3516</v>
      </c>
      <c r="F112" s="237">
        <v>3591</v>
      </c>
      <c r="G112" s="112">
        <f t="shared" ref="G112:G123" si="9">F112-E112</f>
        <v>75</v>
      </c>
      <c r="H112" s="99">
        <f>G112+'11'!H112</f>
        <v>914</v>
      </c>
      <c r="I112" s="165"/>
      <c r="J112" s="328">
        <f>H112/DAY(B2)</f>
        <v>76.166666666666671</v>
      </c>
    </row>
    <row r="113" spans="1:18" ht="32.25" customHeight="1">
      <c r="A113" s="906" t="s">
        <v>253</v>
      </c>
      <c r="B113" s="907"/>
      <c r="C113" s="908"/>
      <c r="D113" s="146" t="s">
        <v>183</v>
      </c>
      <c r="E113" s="95">
        <f>'11'!F113</f>
        <v>7939.2</v>
      </c>
      <c r="F113" s="237">
        <v>8079</v>
      </c>
      <c r="G113" s="112">
        <f t="shared" si="9"/>
        <v>139.80000000000018</v>
      </c>
      <c r="H113" s="99">
        <f>G113+'11'!H113</f>
        <v>1688</v>
      </c>
      <c r="I113" s="165"/>
      <c r="J113" s="328">
        <f>H113/DAY(B2)</f>
        <v>140.66666666666666</v>
      </c>
    </row>
    <row r="114" spans="1:18" ht="32.25" customHeight="1">
      <c r="A114" s="906" t="s">
        <v>254</v>
      </c>
      <c r="B114" s="907"/>
      <c r="C114" s="908"/>
      <c r="D114" s="146" t="s">
        <v>183</v>
      </c>
      <c r="E114" s="95">
        <f>'11'!F114</f>
        <v>9984.56</v>
      </c>
      <c r="F114" s="237">
        <v>10199</v>
      </c>
      <c r="G114" s="112">
        <f t="shared" si="9"/>
        <v>214.44000000000051</v>
      </c>
      <c r="H114" s="99">
        <f>G114+'11'!H114</f>
        <v>2629</v>
      </c>
      <c r="I114" s="165"/>
      <c r="J114" s="328">
        <f>H114/DAY(B2)</f>
        <v>219.08333333333334</v>
      </c>
    </row>
    <row r="115" spans="1:18" ht="32.25" customHeight="1">
      <c r="A115" s="906" t="s">
        <v>255</v>
      </c>
      <c r="B115" s="907"/>
      <c r="C115" s="908"/>
      <c r="D115" s="146" t="s">
        <v>183</v>
      </c>
      <c r="E115" s="95">
        <f>'11'!F115</f>
        <v>6436.2</v>
      </c>
      <c r="F115" s="237">
        <v>6552</v>
      </c>
      <c r="G115" s="112">
        <f t="shared" si="9"/>
        <v>115.80000000000018</v>
      </c>
      <c r="H115" s="99">
        <f>G115+'11'!H115</f>
        <v>421.52000000000021</v>
      </c>
      <c r="I115" s="165"/>
      <c r="J115" s="328">
        <f>H115/DAY(B2)</f>
        <v>35.126666666666686</v>
      </c>
    </row>
    <row r="116" spans="1:18" ht="32.25" customHeight="1">
      <c r="A116" s="924" t="s">
        <v>96</v>
      </c>
      <c r="B116" s="925"/>
      <c r="C116" s="926"/>
      <c r="D116" s="146" t="s">
        <v>183</v>
      </c>
      <c r="E116" s="95">
        <f>'11'!F116</f>
        <v>51126</v>
      </c>
      <c r="F116" s="237">
        <v>51588</v>
      </c>
      <c r="G116" s="112">
        <f t="shared" si="9"/>
        <v>462</v>
      </c>
      <c r="H116" s="99">
        <f>G116+'11'!H116</f>
        <v>4833</v>
      </c>
      <c r="I116" s="165"/>
      <c r="J116" s="328">
        <f>H116/DAY(B2)</f>
        <v>402.75</v>
      </c>
      <c r="Q116" s="906" t="s">
        <v>311</v>
      </c>
      <c r="R116" s="908"/>
    </row>
    <row r="117" spans="1:18" ht="32.25" customHeight="1">
      <c r="A117" s="924" t="s">
        <v>184</v>
      </c>
      <c r="B117" s="925"/>
      <c r="C117" s="926"/>
      <c r="D117" s="146" t="s">
        <v>183</v>
      </c>
      <c r="E117" s="95">
        <f>'11'!F117</f>
        <v>27724.2</v>
      </c>
      <c r="F117" s="237">
        <v>27992</v>
      </c>
      <c r="G117" s="112">
        <f t="shared" si="9"/>
        <v>267.79999999999927</v>
      </c>
      <c r="H117" s="99">
        <f>G117+'11'!H117</f>
        <v>2724</v>
      </c>
      <c r="I117" s="165"/>
      <c r="J117" s="328">
        <f>H117/DAY(B2)</f>
        <v>227</v>
      </c>
      <c r="Q117" s="906" t="s">
        <v>312</v>
      </c>
      <c r="R117" s="908"/>
    </row>
    <row r="118" spans="1:18" ht="32.25" customHeight="1">
      <c r="A118" s="901" t="s">
        <v>97</v>
      </c>
      <c r="B118" s="901"/>
      <c r="C118" s="901"/>
      <c r="D118" s="151" t="s">
        <v>183</v>
      </c>
      <c r="E118" s="95">
        <f>'11'!F118</f>
        <v>32538.14</v>
      </c>
      <c r="F118" s="237">
        <v>33147</v>
      </c>
      <c r="G118" s="112">
        <f t="shared" si="9"/>
        <v>608.86000000000058</v>
      </c>
      <c r="H118" s="99">
        <f>G118+'11'!H118</f>
        <v>6922</v>
      </c>
      <c r="I118" s="165"/>
      <c r="J118" s="328">
        <f>H118/DAY(B2)</f>
        <v>576.83333333333337</v>
      </c>
      <c r="Q118" s="906" t="s">
        <v>311</v>
      </c>
      <c r="R118" s="908"/>
    </row>
    <row r="119" spans="1:18" ht="32.25" customHeight="1">
      <c r="A119" s="901" t="s">
        <v>98</v>
      </c>
      <c r="B119" s="901"/>
      <c r="C119" s="901"/>
      <c r="D119" s="151" t="s">
        <v>183</v>
      </c>
      <c r="E119" s="95">
        <f>'11'!F119</f>
        <v>23664.9</v>
      </c>
      <c r="F119" s="237">
        <v>24113</v>
      </c>
      <c r="G119" s="112">
        <f t="shared" si="9"/>
        <v>448.09999999999854</v>
      </c>
      <c r="H119" s="99">
        <f>G119+'11'!H119</f>
        <v>5166</v>
      </c>
      <c r="I119" s="165"/>
      <c r="J119" s="328">
        <f>H119/DAY(B2)</f>
        <v>430.5</v>
      </c>
    </row>
    <row r="120" spans="1:18" ht="32.25" customHeight="1">
      <c r="A120" s="901" t="s">
        <v>99</v>
      </c>
      <c r="B120" s="901"/>
      <c r="C120" s="901"/>
      <c r="D120" s="151" t="s">
        <v>183</v>
      </c>
      <c r="E120" s="95">
        <f>'11'!F120</f>
        <v>24877.599999999999</v>
      </c>
      <c r="F120" s="237">
        <v>25320</v>
      </c>
      <c r="G120" s="112">
        <f t="shared" si="9"/>
        <v>442.40000000000146</v>
      </c>
      <c r="H120" s="99">
        <f>G120+'11'!H120</f>
        <v>5270</v>
      </c>
      <c r="I120" s="165"/>
      <c r="J120" s="328">
        <f>H120/DAY(B2)</f>
        <v>439.16666666666669</v>
      </c>
    </row>
    <row r="121" spans="1:18" ht="32.25" customHeight="1">
      <c r="A121" s="901" t="s">
        <v>100</v>
      </c>
      <c r="B121" s="901"/>
      <c r="C121" s="901"/>
      <c r="D121" s="151" t="s">
        <v>183</v>
      </c>
      <c r="E121" s="95">
        <f>'11'!F121</f>
        <v>30977.4</v>
      </c>
      <c r="F121" s="237">
        <v>31476</v>
      </c>
      <c r="G121" s="112">
        <f t="shared" si="9"/>
        <v>498.59999999999854</v>
      </c>
      <c r="H121" s="99">
        <f>G121+'11'!H121</f>
        <v>5632</v>
      </c>
      <c r="I121" s="165"/>
      <c r="J121" s="328">
        <f>H121/DAY(B2)</f>
        <v>469.33333333333331</v>
      </c>
    </row>
    <row r="122" spans="1:18" ht="32.25" customHeight="1">
      <c r="A122" s="901" t="s">
        <v>101</v>
      </c>
      <c r="B122" s="901"/>
      <c r="C122" s="901"/>
      <c r="D122" s="151" t="s">
        <v>183</v>
      </c>
      <c r="E122" s="95">
        <f>'11'!F122</f>
        <v>14515</v>
      </c>
      <c r="F122" s="237">
        <v>14839</v>
      </c>
      <c r="G122" s="112">
        <f t="shared" si="9"/>
        <v>324</v>
      </c>
      <c r="H122" s="99">
        <f>G122+'11'!H122</f>
        <v>3679</v>
      </c>
      <c r="I122" s="165"/>
      <c r="J122" s="328">
        <f>H122/DAY(B2)</f>
        <v>306.58333333333331</v>
      </c>
    </row>
    <row r="123" spans="1:18" ht="32.25" customHeight="1">
      <c r="A123" s="901" t="s">
        <v>102</v>
      </c>
      <c r="B123" s="901"/>
      <c r="C123" s="901"/>
      <c r="D123" s="151" t="s">
        <v>183</v>
      </c>
      <c r="E123" s="95">
        <f>'11'!F123</f>
        <v>14370</v>
      </c>
      <c r="F123" s="237">
        <v>14686</v>
      </c>
      <c r="G123" s="112">
        <f t="shared" si="9"/>
        <v>316</v>
      </c>
      <c r="H123" s="99">
        <f>G123+'11'!H123</f>
        <v>4177</v>
      </c>
      <c r="I123" s="165"/>
      <c r="J123" s="328">
        <f>H123/DAY(B2)</f>
        <v>348.08333333333331</v>
      </c>
    </row>
    <row r="124" spans="1:18" ht="32.25" customHeight="1">
      <c r="A124" s="931"/>
      <c r="B124" s="932"/>
      <c r="C124" s="933"/>
      <c r="D124" s="165"/>
      <c r="E124" s="165"/>
      <c r="F124" s="165"/>
      <c r="G124" s="327"/>
      <c r="H124" s="156"/>
      <c r="I124" s="165"/>
      <c r="J124" s="327"/>
    </row>
    <row r="125" spans="1:18" ht="32.25" customHeight="1">
      <c r="A125" s="934" t="s">
        <v>196</v>
      </c>
      <c r="B125" s="935"/>
      <c r="C125" s="245"/>
      <c r="D125" s="307"/>
      <c r="E125" s="308"/>
      <c r="F125" s="308"/>
      <c r="G125" s="309">
        <f>SUM(G112:G124)</f>
        <v>3912.7999999999993</v>
      </c>
      <c r="H125" s="156"/>
      <c r="I125" s="327" t="s">
        <v>365</v>
      </c>
      <c r="J125" s="327"/>
    </row>
    <row r="126" spans="1:18" ht="32.25" customHeight="1">
      <c r="A126" s="936" t="s">
        <v>317</v>
      </c>
      <c r="B126" s="936"/>
      <c r="C126" s="936"/>
      <c r="D126" s="936"/>
      <c r="E126" s="936"/>
      <c r="F126" s="936"/>
      <c r="G126" s="936"/>
      <c r="H126" s="936"/>
      <c r="I126" s="936"/>
      <c r="J126" s="936"/>
    </row>
    <row r="127" spans="1:18" ht="32.25" customHeight="1">
      <c r="A127" s="937"/>
      <c r="B127" s="937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>
      <c r="A128" s="906" t="s">
        <v>318</v>
      </c>
      <c r="B128" s="907"/>
      <c r="C128" s="908"/>
      <c r="D128" s="151" t="s">
        <v>183</v>
      </c>
      <c r="E128" s="95">
        <f>'11'!F128</f>
        <v>101404.14</v>
      </c>
      <c r="F128" s="165">
        <v>101967</v>
      </c>
      <c r="G128" s="112">
        <f t="shared" ref="G128:G134" si="10">F128-E128</f>
        <v>562.86000000000058</v>
      </c>
      <c r="H128" s="99">
        <f>G128+'11'!H128</f>
        <v>6252</v>
      </c>
      <c r="I128" s="165"/>
      <c r="J128" s="328">
        <f>H128/DAY(B2)</f>
        <v>521</v>
      </c>
    </row>
    <row r="129" spans="1:15" ht="32.25" customHeight="1">
      <c r="A129" s="329" t="s">
        <v>319</v>
      </c>
      <c r="B129" s="330"/>
      <c r="C129" s="331"/>
      <c r="D129" s="151" t="s">
        <v>183</v>
      </c>
      <c r="E129" s="95">
        <f>'11'!F129</f>
        <v>62912.800000000003</v>
      </c>
      <c r="F129" s="165">
        <v>63137</v>
      </c>
      <c r="G129" s="112">
        <f t="shared" si="10"/>
        <v>224.19999999999709</v>
      </c>
      <c r="H129" s="99">
        <f>G129+'11'!H129</f>
        <v>2844</v>
      </c>
      <c r="I129" s="165"/>
      <c r="J129" s="328">
        <f>H129/DAY(B2)</f>
        <v>237</v>
      </c>
      <c r="N129" s="240"/>
      <c r="O129" s="241"/>
    </row>
    <row r="130" spans="1:15" ht="32.25" customHeight="1">
      <c r="A130" s="329" t="s">
        <v>320</v>
      </c>
      <c r="B130" s="330"/>
      <c r="C130" s="331"/>
      <c r="D130" s="151" t="s">
        <v>183</v>
      </c>
      <c r="E130" s="95">
        <f>'11'!F130</f>
        <v>127385.8</v>
      </c>
      <c r="F130" s="165">
        <v>128231</v>
      </c>
      <c r="G130" s="112">
        <f t="shared" si="10"/>
        <v>845.19999999999709</v>
      </c>
      <c r="H130" s="99">
        <f>G130+'11'!H130</f>
        <v>7102</v>
      </c>
      <c r="I130" s="165"/>
      <c r="J130" s="328">
        <f>H130/DAY(B2)</f>
        <v>591.83333333333337</v>
      </c>
      <c r="N130" s="240"/>
      <c r="O130" s="241"/>
    </row>
    <row r="131" spans="1:15" ht="32.25" customHeight="1">
      <c r="A131" s="906" t="s">
        <v>321</v>
      </c>
      <c r="B131" s="907"/>
      <c r="C131" s="908"/>
      <c r="D131" s="151" t="s">
        <v>183</v>
      </c>
      <c r="E131" s="95">
        <f>'11'!F131</f>
        <v>38530.410000000003</v>
      </c>
      <c r="F131" s="165">
        <v>38734</v>
      </c>
      <c r="G131" s="112">
        <f t="shared" si="10"/>
        <v>203.58999999999651</v>
      </c>
      <c r="H131" s="99">
        <f>G131+'11'!H131</f>
        <v>2455</v>
      </c>
      <c r="I131" s="165"/>
      <c r="J131" s="328">
        <f>H131/DAY(B2)</f>
        <v>204.58333333333334</v>
      </c>
      <c r="N131" s="240"/>
      <c r="O131" s="241"/>
    </row>
    <row r="132" spans="1:15" ht="32.25" customHeight="1">
      <c r="A132" s="906" t="s">
        <v>322</v>
      </c>
      <c r="B132" s="907"/>
      <c r="C132" s="908"/>
      <c r="D132" s="151" t="s">
        <v>183</v>
      </c>
      <c r="E132" s="95">
        <f>'11'!F132</f>
        <v>107959</v>
      </c>
      <c r="F132" s="165">
        <v>108390</v>
      </c>
      <c r="G132" s="112">
        <f t="shared" si="10"/>
        <v>431</v>
      </c>
      <c r="H132" s="99">
        <f>G132+'11'!H132</f>
        <v>4878</v>
      </c>
      <c r="I132" s="165"/>
      <c r="J132" s="328">
        <f>H132/DAY(B2)</f>
        <v>406.5</v>
      </c>
    </row>
    <row r="133" spans="1:15" ht="32.25" customHeight="1">
      <c r="A133" s="906" t="s">
        <v>359</v>
      </c>
      <c r="B133" s="907"/>
      <c r="C133" s="908"/>
      <c r="D133" s="151" t="s">
        <v>183</v>
      </c>
      <c r="E133" s="95">
        <f>'11'!F133</f>
        <v>210653</v>
      </c>
      <c r="F133" s="165">
        <v>211561</v>
      </c>
      <c r="G133" s="112">
        <f t="shared" si="10"/>
        <v>908</v>
      </c>
      <c r="H133" s="99">
        <f>G133+'11'!H133</f>
        <v>10329</v>
      </c>
      <c r="I133" s="165"/>
      <c r="J133" s="328">
        <f>H133/DAY(B2)</f>
        <v>860.75</v>
      </c>
    </row>
    <row r="134" spans="1:15" ht="32.25" customHeight="1">
      <c r="A134" s="906" t="s">
        <v>340</v>
      </c>
      <c r="B134" s="907"/>
      <c r="C134" s="908"/>
      <c r="D134" s="151" t="s">
        <v>183</v>
      </c>
      <c r="E134" s="95">
        <f>'11'!F134</f>
        <v>37513.4</v>
      </c>
      <c r="F134" s="165">
        <v>37772</v>
      </c>
      <c r="G134" s="112">
        <f t="shared" si="10"/>
        <v>258.59999999999854</v>
      </c>
      <c r="H134" s="99">
        <f>G134+'11'!H134</f>
        <v>2877</v>
      </c>
      <c r="I134" s="165"/>
      <c r="J134" s="328">
        <f>H134/DAY(B2)</f>
        <v>239.75</v>
      </c>
    </row>
    <row r="135" spans="1:15" ht="32.25" customHeight="1">
      <c r="A135" s="934" t="s">
        <v>196</v>
      </c>
      <c r="B135" s="935"/>
      <c r="C135" s="331"/>
      <c r="D135" s="151"/>
      <c r="E135" s="95"/>
      <c r="F135" s="165"/>
      <c r="G135" s="112">
        <f>SUM(G128:G134)</f>
        <v>3433.4499999999898</v>
      </c>
      <c r="H135" s="99">
        <f>G135+'10'!H135</f>
        <v>33651.279999999992</v>
      </c>
      <c r="I135" s="327">
        <f>G135-(G35+G49)</f>
        <v>-516.49000000001251</v>
      </c>
      <c r="J135" s="328">
        <f>H135/DAY(B2)</f>
        <v>2804.2733333333326</v>
      </c>
    </row>
    <row r="136" spans="1:15" ht="32.25" customHeight="1">
      <c r="A136" s="938" t="s">
        <v>207</v>
      </c>
      <c r="B136" s="938"/>
      <c r="C136" s="938"/>
      <c r="D136" s="938"/>
      <c r="E136" s="938"/>
      <c r="F136" s="938"/>
      <c r="G136" s="938"/>
      <c r="H136" s="938"/>
      <c r="I136" s="938"/>
      <c r="J136" s="938"/>
    </row>
    <row r="137" spans="1:15" ht="32.2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2.25" customHeight="1">
      <c r="A138" s="901" t="s">
        <v>185</v>
      </c>
      <c r="B138" s="901"/>
      <c r="C138" s="901"/>
      <c r="D138" s="151" t="s">
        <v>183</v>
      </c>
      <c r="E138" s="95">
        <f>'11'!F138</f>
        <v>884639</v>
      </c>
      <c r="F138" s="147">
        <v>884818</v>
      </c>
      <c r="G138" s="112">
        <f t="shared" ref="G138:G152" si="11">F138-E138</f>
        <v>179</v>
      </c>
      <c r="H138" s="99">
        <f>G138+'11'!H138</f>
        <v>1540.2999999999993</v>
      </c>
      <c r="I138" s="118"/>
      <c r="J138" s="328">
        <f>H138/DAY(B2)</f>
        <v>128.35833333333326</v>
      </c>
    </row>
    <row r="139" spans="1:15" ht="32.25" customHeight="1">
      <c r="A139" s="901" t="s">
        <v>186</v>
      </c>
      <c r="B139" s="901"/>
      <c r="C139" s="901"/>
      <c r="D139" s="151" t="s">
        <v>183</v>
      </c>
      <c r="E139" s="95">
        <f>'11'!F139</f>
        <v>901169</v>
      </c>
      <c r="F139" s="148">
        <v>901319</v>
      </c>
      <c r="G139" s="112">
        <f t="shared" si="11"/>
        <v>150</v>
      </c>
      <c r="H139" s="99">
        <f>G139+'11'!H139</f>
        <v>1864</v>
      </c>
      <c r="I139" s="118"/>
      <c r="J139" s="328">
        <f>H139/DAY(B2)</f>
        <v>155.33333333333334</v>
      </c>
    </row>
    <row r="140" spans="1:15" ht="32.25" customHeight="1">
      <c r="A140" s="901" t="s">
        <v>187</v>
      </c>
      <c r="B140" s="901"/>
      <c r="C140" s="901"/>
      <c r="D140" s="151" t="s">
        <v>183</v>
      </c>
      <c r="E140" s="95">
        <v>772</v>
      </c>
      <c r="F140" s="149">
        <v>775</v>
      </c>
      <c r="G140" s="112">
        <f t="shared" si="11"/>
        <v>3</v>
      </c>
      <c r="H140" s="99">
        <f>G140+'11'!H140</f>
        <v>126.24000000000001</v>
      </c>
      <c r="I140" s="118"/>
      <c r="J140" s="328">
        <f>H140/DAY(B2)</f>
        <v>10.520000000000001</v>
      </c>
    </row>
    <row r="141" spans="1:15" ht="32.25" customHeight="1">
      <c r="A141" s="905" t="s">
        <v>188</v>
      </c>
      <c r="B141" s="905"/>
      <c r="C141" s="905"/>
      <c r="D141" s="151" t="s">
        <v>183</v>
      </c>
      <c r="E141" s="95">
        <f>'11'!F141</f>
        <v>80202.95</v>
      </c>
      <c r="F141" s="149">
        <v>80418</v>
      </c>
      <c r="G141" s="112">
        <f t="shared" si="11"/>
        <v>215.05000000000291</v>
      </c>
      <c r="H141" s="99">
        <f>G141+'11'!H141</f>
        <v>2466</v>
      </c>
      <c r="I141" s="118"/>
      <c r="J141" s="328">
        <f>H141/DAY(B2)</f>
        <v>205.5</v>
      </c>
    </row>
    <row r="142" spans="1:15" ht="32.25" customHeight="1">
      <c r="A142" s="905" t="s">
        <v>189</v>
      </c>
      <c r="B142" s="905"/>
      <c r="C142" s="905"/>
      <c r="D142" s="151" t="s">
        <v>183</v>
      </c>
      <c r="E142" s="95">
        <f>'11'!F142</f>
        <v>32230.2</v>
      </c>
      <c r="F142" s="148">
        <v>32393</v>
      </c>
      <c r="G142" s="112">
        <f t="shared" si="11"/>
        <v>162.79999999999927</v>
      </c>
      <c r="H142" s="99">
        <f>G142+'11'!H142</f>
        <v>1867</v>
      </c>
      <c r="I142" s="140"/>
      <c r="J142" s="328">
        <f>H142/DAY(B2)</f>
        <v>155.58333333333334</v>
      </c>
    </row>
    <row r="143" spans="1:15" ht="32.25" customHeight="1">
      <c r="A143" s="901" t="s">
        <v>91</v>
      </c>
      <c r="B143" s="901"/>
      <c r="C143" s="901"/>
      <c r="D143" s="151" t="s">
        <v>183</v>
      </c>
      <c r="E143" s="95">
        <f>'11'!F143</f>
        <v>7613.96</v>
      </c>
      <c r="F143" s="149">
        <v>7636</v>
      </c>
      <c r="G143" s="112">
        <f t="shared" si="11"/>
        <v>22.039999999999964</v>
      </c>
      <c r="H143" s="99">
        <f>G143+'11'!H143</f>
        <v>330</v>
      </c>
      <c r="I143" s="140"/>
      <c r="J143" s="328">
        <f>H143/DAY(B2)</f>
        <v>27.5</v>
      </c>
    </row>
    <row r="144" spans="1:15" ht="32.25" customHeight="1">
      <c r="A144" s="905" t="s">
        <v>90</v>
      </c>
      <c r="B144" s="905"/>
      <c r="C144" s="905"/>
      <c r="D144" s="151" t="s">
        <v>183</v>
      </c>
      <c r="E144" s="95">
        <f>'11'!F144</f>
        <v>907723</v>
      </c>
      <c r="F144" s="149">
        <v>907963</v>
      </c>
      <c r="G144" s="112">
        <f t="shared" si="11"/>
        <v>240</v>
      </c>
      <c r="H144" s="99">
        <f>G144+'11'!H144</f>
        <v>2910</v>
      </c>
      <c r="I144" s="140"/>
      <c r="J144" s="328">
        <f>H144/DAY(B2)</f>
        <v>242.5</v>
      </c>
    </row>
    <row r="145" spans="1:10" ht="32.25" customHeight="1">
      <c r="A145" s="901" t="s">
        <v>190</v>
      </c>
      <c r="B145" s="901"/>
      <c r="C145" s="901"/>
      <c r="D145" s="152" t="s">
        <v>183</v>
      </c>
      <c r="E145" s="95">
        <f>'11'!F145</f>
        <v>5664.72</v>
      </c>
      <c r="F145" s="149">
        <v>5665</v>
      </c>
      <c r="G145" s="112">
        <f t="shared" si="11"/>
        <v>0.27999999999974534</v>
      </c>
      <c r="H145" s="99">
        <f>G145+'11'!H145</f>
        <v>1</v>
      </c>
      <c r="I145" s="140"/>
      <c r="J145" s="328">
        <f>H145/DAY(B2)</f>
        <v>8.3333333333333329E-2</v>
      </c>
    </row>
    <row r="146" spans="1:10" ht="32.25" customHeight="1">
      <c r="A146" s="902" t="s">
        <v>191</v>
      </c>
      <c r="B146" s="903"/>
      <c r="C146" s="904"/>
      <c r="D146" s="152" t="s">
        <v>183</v>
      </c>
      <c r="E146" s="95">
        <f>'11'!F146</f>
        <v>778415</v>
      </c>
      <c r="F146" s="148">
        <v>778504</v>
      </c>
      <c r="G146" s="112">
        <f t="shared" si="11"/>
        <v>89</v>
      </c>
      <c r="H146" s="99">
        <f>G146+'11'!H146</f>
        <v>636</v>
      </c>
      <c r="I146" s="140"/>
      <c r="J146" s="328">
        <f>H146/DAY(B2)</f>
        <v>53</v>
      </c>
    </row>
    <row r="147" spans="1:10" ht="32.25" customHeight="1">
      <c r="A147" s="905" t="s">
        <v>192</v>
      </c>
      <c r="B147" s="905"/>
      <c r="C147" s="905"/>
      <c r="D147" s="152" t="s">
        <v>183</v>
      </c>
      <c r="E147" s="95">
        <f>'11'!F147</f>
        <v>680055.4</v>
      </c>
      <c r="F147" s="148">
        <v>680286</v>
      </c>
      <c r="G147" s="112">
        <f t="shared" si="11"/>
        <v>230.59999999997672</v>
      </c>
      <c r="H147" s="99">
        <f>G147+'11'!H147</f>
        <v>4438</v>
      </c>
      <c r="I147" s="140"/>
      <c r="J147" s="328">
        <f>H147/DAY(B2)</f>
        <v>369.83333333333331</v>
      </c>
    </row>
    <row r="148" spans="1:10" ht="32.25" customHeight="1">
      <c r="A148" s="897" t="s">
        <v>193</v>
      </c>
      <c r="B148" s="898"/>
      <c r="C148" s="899"/>
      <c r="D148" s="123" t="s">
        <v>130</v>
      </c>
      <c r="E148" s="95">
        <f>'11'!F148</f>
        <v>732876.80000000005</v>
      </c>
      <c r="F148" s="404">
        <v>733165</v>
      </c>
      <c r="G148" s="112">
        <f t="shared" si="11"/>
        <v>288.19999999995343</v>
      </c>
      <c r="H148" s="99">
        <f>G148+'11'!H148</f>
        <v>3420</v>
      </c>
      <c r="I148" s="124"/>
      <c r="J148" s="328">
        <f>H148/DAY(B2)</f>
        <v>285</v>
      </c>
    </row>
    <row r="149" spans="1:10" ht="32.25" customHeight="1">
      <c r="A149" s="897" t="s">
        <v>336</v>
      </c>
      <c r="B149" s="898"/>
      <c r="C149" s="899"/>
      <c r="D149" s="227" t="s">
        <v>130</v>
      </c>
      <c r="E149" s="95">
        <f>'11'!F149</f>
        <v>107150.98</v>
      </c>
      <c r="F149" s="146">
        <v>107709</v>
      </c>
      <c r="G149" s="112">
        <f t="shared" si="11"/>
        <v>558.02000000000407</v>
      </c>
      <c r="H149" s="99">
        <f>G149+'11'!H149</f>
        <v>6814</v>
      </c>
      <c r="I149" s="119"/>
      <c r="J149" s="328">
        <f>H149/DAY(B2)</f>
        <v>567.83333333333337</v>
      </c>
    </row>
    <row r="150" spans="1:10" ht="32.25" customHeight="1">
      <c r="A150" s="897" t="s">
        <v>337</v>
      </c>
      <c r="B150" s="898"/>
      <c r="C150" s="899"/>
      <c r="D150" s="117" t="s">
        <v>130</v>
      </c>
      <c r="E150" s="95">
        <f>'11'!F150</f>
        <v>39616.6</v>
      </c>
      <c r="F150" s="233">
        <v>39838</v>
      </c>
      <c r="G150" s="112">
        <f t="shared" si="11"/>
        <v>221.40000000000146</v>
      </c>
      <c r="H150" s="99">
        <f>G150+'11'!H150</f>
        <v>2622</v>
      </c>
      <c r="I150" s="119"/>
      <c r="J150" s="328">
        <f>H150/DAY(B2)</f>
        <v>218.5</v>
      </c>
    </row>
    <row r="151" spans="1:10" ht="32.25" customHeight="1">
      <c r="A151" s="897" t="s">
        <v>338</v>
      </c>
      <c r="B151" s="898"/>
      <c r="C151" s="899"/>
      <c r="D151" s="117" t="s">
        <v>130</v>
      </c>
      <c r="E151" s="95">
        <f>'11'!F151</f>
        <v>121362</v>
      </c>
      <c r="F151" s="233">
        <v>121679</v>
      </c>
      <c r="G151" s="112">
        <f t="shared" si="11"/>
        <v>317</v>
      </c>
      <c r="H151" s="99">
        <f>G151+'11'!H151</f>
        <v>3542</v>
      </c>
      <c r="I151" s="119"/>
      <c r="J151" s="328">
        <f>H151/DAY(B2)</f>
        <v>295.16666666666669</v>
      </c>
    </row>
    <row r="152" spans="1:10" ht="32.25" customHeight="1">
      <c r="A152" s="897" t="s">
        <v>339</v>
      </c>
      <c r="B152" s="898"/>
      <c r="C152" s="899"/>
      <c r="D152" s="117" t="s">
        <v>130</v>
      </c>
      <c r="E152" s="95">
        <f>'11'!F152</f>
        <v>16855.45</v>
      </c>
      <c r="F152" s="233">
        <v>16984</v>
      </c>
      <c r="G152" s="112">
        <f t="shared" si="11"/>
        <v>128.54999999999927</v>
      </c>
      <c r="H152" s="99">
        <f>G152+'11'!H152</f>
        <v>5828</v>
      </c>
      <c r="I152" s="119"/>
      <c r="J152" s="328">
        <f>H152/DAY(B2)</f>
        <v>485.66666666666669</v>
      </c>
    </row>
    <row r="153" spans="1:10" ht="32.25" customHeight="1">
      <c r="A153" s="934" t="s">
        <v>196</v>
      </c>
      <c r="B153" s="935"/>
      <c r="C153" s="365"/>
      <c r="D153" s="358"/>
      <c r="E153" s="360"/>
      <c r="F153" s="361"/>
      <c r="G153" s="362">
        <f>SUM(G138:G152)</f>
        <v>2804.9399999999368</v>
      </c>
      <c r="H153" s="363"/>
      <c r="I153" s="119">
        <f>G153-(G38+G52)</f>
        <v>281.63999999994849</v>
      </c>
      <c r="J153" s="366"/>
    </row>
    <row r="154" spans="1:10" ht="32.25" customHeight="1">
      <c r="A154" s="938" t="s">
        <v>344</v>
      </c>
      <c r="B154" s="938"/>
      <c r="C154" s="938"/>
      <c r="D154" s="938"/>
      <c r="E154" s="938"/>
      <c r="F154" s="938"/>
      <c r="G154" s="938"/>
      <c r="H154" s="938"/>
      <c r="I154" s="938"/>
      <c r="J154" s="938"/>
    </row>
    <row r="155" spans="1:10" ht="32.25" customHeight="1">
      <c r="A155" s="905" t="s">
        <v>345</v>
      </c>
      <c r="B155" s="905"/>
      <c r="C155" s="905"/>
      <c r="D155" s="117" t="s">
        <v>130</v>
      </c>
      <c r="E155" s="95">
        <f>'11'!F155</f>
        <v>118756.42</v>
      </c>
      <c r="F155" s="374">
        <v>119385</v>
      </c>
      <c r="G155" s="112">
        <f t="shared" ref="G155:G158" si="12">F155-E155</f>
        <v>628.58000000000175</v>
      </c>
      <c r="H155" s="99">
        <f>G155+'11'!H155</f>
        <v>7410</v>
      </c>
      <c r="I155" s="364"/>
      <c r="J155" s="328">
        <f>H155/DAY(B2)</f>
        <v>617.5</v>
      </c>
    </row>
    <row r="156" spans="1:10" ht="32.25" customHeight="1">
      <c r="A156" s="905" t="s">
        <v>347</v>
      </c>
      <c r="B156" s="905"/>
      <c r="C156" s="905"/>
      <c r="D156" s="117" t="s">
        <v>130</v>
      </c>
      <c r="E156" s="95">
        <f>'11'!F156</f>
        <v>10515.8</v>
      </c>
      <c r="F156" s="155">
        <v>10598</v>
      </c>
      <c r="G156" s="112">
        <f t="shared" si="12"/>
        <v>82.200000000000728</v>
      </c>
      <c r="H156" s="99">
        <f>G156+'11'!H156</f>
        <v>913</v>
      </c>
      <c r="I156" s="165"/>
      <c r="J156" s="328">
        <f>H156/DAY(B2)</f>
        <v>76.083333333333329</v>
      </c>
    </row>
    <row r="157" spans="1:10" ht="32.25" customHeight="1">
      <c r="A157" s="897" t="s">
        <v>360</v>
      </c>
      <c r="B157" s="898"/>
      <c r="C157" s="899"/>
      <c r="D157" s="117" t="s">
        <v>130</v>
      </c>
      <c r="E157" s="95">
        <f>'11'!F157</f>
        <v>20103.45</v>
      </c>
      <c r="F157" s="155">
        <v>20267</v>
      </c>
      <c r="G157" s="112">
        <f t="shared" si="12"/>
        <v>163.54999999999927</v>
      </c>
      <c r="H157" s="99">
        <f>G157+'11'!H157</f>
        <v>2067</v>
      </c>
      <c r="I157" s="165"/>
      <c r="J157" s="328">
        <f>H157/DAY(B2)</f>
        <v>172.25</v>
      </c>
    </row>
    <row r="158" spans="1:10" ht="32.25" customHeight="1">
      <c r="A158" s="897" t="s">
        <v>361</v>
      </c>
      <c r="B158" s="898"/>
      <c r="C158" s="899"/>
      <c r="D158" s="117" t="s">
        <v>130</v>
      </c>
      <c r="E158" s="95">
        <f>'11'!F158</f>
        <v>188.3</v>
      </c>
      <c r="F158" s="155">
        <v>188</v>
      </c>
      <c r="G158" s="112">
        <f t="shared" si="12"/>
        <v>-0.30000000000001137</v>
      </c>
      <c r="H158" s="99">
        <f>G158+'11'!H158</f>
        <v>97.58</v>
      </c>
      <c r="I158" s="165"/>
      <c r="J158" s="328">
        <f>H158/DAY(B2)</f>
        <v>8.1316666666666659</v>
      </c>
    </row>
    <row r="159" spans="1:10" ht="32.25" customHeight="1">
      <c r="A159" s="956"/>
      <c r="B159" s="957"/>
      <c r="C159" s="958"/>
      <c r="D159" s="117"/>
      <c r="E159" s="95"/>
      <c r="F159" s="165"/>
      <c r="G159" s="362">
        <f>SUM(G155:G158)</f>
        <v>874.03000000000179</v>
      </c>
      <c r="H159" s="99"/>
      <c r="I159" s="165"/>
      <c r="J159" s="328"/>
    </row>
    <row r="160" spans="1:10" ht="32.25" customHeight="1">
      <c r="A160" s="938" t="s">
        <v>326</v>
      </c>
      <c r="B160" s="938"/>
      <c r="C160" s="938"/>
      <c r="D160" s="938"/>
      <c r="E160" s="938"/>
      <c r="F160" s="938"/>
      <c r="G160" s="938"/>
      <c r="H160" s="938"/>
      <c r="I160" s="938"/>
      <c r="J160" s="938"/>
    </row>
    <row r="161" spans="1:10" ht="32.25" customHeight="1">
      <c r="A161" s="242" t="s">
        <v>92</v>
      </c>
      <c r="B161" s="243"/>
      <c r="C161" s="243"/>
      <c r="D161" s="244" t="s">
        <v>180</v>
      </c>
      <c r="E161" s="95">
        <f>'11'!F161</f>
        <v>476583</v>
      </c>
      <c r="F161" s="235">
        <v>476617.72</v>
      </c>
      <c r="G161" s="238">
        <f t="shared" ref="G161:G165" si="13">F161-E161</f>
        <v>34.71999999997206</v>
      </c>
      <c r="H161" s="99">
        <f>G161+'11'!H161</f>
        <v>1196.7199999999721</v>
      </c>
      <c r="I161" s="236"/>
      <c r="J161" s="239">
        <f>H161/DAY(B2)</f>
        <v>99.726666666664343</v>
      </c>
    </row>
    <row r="162" spans="1:10" ht="32.25" customHeight="1">
      <c r="A162" s="242" t="s">
        <v>93</v>
      </c>
      <c r="B162" s="243"/>
      <c r="C162" s="243"/>
      <c r="D162" s="244" t="s">
        <v>180</v>
      </c>
      <c r="E162" s="95">
        <f>'11'!F162</f>
        <v>93102.9</v>
      </c>
      <c r="F162" s="235">
        <v>93120</v>
      </c>
      <c r="G162" s="238">
        <f t="shared" si="13"/>
        <v>17.100000000005821</v>
      </c>
      <c r="H162" s="99">
        <f>G162+'11'!H162</f>
        <v>393</v>
      </c>
      <c r="I162" s="236"/>
      <c r="J162" s="239">
        <f>H162/DAY(B2)</f>
        <v>32.75</v>
      </c>
    </row>
    <row r="163" spans="1:10" ht="32.25" customHeight="1">
      <c r="A163" s="242" t="s">
        <v>197</v>
      </c>
      <c r="B163" s="243"/>
      <c r="C163" s="243"/>
      <c r="D163" s="244" t="s">
        <v>180</v>
      </c>
      <c r="E163" s="95">
        <f>'11'!F163</f>
        <v>98894.8</v>
      </c>
      <c r="F163" s="235">
        <v>99050</v>
      </c>
      <c r="G163" s="238">
        <f t="shared" si="13"/>
        <v>155.19999999999709</v>
      </c>
      <c r="H163" s="99">
        <f>G163+'11'!H163</f>
        <v>1915</v>
      </c>
      <c r="I163" s="236"/>
      <c r="J163" s="239">
        <f>H163/DAY(B2)</f>
        <v>159.58333333333334</v>
      </c>
    </row>
    <row r="164" spans="1:10" ht="32.25" customHeight="1">
      <c r="A164" s="242" t="s">
        <v>197</v>
      </c>
      <c r="B164" s="243"/>
      <c r="C164" s="243"/>
      <c r="D164" s="244" t="s">
        <v>180</v>
      </c>
      <c r="E164" s="95">
        <f>'11'!F164</f>
        <v>5669</v>
      </c>
      <c r="F164" s="235">
        <v>5681</v>
      </c>
      <c r="G164" s="238">
        <f t="shared" si="13"/>
        <v>12</v>
      </c>
      <c r="H164" s="99">
        <f>G164+'11'!H164</f>
        <v>139</v>
      </c>
      <c r="I164" s="236"/>
      <c r="J164" s="239">
        <f>H164/DAY(B2)</f>
        <v>11.583333333333334</v>
      </c>
    </row>
    <row r="165" spans="1:10" ht="32.25" customHeight="1">
      <c r="A165" s="242" t="s">
        <v>309</v>
      </c>
      <c r="B165" s="243"/>
      <c r="C165" s="243"/>
      <c r="D165" s="244" t="s">
        <v>180</v>
      </c>
      <c r="E165" s="95">
        <f>'11'!F165</f>
        <v>31138</v>
      </c>
      <c r="F165" s="235">
        <v>31145</v>
      </c>
      <c r="G165" s="238">
        <f t="shared" si="13"/>
        <v>7</v>
      </c>
      <c r="H165" s="99">
        <f>G165+'11'!H165</f>
        <v>131</v>
      </c>
      <c r="I165" s="236"/>
      <c r="J165" s="239">
        <f>H165/DAY(B2)</f>
        <v>10.916666666666666</v>
      </c>
    </row>
    <row r="166" spans="1:10" ht="32.25" customHeight="1">
      <c r="A166" s="937"/>
      <c r="B166" s="937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>
      <c r="A167" s="937"/>
      <c r="B167" s="937"/>
      <c r="C167" s="246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>
      <c r="A168" s="937"/>
      <c r="B168" s="937"/>
      <c r="C168" s="246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>
      <c r="A171" s="947" t="s">
        <v>330</v>
      </c>
      <c r="B171" s="948"/>
      <c r="C171" s="948"/>
      <c r="D171" s="948"/>
      <c r="E171" s="948"/>
      <c r="F171" s="948"/>
      <c r="G171" s="948"/>
      <c r="H171" s="948"/>
      <c r="I171" s="948"/>
      <c r="J171" s="949"/>
    </row>
    <row r="172" spans="1:10" ht="32.25" customHeight="1">
      <c r="A172" s="943"/>
      <c r="B172" s="944"/>
      <c r="C172" s="332"/>
      <c r="D172" s="228"/>
      <c r="E172" s="155"/>
      <c r="F172" s="155"/>
      <c r="G172" s="155"/>
      <c r="H172" s="156"/>
      <c r="I172" s="155"/>
      <c r="J172" s="178"/>
    </row>
    <row r="173" spans="1:10" ht="32.25" customHeight="1">
      <c r="A173" s="895" t="s">
        <v>209</v>
      </c>
      <c r="B173" s="896"/>
      <c r="C173" s="333"/>
      <c r="D173" s="228" t="s">
        <v>142</v>
      </c>
      <c r="E173" s="157">
        <f>'11'!F173</f>
        <v>8276</v>
      </c>
      <c r="F173" s="155">
        <v>8276</v>
      </c>
      <c r="G173" s="155">
        <f>F173-E173</f>
        <v>0</v>
      </c>
      <c r="H173" s="99">
        <f>G173+'11'!H173</f>
        <v>12</v>
      </c>
      <c r="I173" s="155"/>
      <c r="J173" s="178">
        <f>H173/DAY(B2)</f>
        <v>1</v>
      </c>
    </row>
    <row r="174" spans="1:10" ht="32.25" customHeight="1">
      <c r="A174" s="895" t="s">
        <v>75</v>
      </c>
      <c r="B174" s="896"/>
      <c r="C174" s="333"/>
      <c r="D174" s="228" t="s">
        <v>142</v>
      </c>
      <c r="E174" s="157">
        <f>'11'!F174</f>
        <v>40491</v>
      </c>
      <c r="F174" s="157">
        <v>40507</v>
      </c>
      <c r="G174" s="155">
        <f t="shared" ref="G174:G175" si="14">F174-E174</f>
        <v>16</v>
      </c>
      <c r="H174" s="99">
        <f>G174+'11'!H174</f>
        <v>175</v>
      </c>
      <c r="I174" s="155"/>
      <c r="J174" s="178">
        <f>H174/DAY(B2)</f>
        <v>14.583333333333334</v>
      </c>
    </row>
    <row r="175" spans="1:10" ht="32.25" customHeight="1">
      <c r="A175" s="895" t="s">
        <v>76</v>
      </c>
      <c r="B175" s="900"/>
      <c r="C175" s="896"/>
      <c r="D175" s="228" t="s">
        <v>142</v>
      </c>
      <c r="E175" s="157">
        <f>'11'!F175</f>
        <v>23421</v>
      </c>
      <c r="F175" s="155">
        <v>23435</v>
      </c>
      <c r="G175" s="155">
        <f t="shared" si="14"/>
        <v>14</v>
      </c>
      <c r="H175" s="99">
        <f>G175+'11'!H175</f>
        <v>177</v>
      </c>
      <c r="I175" s="155"/>
      <c r="J175" s="178">
        <f>H175/DAY(B2)</f>
        <v>14.75</v>
      </c>
    </row>
    <row r="176" spans="1:10" ht="32.25" customHeight="1">
      <c r="A176" s="463" t="s">
        <v>196</v>
      </c>
      <c r="B176" s="464"/>
      <c r="C176" s="401"/>
      <c r="D176" s="228" t="s">
        <v>142</v>
      </c>
      <c r="E176" s="95"/>
      <c r="F176" s="155"/>
      <c r="G176" s="155">
        <f>SUM(G173:G175)</f>
        <v>30</v>
      </c>
      <c r="H176" s="99">
        <f>G176+'11'!H176</f>
        <v>364</v>
      </c>
      <c r="I176" s="155"/>
      <c r="J176" s="178">
        <f>H176/DAY(B2)</f>
        <v>30.333333333333332</v>
      </c>
    </row>
    <row r="177" spans="1:10" ht="32.25" customHeight="1">
      <c r="A177" s="895" t="s">
        <v>77</v>
      </c>
      <c r="B177" s="896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>
      <c r="A178" s="895" t="s">
        <v>210</v>
      </c>
      <c r="B178" s="896"/>
      <c r="C178" s="333"/>
      <c r="D178" s="228" t="s">
        <v>142</v>
      </c>
      <c r="E178" s="95">
        <f>'11'!F178</f>
        <v>93044</v>
      </c>
      <c r="F178" s="155">
        <v>93120</v>
      </c>
      <c r="G178" s="155">
        <f>F178-E178</f>
        <v>76</v>
      </c>
      <c r="H178" s="99">
        <f>G178+'11'!H178</f>
        <v>1298</v>
      </c>
      <c r="I178" s="155"/>
      <c r="J178" s="178">
        <f>H178/DAY(B2)</f>
        <v>108.16666666666667</v>
      </c>
    </row>
    <row r="179" spans="1:10" ht="32.25" customHeight="1">
      <c r="A179" s="895" t="s">
        <v>211</v>
      </c>
      <c r="B179" s="896"/>
      <c r="C179" s="333"/>
      <c r="D179" s="228" t="s">
        <v>142</v>
      </c>
      <c r="E179" s="95">
        <f>'11'!F179</f>
        <v>35986</v>
      </c>
      <c r="F179" s="155">
        <v>36002</v>
      </c>
      <c r="G179" s="155">
        <f t="shared" ref="G179:G180" si="15">F179-E179</f>
        <v>16</v>
      </c>
      <c r="H179" s="99">
        <f>G179+'11'!H179</f>
        <v>218</v>
      </c>
      <c r="I179" s="155"/>
      <c r="J179" s="178">
        <f>H179/DAY(B2)</f>
        <v>18.166666666666668</v>
      </c>
    </row>
    <row r="180" spans="1:10" ht="32.25" customHeight="1">
      <c r="A180" s="895" t="s">
        <v>212</v>
      </c>
      <c r="B180" s="896"/>
      <c r="C180" s="333"/>
      <c r="D180" s="228" t="s">
        <v>142</v>
      </c>
      <c r="E180" s="95">
        <f>'11'!F180</f>
        <v>6799</v>
      </c>
      <c r="F180" s="155">
        <v>6805</v>
      </c>
      <c r="G180" s="155">
        <f t="shared" si="15"/>
        <v>6</v>
      </c>
      <c r="H180" s="99">
        <f>G180+'11'!H180</f>
        <v>135</v>
      </c>
      <c r="I180" s="155"/>
      <c r="J180" s="178">
        <f>H180/DAY(B2)</f>
        <v>11.25</v>
      </c>
    </row>
    <row r="181" spans="1:10" ht="32.25" customHeight="1">
      <c r="A181" s="941" t="s">
        <v>108</v>
      </c>
      <c r="B181" s="942"/>
      <c r="C181" s="401"/>
      <c r="D181" s="228" t="s">
        <v>142</v>
      </c>
      <c r="E181" s="95"/>
      <c r="F181" s="155"/>
      <c r="G181" s="155">
        <f>SUM(G178:G180)</f>
        <v>98</v>
      </c>
      <c r="H181" s="99">
        <f>G181+'11'!H181</f>
        <v>1651</v>
      </c>
      <c r="I181" s="155"/>
      <c r="J181" s="178">
        <f>H181/DAY(B2)</f>
        <v>137.58333333333334</v>
      </c>
    </row>
    <row r="182" spans="1:10" ht="32.25" customHeight="1">
      <c r="A182" s="895" t="s">
        <v>213</v>
      </c>
      <c r="B182" s="896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>
      <c r="A183" s="895" t="s">
        <v>214</v>
      </c>
      <c r="B183" s="896"/>
      <c r="C183" s="334"/>
      <c r="D183" s="228" t="s">
        <v>142</v>
      </c>
      <c r="E183" s="95">
        <f>'11'!F183</f>
        <v>17112</v>
      </c>
      <c r="F183" s="157">
        <v>17122</v>
      </c>
      <c r="G183" s="157">
        <f>F183-E183</f>
        <v>10</v>
      </c>
      <c r="H183" s="99">
        <f>G183+'11'!H183</f>
        <v>167</v>
      </c>
      <c r="I183" s="155"/>
      <c r="J183" s="178">
        <f>H183/DAY(B2)</f>
        <v>13.916666666666666</v>
      </c>
    </row>
    <row r="184" spans="1:10" ht="32.25" customHeight="1">
      <c r="A184" s="895" t="s">
        <v>215</v>
      </c>
      <c r="B184" s="896"/>
      <c r="C184" s="334"/>
      <c r="D184" s="228" t="s">
        <v>142</v>
      </c>
      <c r="E184" s="95">
        <f>'11'!F184</f>
        <v>11563</v>
      </c>
      <c r="F184" s="157">
        <v>11571</v>
      </c>
      <c r="G184" s="157">
        <f t="shared" ref="G184:G185" si="16">F184-E184</f>
        <v>8</v>
      </c>
      <c r="H184" s="99">
        <f>G184+'11'!H184</f>
        <v>85</v>
      </c>
      <c r="I184" s="155"/>
      <c r="J184" s="178">
        <f>H184/DAY(B2)</f>
        <v>7.083333333333333</v>
      </c>
    </row>
    <row r="185" spans="1:10" ht="32.25" customHeight="1">
      <c r="A185" s="895" t="s">
        <v>216</v>
      </c>
      <c r="B185" s="896"/>
      <c r="C185" s="334"/>
      <c r="D185" s="228" t="s">
        <v>142</v>
      </c>
      <c r="E185" s="95">
        <f>'11'!F185</f>
        <v>0</v>
      </c>
      <c r="F185" s="157">
        <v>0</v>
      </c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>
      <c r="A186" s="934" t="s">
        <v>196</v>
      </c>
      <c r="B186" s="935"/>
      <c r="C186" s="400"/>
      <c r="D186" s="228" t="s">
        <v>142</v>
      </c>
      <c r="E186" s="95"/>
      <c r="F186" s="157"/>
      <c r="G186" s="157">
        <f>SUM(G183:G185)</f>
        <v>18</v>
      </c>
      <c r="H186" s="99">
        <f>G186+'11'!H186</f>
        <v>252</v>
      </c>
      <c r="I186" s="157"/>
      <c r="J186" s="178">
        <f>H186/DAY(B2)</f>
        <v>21</v>
      </c>
    </row>
    <row r="187" spans="1:10" ht="32.25" customHeight="1">
      <c r="A187" s="945" t="s">
        <v>217</v>
      </c>
      <c r="B187" s="946"/>
      <c r="C187" s="333"/>
      <c r="D187" s="230" t="s">
        <v>142</v>
      </c>
      <c r="E187" s="95"/>
      <c r="F187" s="159"/>
      <c r="G187" s="159">
        <f>G62+G19</f>
        <v>172</v>
      </c>
      <c r="H187" s="99">
        <f>G187+'11'!H187</f>
        <v>2457</v>
      </c>
      <c r="I187" s="158"/>
      <c r="J187" s="179">
        <f>H187/DAY(B2)</f>
        <v>204.75</v>
      </c>
    </row>
    <row r="188" spans="1:10" ht="32.25" customHeight="1">
      <c r="A188" s="945" t="s">
        <v>218</v>
      </c>
      <c r="B188" s="946"/>
      <c r="C188" s="333"/>
      <c r="D188" s="230" t="s">
        <v>142</v>
      </c>
      <c r="E188" s="95"/>
      <c r="F188" s="159"/>
      <c r="G188" s="159">
        <f>G65+G66+G67+G69+G70</f>
        <v>153</v>
      </c>
      <c r="H188" s="99">
        <f>G188+'11'!H188</f>
        <v>2397</v>
      </c>
      <c r="I188" s="158"/>
      <c r="J188" s="179">
        <f>H188/DAY(B2)</f>
        <v>199.75</v>
      </c>
    </row>
    <row r="189" spans="1:10" ht="32.25" customHeight="1">
      <c r="A189" s="945" t="s">
        <v>219</v>
      </c>
      <c r="B189" s="946"/>
      <c r="C189" s="333"/>
      <c r="D189" s="230" t="s">
        <v>142</v>
      </c>
      <c r="E189" s="95"/>
      <c r="F189" s="157"/>
      <c r="G189" s="157">
        <f>G181</f>
        <v>98</v>
      </c>
      <c r="H189" s="99">
        <f>G189+'11'!H189</f>
        <v>1651</v>
      </c>
      <c r="I189" s="158"/>
      <c r="J189" s="179">
        <f>H189/DAY(B2)</f>
        <v>137.58333333333334</v>
      </c>
    </row>
    <row r="190" spans="1:10" ht="32.25" customHeight="1">
      <c r="A190" s="939"/>
      <c r="B190" s="940"/>
      <c r="C190" s="399"/>
      <c r="D190" s="396"/>
      <c r="E190" s="393"/>
      <c r="F190" s="396"/>
      <c r="G190" s="396"/>
      <c r="H190" s="402"/>
      <c r="I190" s="396"/>
      <c r="J190" s="398"/>
    </row>
  </sheetData>
  <mergeCells count="114"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topLeftCell="A148" zoomScale="55" zoomScaleSheetLayoutView="55" workbookViewId="0">
      <selection activeCell="F178" sqref="F178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76" t="s">
        <v>115</v>
      </c>
      <c r="B1" s="877"/>
      <c r="C1" s="877"/>
      <c r="D1" s="877"/>
      <c r="E1" s="877"/>
      <c r="F1" s="877"/>
      <c r="G1" s="877"/>
      <c r="H1" s="877"/>
      <c r="I1" s="877"/>
      <c r="J1" s="878"/>
    </row>
    <row r="2" spans="1:15" s="57" customFormat="1" ht="27.75" customHeight="1">
      <c r="A2" s="191" t="s">
        <v>376</v>
      </c>
      <c r="B2" s="262">
        <v>44725</v>
      </c>
      <c r="C2" s="348" t="s">
        <v>67</v>
      </c>
      <c r="D2" s="218">
        <v>0.66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30</v>
      </c>
      <c r="E3" s="885" t="s">
        <v>119</v>
      </c>
      <c r="F3" s="886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79" t="s">
        <v>128</v>
      </c>
      <c r="B6" s="880"/>
      <c r="C6" s="88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v>26558</v>
      </c>
      <c r="F7" s="95">
        <v>54356</v>
      </c>
      <c r="G7" s="112">
        <f>F7-E7</f>
        <v>27798</v>
      </c>
      <c r="H7" s="99">
        <f>G7+'12'!H7</f>
        <v>361529</v>
      </c>
      <c r="I7" s="113">
        <f>'1'!I7</f>
        <v>12000</v>
      </c>
      <c r="J7" s="175">
        <f>H7/DAY(B2)</f>
        <v>27809.923076923078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'12'!F8</f>
        <v>155363</v>
      </c>
      <c r="F8" s="114">
        <v>184096</v>
      </c>
      <c r="G8" s="115">
        <f>F8-E8</f>
        <v>28733</v>
      </c>
      <c r="H8" s="99">
        <f>G8+'12'!H8</f>
        <v>375437.10000000003</v>
      </c>
      <c r="I8" s="116"/>
      <c r="J8" s="175">
        <f>H8/DAY(B2)</f>
        <v>28879.776923076926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'12'!F9</f>
        <v>2627958</v>
      </c>
      <c r="F9" s="469">
        <v>2646764</v>
      </c>
      <c r="G9" s="112">
        <f>F9-E9</f>
        <v>18806</v>
      </c>
      <c r="H9" s="99">
        <f>G9+'12'!H9</f>
        <v>196655.29999999981</v>
      </c>
      <c r="I9" s="124">
        <f>I7-J7</f>
        <v>-15809.923076923078</v>
      </c>
      <c r="J9" s="175">
        <f>H9/DAY(B2)</f>
        <v>15127.330769230755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'12'!F10</f>
        <v>1042034</v>
      </c>
      <c r="F10" s="353">
        <v>1050243</v>
      </c>
      <c r="G10" s="112">
        <f t="shared" ref="G10:G12" si="0">F10-E10</f>
        <v>8209</v>
      </c>
      <c r="H10" s="99">
        <f>G10+'12'!H10</f>
        <v>139839.80000000005</v>
      </c>
      <c r="I10" s="282"/>
      <c r="J10" s="175">
        <f>H10/DAY(B2)</f>
        <v>10756.907692307695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'12'!F11</f>
        <v>37560</v>
      </c>
      <c r="F11" s="469">
        <v>37560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'12'!F12</f>
        <v>40380</v>
      </c>
      <c r="F12" s="117">
        <v>40380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27015</v>
      </c>
      <c r="H13" s="99">
        <f>G13+'12'!H13</f>
        <v>336356.09999999986</v>
      </c>
      <c r="I13" s="120">
        <f>G7-G13</f>
        <v>783</v>
      </c>
      <c r="J13" s="175">
        <f>H13/DAY(B2)</f>
        <v>25873.546153846142</v>
      </c>
      <c r="K13" s="79"/>
      <c r="L13" s="66"/>
      <c r="N13" s="87"/>
      <c r="O13" s="71"/>
    </row>
    <row r="14" spans="1:15" ht="27.75" customHeight="1">
      <c r="A14" s="882" t="s">
        <v>137</v>
      </c>
      <c r="B14" s="883"/>
      <c r="C14" s="88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9">
        <f>'12'!F15</f>
        <v>2049887</v>
      </c>
      <c r="F15" s="469">
        <v>2050942</v>
      </c>
      <c r="G15" s="112">
        <f>(F15-E15)</f>
        <v>1055</v>
      </c>
      <c r="H15" s="99">
        <f>G15+'12'!H15</f>
        <v>13825</v>
      </c>
      <c r="I15" s="113">
        <f>'1'!I15</f>
        <v>800</v>
      </c>
      <c r="J15" s="175">
        <f>H15/DAY(B2)</f>
        <v>1063.4615384615386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-263.46153846153857</v>
      </c>
      <c r="J16" s="176"/>
      <c r="K16" s="79"/>
      <c r="L16" s="66"/>
      <c r="N16" s="87"/>
      <c r="O16" s="71"/>
    </row>
    <row r="17" spans="1:15" ht="27.75" customHeight="1">
      <c r="A17" s="882" t="s">
        <v>140</v>
      </c>
      <c r="B17" s="883"/>
      <c r="C17" s="88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73" t="s">
        <v>141</v>
      </c>
      <c r="B18" s="874"/>
      <c r="C18" s="875"/>
      <c r="D18" s="151" t="s">
        <v>142</v>
      </c>
      <c r="E18" s="95">
        <f>'12'!F18</f>
        <v>22</v>
      </c>
      <c r="F18" s="122">
        <v>23</v>
      </c>
      <c r="G18" s="119">
        <f>F18*10</f>
        <v>230</v>
      </c>
      <c r="H18" s="99">
        <f>G18+'12'!H18</f>
        <v>3040</v>
      </c>
      <c r="I18" s="113">
        <f>'1'!I18</f>
        <v>65</v>
      </c>
      <c r="J18" s="175">
        <f>H18/DAY(B2)</f>
        <v>233.84615384615384</v>
      </c>
      <c r="K18" s="79"/>
      <c r="L18" s="66"/>
      <c r="N18" s="87"/>
      <c r="O18" s="71"/>
    </row>
    <row r="19" spans="1:15" ht="27.75" customHeight="1">
      <c r="A19" s="873" t="s">
        <v>69</v>
      </c>
      <c r="B19" s="874"/>
      <c r="C19" s="875"/>
      <c r="D19" s="151" t="s">
        <v>142</v>
      </c>
      <c r="E19" s="95">
        <f>'12'!F19</f>
        <v>160735</v>
      </c>
      <c r="F19" s="122">
        <v>160785</v>
      </c>
      <c r="G19" s="112">
        <f t="shared" ref="G19" si="1">F19-E19</f>
        <v>50</v>
      </c>
      <c r="H19" s="99">
        <f>G19+'12'!H19</f>
        <v>675</v>
      </c>
      <c r="I19" s="335"/>
      <c r="J19" s="175">
        <f>H19/DAY(B2)</f>
        <v>51.92307692307692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280</v>
      </c>
      <c r="H20" s="99">
        <f>G20+'12'!H20</f>
        <v>3715</v>
      </c>
      <c r="I20" s="336">
        <f>I18-J20</f>
        <v>-220.76923076923077</v>
      </c>
      <c r="J20" s="175">
        <f>H20/DAY(B2)</f>
        <v>285.76923076923077</v>
      </c>
      <c r="K20" s="79"/>
      <c r="L20" s="66"/>
      <c r="N20" s="87"/>
      <c r="O20" s="71"/>
    </row>
    <row r="21" spans="1:15" ht="27.75" customHeight="1">
      <c r="A21" s="882" t="s">
        <v>144</v>
      </c>
      <c r="B21" s="883"/>
      <c r="C21" s="88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'12'!F23</f>
        <v>1500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87" t="s">
        <v>149</v>
      </c>
      <c r="B25" s="888"/>
      <c r="C25" s="88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28733</v>
      </c>
      <c r="F27" s="136">
        <v>9</v>
      </c>
      <c r="G27" s="137">
        <f>E27*F27</f>
        <v>258597</v>
      </c>
      <c r="H27" s="99">
        <f>G27+'12'!H27</f>
        <v>3378933.9000000004</v>
      </c>
      <c r="I27" s="138"/>
      <c r="J27" s="175">
        <f>H27/DAY(B2)</f>
        <v>259917.99230769233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1055</v>
      </c>
      <c r="F28" s="136">
        <v>70</v>
      </c>
      <c r="G28" s="137">
        <f>E28*F28</f>
        <v>73850</v>
      </c>
      <c r="H28" s="99">
        <f>G28+'12'!H28</f>
        <v>913192</v>
      </c>
      <c r="I28" s="140"/>
      <c r="J28" s="175">
        <f>H28/DAY(B2)</f>
        <v>70245.538461538468</v>
      </c>
      <c r="K28" s="63"/>
      <c r="L28" s="89"/>
      <c r="N28" s="87"/>
      <c r="O28" s="71">
        <v>0</v>
      </c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G30+'12'!H30</f>
        <v>101175</v>
      </c>
      <c r="I30" s="140"/>
      <c r="J30" s="175">
        <f>H30/DAY(B2)</f>
        <v>7782.6923076923076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137">
        <f>E31*F31</f>
        <v>18400</v>
      </c>
      <c r="H31" s="99">
        <f>G31+'12'!H31</f>
        <v>243200</v>
      </c>
      <c r="I31" s="140"/>
      <c r="J31" s="175">
        <f>H31/DAY(B2)</f>
        <v>18707.692307692309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358397</v>
      </c>
      <c r="H32" s="99">
        <f>G32+'12'!H32</f>
        <v>4636500.9000000004</v>
      </c>
      <c r="I32" s="144"/>
      <c r="J32" s="175">
        <f>H32/DAY(B2)</f>
        <v>356653.91538461542</v>
      </c>
      <c r="K32" s="63"/>
      <c r="L32" s="89"/>
      <c r="N32" s="87"/>
      <c r="O32" s="71"/>
    </row>
    <row r="33" spans="1:15" ht="27.75" customHeight="1">
      <c r="A33" s="890" t="s">
        <v>331</v>
      </c>
      <c r="B33" s="891"/>
      <c r="C33" s="89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'12'!F35</f>
        <v>238713</v>
      </c>
      <c r="F35" s="145">
        <v>238713</v>
      </c>
      <c r="G35" s="112">
        <f t="shared" ref="G35:G46" si="3">F35-E35</f>
        <v>0</v>
      </c>
      <c r="H35" s="99">
        <f>G35+'12'!H35</f>
        <v>-1</v>
      </c>
      <c r="I35" s="95"/>
      <c r="J35" s="175">
        <f>H35/DAY(B2)</f>
        <v>-7.6923076923076927E-2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'12'!F36</f>
        <v>171171</v>
      </c>
      <c r="F36" s="145">
        <v>171874</v>
      </c>
      <c r="G36" s="112">
        <f t="shared" si="3"/>
        <v>703</v>
      </c>
      <c r="H36" s="99">
        <f>G36+'12'!H36</f>
        <v>11426</v>
      </c>
      <c r="I36" s="95"/>
      <c r="J36" s="175">
        <f>H36/DAY(B2)</f>
        <v>878.92307692307691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'12'!F37</f>
        <v>256944</v>
      </c>
      <c r="F37" s="145">
        <v>258625</v>
      </c>
      <c r="G37" s="112">
        <f t="shared" si="3"/>
        <v>1681</v>
      </c>
      <c r="H37" s="99">
        <f>G37+'12'!H37</f>
        <v>22846</v>
      </c>
      <c r="I37" s="95"/>
      <c r="J37" s="175">
        <f>H37/DAY(B2)</f>
        <v>1757.3846153846155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'12'!F38</f>
        <v>345689</v>
      </c>
      <c r="F38" s="108">
        <v>348039</v>
      </c>
      <c r="G38" s="112">
        <f t="shared" si="3"/>
        <v>2350</v>
      </c>
      <c r="H38" s="99">
        <f>G38+'12'!H38</f>
        <v>29747</v>
      </c>
      <c r="I38" s="95"/>
      <c r="J38" s="175">
        <f>H38/DAY(B2)</f>
        <v>2288.2307692307691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'12'!F39</f>
        <v>468590</v>
      </c>
      <c r="F39" s="145">
        <v>471691</v>
      </c>
      <c r="G39" s="112">
        <f t="shared" si="3"/>
        <v>3101</v>
      </c>
      <c r="H39" s="99">
        <f>G39+'12'!H39</f>
        <v>36361.090000000026</v>
      </c>
      <c r="I39" s="95"/>
      <c r="J39" s="175">
        <f>H39/DAY(B2)</f>
        <v>2797.006923076925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'12'!F40</f>
        <v>76428</v>
      </c>
      <c r="F40" s="145">
        <v>76664</v>
      </c>
      <c r="G40" s="112">
        <f t="shared" si="3"/>
        <v>236</v>
      </c>
      <c r="H40" s="99">
        <f>G40+'12'!H40</f>
        <v>3111</v>
      </c>
      <c r="I40" s="95"/>
      <c r="J40" s="175">
        <f>H40/DAY(B2)</f>
        <v>239.30769230769232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'12'!F41</f>
        <v>87138</v>
      </c>
      <c r="F41" s="145">
        <v>92623</v>
      </c>
      <c r="G41" s="112">
        <f t="shared" si="3"/>
        <v>5485</v>
      </c>
      <c r="H41" s="99">
        <f>G41+'12'!H41</f>
        <v>23788</v>
      </c>
      <c r="I41" s="95"/>
      <c r="J41" s="175">
        <f>H41/DAY(B2)</f>
        <v>1829.8461538461538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'12'!F42</f>
        <v>618826</v>
      </c>
      <c r="F42" s="145">
        <v>623092</v>
      </c>
      <c r="G42" s="112">
        <f t="shared" si="3"/>
        <v>4266</v>
      </c>
      <c r="H42" s="99">
        <f>G42+'12'!H42</f>
        <v>60220</v>
      </c>
      <c r="I42" s="95"/>
      <c r="J42" s="175">
        <f>H42/DAY(B2)</f>
        <v>4632.3076923076924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'12'!F43</f>
        <v>407028</v>
      </c>
      <c r="F43" s="145">
        <v>407028</v>
      </c>
      <c r="G43" s="112">
        <f t="shared" si="3"/>
        <v>0</v>
      </c>
      <c r="H43" s="99">
        <f>G43+'12'!H43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17822</v>
      </c>
      <c r="H47" s="99">
        <f>G47+'12'!H47</f>
        <v>187498.09000000003</v>
      </c>
      <c r="I47" s="95"/>
      <c r="J47" s="175">
        <f>H47/DAY(B2)</f>
        <v>14422.930000000002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'12'!F49</f>
        <v>303145</v>
      </c>
      <c r="F49" s="145">
        <v>307002</v>
      </c>
      <c r="G49" s="112">
        <f t="shared" ref="G49:G58" si="4">F49-E49</f>
        <v>3857</v>
      </c>
      <c r="H49" s="99">
        <f>G49+'12'!H49</f>
        <v>46855</v>
      </c>
      <c r="I49" s="95"/>
      <c r="J49" s="175">
        <f>H49/DAY(B2)</f>
        <v>3604.2307692307691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'12'!F50</f>
        <v>223299</v>
      </c>
      <c r="F50" s="145">
        <v>224244</v>
      </c>
      <c r="G50" s="112">
        <f t="shared" si="4"/>
        <v>945</v>
      </c>
      <c r="H50" s="99">
        <f>G50+'12'!H50</f>
        <v>14680</v>
      </c>
      <c r="I50" s="95"/>
      <c r="J50" s="175">
        <f>H50/DAY(B2)</f>
        <v>1129.2307692307693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'12'!F51</f>
        <v>76</v>
      </c>
      <c r="F51" s="145">
        <v>76</v>
      </c>
      <c r="G51" s="112">
        <f t="shared" si="4"/>
        <v>0</v>
      </c>
      <c r="H51" s="99">
        <f>G51+'12'!H51</f>
        <v>0.31999999999999318</v>
      </c>
      <c r="I51" s="95"/>
      <c r="J51" s="175">
        <f>H51/DAY(B2)</f>
        <v>2.4615384615384091E-2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'12'!F52</f>
        <v>10</v>
      </c>
      <c r="F52" s="145">
        <v>10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'12'!F54</f>
        <v>70096</v>
      </c>
      <c r="F54" s="145">
        <v>70561</v>
      </c>
      <c r="G54" s="112">
        <f t="shared" si="4"/>
        <v>465</v>
      </c>
      <c r="H54" s="99">
        <f>G54+'12'!H54</f>
        <v>6005</v>
      </c>
      <c r="I54" s="95"/>
      <c r="J54" s="175">
        <f>H54/DAY(B2)</f>
        <v>461.92307692307691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'12'!F55</f>
        <v>254288</v>
      </c>
      <c r="F55" s="145">
        <v>254288</v>
      </c>
      <c r="G55" s="112">
        <f t="shared" si="4"/>
        <v>0</v>
      </c>
      <c r="H55" s="99">
        <f>G55+'12'!H55</f>
        <v>28815</v>
      </c>
      <c r="I55" s="95"/>
      <c r="J55" s="175">
        <f>H55/DAY(B2)</f>
        <v>2216.5384615384614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'12'!F56</f>
        <v>107245.6</v>
      </c>
      <c r="F56" s="145">
        <v>107245.6</v>
      </c>
      <c r="G56" s="112">
        <f t="shared" si="4"/>
        <v>0</v>
      </c>
      <c r="H56" s="99">
        <f>G56+'12'!H56</f>
        <v>-0.39999999999417923</v>
      </c>
      <c r="I56" s="95"/>
      <c r="J56" s="175">
        <f>H56/DAY(B2)</f>
        <v>-3.0769230768783018E-2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'12'!F57</f>
        <v>75200</v>
      </c>
      <c r="F57" s="145">
        <v>78431</v>
      </c>
      <c r="G57" s="112">
        <f t="shared" si="4"/>
        <v>3231</v>
      </c>
      <c r="H57" s="99">
        <f>G57+'12'!H57</f>
        <v>40828</v>
      </c>
      <c r="I57" s="95"/>
      <c r="J57" s="175">
        <f>H57/DAY(B2)</f>
        <v>3140.6153846153848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'12'!F58</f>
        <v>35591</v>
      </c>
      <c r="F58" s="145">
        <v>35830</v>
      </c>
      <c r="G58" s="112">
        <f t="shared" si="4"/>
        <v>239</v>
      </c>
      <c r="H58" s="99">
        <f>G58+'12'!H58</f>
        <v>2941</v>
      </c>
      <c r="I58" s="95"/>
      <c r="J58" s="175">
        <f>H58/DAY(B2)</f>
        <v>226.23076923076923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8737</v>
      </c>
      <c r="H59" s="99">
        <f>G59+'12'!H59</f>
        <v>140123.92000000001</v>
      </c>
      <c r="I59" s="95">
        <f>G7-G60</f>
        <v>1239</v>
      </c>
      <c r="J59" s="175">
        <f>H59/DAY(B2)</f>
        <v>10778.763076923078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26559</v>
      </c>
      <c r="H60" s="99">
        <f>G60+'12'!H60</f>
        <v>327622.01</v>
      </c>
      <c r="I60" s="95">
        <f>G13-G60</f>
        <v>456</v>
      </c>
      <c r="J60" s="175">
        <f>H60/DAY(B2)</f>
        <v>25201.693076923078</v>
      </c>
      <c r="K60" s="79"/>
      <c r="L60" s="66"/>
      <c r="N60" s="87"/>
      <c r="O60" s="71"/>
    </row>
    <row r="61" spans="1:15" s="68" customFormat="1" ht="27.75" customHeight="1">
      <c r="A61" s="892" t="s">
        <v>332</v>
      </c>
      <c r="B61" s="893"/>
      <c r="C61" s="89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873" t="s">
        <v>198</v>
      </c>
      <c r="B62" s="874"/>
      <c r="C62" s="875"/>
      <c r="D62" s="151" t="s">
        <v>142</v>
      </c>
      <c r="E62" s="95">
        <f>'12'!F62</f>
        <v>290732</v>
      </c>
      <c r="F62" s="122">
        <v>290865</v>
      </c>
      <c r="G62" s="112">
        <f t="shared" ref="G62:G63" si="5">F62-E62</f>
        <v>133</v>
      </c>
      <c r="H62" s="99">
        <f>G62+'12'!H62</f>
        <v>1965</v>
      </c>
      <c r="I62" s="118"/>
      <c r="J62" s="175">
        <f>H62/DAY(B2)</f>
        <v>151.15384615384616</v>
      </c>
      <c r="K62" s="80"/>
      <c r="L62" s="66"/>
      <c r="N62" s="87"/>
      <c r="O62" s="71"/>
    </row>
    <row r="63" spans="1:15" ht="27.75" customHeight="1">
      <c r="A63" s="873" t="s">
        <v>199</v>
      </c>
      <c r="B63" s="874"/>
      <c r="C63" s="875"/>
      <c r="D63" s="151" t="s">
        <v>142</v>
      </c>
      <c r="E63" s="95">
        <f>'12'!F63</f>
        <v>232747</v>
      </c>
      <c r="F63" s="122">
        <v>232839</v>
      </c>
      <c r="G63" s="112">
        <f t="shared" si="5"/>
        <v>92</v>
      </c>
      <c r="H63" s="99">
        <f>G63+'12'!H63</f>
        <v>1677</v>
      </c>
      <c r="I63" s="118"/>
      <c r="J63" s="175">
        <f>H63/DAY(B2)</f>
        <v>129</v>
      </c>
      <c r="K63" s="69"/>
      <c r="L63" s="66"/>
      <c r="N63" s="87"/>
      <c r="O63" s="71"/>
    </row>
    <row r="64" spans="1:15" ht="27.75" customHeight="1">
      <c r="A64" s="870" t="s">
        <v>200</v>
      </c>
      <c r="B64" s="871"/>
      <c r="C64" s="872"/>
      <c r="D64" s="151"/>
      <c r="E64" s="95">
        <f>'12'!F64</f>
        <v>0</v>
      </c>
      <c r="F64" s="122"/>
      <c r="G64" s="112">
        <f>G62+G63</f>
        <v>225</v>
      </c>
      <c r="H64" s="99">
        <f>G64+'12'!H64</f>
        <v>3642</v>
      </c>
      <c r="I64" s="118"/>
      <c r="J64" s="175">
        <f>H64/DAY(B2)</f>
        <v>280.15384615384613</v>
      </c>
      <c r="K64" s="69"/>
      <c r="L64" s="66"/>
      <c r="N64" s="87"/>
      <c r="O64" s="71"/>
    </row>
    <row r="65" spans="1:15" ht="27.75" customHeight="1">
      <c r="A65" s="873" t="s">
        <v>201</v>
      </c>
      <c r="B65" s="874"/>
      <c r="C65" s="875"/>
      <c r="D65" s="151" t="s">
        <v>142</v>
      </c>
      <c r="E65" s="95">
        <f>'12'!F65</f>
        <v>449447</v>
      </c>
      <c r="F65" s="122">
        <v>449583</v>
      </c>
      <c r="G65" s="112">
        <f t="shared" ref="G65:G70" si="6">F65-E65</f>
        <v>136</v>
      </c>
      <c r="H65" s="99">
        <f>G65+'12'!H65</f>
        <v>1556</v>
      </c>
      <c r="I65" s="118"/>
      <c r="J65" s="175">
        <f>H65/DAY(B2)</f>
        <v>119.69230769230769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'12'!F66</f>
        <v>110661</v>
      </c>
      <c r="F66" s="122">
        <v>110684</v>
      </c>
      <c r="G66" s="112">
        <f t="shared" si="6"/>
        <v>23</v>
      </c>
      <c r="H66" s="99">
        <f>G66+'12'!H66</f>
        <v>353</v>
      </c>
      <c r="I66" s="118"/>
      <c r="J66" s="175">
        <f>H66/DAY(B2)</f>
        <v>27.153846153846153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'12'!F67</f>
        <v>113680</v>
      </c>
      <c r="F67" s="122">
        <v>113680</v>
      </c>
      <c r="G67" s="112">
        <f t="shared" si="6"/>
        <v>0</v>
      </c>
      <c r="H67" s="99">
        <f>G67+'12'!H67</f>
        <v>402</v>
      </c>
      <c r="I67" s="118"/>
      <c r="J67" s="175">
        <f>H67/DAY(B2)</f>
        <v>30.923076923076923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'12'!F68</f>
        <v>162822</v>
      </c>
      <c r="F68" s="122">
        <v>162860</v>
      </c>
      <c r="G68" s="112">
        <f t="shared" si="6"/>
        <v>38</v>
      </c>
      <c r="H68" s="99">
        <f>G68+'12'!H68</f>
        <v>366</v>
      </c>
      <c r="I68" s="118"/>
      <c r="J68" s="175">
        <f>H68/DAY(B2)</f>
        <v>28.153846153846153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'12'!F69</f>
        <v>12006</v>
      </c>
      <c r="F69" s="122">
        <v>12013</v>
      </c>
      <c r="G69" s="112">
        <f t="shared" si="6"/>
        <v>7</v>
      </c>
      <c r="H69" s="99">
        <f>G69+'12'!H69</f>
        <v>144</v>
      </c>
      <c r="I69" s="118"/>
      <c r="J69" s="175">
        <f>H69/DAY(B2)</f>
        <v>11.076923076923077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'12'!F70</f>
        <v>9375</v>
      </c>
      <c r="F70" s="122">
        <v>9383</v>
      </c>
      <c r="G70" s="112">
        <f t="shared" si="6"/>
        <v>8</v>
      </c>
      <c r="H70" s="99">
        <f>G70+'12'!H70</f>
        <v>116</v>
      </c>
      <c r="I70" s="118"/>
      <c r="J70" s="175">
        <f>H70/DAY(B2)</f>
        <v>8.9230769230769234</v>
      </c>
      <c r="K70" s="69"/>
      <c r="L70" s="66"/>
      <c r="N70" s="87"/>
      <c r="O70" s="71"/>
    </row>
    <row r="71" spans="1:15" ht="27.75" customHeight="1">
      <c r="A71" s="870" t="s">
        <v>208</v>
      </c>
      <c r="B71" s="871"/>
      <c r="C71" s="872"/>
      <c r="D71" s="152"/>
      <c r="E71" s="152"/>
      <c r="F71" s="152" t="s">
        <v>369</v>
      </c>
      <c r="G71" s="153">
        <f>SUM(G65:G70)</f>
        <v>212</v>
      </c>
      <c r="H71" s="99">
        <f>G71+'12'!H71</f>
        <v>2937</v>
      </c>
      <c r="I71" s="154"/>
      <c r="J71" s="175">
        <f>H71/DAY(B2)</f>
        <v>225.92307692307693</v>
      </c>
      <c r="K71" s="69"/>
      <c r="L71" s="66"/>
      <c r="N71" s="87"/>
      <c r="O71" s="71"/>
    </row>
    <row r="72" spans="1:15" s="88" customFormat="1" ht="27.75" customHeight="1">
      <c r="A72" s="916"/>
      <c r="B72" s="90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73" t="s">
        <v>220</v>
      </c>
      <c r="B74" s="874"/>
      <c r="C74" s="875"/>
      <c r="D74" s="151" t="s">
        <v>139</v>
      </c>
      <c r="E74" s="95">
        <f>'12'!F74</f>
        <v>942388</v>
      </c>
      <c r="F74" s="117">
        <v>942706</v>
      </c>
      <c r="G74" s="112">
        <f t="shared" ref="G74:G78" si="7">F74-E74</f>
        <v>318</v>
      </c>
      <c r="H74" s="99">
        <f>G74+'12'!H74</f>
        <v>4036</v>
      </c>
      <c r="I74" s="154"/>
      <c r="J74" s="175">
        <f>H74/DAY(B2)</f>
        <v>310.46153846153845</v>
      </c>
      <c r="K74" s="69"/>
      <c r="L74" s="66"/>
      <c r="N74" s="87"/>
      <c r="O74" s="71"/>
    </row>
    <row r="75" spans="1:15" ht="27.75" customHeight="1">
      <c r="A75" s="873" t="s">
        <v>221</v>
      </c>
      <c r="B75" s="874"/>
      <c r="C75" s="875"/>
      <c r="D75" s="151" t="s">
        <v>139</v>
      </c>
      <c r="E75" s="95">
        <f>'12'!F75</f>
        <v>73587</v>
      </c>
      <c r="F75" s="123">
        <v>73586.8</v>
      </c>
      <c r="G75" s="112">
        <f t="shared" si="7"/>
        <v>-0.19999999999708962</v>
      </c>
      <c r="H75" s="99">
        <f>G75+'12'!H75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7" t="s">
        <v>222</v>
      </c>
      <c r="B76" s="903"/>
      <c r="C76" s="904"/>
      <c r="D76" s="151" t="s">
        <v>139</v>
      </c>
      <c r="E76" s="95">
        <f>'12'!F76</f>
        <v>185065</v>
      </c>
      <c r="F76" s="123">
        <v>185178</v>
      </c>
      <c r="G76" s="112">
        <f t="shared" si="7"/>
        <v>113</v>
      </c>
      <c r="H76" s="99">
        <f>G76+'12'!H76</f>
        <v>1472</v>
      </c>
      <c r="I76" s="154"/>
      <c r="J76" s="175">
        <f>H76/DAY(B2)</f>
        <v>113.23076923076923</v>
      </c>
      <c r="K76" s="69"/>
      <c r="L76" s="66"/>
      <c r="N76" s="87"/>
      <c r="O76" s="71"/>
    </row>
    <row r="77" spans="1:15" ht="27.75" customHeight="1">
      <c r="A77" s="917" t="s">
        <v>223</v>
      </c>
      <c r="B77" s="903"/>
      <c r="C77" s="904"/>
      <c r="D77" s="151" t="s">
        <v>139</v>
      </c>
      <c r="E77" s="95">
        <f>'12'!F77</f>
        <v>47926</v>
      </c>
      <c r="F77" s="123">
        <v>47973</v>
      </c>
      <c r="G77" s="112">
        <f t="shared" si="7"/>
        <v>47</v>
      </c>
      <c r="H77" s="99">
        <f>G77+'12'!H77</f>
        <v>628</v>
      </c>
      <c r="I77" s="154"/>
      <c r="J77" s="175">
        <f>H77/DAY(B2)</f>
        <v>48.307692307692307</v>
      </c>
      <c r="K77" s="69"/>
      <c r="L77" s="66"/>
      <c r="N77" s="87"/>
      <c r="O77" s="71"/>
    </row>
    <row r="78" spans="1:15" ht="27.75" customHeight="1">
      <c r="A78" s="917" t="s">
        <v>224</v>
      </c>
      <c r="B78" s="903"/>
      <c r="C78" s="904"/>
      <c r="D78" s="151" t="s">
        <v>139</v>
      </c>
      <c r="E78" s="95">
        <f>'12'!F78</f>
        <v>9563.4</v>
      </c>
      <c r="F78" s="123">
        <v>9563</v>
      </c>
      <c r="G78" s="112">
        <f t="shared" si="7"/>
        <v>-0.3999999999996362</v>
      </c>
      <c r="H78" s="99">
        <f>G78+'12'!H78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customHeight="1">
      <c r="A79" s="917" t="s">
        <v>225</v>
      </c>
      <c r="B79" s="903"/>
      <c r="C79" s="904"/>
      <c r="D79" s="151"/>
      <c r="E79" s="95">
        <f>'12'!F79</f>
        <v>0</v>
      </c>
      <c r="F79" s="117"/>
      <c r="G79" s="112">
        <f>G15-SUM(G74:G78)</f>
        <v>577.59999999999673</v>
      </c>
      <c r="H79" s="99">
        <f>G79+'12'!H79</f>
        <v>7689</v>
      </c>
      <c r="I79" s="118"/>
      <c r="J79" s="175">
        <f>H79/DAY(B2)</f>
        <v>591.46153846153845</v>
      </c>
      <c r="K79" s="59"/>
      <c r="L79" s="58"/>
      <c r="N79" s="87"/>
      <c r="O79" s="71"/>
    </row>
    <row r="80" spans="1:15" s="57" customFormat="1" ht="27.75" customHeight="1">
      <c r="A80" s="870" t="s">
        <v>329</v>
      </c>
      <c r="B80" s="871"/>
      <c r="C80" s="872"/>
      <c r="D80" s="151"/>
      <c r="E80" s="117"/>
      <c r="F80" s="117"/>
      <c r="G80" s="112">
        <f>SUM(G74:G79)</f>
        <v>1055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09" t="s">
        <v>226</v>
      </c>
      <c r="B81" s="910"/>
      <c r="C81" s="911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573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573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'12'!F84</f>
        <v>42046</v>
      </c>
      <c r="F84" s="164">
        <v>42070</v>
      </c>
      <c r="G84" s="112">
        <f t="shared" si="8"/>
        <v>24</v>
      </c>
      <c r="H84" s="99">
        <f>G84+'12'!H84</f>
        <v>101</v>
      </c>
      <c r="I84" s="573"/>
      <c r="J84" s="175">
        <f>H84/DAY(B2)</f>
        <v>7.7692307692307692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'12'!F85</f>
        <v>4585</v>
      </c>
      <c r="F85" s="164">
        <v>4603</v>
      </c>
      <c r="G85" s="112">
        <f t="shared" si="8"/>
        <v>18</v>
      </c>
      <c r="H85" s="99">
        <f>G85+'12'!H85</f>
        <v>260</v>
      </c>
      <c r="I85" s="573"/>
      <c r="J85" s="175">
        <f>H85/DAY(B2)</f>
        <v>20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'12'!F86</f>
        <v>44658</v>
      </c>
      <c r="F86" s="164">
        <v>44658</v>
      </c>
      <c r="G86" s="112">
        <f t="shared" si="8"/>
        <v>0</v>
      </c>
      <c r="H86" s="99">
        <f>G86+'12'!H86</f>
        <v>188</v>
      </c>
      <c r="I86" s="573"/>
      <c r="J86" s="175">
        <f>H86/DAY(B2)</f>
        <v>14.461538461538462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'12'!F87</f>
        <v>35329</v>
      </c>
      <c r="F87" s="164">
        <v>35329</v>
      </c>
      <c r="G87" s="112">
        <f t="shared" si="8"/>
        <v>0</v>
      </c>
      <c r="H87" s="99">
        <f>G87+'12'!H87</f>
        <v>0</v>
      </c>
      <c r="I87" s="555">
        <f>G84+G85+G86+G87</f>
        <v>42</v>
      </c>
      <c r="J87" s="175">
        <f>H87/DAY(B2)</f>
        <v>0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'12'!F88</f>
        <v>24276.95</v>
      </c>
      <c r="F88" s="164">
        <v>24276.95</v>
      </c>
      <c r="G88" s="112">
        <f t="shared" si="8"/>
        <v>0</v>
      </c>
      <c r="H88" s="99">
        <f>G88+'12'!H88</f>
        <v>49.069999999999709</v>
      </c>
      <c r="I88" s="555"/>
      <c r="J88" s="175">
        <f>H88/DAY(B2)</f>
        <v>3.7746153846153621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'12'!F89</f>
        <v>27117</v>
      </c>
      <c r="F89" s="164">
        <v>27127.23</v>
      </c>
      <c r="G89" s="112">
        <f t="shared" si="8"/>
        <v>10.229999999999563</v>
      </c>
      <c r="H89" s="99">
        <f>G89+'12'!H89</f>
        <v>133.81999999999971</v>
      </c>
      <c r="I89" s="555">
        <f>G88+G89</f>
        <v>10.229999999999563</v>
      </c>
      <c r="J89" s="175">
        <f>H89/DAY(B2)</f>
        <v>10.293846153846131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'12'!F90</f>
        <v>72143</v>
      </c>
      <c r="F90" s="164">
        <v>72154.48</v>
      </c>
      <c r="G90" s="112">
        <f t="shared" si="8"/>
        <v>11.479999999995925</v>
      </c>
      <c r="H90" s="99">
        <f>G90+'12'!H90</f>
        <v>27.360000000000582</v>
      </c>
      <c r="I90" s="555">
        <f>G90</f>
        <v>11.479999999995925</v>
      </c>
      <c r="J90" s="175">
        <f>H90/DAY(B2)</f>
        <v>2.1046153846154292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'12'!F91</f>
        <v>4121.6499999999996</v>
      </c>
      <c r="F91" s="122">
        <v>4122</v>
      </c>
      <c r="G91" s="112">
        <f t="shared" si="8"/>
        <v>0.3500000000003638</v>
      </c>
      <c r="H91" s="99">
        <f>G91+'12'!H91</f>
        <v>0.3500000000003638</v>
      </c>
      <c r="I91" s="616"/>
      <c r="J91" s="175">
        <f>H91/DAY(B2)</f>
        <v>2.6923076923104909E-2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'12'!F92</f>
        <v>6349.16</v>
      </c>
      <c r="F92" s="122">
        <v>6358</v>
      </c>
      <c r="G92" s="112">
        <f t="shared" si="8"/>
        <v>8.8400000000001455</v>
      </c>
      <c r="H92" s="99">
        <f>G92+'12'!H92</f>
        <v>140.75</v>
      </c>
      <c r="I92" s="617">
        <f>G91+G92</f>
        <v>9.1900000000005093</v>
      </c>
      <c r="J92" s="175">
        <f>H92/DAY(B2)</f>
        <v>10.826923076923077</v>
      </c>
      <c r="O92" s="71"/>
    </row>
    <row r="93" spans="1:15" ht="27.75" customHeight="1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73" t="s">
        <v>240</v>
      </c>
      <c r="B94" s="874"/>
      <c r="C94" s="875"/>
      <c r="D94" s="151" t="s">
        <v>130</v>
      </c>
      <c r="E94" s="151"/>
      <c r="F94" s="151"/>
      <c r="G94" s="99">
        <f>G35+G43+G49+G57</f>
        <v>7088</v>
      </c>
      <c r="H94" s="99">
        <f>G94+'12'!H94</f>
        <v>87682</v>
      </c>
      <c r="I94" s="118"/>
      <c r="J94" s="175">
        <f>H94/DAY(B2)</f>
        <v>6744.7692307692305</v>
      </c>
      <c r="K94" s="69"/>
      <c r="L94" s="66"/>
      <c r="O94" s="71"/>
    </row>
    <row r="95" spans="1:15" ht="27.75" customHeight="1">
      <c r="A95" s="873" t="s">
        <v>241</v>
      </c>
      <c r="B95" s="874"/>
      <c r="C95" s="875"/>
      <c r="D95" s="151" t="s">
        <v>23</v>
      </c>
      <c r="E95" s="146"/>
      <c r="F95" s="146"/>
      <c r="G95" s="166">
        <f>G94/G7</f>
        <v>0.25498237283257791</v>
      </c>
      <c r="H95" s="99">
        <f>G95+'12'!H95</f>
        <v>3.1482024123143058</v>
      </c>
      <c r="I95" s="167"/>
      <c r="J95" s="175">
        <f>H95/DAY(B2)</f>
        <v>0.24216941633186967</v>
      </c>
      <c r="K95" s="69"/>
      <c r="L95" s="66"/>
      <c r="O95" s="71"/>
    </row>
    <row r="96" spans="1:15" ht="27.75" customHeight="1">
      <c r="A96" s="873" t="s">
        <v>242</v>
      </c>
      <c r="B96" s="874"/>
      <c r="C96" s="875"/>
      <c r="D96" s="151" t="s">
        <v>130</v>
      </c>
      <c r="E96" s="95"/>
      <c r="F96" s="95"/>
      <c r="G96" s="99">
        <f>G41+G42+G55+G56</f>
        <v>9751</v>
      </c>
      <c r="H96" s="99">
        <f>G96+'12'!H96</f>
        <v>112822.6</v>
      </c>
      <c r="I96" s="118"/>
      <c r="J96" s="175">
        <f>H96/DAY(B2)</f>
        <v>8678.6615384615397</v>
      </c>
      <c r="K96" s="69"/>
      <c r="L96" s="66"/>
      <c r="O96" s="71"/>
    </row>
    <row r="97" spans="1:15" ht="27.75" customHeight="1">
      <c r="A97" s="873" t="s">
        <v>243</v>
      </c>
      <c r="B97" s="874"/>
      <c r="C97" s="875"/>
      <c r="D97" s="151" t="s">
        <v>23</v>
      </c>
      <c r="E97" s="95"/>
      <c r="F97" s="95"/>
      <c r="G97" s="166">
        <f>G96/G7</f>
        <v>0.3507806317001223</v>
      </c>
      <c r="H97" s="99">
        <f>G97+'12'!H97</f>
        <v>4.008526833010067</v>
      </c>
      <c r="I97" s="167"/>
      <c r="J97" s="175">
        <f>H97/DAY(B2)</f>
        <v>0.30834821792385131</v>
      </c>
      <c r="K97" s="69"/>
      <c r="L97" s="66"/>
      <c r="O97" s="71"/>
    </row>
    <row r="98" spans="1:15" ht="27.75" customHeight="1">
      <c r="A98" s="873" t="s">
        <v>244</v>
      </c>
      <c r="B98" s="874"/>
      <c r="C98" s="875"/>
      <c r="D98" s="151" t="s">
        <v>130</v>
      </c>
      <c r="E98" s="95"/>
      <c r="F98" s="95"/>
      <c r="G98" s="99">
        <f>G39+G53</f>
        <v>3101</v>
      </c>
      <c r="H98" s="99">
        <f>G98+'12'!H98</f>
        <v>36361.090000000026</v>
      </c>
      <c r="I98" s="168"/>
      <c r="J98" s="175">
        <f>H98/DAY(B2)</f>
        <v>2797.006923076925</v>
      </c>
      <c r="K98" s="69"/>
      <c r="L98" s="66"/>
      <c r="O98" s="71"/>
    </row>
    <row r="99" spans="1:15" ht="27.75" customHeight="1">
      <c r="A99" s="873" t="s">
        <v>245</v>
      </c>
      <c r="B99" s="874"/>
      <c r="C99" s="875"/>
      <c r="D99" s="151" t="s">
        <v>23</v>
      </c>
      <c r="E99" s="95"/>
      <c r="F99" s="95"/>
      <c r="G99" s="166">
        <f>G98/G7</f>
        <v>0.11155478811425282</v>
      </c>
      <c r="H99" s="99">
        <f>G99+'12'!H99</f>
        <v>1.3019141757396464</v>
      </c>
      <c r="I99" s="168"/>
      <c r="J99" s="175">
        <f>H99/DAY(B2)</f>
        <v>0.10014724428766511</v>
      </c>
      <c r="O99" s="71"/>
    </row>
    <row r="100" spans="1:15" ht="27.75" customHeight="1">
      <c r="A100" s="873" t="s">
        <v>246</v>
      </c>
      <c r="B100" s="874"/>
      <c r="C100" s="875"/>
      <c r="D100" s="151" t="s">
        <v>180</v>
      </c>
      <c r="E100" s="95"/>
      <c r="F100" s="95"/>
      <c r="G100" s="99">
        <f>G38+G52</f>
        <v>2350</v>
      </c>
      <c r="H100" s="99">
        <f>G100+'12'!H100</f>
        <v>29747</v>
      </c>
      <c r="I100" s="118"/>
      <c r="J100" s="175">
        <f>H100/DAY(B2)</f>
        <v>2288.2307692307691</v>
      </c>
      <c r="K100" s="70"/>
      <c r="O100" s="71"/>
    </row>
    <row r="101" spans="1:15" ht="27.75" customHeight="1">
      <c r="A101" s="873" t="s">
        <v>247</v>
      </c>
      <c r="B101" s="874"/>
      <c r="C101" s="875"/>
      <c r="D101" s="151" t="s">
        <v>23</v>
      </c>
      <c r="E101" s="95"/>
      <c r="F101" s="95"/>
      <c r="G101" s="166">
        <f>G100/G7</f>
        <v>8.4538456004029067E-2</v>
      </c>
      <c r="H101" s="99">
        <f>G101+'12'!H101</f>
        <v>1.0643565641747592</v>
      </c>
      <c r="I101" s="168"/>
      <c r="J101" s="175">
        <f>H101/DAY(B2)</f>
        <v>8.1873581859596867E-2</v>
      </c>
      <c r="O101" s="71"/>
    </row>
    <row r="102" spans="1:15" ht="27.75" customHeight="1">
      <c r="A102" s="873" t="s">
        <v>248</v>
      </c>
      <c r="B102" s="874"/>
      <c r="C102" s="875"/>
      <c r="D102" s="151" t="s">
        <v>180</v>
      </c>
      <c r="E102" s="95"/>
      <c r="F102" s="95"/>
      <c r="G102" s="99">
        <f>G36+G50</f>
        <v>1648</v>
      </c>
      <c r="H102" s="99">
        <f>G102+'12'!H102</f>
        <v>26106</v>
      </c>
      <c r="I102" s="168"/>
      <c r="J102" s="175">
        <f>H102/DAY(B2)</f>
        <v>2008.1538461538462</v>
      </c>
      <c r="O102" s="71"/>
    </row>
    <row r="103" spans="1:15" ht="27.75" customHeight="1">
      <c r="A103" s="873" t="s">
        <v>249</v>
      </c>
      <c r="B103" s="874"/>
      <c r="C103" s="875"/>
      <c r="D103" s="151" t="s">
        <v>23</v>
      </c>
      <c r="E103" s="95"/>
      <c r="F103" s="95"/>
      <c r="G103" s="166">
        <f>G102/G7</f>
        <v>5.9284840636016981E-2</v>
      </c>
      <c r="H103" s="99">
        <f>G103+'12'!H103</f>
        <v>0.9288564381885811</v>
      </c>
      <c r="I103" s="118"/>
      <c r="J103" s="175">
        <f>H103/DAY(B2)</f>
        <v>7.1450495245275469E-2</v>
      </c>
      <c r="O103" s="71"/>
    </row>
    <row r="104" spans="1:15" ht="27.75" customHeight="1">
      <c r="A104" s="873" t="s">
        <v>250</v>
      </c>
      <c r="B104" s="874"/>
      <c r="C104" s="875"/>
      <c r="D104" s="151" t="s">
        <v>180</v>
      </c>
      <c r="E104" s="95"/>
      <c r="F104" s="95"/>
      <c r="G104" s="99">
        <f>G37+G51</f>
        <v>1681</v>
      </c>
      <c r="H104" s="99">
        <f>G104+'12'!H104</f>
        <v>22846.32</v>
      </c>
      <c r="I104" s="118"/>
      <c r="J104" s="175">
        <f>H104/DAY(B2)</f>
        <v>1757.4092307692308</v>
      </c>
      <c r="O104" s="71"/>
    </row>
    <row r="105" spans="1:15" ht="27.75" customHeight="1" thickBot="1">
      <c r="A105" s="913" t="s">
        <v>251</v>
      </c>
      <c r="B105" s="914"/>
      <c r="C105" s="915"/>
      <c r="D105" s="231" t="s">
        <v>23</v>
      </c>
      <c r="E105" s="185"/>
      <c r="F105" s="185"/>
      <c r="G105" s="186">
        <f>G104/G7</f>
        <v>6.047197640117994E-2</v>
      </c>
      <c r="H105" s="99">
        <f>G105+'12'!H105</f>
        <v>0.81445103659767004</v>
      </c>
      <c r="I105" s="187"/>
      <c r="J105" s="188">
        <f>H105/DAY(B2)</f>
        <v>6.2650079738282308E-2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927" t="s">
        <v>324</v>
      </c>
      <c r="B108" s="927"/>
      <c r="C108" s="927"/>
      <c r="D108" s="927"/>
      <c r="E108" s="927"/>
      <c r="F108" s="927"/>
      <c r="G108" s="927"/>
      <c r="H108" s="927"/>
      <c r="I108" s="927"/>
      <c r="J108" s="927"/>
    </row>
    <row r="109" spans="1:15" ht="27.75" customHeight="1">
      <c r="A109" s="912"/>
      <c r="B109" s="912"/>
    </row>
    <row r="110" spans="1:15" ht="27.75" customHeight="1">
      <c r="A110" s="928" t="s">
        <v>165</v>
      </c>
      <c r="B110" s="929"/>
      <c r="C110" s="929"/>
      <c r="D110" s="929"/>
      <c r="E110" s="929"/>
      <c r="F110" s="929"/>
      <c r="G110" s="929"/>
      <c r="H110" s="929"/>
      <c r="I110" s="929"/>
      <c r="J110" s="930"/>
    </row>
    <row r="111" spans="1:15" ht="27.75" customHeight="1">
      <c r="A111" s="931"/>
      <c r="B111" s="932"/>
      <c r="C111" s="933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906" t="s">
        <v>252</v>
      </c>
      <c r="B112" s="907"/>
      <c r="C112" s="908"/>
      <c r="D112" s="146" t="s">
        <v>183</v>
      </c>
      <c r="E112" s="95">
        <f>'12'!F112</f>
        <v>3591</v>
      </c>
      <c r="F112" s="237">
        <v>3666</v>
      </c>
      <c r="G112" s="112">
        <f t="shared" ref="G112:G123" si="9">F112-E112</f>
        <v>75</v>
      </c>
      <c r="H112" s="99">
        <f>G112+'12'!H112</f>
        <v>989</v>
      </c>
      <c r="I112" s="165"/>
      <c r="J112" s="328">
        <f>H112/DAY(B2)</f>
        <v>76.07692307692308</v>
      </c>
    </row>
    <row r="113" spans="1:18" ht="27.75" customHeight="1">
      <c r="A113" s="906" t="s">
        <v>253</v>
      </c>
      <c r="B113" s="907"/>
      <c r="C113" s="908"/>
      <c r="D113" s="146" t="s">
        <v>183</v>
      </c>
      <c r="E113" s="95">
        <f>'12'!F113</f>
        <v>8079</v>
      </c>
      <c r="F113" s="237">
        <v>8224</v>
      </c>
      <c r="G113" s="112">
        <f t="shared" si="9"/>
        <v>145</v>
      </c>
      <c r="H113" s="99">
        <f>G113+'12'!H113</f>
        <v>1833</v>
      </c>
      <c r="I113" s="165"/>
      <c r="J113" s="328">
        <f>H113/DAY(B2)</f>
        <v>141</v>
      </c>
    </row>
    <row r="114" spans="1:18" ht="27.75" customHeight="1">
      <c r="A114" s="906" t="s">
        <v>254</v>
      </c>
      <c r="B114" s="907"/>
      <c r="C114" s="908"/>
      <c r="D114" s="146" t="s">
        <v>183</v>
      </c>
      <c r="E114" s="95">
        <f>'12'!F114</f>
        <v>10199</v>
      </c>
      <c r="F114" s="237">
        <v>10416</v>
      </c>
      <c r="G114" s="112">
        <f t="shared" si="9"/>
        <v>217</v>
      </c>
      <c r="H114" s="99">
        <f>G114+'12'!H114</f>
        <v>2846</v>
      </c>
      <c r="I114" s="165"/>
      <c r="J114" s="328">
        <f>H114/DAY(B2)</f>
        <v>218.92307692307693</v>
      </c>
    </row>
    <row r="115" spans="1:18" ht="27.75" customHeight="1">
      <c r="A115" s="906" t="s">
        <v>255</v>
      </c>
      <c r="B115" s="907"/>
      <c r="C115" s="908"/>
      <c r="D115" s="146" t="s">
        <v>183</v>
      </c>
      <c r="E115" s="95">
        <f>'12'!F115</f>
        <v>6552</v>
      </c>
      <c r="F115" s="237">
        <v>6656</v>
      </c>
      <c r="G115" s="112">
        <f t="shared" si="9"/>
        <v>104</v>
      </c>
      <c r="H115" s="99">
        <f>G115+'12'!H115</f>
        <v>525.52000000000021</v>
      </c>
      <c r="I115" s="165"/>
      <c r="J115" s="328">
        <f>H115/DAY(B2)</f>
        <v>40.4246153846154</v>
      </c>
    </row>
    <row r="116" spans="1:18" ht="27.75" customHeight="1">
      <c r="A116" s="924" t="s">
        <v>96</v>
      </c>
      <c r="B116" s="925"/>
      <c r="C116" s="926"/>
      <c r="D116" s="146" t="s">
        <v>183</v>
      </c>
      <c r="E116" s="95">
        <f>'12'!F116</f>
        <v>51588</v>
      </c>
      <c r="F116" s="237">
        <v>52010</v>
      </c>
      <c r="G116" s="112">
        <f t="shared" si="9"/>
        <v>422</v>
      </c>
      <c r="H116" s="99">
        <f>G116+'12'!H116</f>
        <v>5255</v>
      </c>
      <c r="I116" s="165"/>
      <c r="J116" s="328">
        <f>H116/DAY(B2)</f>
        <v>404.23076923076923</v>
      </c>
      <c r="Q116" s="906"/>
      <c r="R116" s="908"/>
    </row>
    <row r="117" spans="1:18" ht="27.75" customHeight="1">
      <c r="A117" s="924" t="s">
        <v>184</v>
      </c>
      <c r="B117" s="925"/>
      <c r="C117" s="926"/>
      <c r="D117" s="146" t="s">
        <v>183</v>
      </c>
      <c r="E117" s="95">
        <f>'12'!F117</f>
        <v>27992</v>
      </c>
      <c r="F117" s="237">
        <v>28223</v>
      </c>
      <c r="G117" s="112">
        <f t="shared" si="9"/>
        <v>231</v>
      </c>
      <c r="H117" s="99">
        <f>G117+'12'!H117</f>
        <v>2955</v>
      </c>
      <c r="I117" s="165"/>
      <c r="J117" s="328">
        <f>H117/DAY(B2)</f>
        <v>227.30769230769232</v>
      </c>
      <c r="Q117" s="906"/>
      <c r="R117" s="908"/>
    </row>
    <row r="118" spans="1:18" ht="27.75" customHeight="1">
      <c r="A118" s="901" t="s">
        <v>97</v>
      </c>
      <c r="B118" s="901"/>
      <c r="C118" s="901"/>
      <c r="D118" s="151" t="s">
        <v>183</v>
      </c>
      <c r="E118" s="95">
        <f>'12'!F118</f>
        <v>33147</v>
      </c>
      <c r="F118" s="237">
        <v>33802</v>
      </c>
      <c r="G118" s="112">
        <f t="shared" si="9"/>
        <v>655</v>
      </c>
      <c r="H118" s="99">
        <f>G118+'12'!H118</f>
        <v>7577</v>
      </c>
      <c r="I118" s="165"/>
      <c r="J118" s="328">
        <f>H118/DAY(B2)</f>
        <v>582.84615384615381</v>
      </c>
      <c r="Q118" s="906"/>
      <c r="R118" s="908"/>
    </row>
    <row r="119" spans="1:18" ht="27.75" customHeight="1">
      <c r="A119" s="901" t="s">
        <v>98</v>
      </c>
      <c r="B119" s="901"/>
      <c r="C119" s="901"/>
      <c r="D119" s="151" t="s">
        <v>183</v>
      </c>
      <c r="E119" s="95">
        <f>'12'!F119</f>
        <v>24113</v>
      </c>
      <c r="F119" s="237">
        <v>24556</v>
      </c>
      <c r="G119" s="112">
        <f t="shared" si="9"/>
        <v>443</v>
      </c>
      <c r="H119" s="99">
        <f>G119+'12'!H119</f>
        <v>5609</v>
      </c>
      <c r="I119" s="165"/>
      <c r="J119" s="328">
        <f>H119/DAY(B2)</f>
        <v>431.46153846153845</v>
      </c>
    </row>
    <row r="120" spans="1:18" ht="27.75" customHeight="1">
      <c r="A120" s="901" t="s">
        <v>99</v>
      </c>
      <c r="B120" s="901"/>
      <c r="C120" s="901"/>
      <c r="D120" s="151" t="s">
        <v>183</v>
      </c>
      <c r="E120" s="95">
        <f>'12'!F120</f>
        <v>25320</v>
      </c>
      <c r="F120" s="237">
        <v>25776</v>
      </c>
      <c r="G120" s="112">
        <f t="shared" si="9"/>
        <v>456</v>
      </c>
      <c r="H120" s="99">
        <f>G120+'12'!H120</f>
        <v>5726</v>
      </c>
      <c r="I120" s="165"/>
      <c r="J120" s="328">
        <f>H120/DAY(B2)</f>
        <v>440.46153846153845</v>
      </c>
    </row>
    <row r="121" spans="1:18" ht="27.75" customHeight="1">
      <c r="A121" s="901" t="s">
        <v>100</v>
      </c>
      <c r="B121" s="901"/>
      <c r="C121" s="901"/>
      <c r="D121" s="151" t="s">
        <v>183</v>
      </c>
      <c r="E121" s="95">
        <f>'12'!F121</f>
        <v>31476</v>
      </c>
      <c r="F121" s="237">
        <v>31923</v>
      </c>
      <c r="G121" s="112">
        <f t="shared" si="9"/>
        <v>447</v>
      </c>
      <c r="H121" s="99">
        <f>G121+'12'!H121</f>
        <v>6079</v>
      </c>
      <c r="I121" s="165"/>
      <c r="J121" s="328">
        <f>H121/DAY(B2)</f>
        <v>467.61538461538464</v>
      </c>
    </row>
    <row r="122" spans="1:18" ht="27.75" customHeight="1">
      <c r="A122" s="901" t="s">
        <v>101</v>
      </c>
      <c r="B122" s="901"/>
      <c r="C122" s="901"/>
      <c r="D122" s="151" t="s">
        <v>183</v>
      </c>
      <c r="E122" s="95">
        <f>'12'!F122</f>
        <v>14839</v>
      </c>
      <c r="F122" s="237">
        <v>15154</v>
      </c>
      <c r="G122" s="112">
        <f t="shared" si="9"/>
        <v>315</v>
      </c>
      <c r="H122" s="99">
        <f>G122+'12'!H122</f>
        <v>3994</v>
      </c>
      <c r="I122" s="165"/>
      <c r="J122" s="328">
        <f>H122/DAY(B2)</f>
        <v>307.23076923076923</v>
      </c>
    </row>
    <row r="123" spans="1:18" ht="27.75" customHeight="1">
      <c r="A123" s="901" t="s">
        <v>102</v>
      </c>
      <c r="B123" s="901"/>
      <c r="C123" s="901"/>
      <c r="D123" s="151" t="s">
        <v>183</v>
      </c>
      <c r="E123" s="95">
        <f>'12'!F123</f>
        <v>14686</v>
      </c>
      <c r="F123" s="237">
        <v>15003</v>
      </c>
      <c r="G123" s="112">
        <f t="shared" si="9"/>
        <v>317</v>
      </c>
      <c r="H123" s="99">
        <f>G123+'12'!H123</f>
        <v>4494</v>
      </c>
      <c r="I123" s="165"/>
      <c r="J123" s="328">
        <f>H123/DAY(B2)</f>
        <v>345.69230769230768</v>
      </c>
    </row>
    <row r="124" spans="1:18" ht="27.75" customHeight="1">
      <c r="A124" s="931"/>
      <c r="B124" s="932"/>
      <c r="C124" s="933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934" t="s">
        <v>196</v>
      </c>
      <c r="B125" s="935"/>
      <c r="C125" s="245"/>
      <c r="D125" s="307"/>
      <c r="E125" s="308"/>
      <c r="F125" s="308"/>
      <c r="G125" s="309">
        <f>SUM(G112:G124)</f>
        <v>3827</v>
      </c>
      <c r="H125" s="156"/>
      <c r="I125" s="327">
        <f>G125-(G39+G53)</f>
        <v>726</v>
      </c>
      <c r="J125" s="327"/>
    </row>
    <row r="126" spans="1:18" ht="27.75" customHeight="1">
      <c r="A126" s="936" t="s">
        <v>317</v>
      </c>
      <c r="B126" s="936"/>
      <c r="C126" s="936"/>
      <c r="D126" s="936"/>
      <c r="E126" s="936"/>
      <c r="F126" s="936"/>
      <c r="G126" s="936"/>
      <c r="H126" s="936"/>
      <c r="I126" s="936"/>
      <c r="J126" s="936"/>
    </row>
    <row r="127" spans="1:18" ht="27.75" customHeight="1">
      <c r="A127" s="937"/>
      <c r="B127" s="937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>
      <c r="A128" s="906" t="s">
        <v>318</v>
      </c>
      <c r="B128" s="907"/>
      <c r="C128" s="908"/>
      <c r="D128" s="151" t="s">
        <v>183</v>
      </c>
      <c r="E128" s="95">
        <f>'12'!F128</f>
        <v>101967</v>
      </c>
      <c r="F128" s="165">
        <v>102499</v>
      </c>
      <c r="G128" s="112">
        <f t="shared" ref="G128:G134" si="10">F128-E128</f>
        <v>532</v>
      </c>
      <c r="H128" s="99">
        <f>G128+'12'!H128</f>
        <v>6784</v>
      </c>
      <c r="I128" s="165"/>
      <c r="J128" s="328">
        <f>H128/DAY(B2)</f>
        <v>521.84615384615381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'12'!F129</f>
        <v>63137</v>
      </c>
      <c r="F129" s="165">
        <v>63379</v>
      </c>
      <c r="G129" s="112">
        <f t="shared" si="10"/>
        <v>242</v>
      </c>
      <c r="H129" s="99">
        <f>G129+'12'!H129</f>
        <v>3086</v>
      </c>
      <c r="I129" s="165"/>
      <c r="J129" s="328">
        <f>H129/DAY(B2)</f>
        <v>237.38461538461539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'12'!F130</f>
        <v>128231</v>
      </c>
      <c r="F130" s="165">
        <v>129070</v>
      </c>
      <c r="G130" s="112">
        <f t="shared" si="10"/>
        <v>839</v>
      </c>
      <c r="H130" s="99">
        <f>G130+'12'!H130</f>
        <v>7941</v>
      </c>
      <c r="I130" s="165"/>
      <c r="J130" s="328">
        <f>H130/DAY(B2)</f>
        <v>610.84615384615381</v>
      </c>
      <c r="N130" s="240"/>
      <c r="O130" s="241"/>
    </row>
    <row r="131" spans="1:15" ht="27.75" customHeight="1">
      <c r="A131" s="906" t="s">
        <v>321</v>
      </c>
      <c r="B131" s="907"/>
      <c r="C131" s="908"/>
      <c r="D131" s="151" t="s">
        <v>183</v>
      </c>
      <c r="E131" s="95">
        <f>'12'!F131</f>
        <v>38734</v>
      </c>
      <c r="F131" s="165">
        <v>38939</v>
      </c>
      <c r="G131" s="112">
        <f t="shared" si="10"/>
        <v>205</v>
      </c>
      <c r="H131" s="99">
        <f>G131+'12'!H131</f>
        <v>2660</v>
      </c>
      <c r="I131" s="165"/>
      <c r="J131" s="328">
        <f>H131/DAY(B2)</f>
        <v>204.61538461538461</v>
      </c>
      <c r="N131" s="240"/>
      <c r="O131" s="241"/>
    </row>
    <row r="132" spans="1:15" ht="27.75" customHeight="1">
      <c r="A132" s="906" t="s">
        <v>322</v>
      </c>
      <c r="B132" s="907"/>
      <c r="C132" s="908"/>
      <c r="D132" s="151" t="s">
        <v>183</v>
      </c>
      <c r="E132" s="95">
        <f>'12'!F132</f>
        <v>108390</v>
      </c>
      <c r="F132" s="165">
        <v>108809</v>
      </c>
      <c r="G132" s="112">
        <f t="shared" si="10"/>
        <v>419</v>
      </c>
      <c r="H132" s="99">
        <f>G132+'12'!H132</f>
        <v>5297</v>
      </c>
      <c r="I132" s="165"/>
      <c r="J132" s="328">
        <f>H132/DAY(B2)</f>
        <v>407.46153846153845</v>
      </c>
    </row>
    <row r="133" spans="1:15" ht="27.75" customHeight="1">
      <c r="A133" s="906" t="s">
        <v>359</v>
      </c>
      <c r="B133" s="907"/>
      <c r="C133" s="908"/>
      <c r="D133" s="151" t="s">
        <v>183</v>
      </c>
      <c r="E133" s="95">
        <f>'12'!F133</f>
        <v>211561</v>
      </c>
      <c r="F133" s="165">
        <v>212425</v>
      </c>
      <c r="G133" s="112">
        <f t="shared" si="10"/>
        <v>864</v>
      </c>
      <c r="H133" s="99">
        <f>G133+'12'!H133</f>
        <v>11193</v>
      </c>
      <c r="I133" s="165"/>
      <c r="J133" s="328">
        <f>H133/DAY(B2)</f>
        <v>861</v>
      </c>
    </row>
    <row r="134" spans="1:15" ht="27.75" customHeight="1">
      <c r="A134" s="906" t="s">
        <v>340</v>
      </c>
      <c r="B134" s="907"/>
      <c r="C134" s="908"/>
      <c r="D134" s="151" t="s">
        <v>183</v>
      </c>
      <c r="E134" s="95">
        <f>'12'!F134</f>
        <v>37772</v>
      </c>
      <c r="F134" s="165">
        <v>38072</v>
      </c>
      <c r="G134" s="112">
        <f t="shared" si="10"/>
        <v>300</v>
      </c>
      <c r="H134" s="99">
        <f>G134+'12'!H134</f>
        <v>3177</v>
      </c>
      <c r="I134" s="165"/>
      <c r="J134" s="328">
        <f>H134/DAY(B2)</f>
        <v>244.38461538461539</v>
      </c>
    </row>
    <row r="135" spans="1:15" ht="27.75" customHeight="1">
      <c r="A135" s="934" t="s">
        <v>196</v>
      </c>
      <c r="B135" s="935"/>
      <c r="C135" s="331"/>
      <c r="D135" s="151"/>
      <c r="E135" s="95"/>
      <c r="F135" s="165"/>
      <c r="G135" s="112">
        <f>SUM(G128:G134)</f>
        <v>3401</v>
      </c>
      <c r="H135" s="99">
        <f>G135+'12'!H135</f>
        <v>37052.279999999992</v>
      </c>
      <c r="I135" s="327">
        <f>G135-(G35+G49)</f>
        <v>-456</v>
      </c>
      <c r="J135" s="328">
        <f>H135/DAY(B2)</f>
        <v>2850.1753846153838</v>
      </c>
    </row>
    <row r="136" spans="1:15" ht="27.75" customHeight="1">
      <c r="A136" s="938" t="s">
        <v>325</v>
      </c>
      <c r="B136" s="938"/>
      <c r="C136" s="938"/>
      <c r="D136" s="938"/>
      <c r="E136" s="938"/>
      <c r="F136" s="938"/>
      <c r="G136" s="938"/>
      <c r="H136" s="938"/>
      <c r="I136" s="938"/>
      <c r="J136" s="938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901" t="s">
        <v>185</v>
      </c>
      <c r="B138" s="901"/>
      <c r="C138" s="901"/>
      <c r="D138" s="151" t="s">
        <v>183</v>
      </c>
      <c r="E138" s="95">
        <f>'12'!F138</f>
        <v>884818</v>
      </c>
      <c r="F138" s="147">
        <v>884969</v>
      </c>
      <c r="G138" s="112">
        <f t="shared" ref="G138:G152" si="11">F138-E138</f>
        <v>151</v>
      </c>
      <c r="H138" s="99">
        <f>G138+'12'!H138</f>
        <v>1691.2999999999993</v>
      </c>
      <c r="I138" s="118"/>
      <c r="J138" s="328">
        <f>H138/DAY(B2)</f>
        <v>130.09999999999994</v>
      </c>
    </row>
    <row r="139" spans="1:15" ht="27.75" customHeight="1">
      <c r="A139" s="901" t="s">
        <v>186</v>
      </c>
      <c r="B139" s="901"/>
      <c r="C139" s="901"/>
      <c r="D139" s="151" t="s">
        <v>183</v>
      </c>
      <c r="E139" s="95">
        <f>'12'!F139</f>
        <v>901319</v>
      </c>
      <c r="F139" s="148">
        <v>901456</v>
      </c>
      <c r="G139" s="112">
        <f t="shared" si="11"/>
        <v>137</v>
      </c>
      <c r="H139" s="99">
        <f>G139+'12'!H139</f>
        <v>2001</v>
      </c>
      <c r="I139" s="118"/>
      <c r="J139" s="328">
        <f>H139/DAY(B2)</f>
        <v>153.92307692307693</v>
      </c>
    </row>
    <row r="140" spans="1:15" ht="27.75" customHeight="1">
      <c r="A140" s="901" t="s">
        <v>187</v>
      </c>
      <c r="B140" s="901"/>
      <c r="C140" s="901"/>
      <c r="D140" s="151" t="s">
        <v>183</v>
      </c>
      <c r="E140" s="95">
        <f>'12'!F140</f>
        <v>775</v>
      </c>
      <c r="F140" s="149">
        <v>791</v>
      </c>
      <c r="G140" s="112">
        <f t="shared" si="11"/>
        <v>16</v>
      </c>
      <c r="H140" s="99">
        <f>G140+'12'!H140</f>
        <v>142.24</v>
      </c>
      <c r="I140" s="118"/>
      <c r="J140" s="328">
        <f>H140/DAY(B2)</f>
        <v>10.941538461538462</v>
      </c>
    </row>
    <row r="141" spans="1:15" ht="27.75" customHeight="1">
      <c r="A141" s="905" t="s">
        <v>188</v>
      </c>
      <c r="B141" s="905"/>
      <c r="C141" s="905"/>
      <c r="D141" s="151" t="s">
        <v>183</v>
      </c>
      <c r="E141" s="95">
        <f>'12'!F141</f>
        <v>80418</v>
      </c>
      <c r="F141" s="149">
        <v>80640</v>
      </c>
      <c r="G141" s="112">
        <f t="shared" si="11"/>
        <v>222</v>
      </c>
      <c r="H141" s="99">
        <f>G141+'12'!H141</f>
        <v>2688</v>
      </c>
      <c r="I141" s="118"/>
      <c r="J141" s="328">
        <f>H141/DAY(B2)</f>
        <v>206.76923076923077</v>
      </c>
    </row>
    <row r="142" spans="1:15" ht="27.75" customHeight="1">
      <c r="A142" s="905" t="s">
        <v>189</v>
      </c>
      <c r="B142" s="905"/>
      <c r="C142" s="905"/>
      <c r="D142" s="151" t="s">
        <v>183</v>
      </c>
      <c r="E142" s="95">
        <f>'12'!F142</f>
        <v>32393</v>
      </c>
      <c r="F142" s="148">
        <v>32542</v>
      </c>
      <c r="G142" s="112">
        <f t="shared" si="11"/>
        <v>149</v>
      </c>
      <c r="H142" s="99">
        <f>G142+'12'!H142</f>
        <v>2016</v>
      </c>
      <c r="I142" s="140"/>
      <c r="J142" s="328">
        <f>H142/DAY(B2)</f>
        <v>155.07692307692307</v>
      </c>
    </row>
    <row r="143" spans="1:15" ht="27.75" customHeight="1">
      <c r="A143" s="901" t="s">
        <v>91</v>
      </c>
      <c r="B143" s="901"/>
      <c r="C143" s="901"/>
      <c r="D143" s="151" t="s">
        <v>183</v>
      </c>
      <c r="E143" s="95">
        <f>'12'!F143</f>
        <v>7636</v>
      </c>
      <c r="F143" s="149">
        <v>7669</v>
      </c>
      <c r="G143" s="112">
        <f t="shared" si="11"/>
        <v>33</v>
      </c>
      <c r="H143" s="99">
        <f>G143+'12'!H143</f>
        <v>363</v>
      </c>
      <c r="I143" s="140"/>
      <c r="J143" s="328">
        <f>H143/DAY(B2)</f>
        <v>27.923076923076923</v>
      </c>
    </row>
    <row r="144" spans="1:15" ht="27.75" customHeight="1">
      <c r="A144" s="905" t="s">
        <v>90</v>
      </c>
      <c r="B144" s="905"/>
      <c r="C144" s="905"/>
      <c r="D144" s="151" t="s">
        <v>183</v>
      </c>
      <c r="E144" s="95">
        <f>'12'!F144</f>
        <v>907963</v>
      </c>
      <c r="F144" s="149">
        <v>908195</v>
      </c>
      <c r="G144" s="112">
        <f t="shared" si="11"/>
        <v>232</v>
      </c>
      <c r="H144" s="99">
        <f>G144+'12'!H144</f>
        <v>3142</v>
      </c>
      <c r="I144" s="140"/>
      <c r="J144" s="328">
        <f>H144/DAY(B2)</f>
        <v>241.69230769230768</v>
      </c>
    </row>
    <row r="145" spans="1:10" ht="27.75" customHeight="1">
      <c r="A145" s="901" t="s">
        <v>190</v>
      </c>
      <c r="B145" s="901"/>
      <c r="C145" s="901"/>
      <c r="D145" s="152" t="s">
        <v>183</v>
      </c>
      <c r="E145" s="95">
        <f>'12'!F145</f>
        <v>5665</v>
      </c>
      <c r="F145" s="149">
        <v>5665</v>
      </c>
      <c r="G145" s="112">
        <f t="shared" si="11"/>
        <v>0</v>
      </c>
      <c r="H145" s="99">
        <f>G145+'12'!H145</f>
        <v>1</v>
      </c>
      <c r="I145" s="140"/>
      <c r="J145" s="328">
        <f>H145/DAY(B2)</f>
        <v>7.6923076923076927E-2</v>
      </c>
    </row>
    <row r="146" spans="1:10" ht="27.75" customHeight="1">
      <c r="A146" s="902" t="s">
        <v>191</v>
      </c>
      <c r="B146" s="903"/>
      <c r="C146" s="904"/>
      <c r="D146" s="152" t="s">
        <v>183</v>
      </c>
      <c r="E146" s="95">
        <f>'12'!F146</f>
        <v>778504</v>
      </c>
      <c r="F146" s="148">
        <v>778583</v>
      </c>
      <c r="G146" s="112">
        <f t="shared" si="11"/>
        <v>79</v>
      </c>
      <c r="H146" s="99">
        <f>G146+'12'!H146</f>
        <v>715</v>
      </c>
      <c r="I146" s="140"/>
      <c r="J146" s="328">
        <f>H146/DAY(B2)</f>
        <v>55</v>
      </c>
    </row>
    <row r="147" spans="1:10" ht="27.75" customHeight="1">
      <c r="A147" s="905" t="s">
        <v>192</v>
      </c>
      <c r="B147" s="905"/>
      <c r="C147" s="905"/>
      <c r="D147" s="152" t="s">
        <v>183</v>
      </c>
      <c r="E147" s="95">
        <f>'12'!F147</f>
        <v>680286</v>
      </c>
      <c r="F147" s="148">
        <v>680759</v>
      </c>
      <c r="G147" s="112">
        <f t="shared" si="11"/>
        <v>473</v>
      </c>
      <c r="H147" s="99">
        <f>G147+'12'!H147</f>
        <v>4911</v>
      </c>
      <c r="I147" s="140"/>
      <c r="J147" s="328">
        <f>H147/DAY(B2)</f>
        <v>377.76923076923077</v>
      </c>
    </row>
    <row r="148" spans="1:10" ht="27.75" customHeight="1">
      <c r="A148" s="897" t="s">
        <v>193</v>
      </c>
      <c r="B148" s="898"/>
      <c r="C148" s="899"/>
      <c r="D148" s="123" t="s">
        <v>130</v>
      </c>
      <c r="E148" s="95">
        <f>'12'!F148</f>
        <v>733165</v>
      </c>
      <c r="F148" s="150">
        <v>733391</v>
      </c>
      <c r="G148" s="112">
        <f t="shared" si="11"/>
        <v>226</v>
      </c>
      <c r="H148" s="99">
        <f>G148+'12'!H148</f>
        <v>3646</v>
      </c>
      <c r="I148" s="124"/>
      <c r="J148" s="328">
        <f>H148/DAY(B2)</f>
        <v>280.46153846153845</v>
      </c>
    </row>
    <row r="149" spans="1:10" ht="27.75" customHeight="1">
      <c r="A149" s="897" t="s">
        <v>336</v>
      </c>
      <c r="B149" s="898"/>
      <c r="C149" s="899"/>
      <c r="D149" s="227" t="s">
        <v>130</v>
      </c>
      <c r="E149" s="95">
        <f>'12'!F149</f>
        <v>107709</v>
      </c>
      <c r="F149" s="146">
        <v>108305</v>
      </c>
      <c r="G149" s="112">
        <f t="shared" si="11"/>
        <v>596</v>
      </c>
      <c r="H149" s="99">
        <f>G149+'12'!H149</f>
        <v>7410</v>
      </c>
      <c r="I149" s="119"/>
      <c r="J149" s="328">
        <f>H149/DAY(B2)</f>
        <v>570</v>
      </c>
    </row>
    <row r="150" spans="1:10" ht="27.75" customHeight="1">
      <c r="A150" s="897" t="s">
        <v>337</v>
      </c>
      <c r="B150" s="898"/>
      <c r="C150" s="899"/>
      <c r="D150" s="117" t="s">
        <v>130</v>
      </c>
      <c r="E150" s="95">
        <f>'12'!F150</f>
        <v>39838</v>
      </c>
      <c r="F150" s="233">
        <v>40055</v>
      </c>
      <c r="G150" s="112">
        <f t="shared" si="11"/>
        <v>217</v>
      </c>
      <c r="H150" s="99">
        <f>G150+'12'!H150</f>
        <v>2839</v>
      </c>
      <c r="I150" s="119"/>
      <c r="J150" s="328">
        <f>H150/DAY(B2)</f>
        <v>218.38461538461539</v>
      </c>
    </row>
    <row r="151" spans="1:10" ht="27.75" customHeight="1">
      <c r="A151" s="897" t="s">
        <v>338</v>
      </c>
      <c r="B151" s="898"/>
      <c r="C151" s="899"/>
      <c r="D151" s="117" t="s">
        <v>130</v>
      </c>
      <c r="E151" s="95">
        <f>'12'!F151</f>
        <v>121679</v>
      </c>
      <c r="F151" s="233">
        <v>121932</v>
      </c>
      <c r="G151" s="112">
        <f t="shared" si="11"/>
        <v>253</v>
      </c>
      <c r="H151" s="99">
        <f>G151+'12'!H151</f>
        <v>3795</v>
      </c>
      <c r="I151" s="119"/>
      <c r="J151" s="328">
        <f>H151/DAY(B2)</f>
        <v>291.92307692307691</v>
      </c>
    </row>
    <row r="152" spans="1:10" ht="27.75" customHeight="1">
      <c r="A152" s="897" t="s">
        <v>339</v>
      </c>
      <c r="B152" s="898"/>
      <c r="C152" s="899"/>
      <c r="D152" s="117" t="s">
        <v>130</v>
      </c>
      <c r="E152" s="95">
        <f>'12'!F152</f>
        <v>16984</v>
      </c>
      <c r="F152" s="233">
        <v>17111</v>
      </c>
      <c r="G152" s="112">
        <f t="shared" si="11"/>
        <v>127</v>
      </c>
      <c r="H152" s="99">
        <f>G152+'12'!H152</f>
        <v>5955</v>
      </c>
      <c r="I152" s="119"/>
      <c r="J152" s="328">
        <f>H152/DAY(B2)</f>
        <v>458.07692307692309</v>
      </c>
    </row>
    <row r="153" spans="1:10" ht="27.75" customHeight="1">
      <c r="A153" s="934" t="s">
        <v>196</v>
      </c>
      <c r="B153" s="935"/>
      <c r="C153" s="365"/>
      <c r="D153" s="358"/>
      <c r="E153" s="360"/>
      <c r="F153" s="361"/>
      <c r="G153" s="362">
        <f>SUM(G138:G152)</f>
        <v>2911</v>
      </c>
      <c r="H153" s="363"/>
      <c r="I153" s="119">
        <f>G153-(G38+G52)</f>
        <v>561</v>
      </c>
      <c r="J153" s="366"/>
    </row>
    <row r="154" spans="1:10" ht="27.75" customHeight="1">
      <c r="A154" s="938" t="s">
        <v>344</v>
      </c>
      <c r="B154" s="938"/>
      <c r="C154" s="938"/>
      <c r="D154" s="938"/>
      <c r="E154" s="938"/>
      <c r="F154" s="938"/>
      <c r="G154" s="938"/>
      <c r="H154" s="938"/>
      <c r="I154" s="938"/>
      <c r="J154" s="938"/>
    </row>
    <row r="155" spans="1:10" ht="27.75" customHeight="1">
      <c r="A155" s="905" t="s">
        <v>345</v>
      </c>
      <c r="B155" s="905"/>
      <c r="C155" s="905"/>
      <c r="D155" s="117" t="s">
        <v>130</v>
      </c>
      <c r="E155" s="374">
        <f>'12'!F155</f>
        <v>119385</v>
      </c>
      <c r="F155" s="374">
        <v>120036</v>
      </c>
      <c r="G155" s="112">
        <f t="shared" ref="G155:G158" si="12">F155-E155</f>
        <v>651</v>
      </c>
      <c r="H155" s="99">
        <f>G155+'12'!H155</f>
        <v>8061</v>
      </c>
      <c r="I155" s="364"/>
      <c r="J155" s="328">
        <f>H155/DAY(B2)</f>
        <v>620.07692307692309</v>
      </c>
    </row>
    <row r="156" spans="1:10" ht="27.75" customHeight="1">
      <c r="A156" s="905" t="s">
        <v>347</v>
      </c>
      <c r="B156" s="905"/>
      <c r="C156" s="905"/>
      <c r="D156" s="117" t="s">
        <v>130</v>
      </c>
      <c r="E156" s="374">
        <f>'12'!F156</f>
        <v>10598</v>
      </c>
      <c r="F156" s="155">
        <v>10682</v>
      </c>
      <c r="G156" s="112">
        <f t="shared" si="12"/>
        <v>84</v>
      </c>
      <c r="H156" s="99">
        <f>G156+'12'!H156</f>
        <v>997</v>
      </c>
      <c r="I156" s="165"/>
      <c r="J156" s="328">
        <f>H156/DAY(B2)</f>
        <v>76.692307692307693</v>
      </c>
    </row>
    <row r="157" spans="1:10" ht="27.75" customHeight="1">
      <c r="A157" s="897" t="s">
        <v>360</v>
      </c>
      <c r="B157" s="898"/>
      <c r="C157" s="899"/>
      <c r="D157" s="117" t="s">
        <v>130</v>
      </c>
      <c r="E157" s="374">
        <f>'12'!F157</f>
        <v>20267</v>
      </c>
      <c r="F157" s="155">
        <v>20412</v>
      </c>
      <c r="G157" s="112">
        <f t="shared" si="12"/>
        <v>145</v>
      </c>
      <c r="H157" s="99">
        <f>G157+'12'!H157</f>
        <v>2212</v>
      </c>
      <c r="I157" s="165"/>
      <c r="J157" s="328">
        <f>H157/DAY(B2)</f>
        <v>170.15384615384616</v>
      </c>
    </row>
    <row r="158" spans="1:10" ht="27.75" customHeight="1">
      <c r="A158" s="897" t="s">
        <v>361</v>
      </c>
      <c r="B158" s="898"/>
      <c r="C158" s="899"/>
      <c r="D158" s="117" t="s">
        <v>130</v>
      </c>
      <c r="E158" s="374">
        <f>'12'!F158</f>
        <v>188</v>
      </c>
      <c r="F158" s="155">
        <v>189</v>
      </c>
      <c r="G158" s="112">
        <f t="shared" si="12"/>
        <v>1</v>
      </c>
      <c r="H158" s="99">
        <f>G158+'12'!H158</f>
        <v>98.58</v>
      </c>
      <c r="I158" s="165"/>
      <c r="J158" s="328">
        <f>H158/DAY(B2)</f>
        <v>7.5830769230769226</v>
      </c>
    </row>
    <row r="159" spans="1:10" ht="27.75" customHeight="1">
      <c r="A159" s="956"/>
      <c r="B159" s="957"/>
      <c r="C159" s="958"/>
      <c r="D159" s="117"/>
      <c r="E159" s="95"/>
      <c r="F159" s="165"/>
      <c r="G159" s="362">
        <f>SUM(G155:G158)</f>
        <v>881</v>
      </c>
      <c r="H159" s="99"/>
      <c r="I159" s="165"/>
      <c r="J159" s="328"/>
    </row>
    <row r="160" spans="1:10" ht="27.75" customHeight="1">
      <c r="A160" s="938" t="s">
        <v>326</v>
      </c>
      <c r="B160" s="938"/>
      <c r="C160" s="938"/>
      <c r="D160" s="938"/>
      <c r="E160" s="938"/>
      <c r="F160" s="938"/>
      <c r="G160" s="938"/>
      <c r="H160" s="938"/>
      <c r="I160" s="938"/>
      <c r="J160" s="938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'12'!F161</f>
        <v>476617.72</v>
      </c>
      <c r="F161" s="235">
        <v>476630</v>
      </c>
      <c r="G161" s="238">
        <f t="shared" ref="G161:G165" si="13">F161-E161</f>
        <v>12.28000000002794</v>
      </c>
      <c r="H161" s="99">
        <f>G161+'12'!H161</f>
        <v>1209</v>
      </c>
      <c r="I161" s="236"/>
      <c r="J161" s="239">
        <f>H161/DAY(B2)</f>
        <v>93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'12'!F162</f>
        <v>93120</v>
      </c>
      <c r="F162" s="235">
        <v>93155</v>
      </c>
      <c r="G162" s="238">
        <f t="shared" si="13"/>
        <v>35</v>
      </c>
      <c r="H162" s="99">
        <f>G162+'12'!H162</f>
        <v>428</v>
      </c>
      <c r="I162" s="236"/>
      <c r="J162" s="239">
        <f>H162/DAY(B2)</f>
        <v>32.92307692307692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'12'!F163</f>
        <v>99050</v>
      </c>
      <c r="F163" s="235">
        <v>99215</v>
      </c>
      <c r="G163" s="238">
        <f t="shared" si="13"/>
        <v>165</v>
      </c>
      <c r="H163" s="99">
        <f>G163+'12'!H163</f>
        <v>2080</v>
      </c>
      <c r="I163" s="236"/>
      <c r="J163" s="239">
        <f>H163/DAY(B2)</f>
        <v>160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'12'!F164</f>
        <v>5681</v>
      </c>
      <c r="F164" s="235">
        <v>5692</v>
      </c>
      <c r="G164" s="238">
        <f t="shared" si="13"/>
        <v>11</v>
      </c>
      <c r="H164" s="99">
        <f>G164+'12'!H164</f>
        <v>150</v>
      </c>
      <c r="I164" s="236"/>
      <c r="J164" s="239">
        <f>H164/DAY(B2)</f>
        <v>11.538461538461538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'12'!F165</f>
        <v>31145</v>
      </c>
      <c r="F165" s="235">
        <v>31162</v>
      </c>
      <c r="G165" s="238">
        <f t="shared" si="13"/>
        <v>17</v>
      </c>
      <c r="H165" s="99">
        <f>G165+'12'!H165</f>
        <v>148</v>
      </c>
      <c r="I165" s="236"/>
      <c r="J165" s="239">
        <f>H165/DAY(B2)</f>
        <v>11.384615384615385</v>
      </c>
    </row>
    <row r="166" spans="1:10" ht="27.75" customHeight="1">
      <c r="A166" s="937"/>
      <c r="B166" s="937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>
      <c r="A167" s="937"/>
      <c r="B167" s="937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>
      <c r="A168" s="937"/>
      <c r="B168" s="937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>
      <c r="A171" s="947" t="s">
        <v>330</v>
      </c>
      <c r="B171" s="948"/>
      <c r="C171" s="948"/>
      <c r="D171" s="948"/>
      <c r="E171" s="948"/>
      <c r="F171" s="948"/>
      <c r="G171" s="948"/>
      <c r="H171" s="948"/>
      <c r="I171" s="948"/>
      <c r="J171" s="949"/>
    </row>
    <row r="172" spans="1:10" ht="27.75" customHeight="1">
      <c r="A172" s="943"/>
      <c r="B172" s="944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95" t="s">
        <v>209</v>
      </c>
      <c r="B173" s="896"/>
      <c r="C173" s="333"/>
      <c r="D173" s="228" t="s">
        <v>142</v>
      </c>
      <c r="E173" s="95">
        <f>'12'!F173</f>
        <v>8276</v>
      </c>
      <c r="F173" s="155">
        <v>8276</v>
      </c>
      <c r="G173" s="155">
        <f>F173-E173</f>
        <v>0</v>
      </c>
      <c r="H173" s="99">
        <f>G173+'12'!H173</f>
        <v>12</v>
      </c>
      <c r="I173" s="155"/>
      <c r="J173" s="178">
        <f>H173/DAY(B2)</f>
        <v>0.92307692307692313</v>
      </c>
    </row>
    <row r="174" spans="1:10" ht="27.75" customHeight="1">
      <c r="A174" s="895" t="s">
        <v>75</v>
      </c>
      <c r="B174" s="896"/>
      <c r="C174" s="333"/>
      <c r="D174" s="228" t="s">
        <v>142</v>
      </c>
      <c r="E174" s="95">
        <f>'12'!F174</f>
        <v>40507</v>
      </c>
      <c r="F174" s="157">
        <v>40522</v>
      </c>
      <c r="G174" s="155">
        <f t="shared" ref="G174:G175" si="14">F174-E174</f>
        <v>15</v>
      </c>
      <c r="H174" s="99">
        <f>G174+'12'!H174</f>
        <v>190</v>
      </c>
      <c r="I174" s="155"/>
      <c r="J174" s="178">
        <f>H174/DAY(B2)</f>
        <v>14.615384615384615</v>
      </c>
    </row>
    <row r="175" spans="1:10" ht="27.75" customHeight="1">
      <c r="A175" s="895" t="s">
        <v>76</v>
      </c>
      <c r="B175" s="900"/>
      <c r="C175" s="896"/>
      <c r="D175" s="228" t="s">
        <v>142</v>
      </c>
      <c r="E175" s="95">
        <f>'12'!F175</f>
        <v>23435</v>
      </c>
      <c r="F175" s="155">
        <v>23445</v>
      </c>
      <c r="G175" s="155">
        <f t="shared" si="14"/>
        <v>10</v>
      </c>
      <c r="H175" s="99">
        <f>G175+'12'!H175</f>
        <v>187</v>
      </c>
      <c r="I175" s="155"/>
      <c r="J175" s="178">
        <f>H175/DAY(B2)</f>
        <v>14.384615384615385</v>
      </c>
    </row>
    <row r="176" spans="1:10" ht="27.75" customHeight="1">
      <c r="A176" s="934" t="s">
        <v>196</v>
      </c>
      <c r="B176" s="935"/>
      <c r="C176" s="401"/>
      <c r="D176" s="228" t="s">
        <v>142</v>
      </c>
      <c r="E176" s="95"/>
      <c r="F176" s="155"/>
      <c r="G176" s="155">
        <f>SUM(G173:G175)</f>
        <v>25</v>
      </c>
      <c r="H176" s="99">
        <f>G176+'12'!H176</f>
        <v>389</v>
      </c>
      <c r="I176" s="155"/>
      <c r="J176" s="178">
        <f>H176/DAY(B2)</f>
        <v>29.923076923076923</v>
      </c>
    </row>
    <row r="177" spans="1:15" ht="27.75" customHeight="1">
      <c r="A177" s="895" t="s">
        <v>77</v>
      </c>
      <c r="B177" s="896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>
      <c r="A178" s="895" t="s">
        <v>210</v>
      </c>
      <c r="B178" s="896"/>
      <c r="C178" s="333"/>
      <c r="D178" s="228" t="s">
        <v>142</v>
      </c>
      <c r="E178" s="95">
        <f>'12'!F178</f>
        <v>93120</v>
      </c>
      <c r="F178" s="155">
        <v>93198</v>
      </c>
      <c r="G178" s="155">
        <f>F178-E178</f>
        <v>78</v>
      </c>
      <c r="H178" s="99">
        <f>G178+'12'!H178</f>
        <v>1376</v>
      </c>
      <c r="I178" s="155"/>
      <c r="J178" s="178">
        <f>H178/DAY(B2)</f>
        <v>105.84615384615384</v>
      </c>
    </row>
    <row r="179" spans="1:15" ht="27.75" customHeight="1">
      <c r="A179" s="895" t="s">
        <v>211</v>
      </c>
      <c r="B179" s="896"/>
      <c r="C179" s="333"/>
      <c r="D179" s="228" t="s">
        <v>142</v>
      </c>
      <c r="E179" s="95">
        <f>'12'!F179</f>
        <v>36002</v>
      </c>
      <c r="F179" s="155">
        <v>36002</v>
      </c>
      <c r="G179" s="155">
        <f t="shared" ref="G179:G180" si="15">F179-E179</f>
        <v>0</v>
      </c>
      <c r="H179" s="99">
        <f>G179+'12'!H179</f>
        <v>218</v>
      </c>
      <c r="I179" s="155"/>
      <c r="J179" s="178">
        <f>H179/DAY(B2)</f>
        <v>16.76923076923077</v>
      </c>
    </row>
    <row r="180" spans="1:15" ht="27.75" customHeight="1">
      <c r="A180" s="895" t="s">
        <v>212</v>
      </c>
      <c r="B180" s="896"/>
      <c r="C180" s="333"/>
      <c r="D180" s="228" t="s">
        <v>142</v>
      </c>
      <c r="E180" s="95">
        <f>'12'!F180</f>
        <v>6805</v>
      </c>
      <c r="F180" s="155">
        <v>6805</v>
      </c>
      <c r="G180" s="155">
        <f t="shared" si="15"/>
        <v>0</v>
      </c>
      <c r="H180" s="99">
        <f>G180+'12'!H180</f>
        <v>135</v>
      </c>
      <c r="I180" s="155"/>
      <c r="J180" s="178">
        <f>H180/DAY(B2)</f>
        <v>10.384615384615385</v>
      </c>
    </row>
    <row r="181" spans="1:15" ht="27.75" customHeight="1">
      <c r="A181" s="941" t="s">
        <v>108</v>
      </c>
      <c r="B181" s="942"/>
      <c r="C181" s="401"/>
      <c r="D181" s="228" t="s">
        <v>142</v>
      </c>
      <c r="E181" s="95"/>
      <c r="F181" s="155"/>
      <c r="G181" s="155">
        <f>SUM(G178:G180)</f>
        <v>78</v>
      </c>
      <c r="H181" s="99">
        <f>G181+'12'!H181</f>
        <v>1729</v>
      </c>
      <c r="I181" s="155"/>
      <c r="J181" s="178">
        <f>H181/DAY(B2)</f>
        <v>133</v>
      </c>
    </row>
    <row r="182" spans="1:15" ht="27.75" customHeight="1">
      <c r="A182" s="895" t="s">
        <v>213</v>
      </c>
      <c r="B182" s="896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>
      <c r="A183" s="895" t="s">
        <v>214</v>
      </c>
      <c r="B183" s="896"/>
      <c r="C183" s="334"/>
      <c r="D183" s="228" t="s">
        <v>142</v>
      </c>
      <c r="E183" s="95">
        <f>'12'!F183</f>
        <v>17122</v>
      </c>
      <c r="F183" s="157">
        <v>17131</v>
      </c>
      <c r="G183" s="157">
        <f>F183-E183</f>
        <v>9</v>
      </c>
      <c r="H183" s="99">
        <f>G183+'12'!H183</f>
        <v>176</v>
      </c>
      <c r="I183" s="155"/>
      <c r="J183" s="178">
        <f>H183/DAY(B2)</f>
        <v>13.538461538461538</v>
      </c>
    </row>
    <row r="184" spans="1:15" ht="27.75" customHeight="1">
      <c r="A184" s="895" t="s">
        <v>215</v>
      </c>
      <c r="B184" s="896"/>
      <c r="C184" s="334"/>
      <c r="D184" s="228" t="s">
        <v>142</v>
      </c>
      <c r="E184" s="95">
        <f>'12'!F184</f>
        <v>11571</v>
      </c>
      <c r="F184" s="157">
        <v>11580</v>
      </c>
      <c r="G184" s="157">
        <f t="shared" ref="G184:G185" si="16">F184-E184</f>
        <v>9</v>
      </c>
      <c r="H184" s="99">
        <f>G184+'12'!H184</f>
        <v>94</v>
      </c>
      <c r="I184" s="155"/>
      <c r="J184" s="178">
        <f>H184/DAY(B2)</f>
        <v>7.2307692307692308</v>
      </c>
      <c r="O184" s="65" t="s">
        <v>362</v>
      </c>
    </row>
    <row r="185" spans="1:15" ht="27.75" customHeight="1">
      <c r="A185" s="895" t="s">
        <v>216</v>
      </c>
      <c r="B185" s="896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>
      <c r="A186" s="934" t="s">
        <v>196</v>
      </c>
      <c r="B186" s="935"/>
      <c r="C186" s="400"/>
      <c r="D186" s="228" t="s">
        <v>142</v>
      </c>
      <c r="E186" s="95"/>
      <c r="F186" s="157"/>
      <c r="G186" s="157">
        <f>SUM(G183:G185)</f>
        <v>18</v>
      </c>
      <c r="H186" s="99">
        <f>G186+'12'!H186</f>
        <v>270</v>
      </c>
      <c r="I186" s="157"/>
      <c r="J186" s="178">
        <f>H186/DAY(B2)</f>
        <v>20.76923076923077</v>
      </c>
    </row>
    <row r="187" spans="1:15" ht="27.75" customHeight="1">
      <c r="A187" s="945" t="s">
        <v>217</v>
      </c>
      <c r="B187" s="946"/>
      <c r="C187" s="333"/>
      <c r="D187" s="230" t="s">
        <v>142</v>
      </c>
      <c r="E187" s="95"/>
      <c r="F187" s="159"/>
      <c r="G187" s="159">
        <f>G62+G19</f>
        <v>183</v>
      </c>
      <c r="H187" s="99">
        <f>G187+'12'!H187</f>
        <v>2640</v>
      </c>
      <c r="I187" s="158"/>
      <c r="J187" s="179">
        <f>H187/DAY(B2)</f>
        <v>203.07692307692307</v>
      </c>
    </row>
    <row r="188" spans="1:15" ht="27.75" customHeight="1">
      <c r="A188" s="945" t="s">
        <v>218</v>
      </c>
      <c r="B188" s="946"/>
      <c r="C188" s="333"/>
      <c r="D188" s="230" t="s">
        <v>142</v>
      </c>
      <c r="E188" s="95"/>
      <c r="F188" s="159"/>
      <c r="G188" s="159">
        <f>G65+G66+G67+G69+G70</f>
        <v>174</v>
      </c>
      <c r="H188" s="99">
        <f>G188+'12'!H188</f>
        <v>2571</v>
      </c>
      <c r="I188" s="158"/>
      <c r="J188" s="179">
        <f>H188/DAY(B2)</f>
        <v>197.76923076923077</v>
      </c>
    </row>
    <row r="189" spans="1:15" ht="27.75" customHeight="1">
      <c r="A189" s="945" t="s">
        <v>219</v>
      </c>
      <c r="B189" s="946"/>
      <c r="C189" s="333"/>
      <c r="D189" s="230" t="s">
        <v>142</v>
      </c>
      <c r="E189" s="95"/>
      <c r="F189" s="157"/>
      <c r="G189" s="157">
        <f>G181</f>
        <v>78</v>
      </c>
      <c r="H189" s="99">
        <f>G189+'12'!H189</f>
        <v>1729</v>
      </c>
      <c r="I189" s="158"/>
      <c r="J189" s="179">
        <f>H189/DAY(B2)</f>
        <v>133</v>
      </c>
    </row>
    <row r="190" spans="1:15" ht="27.75" customHeight="1">
      <c r="A190" s="939"/>
      <c r="B190" s="940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90"/>
  <sheetViews>
    <sheetView view="pageBreakPreview" topLeftCell="A130" zoomScale="55" zoomScaleSheetLayoutView="55" workbookViewId="0">
      <selection activeCell="F138" sqref="F138"/>
    </sheetView>
  </sheetViews>
  <sheetFormatPr defaultColWidth="22.33203125" defaultRowHeight="27.75" customHeight="1"/>
  <cols>
    <col min="1" max="1" width="41.33203125" style="94" customWidth="1"/>
    <col min="2" max="2" width="21.6640625" style="97" customWidth="1"/>
    <col min="3" max="3" width="15.88671875" style="97" customWidth="1"/>
    <col min="4" max="4" width="13.6640625" style="160" customWidth="1"/>
    <col min="5" max="5" width="25" style="160" customWidth="1"/>
    <col min="6" max="6" width="24.5546875" style="160" customWidth="1"/>
    <col min="7" max="7" width="27.109375" style="160" customWidth="1"/>
    <col min="8" max="8" width="27.33203125" style="161" customWidth="1"/>
    <col min="9" max="9" width="20.33203125" style="160" customWidth="1"/>
    <col min="10" max="10" width="21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76" t="s">
        <v>115</v>
      </c>
      <c r="B1" s="877"/>
      <c r="C1" s="877"/>
      <c r="D1" s="877"/>
      <c r="E1" s="877"/>
      <c r="F1" s="877"/>
      <c r="G1" s="877"/>
      <c r="H1" s="877"/>
      <c r="I1" s="877"/>
      <c r="J1" s="878"/>
    </row>
    <row r="2" spans="1:15" s="57" customFormat="1" ht="27.75" customHeight="1">
      <c r="A2" s="191" t="s">
        <v>303</v>
      </c>
      <c r="B2" s="262">
        <v>44726</v>
      </c>
      <c r="C2" s="348" t="s">
        <v>67</v>
      </c>
      <c r="D2" s="218">
        <v>0.56999999999999995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30</v>
      </c>
      <c r="E3" s="885" t="s">
        <v>119</v>
      </c>
      <c r="F3" s="886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79" t="s">
        <v>128</v>
      </c>
      <c r="B6" s="880"/>
      <c r="C6" s="88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'13'!F7</f>
        <v>54356</v>
      </c>
      <c r="F7" s="95">
        <v>82536</v>
      </c>
      <c r="G7" s="112">
        <f>F7-E7</f>
        <v>28180</v>
      </c>
      <c r="H7" s="99">
        <f>G7+'13'!H7</f>
        <v>389709</v>
      </c>
      <c r="I7" s="113">
        <f>'1'!I7</f>
        <v>12000</v>
      </c>
      <c r="J7" s="175">
        <f>H7/DAY(B2)</f>
        <v>27836.357142857141</v>
      </c>
      <c r="K7" s="172">
        <v>1375467</v>
      </c>
      <c r="L7" s="66"/>
      <c r="N7" s="87">
        <f>G8-G7</f>
        <v>1071</v>
      </c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'13'!F8</f>
        <v>184096</v>
      </c>
      <c r="F8" s="114">
        <v>213347</v>
      </c>
      <c r="G8" s="115">
        <f>F8-E8</f>
        <v>29251</v>
      </c>
      <c r="H8" s="99">
        <f>G8+'13'!H8</f>
        <v>404688.10000000003</v>
      </c>
      <c r="I8" s="116"/>
      <c r="J8" s="175">
        <f>H8/DAY(B2)</f>
        <v>28906.29285714286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'13'!F9</f>
        <v>2646764</v>
      </c>
      <c r="F9" s="469">
        <v>2664079</v>
      </c>
      <c r="G9" s="112">
        <f>F9-E9</f>
        <v>17315</v>
      </c>
      <c r="H9" s="99">
        <f>G9+'13'!H9</f>
        <v>213970.29999999981</v>
      </c>
      <c r="I9" s="124">
        <f>I7-J7</f>
        <v>-15836.357142857141</v>
      </c>
      <c r="J9" s="175">
        <f>H9/DAY(B2)</f>
        <v>15283.592857142843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'13'!F10</f>
        <v>1050243</v>
      </c>
      <c r="F10" s="353">
        <v>1060344</v>
      </c>
      <c r="G10" s="112">
        <f t="shared" ref="G10:G12" si="0">F10-E10</f>
        <v>10101</v>
      </c>
      <c r="H10" s="99">
        <f>G10+'13'!H10</f>
        <v>149940.80000000005</v>
      </c>
      <c r="I10" s="282"/>
      <c r="J10" s="175">
        <f>H10/DAY(B2)</f>
        <v>10710.057142857146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'13'!F11</f>
        <v>37560</v>
      </c>
      <c r="F11" s="95">
        <v>37560</v>
      </c>
      <c r="G11" s="112">
        <f t="shared" si="0"/>
        <v>0</v>
      </c>
      <c r="H11" s="99">
        <f>G11+'13'!H11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'13'!F12</f>
        <v>40380</v>
      </c>
      <c r="F12" s="117">
        <v>40380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27416</v>
      </c>
      <c r="H13" s="99">
        <f>G13+'13'!H13</f>
        <v>363772.09999999986</v>
      </c>
      <c r="I13" s="120">
        <f>G7-G13</f>
        <v>764</v>
      </c>
      <c r="J13" s="175">
        <f>H13/DAY(B2)</f>
        <v>25983.721428571418</v>
      </c>
      <c r="K13" s="79"/>
      <c r="L13" s="66"/>
      <c r="N13" s="87"/>
      <c r="O13" s="71"/>
    </row>
    <row r="14" spans="1:15" ht="27.75" customHeight="1">
      <c r="A14" s="882" t="s">
        <v>137</v>
      </c>
      <c r="B14" s="883"/>
      <c r="C14" s="88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9">
        <f>'13'!F15</f>
        <v>2050942</v>
      </c>
      <c r="F15" s="469">
        <v>2051992</v>
      </c>
      <c r="G15" s="112">
        <f>(F15-E15)</f>
        <v>1050</v>
      </c>
      <c r="H15" s="99">
        <f>G15+'13'!H15</f>
        <v>14875</v>
      </c>
      <c r="I15" s="113">
        <f>'1'!I15</f>
        <v>800</v>
      </c>
      <c r="J15" s="175">
        <f>H15/DAY(B2)</f>
        <v>1062.5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-262.5</v>
      </c>
      <c r="J16" s="176"/>
      <c r="K16" s="79"/>
      <c r="L16" s="66"/>
      <c r="N16" s="87"/>
      <c r="O16" s="71"/>
    </row>
    <row r="17" spans="1:15" ht="27.75" customHeight="1">
      <c r="A17" s="882" t="s">
        <v>140</v>
      </c>
      <c r="B17" s="883"/>
      <c r="C17" s="88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73" t="s">
        <v>141</v>
      </c>
      <c r="B18" s="874"/>
      <c r="C18" s="875"/>
      <c r="D18" s="151" t="s">
        <v>142</v>
      </c>
      <c r="E18" s="95">
        <f>'13'!F18</f>
        <v>23</v>
      </c>
      <c r="F18" s="122">
        <v>24</v>
      </c>
      <c r="G18" s="119">
        <f>F18*10</f>
        <v>240</v>
      </c>
      <c r="H18" s="99">
        <f>G18+'13'!H18</f>
        <v>3280</v>
      </c>
      <c r="I18" s="113">
        <f>'1'!I18</f>
        <v>65</v>
      </c>
      <c r="J18" s="175">
        <f>H18/DAY(B2)</f>
        <v>234.28571428571428</v>
      </c>
      <c r="K18" s="79"/>
      <c r="L18" s="66"/>
      <c r="N18" s="87"/>
      <c r="O18" s="71"/>
    </row>
    <row r="19" spans="1:15" ht="27.75" customHeight="1">
      <c r="A19" s="873" t="s">
        <v>69</v>
      </c>
      <c r="B19" s="874"/>
      <c r="C19" s="875"/>
      <c r="D19" s="151" t="s">
        <v>142</v>
      </c>
      <c r="E19" s="95">
        <f>'13'!F19</f>
        <v>160785</v>
      </c>
      <c r="F19" s="122">
        <v>160835</v>
      </c>
      <c r="G19" s="112">
        <f t="shared" ref="G19" si="1">F19-E19</f>
        <v>50</v>
      </c>
      <c r="H19" s="99">
        <f>G19+'13'!H19</f>
        <v>725</v>
      </c>
      <c r="I19" s="335"/>
      <c r="J19" s="175">
        <f>H19/DAY(B2)</f>
        <v>51.785714285714285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290</v>
      </c>
      <c r="H20" s="99">
        <f>G20+'13'!H20</f>
        <v>4005</v>
      </c>
      <c r="I20" s="336">
        <f>I18-J20</f>
        <v>-221.07142857142856</v>
      </c>
      <c r="J20" s="175">
        <f>H20/DAY(B2)</f>
        <v>286.07142857142856</v>
      </c>
      <c r="K20" s="79"/>
      <c r="L20" s="66"/>
      <c r="N20" s="87"/>
      <c r="O20" s="71"/>
    </row>
    <row r="21" spans="1:15" ht="27.75" customHeight="1">
      <c r="A21" s="882" t="s">
        <v>144</v>
      </c>
      <c r="B21" s="883"/>
      <c r="C21" s="88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'13'!F23</f>
        <v>1500</v>
      </c>
      <c r="F23" s="122">
        <v>1500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87" t="s">
        <v>149</v>
      </c>
      <c r="B25" s="888"/>
      <c r="C25" s="88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29251</v>
      </c>
      <c r="F27" s="136">
        <v>9</v>
      </c>
      <c r="G27" s="137">
        <f>E27*F27</f>
        <v>263259</v>
      </c>
      <c r="H27" s="99">
        <f>G27+'13'!H27</f>
        <v>3642192.9000000004</v>
      </c>
      <c r="I27" s="138"/>
      <c r="J27" s="175">
        <f>H27/DAY(B2)</f>
        <v>260156.63571428575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1050</v>
      </c>
      <c r="F28" s="136">
        <v>70</v>
      </c>
      <c r="G28" s="137">
        <f>E28*F28</f>
        <v>73500</v>
      </c>
      <c r="H28" s="99">
        <f>G28+'13'!H28</f>
        <v>986692</v>
      </c>
      <c r="I28" s="140"/>
      <c r="J28" s="175">
        <f>H28/DAY(B2)</f>
        <v>70478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G30+'13'!H30</f>
        <v>108725</v>
      </c>
      <c r="I30" s="140"/>
      <c r="J30" s="175">
        <f>H30/DAY(B2)</f>
        <v>7766.0714285714284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G31+'13'!H31</f>
        <v>262400</v>
      </c>
      <c r="I31" s="140"/>
      <c r="J31" s="175">
        <f>H31/DAY(B2)</f>
        <v>18742.857142857141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363509</v>
      </c>
      <c r="H32" s="99">
        <f>G32+'13'!H32</f>
        <v>5000009.9000000004</v>
      </c>
      <c r="I32" s="144"/>
      <c r="J32" s="175">
        <f>H32/DAY(B2)</f>
        <v>357143.5642857143</v>
      </c>
      <c r="K32" s="63"/>
      <c r="L32" s="89"/>
      <c r="N32" s="87"/>
      <c r="O32" s="71"/>
    </row>
    <row r="33" spans="1:15" ht="27.75" customHeight="1">
      <c r="A33" s="890" t="s">
        <v>331</v>
      </c>
      <c r="B33" s="891"/>
      <c r="C33" s="89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'13'!F35</f>
        <v>238713</v>
      </c>
      <c r="F35" s="145">
        <v>238713</v>
      </c>
      <c r="G35" s="112">
        <f t="shared" ref="G35:G46" si="3">F35-E35</f>
        <v>0</v>
      </c>
      <c r="H35" s="99">
        <f>G35+'13'!H35</f>
        <v>-1</v>
      </c>
      <c r="I35" s="95"/>
      <c r="J35" s="175">
        <f>H35/DAY(B2)</f>
        <v>-7.1428571428571425E-2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'13'!F36</f>
        <v>171874</v>
      </c>
      <c r="F36" s="145">
        <v>172997</v>
      </c>
      <c r="G36" s="112">
        <f t="shared" si="3"/>
        <v>1123</v>
      </c>
      <c r="H36" s="99">
        <f>G36+'13'!H36</f>
        <v>12549</v>
      </c>
      <c r="I36" s="95"/>
      <c r="J36" s="175">
        <f>H36/DAY(B2)</f>
        <v>896.35714285714289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'13'!F37</f>
        <v>258625</v>
      </c>
      <c r="F37" s="145">
        <v>260313</v>
      </c>
      <c r="G37" s="112">
        <f t="shared" si="3"/>
        <v>1688</v>
      </c>
      <c r="H37" s="99">
        <f>G37+'13'!H37</f>
        <v>24534</v>
      </c>
      <c r="I37" s="95"/>
      <c r="J37" s="175">
        <f>H37/DAY(B2)</f>
        <v>1752.4285714285713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'13'!F38</f>
        <v>348039</v>
      </c>
      <c r="F38" s="108">
        <v>350444</v>
      </c>
      <c r="G38" s="112">
        <f t="shared" si="3"/>
        <v>2405</v>
      </c>
      <c r="H38" s="99">
        <f>G38+'13'!H38</f>
        <v>32152</v>
      </c>
      <c r="I38" s="95"/>
      <c r="J38" s="175">
        <f>H38/DAY(B2)</f>
        <v>2296.5714285714284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'13'!F39</f>
        <v>471691</v>
      </c>
      <c r="F39" s="145">
        <v>474677</v>
      </c>
      <c r="G39" s="112">
        <f t="shared" si="3"/>
        <v>2986</v>
      </c>
      <c r="H39" s="99">
        <f>G39+'13'!H39</f>
        <v>39347.090000000026</v>
      </c>
      <c r="I39" s="95"/>
      <c r="J39" s="175">
        <f>H39/DAY(B2)</f>
        <v>2810.5064285714302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'13'!F40</f>
        <v>76664</v>
      </c>
      <c r="F40" s="145">
        <v>77090</v>
      </c>
      <c r="G40" s="112">
        <f t="shared" si="3"/>
        <v>426</v>
      </c>
      <c r="H40" s="99">
        <f>G40+'13'!H40</f>
        <v>3537</v>
      </c>
      <c r="I40" s="95"/>
      <c r="J40" s="175">
        <f>H40/DAY(B2)</f>
        <v>252.64285714285714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'13'!F41</f>
        <v>92623</v>
      </c>
      <c r="F41" s="145">
        <v>98068</v>
      </c>
      <c r="G41" s="112">
        <f t="shared" si="3"/>
        <v>5445</v>
      </c>
      <c r="H41" s="99">
        <f>G41+'13'!H41</f>
        <v>29233</v>
      </c>
      <c r="I41" s="95"/>
      <c r="J41" s="175">
        <f>H41/DAY(B2)</f>
        <v>2088.0714285714284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'13'!F42</f>
        <v>623092</v>
      </c>
      <c r="F42" s="145">
        <v>625476</v>
      </c>
      <c r="G42" s="112">
        <f t="shared" si="3"/>
        <v>2384</v>
      </c>
      <c r="H42" s="99">
        <f>G42+'13'!H42</f>
        <v>62604</v>
      </c>
      <c r="I42" s="95"/>
      <c r="J42" s="175">
        <f>H42/DAY(B2)</f>
        <v>4471.7142857142853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'13'!F43</f>
        <v>407028</v>
      </c>
      <c r="F43" s="145">
        <v>407028</v>
      </c>
      <c r="G43" s="112">
        <f t="shared" si="3"/>
        <v>0</v>
      </c>
      <c r="H43" s="99">
        <f>G43+'13'!H43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16457</v>
      </c>
      <c r="H47" s="99">
        <f>G47+'13'!H47</f>
        <v>203955.09000000003</v>
      </c>
      <c r="I47" s="95"/>
      <c r="J47" s="175">
        <f>H47/DAY(B2)</f>
        <v>14568.220714285717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'13'!F49</f>
        <v>307002</v>
      </c>
      <c r="F49" s="145">
        <v>310736</v>
      </c>
      <c r="G49" s="112">
        <f t="shared" ref="G49:G58" si="4">F49-E49</f>
        <v>3734</v>
      </c>
      <c r="H49" s="99">
        <f>G49+'13'!H49</f>
        <v>50589</v>
      </c>
      <c r="I49" s="95"/>
      <c r="J49" s="175">
        <f>H49/DAY(B2)</f>
        <v>3613.5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'13'!F50</f>
        <v>224244</v>
      </c>
      <c r="F50" s="145">
        <v>225197</v>
      </c>
      <c r="G50" s="112">
        <f t="shared" si="4"/>
        <v>953</v>
      </c>
      <c r="H50" s="99">
        <f>G50+'13'!H50</f>
        <v>15633</v>
      </c>
      <c r="I50" s="95"/>
      <c r="J50" s="175">
        <f>H50/DAY(B2)</f>
        <v>1116.6428571428571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'13'!F51</f>
        <v>76</v>
      </c>
      <c r="F51" s="145">
        <v>76</v>
      </c>
      <c r="G51" s="112">
        <f t="shared" si="4"/>
        <v>0</v>
      </c>
      <c r="H51" s="99">
        <f>G51+'13'!H51</f>
        <v>0.31999999999999318</v>
      </c>
      <c r="I51" s="95"/>
      <c r="J51" s="175">
        <f>H51/DAY(B2)</f>
        <v>2.2857142857142371E-2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'13'!F52</f>
        <v>10</v>
      </c>
      <c r="F52" s="145">
        <v>10</v>
      </c>
      <c r="G52" s="112">
        <f t="shared" si="4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'13'!F54</f>
        <v>70561</v>
      </c>
      <c r="F54" s="145">
        <v>71023</v>
      </c>
      <c r="G54" s="112">
        <f t="shared" si="4"/>
        <v>462</v>
      </c>
      <c r="H54" s="99">
        <f>G54+'13'!H54</f>
        <v>6467</v>
      </c>
      <c r="I54" s="95"/>
      <c r="J54" s="175">
        <f>H54/DAY(B2)</f>
        <v>461.92857142857144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'13'!F55</f>
        <v>254288</v>
      </c>
      <c r="F55" s="145">
        <v>254288</v>
      </c>
      <c r="G55" s="112">
        <f t="shared" si="4"/>
        <v>0</v>
      </c>
      <c r="H55" s="99">
        <f>G55+'13'!H55</f>
        <v>28815</v>
      </c>
      <c r="I55" s="95"/>
      <c r="J55" s="175">
        <f>H55/DAY(B2)</f>
        <v>2058.2142857142858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'13'!F56</f>
        <v>107245.6</v>
      </c>
      <c r="F56" s="145">
        <v>108586</v>
      </c>
      <c r="G56" s="112">
        <f t="shared" si="4"/>
        <v>1340.3999999999942</v>
      </c>
      <c r="H56" s="99">
        <f>G56+'13'!H56</f>
        <v>1340</v>
      </c>
      <c r="I56" s="95"/>
      <c r="J56" s="175">
        <f>H56/DAY(B2)</f>
        <v>95.714285714285708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'13'!F57</f>
        <v>78431</v>
      </c>
      <c r="F57" s="145">
        <v>81643</v>
      </c>
      <c r="G57" s="112">
        <f t="shared" si="4"/>
        <v>3212</v>
      </c>
      <c r="H57" s="99">
        <f>G57+'13'!H57</f>
        <v>44040</v>
      </c>
      <c r="I57" s="95"/>
      <c r="J57" s="175">
        <f>H57/DAY(B2)</f>
        <v>3145.7142857142858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'13'!F58</f>
        <v>35830</v>
      </c>
      <c r="F58" s="145">
        <v>36075</v>
      </c>
      <c r="G58" s="112">
        <f t="shared" si="4"/>
        <v>245</v>
      </c>
      <c r="H58" s="99">
        <f>G58+'13'!H58</f>
        <v>3186</v>
      </c>
      <c r="I58" s="95"/>
      <c r="J58" s="175">
        <f>H58/DAY(B2)</f>
        <v>227.57142857142858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9946.3999999999942</v>
      </c>
      <c r="H59" s="99">
        <f>G59+'13'!H59</f>
        <v>150070.32</v>
      </c>
      <c r="I59" s="95">
        <f>G7-G60</f>
        <v>1776.6000000000058</v>
      </c>
      <c r="J59" s="175">
        <f>H59/DAY(B2)</f>
        <v>10719.308571428572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26403.399999999994</v>
      </c>
      <c r="H60" s="99">
        <f>G60+'13'!H60</f>
        <v>354025.41000000003</v>
      </c>
      <c r="I60" s="95">
        <f>G13-G60</f>
        <v>1012.6000000000058</v>
      </c>
      <c r="J60" s="175">
        <f>H60/DAY(B2)</f>
        <v>25287.529285714289</v>
      </c>
      <c r="K60" s="79"/>
      <c r="L60" s="66"/>
      <c r="N60" s="87"/>
      <c r="O60" s="71"/>
    </row>
    <row r="61" spans="1:15" s="68" customFormat="1" ht="27.75" customHeight="1">
      <c r="A61" s="892" t="s">
        <v>332</v>
      </c>
      <c r="B61" s="893"/>
      <c r="C61" s="89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873" t="s">
        <v>198</v>
      </c>
      <c r="B62" s="874"/>
      <c r="C62" s="875"/>
      <c r="D62" s="151" t="s">
        <v>142</v>
      </c>
      <c r="E62" s="95">
        <f>'13'!F62</f>
        <v>290865</v>
      </c>
      <c r="F62" s="122">
        <v>291000</v>
      </c>
      <c r="G62" s="112">
        <f t="shared" ref="G62:G63" si="5">F62-E62</f>
        <v>135</v>
      </c>
      <c r="H62" s="99">
        <f>G62+'13'!H62</f>
        <v>2100</v>
      </c>
      <c r="I62" s="118"/>
      <c r="J62" s="175">
        <f>H62/DAY(B2)</f>
        <v>150</v>
      </c>
      <c r="K62" s="80"/>
      <c r="L62" s="66"/>
      <c r="N62" s="87"/>
      <c r="O62" s="71"/>
    </row>
    <row r="63" spans="1:15" ht="27.75" customHeight="1">
      <c r="A63" s="873" t="s">
        <v>199</v>
      </c>
      <c r="B63" s="874"/>
      <c r="C63" s="875"/>
      <c r="D63" s="151" t="s">
        <v>142</v>
      </c>
      <c r="E63" s="95">
        <f>'13'!F63</f>
        <v>232839</v>
      </c>
      <c r="F63" s="122">
        <v>232991</v>
      </c>
      <c r="G63" s="112">
        <f t="shared" si="5"/>
        <v>152</v>
      </c>
      <c r="H63" s="99">
        <f>G63+'13'!H63</f>
        <v>1829</v>
      </c>
      <c r="I63" s="118"/>
      <c r="J63" s="175">
        <f>H63/DAY(B2)</f>
        <v>130.64285714285714</v>
      </c>
      <c r="K63" s="69"/>
      <c r="L63" s="66"/>
      <c r="N63" s="87"/>
      <c r="O63" s="71"/>
    </row>
    <row r="64" spans="1:15" ht="27.75" customHeight="1">
      <c r="A64" s="870" t="s">
        <v>200</v>
      </c>
      <c r="B64" s="871"/>
      <c r="C64" s="872"/>
      <c r="D64" s="151"/>
      <c r="E64" s="95">
        <f>'13'!F64</f>
        <v>0</v>
      </c>
      <c r="F64" s="122"/>
      <c r="G64" s="112">
        <f>G62+G63</f>
        <v>287</v>
      </c>
      <c r="H64" s="99">
        <f>G64+'13'!H64</f>
        <v>3929</v>
      </c>
      <c r="I64" s="118"/>
      <c r="J64" s="175">
        <f>H64/DAY(B2)</f>
        <v>280.64285714285717</v>
      </c>
      <c r="K64" s="69"/>
      <c r="L64" s="66"/>
      <c r="N64" s="87"/>
      <c r="O64" s="71"/>
    </row>
    <row r="65" spans="1:15" ht="27.75" customHeight="1">
      <c r="A65" s="873" t="s">
        <v>201</v>
      </c>
      <c r="B65" s="874"/>
      <c r="C65" s="875"/>
      <c r="D65" s="151" t="s">
        <v>142</v>
      </c>
      <c r="E65" s="95">
        <f>'13'!F65</f>
        <v>449583</v>
      </c>
      <c r="F65" s="122">
        <v>449711</v>
      </c>
      <c r="G65" s="112">
        <f t="shared" ref="G65:G70" si="6">F65-E65</f>
        <v>128</v>
      </c>
      <c r="H65" s="99">
        <f>G65+'13'!H65</f>
        <v>1684</v>
      </c>
      <c r="I65" s="118"/>
      <c r="J65" s="175">
        <f>H65/DAY(B2)</f>
        <v>120.28571428571429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'13'!F66</f>
        <v>110684</v>
      </c>
      <c r="F66" s="122">
        <v>110714</v>
      </c>
      <c r="G66" s="112">
        <f t="shared" si="6"/>
        <v>30</v>
      </c>
      <c r="H66" s="99">
        <f>G66+'13'!H66</f>
        <v>383</v>
      </c>
      <c r="I66" s="118"/>
      <c r="J66" s="175">
        <f>H66/DAY(B2)</f>
        <v>27.357142857142858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'13'!F67</f>
        <v>113680</v>
      </c>
      <c r="F67" s="122">
        <v>113681</v>
      </c>
      <c r="G67" s="112">
        <f t="shared" si="6"/>
        <v>1</v>
      </c>
      <c r="H67" s="99">
        <f>G67+'13'!H67</f>
        <v>403</v>
      </c>
      <c r="I67" s="118"/>
      <c r="J67" s="175">
        <f>H67/DAY(B2)</f>
        <v>28.785714285714285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'13'!F68</f>
        <v>162860</v>
      </c>
      <c r="F68" s="122">
        <v>162900</v>
      </c>
      <c r="G68" s="112">
        <f t="shared" si="6"/>
        <v>40</v>
      </c>
      <c r="H68" s="99">
        <f>G68+'13'!H68</f>
        <v>406</v>
      </c>
      <c r="I68" s="118"/>
      <c r="J68" s="175">
        <f>H68/DAY(B2)</f>
        <v>29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'13'!F69</f>
        <v>12013</v>
      </c>
      <c r="F69" s="122">
        <v>12020</v>
      </c>
      <c r="G69" s="112">
        <f t="shared" si="6"/>
        <v>7</v>
      </c>
      <c r="H69" s="99">
        <f>G69+'13'!H69</f>
        <v>151</v>
      </c>
      <c r="I69" s="118"/>
      <c r="J69" s="175">
        <f>H69/DAY(B2)</f>
        <v>10.785714285714286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'13'!F70</f>
        <v>9383</v>
      </c>
      <c r="F70" s="122">
        <v>9391</v>
      </c>
      <c r="G70" s="112">
        <f t="shared" si="6"/>
        <v>8</v>
      </c>
      <c r="H70" s="99">
        <f>G70+'13'!H70</f>
        <v>124</v>
      </c>
      <c r="I70" s="118"/>
      <c r="J70" s="175">
        <f>H70/DAY(B2)</f>
        <v>8.8571428571428577</v>
      </c>
      <c r="K70" s="69"/>
      <c r="L70" s="66"/>
      <c r="N70" s="87"/>
      <c r="O70" s="71"/>
    </row>
    <row r="71" spans="1:15" ht="27.75" customHeight="1">
      <c r="A71" s="870" t="s">
        <v>208</v>
      </c>
      <c r="B71" s="871"/>
      <c r="C71" s="872"/>
      <c r="D71" s="152"/>
      <c r="E71" s="152"/>
      <c r="F71" s="152"/>
      <c r="G71" s="153">
        <f>SUM(G65:G70)</f>
        <v>214</v>
      </c>
      <c r="H71" s="99">
        <f>G71+'13'!H71</f>
        <v>3151</v>
      </c>
      <c r="I71" s="154"/>
      <c r="J71" s="175">
        <f>H71/DAY(B2)</f>
        <v>225.07142857142858</v>
      </c>
      <c r="K71" s="69"/>
      <c r="L71" s="66"/>
      <c r="N71" s="87"/>
      <c r="O71" s="71"/>
    </row>
    <row r="72" spans="1:15" s="88" customFormat="1" ht="27.75" customHeight="1">
      <c r="A72" s="916"/>
      <c r="B72" s="90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73" t="s">
        <v>220</v>
      </c>
      <c r="B74" s="874"/>
      <c r="C74" s="875"/>
      <c r="D74" s="151" t="s">
        <v>139</v>
      </c>
      <c r="E74" s="95">
        <f>'13'!F74</f>
        <v>942706</v>
      </c>
      <c r="F74" s="232">
        <v>943020</v>
      </c>
      <c r="G74" s="112">
        <f t="shared" ref="G74:G78" si="7">F74-E74</f>
        <v>314</v>
      </c>
      <c r="H74" s="99">
        <f>G74+'13'!H74</f>
        <v>4350</v>
      </c>
      <c r="I74" s="154"/>
      <c r="J74" s="175">
        <f>H74/DAY(B2)</f>
        <v>310.71428571428572</v>
      </c>
      <c r="K74" s="69"/>
      <c r="L74" s="66"/>
      <c r="N74" s="87"/>
      <c r="O74" s="71"/>
    </row>
    <row r="75" spans="1:15" ht="27.75" customHeight="1">
      <c r="A75" s="873" t="s">
        <v>221</v>
      </c>
      <c r="B75" s="874"/>
      <c r="C75" s="875"/>
      <c r="D75" s="151" t="s">
        <v>139</v>
      </c>
      <c r="E75" s="95">
        <f>'13'!F75</f>
        <v>73586.8</v>
      </c>
      <c r="F75" s="123">
        <v>73586.8</v>
      </c>
      <c r="G75" s="112">
        <f t="shared" si="7"/>
        <v>0</v>
      </c>
      <c r="H75" s="99">
        <f>G75+'13'!H75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7" t="s">
        <v>222</v>
      </c>
      <c r="B76" s="903"/>
      <c r="C76" s="904"/>
      <c r="D76" s="151" t="s">
        <v>139</v>
      </c>
      <c r="E76" s="95">
        <f>'13'!F76</f>
        <v>185178</v>
      </c>
      <c r="F76" s="123">
        <v>185287</v>
      </c>
      <c r="G76" s="112">
        <f t="shared" si="7"/>
        <v>109</v>
      </c>
      <c r="H76" s="99">
        <f>G76+'13'!H76</f>
        <v>1581</v>
      </c>
      <c r="I76" s="154"/>
      <c r="J76" s="175">
        <f>H76/DAY(B2)</f>
        <v>112.92857142857143</v>
      </c>
      <c r="K76" s="69"/>
      <c r="L76" s="66"/>
      <c r="N76" s="87"/>
      <c r="O76" s="71"/>
    </row>
    <row r="77" spans="1:15" ht="27.75" customHeight="1">
      <c r="A77" s="917" t="s">
        <v>223</v>
      </c>
      <c r="B77" s="903"/>
      <c r="C77" s="904"/>
      <c r="D77" s="151" t="s">
        <v>139</v>
      </c>
      <c r="E77" s="95">
        <f>'13'!F77</f>
        <v>47973</v>
      </c>
      <c r="F77" s="123">
        <v>48018</v>
      </c>
      <c r="G77" s="112">
        <f t="shared" si="7"/>
        <v>45</v>
      </c>
      <c r="H77" s="99">
        <f>G77+'13'!H77</f>
        <v>673</v>
      </c>
      <c r="I77" s="154"/>
      <c r="J77" s="175">
        <f>H77/DAY(B2)</f>
        <v>48.071428571428569</v>
      </c>
      <c r="K77" s="69"/>
      <c r="L77" s="66"/>
      <c r="N77" s="87"/>
      <c r="O77" s="71"/>
    </row>
    <row r="78" spans="1:15" ht="27.75" customHeight="1">
      <c r="A78" s="917" t="s">
        <v>224</v>
      </c>
      <c r="B78" s="903"/>
      <c r="C78" s="904"/>
      <c r="D78" s="151" t="s">
        <v>139</v>
      </c>
      <c r="E78" s="123">
        <v>9564</v>
      </c>
      <c r="F78" s="123">
        <v>9564</v>
      </c>
      <c r="G78" s="112">
        <f t="shared" si="7"/>
        <v>0</v>
      </c>
      <c r="H78" s="99">
        <f>G78+'13'!H78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customHeight="1">
      <c r="A79" s="917" t="s">
        <v>225</v>
      </c>
      <c r="B79" s="903"/>
      <c r="C79" s="904"/>
      <c r="D79" s="151"/>
      <c r="E79" s="95">
        <f>'13'!F79</f>
        <v>0</v>
      </c>
      <c r="F79" s="117"/>
      <c r="G79" s="112">
        <f>G15-SUM(G74:G78)</f>
        <v>582</v>
      </c>
      <c r="H79" s="99">
        <f>G79+'13'!H79</f>
        <v>8271</v>
      </c>
      <c r="I79" s="118"/>
      <c r="J79" s="175">
        <f>H79/DAY(B2)</f>
        <v>590.78571428571433</v>
      </c>
      <c r="K79" s="59"/>
      <c r="L79" s="58"/>
      <c r="N79" s="87"/>
      <c r="O79" s="71"/>
    </row>
    <row r="80" spans="1:15" s="57" customFormat="1" ht="27.75" customHeight="1">
      <c r="A80" s="870" t="s">
        <v>329</v>
      </c>
      <c r="B80" s="871"/>
      <c r="C80" s="872"/>
      <c r="D80" s="151"/>
      <c r="E80" s="117"/>
      <c r="F80" s="117"/>
      <c r="G80" s="112">
        <f>SUM(G74:G79)</f>
        <v>1050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09" t="s">
        <v>226</v>
      </c>
      <c r="B81" s="910"/>
      <c r="C81" s="911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>
        <v>0</v>
      </c>
      <c r="G82" s="112">
        <f t="shared" ref="G82:G92" si="8">F82-E82</f>
        <v>0</v>
      </c>
      <c r="H82" s="99">
        <f>G82+'13'!H82</f>
        <v>0</v>
      </c>
      <c r="I82" s="573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>
        <v>0</v>
      </c>
      <c r="G83" s="112">
        <f t="shared" si="8"/>
        <v>0</v>
      </c>
      <c r="H83" s="99">
        <f>G83+'13'!H83</f>
        <v>0</v>
      </c>
      <c r="I83" s="573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'13'!F84</f>
        <v>42070</v>
      </c>
      <c r="F84" s="164">
        <v>42094</v>
      </c>
      <c r="G84" s="112">
        <f t="shared" si="8"/>
        <v>24</v>
      </c>
      <c r="H84" s="99">
        <f>G84+'13'!H84</f>
        <v>125</v>
      </c>
      <c r="I84" s="573"/>
      <c r="J84" s="175">
        <f>H84/DAY(B2)</f>
        <v>8.9285714285714288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'13'!F85</f>
        <v>4603</v>
      </c>
      <c r="F85" s="164">
        <v>4617</v>
      </c>
      <c r="G85" s="112">
        <f t="shared" si="8"/>
        <v>14</v>
      </c>
      <c r="H85" s="99">
        <f>G85+'13'!H85</f>
        <v>274</v>
      </c>
      <c r="I85" s="573"/>
      <c r="J85" s="175">
        <f>H85/DAY(B2)</f>
        <v>19.571428571428573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'13'!F86</f>
        <v>44658</v>
      </c>
      <c r="F86" s="164">
        <v>44658</v>
      </c>
      <c r="G86" s="112">
        <f t="shared" si="8"/>
        <v>0</v>
      </c>
      <c r="H86" s="99">
        <f>G86+'13'!H86</f>
        <v>188</v>
      </c>
      <c r="I86" s="573"/>
      <c r="J86" s="175">
        <f>H86/DAY(B2)</f>
        <v>13.428571428571429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'13'!F87</f>
        <v>35329</v>
      </c>
      <c r="F87" s="164">
        <v>35339</v>
      </c>
      <c r="G87" s="112">
        <f t="shared" si="8"/>
        <v>10</v>
      </c>
      <c r="H87" s="99">
        <f>G87+'13'!H87</f>
        <v>10</v>
      </c>
      <c r="I87" s="555">
        <f>G84+G85+G86+G87</f>
        <v>48</v>
      </c>
      <c r="J87" s="175">
        <f>H87/DAY(B2)</f>
        <v>0.7142857142857143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'13'!F88</f>
        <v>24276.95</v>
      </c>
      <c r="F88" s="164">
        <v>24276.95</v>
      </c>
      <c r="G88" s="112">
        <f t="shared" si="8"/>
        <v>0</v>
      </c>
      <c r="H88" s="99">
        <f>G88+'13'!H88</f>
        <v>49.069999999999709</v>
      </c>
      <c r="I88" s="555"/>
      <c r="J88" s="175">
        <f>H88/DAY(B2)</f>
        <v>3.504999999999979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'13'!F89</f>
        <v>27127.23</v>
      </c>
      <c r="F89" s="164">
        <v>27136.799999999999</v>
      </c>
      <c r="G89" s="112">
        <f t="shared" si="8"/>
        <v>9.569999999999709</v>
      </c>
      <c r="H89" s="99">
        <f>G89+'13'!H89</f>
        <v>143.38999999999942</v>
      </c>
      <c r="I89" s="555">
        <f>G88+G89</f>
        <v>9.569999999999709</v>
      </c>
      <c r="J89" s="175">
        <f>H89/DAY(B2)</f>
        <v>10.242142857142815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'13'!F90</f>
        <v>72154.48</v>
      </c>
      <c r="F90" s="164">
        <v>72165.97</v>
      </c>
      <c r="G90" s="112">
        <f t="shared" si="8"/>
        <v>11.490000000005239</v>
      </c>
      <c r="H90" s="99">
        <f>G90+'13'!H90</f>
        <v>38.850000000005821</v>
      </c>
      <c r="I90" s="555">
        <f>G90</f>
        <v>11.490000000005239</v>
      </c>
      <c r="J90" s="175">
        <f>H90/DAY(B2)</f>
        <v>2.7750000000004156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'13'!F91</f>
        <v>4122</v>
      </c>
      <c r="F91" s="122">
        <v>4122</v>
      </c>
      <c r="G91" s="112">
        <f t="shared" si="8"/>
        <v>0</v>
      </c>
      <c r="H91" s="99">
        <f>G91+'13'!H91</f>
        <v>0.3500000000003638</v>
      </c>
      <c r="I91" s="616"/>
      <c r="J91" s="175">
        <f>H91/DAY(B2)</f>
        <v>2.5000000000025984E-2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'13'!F92</f>
        <v>6358</v>
      </c>
      <c r="F92" s="122">
        <v>6369.12</v>
      </c>
      <c r="G92" s="112">
        <f t="shared" si="8"/>
        <v>11.119999999999891</v>
      </c>
      <c r="H92" s="99">
        <f>G92+'13'!H92</f>
        <v>151.86999999999989</v>
      </c>
      <c r="I92" s="617">
        <f>G91+G92</f>
        <v>11.119999999999891</v>
      </c>
      <c r="J92" s="175">
        <f>H92/DAY(B2)</f>
        <v>10.847857142857135</v>
      </c>
      <c r="O92" s="71"/>
    </row>
    <row r="93" spans="1:15" ht="27.75" customHeight="1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73" t="s">
        <v>240</v>
      </c>
      <c r="B94" s="874"/>
      <c r="C94" s="875"/>
      <c r="D94" s="151" t="s">
        <v>130</v>
      </c>
      <c r="E94" s="151"/>
      <c r="F94" s="151"/>
      <c r="G94" s="99">
        <f>G35+G43+G49+G57</f>
        <v>6946</v>
      </c>
      <c r="H94" s="99">
        <f>G94+'13'!H94</f>
        <v>94628</v>
      </c>
      <c r="I94" s="118"/>
      <c r="J94" s="175">
        <f>H94/DAY(B2)</f>
        <v>6759.1428571428569</v>
      </c>
      <c r="K94" s="69"/>
      <c r="L94" s="66"/>
      <c r="O94" s="71"/>
    </row>
    <row r="95" spans="1:15" ht="27.75" customHeight="1">
      <c r="A95" s="873" t="s">
        <v>241</v>
      </c>
      <c r="B95" s="874"/>
      <c r="C95" s="875"/>
      <c r="D95" s="151" t="s">
        <v>23</v>
      </c>
      <c r="E95" s="146"/>
      <c r="F95" s="146"/>
      <c r="G95" s="166">
        <f>G94/G7</f>
        <v>0.24648687012065296</v>
      </c>
      <c r="H95" s="99">
        <f>G95+'13'!H95</f>
        <v>3.3946892824349586</v>
      </c>
      <c r="I95" s="167"/>
      <c r="J95" s="175">
        <f>H95/DAY(B2)</f>
        <v>0.24247780588821133</v>
      </c>
      <c r="K95" s="69"/>
      <c r="L95" s="66"/>
      <c r="O95" s="71"/>
    </row>
    <row r="96" spans="1:15" ht="27.75" customHeight="1">
      <c r="A96" s="873" t="s">
        <v>242</v>
      </c>
      <c r="B96" s="874"/>
      <c r="C96" s="875"/>
      <c r="D96" s="151" t="s">
        <v>130</v>
      </c>
      <c r="E96" s="95"/>
      <c r="F96" s="95"/>
      <c r="G96" s="99">
        <f>G41+G42+G55+G56</f>
        <v>9169.3999999999942</v>
      </c>
      <c r="H96" s="99">
        <f>G96+'13'!H96</f>
        <v>121992</v>
      </c>
      <c r="I96" s="118"/>
      <c r="J96" s="175">
        <f>H96/DAY(B2)</f>
        <v>8713.7142857142862</v>
      </c>
      <c r="K96" s="69"/>
      <c r="L96" s="66"/>
      <c r="O96" s="71"/>
    </row>
    <row r="97" spans="1:15" ht="27.75" customHeight="1">
      <c r="A97" s="873" t="s">
        <v>243</v>
      </c>
      <c r="B97" s="874"/>
      <c r="C97" s="875"/>
      <c r="D97" s="151" t="s">
        <v>23</v>
      </c>
      <c r="E97" s="95"/>
      <c r="F97" s="95"/>
      <c r="G97" s="166">
        <f>G96/G7</f>
        <v>0.32538679914833196</v>
      </c>
      <c r="H97" s="99">
        <f>G97+'13'!H97</f>
        <v>4.3339136321583993</v>
      </c>
      <c r="I97" s="167"/>
      <c r="J97" s="175">
        <f>H97/DAY(B2)</f>
        <v>0.30956525943988566</v>
      </c>
      <c r="K97" s="69"/>
      <c r="L97" s="66"/>
      <c r="O97" s="71"/>
    </row>
    <row r="98" spans="1:15" ht="27.75" customHeight="1">
      <c r="A98" s="873" t="s">
        <v>244</v>
      </c>
      <c r="B98" s="874"/>
      <c r="C98" s="875"/>
      <c r="D98" s="151" t="s">
        <v>130</v>
      </c>
      <c r="E98" s="95"/>
      <c r="F98" s="95"/>
      <c r="G98" s="99">
        <f>G39+G53</f>
        <v>2986</v>
      </c>
      <c r="H98" s="99">
        <f>G98+'13'!H98</f>
        <v>39347.090000000026</v>
      </c>
      <c r="I98" s="168"/>
      <c r="J98" s="175">
        <f>H98/DAY(B2)</f>
        <v>2810.5064285714302</v>
      </c>
      <c r="K98" s="69"/>
      <c r="L98" s="66"/>
      <c r="O98" s="71"/>
    </row>
    <row r="99" spans="1:15" ht="27.75" customHeight="1">
      <c r="A99" s="873" t="s">
        <v>245</v>
      </c>
      <c r="B99" s="874"/>
      <c r="C99" s="875"/>
      <c r="D99" s="151" t="s">
        <v>23</v>
      </c>
      <c r="E99" s="95"/>
      <c r="F99" s="95"/>
      <c r="G99" s="166">
        <f>G98/G7</f>
        <v>0.10596167494677076</v>
      </c>
      <c r="H99" s="99">
        <f>G99+'13'!H99</f>
        <v>1.4078758506864171</v>
      </c>
      <c r="I99" s="168"/>
      <c r="J99" s="175">
        <f>H99/DAY(B2)</f>
        <v>0.1005625607633155</v>
      </c>
      <c r="O99" s="71"/>
    </row>
    <row r="100" spans="1:15" ht="27.75" customHeight="1">
      <c r="A100" s="873" t="s">
        <v>246</v>
      </c>
      <c r="B100" s="874"/>
      <c r="C100" s="875"/>
      <c r="D100" s="151" t="s">
        <v>180</v>
      </c>
      <c r="E100" s="95"/>
      <c r="F100" s="95"/>
      <c r="G100" s="99">
        <f>G38+G52</f>
        <v>2405</v>
      </c>
      <c r="H100" s="99">
        <f>G100+'13'!H100</f>
        <v>32152</v>
      </c>
      <c r="I100" s="118"/>
      <c r="J100" s="175">
        <f>H100/DAY(B2)</f>
        <v>2296.5714285714284</v>
      </c>
      <c r="K100" s="70"/>
      <c r="O100" s="71"/>
    </row>
    <row r="101" spans="1:15" ht="27.75" customHeight="1">
      <c r="A101" s="873" t="s">
        <v>247</v>
      </c>
      <c r="B101" s="874"/>
      <c r="C101" s="875"/>
      <c r="D101" s="151" t="s">
        <v>23</v>
      </c>
      <c r="E101" s="95"/>
      <c r="F101" s="95"/>
      <c r="G101" s="166">
        <f>G100/G7</f>
        <v>8.5344215755855213E-2</v>
      </c>
      <c r="H101" s="99">
        <f>G101+'13'!H101</f>
        <v>1.1497007799306145</v>
      </c>
      <c r="I101" s="168"/>
      <c r="J101" s="175">
        <f>H101/DAY(B2)</f>
        <v>8.2121484280758175E-2</v>
      </c>
      <c r="O101" s="71"/>
    </row>
    <row r="102" spans="1:15" ht="27.75" customHeight="1">
      <c r="A102" s="873" t="s">
        <v>248</v>
      </c>
      <c r="B102" s="874"/>
      <c r="C102" s="875"/>
      <c r="D102" s="151" t="s">
        <v>180</v>
      </c>
      <c r="E102" s="95"/>
      <c r="F102" s="95"/>
      <c r="G102" s="99">
        <f>G36+G50</f>
        <v>2076</v>
      </c>
      <c r="H102" s="99">
        <f>G102+'13'!H102</f>
        <v>28182</v>
      </c>
      <c r="I102" s="168"/>
      <c r="J102" s="175">
        <f>H102/DAY(B2)</f>
        <v>2013</v>
      </c>
      <c r="O102" s="71"/>
    </row>
    <row r="103" spans="1:15" ht="27.75" customHeight="1">
      <c r="A103" s="873" t="s">
        <v>249</v>
      </c>
      <c r="B103" s="874"/>
      <c r="C103" s="875"/>
      <c r="D103" s="151" t="s">
        <v>23</v>
      </c>
      <c r="E103" s="95"/>
      <c r="F103" s="95"/>
      <c r="G103" s="166">
        <f>G102/G7</f>
        <v>7.3669268985095807E-2</v>
      </c>
      <c r="H103" s="99">
        <f>G103+'13'!H103</f>
        <v>1.0025257071736768</v>
      </c>
      <c r="I103" s="118"/>
      <c r="J103" s="175">
        <f>H103/DAY(B2)</f>
        <v>7.1608979083834054E-2</v>
      </c>
      <c r="O103" s="71"/>
    </row>
    <row r="104" spans="1:15" ht="27.75" customHeight="1">
      <c r="A104" s="873" t="s">
        <v>250</v>
      </c>
      <c r="B104" s="874"/>
      <c r="C104" s="875"/>
      <c r="D104" s="151" t="s">
        <v>180</v>
      </c>
      <c r="E104" s="95"/>
      <c r="F104" s="95"/>
      <c r="G104" s="99">
        <f>G37+G51</f>
        <v>1688</v>
      </c>
      <c r="H104" s="99">
        <f>G104+'13'!H104</f>
        <v>24534.32</v>
      </c>
      <c r="I104" s="118"/>
      <c r="J104" s="175">
        <f>H104/DAY(B2)</f>
        <v>1752.4514285714286</v>
      </c>
      <c r="O104" s="71"/>
    </row>
    <row r="105" spans="1:15" ht="27.75" customHeight="1" thickBot="1">
      <c r="A105" s="913" t="s">
        <v>251</v>
      </c>
      <c r="B105" s="914"/>
      <c r="C105" s="915"/>
      <c r="D105" s="231" t="s">
        <v>23</v>
      </c>
      <c r="E105" s="185"/>
      <c r="F105" s="185"/>
      <c r="G105" s="186">
        <f>G104/G7</f>
        <v>5.9900638750887157E-2</v>
      </c>
      <c r="H105" s="99">
        <f>G105+'13'!H105</f>
        <v>0.87435167534855718</v>
      </c>
      <c r="I105" s="187"/>
      <c r="J105" s="188">
        <f>H105/DAY(B2)</f>
        <v>6.2453691096325516E-2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927" t="s">
        <v>324</v>
      </c>
      <c r="B108" s="927"/>
      <c r="C108" s="927"/>
      <c r="D108" s="927"/>
      <c r="E108" s="927"/>
      <c r="F108" s="927"/>
      <c r="G108" s="927"/>
      <c r="H108" s="927"/>
      <c r="I108" s="927"/>
      <c r="J108" s="927"/>
    </row>
    <row r="109" spans="1:15" ht="27.75" customHeight="1">
      <c r="A109" s="912"/>
      <c r="B109" s="912"/>
    </row>
    <row r="110" spans="1:15" ht="27.75" customHeight="1">
      <c r="A110" s="928" t="s">
        <v>165</v>
      </c>
      <c r="B110" s="929"/>
      <c r="C110" s="929"/>
      <c r="D110" s="929"/>
      <c r="E110" s="929"/>
      <c r="F110" s="929"/>
      <c r="G110" s="929"/>
      <c r="H110" s="929"/>
      <c r="I110" s="929"/>
      <c r="J110" s="930"/>
    </row>
    <row r="111" spans="1:15" ht="27.75" customHeight="1">
      <c r="A111" s="931"/>
      <c r="B111" s="932"/>
      <c r="C111" s="933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906" t="s">
        <v>252</v>
      </c>
      <c r="B112" s="907"/>
      <c r="C112" s="908"/>
      <c r="D112" s="146" t="s">
        <v>183</v>
      </c>
      <c r="E112" s="95">
        <f>'13'!F112</f>
        <v>3666</v>
      </c>
      <c r="F112" s="237">
        <v>3740</v>
      </c>
      <c r="G112" s="112">
        <f t="shared" ref="G112:G123" si="9">F112-E112</f>
        <v>74</v>
      </c>
      <c r="H112" s="99">
        <f>G112+'13'!H112</f>
        <v>1063</v>
      </c>
      <c r="I112" s="165"/>
      <c r="J112" s="328">
        <f>H112/DAY(B2)</f>
        <v>75.928571428571431</v>
      </c>
    </row>
    <row r="113" spans="1:18" ht="27.75" customHeight="1">
      <c r="A113" s="906" t="s">
        <v>253</v>
      </c>
      <c r="B113" s="907"/>
      <c r="C113" s="908"/>
      <c r="D113" s="146" t="s">
        <v>183</v>
      </c>
      <c r="E113" s="95">
        <f>'13'!F113</f>
        <v>8224</v>
      </c>
      <c r="F113" s="237">
        <v>8371</v>
      </c>
      <c r="G113" s="112">
        <f t="shared" si="9"/>
        <v>147</v>
      </c>
      <c r="H113" s="99">
        <f>G113+'13'!H113</f>
        <v>1980</v>
      </c>
      <c r="I113" s="165"/>
      <c r="J113" s="328">
        <f>H113/DAY(B2)</f>
        <v>141.42857142857142</v>
      </c>
    </row>
    <row r="114" spans="1:18" ht="27.75" customHeight="1">
      <c r="A114" s="906" t="s">
        <v>254</v>
      </c>
      <c r="B114" s="907"/>
      <c r="C114" s="908"/>
      <c r="D114" s="146" t="s">
        <v>183</v>
      </c>
      <c r="E114" s="95">
        <f>'13'!F114</f>
        <v>10416</v>
      </c>
      <c r="F114" s="237">
        <v>10634</v>
      </c>
      <c r="G114" s="112">
        <f t="shared" si="9"/>
        <v>218</v>
      </c>
      <c r="H114" s="99">
        <f>G114+'13'!H114</f>
        <v>3064</v>
      </c>
      <c r="I114" s="165"/>
      <c r="J114" s="328">
        <f>H114/DAY(B2)</f>
        <v>218.85714285714286</v>
      </c>
    </row>
    <row r="115" spans="1:18" ht="27.75" customHeight="1">
      <c r="A115" s="906" t="s">
        <v>255</v>
      </c>
      <c r="B115" s="907"/>
      <c r="C115" s="908"/>
      <c r="D115" s="146" t="s">
        <v>183</v>
      </c>
      <c r="E115" s="95">
        <f>'13'!F115</f>
        <v>6656</v>
      </c>
      <c r="F115" s="237">
        <v>6800</v>
      </c>
      <c r="G115" s="112">
        <f t="shared" si="9"/>
        <v>144</v>
      </c>
      <c r="H115" s="99">
        <f>G115+'13'!H115</f>
        <v>669.52000000000021</v>
      </c>
      <c r="I115" s="165"/>
      <c r="J115" s="328">
        <f>H115/DAY(B2)</f>
        <v>47.82285714285716</v>
      </c>
    </row>
    <row r="116" spans="1:18" ht="27.75" customHeight="1">
      <c r="A116" s="924" t="s">
        <v>96</v>
      </c>
      <c r="B116" s="925"/>
      <c r="C116" s="926"/>
      <c r="D116" s="146" t="s">
        <v>183</v>
      </c>
      <c r="E116" s="95">
        <f>'13'!F116</f>
        <v>52010</v>
      </c>
      <c r="F116" s="237">
        <v>52367</v>
      </c>
      <c r="G116" s="112">
        <f t="shared" si="9"/>
        <v>357</v>
      </c>
      <c r="H116" s="99">
        <f>G116+'13'!H116</f>
        <v>5612</v>
      </c>
      <c r="I116" s="165"/>
      <c r="J116" s="328">
        <f>H116/DAY(B2)</f>
        <v>400.85714285714283</v>
      </c>
      <c r="Q116" s="906"/>
      <c r="R116" s="908"/>
    </row>
    <row r="117" spans="1:18" ht="27.75" customHeight="1">
      <c r="A117" s="924" t="s">
        <v>184</v>
      </c>
      <c r="B117" s="925"/>
      <c r="C117" s="926"/>
      <c r="D117" s="146" t="s">
        <v>183</v>
      </c>
      <c r="E117" s="95">
        <f>'13'!F117</f>
        <v>28223</v>
      </c>
      <c r="F117" s="237">
        <v>28446</v>
      </c>
      <c r="G117" s="112">
        <f t="shared" si="9"/>
        <v>223</v>
      </c>
      <c r="H117" s="99">
        <f>G117+'13'!H117</f>
        <v>3178</v>
      </c>
      <c r="I117" s="165"/>
      <c r="J117" s="328">
        <f>H117/DAY(B2)</f>
        <v>227</v>
      </c>
      <c r="Q117" s="906"/>
      <c r="R117" s="908"/>
    </row>
    <row r="118" spans="1:18" ht="27.75" customHeight="1">
      <c r="A118" s="901" t="s">
        <v>97</v>
      </c>
      <c r="B118" s="901"/>
      <c r="C118" s="901"/>
      <c r="D118" s="151" t="s">
        <v>183</v>
      </c>
      <c r="E118" s="95">
        <f>'13'!F118</f>
        <v>33802</v>
      </c>
      <c r="F118" s="237">
        <v>34475</v>
      </c>
      <c r="G118" s="112">
        <f t="shared" si="9"/>
        <v>673</v>
      </c>
      <c r="H118" s="99">
        <f>G118+'13'!H118</f>
        <v>8250</v>
      </c>
      <c r="I118" s="165"/>
      <c r="J118" s="328">
        <f>H118/DAY(B2)</f>
        <v>589.28571428571433</v>
      </c>
      <c r="Q118" s="906"/>
      <c r="R118" s="908"/>
    </row>
    <row r="119" spans="1:18" ht="27.75" customHeight="1">
      <c r="A119" s="901" t="s">
        <v>98</v>
      </c>
      <c r="B119" s="901"/>
      <c r="C119" s="901"/>
      <c r="D119" s="151" t="s">
        <v>183</v>
      </c>
      <c r="E119" s="95">
        <f>'13'!F119</f>
        <v>24556</v>
      </c>
      <c r="F119" s="237">
        <v>24978</v>
      </c>
      <c r="G119" s="112">
        <f t="shared" si="9"/>
        <v>422</v>
      </c>
      <c r="H119" s="99">
        <f>G119+'13'!H119</f>
        <v>6031</v>
      </c>
      <c r="I119" s="165"/>
      <c r="J119" s="328">
        <f>H119/DAY(B2)</f>
        <v>430.78571428571428</v>
      </c>
    </row>
    <row r="120" spans="1:18" ht="27.75" customHeight="1">
      <c r="A120" s="901" t="s">
        <v>99</v>
      </c>
      <c r="B120" s="901"/>
      <c r="C120" s="901"/>
      <c r="D120" s="151" t="s">
        <v>183</v>
      </c>
      <c r="E120" s="95">
        <f>'13'!F120</f>
        <v>25776</v>
      </c>
      <c r="F120" s="237">
        <v>26198</v>
      </c>
      <c r="G120" s="112">
        <f t="shared" si="9"/>
        <v>422</v>
      </c>
      <c r="H120" s="99">
        <f>G120+'13'!H120</f>
        <v>6148</v>
      </c>
      <c r="I120" s="165"/>
      <c r="J120" s="328">
        <f>H120/DAY(B2)</f>
        <v>439.14285714285717</v>
      </c>
    </row>
    <row r="121" spans="1:18" ht="27.75" customHeight="1">
      <c r="A121" s="901" t="s">
        <v>100</v>
      </c>
      <c r="B121" s="901"/>
      <c r="C121" s="901"/>
      <c r="D121" s="151" t="s">
        <v>183</v>
      </c>
      <c r="E121" s="95">
        <f>'13'!F121</f>
        <v>31923</v>
      </c>
      <c r="F121" s="237">
        <v>32368</v>
      </c>
      <c r="G121" s="112">
        <f t="shared" si="9"/>
        <v>445</v>
      </c>
      <c r="H121" s="99">
        <f>G121+'13'!H121</f>
        <v>6524</v>
      </c>
      <c r="I121" s="165"/>
      <c r="J121" s="328">
        <f>H121/DAY(B2)</f>
        <v>466</v>
      </c>
    </row>
    <row r="122" spans="1:18" ht="27.75" customHeight="1">
      <c r="A122" s="901" t="s">
        <v>101</v>
      </c>
      <c r="B122" s="901"/>
      <c r="C122" s="901"/>
      <c r="D122" s="151" t="s">
        <v>183</v>
      </c>
      <c r="E122" s="95">
        <f>'13'!F122</f>
        <v>15154</v>
      </c>
      <c r="F122" s="237">
        <v>15438</v>
      </c>
      <c r="G122" s="112">
        <f t="shared" si="9"/>
        <v>284</v>
      </c>
      <c r="H122" s="99">
        <f>G122+'13'!H122</f>
        <v>4278</v>
      </c>
      <c r="I122" s="165"/>
      <c r="J122" s="328">
        <f>H122/DAY(B2)</f>
        <v>305.57142857142856</v>
      </c>
    </row>
    <row r="123" spans="1:18" ht="27.75" customHeight="1">
      <c r="A123" s="901" t="s">
        <v>102</v>
      </c>
      <c r="B123" s="901"/>
      <c r="C123" s="901"/>
      <c r="D123" s="151" t="s">
        <v>183</v>
      </c>
      <c r="E123" s="95">
        <f>'13'!F123</f>
        <v>15003</v>
      </c>
      <c r="F123" s="237">
        <v>15312</v>
      </c>
      <c r="G123" s="112">
        <f t="shared" si="9"/>
        <v>309</v>
      </c>
      <c r="H123" s="99">
        <f>G123+'13'!H123</f>
        <v>4803</v>
      </c>
      <c r="I123" s="165"/>
      <c r="J123" s="328">
        <f>H123/DAY(B2)</f>
        <v>343.07142857142856</v>
      </c>
    </row>
    <row r="124" spans="1:18" ht="27.75" customHeight="1">
      <c r="A124" s="931"/>
      <c r="B124" s="932"/>
      <c r="C124" s="933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934" t="s">
        <v>196</v>
      </c>
      <c r="B125" s="935"/>
      <c r="C125" s="245"/>
      <c r="D125" s="307"/>
      <c r="E125" s="308"/>
      <c r="F125" s="308"/>
      <c r="G125" s="309">
        <f>SUM(G112:G124)</f>
        <v>3718</v>
      </c>
      <c r="H125" s="156"/>
      <c r="I125" s="327">
        <f>G125-(G39+G53)</f>
        <v>732</v>
      </c>
      <c r="J125" s="327"/>
    </row>
    <row r="126" spans="1:18" ht="27.75" customHeight="1">
      <c r="A126" s="936" t="s">
        <v>317</v>
      </c>
      <c r="B126" s="936"/>
      <c r="C126" s="936"/>
      <c r="D126" s="936"/>
      <c r="E126" s="936"/>
      <c r="F126" s="936"/>
      <c r="G126" s="936"/>
      <c r="H126" s="936"/>
      <c r="I126" s="936"/>
      <c r="J126" s="936"/>
    </row>
    <row r="127" spans="1:18" ht="27.75" customHeight="1">
      <c r="A127" s="937"/>
      <c r="B127" s="937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>
      <c r="A128" s="906" t="s">
        <v>318</v>
      </c>
      <c r="B128" s="907"/>
      <c r="C128" s="908"/>
      <c r="D128" s="151" t="s">
        <v>183</v>
      </c>
      <c r="E128" s="95">
        <f>'13'!F128</f>
        <v>102499</v>
      </c>
      <c r="F128" s="165">
        <v>103045</v>
      </c>
      <c r="G128" s="112">
        <f t="shared" ref="G128:G134" si="10">F128-E128</f>
        <v>546</v>
      </c>
      <c r="H128" s="99">
        <f>G128+'13'!H128</f>
        <v>7330</v>
      </c>
      <c r="I128" s="165"/>
      <c r="J128" s="328">
        <f>H128/DAY(B2)</f>
        <v>523.57142857142856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'13'!F129</f>
        <v>63379</v>
      </c>
      <c r="F129" s="165">
        <v>63614</v>
      </c>
      <c r="G129" s="112">
        <f t="shared" si="10"/>
        <v>235</v>
      </c>
      <c r="H129" s="99">
        <f>G129+'13'!H129</f>
        <v>3321</v>
      </c>
      <c r="I129" s="165"/>
      <c r="J129" s="328">
        <f>H129/DAY(B2)</f>
        <v>237.21428571428572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'13'!F130</f>
        <v>129070</v>
      </c>
      <c r="F130" s="165">
        <v>129854</v>
      </c>
      <c r="G130" s="112">
        <f t="shared" si="10"/>
        <v>784</v>
      </c>
      <c r="H130" s="99">
        <f>G130+'13'!H130</f>
        <v>8725</v>
      </c>
      <c r="I130" s="165"/>
      <c r="J130" s="328">
        <f>H130/DAY(B2)</f>
        <v>623.21428571428567</v>
      </c>
      <c r="N130" s="240"/>
      <c r="O130" s="241"/>
    </row>
    <row r="131" spans="1:15" ht="27.75" customHeight="1">
      <c r="A131" s="906" t="s">
        <v>321</v>
      </c>
      <c r="B131" s="907"/>
      <c r="C131" s="908"/>
      <c r="D131" s="151" t="s">
        <v>183</v>
      </c>
      <c r="E131" s="95">
        <f>'13'!F131</f>
        <v>38939</v>
      </c>
      <c r="F131" s="165">
        <v>39160</v>
      </c>
      <c r="G131" s="112">
        <f t="shared" si="10"/>
        <v>221</v>
      </c>
      <c r="H131" s="99">
        <f>G131+'13'!H131</f>
        <v>2881</v>
      </c>
      <c r="I131" s="165"/>
      <c r="J131" s="328">
        <f>H131/DAY(B2)</f>
        <v>205.78571428571428</v>
      </c>
      <c r="N131" s="240"/>
      <c r="O131" s="241"/>
    </row>
    <row r="132" spans="1:15" ht="27.75" customHeight="1">
      <c r="A132" s="906" t="s">
        <v>322</v>
      </c>
      <c r="B132" s="907"/>
      <c r="C132" s="908"/>
      <c r="D132" s="151" t="s">
        <v>183</v>
      </c>
      <c r="E132" s="95">
        <f>'13'!F132</f>
        <v>108809</v>
      </c>
      <c r="F132" s="165">
        <v>109229</v>
      </c>
      <c r="G132" s="112">
        <f t="shared" si="10"/>
        <v>420</v>
      </c>
      <c r="H132" s="99">
        <f>G132+'13'!H132</f>
        <v>5717</v>
      </c>
      <c r="I132" s="165"/>
      <c r="J132" s="328">
        <f>H132/DAY(B2)</f>
        <v>408.35714285714283</v>
      </c>
    </row>
    <row r="133" spans="1:15" ht="27.75" customHeight="1">
      <c r="A133" s="906" t="s">
        <v>341</v>
      </c>
      <c r="B133" s="907"/>
      <c r="C133" s="908"/>
      <c r="D133" s="151" t="s">
        <v>183</v>
      </c>
      <c r="E133" s="95">
        <f>'13'!F133</f>
        <v>212425</v>
      </c>
      <c r="F133" s="165">
        <v>213179</v>
      </c>
      <c r="G133" s="112">
        <f t="shared" si="10"/>
        <v>754</v>
      </c>
      <c r="H133" s="99">
        <f>G133+'13'!H133</f>
        <v>11947</v>
      </c>
      <c r="I133" s="165"/>
      <c r="J133" s="328">
        <f>H133/DAY(B2)</f>
        <v>853.35714285714289</v>
      </c>
    </row>
    <row r="134" spans="1:15" ht="27.75" customHeight="1">
      <c r="A134" s="906" t="s">
        <v>340</v>
      </c>
      <c r="B134" s="907"/>
      <c r="C134" s="908"/>
      <c r="D134" s="151" t="s">
        <v>183</v>
      </c>
      <c r="E134" s="95">
        <f>'13'!F134</f>
        <v>38072</v>
      </c>
      <c r="F134" s="165">
        <v>38270</v>
      </c>
      <c r="G134" s="112">
        <f t="shared" si="10"/>
        <v>198</v>
      </c>
      <c r="H134" s="99">
        <f>G134+'13'!H134</f>
        <v>3375</v>
      </c>
      <c r="I134" s="165"/>
      <c r="J134" s="328">
        <f>H134/DAY(B2)</f>
        <v>241.07142857142858</v>
      </c>
    </row>
    <row r="135" spans="1:15" ht="27.75" customHeight="1">
      <c r="A135" s="934" t="s">
        <v>196</v>
      </c>
      <c r="B135" s="935"/>
      <c r="C135" s="331"/>
      <c r="D135" s="151"/>
      <c r="E135" s="95"/>
      <c r="F135" s="165"/>
      <c r="G135" s="112">
        <f>SUM(G128:G134)</f>
        <v>3158</v>
      </c>
      <c r="H135" s="119">
        <f>H128+H134</f>
        <v>10705</v>
      </c>
      <c r="I135" s="327">
        <f>G135-(G35+G49)</f>
        <v>-576</v>
      </c>
      <c r="J135" s="328">
        <f>H135/DAY(B2)</f>
        <v>764.64285714285711</v>
      </c>
    </row>
    <row r="136" spans="1:15" ht="27.75" customHeight="1">
      <c r="A136" s="938" t="s">
        <v>325</v>
      </c>
      <c r="B136" s="938"/>
      <c r="C136" s="938"/>
      <c r="D136" s="938"/>
      <c r="E136" s="938"/>
      <c r="F136" s="938"/>
      <c r="G136" s="938"/>
      <c r="H136" s="938"/>
      <c r="I136" s="938"/>
      <c r="J136" s="938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901" t="s">
        <v>185</v>
      </c>
      <c r="B138" s="901"/>
      <c r="C138" s="901"/>
      <c r="D138" s="151" t="s">
        <v>183</v>
      </c>
      <c r="E138" s="95">
        <f>'13'!F138</f>
        <v>884969</v>
      </c>
      <c r="F138" s="147">
        <v>885129</v>
      </c>
      <c r="G138" s="112">
        <f t="shared" ref="G138:G152" si="11">F138-E138</f>
        <v>160</v>
      </c>
      <c r="H138" s="99">
        <f>G138+'13'!H138</f>
        <v>1851.2999999999993</v>
      </c>
      <c r="I138" s="118"/>
      <c r="J138" s="328">
        <f>H138/DAY(B2)</f>
        <v>132.23571428571424</v>
      </c>
    </row>
    <row r="139" spans="1:15" ht="27.75" customHeight="1">
      <c r="A139" s="901" t="s">
        <v>186</v>
      </c>
      <c r="B139" s="901"/>
      <c r="C139" s="901"/>
      <c r="D139" s="151" t="s">
        <v>183</v>
      </c>
      <c r="E139" s="95">
        <f>'13'!F139</f>
        <v>901456</v>
      </c>
      <c r="F139" s="148">
        <v>901589</v>
      </c>
      <c r="G139" s="112">
        <f t="shared" si="11"/>
        <v>133</v>
      </c>
      <c r="H139" s="99">
        <f>G139+'13'!H139</f>
        <v>2134</v>
      </c>
      <c r="I139" s="118"/>
      <c r="J139" s="328">
        <f>H139/DAY(B2)</f>
        <v>152.42857142857142</v>
      </c>
    </row>
    <row r="140" spans="1:15" ht="27.75" customHeight="1">
      <c r="A140" s="901" t="s">
        <v>187</v>
      </c>
      <c r="B140" s="901"/>
      <c r="C140" s="901"/>
      <c r="D140" s="151" t="s">
        <v>183</v>
      </c>
      <c r="E140" s="95">
        <f>'13'!F140</f>
        <v>791</v>
      </c>
      <c r="F140" s="149">
        <v>807</v>
      </c>
      <c r="G140" s="112">
        <f t="shared" si="11"/>
        <v>16</v>
      </c>
      <c r="H140" s="99">
        <f>G140+'13'!H140</f>
        <v>158.24</v>
      </c>
      <c r="I140" s="118"/>
      <c r="J140" s="328">
        <f>H140/DAY(B2)</f>
        <v>11.302857142857144</v>
      </c>
    </row>
    <row r="141" spans="1:15" ht="27.75" customHeight="1">
      <c r="A141" s="905" t="s">
        <v>188</v>
      </c>
      <c r="B141" s="905"/>
      <c r="C141" s="905"/>
      <c r="D141" s="151" t="s">
        <v>183</v>
      </c>
      <c r="E141" s="95">
        <f>'13'!F141</f>
        <v>80640</v>
      </c>
      <c r="F141" s="149">
        <v>80811</v>
      </c>
      <c r="G141" s="112">
        <f t="shared" si="11"/>
        <v>171</v>
      </c>
      <c r="H141" s="99">
        <f>G141+'13'!H141</f>
        <v>2859</v>
      </c>
      <c r="I141" s="118"/>
      <c r="J141" s="328">
        <f>H141/DAY(B2)</f>
        <v>204.21428571428572</v>
      </c>
    </row>
    <row r="142" spans="1:15" ht="27.75" customHeight="1">
      <c r="A142" s="905" t="s">
        <v>189</v>
      </c>
      <c r="B142" s="905"/>
      <c r="C142" s="905"/>
      <c r="D142" s="151" t="s">
        <v>183</v>
      </c>
      <c r="E142" s="95">
        <f>'13'!F142</f>
        <v>32542</v>
      </c>
      <c r="F142" s="148">
        <v>32698</v>
      </c>
      <c r="G142" s="112">
        <f t="shared" si="11"/>
        <v>156</v>
      </c>
      <c r="H142" s="99">
        <f>G142+'13'!H142</f>
        <v>2172</v>
      </c>
      <c r="I142" s="140"/>
      <c r="J142" s="328">
        <f>H142/DAY(B2)</f>
        <v>155.14285714285714</v>
      </c>
    </row>
    <row r="143" spans="1:15" ht="27.75" customHeight="1">
      <c r="A143" s="901" t="s">
        <v>91</v>
      </c>
      <c r="B143" s="901"/>
      <c r="C143" s="901"/>
      <c r="D143" s="151" t="s">
        <v>183</v>
      </c>
      <c r="E143" s="95">
        <f>'13'!F143</f>
        <v>7669</v>
      </c>
      <c r="F143" s="149">
        <v>7700</v>
      </c>
      <c r="G143" s="112">
        <f t="shared" si="11"/>
        <v>31</v>
      </c>
      <c r="H143" s="99">
        <f>G143+'13'!H143</f>
        <v>394</v>
      </c>
      <c r="I143" s="140"/>
      <c r="J143" s="328">
        <f>H143/DAY(B2)</f>
        <v>28.142857142857142</v>
      </c>
    </row>
    <row r="144" spans="1:15" ht="27.75" customHeight="1">
      <c r="A144" s="905" t="s">
        <v>90</v>
      </c>
      <c r="B144" s="905"/>
      <c r="C144" s="905"/>
      <c r="D144" s="151" t="s">
        <v>183</v>
      </c>
      <c r="E144" s="95">
        <f>'13'!F144</f>
        <v>908195</v>
      </c>
      <c r="F144" s="149">
        <v>908443</v>
      </c>
      <c r="G144" s="112">
        <f t="shared" si="11"/>
        <v>248</v>
      </c>
      <c r="H144" s="99">
        <f>G144+'13'!H144</f>
        <v>3390</v>
      </c>
      <c r="I144" s="140"/>
      <c r="J144" s="328">
        <f>H144/DAY(B2)</f>
        <v>242.14285714285714</v>
      </c>
    </row>
    <row r="145" spans="1:10" ht="27.75" customHeight="1">
      <c r="A145" s="901" t="s">
        <v>190</v>
      </c>
      <c r="B145" s="901"/>
      <c r="C145" s="901"/>
      <c r="D145" s="152" t="s">
        <v>183</v>
      </c>
      <c r="E145" s="95">
        <f>'13'!F145</f>
        <v>5665</v>
      </c>
      <c r="F145" s="149">
        <v>5665</v>
      </c>
      <c r="G145" s="112">
        <f t="shared" si="11"/>
        <v>0</v>
      </c>
      <c r="H145" s="99">
        <f>G145+'13'!H145</f>
        <v>1</v>
      </c>
      <c r="I145" s="140"/>
      <c r="J145" s="328">
        <f>H145/DAY(B2)</f>
        <v>7.1428571428571425E-2</v>
      </c>
    </row>
    <row r="146" spans="1:10" ht="27.75" customHeight="1">
      <c r="A146" s="902" t="s">
        <v>191</v>
      </c>
      <c r="B146" s="903"/>
      <c r="C146" s="904"/>
      <c r="D146" s="152" t="s">
        <v>183</v>
      </c>
      <c r="E146" s="95">
        <f>'13'!F146</f>
        <v>778583</v>
      </c>
      <c r="F146" s="148">
        <v>778593</v>
      </c>
      <c r="G146" s="112">
        <f t="shared" si="11"/>
        <v>10</v>
      </c>
      <c r="H146" s="99">
        <f>G146+'13'!H146</f>
        <v>725</v>
      </c>
      <c r="I146" s="140"/>
      <c r="J146" s="328">
        <f>H146/DAY(B2)</f>
        <v>51.785714285714285</v>
      </c>
    </row>
    <row r="147" spans="1:10" ht="27.75" customHeight="1">
      <c r="A147" s="905" t="s">
        <v>192</v>
      </c>
      <c r="B147" s="905"/>
      <c r="C147" s="905"/>
      <c r="D147" s="152" t="s">
        <v>183</v>
      </c>
      <c r="E147" s="95">
        <f>'13'!F147</f>
        <v>680759</v>
      </c>
      <c r="F147" s="148">
        <v>681310</v>
      </c>
      <c r="G147" s="112">
        <f t="shared" si="11"/>
        <v>551</v>
      </c>
      <c r="H147" s="99">
        <f>G147+'13'!H147</f>
        <v>5462</v>
      </c>
      <c r="I147" s="140"/>
      <c r="J147" s="328">
        <f>H147/DAY(B2)</f>
        <v>390.14285714285717</v>
      </c>
    </row>
    <row r="148" spans="1:10" ht="27.75" customHeight="1">
      <c r="A148" s="897" t="s">
        <v>193</v>
      </c>
      <c r="B148" s="898"/>
      <c r="C148" s="899"/>
      <c r="D148" s="123" t="s">
        <v>130</v>
      </c>
      <c r="E148" s="95">
        <f>'13'!F148</f>
        <v>733391</v>
      </c>
      <c r="F148" s="150">
        <v>733748</v>
      </c>
      <c r="G148" s="112">
        <f t="shared" si="11"/>
        <v>357</v>
      </c>
      <c r="H148" s="99">
        <f>G148+'13'!H148</f>
        <v>4003</v>
      </c>
      <c r="I148" s="124"/>
      <c r="J148" s="328">
        <f>H148/DAY(B2)</f>
        <v>285.92857142857144</v>
      </c>
    </row>
    <row r="149" spans="1:10" ht="27.75" customHeight="1">
      <c r="A149" s="897" t="s">
        <v>336</v>
      </c>
      <c r="B149" s="898"/>
      <c r="C149" s="899"/>
      <c r="D149" s="227" t="s">
        <v>130</v>
      </c>
      <c r="E149" s="95">
        <f>'13'!F149</f>
        <v>108305</v>
      </c>
      <c r="F149" s="227">
        <v>108846</v>
      </c>
      <c r="G149" s="112">
        <f t="shared" si="11"/>
        <v>541</v>
      </c>
      <c r="H149" s="99">
        <f>G149+'13'!H149</f>
        <v>7951</v>
      </c>
      <c r="I149" s="119"/>
      <c r="J149" s="328">
        <f>H149/DAY(B2)</f>
        <v>567.92857142857144</v>
      </c>
    </row>
    <row r="150" spans="1:10" ht="27.75" customHeight="1">
      <c r="A150" s="897" t="s">
        <v>337</v>
      </c>
      <c r="B150" s="898"/>
      <c r="C150" s="899"/>
      <c r="D150" s="117" t="s">
        <v>130</v>
      </c>
      <c r="E150" s="95">
        <f>'13'!F150</f>
        <v>40055</v>
      </c>
      <c r="F150" s="233">
        <v>40273</v>
      </c>
      <c r="G150" s="112">
        <f t="shared" si="11"/>
        <v>218</v>
      </c>
      <c r="H150" s="99">
        <f>G150+'13'!H150</f>
        <v>3057</v>
      </c>
      <c r="I150" s="119"/>
      <c r="J150" s="328">
        <f>H150/DAY(B2)</f>
        <v>218.35714285714286</v>
      </c>
    </row>
    <row r="151" spans="1:10" ht="27.75" customHeight="1">
      <c r="A151" s="897" t="s">
        <v>338</v>
      </c>
      <c r="B151" s="898"/>
      <c r="C151" s="899"/>
      <c r="D151" s="117" t="s">
        <v>130</v>
      </c>
      <c r="E151" s="95">
        <f>'13'!F151</f>
        <v>121932</v>
      </c>
      <c r="F151" s="233">
        <v>122205</v>
      </c>
      <c r="G151" s="112">
        <f t="shared" si="11"/>
        <v>273</v>
      </c>
      <c r="H151" s="99">
        <f>G151+'13'!H151</f>
        <v>4068</v>
      </c>
      <c r="I151" s="119"/>
      <c r="J151" s="328">
        <f>H151/DAY(B2)</f>
        <v>290.57142857142856</v>
      </c>
    </row>
    <row r="152" spans="1:10" ht="27.75" customHeight="1">
      <c r="A152" s="897" t="s">
        <v>339</v>
      </c>
      <c r="B152" s="898"/>
      <c r="C152" s="899"/>
      <c r="D152" s="117" t="s">
        <v>130</v>
      </c>
      <c r="E152" s="95">
        <f>'13'!F152</f>
        <v>17111</v>
      </c>
      <c r="F152" s="233">
        <v>17240</v>
      </c>
      <c r="G152" s="112">
        <f t="shared" si="11"/>
        <v>129</v>
      </c>
      <c r="H152" s="99">
        <f>G152+'13'!H152</f>
        <v>6084</v>
      </c>
      <c r="I152" s="119"/>
      <c r="J152" s="328">
        <f>H152/DAY(B2)</f>
        <v>434.57142857142856</v>
      </c>
    </row>
    <row r="153" spans="1:10" ht="27.75" customHeight="1">
      <c r="A153" s="934" t="s">
        <v>196</v>
      </c>
      <c r="B153" s="935"/>
      <c r="C153" s="365"/>
      <c r="D153" s="358"/>
      <c r="E153" s="360"/>
      <c r="F153" s="361"/>
      <c r="G153" s="362">
        <f>SUM(G138:G152)</f>
        <v>2994</v>
      </c>
      <c r="H153" s="363"/>
      <c r="I153" s="119">
        <f>G153-(G38+G52)</f>
        <v>589</v>
      </c>
      <c r="J153" s="366"/>
    </row>
    <row r="154" spans="1:10" ht="27.75" customHeight="1">
      <c r="A154" s="938"/>
      <c r="B154" s="938"/>
      <c r="C154" s="938"/>
      <c r="D154" s="938"/>
      <c r="E154" s="938"/>
      <c r="F154" s="938"/>
      <c r="G154" s="938"/>
      <c r="H154" s="938"/>
      <c r="I154" s="938"/>
      <c r="J154" s="938"/>
    </row>
    <row r="155" spans="1:10" ht="27.75" customHeight="1">
      <c r="A155" s="905" t="s">
        <v>345</v>
      </c>
      <c r="B155" s="905"/>
      <c r="C155" s="905"/>
      <c r="D155" s="117" t="s">
        <v>130</v>
      </c>
      <c r="E155" s="374">
        <f>'13'!F155</f>
        <v>120036</v>
      </c>
      <c r="F155" s="374">
        <v>120658</v>
      </c>
      <c r="G155" s="112">
        <f t="shared" ref="G155:G158" si="12">F155-E155</f>
        <v>622</v>
      </c>
      <c r="H155" s="99">
        <f>G155+'13'!H155</f>
        <v>8683</v>
      </c>
      <c r="I155" s="364"/>
      <c r="J155" s="328">
        <f>H155/DAY(B2)</f>
        <v>620.21428571428567</v>
      </c>
    </row>
    <row r="156" spans="1:10" ht="27.75" customHeight="1">
      <c r="A156" s="905" t="s">
        <v>347</v>
      </c>
      <c r="B156" s="905"/>
      <c r="C156" s="905"/>
      <c r="D156" s="117" t="s">
        <v>130</v>
      </c>
      <c r="E156" s="374">
        <f>'13'!F156</f>
        <v>10682</v>
      </c>
      <c r="F156" s="155">
        <v>10765</v>
      </c>
      <c r="G156" s="112">
        <f t="shared" si="12"/>
        <v>83</v>
      </c>
      <c r="H156" s="99">
        <f>G156+'13'!H156</f>
        <v>1080</v>
      </c>
      <c r="I156" s="165"/>
      <c r="J156" s="328">
        <f>H156/DAY(B2)</f>
        <v>77.142857142857139</v>
      </c>
    </row>
    <row r="157" spans="1:10" ht="27.75" customHeight="1">
      <c r="A157" s="897" t="s">
        <v>360</v>
      </c>
      <c r="B157" s="898"/>
      <c r="C157" s="899"/>
      <c r="D157" s="117" t="s">
        <v>130</v>
      </c>
      <c r="E157" s="374">
        <f>'13'!F157</f>
        <v>20412</v>
      </c>
      <c r="F157" s="155">
        <v>20553</v>
      </c>
      <c r="G157" s="112">
        <f t="shared" si="12"/>
        <v>141</v>
      </c>
      <c r="H157" s="99">
        <f>G157+'13'!H157</f>
        <v>2353</v>
      </c>
      <c r="I157" s="165"/>
      <c r="J157" s="328">
        <f>H157/DAY(B2)</f>
        <v>168.07142857142858</v>
      </c>
    </row>
    <row r="158" spans="1:10" ht="27.75" customHeight="1">
      <c r="A158" s="897" t="s">
        <v>361</v>
      </c>
      <c r="B158" s="898"/>
      <c r="C158" s="899"/>
      <c r="D158" s="117" t="s">
        <v>130</v>
      </c>
      <c r="E158" s="374">
        <f>'13'!F158</f>
        <v>189</v>
      </c>
      <c r="F158" s="155">
        <v>189</v>
      </c>
      <c r="G158" s="112">
        <f t="shared" si="12"/>
        <v>0</v>
      </c>
      <c r="H158" s="99">
        <f>G158+'13'!H158</f>
        <v>98.58</v>
      </c>
      <c r="I158" s="165"/>
      <c r="J158" s="328">
        <f>H158/DAY(B2)</f>
        <v>7.0414285714285709</v>
      </c>
    </row>
    <row r="159" spans="1:10" ht="27.75" customHeight="1">
      <c r="A159" s="956"/>
      <c r="B159" s="957"/>
      <c r="C159" s="958"/>
      <c r="D159" s="117"/>
      <c r="E159" s="165"/>
      <c r="F159" s="165"/>
      <c r="G159" s="362">
        <f>SUM(G155:G158)</f>
        <v>846</v>
      </c>
      <c r="H159" s="99"/>
      <c r="I159" s="165"/>
      <c r="J159" s="328"/>
    </row>
    <row r="160" spans="1:10" ht="27.75" customHeight="1">
      <c r="A160" s="938" t="s">
        <v>326</v>
      </c>
      <c r="B160" s="938"/>
      <c r="C160" s="938"/>
      <c r="D160" s="938"/>
      <c r="E160" s="938"/>
      <c r="F160" s="938"/>
      <c r="G160" s="938"/>
      <c r="H160" s="938"/>
      <c r="I160" s="938"/>
      <c r="J160" s="938"/>
    </row>
    <row r="161" spans="1:10" ht="27.75" customHeight="1">
      <c r="A161" s="242" t="s">
        <v>92</v>
      </c>
      <c r="B161" s="243"/>
      <c r="C161" s="243"/>
      <c r="D161" s="244" t="s">
        <v>180</v>
      </c>
      <c r="E161" s="235">
        <f>'13'!F161</f>
        <v>476630</v>
      </c>
      <c r="F161" s="235">
        <v>476638</v>
      </c>
      <c r="G161" s="238">
        <f t="shared" ref="G161:G165" si="13">F161-E161</f>
        <v>8</v>
      </c>
      <c r="H161" s="99">
        <f>G161+'13'!H161</f>
        <v>1217</v>
      </c>
      <c r="I161" s="236"/>
      <c r="J161" s="239">
        <f>H161/DAY(B2)</f>
        <v>86.928571428571431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235">
        <f>'13'!F162</f>
        <v>93155</v>
      </c>
      <c r="F162" s="235">
        <v>93193</v>
      </c>
      <c r="G162" s="238">
        <f t="shared" si="13"/>
        <v>38</v>
      </c>
      <c r="H162" s="99">
        <f>G162+'13'!H162</f>
        <v>466</v>
      </c>
      <c r="I162" s="236"/>
      <c r="J162" s="239">
        <f>H162/DAY(B2)</f>
        <v>33.285714285714285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235">
        <f>'13'!F163</f>
        <v>99215</v>
      </c>
      <c r="F163" s="235">
        <v>99411</v>
      </c>
      <c r="G163" s="238">
        <f t="shared" si="13"/>
        <v>196</v>
      </c>
      <c r="H163" s="99">
        <f>G163+'13'!H163</f>
        <v>2276</v>
      </c>
      <c r="I163" s="236"/>
      <c r="J163" s="239">
        <f>H163/DAY(B2)</f>
        <v>162.57142857142858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235">
        <f>'13'!F164</f>
        <v>5692</v>
      </c>
      <c r="F164" s="235">
        <v>5703</v>
      </c>
      <c r="G164" s="238">
        <f t="shared" si="13"/>
        <v>11</v>
      </c>
      <c r="H164" s="99">
        <f>G164+'13'!H164</f>
        <v>161</v>
      </c>
      <c r="I164" s="236"/>
      <c r="J164" s="239">
        <f>H164/DAY(B2)</f>
        <v>11.5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235">
        <f>'13'!F165</f>
        <v>31162</v>
      </c>
      <c r="F165" s="235">
        <v>31174</v>
      </c>
      <c r="G165" s="238">
        <f t="shared" si="13"/>
        <v>12</v>
      </c>
      <c r="H165" s="99">
        <f>G165+'13'!H165</f>
        <v>160</v>
      </c>
      <c r="I165" s="236"/>
      <c r="J165" s="239">
        <f>H165/DAY(B2)</f>
        <v>11.428571428571429</v>
      </c>
    </row>
    <row r="166" spans="1:10" ht="27.75" customHeight="1">
      <c r="A166" s="937"/>
      <c r="B166" s="937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>
      <c r="A167" s="937"/>
      <c r="B167" s="937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>
      <c r="A168" s="937"/>
      <c r="B168" s="937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>
      <c r="A171" s="947" t="s">
        <v>330</v>
      </c>
      <c r="B171" s="948"/>
      <c r="C171" s="948"/>
      <c r="D171" s="948"/>
      <c r="E171" s="948"/>
      <c r="F171" s="948"/>
      <c r="G171" s="948"/>
      <c r="H171" s="948"/>
      <c r="I171" s="948"/>
      <c r="J171" s="949"/>
    </row>
    <row r="172" spans="1:10" ht="27.75" customHeight="1">
      <c r="A172" s="943"/>
      <c r="B172" s="944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95" t="s">
        <v>209</v>
      </c>
      <c r="B173" s="896"/>
      <c r="C173" s="333"/>
      <c r="D173" s="228" t="s">
        <v>142</v>
      </c>
      <c r="E173" s="95">
        <f>'13'!F173</f>
        <v>8276</v>
      </c>
      <c r="F173" s="155">
        <v>8276</v>
      </c>
      <c r="G173" s="155">
        <f>F173-E173</f>
        <v>0</v>
      </c>
      <c r="H173" s="99">
        <f>G173+'13'!H173</f>
        <v>12</v>
      </c>
      <c r="I173" s="155"/>
      <c r="J173" s="178">
        <f>H173/DAY(B2)</f>
        <v>0.8571428571428571</v>
      </c>
    </row>
    <row r="174" spans="1:10" ht="27.75" customHeight="1">
      <c r="A174" s="895" t="s">
        <v>75</v>
      </c>
      <c r="B174" s="896"/>
      <c r="C174" s="333"/>
      <c r="D174" s="228" t="s">
        <v>142</v>
      </c>
      <c r="E174" s="95">
        <f>'13'!F174</f>
        <v>40522</v>
      </c>
      <c r="F174" s="157">
        <v>40538</v>
      </c>
      <c r="G174" s="155">
        <f t="shared" ref="G174:G175" si="14">F174-E174</f>
        <v>16</v>
      </c>
      <c r="H174" s="99">
        <f>G174+'13'!H174</f>
        <v>206</v>
      </c>
      <c r="I174" s="155"/>
      <c r="J174" s="178">
        <f>H174/DAY(B2)</f>
        <v>14.714285714285714</v>
      </c>
    </row>
    <row r="175" spans="1:10" ht="27.75" customHeight="1">
      <c r="A175" s="895" t="s">
        <v>76</v>
      </c>
      <c r="B175" s="900"/>
      <c r="C175" s="896"/>
      <c r="D175" s="228" t="s">
        <v>142</v>
      </c>
      <c r="E175" s="95">
        <f>'13'!F175</f>
        <v>23445</v>
      </c>
      <c r="F175" s="155">
        <v>23460</v>
      </c>
      <c r="G175" s="155">
        <f t="shared" si="14"/>
        <v>15</v>
      </c>
      <c r="H175" s="99">
        <f>G175+'13'!H175</f>
        <v>202</v>
      </c>
      <c r="I175" s="155"/>
      <c r="J175" s="178">
        <f>H175/DAY(B2)</f>
        <v>14.428571428571429</v>
      </c>
    </row>
    <row r="176" spans="1:10" ht="27.75" customHeight="1">
      <c r="A176" s="934" t="s">
        <v>196</v>
      </c>
      <c r="B176" s="935"/>
      <c r="C176" s="401"/>
      <c r="D176" s="228" t="s">
        <v>142</v>
      </c>
      <c r="E176" s="95"/>
      <c r="F176" s="155"/>
      <c r="G176" s="155">
        <f>SUM(G173:G175)</f>
        <v>31</v>
      </c>
      <c r="H176" s="99">
        <f>G176+'13'!H176</f>
        <v>420</v>
      </c>
      <c r="I176" s="155"/>
      <c r="J176" s="178">
        <f>H176/DAY(B2)</f>
        <v>30</v>
      </c>
    </row>
    <row r="177" spans="1:10" ht="27.75" customHeight="1">
      <c r="A177" s="895" t="s">
        <v>77</v>
      </c>
      <c r="B177" s="896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>
      <c r="A178" s="895" t="s">
        <v>210</v>
      </c>
      <c r="B178" s="896"/>
      <c r="C178" s="333"/>
      <c r="D178" s="228" t="s">
        <v>142</v>
      </c>
      <c r="E178" s="155">
        <v>93198</v>
      </c>
      <c r="F178" s="155">
        <v>93353</v>
      </c>
      <c r="G178" s="155">
        <f>F178-E178</f>
        <v>155</v>
      </c>
      <c r="H178" s="99">
        <f>G178+'13'!H178</f>
        <v>1531</v>
      </c>
      <c r="I178" s="155"/>
      <c r="J178" s="178">
        <f>H178/DAY(B2)</f>
        <v>109.35714285714286</v>
      </c>
    </row>
    <row r="179" spans="1:10" ht="27.75" customHeight="1">
      <c r="A179" s="895" t="s">
        <v>211</v>
      </c>
      <c r="B179" s="896"/>
      <c r="C179" s="333"/>
      <c r="D179" s="228" t="s">
        <v>142</v>
      </c>
      <c r="E179" s="95">
        <f>'13'!F179</f>
        <v>36002</v>
      </c>
      <c r="F179" s="155">
        <v>36002</v>
      </c>
      <c r="G179" s="155">
        <f t="shared" ref="G179:G180" si="15">F179-E179</f>
        <v>0</v>
      </c>
      <c r="H179" s="99">
        <f>G179+'13'!H179</f>
        <v>218</v>
      </c>
      <c r="I179" s="155"/>
      <c r="J179" s="178">
        <f>H179/DAY(B2)</f>
        <v>15.571428571428571</v>
      </c>
    </row>
    <row r="180" spans="1:10" ht="27.75" customHeight="1">
      <c r="A180" s="895" t="s">
        <v>212</v>
      </c>
      <c r="B180" s="896"/>
      <c r="C180" s="333"/>
      <c r="D180" s="228" t="s">
        <v>142</v>
      </c>
      <c r="E180" s="95">
        <f>'13'!F180</f>
        <v>6805</v>
      </c>
      <c r="F180" s="155">
        <v>6807</v>
      </c>
      <c r="G180" s="155">
        <f t="shared" si="15"/>
        <v>2</v>
      </c>
      <c r="H180" s="99">
        <f>G180+'13'!H180</f>
        <v>137</v>
      </c>
      <c r="I180" s="155"/>
      <c r="J180" s="178">
        <f>H180/DAY(B2)</f>
        <v>9.7857142857142865</v>
      </c>
    </row>
    <row r="181" spans="1:10" ht="27.75" customHeight="1">
      <c r="A181" s="941" t="s">
        <v>108</v>
      </c>
      <c r="B181" s="942"/>
      <c r="C181" s="401"/>
      <c r="D181" s="228" t="s">
        <v>142</v>
      </c>
      <c r="E181" s="95"/>
      <c r="F181" s="155" t="s">
        <v>207</v>
      </c>
      <c r="G181" s="155">
        <f>SUM(G178:G180)</f>
        <v>157</v>
      </c>
      <c r="H181" s="99">
        <f>G181+'13'!H181</f>
        <v>1886</v>
      </c>
      <c r="I181" s="155"/>
      <c r="J181" s="178">
        <f>H181/DAY(B2)</f>
        <v>134.71428571428572</v>
      </c>
    </row>
    <row r="182" spans="1:10" ht="27.75" customHeight="1">
      <c r="A182" s="895" t="s">
        <v>213</v>
      </c>
      <c r="B182" s="896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>
      <c r="A183" s="895" t="s">
        <v>214</v>
      </c>
      <c r="B183" s="896"/>
      <c r="C183" s="334"/>
      <c r="D183" s="228" t="s">
        <v>142</v>
      </c>
      <c r="E183" s="95">
        <f>'13'!F183</f>
        <v>17131</v>
      </c>
      <c r="F183" s="157">
        <v>17139</v>
      </c>
      <c r="G183" s="157">
        <f>F183-E183</f>
        <v>8</v>
      </c>
      <c r="H183" s="99">
        <f>G183+'13'!H183</f>
        <v>184</v>
      </c>
      <c r="I183" s="155"/>
      <c r="J183" s="178">
        <f>H183/DAY(B2)</f>
        <v>13.142857142857142</v>
      </c>
    </row>
    <row r="184" spans="1:10" ht="27.75" customHeight="1">
      <c r="A184" s="895" t="s">
        <v>215</v>
      </c>
      <c r="B184" s="896"/>
      <c r="C184" s="334"/>
      <c r="D184" s="228" t="s">
        <v>142</v>
      </c>
      <c r="E184" s="95">
        <f>'13'!F184</f>
        <v>11580</v>
      </c>
      <c r="F184" s="157">
        <v>11586</v>
      </c>
      <c r="G184" s="157">
        <f t="shared" ref="G184:G185" si="16">F184-E184</f>
        <v>6</v>
      </c>
      <c r="H184" s="99">
        <f>G184+'13'!H184</f>
        <v>100</v>
      </c>
      <c r="I184" s="155"/>
      <c r="J184" s="178">
        <f>H184/DAY(B2)</f>
        <v>7.1428571428571432</v>
      </c>
    </row>
    <row r="185" spans="1:10" ht="27.75" customHeight="1">
      <c r="A185" s="895" t="s">
        <v>216</v>
      </c>
      <c r="B185" s="896"/>
      <c r="C185" s="334"/>
      <c r="D185" s="228" t="s">
        <v>142</v>
      </c>
      <c r="E185" s="95">
        <f>'13'!F185</f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>
      <c r="A186" s="934" t="s">
        <v>196</v>
      </c>
      <c r="B186" s="935"/>
      <c r="C186" s="400"/>
      <c r="D186" s="228" t="s">
        <v>142</v>
      </c>
      <c r="E186" s="95"/>
      <c r="F186" s="157"/>
      <c r="G186" s="157">
        <f>SUM(G183:G185)</f>
        <v>14</v>
      </c>
      <c r="H186" s="99">
        <f>G186+'13'!H186</f>
        <v>284</v>
      </c>
      <c r="I186" s="157"/>
      <c r="J186" s="178">
        <f>H186/DAY(B2)</f>
        <v>20.285714285714285</v>
      </c>
    </row>
    <row r="187" spans="1:10" ht="27.75" customHeight="1">
      <c r="A187" s="945" t="s">
        <v>217</v>
      </c>
      <c r="B187" s="946"/>
      <c r="C187" s="333"/>
      <c r="D187" s="230" t="s">
        <v>142</v>
      </c>
      <c r="E187" s="95"/>
      <c r="F187" s="159"/>
      <c r="G187" s="159">
        <f>G62+G19</f>
        <v>185</v>
      </c>
      <c r="H187" s="99">
        <f>G187+'13'!H187</f>
        <v>2825</v>
      </c>
      <c r="I187" s="158"/>
      <c r="J187" s="179">
        <f>H187/DAY(B2)</f>
        <v>201.78571428571428</v>
      </c>
    </row>
    <row r="188" spans="1:10" ht="27.75" customHeight="1">
      <c r="A188" s="945" t="s">
        <v>218</v>
      </c>
      <c r="B188" s="946"/>
      <c r="C188" s="333"/>
      <c r="D188" s="230" t="s">
        <v>142</v>
      </c>
      <c r="E188" s="95"/>
      <c r="F188" s="159"/>
      <c r="G188" s="159">
        <f>G65+G66+G67+G69+G70</f>
        <v>174</v>
      </c>
      <c r="H188" s="99"/>
      <c r="I188" s="158"/>
      <c r="J188" s="405">
        <f>H188/DAY(B2)</f>
        <v>0</v>
      </c>
    </row>
    <row r="189" spans="1:10" ht="27.75" customHeight="1">
      <c r="A189" s="945" t="s">
        <v>219</v>
      </c>
      <c r="B189" s="946"/>
      <c r="C189" s="333"/>
      <c r="D189" s="230" t="s">
        <v>142</v>
      </c>
      <c r="E189" s="95"/>
      <c r="F189" s="157"/>
      <c r="G189" s="157">
        <f>G181</f>
        <v>157</v>
      </c>
      <c r="H189" s="99">
        <f>G189+'13'!H189</f>
        <v>1886</v>
      </c>
      <c r="I189" s="158"/>
      <c r="J189" s="179">
        <f>H189/DAY(B2)</f>
        <v>134.71428571428572</v>
      </c>
    </row>
    <row r="190" spans="1:10" ht="27.75" customHeight="1">
      <c r="A190" s="939"/>
      <c r="B190" s="940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</mergeCells>
  <pageMargins left="0.23622047244094491" right="0.15748031496062992" top="0.15748031496062992" bottom="0.16" header="0.19685039370078741" footer="0.19685039370078741"/>
  <pageSetup paperSize="5" scale="2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topLeftCell="A130" zoomScale="55" zoomScaleSheetLayoutView="55" workbookViewId="0">
      <selection activeCell="H157" sqref="H157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6" t="s">
        <v>115</v>
      </c>
      <c r="B1" s="877"/>
      <c r="C1" s="877"/>
      <c r="D1" s="877"/>
      <c r="E1" s="877"/>
      <c r="F1" s="877"/>
      <c r="G1" s="877"/>
      <c r="H1" s="877"/>
      <c r="I1" s="877"/>
      <c r="J1" s="878"/>
    </row>
    <row r="2" spans="1:15" s="57" customFormat="1" ht="23.25">
      <c r="A2" s="191" t="s">
        <v>303</v>
      </c>
      <c r="B2" s="262">
        <v>44727</v>
      </c>
      <c r="C2" s="34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30</v>
      </c>
      <c r="E3" s="885" t="s">
        <v>119</v>
      </c>
      <c r="F3" s="886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9" t="s">
        <v>128</v>
      </c>
      <c r="B6" s="880"/>
      <c r="C6" s="88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'14'!F7</f>
        <v>82536</v>
      </c>
      <c r="F7" s="95">
        <v>110073</v>
      </c>
      <c r="G7" s="236">
        <f>F7-E7</f>
        <v>27537</v>
      </c>
      <c r="H7" s="99">
        <f>G7+'14'!H7</f>
        <v>417246</v>
      </c>
      <c r="I7" s="113">
        <f>'1'!I7</f>
        <v>12000</v>
      </c>
      <c r="J7" s="175">
        <f>H7/DAY(B2)</f>
        <v>27816.400000000001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'14'!F8</f>
        <v>213347</v>
      </c>
      <c r="F8" s="114">
        <v>242008</v>
      </c>
      <c r="G8" s="519">
        <f>F8-E8</f>
        <v>28661</v>
      </c>
      <c r="H8" s="99">
        <f>G8+'14'!H8</f>
        <v>433349.10000000003</v>
      </c>
      <c r="I8" s="116"/>
      <c r="J8" s="175">
        <f>H8/DAY(B2)</f>
        <v>28889.940000000002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'14'!F9</f>
        <v>2664079</v>
      </c>
      <c r="F9" s="469">
        <v>2681680</v>
      </c>
      <c r="G9" s="112">
        <f>F9-E9</f>
        <v>17601</v>
      </c>
      <c r="H9" s="99">
        <f>G9+'14'!H9</f>
        <v>231571.29999999981</v>
      </c>
      <c r="I9" s="124">
        <f>I7-J7</f>
        <v>-15816.400000000001</v>
      </c>
      <c r="J9" s="175">
        <f>H9/DAY(B2)</f>
        <v>15438.086666666653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'14'!F10</f>
        <v>1060344</v>
      </c>
      <c r="F10" s="353">
        <v>1069535</v>
      </c>
      <c r="G10" s="112">
        <f>F10-E10</f>
        <v>9191</v>
      </c>
      <c r="H10" s="99">
        <f>G10+'14'!H10</f>
        <v>159131.80000000005</v>
      </c>
      <c r="I10" s="282"/>
      <c r="J10" s="175">
        <f>H10/DAY(B2)</f>
        <v>10608.78666666667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'14'!F11</f>
        <v>37560</v>
      </c>
      <c r="F11" s="95">
        <v>37560</v>
      </c>
      <c r="G11" s="112">
        <f t="shared" ref="G11:G12" si="0">F11-E11</f>
        <v>0</v>
      </c>
      <c r="H11" s="99">
        <f>G11+'14'!H11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'14'!F12</f>
        <v>40380</v>
      </c>
      <c r="F12" s="117">
        <v>40380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26792</v>
      </c>
      <c r="H13" s="99">
        <f>G13+'14'!H13</f>
        <v>390564.09999999986</v>
      </c>
      <c r="I13" s="120">
        <f>G7-G13</f>
        <v>745</v>
      </c>
      <c r="J13" s="175">
        <f>H13/DAY(B2)</f>
        <v>26037.606666666656</v>
      </c>
      <c r="K13" s="79"/>
      <c r="L13" s="66"/>
      <c r="N13" s="87"/>
      <c r="O13" s="71"/>
    </row>
    <row r="14" spans="1:15" ht="26.25">
      <c r="A14" s="882" t="s">
        <v>137</v>
      </c>
      <c r="B14" s="883"/>
      <c r="C14" s="88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'14'!F15</f>
        <v>2051992</v>
      </c>
      <c r="F15" s="469">
        <v>2053063</v>
      </c>
      <c r="G15" s="112">
        <f>(F15-E15)</f>
        <v>1071</v>
      </c>
      <c r="H15" s="99">
        <f>G15+'14'!H15</f>
        <v>15946</v>
      </c>
      <c r="I15" s="113">
        <f>'1'!I15</f>
        <v>800</v>
      </c>
      <c r="J15" s="175">
        <f>H15/DAY(B2)</f>
        <v>1063.0666666666666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G16" s="112"/>
      <c r="H16" s="124"/>
      <c r="I16" s="120">
        <f>I15-J15</f>
        <v>-263.06666666666661</v>
      </c>
      <c r="J16" s="176"/>
      <c r="K16" s="79"/>
      <c r="L16" s="66"/>
      <c r="N16" s="87"/>
      <c r="O16" s="71"/>
    </row>
    <row r="17" spans="1:15" ht="26.25">
      <c r="A17" s="882" t="s">
        <v>140</v>
      </c>
      <c r="B17" s="883"/>
      <c r="C17" s="88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3" t="s">
        <v>141</v>
      </c>
      <c r="B18" s="874"/>
      <c r="C18" s="875"/>
      <c r="D18" s="151" t="s">
        <v>142</v>
      </c>
      <c r="E18" s="95">
        <f>'14'!F18</f>
        <v>24</v>
      </c>
      <c r="F18" s="122">
        <v>20</v>
      </c>
      <c r="G18" s="119">
        <f>F18*10</f>
        <v>200</v>
      </c>
      <c r="H18" s="99">
        <f>G18+'14'!H18</f>
        <v>3480</v>
      </c>
      <c r="I18" s="113">
        <f>'1'!I18</f>
        <v>65</v>
      </c>
      <c r="J18" s="175">
        <f>H18/DAY(B2)</f>
        <v>232</v>
      </c>
      <c r="K18" s="79"/>
      <c r="L18" s="66"/>
      <c r="N18" s="87"/>
      <c r="O18" s="71"/>
    </row>
    <row r="19" spans="1:15" ht="25.5">
      <c r="A19" s="873" t="s">
        <v>69</v>
      </c>
      <c r="B19" s="874"/>
      <c r="C19" s="875"/>
      <c r="D19" s="151" t="s">
        <v>142</v>
      </c>
      <c r="E19" s="95">
        <f>'14'!F19</f>
        <v>160835</v>
      </c>
      <c r="F19" s="122">
        <v>160885</v>
      </c>
      <c r="G19" s="112">
        <f t="shared" ref="G19" si="1">F19-E19</f>
        <v>50</v>
      </c>
      <c r="H19" s="99">
        <f>G19+'14'!H19</f>
        <v>775</v>
      </c>
      <c r="I19" s="335"/>
      <c r="J19" s="175">
        <f>H19/DAY(B2)</f>
        <v>51.666666666666664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250</v>
      </c>
      <c r="H20" s="99">
        <f>G20+'14'!H20</f>
        <v>4255</v>
      </c>
      <c r="I20" s="336">
        <f>I18-J20</f>
        <v>-218.66666666666669</v>
      </c>
      <c r="J20" s="175">
        <f>H20/DAY(B2)</f>
        <v>283.66666666666669</v>
      </c>
      <c r="K20" s="79"/>
      <c r="L20" s="66"/>
      <c r="N20" s="87"/>
      <c r="O20" s="71"/>
    </row>
    <row r="21" spans="1:15" ht="26.25">
      <c r="A21" s="882" t="s">
        <v>144</v>
      </c>
      <c r="B21" s="883"/>
      <c r="C21" s="88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7" t="s">
        <v>149</v>
      </c>
      <c r="B25" s="888"/>
      <c r="C25" s="88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28661</v>
      </c>
      <c r="F27" s="136">
        <v>9</v>
      </c>
      <c r="G27" s="137">
        <f>E27*F27</f>
        <v>257949</v>
      </c>
      <c r="H27" s="99">
        <f>G27+'14'!H27</f>
        <v>3900141.9000000004</v>
      </c>
      <c r="I27" s="138"/>
      <c r="J27" s="175">
        <f>H27/DAY(B2)</f>
        <v>260009.46000000002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1071</v>
      </c>
      <c r="F28" s="136">
        <v>70</v>
      </c>
      <c r="G28" s="137">
        <f>E28*F28</f>
        <v>74970</v>
      </c>
      <c r="H28" s="99">
        <f>G28+'14'!H28</f>
        <v>1061662</v>
      </c>
      <c r="I28" s="140"/>
      <c r="J28" s="175">
        <f>H28/DAY(B2)</f>
        <v>70777.46666666666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G30+'14'!H30</f>
        <v>116275</v>
      </c>
      <c r="I30" s="140"/>
      <c r="J30" s="175">
        <f>H30/DAY(B2)</f>
        <v>7751.666666666667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G31+'14'!H31</f>
        <v>278400</v>
      </c>
      <c r="I31" s="140"/>
      <c r="J31" s="175">
        <f>H31/DAY(B2)</f>
        <v>18560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356469</v>
      </c>
      <c r="H32" s="99">
        <f>G32+'14'!H32</f>
        <v>5356478.9000000004</v>
      </c>
      <c r="I32" s="144"/>
      <c r="J32" s="175">
        <f>H32/DAY(B2)</f>
        <v>357098.59333333338</v>
      </c>
      <c r="K32" s="63"/>
      <c r="L32" s="89"/>
      <c r="N32" s="87"/>
      <c r="O32" s="71"/>
    </row>
    <row r="33" spans="1:15" ht="25.5" customHeight="1">
      <c r="A33" s="890" t="s">
        <v>331</v>
      </c>
      <c r="B33" s="891"/>
      <c r="C33" s="89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'14'!F35</f>
        <v>238713</v>
      </c>
      <c r="F35" s="145">
        <v>238713</v>
      </c>
      <c r="G35" s="112">
        <f t="shared" ref="G35:G46" si="3">F35-E35</f>
        <v>0</v>
      </c>
      <c r="H35" s="99">
        <f>G35+'14'!H35</f>
        <v>-1</v>
      </c>
      <c r="I35" s="95"/>
      <c r="J35" s="175">
        <f>H35/DAY(B2)</f>
        <v>-6.6666666666666666E-2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'14'!F36</f>
        <v>172997</v>
      </c>
      <c r="F36" s="145">
        <v>173696</v>
      </c>
      <c r="G36" s="112">
        <f t="shared" si="3"/>
        <v>699</v>
      </c>
      <c r="H36" s="99">
        <f>G36+'14'!H36</f>
        <v>13248</v>
      </c>
      <c r="I36" s="95"/>
      <c r="J36" s="175">
        <f>H36/DAY(B2)</f>
        <v>883.2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'14'!F37</f>
        <v>260313</v>
      </c>
      <c r="F37" s="145">
        <v>261968</v>
      </c>
      <c r="G37" s="112">
        <f t="shared" si="3"/>
        <v>1655</v>
      </c>
      <c r="H37" s="99">
        <f>G37+'14'!H37</f>
        <v>26189</v>
      </c>
      <c r="I37" s="95"/>
      <c r="J37" s="175">
        <f>H37/DAY(B2)</f>
        <v>1745.9333333333334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'14'!F38</f>
        <v>350444</v>
      </c>
      <c r="F38" s="108">
        <v>352755</v>
      </c>
      <c r="G38" s="112">
        <f t="shared" si="3"/>
        <v>2311</v>
      </c>
      <c r="H38" s="99">
        <f>G38+'14'!H38</f>
        <v>34463</v>
      </c>
      <c r="I38" s="95"/>
      <c r="J38" s="175">
        <f>H38/DAY(B2)</f>
        <v>2297.5333333333333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'14'!F39</f>
        <v>474677</v>
      </c>
      <c r="F39" s="145">
        <v>477687</v>
      </c>
      <c r="G39" s="112">
        <f t="shared" si="3"/>
        <v>3010</v>
      </c>
      <c r="H39" s="99">
        <f>G39+'14'!H39</f>
        <v>42357.090000000026</v>
      </c>
      <c r="I39" s="95"/>
      <c r="J39" s="175">
        <f>H39/DAY(B2)</f>
        <v>2823.8060000000019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'14'!F40</f>
        <v>77090</v>
      </c>
      <c r="F40" s="145">
        <v>77478</v>
      </c>
      <c r="G40" s="112">
        <f t="shared" si="3"/>
        <v>388</v>
      </c>
      <c r="H40" s="99">
        <f>G40+'14'!H40</f>
        <v>3925</v>
      </c>
      <c r="I40" s="95"/>
      <c r="J40" s="175">
        <f>H40/DAY(B2)</f>
        <v>261.66666666666669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'14'!F41</f>
        <v>98068</v>
      </c>
      <c r="F41" s="145">
        <v>102530</v>
      </c>
      <c r="G41" s="112">
        <f t="shared" si="3"/>
        <v>4462</v>
      </c>
      <c r="H41" s="99">
        <f>G41+'14'!H41</f>
        <v>33695</v>
      </c>
      <c r="I41" s="95"/>
      <c r="J41" s="175">
        <f>H41/DAY(B2)</f>
        <v>2246.3333333333335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'14'!F42</f>
        <v>625476</v>
      </c>
      <c r="F42" s="145">
        <v>629764</v>
      </c>
      <c r="G42" s="112">
        <f t="shared" si="3"/>
        <v>4288</v>
      </c>
      <c r="H42" s="99">
        <f>G42+'14'!H42</f>
        <v>66892</v>
      </c>
      <c r="I42" s="95"/>
      <c r="J42" s="175">
        <f>H42/DAY(B2)</f>
        <v>4459.4666666666662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'14'!F43</f>
        <v>407028</v>
      </c>
      <c r="F43" s="145">
        <v>407028</v>
      </c>
      <c r="G43" s="112">
        <f t="shared" si="3"/>
        <v>0</v>
      </c>
      <c r="H43" s="99">
        <f>G43+'14'!H43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16813</v>
      </c>
      <c r="H47" s="99">
        <f>G47+'14'!H47</f>
        <v>220768.09000000003</v>
      </c>
      <c r="I47" s="95"/>
      <c r="J47" s="175">
        <f>H47/DAY(B2)</f>
        <v>14717.872666666668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'14'!F49</f>
        <v>310736</v>
      </c>
      <c r="F49" s="145">
        <v>314376</v>
      </c>
      <c r="G49" s="112">
        <f t="shared" ref="G49:G58" si="4">F49-E49</f>
        <v>3640</v>
      </c>
      <c r="H49" s="99">
        <f>G49+'14'!H49</f>
        <v>54229</v>
      </c>
      <c r="I49" s="95"/>
      <c r="J49" s="175">
        <f>H49/DAY(B2)</f>
        <v>3615.2666666666669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'14'!F50</f>
        <v>225197</v>
      </c>
      <c r="F50" s="145">
        <v>226174</v>
      </c>
      <c r="G50" s="112">
        <f t="shared" si="4"/>
        <v>977</v>
      </c>
      <c r="H50" s="99">
        <f>G50+'14'!H50</f>
        <v>16610</v>
      </c>
      <c r="I50" s="95"/>
      <c r="J50" s="175">
        <f>H50/DAY(B2)</f>
        <v>1107.3333333333333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'14'!F51</f>
        <v>76</v>
      </c>
      <c r="F51" s="145">
        <v>76</v>
      </c>
      <c r="G51" s="112">
        <f t="shared" si="4"/>
        <v>0</v>
      </c>
      <c r="H51" s="99">
        <f>G51+'14'!H51</f>
        <v>0.31999999999999318</v>
      </c>
      <c r="I51" s="95"/>
      <c r="J51" s="175">
        <f>H51/DAY(B2)</f>
        <v>2.1333333333332878E-2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'14'!F52</f>
        <v>10</v>
      </c>
      <c r="F52" s="145">
        <v>10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'14'!F54</f>
        <v>71023</v>
      </c>
      <c r="F54" s="145">
        <v>71489</v>
      </c>
      <c r="G54" s="112">
        <f t="shared" si="4"/>
        <v>466</v>
      </c>
      <c r="H54" s="99">
        <f>G54+'14'!H54</f>
        <v>6933</v>
      </c>
      <c r="I54" s="95"/>
      <c r="J54" s="175">
        <f>H54/DAY(B2)</f>
        <v>462.2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'14'!F55</f>
        <v>254288</v>
      </c>
      <c r="F55" s="145">
        <v>254288</v>
      </c>
      <c r="G55" s="112">
        <f t="shared" si="4"/>
        <v>0</v>
      </c>
      <c r="H55" s="99">
        <f>G55+'14'!H55</f>
        <v>28815</v>
      </c>
      <c r="I55" s="95"/>
      <c r="J55" s="175">
        <f>H55/DAY(B2)</f>
        <v>1921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'14'!F56</f>
        <v>108586</v>
      </c>
      <c r="F56" s="145">
        <v>109347</v>
      </c>
      <c r="G56" s="112">
        <f t="shared" si="4"/>
        <v>761</v>
      </c>
      <c r="H56" s="99">
        <f>G56+'14'!H56</f>
        <v>2101</v>
      </c>
      <c r="I56" s="95"/>
      <c r="J56" s="175">
        <f>H56/DAY(B2)</f>
        <v>140.06666666666666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'14'!F57</f>
        <v>81643</v>
      </c>
      <c r="F57" s="145">
        <v>84867</v>
      </c>
      <c r="G57" s="112">
        <f t="shared" si="4"/>
        <v>3224</v>
      </c>
      <c r="H57" s="99">
        <f>G57+'14'!H57</f>
        <v>47264</v>
      </c>
      <c r="I57" s="95"/>
      <c r="J57" s="175">
        <f>H57/DAY(B2)</f>
        <v>3150.9333333333334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'14'!F58</f>
        <v>36075</v>
      </c>
      <c r="F58" s="145">
        <v>36314</v>
      </c>
      <c r="G58" s="112">
        <f t="shared" si="4"/>
        <v>239</v>
      </c>
      <c r="H58" s="99">
        <f>G58+'14'!H58</f>
        <v>3425</v>
      </c>
      <c r="I58" s="95"/>
      <c r="J58" s="175">
        <f>H58/DAY(B2)</f>
        <v>228.33333333333334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9307</v>
      </c>
      <c r="H59" s="99">
        <f>G59+'14'!H59</f>
        <v>159377.32</v>
      </c>
      <c r="I59" s="95">
        <f>G7-G60</f>
        <v>1417</v>
      </c>
      <c r="J59" s="175">
        <f>H59/DAY(B2)</f>
        <v>10625.154666666667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26120</v>
      </c>
      <c r="H60" s="99">
        <f>G60+'14'!H60</f>
        <v>380145.41000000003</v>
      </c>
      <c r="I60" s="95">
        <f>G13-G60</f>
        <v>672</v>
      </c>
      <c r="J60" s="175">
        <f>H60/DAY(B2)</f>
        <v>25343.027333333335</v>
      </c>
      <c r="K60" s="79"/>
      <c r="L60" s="66"/>
      <c r="N60" s="87"/>
      <c r="O60" s="71"/>
    </row>
    <row r="61" spans="1:15" s="68" customFormat="1" ht="26.25">
      <c r="A61" s="892" t="s">
        <v>332</v>
      </c>
      <c r="B61" s="893"/>
      <c r="C61" s="89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3" t="s">
        <v>198</v>
      </c>
      <c r="B62" s="874"/>
      <c r="C62" s="875"/>
      <c r="D62" s="151" t="s">
        <v>142</v>
      </c>
      <c r="E62" s="95">
        <f>'14'!F62</f>
        <v>291000</v>
      </c>
      <c r="F62" s="122">
        <v>291132</v>
      </c>
      <c r="G62" s="112">
        <f t="shared" ref="G62:G63" si="5">F62-E62</f>
        <v>132</v>
      </c>
      <c r="H62" s="99">
        <f>G62+'14'!H62</f>
        <v>2232</v>
      </c>
      <c r="I62" s="118"/>
      <c r="J62" s="175">
        <f>H62/DAY(B2)</f>
        <v>148.80000000000001</v>
      </c>
      <c r="K62" s="80"/>
      <c r="L62" s="66"/>
      <c r="N62" s="87"/>
      <c r="O62" s="71"/>
    </row>
    <row r="63" spans="1:15" ht="25.5">
      <c r="A63" s="873" t="s">
        <v>199</v>
      </c>
      <c r="B63" s="874"/>
      <c r="C63" s="875"/>
      <c r="D63" s="151" t="s">
        <v>142</v>
      </c>
      <c r="E63" s="95">
        <f>'14'!F63</f>
        <v>232991</v>
      </c>
      <c r="F63" s="122">
        <v>233133</v>
      </c>
      <c r="G63" s="112">
        <f t="shared" si="5"/>
        <v>142</v>
      </c>
      <c r="H63" s="99">
        <f>G63+'14'!H63</f>
        <v>1971</v>
      </c>
      <c r="I63" s="118"/>
      <c r="J63" s="175">
        <f>H63/DAY(B2)</f>
        <v>131.4</v>
      </c>
      <c r="K63" s="69"/>
      <c r="L63" s="66"/>
      <c r="N63" s="87"/>
      <c r="O63" s="71"/>
    </row>
    <row r="64" spans="1:15" ht="26.25">
      <c r="A64" s="870" t="s">
        <v>200</v>
      </c>
      <c r="B64" s="871"/>
      <c r="C64" s="872"/>
      <c r="D64" s="151"/>
      <c r="E64" s="95"/>
      <c r="F64" s="122"/>
      <c r="G64" s="112">
        <f>G62+G63</f>
        <v>274</v>
      </c>
      <c r="H64" s="99">
        <f>G64+'14'!H64</f>
        <v>4203</v>
      </c>
      <c r="I64" s="118"/>
      <c r="J64" s="175">
        <f>H64/DAY(B2)</f>
        <v>280.2</v>
      </c>
      <c r="K64" s="69"/>
      <c r="L64" s="66"/>
      <c r="N64" s="87"/>
      <c r="O64" s="71"/>
    </row>
    <row r="65" spans="1:15" ht="25.5">
      <c r="A65" s="873" t="s">
        <v>201</v>
      </c>
      <c r="B65" s="874"/>
      <c r="C65" s="875"/>
      <c r="D65" s="151" t="s">
        <v>142</v>
      </c>
      <c r="E65" s="95">
        <f>'14'!F65</f>
        <v>449711</v>
      </c>
      <c r="F65" s="122">
        <v>449818</v>
      </c>
      <c r="G65" s="112">
        <f t="shared" ref="G65:G70" si="6">F65-E65</f>
        <v>107</v>
      </c>
      <c r="H65" s="99">
        <f>G65+'14'!H65</f>
        <v>1791</v>
      </c>
      <c r="I65" s="118"/>
      <c r="J65" s="175">
        <f>H65/DAY(B2)</f>
        <v>119.4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'14'!F66</f>
        <v>110714</v>
      </c>
      <c r="F66" s="122">
        <v>110733</v>
      </c>
      <c r="G66" s="112">
        <f t="shared" si="6"/>
        <v>19</v>
      </c>
      <c r="H66" s="99">
        <f>G66+'14'!H66</f>
        <v>402</v>
      </c>
      <c r="I66" s="118"/>
      <c r="J66" s="175">
        <f>H66/DAY(B2)</f>
        <v>26.8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'14'!F67</f>
        <v>113681</v>
      </c>
      <c r="F67" s="122">
        <v>113681</v>
      </c>
      <c r="G67" s="112">
        <f t="shared" si="6"/>
        <v>0</v>
      </c>
      <c r="H67" s="99">
        <f>G67+'14'!H67</f>
        <v>403</v>
      </c>
      <c r="I67" s="118"/>
      <c r="J67" s="175">
        <f>H67/DAY(B2)</f>
        <v>26.866666666666667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'14'!F68</f>
        <v>162900</v>
      </c>
      <c r="F68" s="122">
        <v>162933</v>
      </c>
      <c r="G68" s="112">
        <f t="shared" si="6"/>
        <v>33</v>
      </c>
      <c r="H68" s="99">
        <f>G68+'14'!H68</f>
        <v>439</v>
      </c>
      <c r="I68" s="118"/>
      <c r="J68" s="175">
        <f>H68/DAY(B2)</f>
        <v>29.266666666666666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'14'!F69</f>
        <v>12020</v>
      </c>
      <c r="F69" s="122">
        <v>12042</v>
      </c>
      <c r="G69" s="112">
        <f t="shared" si="6"/>
        <v>22</v>
      </c>
      <c r="H69" s="99">
        <f>G69+'14'!H69</f>
        <v>173</v>
      </c>
      <c r="I69" s="118"/>
      <c r="J69" s="175">
        <f>H69/DAY(B2)</f>
        <v>11.533333333333333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'14'!F70</f>
        <v>9391</v>
      </c>
      <c r="F70" s="122">
        <v>9396</v>
      </c>
      <c r="G70" s="112">
        <f t="shared" si="6"/>
        <v>5</v>
      </c>
      <c r="H70" s="99">
        <f>G70+'14'!H70</f>
        <v>129</v>
      </c>
      <c r="I70" s="118"/>
      <c r="J70" s="175">
        <f>H70/DAY(B2)</f>
        <v>8.6</v>
      </c>
      <c r="K70" s="69"/>
      <c r="L70" s="66"/>
      <c r="N70" s="87"/>
      <c r="O70" s="71"/>
    </row>
    <row r="71" spans="1:15" ht="26.25">
      <c r="A71" s="870" t="s">
        <v>208</v>
      </c>
      <c r="B71" s="871"/>
      <c r="C71" s="872"/>
      <c r="D71" s="152"/>
      <c r="E71" s="152"/>
      <c r="F71" s="152"/>
      <c r="G71" s="153">
        <f>SUM(G65:G70)</f>
        <v>186</v>
      </c>
      <c r="H71" s="99">
        <f>G71+'14'!H71</f>
        <v>3337</v>
      </c>
      <c r="I71" s="154"/>
      <c r="J71" s="175">
        <f>H71/DAY(B2)</f>
        <v>222.46666666666667</v>
      </c>
      <c r="K71" s="69"/>
      <c r="L71" s="66"/>
      <c r="N71" s="87"/>
      <c r="O71" s="71"/>
    </row>
    <row r="72" spans="1:15" s="88" customFormat="1" ht="25.5">
      <c r="A72" s="916"/>
      <c r="B72" s="90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3" t="s">
        <v>220</v>
      </c>
      <c r="B74" s="874"/>
      <c r="C74" s="875"/>
      <c r="D74" s="151" t="s">
        <v>139</v>
      </c>
      <c r="E74" s="95">
        <f>'14'!F74</f>
        <v>943020</v>
      </c>
      <c r="F74" s="123">
        <v>943332</v>
      </c>
      <c r="G74" s="112">
        <f t="shared" ref="G74:G78" si="7">F74-E74</f>
        <v>312</v>
      </c>
      <c r="H74" s="99">
        <f>G74+'14'!H74</f>
        <v>4662</v>
      </c>
      <c r="I74" s="154"/>
      <c r="J74" s="175">
        <f>H74/DAY(B2)</f>
        <v>310.8</v>
      </c>
      <c r="K74" s="69"/>
      <c r="L74" s="66"/>
      <c r="N74" s="87"/>
      <c r="O74" s="71"/>
    </row>
    <row r="75" spans="1:15" ht="25.5">
      <c r="A75" s="873" t="s">
        <v>221</v>
      </c>
      <c r="B75" s="874"/>
      <c r="C75" s="875"/>
      <c r="D75" s="151" t="s">
        <v>139</v>
      </c>
      <c r="E75" s="95">
        <f>'14'!F75</f>
        <v>73586.8</v>
      </c>
      <c r="F75" s="123">
        <v>73586.8</v>
      </c>
      <c r="G75" s="112">
        <f t="shared" si="7"/>
        <v>0</v>
      </c>
      <c r="H75" s="99">
        <f>G75+'14'!H75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7" t="s">
        <v>222</v>
      </c>
      <c r="B76" s="903"/>
      <c r="C76" s="904"/>
      <c r="D76" s="151" t="s">
        <v>139</v>
      </c>
      <c r="E76" s="95">
        <f>'14'!F76</f>
        <v>185287</v>
      </c>
      <c r="F76" s="123">
        <v>185401</v>
      </c>
      <c r="G76" s="112">
        <f t="shared" si="7"/>
        <v>114</v>
      </c>
      <c r="H76" s="99">
        <f>G76+'14'!H76</f>
        <v>1695</v>
      </c>
      <c r="I76" s="154"/>
      <c r="J76" s="175">
        <f>H76/DAY(B2)</f>
        <v>113</v>
      </c>
      <c r="K76" s="69"/>
      <c r="L76" s="66"/>
      <c r="N76" s="87"/>
      <c r="O76" s="71"/>
    </row>
    <row r="77" spans="1:15" ht="25.5">
      <c r="A77" s="917" t="s">
        <v>223</v>
      </c>
      <c r="B77" s="903"/>
      <c r="C77" s="904"/>
      <c r="D77" s="151" t="s">
        <v>139</v>
      </c>
      <c r="E77" s="95">
        <f>'14'!F77</f>
        <v>48018</v>
      </c>
      <c r="F77" s="123">
        <v>48070</v>
      </c>
      <c r="G77" s="112">
        <f t="shared" si="7"/>
        <v>52</v>
      </c>
      <c r="H77" s="99">
        <f>G77+'14'!H77</f>
        <v>725</v>
      </c>
      <c r="I77" s="154"/>
      <c r="J77" s="175">
        <f>H77/DAY(B2)</f>
        <v>48.333333333333336</v>
      </c>
      <c r="K77" s="69"/>
      <c r="L77" s="66"/>
      <c r="N77" s="87"/>
      <c r="O77" s="71"/>
    </row>
    <row r="78" spans="1:15" ht="25.5">
      <c r="A78" s="917" t="s">
        <v>224</v>
      </c>
      <c r="B78" s="903"/>
      <c r="C78" s="904"/>
      <c r="D78" s="151" t="s">
        <v>139</v>
      </c>
      <c r="E78" s="95">
        <f>'14'!F78</f>
        <v>9564</v>
      </c>
      <c r="F78" s="410">
        <v>9564</v>
      </c>
      <c r="G78" s="112">
        <f t="shared" si="7"/>
        <v>0</v>
      </c>
      <c r="H78" s="99">
        <f>G78+'14'!H78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7" t="s">
        <v>225</v>
      </c>
      <c r="B79" s="903"/>
      <c r="C79" s="904"/>
      <c r="D79" s="151"/>
      <c r="E79" s="95">
        <f>'14'!F79</f>
        <v>0</v>
      </c>
      <c r="F79" s="123"/>
      <c r="G79" s="112">
        <f>G15-SUM(G74:G78)</f>
        <v>593</v>
      </c>
      <c r="H79" s="99">
        <f>G79+'14'!H79</f>
        <v>8864</v>
      </c>
      <c r="I79" s="118"/>
      <c r="J79" s="175"/>
      <c r="K79" s="59"/>
      <c r="L79" s="58"/>
      <c r="N79" s="87"/>
      <c r="O79" s="71"/>
    </row>
    <row r="80" spans="1:15" s="57" customFormat="1" ht="26.25">
      <c r="A80" s="870" t="s">
        <v>329</v>
      </c>
      <c r="B80" s="871"/>
      <c r="C80" s="872"/>
      <c r="D80" s="151"/>
      <c r="E80" s="117"/>
      <c r="F80" s="117"/>
      <c r="G80" s="112">
        <f>SUM(G74:G79)</f>
        <v>1071</v>
      </c>
      <c r="H80" s="99"/>
      <c r="I80" s="118"/>
      <c r="J80" s="175"/>
      <c r="K80" s="59"/>
      <c r="L80" s="58"/>
      <c r="N80" s="87"/>
      <c r="O80" s="71"/>
    </row>
    <row r="81" spans="1:15" ht="25.5">
      <c r="A81" s="909" t="s">
        <v>226</v>
      </c>
      <c r="B81" s="910"/>
      <c r="C81" s="91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'14'!F84</f>
        <v>42094</v>
      </c>
      <c r="F84" s="164">
        <v>42113</v>
      </c>
      <c r="G84" s="112">
        <f t="shared" si="8"/>
        <v>19</v>
      </c>
      <c r="H84" s="99">
        <f>G84+'14'!H84</f>
        <v>144</v>
      </c>
      <c r="I84" s="573"/>
      <c r="J84" s="175">
        <f>H84/DAY(B2)</f>
        <v>9.6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'14'!F85</f>
        <v>4617</v>
      </c>
      <c r="F85" s="164">
        <v>4635</v>
      </c>
      <c r="G85" s="112">
        <f t="shared" si="8"/>
        <v>18</v>
      </c>
      <c r="H85" s="99">
        <f>G85+'14'!H85</f>
        <v>292</v>
      </c>
      <c r="I85" s="573"/>
      <c r="J85" s="175">
        <f>H85/DAY(B2)</f>
        <v>19.466666666666665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'14'!F86</f>
        <v>44658</v>
      </c>
      <c r="F86" s="164">
        <v>44658</v>
      </c>
      <c r="G86" s="112">
        <f t="shared" si="8"/>
        <v>0</v>
      </c>
      <c r="H86" s="99">
        <f>G86+'14'!H86</f>
        <v>188</v>
      </c>
      <c r="I86" s="573"/>
      <c r="J86" s="175">
        <f>H86/DAY(B2)</f>
        <v>12.533333333333333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'14'!F87</f>
        <v>35339</v>
      </c>
      <c r="F87" s="164">
        <v>35345</v>
      </c>
      <c r="G87" s="112">
        <f t="shared" si="8"/>
        <v>6</v>
      </c>
      <c r="H87" s="99">
        <f>G87+'14'!H87</f>
        <v>16</v>
      </c>
      <c r="I87" s="555">
        <f>G84+G85+G86+G87</f>
        <v>43</v>
      </c>
      <c r="J87" s="175">
        <f>H87/DAY(B2)</f>
        <v>1.0666666666666667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'14'!F88</f>
        <v>24276.95</v>
      </c>
      <c r="F88" s="164">
        <v>24276.95</v>
      </c>
      <c r="G88" s="112">
        <f t="shared" si="8"/>
        <v>0</v>
      </c>
      <c r="H88" s="99">
        <f>G88+'14'!H88</f>
        <v>49.069999999999709</v>
      </c>
      <c r="I88" s="555"/>
      <c r="J88" s="175">
        <f>H88/DAY(B2)</f>
        <v>3.2713333333333141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'14'!F89</f>
        <v>27136.799999999999</v>
      </c>
      <c r="F89" s="164">
        <v>27146</v>
      </c>
      <c r="G89" s="112">
        <f t="shared" si="8"/>
        <v>9.2000000000007276</v>
      </c>
      <c r="H89" s="99">
        <f>G89+'14'!H89</f>
        <v>152.59000000000015</v>
      </c>
      <c r="I89" s="555">
        <f>G88+G89</f>
        <v>9.2000000000007276</v>
      </c>
      <c r="J89" s="175">
        <f>H89/DAY(B2)</f>
        <v>10.172666666666677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'14'!F90</f>
        <v>72165.97</v>
      </c>
      <c r="F90" s="164">
        <v>72178</v>
      </c>
      <c r="G90" s="112">
        <f t="shared" si="8"/>
        <v>12.029999999998836</v>
      </c>
      <c r="H90" s="99">
        <f>G90+'14'!H90</f>
        <v>50.880000000004657</v>
      </c>
      <c r="I90" s="555">
        <f>G90</f>
        <v>12.029999999998836</v>
      </c>
      <c r="J90" s="175">
        <f>H90/DAY(B2)</f>
        <v>3.3920000000003103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'14'!F91</f>
        <v>4122</v>
      </c>
      <c r="F91" s="122">
        <v>4122</v>
      </c>
      <c r="G91" s="112">
        <f t="shared" si="8"/>
        <v>0</v>
      </c>
      <c r="H91" s="99">
        <f>G91+'14'!H91</f>
        <v>0.3500000000003638</v>
      </c>
      <c r="I91" s="616"/>
      <c r="J91" s="175">
        <f>H91/DAY(B2)</f>
        <v>2.3333333333357586E-2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'14'!F92</f>
        <v>6369.12</v>
      </c>
      <c r="F92" s="122">
        <v>6380</v>
      </c>
      <c r="G92" s="112">
        <f t="shared" si="8"/>
        <v>10.880000000000109</v>
      </c>
      <c r="H92" s="99">
        <f>G92+'14'!H92</f>
        <v>162.75</v>
      </c>
      <c r="I92" s="617">
        <f>G91+G92</f>
        <v>10.880000000000109</v>
      </c>
      <c r="J92" s="175">
        <f>H92/DAY(B2)</f>
        <v>10.85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3" t="s">
        <v>240</v>
      </c>
      <c r="B94" s="874"/>
      <c r="C94" s="875"/>
      <c r="D94" s="151" t="s">
        <v>130</v>
      </c>
      <c r="E94" s="151"/>
      <c r="F94" s="151"/>
      <c r="G94" s="99">
        <f>G35+G43+G49+G57</f>
        <v>6864</v>
      </c>
      <c r="H94" s="99">
        <f>G94+'14'!H94</f>
        <v>101492</v>
      </c>
      <c r="I94" s="118"/>
      <c r="J94" s="175">
        <f>H94/DAY(B2)</f>
        <v>6766.1333333333332</v>
      </c>
      <c r="K94" s="69"/>
      <c r="L94" s="66"/>
      <c r="O94" s="71"/>
    </row>
    <row r="95" spans="1:15" ht="25.5">
      <c r="A95" s="873" t="s">
        <v>241</v>
      </c>
      <c r="B95" s="874"/>
      <c r="C95" s="875"/>
      <c r="D95" s="151" t="s">
        <v>23</v>
      </c>
      <c r="E95" s="146"/>
      <c r="F95" s="146"/>
      <c r="G95" s="166">
        <f>G94/G7</f>
        <v>0.24926462577622835</v>
      </c>
      <c r="H95" s="99">
        <f>G95+'14'!H95</f>
        <v>3.6439539082111869</v>
      </c>
      <c r="I95" s="167"/>
      <c r="J95" s="175">
        <f>H95/DAY(B2)</f>
        <v>0.24293026054741246</v>
      </c>
      <c r="K95" s="69"/>
      <c r="L95" s="66"/>
      <c r="O95" s="71"/>
    </row>
    <row r="96" spans="1:15" ht="25.5">
      <c r="A96" s="873" t="s">
        <v>242</v>
      </c>
      <c r="B96" s="874"/>
      <c r="C96" s="875"/>
      <c r="D96" s="151" t="s">
        <v>130</v>
      </c>
      <c r="E96" s="95"/>
      <c r="F96" s="95"/>
      <c r="G96" s="99">
        <f>G41+G42+G55+G56</f>
        <v>9511</v>
      </c>
      <c r="H96" s="99">
        <f>G96+'14'!H96</f>
        <v>131503</v>
      </c>
      <c r="I96" s="118"/>
      <c r="J96" s="175">
        <f>H96/DAY(B2)</f>
        <v>8766.8666666666668</v>
      </c>
      <c r="K96" s="69"/>
      <c r="L96" s="66"/>
      <c r="O96" s="71"/>
    </row>
    <row r="97" spans="1:15" ht="25.5">
      <c r="A97" s="873" t="s">
        <v>243</v>
      </c>
      <c r="B97" s="874"/>
      <c r="C97" s="875"/>
      <c r="D97" s="151" t="s">
        <v>23</v>
      </c>
      <c r="E97" s="95"/>
      <c r="F97" s="95"/>
      <c r="G97" s="166">
        <f>G96/G7</f>
        <v>0.34538983912554017</v>
      </c>
      <c r="H97" s="99">
        <f>G97+'14'!H97</f>
        <v>4.6793034712839399</v>
      </c>
      <c r="I97" s="167"/>
      <c r="J97" s="175">
        <f>H97/DAY(B2)</f>
        <v>0.31195356475226266</v>
      </c>
      <c r="K97" s="69"/>
      <c r="L97" s="66"/>
      <c r="O97" s="71"/>
    </row>
    <row r="98" spans="1:15" ht="25.5">
      <c r="A98" s="873" t="s">
        <v>244</v>
      </c>
      <c r="B98" s="874"/>
      <c r="C98" s="875"/>
      <c r="D98" s="151" t="s">
        <v>130</v>
      </c>
      <c r="E98" s="95"/>
      <c r="F98" s="95"/>
      <c r="G98" s="99">
        <f>G39+G53</f>
        <v>3010</v>
      </c>
      <c r="H98" s="99">
        <f>G98+'14'!H98</f>
        <v>42357.090000000026</v>
      </c>
      <c r="I98" s="168"/>
      <c r="J98" s="175">
        <f>H98/DAY(B2)</f>
        <v>2823.8060000000019</v>
      </c>
      <c r="K98" s="69"/>
      <c r="L98" s="66"/>
      <c r="O98" s="71"/>
    </row>
    <row r="99" spans="1:15" ht="25.5">
      <c r="A99" s="873" t="s">
        <v>245</v>
      </c>
      <c r="B99" s="874"/>
      <c r="C99" s="875"/>
      <c r="D99" s="151" t="s">
        <v>23</v>
      </c>
      <c r="E99" s="95"/>
      <c r="F99" s="95"/>
      <c r="G99" s="166">
        <f>G98/G7</f>
        <v>0.10930747721247776</v>
      </c>
      <c r="H99" s="99">
        <f>G99+'14'!H99</f>
        <v>1.5171833278988949</v>
      </c>
      <c r="I99" s="168"/>
      <c r="J99" s="175">
        <f>H99/DAY(B2)</f>
        <v>0.10114555519325966</v>
      </c>
      <c r="O99" s="71"/>
    </row>
    <row r="100" spans="1:15" ht="26.25">
      <c r="A100" s="873" t="s">
        <v>246</v>
      </c>
      <c r="B100" s="874"/>
      <c r="C100" s="875"/>
      <c r="D100" s="151" t="s">
        <v>180</v>
      </c>
      <c r="E100" s="95"/>
      <c r="F100" s="95"/>
      <c r="G100" s="99">
        <f>G38+G52</f>
        <v>2311</v>
      </c>
      <c r="H100" s="99">
        <f>G100+'14'!H100</f>
        <v>34463</v>
      </c>
      <c r="I100" s="118"/>
      <c r="J100" s="175">
        <f>H100/DAY(B2)</f>
        <v>2297.5333333333333</v>
      </c>
      <c r="K100" s="70"/>
      <c r="O100" s="71"/>
    </row>
    <row r="101" spans="1:15" ht="25.5">
      <c r="A101" s="873" t="s">
        <v>247</v>
      </c>
      <c r="B101" s="874"/>
      <c r="C101" s="875"/>
      <c r="D101" s="151" t="s">
        <v>23</v>
      </c>
      <c r="E101" s="95"/>
      <c r="F101" s="95"/>
      <c r="G101" s="166">
        <f>G100/G7</f>
        <v>8.392344845117479E-2</v>
      </c>
      <c r="H101" s="99">
        <f>G101+'14'!H101</f>
        <v>1.2336242283817893</v>
      </c>
      <c r="I101" s="168"/>
      <c r="J101" s="175">
        <f>H101/DAY(B2)</f>
        <v>8.2241615225452619E-2</v>
      </c>
      <c r="O101" s="71"/>
    </row>
    <row r="102" spans="1:15" ht="25.5">
      <c r="A102" s="873" t="s">
        <v>248</v>
      </c>
      <c r="B102" s="874"/>
      <c r="C102" s="875"/>
      <c r="D102" s="151" t="s">
        <v>180</v>
      </c>
      <c r="E102" s="95"/>
      <c r="F102" s="95"/>
      <c r="G102" s="99">
        <f>G36+G50</f>
        <v>1676</v>
      </c>
      <c r="H102" s="99">
        <f>G102+'14'!H102</f>
        <v>29858</v>
      </c>
      <c r="I102" s="168"/>
      <c r="J102" s="175">
        <f>H102/DAY(B2)</f>
        <v>1990.5333333333333</v>
      </c>
      <c r="O102" s="71"/>
    </row>
    <row r="103" spans="1:15" ht="25.5">
      <c r="A103" s="873" t="s">
        <v>249</v>
      </c>
      <c r="B103" s="874"/>
      <c r="C103" s="875"/>
      <c r="D103" s="151" t="s">
        <v>23</v>
      </c>
      <c r="E103" s="95"/>
      <c r="F103" s="95"/>
      <c r="G103" s="166">
        <f>G102/G7</f>
        <v>6.0863565384755056E-2</v>
      </c>
      <c r="H103" s="99">
        <f>G103+'14'!H103</f>
        <v>1.063389272558432</v>
      </c>
      <c r="I103" s="118"/>
      <c r="J103" s="175">
        <f>H103/DAY(B2)</f>
        <v>7.0892618170562124E-2</v>
      </c>
      <c r="O103" s="71"/>
    </row>
    <row r="104" spans="1:15" ht="25.5">
      <c r="A104" s="873" t="s">
        <v>250</v>
      </c>
      <c r="B104" s="874"/>
      <c r="C104" s="875"/>
      <c r="D104" s="151" t="s">
        <v>180</v>
      </c>
      <c r="E104" s="95"/>
      <c r="F104" s="95"/>
      <c r="G104" s="99">
        <f>G37+G51</f>
        <v>1655</v>
      </c>
      <c r="H104" s="99">
        <f>G104+'14'!H104</f>
        <v>26189.32</v>
      </c>
      <c r="I104" s="118"/>
      <c r="J104" s="175">
        <f>H104/DAY(B2)</f>
        <v>1745.9546666666668</v>
      </c>
      <c r="O104" s="71"/>
    </row>
    <row r="105" spans="1:15" ht="26.25" thickBot="1">
      <c r="A105" s="913" t="s">
        <v>251</v>
      </c>
      <c r="B105" s="914"/>
      <c r="C105" s="915"/>
      <c r="D105" s="231" t="s">
        <v>23</v>
      </c>
      <c r="E105" s="185"/>
      <c r="F105" s="185"/>
      <c r="G105" s="186">
        <f>G104/G7</f>
        <v>6.0100955078621489E-2</v>
      </c>
      <c r="H105" s="99">
        <f>G105+'14'!H105</f>
        <v>0.93445263042717863</v>
      </c>
      <c r="I105" s="187"/>
      <c r="J105" s="188">
        <f>H105/DAY(B2)</f>
        <v>6.2296842028478579E-2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7" t="s">
        <v>324</v>
      </c>
      <c r="B108" s="927"/>
      <c r="C108" s="927"/>
      <c r="D108" s="927"/>
      <c r="E108" s="927"/>
      <c r="F108" s="927"/>
      <c r="G108" s="927"/>
      <c r="H108" s="927"/>
      <c r="I108" s="927"/>
      <c r="J108" s="927"/>
    </row>
    <row r="109" spans="1:15" ht="26.25">
      <c r="A109" s="912"/>
      <c r="B109" s="912"/>
    </row>
    <row r="110" spans="1:15" ht="26.25">
      <c r="A110" s="928" t="s">
        <v>165</v>
      </c>
      <c r="B110" s="929"/>
      <c r="C110" s="929"/>
      <c r="D110" s="929"/>
      <c r="E110" s="929"/>
      <c r="F110" s="929"/>
      <c r="G110" s="929"/>
      <c r="H110" s="929"/>
      <c r="I110" s="929"/>
      <c r="J110" s="930"/>
    </row>
    <row r="111" spans="1:15" ht="25.5">
      <c r="A111" s="931"/>
      <c r="B111" s="932"/>
      <c r="C111" s="933"/>
      <c r="D111" s="165"/>
      <c r="E111" s="165"/>
      <c r="F111" s="165"/>
      <c r="G111" s="165"/>
      <c r="H111" s="156"/>
      <c r="I111" s="165"/>
      <c r="J111" s="327"/>
    </row>
    <row r="112" spans="1:15" ht="25.5">
      <c r="A112" s="906" t="s">
        <v>252</v>
      </c>
      <c r="B112" s="907"/>
      <c r="C112" s="908"/>
      <c r="D112" s="146" t="s">
        <v>183</v>
      </c>
      <c r="E112" s="95">
        <f>'14'!F112</f>
        <v>3740</v>
      </c>
      <c r="F112" s="237">
        <v>3814</v>
      </c>
      <c r="G112" s="112">
        <f t="shared" ref="G112:G123" si="9">F112-E112</f>
        <v>74</v>
      </c>
      <c r="H112" s="99">
        <f>G112+'14'!H112</f>
        <v>1137</v>
      </c>
      <c r="I112" s="165"/>
      <c r="J112" s="328">
        <f>H112/DAY(B2)</f>
        <v>75.8</v>
      </c>
    </row>
    <row r="113" spans="1:18" ht="29.25" customHeight="1">
      <c r="A113" s="906" t="s">
        <v>253</v>
      </c>
      <c r="B113" s="907"/>
      <c r="C113" s="908"/>
      <c r="D113" s="146" t="s">
        <v>183</v>
      </c>
      <c r="E113" s="95">
        <f>'14'!F113</f>
        <v>8371</v>
      </c>
      <c r="F113" s="237">
        <v>8513</v>
      </c>
      <c r="G113" s="112">
        <f t="shared" si="9"/>
        <v>142</v>
      </c>
      <c r="H113" s="99">
        <f>G113+'14'!H113</f>
        <v>2122</v>
      </c>
      <c r="I113" s="165"/>
      <c r="J113" s="328">
        <f>H113/DAY(B2)</f>
        <v>141.46666666666667</v>
      </c>
    </row>
    <row r="114" spans="1:18" ht="29.25" customHeight="1">
      <c r="A114" s="906" t="s">
        <v>254</v>
      </c>
      <c r="B114" s="907"/>
      <c r="C114" s="908"/>
      <c r="D114" s="146" t="s">
        <v>183</v>
      </c>
      <c r="E114" s="95">
        <f>'14'!F114</f>
        <v>10634</v>
      </c>
      <c r="F114" s="237">
        <v>10855</v>
      </c>
      <c r="G114" s="112">
        <f t="shared" si="9"/>
        <v>221</v>
      </c>
      <c r="H114" s="99">
        <f>G114+'14'!H114</f>
        <v>3285</v>
      </c>
      <c r="I114" s="165"/>
      <c r="J114" s="328">
        <f>H114/DAY(B2)</f>
        <v>219</v>
      </c>
    </row>
    <row r="115" spans="1:18" ht="29.25" customHeight="1">
      <c r="A115" s="906" t="s">
        <v>255</v>
      </c>
      <c r="B115" s="907"/>
      <c r="C115" s="908"/>
      <c r="D115" s="146" t="s">
        <v>183</v>
      </c>
      <c r="E115" s="95">
        <f>'14'!F115</f>
        <v>6800</v>
      </c>
      <c r="F115" s="237">
        <v>6931</v>
      </c>
      <c r="G115" s="112">
        <f t="shared" si="9"/>
        <v>131</v>
      </c>
      <c r="H115" s="99">
        <f>G115+'14'!H115</f>
        <v>800.52000000000021</v>
      </c>
      <c r="I115" s="165"/>
      <c r="J115" s="328">
        <f>H115/DAY(B2)</f>
        <v>53.368000000000016</v>
      </c>
    </row>
    <row r="116" spans="1:18" ht="29.25" customHeight="1">
      <c r="A116" s="924" t="s">
        <v>96</v>
      </c>
      <c r="B116" s="925"/>
      <c r="C116" s="926"/>
      <c r="D116" s="146" t="s">
        <v>183</v>
      </c>
      <c r="E116" s="95">
        <f>'14'!F116</f>
        <v>52367</v>
      </c>
      <c r="F116" s="417">
        <v>52763</v>
      </c>
      <c r="G116" s="112">
        <f t="shared" si="9"/>
        <v>396</v>
      </c>
      <c r="H116" s="99">
        <f>G116+'14'!H116</f>
        <v>6008</v>
      </c>
      <c r="I116" s="165"/>
      <c r="J116" s="328">
        <f>H116/DAY(B2)</f>
        <v>400.53333333333336</v>
      </c>
      <c r="Q116" s="906"/>
      <c r="R116" s="908"/>
    </row>
    <row r="117" spans="1:18" ht="29.25" customHeight="1">
      <c r="A117" s="924" t="s">
        <v>184</v>
      </c>
      <c r="B117" s="925"/>
      <c r="C117" s="926"/>
      <c r="D117" s="146" t="s">
        <v>183</v>
      </c>
      <c r="E117" s="95">
        <f>'14'!F117</f>
        <v>28446</v>
      </c>
      <c r="F117" s="237">
        <v>28622</v>
      </c>
      <c r="G117" s="112">
        <f t="shared" si="9"/>
        <v>176</v>
      </c>
      <c r="H117" s="99">
        <f>G117+'14'!H117</f>
        <v>3354</v>
      </c>
      <c r="I117" s="165"/>
      <c r="J117" s="328">
        <f>H117/DAY(B2)</f>
        <v>223.6</v>
      </c>
      <c r="Q117" s="906"/>
      <c r="R117" s="908"/>
    </row>
    <row r="118" spans="1:18" ht="25.5">
      <c r="A118" s="901" t="s">
        <v>97</v>
      </c>
      <c r="B118" s="901"/>
      <c r="C118" s="901"/>
      <c r="D118" s="151" t="s">
        <v>183</v>
      </c>
      <c r="E118" s="95">
        <f>'14'!F118</f>
        <v>34475</v>
      </c>
      <c r="F118" s="237">
        <v>35120</v>
      </c>
      <c r="G118" s="112">
        <f t="shared" si="9"/>
        <v>645</v>
      </c>
      <c r="H118" s="99">
        <f>G118+'14'!H118</f>
        <v>8895</v>
      </c>
      <c r="I118" s="165"/>
      <c r="J118" s="328">
        <f>H118/DAY(B2)</f>
        <v>593</v>
      </c>
      <c r="Q118" s="906"/>
      <c r="R118" s="908"/>
    </row>
    <row r="119" spans="1:18" ht="25.5">
      <c r="A119" s="901" t="s">
        <v>98</v>
      </c>
      <c r="B119" s="901"/>
      <c r="C119" s="901"/>
      <c r="D119" s="151" t="s">
        <v>183</v>
      </c>
      <c r="E119" s="95">
        <f>'14'!F119</f>
        <v>24978</v>
      </c>
      <c r="F119" s="237">
        <v>25404</v>
      </c>
      <c r="G119" s="112">
        <f t="shared" si="9"/>
        <v>426</v>
      </c>
      <c r="H119" s="99">
        <f>G119+'14'!H119</f>
        <v>6457</v>
      </c>
      <c r="I119" s="165"/>
      <c r="J119" s="328">
        <f>H119/DAY(B2)</f>
        <v>430.46666666666664</v>
      </c>
    </row>
    <row r="120" spans="1:18" ht="25.5">
      <c r="A120" s="901" t="s">
        <v>99</v>
      </c>
      <c r="B120" s="901"/>
      <c r="C120" s="901"/>
      <c r="D120" s="151" t="s">
        <v>183</v>
      </c>
      <c r="E120" s="95">
        <f>'14'!F120</f>
        <v>26198</v>
      </c>
      <c r="F120" s="237">
        <v>26619</v>
      </c>
      <c r="G120" s="112">
        <f t="shared" si="9"/>
        <v>421</v>
      </c>
      <c r="H120" s="99">
        <f>G120+'14'!H120</f>
        <v>6569</v>
      </c>
      <c r="I120" s="165"/>
      <c r="J120" s="328">
        <f>H120/DAY(B2)</f>
        <v>437.93333333333334</v>
      </c>
    </row>
    <row r="121" spans="1:18" ht="25.5">
      <c r="A121" s="901" t="s">
        <v>100</v>
      </c>
      <c r="B121" s="901"/>
      <c r="C121" s="901"/>
      <c r="D121" s="151" t="s">
        <v>183</v>
      </c>
      <c r="E121" s="95">
        <f>'14'!F121</f>
        <v>32368</v>
      </c>
      <c r="F121" s="237">
        <v>32825</v>
      </c>
      <c r="G121" s="112">
        <f t="shared" si="9"/>
        <v>457</v>
      </c>
      <c r="H121" s="99">
        <f>G121+'14'!H121</f>
        <v>6981</v>
      </c>
      <c r="I121" s="165"/>
      <c r="J121" s="328">
        <f>H121/DAY(B2)</f>
        <v>465.4</v>
      </c>
    </row>
    <row r="122" spans="1:18" ht="25.5">
      <c r="A122" s="901" t="s">
        <v>101</v>
      </c>
      <c r="B122" s="901"/>
      <c r="C122" s="901"/>
      <c r="D122" s="151" t="s">
        <v>183</v>
      </c>
      <c r="E122" s="95">
        <f>'14'!F122</f>
        <v>15438</v>
      </c>
      <c r="F122" s="237">
        <v>15747</v>
      </c>
      <c r="G122" s="112">
        <f t="shared" si="9"/>
        <v>309</v>
      </c>
      <c r="H122" s="99">
        <f>G122+'14'!H122</f>
        <v>4587</v>
      </c>
      <c r="I122" s="165"/>
      <c r="J122" s="328">
        <f>H122/DAY(B2)</f>
        <v>305.8</v>
      </c>
    </row>
    <row r="123" spans="1:18" ht="25.5">
      <c r="A123" s="901" t="s">
        <v>102</v>
      </c>
      <c r="B123" s="901"/>
      <c r="C123" s="901"/>
      <c r="D123" s="151" t="s">
        <v>183</v>
      </c>
      <c r="E123" s="95">
        <f>'14'!F123</f>
        <v>15312</v>
      </c>
      <c r="F123" s="237">
        <v>15635</v>
      </c>
      <c r="G123" s="112">
        <f t="shared" si="9"/>
        <v>323</v>
      </c>
      <c r="H123" s="99">
        <f>G123+'14'!H123</f>
        <v>5126</v>
      </c>
      <c r="I123" s="165"/>
      <c r="J123" s="328">
        <f>H123/DAY(B2)</f>
        <v>341.73333333333335</v>
      </c>
    </row>
    <row r="124" spans="1:18" ht="29.25" customHeight="1">
      <c r="A124" s="931"/>
      <c r="B124" s="932"/>
      <c r="C124" s="933"/>
      <c r="D124" s="165"/>
      <c r="E124" s="165"/>
      <c r="F124" s="165"/>
      <c r="G124" s="327"/>
      <c r="H124" s="156"/>
      <c r="I124" s="165"/>
      <c r="J124" s="327"/>
    </row>
    <row r="125" spans="1:18" ht="25.5">
      <c r="A125" s="934" t="s">
        <v>196</v>
      </c>
      <c r="B125" s="935"/>
      <c r="C125" s="245"/>
      <c r="D125" s="307"/>
      <c r="E125" s="308"/>
      <c r="F125" s="308"/>
      <c r="G125" s="309">
        <f>SUM(G112:G124)</f>
        <v>3721</v>
      </c>
      <c r="H125" s="156"/>
      <c r="I125" s="327">
        <f>G125-(G39+G53)</f>
        <v>711</v>
      </c>
      <c r="J125" s="327"/>
    </row>
    <row r="126" spans="1:18" ht="25.5">
      <c r="A126" s="936" t="s">
        <v>317</v>
      </c>
      <c r="B126" s="936"/>
      <c r="C126" s="936"/>
      <c r="D126" s="936"/>
      <c r="E126" s="936"/>
      <c r="F126" s="936"/>
      <c r="G126" s="936"/>
      <c r="H126" s="936"/>
      <c r="I126" s="936"/>
      <c r="J126" s="936"/>
    </row>
    <row r="127" spans="1:18" ht="25.5">
      <c r="A127" s="937"/>
      <c r="B127" s="937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>
      <c r="A128" s="906" t="s">
        <v>318</v>
      </c>
      <c r="B128" s="907"/>
      <c r="C128" s="908"/>
      <c r="D128" s="151" t="s">
        <v>183</v>
      </c>
      <c r="E128" s="95">
        <f>'14'!F128</f>
        <v>103045</v>
      </c>
      <c r="F128" s="165">
        <v>103585</v>
      </c>
      <c r="G128" s="112">
        <f t="shared" ref="G128:G134" si="10">F128-E128</f>
        <v>540</v>
      </c>
      <c r="H128" s="99">
        <f>G128+'14'!H128</f>
        <v>7870</v>
      </c>
      <c r="I128" s="165"/>
      <c r="J128" s="328">
        <f>H128/DAY(B2)</f>
        <v>524.66666666666663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'14'!F129</f>
        <v>63614</v>
      </c>
      <c r="F129" s="165">
        <v>63895</v>
      </c>
      <c r="G129" s="112">
        <f t="shared" si="10"/>
        <v>281</v>
      </c>
      <c r="H129" s="99">
        <f>G129+'14'!H129</f>
        <v>3602</v>
      </c>
      <c r="I129" s="165"/>
      <c r="J129" s="328">
        <f>H129/DAY(B2)</f>
        <v>240.13333333333333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'14'!F130</f>
        <v>129854</v>
      </c>
      <c r="F130" s="165">
        <v>130669</v>
      </c>
      <c r="G130" s="112">
        <f t="shared" si="10"/>
        <v>815</v>
      </c>
      <c r="H130" s="99">
        <f>G130+'14'!H130</f>
        <v>9540</v>
      </c>
      <c r="I130" s="165"/>
      <c r="J130" s="328">
        <f>H130/DAY(B2)</f>
        <v>636</v>
      </c>
      <c r="N130" s="240"/>
      <c r="O130" s="241"/>
    </row>
    <row r="131" spans="1:15" ht="25.5">
      <c r="A131" s="906" t="s">
        <v>321</v>
      </c>
      <c r="B131" s="907"/>
      <c r="C131" s="908"/>
      <c r="D131" s="151" t="s">
        <v>183</v>
      </c>
      <c r="E131" s="95">
        <f>'14'!F131</f>
        <v>39160</v>
      </c>
      <c r="F131" s="158">
        <v>39371</v>
      </c>
      <c r="G131" s="112">
        <f t="shared" si="10"/>
        <v>211</v>
      </c>
      <c r="H131" s="99">
        <f>G131+'14'!H131</f>
        <v>3092</v>
      </c>
      <c r="I131" s="165"/>
      <c r="J131" s="328">
        <f>H131/DAY(B2)</f>
        <v>206.13333333333333</v>
      </c>
      <c r="N131" s="240"/>
      <c r="O131" s="241"/>
    </row>
    <row r="132" spans="1:15" ht="25.5">
      <c r="A132" s="906" t="s">
        <v>322</v>
      </c>
      <c r="B132" s="907"/>
      <c r="C132" s="908"/>
      <c r="D132" s="151" t="s">
        <v>183</v>
      </c>
      <c r="E132" s="95">
        <f>'14'!F132</f>
        <v>109229</v>
      </c>
      <c r="F132" s="165">
        <v>109524</v>
      </c>
      <c r="G132" s="112">
        <f t="shared" si="10"/>
        <v>295</v>
      </c>
      <c r="H132" s="99">
        <f>G132+'14'!H132</f>
        <v>6012</v>
      </c>
      <c r="I132" s="165"/>
      <c r="J132" s="328">
        <f>H132/DAY(B2)</f>
        <v>400.8</v>
      </c>
    </row>
    <row r="133" spans="1:15" ht="25.5">
      <c r="A133" s="906" t="s">
        <v>359</v>
      </c>
      <c r="B133" s="907"/>
      <c r="C133" s="908"/>
      <c r="D133" s="151" t="s">
        <v>183</v>
      </c>
      <c r="E133" s="95">
        <f>'14'!F133</f>
        <v>213179</v>
      </c>
      <c r="F133" s="165">
        <v>213904</v>
      </c>
      <c r="G133" s="112">
        <f t="shared" si="10"/>
        <v>725</v>
      </c>
      <c r="H133" s="99">
        <f>G133+'14'!H133</f>
        <v>12672</v>
      </c>
      <c r="I133" s="165"/>
      <c r="J133" s="328">
        <f>H133/DAY(B2)</f>
        <v>844.8</v>
      </c>
    </row>
    <row r="134" spans="1:15" s="409" customFormat="1" ht="25.5">
      <c r="A134" s="966" t="s">
        <v>340</v>
      </c>
      <c r="B134" s="967"/>
      <c r="C134" s="968"/>
      <c r="D134" s="233" t="s">
        <v>183</v>
      </c>
      <c r="E134" s="406">
        <f>'14'!F134</f>
        <v>38270</v>
      </c>
      <c r="F134" s="158">
        <v>38577</v>
      </c>
      <c r="G134" s="236">
        <f t="shared" si="10"/>
        <v>307</v>
      </c>
      <c r="H134" s="238">
        <f>G134+'14'!H134</f>
        <v>3682</v>
      </c>
      <c r="I134" s="158"/>
      <c r="J134" s="408">
        <f>H134/DAY(B2)</f>
        <v>245.46666666666667</v>
      </c>
    </row>
    <row r="135" spans="1:15" ht="25.5">
      <c r="A135" s="934" t="s">
        <v>196</v>
      </c>
      <c r="B135" s="935"/>
      <c r="C135" s="331"/>
      <c r="D135" s="151"/>
      <c r="E135" s="95"/>
      <c r="F135" s="165"/>
      <c r="G135" s="112">
        <f>SUM(G128:G134)</f>
        <v>3174</v>
      </c>
      <c r="H135" s="99">
        <f>G135+'10'!H135</f>
        <v>33391.83</v>
      </c>
      <c r="I135" s="327">
        <f>G135-(G35+G49)</f>
        <v>-466</v>
      </c>
      <c r="J135" s="408">
        <f>H135/DAY(B2)</f>
        <v>2226.1220000000003</v>
      </c>
    </row>
    <row r="136" spans="1:15" ht="27.75">
      <c r="A136" s="938" t="s">
        <v>325</v>
      </c>
      <c r="B136" s="938"/>
      <c r="C136" s="938"/>
      <c r="D136" s="938"/>
      <c r="E136" s="938"/>
      <c r="F136" s="938"/>
      <c r="G136" s="938"/>
      <c r="H136" s="938"/>
      <c r="I136" s="938"/>
      <c r="J136" s="938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1" t="s">
        <v>185</v>
      </c>
      <c r="B138" s="901"/>
      <c r="C138" s="901"/>
      <c r="D138" s="151" t="s">
        <v>183</v>
      </c>
      <c r="E138" s="147">
        <v>885129</v>
      </c>
      <c r="F138" s="147">
        <v>885283</v>
      </c>
      <c r="G138" s="112">
        <f t="shared" ref="G138:G152" si="11">F138-E138</f>
        <v>154</v>
      </c>
      <c r="H138" s="99">
        <f>G138+'14'!H138</f>
        <v>2005.2999999999993</v>
      </c>
      <c r="I138" s="118"/>
      <c r="J138" s="328">
        <f>H138/DAY(B2)</f>
        <v>133.68666666666661</v>
      </c>
    </row>
    <row r="139" spans="1:15" ht="25.5">
      <c r="A139" s="901" t="s">
        <v>186</v>
      </c>
      <c r="B139" s="901"/>
      <c r="C139" s="901"/>
      <c r="D139" s="151" t="s">
        <v>183</v>
      </c>
      <c r="E139" s="95">
        <f>'14'!F139</f>
        <v>901589</v>
      </c>
      <c r="F139" s="148">
        <v>901721</v>
      </c>
      <c r="G139" s="112">
        <f t="shared" si="11"/>
        <v>132</v>
      </c>
      <c r="H139" s="99">
        <f>G139+'14'!H139</f>
        <v>2266</v>
      </c>
      <c r="I139" s="118"/>
      <c r="J139" s="328">
        <f>H139/DAY(B2)</f>
        <v>151.06666666666666</v>
      </c>
    </row>
    <row r="140" spans="1:15" ht="25.5">
      <c r="A140" s="901" t="s">
        <v>187</v>
      </c>
      <c r="B140" s="901"/>
      <c r="C140" s="901"/>
      <c r="D140" s="151" t="s">
        <v>183</v>
      </c>
      <c r="E140" s="95">
        <f>'14'!F140</f>
        <v>807</v>
      </c>
      <c r="F140" s="149">
        <v>823</v>
      </c>
      <c r="G140" s="112">
        <f t="shared" si="11"/>
        <v>16</v>
      </c>
      <c r="H140" s="99">
        <f>G140+'14'!H140</f>
        <v>174.24</v>
      </c>
      <c r="I140" s="118"/>
      <c r="J140" s="328">
        <f>H140/DAY(B2)</f>
        <v>11.616000000000001</v>
      </c>
    </row>
    <row r="141" spans="1:15" ht="25.5">
      <c r="A141" s="905" t="s">
        <v>188</v>
      </c>
      <c r="B141" s="905"/>
      <c r="C141" s="905"/>
      <c r="D141" s="151" t="s">
        <v>183</v>
      </c>
      <c r="E141" s="95">
        <f>'14'!F141</f>
        <v>80811</v>
      </c>
      <c r="F141" s="149">
        <v>81012</v>
      </c>
      <c r="G141" s="112">
        <f t="shared" si="11"/>
        <v>201</v>
      </c>
      <c r="H141" s="99">
        <f>G141+'14'!H141</f>
        <v>3060</v>
      </c>
      <c r="I141" s="118"/>
      <c r="J141" s="328">
        <f>H141/DAY(B2)</f>
        <v>204</v>
      </c>
    </row>
    <row r="142" spans="1:15" ht="25.5">
      <c r="A142" s="905" t="s">
        <v>189</v>
      </c>
      <c r="B142" s="905"/>
      <c r="C142" s="905"/>
      <c r="D142" s="151" t="s">
        <v>183</v>
      </c>
      <c r="E142" s="95">
        <f>'14'!F142</f>
        <v>32698</v>
      </c>
      <c r="F142" s="148">
        <v>32816</v>
      </c>
      <c r="G142" s="112">
        <f t="shared" si="11"/>
        <v>118</v>
      </c>
      <c r="H142" s="99">
        <f>G142+'14'!H142</f>
        <v>2290</v>
      </c>
      <c r="I142" s="140"/>
      <c r="J142" s="328">
        <f>H142/DAY(B2)</f>
        <v>152.66666666666666</v>
      </c>
    </row>
    <row r="143" spans="1:15" ht="25.5">
      <c r="A143" s="901" t="s">
        <v>91</v>
      </c>
      <c r="B143" s="901"/>
      <c r="C143" s="901"/>
      <c r="D143" s="151" t="s">
        <v>183</v>
      </c>
      <c r="E143" s="95">
        <f>'14'!F143</f>
        <v>7700</v>
      </c>
      <c r="F143" s="149">
        <v>7730</v>
      </c>
      <c r="G143" s="112">
        <f t="shared" si="11"/>
        <v>30</v>
      </c>
      <c r="H143" s="99">
        <f>G143+'14'!H143</f>
        <v>424</v>
      </c>
      <c r="I143" s="140"/>
      <c r="J143" s="328">
        <f>H143/DAY(B2)</f>
        <v>28.266666666666666</v>
      </c>
    </row>
    <row r="144" spans="1:15" ht="25.5">
      <c r="A144" s="905" t="s">
        <v>90</v>
      </c>
      <c r="B144" s="905"/>
      <c r="C144" s="905"/>
      <c r="D144" s="151" t="s">
        <v>183</v>
      </c>
      <c r="E144" s="95">
        <f>'14'!F144</f>
        <v>908443</v>
      </c>
      <c r="F144" s="149">
        <v>908686</v>
      </c>
      <c r="G144" s="112">
        <f t="shared" si="11"/>
        <v>243</v>
      </c>
      <c r="H144" s="99">
        <f>G144+'14'!H144</f>
        <v>3633</v>
      </c>
      <c r="I144" s="140"/>
      <c r="J144" s="328">
        <f>H144/DAY(B2)</f>
        <v>242.2</v>
      </c>
    </row>
    <row r="145" spans="1:10" ht="25.5">
      <c r="A145" s="901" t="s">
        <v>190</v>
      </c>
      <c r="B145" s="901"/>
      <c r="C145" s="901"/>
      <c r="D145" s="152" t="s">
        <v>183</v>
      </c>
      <c r="E145" s="95">
        <f>'14'!F145</f>
        <v>5665</v>
      </c>
      <c r="F145" s="148">
        <v>5665</v>
      </c>
      <c r="G145" s="112">
        <f t="shared" si="11"/>
        <v>0</v>
      </c>
      <c r="H145" s="99">
        <f>G145+'14'!H145</f>
        <v>1</v>
      </c>
      <c r="I145" s="140"/>
      <c r="J145" s="328">
        <f>H145/DAY(B2)</f>
        <v>6.6666666666666666E-2</v>
      </c>
    </row>
    <row r="146" spans="1:10" ht="25.5">
      <c r="A146" s="902" t="s">
        <v>191</v>
      </c>
      <c r="B146" s="903"/>
      <c r="C146" s="904"/>
      <c r="D146" s="152" t="s">
        <v>183</v>
      </c>
      <c r="E146" s="95">
        <f>'14'!F146</f>
        <v>778593</v>
      </c>
      <c r="F146" s="148">
        <v>778633</v>
      </c>
      <c r="G146" s="112">
        <f t="shared" si="11"/>
        <v>40</v>
      </c>
      <c r="H146" s="99">
        <f>G146+'14'!H146</f>
        <v>765</v>
      </c>
      <c r="I146" s="140"/>
      <c r="J146" s="328">
        <f>H146/DAY(B2)</f>
        <v>51</v>
      </c>
    </row>
    <row r="147" spans="1:10" ht="25.5">
      <c r="A147" s="905" t="s">
        <v>192</v>
      </c>
      <c r="B147" s="905"/>
      <c r="C147" s="905"/>
      <c r="D147" s="152" t="s">
        <v>183</v>
      </c>
      <c r="E147" s="95">
        <f>'14'!F147</f>
        <v>681310</v>
      </c>
      <c r="F147" s="148">
        <v>681681</v>
      </c>
      <c r="G147" s="112">
        <f t="shared" si="11"/>
        <v>371</v>
      </c>
      <c r="H147" s="99">
        <f>G147+'14'!H147</f>
        <v>5833</v>
      </c>
      <c r="I147" s="140"/>
      <c r="J147" s="328">
        <f>H147/DAY(B2)</f>
        <v>388.86666666666667</v>
      </c>
    </row>
    <row r="148" spans="1:10" ht="25.5">
      <c r="A148" s="897" t="s">
        <v>193</v>
      </c>
      <c r="B148" s="898"/>
      <c r="C148" s="899"/>
      <c r="D148" s="123" t="s">
        <v>130</v>
      </c>
      <c r="E148" s="95">
        <f>'14'!F148</f>
        <v>733748</v>
      </c>
      <c r="F148" s="150">
        <v>734006</v>
      </c>
      <c r="G148" s="112">
        <f t="shared" si="11"/>
        <v>258</v>
      </c>
      <c r="H148" s="99">
        <f>G148+'14'!H148</f>
        <v>4261</v>
      </c>
      <c r="I148" s="124"/>
      <c r="J148" s="328">
        <f>H148/DAY(B2)</f>
        <v>284.06666666666666</v>
      </c>
    </row>
    <row r="149" spans="1:10" ht="25.5">
      <c r="A149" s="897" t="s">
        <v>336</v>
      </c>
      <c r="B149" s="898"/>
      <c r="C149" s="899"/>
      <c r="D149" s="227" t="s">
        <v>130</v>
      </c>
      <c r="E149" s="95">
        <f>'14'!F149</f>
        <v>108846</v>
      </c>
      <c r="F149" s="416">
        <v>109395</v>
      </c>
      <c r="G149" s="112">
        <f t="shared" si="11"/>
        <v>549</v>
      </c>
      <c r="H149" s="99">
        <f>G149+'14'!H149</f>
        <v>8500</v>
      </c>
      <c r="I149" s="119"/>
      <c r="J149" s="328">
        <f>H149/DAY(B2)</f>
        <v>566.66666666666663</v>
      </c>
    </row>
    <row r="150" spans="1:10" ht="25.5">
      <c r="A150" s="897" t="s">
        <v>337</v>
      </c>
      <c r="B150" s="898"/>
      <c r="C150" s="899"/>
      <c r="D150" s="117" t="s">
        <v>130</v>
      </c>
      <c r="E150" s="95">
        <f>'14'!F150</f>
        <v>40273</v>
      </c>
      <c r="F150" s="233">
        <v>40483</v>
      </c>
      <c r="G150" s="112">
        <f t="shared" si="11"/>
        <v>210</v>
      </c>
      <c r="H150" s="99">
        <f>G150+'14'!H150</f>
        <v>3267</v>
      </c>
      <c r="I150" s="119"/>
      <c r="J150" s="328">
        <f>H150/DAY(B2)</f>
        <v>217.8</v>
      </c>
    </row>
    <row r="151" spans="1:10" ht="25.5">
      <c r="A151" s="897" t="s">
        <v>338</v>
      </c>
      <c r="B151" s="898"/>
      <c r="C151" s="899"/>
      <c r="D151" s="117" t="s">
        <v>130</v>
      </c>
      <c r="E151" s="95">
        <f>'14'!F151</f>
        <v>122205</v>
      </c>
      <c r="F151" s="233">
        <v>122477</v>
      </c>
      <c r="G151" s="112">
        <f t="shared" si="11"/>
        <v>272</v>
      </c>
      <c r="H151" s="99">
        <f>G151+'14'!H151</f>
        <v>4340</v>
      </c>
      <c r="I151" s="119"/>
      <c r="J151" s="328">
        <f>H151/DAY(B2)</f>
        <v>289.33333333333331</v>
      </c>
    </row>
    <row r="152" spans="1:10" ht="25.5">
      <c r="A152" s="897" t="s">
        <v>339</v>
      </c>
      <c r="B152" s="898"/>
      <c r="C152" s="899"/>
      <c r="D152" s="117" t="s">
        <v>130</v>
      </c>
      <c r="E152" s="95">
        <f>'14'!F152</f>
        <v>17240</v>
      </c>
      <c r="F152" s="233">
        <v>17365</v>
      </c>
      <c r="G152" s="112">
        <f t="shared" si="11"/>
        <v>125</v>
      </c>
      <c r="H152" s="99">
        <f>G152+'14'!H152</f>
        <v>6209</v>
      </c>
      <c r="I152" s="119"/>
      <c r="J152" s="328">
        <f>H152/DAY(B2)</f>
        <v>413.93333333333334</v>
      </c>
    </row>
    <row r="153" spans="1:10" ht="25.5">
      <c r="A153" s="934" t="s">
        <v>196</v>
      </c>
      <c r="B153" s="935"/>
      <c r="C153" s="365"/>
      <c r="D153" s="358"/>
      <c r="E153" s="360"/>
      <c r="F153" s="361"/>
      <c r="G153" s="362">
        <f>SUM(G138:G152)</f>
        <v>2719</v>
      </c>
      <c r="H153" s="363"/>
      <c r="I153" s="119">
        <f>G153-(G38+G52)</f>
        <v>408</v>
      </c>
      <c r="J153" s="366"/>
    </row>
    <row r="154" spans="1:10" ht="27.75">
      <c r="A154" s="938" t="s">
        <v>344</v>
      </c>
      <c r="B154" s="938"/>
      <c r="C154" s="938"/>
      <c r="D154" s="938"/>
      <c r="E154" s="938"/>
      <c r="F154" s="938"/>
      <c r="G154" s="938"/>
      <c r="H154" s="938"/>
      <c r="I154" s="938"/>
      <c r="J154" s="938"/>
    </row>
    <row r="155" spans="1:10" ht="27.75">
      <c r="A155" s="905" t="s">
        <v>345</v>
      </c>
      <c r="B155" s="905"/>
      <c r="C155" s="905"/>
      <c r="D155" s="117" t="s">
        <v>130</v>
      </c>
      <c r="E155" s="95">
        <f>'14'!F155</f>
        <v>120658</v>
      </c>
      <c r="F155" s="157">
        <v>121255</v>
      </c>
      <c r="G155" s="112">
        <f t="shared" ref="G155:G158" si="12">F155-E155</f>
        <v>597</v>
      </c>
      <c r="H155" s="99">
        <f>G155+'14'!H155</f>
        <v>9280</v>
      </c>
      <c r="I155" s="364"/>
      <c r="J155" s="328">
        <f>H155/DAY(B2)</f>
        <v>618.66666666666663</v>
      </c>
    </row>
    <row r="156" spans="1:10" ht="25.5">
      <c r="A156" s="905" t="s">
        <v>347</v>
      </c>
      <c r="B156" s="905"/>
      <c r="C156" s="905"/>
      <c r="D156" s="117" t="s">
        <v>130</v>
      </c>
      <c r="E156" s="95">
        <f>'14'!F156</f>
        <v>10765</v>
      </c>
      <c r="F156" s="157">
        <v>10842</v>
      </c>
      <c r="G156" s="112">
        <f t="shared" si="12"/>
        <v>77</v>
      </c>
      <c r="H156" s="99">
        <f>G156+'14'!H156</f>
        <v>1157</v>
      </c>
      <c r="I156" s="165"/>
      <c r="J156" s="328">
        <f>H156/DAY(B2)</f>
        <v>77.13333333333334</v>
      </c>
    </row>
    <row r="157" spans="1:10" ht="25.5">
      <c r="A157" s="897" t="s">
        <v>360</v>
      </c>
      <c r="B157" s="898"/>
      <c r="C157" s="899"/>
      <c r="D157" s="117" t="s">
        <v>130</v>
      </c>
      <c r="E157" s="95">
        <f>'14'!F157</f>
        <v>20553</v>
      </c>
      <c r="F157" s="157">
        <v>20672</v>
      </c>
      <c r="G157" s="112">
        <f t="shared" si="12"/>
        <v>119</v>
      </c>
      <c r="H157" s="99">
        <f>G157+'14'!H157</f>
        <v>2472</v>
      </c>
      <c r="I157" s="165"/>
      <c r="J157" s="328">
        <f>H157/DAY(B2)</f>
        <v>164.8</v>
      </c>
    </row>
    <row r="158" spans="1:10" ht="25.5">
      <c r="A158" s="897" t="s">
        <v>361</v>
      </c>
      <c r="B158" s="898"/>
      <c r="C158" s="899"/>
      <c r="D158" s="117" t="s">
        <v>130</v>
      </c>
      <c r="E158" s="95">
        <f>'14'!F158</f>
        <v>189</v>
      </c>
      <c r="F158" s="157">
        <v>189</v>
      </c>
      <c r="G158" s="112">
        <f t="shared" si="12"/>
        <v>0</v>
      </c>
      <c r="H158" s="99">
        <f>G158+'14'!H158</f>
        <v>98.58</v>
      </c>
      <c r="I158" s="165"/>
      <c r="J158" s="328">
        <f>H158/DAY(B2)</f>
        <v>6.5720000000000001</v>
      </c>
    </row>
    <row r="159" spans="1:10" ht="25.5">
      <c r="A159" s="956"/>
      <c r="B159" s="957"/>
      <c r="C159" s="958"/>
      <c r="D159" s="117"/>
      <c r="E159" s="95"/>
      <c r="F159" s="165"/>
      <c r="G159" s="362">
        <f>SUM(G155:G158)</f>
        <v>793</v>
      </c>
      <c r="H159" s="99"/>
      <c r="I159" s="165"/>
      <c r="J159" s="328"/>
    </row>
    <row r="160" spans="1:10" ht="27.75">
      <c r="A160" s="938" t="s">
        <v>326</v>
      </c>
      <c r="B160" s="938"/>
      <c r="C160" s="938"/>
      <c r="D160" s="938"/>
      <c r="E160" s="938"/>
      <c r="F160" s="938"/>
      <c r="G160" s="938"/>
      <c r="H160" s="938"/>
      <c r="I160" s="938"/>
      <c r="J160" s="938"/>
    </row>
    <row r="161" spans="1:10" ht="26.25">
      <c r="A161" s="242" t="s">
        <v>92</v>
      </c>
      <c r="B161" s="243"/>
      <c r="C161" s="243"/>
      <c r="D161" s="244" t="s">
        <v>180</v>
      </c>
      <c r="E161" s="95">
        <f>'14'!F161</f>
        <v>476638</v>
      </c>
      <c r="F161" s="235">
        <v>476645</v>
      </c>
      <c r="G161" s="238">
        <f t="shared" ref="G161:G165" si="13">F161-E161</f>
        <v>7</v>
      </c>
      <c r="H161" s="99">
        <f>G161+'14'!H161</f>
        <v>1224</v>
      </c>
      <c r="I161" s="236"/>
      <c r="J161" s="239">
        <f>H161/DAY(B2)</f>
        <v>81.599999999999994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'14'!F162</f>
        <v>93193</v>
      </c>
      <c r="F162" s="235">
        <v>93236</v>
      </c>
      <c r="G162" s="238">
        <f t="shared" si="13"/>
        <v>43</v>
      </c>
      <c r="H162" s="99">
        <f>G162+'14'!H162</f>
        <v>509</v>
      </c>
      <c r="I162" s="236"/>
      <c r="J162" s="239">
        <f>H162/DAY(B2)</f>
        <v>33.93333333333333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'14'!F163</f>
        <v>99411</v>
      </c>
      <c r="F163" s="235">
        <v>99552</v>
      </c>
      <c r="G163" s="238">
        <f t="shared" si="13"/>
        <v>141</v>
      </c>
      <c r="H163" s="99">
        <f>G163+'14'!H163</f>
        <v>2417</v>
      </c>
      <c r="I163" s="236"/>
      <c r="J163" s="239">
        <f>H163/DAY(B2)</f>
        <v>161.13333333333333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'14'!F164</f>
        <v>5703</v>
      </c>
      <c r="F164" s="235">
        <v>5713</v>
      </c>
      <c r="G164" s="238">
        <f t="shared" si="13"/>
        <v>10</v>
      </c>
      <c r="H164" s="99">
        <f>G164+'14'!H164</f>
        <v>171</v>
      </c>
      <c r="I164" s="236"/>
      <c r="J164" s="239">
        <f>H164/DAY(B2)</f>
        <v>11.4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'14'!F165</f>
        <v>31174</v>
      </c>
      <c r="F165" s="235">
        <v>31186</v>
      </c>
      <c r="G165" s="238">
        <f t="shared" si="13"/>
        <v>12</v>
      </c>
      <c r="H165" s="99">
        <f>G165+'14'!H165</f>
        <v>172</v>
      </c>
      <c r="I165" s="236"/>
      <c r="J165" s="239">
        <f>H165/DAY(B2)</f>
        <v>11.466666666666667</v>
      </c>
    </row>
    <row r="166" spans="1:10" ht="26.25">
      <c r="A166" s="937"/>
      <c r="B166" s="937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6.25">
      <c r="A167" s="937"/>
      <c r="B167" s="937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6.25">
      <c r="A168" s="937"/>
      <c r="B168" s="937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947" t="s">
        <v>330</v>
      </c>
      <c r="B171" s="948"/>
      <c r="C171" s="948"/>
      <c r="D171" s="948"/>
      <c r="E171" s="948"/>
      <c r="F171" s="948"/>
      <c r="G171" s="948"/>
      <c r="H171" s="948"/>
      <c r="I171" s="948"/>
      <c r="J171" s="949"/>
    </row>
    <row r="172" spans="1:10" ht="21.75" customHeight="1">
      <c r="A172" s="943"/>
      <c r="B172" s="944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>
      <c r="A173" s="895" t="s">
        <v>209</v>
      </c>
      <c r="B173" s="896"/>
      <c r="C173" s="333"/>
      <c r="D173" s="228" t="s">
        <v>142</v>
      </c>
      <c r="E173" s="95">
        <f>'14'!F173</f>
        <v>8276</v>
      </c>
      <c r="F173" s="155">
        <v>8276</v>
      </c>
      <c r="G173" s="155">
        <f>F173-E173</f>
        <v>0</v>
      </c>
      <c r="H173" s="99">
        <f>G173+'14'!H173</f>
        <v>12</v>
      </c>
      <c r="I173" s="155"/>
      <c r="J173" s="178">
        <f>H173/DAY(B2)</f>
        <v>0.8</v>
      </c>
    </row>
    <row r="174" spans="1:10" ht="21.75" customHeight="1">
      <c r="A174" s="895" t="s">
        <v>75</v>
      </c>
      <c r="B174" s="896"/>
      <c r="C174" s="333"/>
      <c r="D174" s="228" t="s">
        <v>142</v>
      </c>
      <c r="E174" s="95">
        <f>'14'!F174</f>
        <v>40538</v>
      </c>
      <c r="F174" s="157">
        <v>40552</v>
      </c>
      <c r="G174" s="155">
        <f t="shared" ref="G174:G175" si="14">F174-E174</f>
        <v>14</v>
      </c>
      <c r="H174" s="99">
        <f>G174+'14'!H174</f>
        <v>220</v>
      </c>
      <c r="I174" s="155"/>
      <c r="J174" s="178">
        <f>H174/DAY(B2)</f>
        <v>14.666666666666666</v>
      </c>
    </row>
    <row r="175" spans="1:10" ht="21.75" customHeight="1">
      <c r="A175" s="895" t="s">
        <v>76</v>
      </c>
      <c r="B175" s="900"/>
      <c r="C175" s="896"/>
      <c r="D175" s="228" t="s">
        <v>142</v>
      </c>
      <c r="E175" s="95">
        <f>'14'!F175</f>
        <v>23460</v>
      </c>
      <c r="F175" s="155">
        <v>23474</v>
      </c>
      <c r="G175" s="155">
        <f t="shared" si="14"/>
        <v>14</v>
      </c>
      <c r="H175" s="99">
        <f>G175+'14'!H175</f>
        <v>216</v>
      </c>
      <c r="I175" s="155"/>
      <c r="J175" s="178">
        <f>H175/DAY(B2)</f>
        <v>14.4</v>
      </c>
    </row>
    <row r="176" spans="1:10" ht="21.75" customHeight="1">
      <c r="A176" s="934" t="s">
        <v>196</v>
      </c>
      <c r="B176" s="935"/>
      <c r="C176" s="333"/>
      <c r="D176" s="228" t="s">
        <v>142</v>
      </c>
      <c r="E176" s="95"/>
      <c r="F176" s="155"/>
      <c r="G176" s="155">
        <f>SUM(G173:G175)</f>
        <v>28</v>
      </c>
      <c r="H176" s="99">
        <f>G176+'14'!H176</f>
        <v>448</v>
      </c>
      <c r="I176" s="155"/>
      <c r="J176" s="178">
        <f>H176/DAY(B2)</f>
        <v>29.866666666666667</v>
      </c>
    </row>
    <row r="177" spans="1:10" ht="21.75" customHeight="1">
      <c r="A177" s="895" t="s">
        <v>77</v>
      </c>
      <c r="B177" s="896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>
      <c r="A178" s="895" t="s">
        <v>210</v>
      </c>
      <c r="B178" s="896"/>
      <c r="C178" s="333"/>
      <c r="D178" s="228" t="s">
        <v>142</v>
      </c>
      <c r="E178" s="95">
        <f>'14'!F178</f>
        <v>93353</v>
      </c>
      <c r="F178" s="155">
        <v>93463</v>
      </c>
      <c r="G178" s="155">
        <f>F178-E178</f>
        <v>110</v>
      </c>
      <c r="H178" s="99">
        <f>G178+'14'!H178</f>
        <v>1641</v>
      </c>
      <c r="I178" s="155"/>
      <c r="J178" s="178">
        <f>H178/DAY(B2)</f>
        <v>109.4</v>
      </c>
    </row>
    <row r="179" spans="1:10" ht="24" customHeight="1">
      <c r="A179" s="895" t="s">
        <v>211</v>
      </c>
      <c r="B179" s="896"/>
      <c r="C179" s="333"/>
      <c r="D179" s="228" t="s">
        <v>142</v>
      </c>
      <c r="E179" s="95">
        <f>'14'!F179</f>
        <v>36002</v>
      </c>
      <c r="F179" s="155">
        <v>36002</v>
      </c>
      <c r="G179" s="155">
        <f t="shared" ref="G179:G180" si="15">F179-E179</f>
        <v>0</v>
      </c>
      <c r="H179" s="99">
        <f>G179+'14'!H179</f>
        <v>218</v>
      </c>
      <c r="I179" s="155"/>
      <c r="J179" s="178">
        <f>H179/DAY(B2)</f>
        <v>14.533333333333333</v>
      </c>
    </row>
    <row r="180" spans="1:10" ht="25.5">
      <c r="A180" s="895" t="s">
        <v>212</v>
      </c>
      <c r="B180" s="896"/>
      <c r="C180" s="333"/>
      <c r="D180" s="228" t="s">
        <v>142</v>
      </c>
      <c r="E180" s="95">
        <f>'14'!F180</f>
        <v>6807</v>
      </c>
      <c r="F180" s="155">
        <v>6808</v>
      </c>
      <c r="G180" s="155">
        <f t="shared" si="15"/>
        <v>1</v>
      </c>
      <c r="H180" s="99">
        <f>G180+'14'!H180</f>
        <v>138</v>
      </c>
      <c r="I180" s="155"/>
      <c r="J180" s="178">
        <f>H180/DAY(B2)</f>
        <v>9.1999999999999993</v>
      </c>
    </row>
    <row r="181" spans="1:10" ht="25.5">
      <c r="A181" s="941" t="s">
        <v>108</v>
      </c>
      <c r="B181" s="942"/>
      <c r="C181" s="333"/>
      <c r="D181" s="228" t="s">
        <v>142</v>
      </c>
      <c r="E181" s="95"/>
      <c r="F181" s="155"/>
      <c r="G181" s="155">
        <f>SUM(G178:G180)</f>
        <v>111</v>
      </c>
      <c r="H181" s="99">
        <f>G181+'14'!H181</f>
        <v>1997</v>
      </c>
      <c r="I181" s="155"/>
      <c r="J181" s="178">
        <f>H181/DAY(B2)</f>
        <v>133.13333333333333</v>
      </c>
    </row>
    <row r="182" spans="1:10" ht="25.5">
      <c r="A182" s="895" t="s">
        <v>213</v>
      </c>
      <c r="B182" s="896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5.5">
      <c r="A183" s="895" t="s">
        <v>214</v>
      </c>
      <c r="B183" s="896"/>
      <c r="C183" s="334"/>
      <c r="D183" s="228" t="s">
        <v>142</v>
      </c>
      <c r="E183" s="95">
        <f>'14'!F183</f>
        <v>17139</v>
      </c>
      <c r="F183" s="157">
        <v>17165</v>
      </c>
      <c r="G183" s="157">
        <f>F183-E183</f>
        <v>26</v>
      </c>
      <c r="H183" s="99">
        <f>G183+'14'!H183</f>
        <v>210</v>
      </c>
      <c r="I183" s="155"/>
      <c r="J183" s="178">
        <f>H183/DAY(B2)</f>
        <v>14</v>
      </c>
    </row>
    <row r="184" spans="1:10" ht="25.5">
      <c r="A184" s="895" t="s">
        <v>215</v>
      </c>
      <c r="B184" s="896"/>
      <c r="C184" s="334"/>
      <c r="D184" s="228" t="s">
        <v>142</v>
      </c>
      <c r="E184" s="95">
        <f>'14'!F184</f>
        <v>11586</v>
      </c>
      <c r="F184" s="157">
        <v>11592</v>
      </c>
      <c r="G184" s="157">
        <f t="shared" ref="G184:G185" si="16">F184-E184</f>
        <v>6</v>
      </c>
      <c r="H184" s="99">
        <f>G184+'14'!H184</f>
        <v>106</v>
      </c>
      <c r="I184" s="155"/>
      <c r="J184" s="178">
        <f>H184/DAY(B2)</f>
        <v>7.0666666666666664</v>
      </c>
    </row>
    <row r="185" spans="1:10" ht="32.25" customHeight="1">
      <c r="A185" s="895" t="s">
        <v>216</v>
      </c>
      <c r="B185" s="896"/>
      <c r="C185" s="334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5.5">
      <c r="A186" s="934" t="s">
        <v>196</v>
      </c>
      <c r="B186" s="935"/>
      <c r="C186" s="334"/>
      <c r="D186" s="228" t="s">
        <v>142</v>
      </c>
      <c r="E186" s="95"/>
      <c r="F186" s="157"/>
      <c r="G186" s="157">
        <f>SUM(G183:G185)</f>
        <v>32</v>
      </c>
      <c r="H186" s="99">
        <f>G186+'14'!H186</f>
        <v>316</v>
      </c>
      <c r="I186" s="157"/>
      <c r="J186" s="178">
        <f>H186/DAY(B2)</f>
        <v>21.066666666666666</v>
      </c>
    </row>
    <row r="187" spans="1:10" ht="25.5">
      <c r="A187" s="945" t="s">
        <v>217</v>
      </c>
      <c r="B187" s="946"/>
      <c r="C187" s="333"/>
      <c r="D187" s="230" t="s">
        <v>142</v>
      </c>
      <c r="E187" s="95"/>
      <c r="F187" s="159"/>
      <c r="G187" s="159">
        <f>G62+G19</f>
        <v>182</v>
      </c>
      <c r="H187" s="99">
        <f>G187+'14'!H187</f>
        <v>3007</v>
      </c>
      <c r="I187" s="158"/>
      <c r="J187" s="179">
        <f>H187/DAY(B2)</f>
        <v>200.46666666666667</v>
      </c>
    </row>
    <row r="188" spans="1:10" ht="25.5">
      <c r="A188" s="945" t="s">
        <v>218</v>
      </c>
      <c r="B188" s="946"/>
      <c r="C188" s="333"/>
      <c r="D188" s="230" t="s">
        <v>142</v>
      </c>
      <c r="E188" s="95"/>
      <c r="F188" s="159"/>
      <c r="G188" s="159">
        <f>G65+G66+G67+G69+G70</f>
        <v>153</v>
      </c>
      <c r="H188" s="99">
        <f>G188+'14'!H188</f>
        <v>153</v>
      </c>
      <c r="I188" s="158"/>
      <c r="J188" s="179">
        <f>H188/DAY(B2)</f>
        <v>10.199999999999999</v>
      </c>
    </row>
    <row r="189" spans="1:10" ht="27" customHeight="1">
      <c r="A189" s="945" t="s">
        <v>219</v>
      </c>
      <c r="B189" s="946"/>
      <c r="C189" s="333"/>
      <c r="D189" s="230" t="s">
        <v>142</v>
      </c>
      <c r="E189" s="95"/>
      <c r="F189" s="157"/>
      <c r="G189" s="157">
        <f>G181</f>
        <v>111</v>
      </c>
      <c r="H189" s="99">
        <f>G189+'14'!H189</f>
        <v>1997</v>
      </c>
      <c r="I189" s="158"/>
      <c r="J189" s="179">
        <f>H189/DAY(B2)</f>
        <v>133.13333333333333</v>
      </c>
    </row>
    <row r="190" spans="1:10" ht="27" customHeight="1">
      <c r="A190" s="939"/>
      <c r="B190" s="940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7" customHeight="1"/>
    <row r="192" spans="1:10" ht="27" customHeight="1"/>
    <row r="193" ht="27" customHeight="1"/>
    <row r="194" ht="27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06" ht="27" customHeight="1"/>
    <row r="207" ht="27" customHeight="1"/>
    <row r="208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  <row r="242" ht="27" customHeight="1"/>
    <row r="243" ht="27" customHeight="1"/>
    <row r="244" ht="27" customHeight="1"/>
    <row r="245" ht="27" customHeight="1"/>
    <row r="246" ht="27" customHeight="1"/>
    <row r="247" ht="27" customHeight="1"/>
    <row r="248" ht="27" customHeight="1"/>
    <row r="249" ht="27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topLeftCell="A124" zoomScale="55" zoomScaleNormal="90" zoomScaleSheetLayoutView="55" workbookViewId="0">
      <selection activeCell="F147" sqref="F147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414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76" t="s">
        <v>115</v>
      </c>
      <c r="B1" s="877"/>
      <c r="C1" s="877"/>
      <c r="D1" s="877"/>
      <c r="E1" s="877"/>
      <c r="F1" s="877"/>
      <c r="G1" s="877"/>
      <c r="H1" s="877"/>
      <c r="I1" s="877"/>
      <c r="J1" s="878"/>
    </row>
    <row r="2" spans="1:16" s="57" customFormat="1" ht="23.25">
      <c r="A2" s="191" t="s">
        <v>303</v>
      </c>
      <c r="B2" s="262">
        <v>44728</v>
      </c>
      <c r="C2" s="348" t="s">
        <v>67</v>
      </c>
      <c r="D2" s="218">
        <v>0.6</v>
      </c>
      <c r="E2" s="100"/>
      <c r="F2" s="34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30</v>
      </c>
      <c r="E3" s="885" t="s">
        <v>119</v>
      </c>
      <c r="F3" s="886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879" t="s">
        <v>128</v>
      </c>
      <c r="B6" s="880"/>
      <c r="C6" s="881"/>
      <c r="D6" s="110"/>
      <c r="E6" s="110"/>
      <c r="F6" s="111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'15'!F7</f>
        <v>110073</v>
      </c>
      <c r="F7" s="95">
        <v>137885</v>
      </c>
      <c r="G7" s="112">
        <f>F7-E7</f>
        <v>27812</v>
      </c>
      <c r="H7" s="99">
        <f>G7+'15'!H7</f>
        <v>445058</v>
      </c>
      <c r="I7" s="113">
        <f>'1'!I7</f>
        <v>12000</v>
      </c>
      <c r="J7" s="175">
        <f>H7/DAY(B2)</f>
        <v>27816.125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'15'!F8</f>
        <v>242008</v>
      </c>
      <c r="F8" s="114">
        <v>270636</v>
      </c>
      <c r="G8" s="115">
        <f>F8-E8</f>
        <v>28628</v>
      </c>
      <c r="H8" s="99">
        <f>G8+'15'!H8</f>
        <v>461977.10000000003</v>
      </c>
      <c r="I8" s="116"/>
      <c r="J8" s="175">
        <f>H8/DAY(B2)</f>
        <v>28873.568750000002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'15'!F9</f>
        <v>2681680</v>
      </c>
      <c r="F9" s="469">
        <v>2701061</v>
      </c>
      <c r="G9" s="112">
        <f>F9-E9</f>
        <v>19381</v>
      </c>
      <c r="H9" s="99">
        <f>G9+'15'!H9</f>
        <v>250952.29999999981</v>
      </c>
      <c r="I9" s="124">
        <f>I7-J7</f>
        <v>-15816.125</v>
      </c>
      <c r="J9" s="175">
        <f>H9/DAY(B2)</f>
        <v>15684.518749999988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'15'!F10</f>
        <v>1069535</v>
      </c>
      <c r="F10" s="353">
        <v>1077206</v>
      </c>
      <c r="G10" s="112">
        <f t="shared" ref="G10:G12" si="0">F10-E10</f>
        <v>7671</v>
      </c>
      <c r="H10" s="99">
        <f>G10+'15'!H10</f>
        <v>166802.80000000005</v>
      </c>
      <c r="I10" s="282"/>
      <c r="J10" s="175">
        <f>H10/DAY(B2)</f>
        <v>10425.175000000003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'15'!F11</f>
        <v>37560</v>
      </c>
      <c r="F11" s="95">
        <v>37560</v>
      </c>
      <c r="G11" s="112">
        <f t="shared" si="0"/>
        <v>0</v>
      </c>
      <c r="H11" s="99">
        <f>G11+'15'!H11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'15'!F12</f>
        <v>40380</v>
      </c>
      <c r="F12" s="117">
        <v>40380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27052</v>
      </c>
      <c r="H13" s="99">
        <f>G13+'15'!H13</f>
        <v>417616.09999999986</v>
      </c>
      <c r="I13" s="120">
        <f>G7-G13</f>
        <v>760</v>
      </c>
      <c r="J13" s="175">
        <f>H13/DAY(B2)</f>
        <v>26101.006249999991</v>
      </c>
      <c r="K13" s="79"/>
      <c r="L13" s="66"/>
      <c r="N13" s="87"/>
      <c r="O13" s="71"/>
    </row>
    <row r="14" spans="1:16" ht="26.25">
      <c r="A14" s="882" t="s">
        <v>137</v>
      </c>
      <c r="B14" s="883"/>
      <c r="C14" s="88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'15'!F15</f>
        <v>2053063</v>
      </c>
      <c r="F15" s="469">
        <v>2054089</v>
      </c>
      <c r="G15" s="112">
        <f>(F15-E15)</f>
        <v>1026</v>
      </c>
      <c r="H15" s="99">
        <f>G15+'15'!H15</f>
        <v>16972</v>
      </c>
      <c r="I15" s="113">
        <f>'1'!I15</f>
        <v>800</v>
      </c>
      <c r="J15" s="175">
        <f>H15/DAY(B2)</f>
        <v>1060.75</v>
      </c>
      <c r="K15" s="79"/>
      <c r="L15" s="66"/>
      <c r="N15" s="87">
        <v>735868</v>
      </c>
      <c r="O15" s="71">
        <v>719798</v>
      </c>
      <c r="P15" s="426">
        <f>O15-N15</f>
        <v>-16070</v>
      </c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-260.75</v>
      </c>
      <c r="J16" s="176"/>
      <c r="K16" s="79"/>
      <c r="L16" s="66"/>
      <c r="N16" s="87"/>
      <c r="O16" s="71"/>
    </row>
    <row r="17" spans="1:15" ht="26.25">
      <c r="A17" s="882" t="s">
        <v>140</v>
      </c>
      <c r="B17" s="883"/>
      <c r="C17" s="88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3" t="s">
        <v>141</v>
      </c>
      <c r="B18" s="874"/>
      <c r="C18" s="875"/>
      <c r="D18" s="151" t="s">
        <v>142</v>
      </c>
      <c r="E18" s="95">
        <f>'15'!F18</f>
        <v>20</v>
      </c>
      <c r="F18" s="164">
        <v>18</v>
      </c>
      <c r="G18" s="119">
        <f>F18*10</f>
        <v>180</v>
      </c>
      <c r="H18" s="99">
        <f>G18+'15'!H18</f>
        <v>3660</v>
      </c>
      <c r="I18" s="113">
        <f>'1'!I18</f>
        <v>65</v>
      </c>
      <c r="J18" s="175">
        <f>H18/DAY(B2)</f>
        <v>228.75</v>
      </c>
      <c r="K18" s="79"/>
      <c r="L18" s="66"/>
      <c r="N18" s="87"/>
      <c r="O18" s="71"/>
    </row>
    <row r="19" spans="1:15" ht="25.5">
      <c r="A19" s="873" t="s">
        <v>69</v>
      </c>
      <c r="B19" s="874"/>
      <c r="C19" s="875"/>
      <c r="D19" s="151" t="s">
        <v>142</v>
      </c>
      <c r="E19" s="95">
        <f>'15'!F19</f>
        <v>160885</v>
      </c>
      <c r="F19" s="122">
        <v>160935</v>
      </c>
      <c r="G19" s="112">
        <f t="shared" ref="G19" si="1">F19-E19</f>
        <v>50</v>
      </c>
      <c r="H19" s="99">
        <f>G19+'15'!H19</f>
        <v>825</v>
      </c>
      <c r="I19" s="335"/>
      <c r="J19" s="175">
        <f>H19/DAY(B2)</f>
        <v>51.5625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230</v>
      </c>
      <c r="H20" s="99">
        <f>G20+'15'!H20</f>
        <v>4485</v>
      </c>
      <c r="I20" s="336">
        <f>I18-J20</f>
        <v>-215.3125</v>
      </c>
      <c r="J20" s="175">
        <f>H20/DAY(B2)</f>
        <v>280.3125</v>
      </c>
      <c r="K20" s="79"/>
      <c r="L20" s="66"/>
      <c r="N20" s="87"/>
      <c r="O20" s="71"/>
    </row>
    <row r="21" spans="1:15" ht="26.25">
      <c r="A21" s="882" t="s">
        <v>144</v>
      </c>
      <c r="B21" s="883"/>
      <c r="C21" s="88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'15'!F23</f>
        <v>2000</v>
      </c>
      <c r="F23" s="122">
        <v>1500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7" t="s">
        <v>149</v>
      </c>
      <c r="B25" s="888"/>
      <c r="C25" s="889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28628</v>
      </c>
      <c r="F27" s="136">
        <v>9</v>
      </c>
      <c r="G27" s="137">
        <f>E27*F27</f>
        <v>257652</v>
      </c>
      <c r="H27" s="99">
        <f>G27+'15'!H27</f>
        <v>4157793.9000000004</v>
      </c>
      <c r="I27" s="138"/>
      <c r="J27" s="175">
        <f>H27/DAY(B2)</f>
        <v>259862.11875000002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1026</v>
      </c>
      <c r="F28" s="136">
        <v>70</v>
      </c>
      <c r="G28" s="137">
        <f>E28*F28</f>
        <v>71820</v>
      </c>
      <c r="H28" s="99">
        <f>G28+'15'!H28</f>
        <v>1133482</v>
      </c>
      <c r="I28" s="140"/>
      <c r="J28" s="175">
        <f>H28/DAY(B2)</f>
        <v>70842.625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G30+'15'!H30</f>
        <v>123825</v>
      </c>
      <c r="I30" s="140"/>
      <c r="J30" s="175">
        <f>H30/DAY(B2)</f>
        <v>7739.0625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G31+'15'!H31</f>
        <v>292800</v>
      </c>
      <c r="I31" s="140"/>
      <c r="J31" s="175">
        <f>H31/DAY(B2)</f>
        <v>18300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351422</v>
      </c>
      <c r="H32" s="99">
        <f>G32+'15'!H32</f>
        <v>5707900.9000000004</v>
      </c>
      <c r="I32" s="144"/>
      <c r="J32" s="175">
        <f>H32/DAY(B2)</f>
        <v>356743.80625000002</v>
      </c>
      <c r="K32" s="63"/>
      <c r="L32" s="89"/>
      <c r="N32" s="87"/>
      <c r="O32" s="71"/>
    </row>
    <row r="33" spans="1:15" ht="25.5" customHeight="1">
      <c r="A33" s="890" t="s">
        <v>331</v>
      </c>
      <c r="B33" s="891"/>
      <c r="C33" s="891"/>
      <c r="D33" s="337"/>
      <c r="E33" s="337"/>
      <c r="F33" s="411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'15'!F35</f>
        <v>238713</v>
      </c>
      <c r="F35" s="117">
        <v>238713</v>
      </c>
      <c r="G35" s="112">
        <f t="shared" ref="G35:G46" si="3">F35-E35</f>
        <v>0</v>
      </c>
      <c r="H35" s="99">
        <f>G35+'15'!H35</f>
        <v>-1</v>
      </c>
      <c r="I35" s="95"/>
      <c r="J35" s="175">
        <f>H35/DAY(B2)</f>
        <v>-6.25E-2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'15'!F36</f>
        <v>173696</v>
      </c>
      <c r="F36" s="117">
        <v>174330</v>
      </c>
      <c r="G36" s="112">
        <f t="shared" si="3"/>
        <v>634</v>
      </c>
      <c r="H36" s="99">
        <f>G36+'15'!H36</f>
        <v>13882</v>
      </c>
      <c r="I36" s="95"/>
      <c r="J36" s="175">
        <f>H36/DAY(B2)</f>
        <v>867.625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'15'!F37</f>
        <v>261968</v>
      </c>
      <c r="F37" s="117">
        <v>263634</v>
      </c>
      <c r="G37" s="112">
        <f t="shared" si="3"/>
        <v>1666</v>
      </c>
      <c r="H37" s="99">
        <f>G37+'15'!H37</f>
        <v>27855</v>
      </c>
      <c r="I37" s="95"/>
      <c r="J37" s="175">
        <f>H37/DAY(B2)</f>
        <v>1740.9375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'15'!F38</f>
        <v>352755</v>
      </c>
      <c r="F38" s="95">
        <v>355121</v>
      </c>
      <c r="G38" s="112">
        <f t="shared" si="3"/>
        <v>2366</v>
      </c>
      <c r="H38" s="99">
        <f>G38+'15'!H38</f>
        <v>36829</v>
      </c>
      <c r="I38" s="95"/>
      <c r="J38" s="175">
        <f>H38/DAY(B2)</f>
        <v>2301.8125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'15'!F39</f>
        <v>477687</v>
      </c>
      <c r="F39" s="117">
        <v>480786</v>
      </c>
      <c r="G39" s="112">
        <f t="shared" si="3"/>
        <v>3099</v>
      </c>
      <c r="H39" s="99">
        <f>G39+'15'!H39</f>
        <v>45456.090000000026</v>
      </c>
      <c r="I39" s="95"/>
      <c r="J39" s="175">
        <f>H39/DAY(B2)</f>
        <v>2841.0056250000016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'15'!F40</f>
        <v>77478</v>
      </c>
      <c r="F40" s="117">
        <v>77708</v>
      </c>
      <c r="G40" s="112">
        <f t="shared" si="3"/>
        <v>230</v>
      </c>
      <c r="H40" s="99">
        <f>G40+'15'!H40</f>
        <v>4155</v>
      </c>
      <c r="I40" s="95"/>
      <c r="J40" s="175">
        <f>H40/DAY(B2)</f>
        <v>259.6875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'15'!F41</f>
        <v>102530</v>
      </c>
      <c r="F41" s="117">
        <v>108348</v>
      </c>
      <c r="G41" s="112">
        <f t="shared" si="3"/>
        <v>5818</v>
      </c>
      <c r="H41" s="99">
        <f>G41+'15'!H41</f>
        <v>39513</v>
      </c>
      <c r="I41" s="95"/>
      <c r="J41" s="175">
        <f>H41/DAY(B2)</f>
        <v>2469.5625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'15'!F42</f>
        <v>629764</v>
      </c>
      <c r="F42" s="117">
        <v>634309</v>
      </c>
      <c r="G42" s="112">
        <f t="shared" si="3"/>
        <v>4545</v>
      </c>
      <c r="H42" s="99">
        <f>G42+'15'!H42</f>
        <v>71437</v>
      </c>
      <c r="I42" s="95"/>
      <c r="J42" s="175">
        <f>H42/DAY(B2)</f>
        <v>4464.8125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'15'!F43</f>
        <v>407028</v>
      </c>
      <c r="F43" s="117">
        <v>407028</v>
      </c>
      <c r="G43" s="112">
        <f t="shared" si="3"/>
        <v>0</v>
      </c>
      <c r="H43" s="99">
        <f>G43+'15'!H43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18358</v>
      </c>
      <c r="H47" s="99">
        <f>G47+'15'!H47</f>
        <v>239126.09000000003</v>
      </c>
      <c r="I47" s="95"/>
      <c r="J47" s="175">
        <f>H47/DAY(B2)</f>
        <v>14945.380625000002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'15'!F49</f>
        <v>314376</v>
      </c>
      <c r="F49" s="117">
        <v>317736</v>
      </c>
      <c r="G49" s="112">
        <f t="shared" ref="G49:G58" si="4">F49-E49</f>
        <v>3360</v>
      </c>
      <c r="H49" s="99">
        <f>G49+'15'!H49</f>
        <v>57589</v>
      </c>
      <c r="I49" s="95"/>
      <c r="J49" s="175">
        <f>H49/DAY(B2)</f>
        <v>3599.3125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'15'!F50</f>
        <v>226174</v>
      </c>
      <c r="F50" s="117">
        <v>227035</v>
      </c>
      <c r="G50" s="112">
        <f t="shared" si="4"/>
        <v>861</v>
      </c>
      <c r="H50" s="99">
        <f>G50+'15'!H50</f>
        <v>17471</v>
      </c>
      <c r="I50" s="95"/>
      <c r="J50" s="175">
        <f>H50/DAY(B2)</f>
        <v>1091.9375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'15'!F51</f>
        <v>76</v>
      </c>
      <c r="F51" s="117">
        <v>76</v>
      </c>
      <c r="G51" s="112">
        <f t="shared" si="4"/>
        <v>0</v>
      </c>
      <c r="H51" s="99">
        <f>G51+'15'!H51</f>
        <v>0.31999999999999318</v>
      </c>
      <c r="I51" s="95"/>
      <c r="J51" s="175">
        <f>H51/DAY(B2)</f>
        <v>1.9999999999999574E-2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'15'!F52</f>
        <v>10</v>
      </c>
      <c r="F52" s="117">
        <v>10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'15'!F53</f>
        <v>0</v>
      </c>
      <c r="F53" s="410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'15'!F54</f>
        <v>71489</v>
      </c>
      <c r="F54" s="410">
        <v>71957</v>
      </c>
      <c r="G54" s="236">
        <f t="shared" si="4"/>
        <v>468</v>
      </c>
      <c r="H54" s="99">
        <f>G54+'15'!H54</f>
        <v>7401</v>
      </c>
      <c r="I54" s="95"/>
      <c r="J54" s="175">
        <f>H54/DAY(B2)</f>
        <v>462.5625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'15'!F55</f>
        <v>254288</v>
      </c>
      <c r="F55" s="410">
        <v>254288</v>
      </c>
      <c r="G55" s="236">
        <f t="shared" si="4"/>
        <v>0</v>
      </c>
      <c r="H55" s="99">
        <f>G55+'15'!H55</f>
        <v>28815</v>
      </c>
      <c r="I55" s="95"/>
      <c r="J55" s="175">
        <f>H55/DAY(B2)</f>
        <v>1800.9375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'15'!F56</f>
        <v>109347</v>
      </c>
      <c r="F56" s="117">
        <v>109347</v>
      </c>
      <c r="G56" s="112">
        <f t="shared" si="4"/>
        <v>0</v>
      </c>
      <c r="H56" s="99">
        <f>G56+'15'!H56</f>
        <v>2101</v>
      </c>
      <c r="I56" s="95"/>
      <c r="J56" s="175">
        <f>H56/DAY(B2)</f>
        <v>131.3125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'15'!F57</f>
        <v>84867</v>
      </c>
      <c r="F57" s="117">
        <v>88133</v>
      </c>
      <c r="G57" s="112">
        <f t="shared" si="4"/>
        <v>3266</v>
      </c>
      <c r="H57" s="99">
        <f>G57+'15'!H57</f>
        <v>50530</v>
      </c>
      <c r="I57" s="95"/>
      <c r="J57" s="175">
        <f>H57/DAY(B2)</f>
        <v>3158.125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'15'!F58</f>
        <v>36314</v>
      </c>
      <c r="F58" s="117">
        <v>36562</v>
      </c>
      <c r="G58" s="112">
        <f t="shared" si="4"/>
        <v>248</v>
      </c>
      <c r="H58" s="99">
        <f>G58+'15'!H58</f>
        <v>3673</v>
      </c>
      <c r="I58" s="95"/>
      <c r="J58" s="175">
        <f>H58/DAY(B2)</f>
        <v>229.5625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8203</v>
      </c>
      <c r="H59" s="99">
        <f>G59+'15'!H59</f>
        <v>167580.32</v>
      </c>
      <c r="I59" s="95">
        <f>G7-G60</f>
        <v>1251</v>
      </c>
      <c r="J59" s="175">
        <f>H59/DAY(B2)</f>
        <v>10473.77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51"/>
      <c r="G60" s="119">
        <f>G47+G59</f>
        <v>26561</v>
      </c>
      <c r="H60" s="99">
        <f>G60+'15'!H60</f>
        <v>406706.41000000003</v>
      </c>
      <c r="I60" s="95">
        <f>G13-G60</f>
        <v>491</v>
      </c>
      <c r="J60" s="175">
        <f>H60/DAY(B2)</f>
        <v>25419.150625000002</v>
      </c>
      <c r="K60" s="79"/>
      <c r="L60" s="66"/>
      <c r="N60" s="87"/>
      <c r="O60" s="71"/>
    </row>
    <row r="61" spans="1:15" s="68" customFormat="1" ht="26.25">
      <c r="A61" s="892" t="s">
        <v>332</v>
      </c>
      <c r="B61" s="893"/>
      <c r="C61" s="89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3" t="s">
        <v>198</v>
      </c>
      <c r="B62" s="874"/>
      <c r="C62" s="875"/>
      <c r="D62" s="151" t="s">
        <v>142</v>
      </c>
      <c r="E62" s="95">
        <f>'15'!F62</f>
        <v>291132</v>
      </c>
      <c r="F62" s="122">
        <v>291255</v>
      </c>
      <c r="G62" s="112">
        <f t="shared" ref="G62:G63" si="5">F62-E62</f>
        <v>123</v>
      </c>
      <c r="H62" s="99">
        <f>G62+'15'!H62</f>
        <v>2355</v>
      </c>
      <c r="I62" s="118"/>
      <c r="J62" s="175">
        <f>H62/DAY(B2)</f>
        <v>147.1875</v>
      </c>
      <c r="K62" s="80"/>
      <c r="L62" s="66"/>
      <c r="N62" s="87"/>
      <c r="O62" s="71"/>
    </row>
    <row r="63" spans="1:15" ht="25.5">
      <c r="A63" s="873" t="s">
        <v>199</v>
      </c>
      <c r="B63" s="874"/>
      <c r="C63" s="875"/>
      <c r="D63" s="151" t="s">
        <v>142</v>
      </c>
      <c r="E63" s="95">
        <f>'15'!F63</f>
        <v>233133</v>
      </c>
      <c r="F63" s="122">
        <v>233260</v>
      </c>
      <c r="G63" s="112">
        <f t="shared" si="5"/>
        <v>127</v>
      </c>
      <c r="H63" s="99">
        <f>G63+'15'!H63</f>
        <v>2098</v>
      </c>
      <c r="I63" s="118"/>
      <c r="J63" s="175">
        <f>H63/DAY(B2)</f>
        <v>131.125</v>
      </c>
      <c r="K63" s="69"/>
      <c r="L63" s="66"/>
      <c r="N63" s="87"/>
      <c r="O63" s="71"/>
    </row>
    <row r="64" spans="1:15" ht="26.25">
      <c r="A64" s="870" t="s">
        <v>200</v>
      </c>
      <c r="B64" s="871"/>
      <c r="C64" s="872"/>
      <c r="D64" s="151"/>
      <c r="E64" s="95">
        <v>0</v>
      </c>
      <c r="F64" s="122"/>
      <c r="G64" s="112">
        <f>G62+G63</f>
        <v>250</v>
      </c>
      <c r="H64" s="99">
        <f>G64+'15'!H64</f>
        <v>4453</v>
      </c>
      <c r="I64" s="118"/>
      <c r="J64" s="175">
        <f>H64/DAY(B2)</f>
        <v>278.3125</v>
      </c>
      <c r="K64" s="69"/>
      <c r="L64" s="66"/>
      <c r="N64" s="87"/>
      <c r="O64" s="71"/>
    </row>
    <row r="65" spans="1:15" ht="25.5">
      <c r="A65" s="873" t="s">
        <v>201</v>
      </c>
      <c r="B65" s="874"/>
      <c r="C65" s="875"/>
      <c r="D65" s="151" t="s">
        <v>142</v>
      </c>
      <c r="E65" s="95">
        <f>'15'!F65</f>
        <v>449818</v>
      </c>
      <c r="F65" s="150">
        <v>449941</v>
      </c>
      <c r="G65" s="112">
        <f t="shared" ref="G65:G70" si="6">F65-E65</f>
        <v>123</v>
      </c>
      <c r="H65" s="99">
        <f>G65+'15'!H65</f>
        <v>1914</v>
      </c>
      <c r="I65" s="118"/>
      <c r="J65" s="175">
        <f>H65/DAY(B2)</f>
        <v>119.625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'15'!F66</f>
        <v>110733</v>
      </c>
      <c r="F66" s="122">
        <v>110755</v>
      </c>
      <c r="G66" s="112">
        <f t="shared" si="6"/>
        <v>22</v>
      </c>
      <c r="H66" s="99">
        <f>G66+'15'!H66</f>
        <v>424</v>
      </c>
      <c r="I66" s="118"/>
      <c r="J66" s="175">
        <f>H66/DAY(B2)</f>
        <v>26.5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'15'!F67</f>
        <v>113681</v>
      </c>
      <c r="F67" s="122">
        <v>113681</v>
      </c>
      <c r="G67" s="112">
        <f t="shared" si="6"/>
        <v>0</v>
      </c>
      <c r="H67" s="99">
        <f>G67+'15'!H67</f>
        <v>403</v>
      </c>
      <c r="I67" s="118"/>
      <c r="J67" s="175">
        <f>H67/DAY(B2)</f>
        <v>25.1875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'15'!F68</f>
        <v>162933</v>
      </c>
      <c r="F68" s="122">
        <v>162957</v>
      </c>
      <c r="G68" s="112">
        <f t="shared" si="6"/>
        <v>24</v>
      </c>
      <c r="H68" s="99">
        <f>G68+'15'!H68</f>
        <v>463</v>
      </c>
      <c r="I68" s="118"/>
      <c r="J68" s="175">
        <f>H68/DAY(B2)</f>
        <v>28.9375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'15'!F69</f>
        <v>12042</v>
      </c>
      <c r="F69" s="122">
        <v>12048</v>
      </c>
      <c r="G69" s="112">
        <f t="shared" si="6"/>
        <v>6</v>
      </c>
      <c r="H69" s="99">
        <f>G69+'15'!H69</f>
        <v>179</v>
      </c>
      <c r="I69" s="118"/>
      <c r="J69" s="175">
        <f>H69/DAY(B2)</f>
        <v>11.1875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'15'!F70</f>
        <v>9396</v>
      </c>
      <c r="F70" s="122">
        <v>9402</v>
      </c>
      <c r="G70" s="112">
        <f t="shared" si="6"/>
        <v>6</v>
      </c>
      <c r="H70" s="99">
        <f>G70+'15'!H70</f>
        <v>135</v>
      </c>
      <c r="I70" s="118"/>
      <c r="J70" s="175">
        <f>H70/DAY(B2)</f>
        <v>8.4375</v>
      </c>
      <c r="K70" s="69"/>
      <c r="L70" s="66"/>
      <c r="N70" s="87"/>
      <c r="O70" s="71"/>
    </row>
    <row r="71" spans="1:15" ht="26.25">
      <c r="A71" s="870" t="s">
        <v>208</v>
      </c>
      <c r="B71" s="871"/>
      <c r="C71" s="872"/>
      <c r="D71" s="152"/>
      <c r="E71" s="152"/>
      <c r="F71" s="152"/>
      <c r="G71" s="153">
        <f>SUM(G65:G70)</f>
        <v>181</v>
      </c>
      <c r="H71" s="99">
        <f>G71+'15'!H71</f>
        <v>3518</v>
      </c>
      <c r="I71" s="154"/>
      <c r="J71" s="175">
        <f>H71/DAY(B2)</f>
        <v>219.875</v>
      </c>
      <c r="K71" s="69"/>
      <c r="L71" s="66"/>
      <c r="N71" s="87"/>
      <c r="O71" s="71"/>
    </row>
    <row r="72" spans="1:15" s="88" customFormat="1" ht="25.5">
      <c r="A72" s="916"/>
      <c r="B72" s="908"/>
      <c r="C72" s="347"/>
      <c r="D72" s="180"/>
      <c r="E72" s="180" t="s">
        <v>207</v>
      </c>
      <c r="F72" s="412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3" t="s">
        <v>220</v>
      </c>
      <c r="B74" s="874"/>
      <c r="C74" s="875"/>
      <c r="D74" s="151" t="s">
        <v>139</v>
      </c>
      <c r="E74" s="95">
        <f>'15'!F74</f>
        <v>943332</v>
      </c>
      <c r="F74" s="117">
        <v>943643</v>
      </c>
      <c r="G74" s="112">
        <f t="shared" ref="G74:G78" si="7">F74-E74</f>
        <v>311</v>
      </c>
      <c r="H74" s="99">
        <f>G74+'15'!H74</f>
        <v>4973</v>
      </c>
      <c r="I74" s="154"/>
      <c r="J74" s="175">
        <f>H74/DAY(B2)</f>
        <v>310.8125</v>
      </c>
      <c r="K74" s="69"/>
      <c r="L74" s="66"/>
      <c r="N74" s="87"/>
      <c r="O74" s="71"/>
    </row>
    <row r="75" spans="1:15" ht="25.5">
      <c r="A75" s="873" t="s">
        <v>221</v>
      </c>
      <c r="B75" s="874"/>
      <c r="C75" s="875"/>
      <c r="D75" s="151" t="s">
        <v>139</v>
      </c>
      <c r="E75" s="95">
        <f>'15'!F75</f>
        <v>73586.8</v>
      </c>
      <c r="F75" s="123">
        <v>73586.8</v>
      </c>
      <c r="G75" s="112">
        <f t="shared" si="7"/>
        <v>0</v>
      </c>
      <c r="H75" s="99">
        <f>G75+'15'!H75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7" t="s">
        <v>222</v>
      </c>
      <c r="B76" s="903"/>
      <c r="C76" s="904"/>
      <c r="D76" s="151" t="s">
        <v>139</v>
      </c>
      <c r="E76" s="95">
        <f>'15'!F76</f>
        <v>185401</v>
      </c>
      <c r="F76" s="123">
        <v>185464</v>
      </c>
      <c r="G76" s="112">
        <f t="shared" si="7"/>
        <v>63</v>
      </c>
      <c r="H76" s="99">
        <f>G76+'15'!H76</f>
        <v>1758</v>
      </c>
      <c r="I76" s="154"/>
      <c r="J76" s="175">
        <f>H76/DAY(B2)</f>
        <v>109.875</v>
      </c>
      <c r="K76" s="69"/>
      <c r="L76" s="66"/>
      <c r="N76" s="87"/>
      <c r="O76" s="71"/>
    </row>
    <row r="77" spans="1:15" ht="25.5">
      <c r="A77" s="917" t="s">
        <v>223</v>
      </c>
      <c r="B77" s="903"/>
      <c r="C77" s="904"/>
      <c r="D77" s="151" t="s">
        <v>139</v>
      </c>
      <c r="E77" s="95">
        <f>'15'!F77</f>
        <v>48070</v>
      </c>
      <c r="F77" s="123">
        <v>48113</v>
      </c>
      <c r="G77" s="112">
        <f t="shared" si="7"/>
        <v>43</v>
      </c>
      <c r="H77" s="99">
        <f>G77+'15'!H77</f>
        <v>768</v>
      </c>
      <c r="I77" s="154"/>
      <c r="J77" s="175">
        <f>H77/DAY(B2)</f>
        <v>48</v>
      </c>
      <c r="K77" s="69"/>
      <c r="L77" s="66"/>
      <c r="N77" s="87"/>
      <c r="O77" s="71"/>
    </row>
    <row r="78" spans="1:15" ht="25.5">
      <c r="A78" s="917" t="s">
        <v>224</v>
      </c>
      <c r="B78" s="903"/>
      <c r="C78" s="904"/>
      <c r="D78" s="151" t="s">
        <v>139</v>
      </c>
      <c r="E78" s="95">
        <f>'15'!F78</f>
        <v>9564</v>
      </c>
      <c r="F78" s="123">
        <v>9564</v>
      </c>
      <c r="G78" s="112">
        <f t="shared" si="7"/>
        <v>0</v>
      </c>
      <c r="H78" s="99">
        <f>G78+'15'!H78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7" t="s">
        <v>225</v>
      </c>
      <c r="B79" s="903"/>
      <c r="C79" s="904"/>
      <c r="D79" s="151"/>
      <c r="E79" s="95">
        <f>'15'!F79</f>
        <v>0</v>
      </c>
      <c r="F79" s="123"/>
      <c r="G79" s="112">
        <f>G15-SUM(G74:G78)</f>
        <v>609</v>
      </c>
      <c r="H79" s="99">
        <f>G79+'15'!H79</f>
        <v>9473</v>
      </c>
      <c r="I79" s="118"/>
      <c r="J79" s="175"/>
      <c r="K79" s="59"/>
      <c r="L79" s="58"/>
      <c r="N79" s="87"/>
      <c r="O79" s="71"/>
    </row>
    <row r="80" spans="1:15" s="57" customFormat="1" ht="26.25">
      <c r="A80" s="870" t="s">
        <v>329</v>
      </c>
      <c r="B80" s="871"/>
      <c r="C80" s="872"/>
      <c r="D80" s="151"/>
      <c r="E80" s="117"/>
      <c r="F80" s="117"/>
      <c r="G80" s="112">
        <f>SUM(G74:G79)</f>
        <v>1026</v>
      </c>
      <c r="H80" s="99">
        <f>G80+'15'!H80</f>
        <v>1026</v>
      </c>
      <c r="I80" s="118"/>
      <c r="J80" s="175"/>
      <c r="K80" s="59"/>
      <c r="L80" s="58"/>
      <c r="N80" s="87"/>
      <c r="O80" s="71"/>
    </row>
    <row r="81" spans="1:15" ht="25.5">
      <c r="A81" s="909" t="s">
        <v>226</v>
      </c>
      <c r="B81" s="910"/>
      <c r="C81" s="911"/>
      <c r="D81" s="110"/>
      <c r="E81" s="110"/>
      <c r="F81" s="111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'15'!F84</f>
        <v>42113</v>
      </c>
      <c r="F84" s="164">
        <v>42137</v>
      </c>
      <c r="G84" s="112">
        <f t="shared" si="8"/>
        <v>24</v>
      </c>
      <c r="H84" s="99">
        <f>G84+'15'!H84</f>
        <v>168</v>
      </c>
      <c r="I84" s="573"/>
      <c r="J84" s="175">
        <f>H84/DAY(B2)</f>
        <v>10.5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'15'!F85</f>
        <v>4635</v>
      </c>
      <c r="F85" s="164">
        <v>4654</v>
      </c>
      <c r="G85" s="112">
        <f t="shared" si="8"/>
        <v>19</v>
      </c>
      <c r="H85" s="99">
        <f>G85+'15'!H85</f>
        <v>311</v>
      </c>
      <c r="I85" s="573"/>
      <c r="J85" s="175">
        <f>H85/DAY(B2)</f>
        <v>19.4375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'15'!F86</f>
        <v>44658</v>
      </c>
      <c r="F86" s="164">
        <v>44658</v>
      </c>
      <c r="G86" s="112">
        <f t="shared" si="8"/>
        <v>0</v>
      </c>
      <c r="H86" s="99">
        <f>G86+'15'!H86</f>
        <v>188</v>
      </c>
      <c r="I86" s="573"/>
      <c r="J86" s="175">
        <f>H86/DAY(B2)</f>
        <v>11.75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'15'!F87</f>
        <v>35345</v>
      </c>
      <c r="F87" s="164">
        <v>35345</v>
      </c>
      <c r="G87" s="112">
        <f t="shared" si="8"/>
        <v>0</v>
      </c>
      <c r="H87" s="99">
        <f>G87+'15'!H87</f>
        <v>16</v>
      </c>
      <c r="I87" s="573">
        <f>G84+G85+G86+G87</f>
        <v>43</v>
      </c>
      <c r="J87" s="175">
        <f>H87/DAY(B2)</f>
        <v>1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'15'!F88</f>
        <v>24276.95</v>
      </c>
      <c r="F88" s="164">
        <v>24276.95</v>
      </c>
      <c r="G88" s="112">
        <f t="shared" si="8"/>
        <v>0</v>
      </c>
      <c r="H88" s="99">
        <f>G88+'15'!H88</f>
        <v>49.069999999999709</v>
      </c>
      <c r="I88" s="573"/>
      <c r="J88" s="175">
        <f>H88/DAY(B2)</f>
        <v>3.0668749999999818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'15'!F89</f>
        <v>27146</v>
      </c>
      <c r="F89" s="164">
        <v>27156.89</v>
      </c>
      <c r="G89" s="112">
        <f t="shared" si="8"/>
        <v>10.889999999999418</v>
      </c>
      <c r="H89" s="99">
        <f>G89+'15'!H89</f>
        <v>163.47999999999956</v>
      </c>
      <c r="I89" s="573">
        <f>G88+G89</f>
        <v>10.889999999999418</v>
      </c>
      <c r="J89" s="175">
        <f>H89/DAY(B2)</f>
        <v>10.217499999999973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'15'!F90</f>
        <v>72178</v>
      </c>
      <c r="F90" s="164">
        <v>72189.16</v>
      </c>
      <c r="G90" s="112">
        <f t="shared" si="8"/>
        <v>11.160000000003492</v>
      </c>
      <c r="H90" s="99">
        <f>G90+'15'!H90</f>
        <v>62.040000000008149</v>
      </c>
      <c r="I90" s="573">
        <f>G90</f>
        <v>11.160000000003492</v>
      </c>
      <c r="J90" s="175">
        <f>H90/DAY(B2)</f>
        <v>3.8775000000005093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'15'!F91</f>
        <v>4122</v>
      </c>
      <c r="F91" s="122">
        <v>4122</v>
      </c>
      <c r="G91" s="112">
        <f t="shared" si="8"/>
        <v>0</v>
      </c>
      <c r="H91" s="99">
        <f>G91+'15'!H91</f>
        <v>0.3500000000003638</v>
      </c>
      <c r="I91" s="592"/>
      <c r="J91" s="175">
        <f>H91/DAY(B2)</f>
        <v>2.1875000000022737E-2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'15'!F92</f>
        <v>6380</v>
      </c>
      <c r="F92" s="122">
        <v>6390.61</v>
      </c>
      <c r="G92" s="112">
        <f t="shared" si="8"/>
        <v>10.609999999999673</v>
      </c>
      <c r="H92" s="99">
        <f>G92+'15'!H92</f>
        <v>173.35999999999967</v>
      </c>
      <c r="I92" s="598">
        <f>G91+G92</f>
        <v>10.609999999999673</v>
      </c>
      <c r="J92" s="175">
        <f>H92/DAY(B2)</f>
        <v>10.83499999999998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3" t="s">
        <v>240</v>
      </c>
      <c r="B94" s="874"/>
      <c r="C94" s="875"/>
      <c r="D94" s="151" t="s">
        <v>130</v>
      </c>
      <c r="E94" s="151"/>
      <c r="F94" s="151"/>
      <c r="G94" s="99">
        <f>G35+G43+G49+G57</f>
        <v>6626</v>
      </c>
      <c r="H94" s="99">
        <f>G94+'15'!H94</f>
        <v>108118</v>
      </c>
      <c r="I94" s="118"/>
      <c r="J94" s="175">
        <f>H94/DAY(B2)</f>
        <v>6757.375</v>
      </c>
      <c r="K94" s="69"/>
      <c r="L94" s="66"/>
      <c r="O94" s="71"/>
    </row>
    <row r="95" spans="1:15" ht="25.5">
      <c r="A95" s="873" t="s">
        <v>241</v>
      </c>
      <c r="B95" s="874"/>
      <c r="C95" s="875"/>
      <c r="D95" s="151" t="s">
        <v>23</v>
      </c>
      <c r="E95" s="146"/>
      <c r="F95" s="151"/>
      <c r="G95" s="166">
        <f>G94/G7</f>
        <v>0.23824248525816194</v>
      </c>
      <c r="H95" s="99">
        <f>G95+'15'!H95</f>
        <v>3.8821963934693491</v>
      </c>
      <c r="I95" s="167"/>
      <c r="J95" s="175">
        <f>H95/DAY(B2)</f>
        <v>0.24263727459183432</v>
      </c>
      <c r="K95" s="69"/>
      <c r="L95" s="66"/>
      <c r="O95" s="71"/>
    </row>
    <row r="96" spans="1:15" ht="25.5">
      <c r="A96" s="873" t="s">
        <v>242</v>
      </c>
      <c r="B96" s="874"/>
      <c r="C96" s="875"/>
      <c r="D96" s="151" t="s">
        <v>130</v>
      </c>
      <c r="E96" s="95"/>
      <c r="F96" s="95"/>
      <c r="G96" s="99">
        <f>G41+G42+G55+G56</f>
        <v>10363</v>
      </c>
      <c r="H96" s="99">
        <f>G96+'15'!H96</f>
        <v>141866</v>
      </c>
      <c r="I96" s="118"/>
      <c r="J96" s="175">
        <f>H96/DAY(B2)</f>
        <v>8866.625</v>
      </c>
      <c r="K96" s="69"/>
      <c r="L96" s="66"/>
      <c r="O96" s="71"/>
    </row>
    <row r="97" spans="1:15" ht="25.5">
      <c r="A97" s="873" t="s">
        <v>243</v>
      </c>
      <c r="B97" s="874"/>
      <c r="C97" s="875"/>
      <c r="D97" s="151" t="s">
        <v>23</v>
      </c>
      <c r="E97" s="95"/>
      <c r="F97" s="95"/>
      <c r="G97" s="166">
        <f>G96/G7</f>
        <v>0.37260894577880049</v>
      </c>
      <c r="H97" s="99">
        <f>G97+'15'!H97</f>
        <v>5.0519124170627405</v>
      </c>
      <c r="I97" s="167"/>
      <c r="J97" s="175">
        <f>H97/DAY(B2)</f>
        <v>0.31574452606642128</v>
      </c>
      <c r="K97" s="69"/>
      <c r="L97" s="66"/>
      <c r="O97" s="71"/>
    </row>
    <row r="98" spans="1:15" ht="25.5">
      <c r="A98" s="873" t="s">
        <v>244</v>
      </c>
      <c r="B98" s="874"/>
      <c r="C98" s="875"/>
      <c r="D98" s="151" t="s">
        <v>130</v>
      </c>
      <c r="E98" s="95"/>
      <c r="F98" s="95"/>
      <c r="G98" s="99">
        <f>G39+G53</f>
        <v>3099</v>
      </c>
      <c r="H98" s="99">
        <f>G98+'15'!H98</f>
        <v>45456.090000000026</v>
      </c>
      <c r="I98" s="168"/>
      <c r="J98" s="175">
        <f>H98/DAY(B2)</f>
        <v>2841.0056250000016</v>
      </c>
      <c r="K98" s="69"/>
      <c r="L98" s="66"/>
      <c r="O98" s="71"/>
    </row>
    <row r="99" spans="1:15" ht="25.5">
      <c r="A99" s="873" t="s">
        <v>245</v>
      </c>
      <c r="B99" s="874"/>
      <c r="C99" s="875"/>
      <c r="D99" s="151" t="s">
        <v>23</v>
      </c>
      <c r="E99" s="95"/>
      <c r="F99" s="95"/>
      <c r="G99" s="166">
        <f>G98/G7</f>
        <v>0.11142672227815331</v>
      </c>
      <c r="H99" s="99">
        <f>G99+'15'!H99</f>
        <v>1.6286100501770482</v>
      </c>
      <c r="I99" s="168"/>
      <c r="J99" s="175">
        <f>H99/DAY(B2)</f>
        <v>0.10178812813606551</v>
      </c>
      <c r="O99" s="71"/>
    </row>
    <row r="100" spans="1:15" ht="26.25">
      <c r="A100" s="873" t="s">
        <v>246</v>
      </c>
      <c r="B100" s="874"/>
      <c r="C100" s="875"/>
      <c r="D100" s="151" t="s">
        <v>180</v>
      </c>
      <c r="E100" s="95"/>
      <c r="F100" s="95"/>
      <c r="G100" s="99">
        <f>G38+G52</f>
        <v>2366</v>
      </c>
      <c r="H100" s="99">
        <f>G100+'15'!H100</f>
        <v>36829</v>
      </c>
      <c r="I100" s="118"/>
      <c r="J100" s="175">
        <f>H100/DAY(B2)</f>
        <v>2301.8125</v>
      </c>
      <c r="K100" s="70"/>
      <c r="O100" s="71"/>
    </row>
    <row r="101" spans="1:15" ht="25.5">
      <c r="A101" s="873" t="s">
        <v>247</v>
      </c>
      <c r="B101" s="874"/>
      <c r="C101" s="875"/>
      <c r="D101" s="151" t="s">
        <v>23</v>
      </c>
      <c r="E101" s="95"/>
      <c r="F101" s="95"/>
      <c r="G101" s="166">
        <f>G100/G7</f>
        <v>8.5071192291097372E-2</v>
      </c>
      <c r="H101" s="99">
        <f>G101+'15'!H101</f>
        <v>1.3186954206728867</v>
      </c>
      <c r="I101" s="168"/>
      <c r="J101" s="175">
        <f>H101/DAY(B2)</f>
        <v>8.2418463792055419E-2</v>
      </c>
      <c r="O101" s="71"/>
    </row>
    <row r="102" spans="1:15" ht="25.5">
      <c r="A102" s="873" t="s">
        <v>248</v>
      </c>
      <c r="B102" s="874"/>
      <c r="C102" s="875"/>
      <c r="D102" s="151" t="s">
        <v>180</v>
      </c>
      <c r="E102" s="95"/>
      <c r="F102" s="95"/>
      <c r="G102" s="99">
        <f>G36+G50</f>
        <v>1495</v>
      </c>
      <c r="H102" s="99">
        <f>G102+'15'!H102</f>
        <v>31353</v>
      </c>
      <c r="I102" s="168"/>
      <c r="J102" s="175">
        <f>H102/DAY(B2)</f>
        <v>1959.5625</v>
      </c>
      <c r="O102" s="71"/>
    </row>
    <row r="103" spans="1:15" ht="25.5">
      <c r="A103" s="873" t="s">
        <v>249</v>
      </c>
      <c r="B103" s="874"/>
      <c r="C103" s="875"/>
      <c r="D103" s="151" t="s">
        <v>23</v>
      </c>
      <c r="E103" s="95"/>
      <c r="F103" s="95"/>
      <c r="G103" s="166">
        <f>G102/G7</f>
        <v>5.3753775348770315E-2</v>
      </c>
      <c r="H103" s="99">
        <f>G103+'15'!H103</f>
        <v>1.1171430479072022</v>
      </c>
      <c r="I103" s="118"/>
      <c r="J103" s="175">
        <f>H103/DAY(B2)</f>
        <v>6.9821440494200138E-2</v>
      </c>
      <c r="O103" s="71"/>
    </row>
    <row r="104" spans="1:15" ht="25.5">
      <c r="A104" s="873" t="s">
        <v>250</v>
      </c>
      <c r="B104" s="874"/>
      <c r="C104" s="875"/>
      <c r="D104" s="151" t="s">
        <v>180</v>
      </c>
      <c r="E104" s="95"/>
      <c r="F104" s="95"/>
      <c r="G104" s="99">
        <f>G37+G51</f>
        <v>1666</v>
      </c>
      <c r="H104" s="99">
        <f>G104+'15'!H104</f>
        <v>27855.32</v>
      </c>
      <c r="I104" s="118"/>
      <c r="J104" s="175">
        <f>H104/DAY(B2)</f>
        <v>1740.9575</v>
      </c>
      <c r="O104" s="71"/>
    </row>
    <row r="105" spans="1:15" ht="26.25" thickBot="1">
      <c r="A105" s="913" t="s">
        <v>251</v>
      </c>
      <c r="B105" s="914"/>
      <c r="C105" s="915"/>
      <c r="D105" s="231" t="s">
        <v>23</v>
      </c>
      <c r="E105" s="185"/>
      <c r="F105" s="185"/>
      <c r="G105" s="186">
        <f>G104/G7</f>
        <v>5.9902200488997553E-2</v>
      </c>
      <c r="H105" s="99">
        <f>G105+'15'!H105</f>
        <v>0.99435483091617616</v>
      </c>
      <c r="I105" s="187"/>
      <c r="J105" s="188">
        <f>H105/DAY(B2)</f>
        <v>6.214717693226101E-2</v>
      </c>
      <c r="O105" s="71"/>
    </row>
    <row r="106" spans="1:15" ht="25.5">
      <c r="A106" s="105"/>
      <c r="B106" s="96"/>
      <c r="C106" s="96"/>
      <c r="D106" s="169"/>
      <c r="E106" s="169"/>
      <c r="F106" s="413"/>
      <c r="G106" s="169"/>
      <c r="H106" s="170"/>
      <c r="I106" s="169"/>
      <c r="J106" s="171"/>
      <c r="O106" s="71"/>
    </row>
    <row r="107" spans="1:15" ht="26.25"/>
    <row r="108" spans="1:15" ht="27.75">
      <c r="A108" s="927" t="s">
        <v>324</v>
      </c>
      <c r="B108" s="927"/>
      <c r="C108" s="927"/>
      <c r="D108" s="927"/>
      <c r="E108" s="927"/>
      <c r="F108" s="927"/>
      <c r="G108" s="927"/>
      <c r="H108" s="927"/>
      <c r="I108" s="927"/>
      <c r="J108" s="927"/>
    </row>
    <row r="109" spans="1:15" ht="26.25">
      <c r="A109" s="912"/>
      <c r="B109" s="912"/>
    </row>
    <row r="110" spans="1:15" ht="26.25">
      <c r="A110" s="928" t="s">
        <v>165</v>
      </c>
      <c r="B110" s="929"/>
      <c r="C110" s="929"/>
      <c r="D110" s="929"/>
      <c r="E110" s="929"/>
      <c r="F110" s="929"/>
      <c r="G110" s="929"/>
      <c r="H110" s="929"/>
      <c r="I110" s="929"/>
      <c r="J110" s="930"/>
    </row>
    <row r="111" spans="1:15" ht="25.5">
      <c r="A111" s="931"/>
      <c r="B111" s="932"/>
      <c r="C111" s="933"/>
      <c r="D111" s="165"/>
      <c r="E111" s="165"/>
      <c r="F111" s="155"/>
      <c r="G111" s="165"/>
      <c r="H111" s="156"/>
      <c r="I111" s="165"/>
      <c r="J111" s="327"/>
    </row>
    <row r="112" spans="1:15" ht="25.5">
      <c r="A112" s="906" t="s">
        <v>252</v>
      </c>
      <c r="B112" s="907"/>
      <c r="C112" s="908"/>
      <c r="D112" s="146" t="s">
        <v>183</v>
      </c>
      <c r="E112" s="95">
        <f>'15'!F112</f>
        <v>3814</v>
      </c>
      <c r="F112" s="237">
        <v>3894</v>
      </c>
      <c r="G112" s="112">
        <f t="shared" ref="G112:G123" si="9">F112-E112</f>
        <v>80</v>
      </c>
      <c r="H112" s="99">
        <f>G112+'15'!H112</f>
        <v>1217</v>
      </c>
      <c r="I112" s="165"/>
      <c r="J112" s="328">
        <f>H112/DAY(B2)</f>
        <v>76.0625</v>
      </c>
    </row>
    <row r="113" spans="1:18" ht="29.25" customHeight="1">
      <c r="A113" s="906" t="s">
        <v>253</v>
      </c>
      <c r="B113" s="907"/>
      <c r="C113" s="908"/>
      <c r="D113" s="146" t="s">
        <v>183</v>
      </c>
      <c r="E113" s="95">
        <f>'15'!F113</f>
        <v>8513</v>
      </c>
      <c r="F113" s="237">
        <v>8653</v>
      </c>
      <c r="G113" s="112">
        <f t="shared" si="9"/>
        <v>140</v>
      </c>
      <c r="H113" s="99">
        <f>G113+'15'!H113</f>
        <v>2262</v>
      </c>
      <c r="I113" s="165"/>
      <c r="J113" s="328">
        <f>H113/DAY(B2)</f>
        <v>141.375</v>
      </c>
    </row>
    <row r="114" spans="1:18" ht="29.25" customHeight="1">
      <c r="A114" s="906" t="s">
        <v>254</v>
      </c>
      <c r="B114" s="907"/>
      <c r="C114" s="908"/>
      <c r="D114" s="146" t="s">
        <v>183</v>
      </c>
      <c r="E114" s="95">
        <f>'15'!F114</f>
        <v>10855</v>
      </c>
      <c r="F114" s="417">
        <v>11075</v>
      </c>
      <c r="G114" s="112">
        <f t="shared" si="9"/>
        <v>220</v>
      </c>
      <c r="H114" s="99">
        <f>G114+'15'!H114</f>
        <v>3505</v>
      </c>
      <c r="I114" s="165"/>
      <c r="J114" s="328">
        <f>H114/DAY(B2)</f>
        <v>219.0625</v>
      </c>
    </row>
    <row r="115" spans="1:18" ht="29.25" customHeight="1">
      <c r="A115" s="906" t="s">
        <v>255</v>
      </c>
      <c r="B115" s="907"/>
      <c r="C115" s="908"/>
      <c r="D115" s="146" t="s">
        <v>183</v>
      </c>
      <c r="E115" s="237">
        <v>6931</v>
      </c>
      <c r="F115" s="468">
        <v>7070</v>
      </c>
      <c r="G115" s="236">
        <f t="shared" si="9"/>
        <v>139</v>
      </c>
      <c r="H115" s="99">
        <f>G115+'15'!H115</f>
        <v>939.52000000000021</v>
      </c>
      <c r="I115" s="165"/>
      <c r="J115" s="328">
        <f>H115/DAY(B2)</f>
        <v>58.720000000000013</v>
      </c>
      <c r="N115" s="470" t="s">
        <v>363</v>
      </c>
    </row>
    <row r="116" spans="1:18" ht="29.25" customHeight="1">
      <c r="A116" s="924" t="s">
        <v>96</v>
      </c>
      <c r="B116" s="925"/>
      <c r="C116" s="926"/>
      <c r="D116" s="146" t="s">
        <v>183</v>
      </c>
      <c r="E116" s="95">
        <f>'15'!F116</f>
        <v>52763</v>
      </c>
      <c r="F116" s="237">
        <v>53158</v>
      </c>
      <c r="G116" s="112">
        <f t="shared" si="9"/>
        <v>395</v>
      </c>
      <c r="H116" s="99">
        <f>G116+'15'!H116</f>
        <v>6403</v>
      </c>
      <c r="I116" s="165"/>
      <c r="J116" s="328">
        <f>H116/DAY(B2)</f>
        <v>400.1875</v>
      </c>
      <c r="Q116" s="906"/>
      <c r="R116" s="908"/>
    </row>
    <row r="117" spans="1:18" ht="29.25" customHeight="1">
      <c r="A117" s="924" t="s">
        <v>184</v>
      </c>
      <c r="B117" s="925"/>
      <c r="C117" s="926"/>
      <c r="D117" s="146" t="s">
        <v>183</v>
      </c>
      <c r="E117" s="95">
        <f>'15'!F117</f>
        <v>28622</v>
      </c>
      <c r="F117" s="237">
        <v>28842</v>
      </c>
      <c r="G117" s="112">
        <f t="shared" si="9"/>
        <v>220</v>
      </c>
      <c r="H117" s="99">
        <f>G117+'15'!H117</f>
        <v>3574</v>
      </c>
      <c r="I117" s="165"/>
      <c r="J117" s="328">
        <f>H117/DAY(B2)</f>
        <v>223.375</v>
      </c>
      <c r="Q117" s="906"/>
      <c r="R117" s="908"/>
    </row>
    <row r="118" spans="1:18" ht="25.5">
      <c r="A118" s="901" t="s">
        <v>97</v>
      </c>
      <c r="B118" s="901"/>
      <c r="C118" s="901"/>
      <c r="D118" s="151" t="s">
        <v>183</v>
      </c>
      <c r="E118" s="95">
        <f>'15'!F118</f>
        <v>35120</v>
      </c>
      <c r="F118" s="237">
        <v>35787</v>
      </c>
      <c r="G118" s="112">
        <f t="shared" si="9"/>
        <v>667</v>
      </c>
      <c r="H118" s="99">
        <f>G118+'15'!H118</f>
        <v>9562</v>
      </c>
      <c r="I118" s="165"/>
      <c r="J118" s="328">
        <f>H118/DAY(B2)</f>
        <v>597.625</v>
      </c>
      <c r="Q118" s="906"/>
      <c r="R118" s="908"/>
    </row>
    <row r="119" spans="1:18" ht="25.5">
      <c r="A119" s="901" t="s">
        <v>98</v>
      </c>
      <c r="B119" s="901"/>
      <c r="C119" s="901"/>
      <c r="D119" s="151" t="s">
        <v>183</v>
      </c>
      <c r="E119" s="95">
        <f>'15'!F119</f>
        <v>25404</v>
      </c>
      <c r="F119" s="468">
        <v>25839</v>
      </c>
      <c r="G119" s="112">
        <f t="shared" si="9"/>
        <v>435</v>
      </c>
      <c r="H119" s="99">
        <f>G119+'15'!H119</f>
        <v>6892</v>
      </c>
      <c r="I119" s="165"/>
      <c r="J119" s="328">
        <f>H119/DAY(B2)</f>
        <v>430.75</v>
      </c>
    </row>
    <row r="120" spans="1:18" ht="25.5">
      <c r="A120" s="901" t="s">
        <v>99</v>
      </c>
      <c r="B120" s="901"/>
      <c r="C120" s="901"/>
      <c r="D120" s="151" t="s">
        <v>183</v>
      </c>
      <c r="E120" s="95">
        <f>'15'!F120</f>
        <v>26619</v>
      </c>
      <c r="F120" s="237">
        <v>27050</v>
      </c>
      <c r="G120" s="112">
        <f t="shared" si="9"/>
        <v>431</v>
      </c>
      <c r="H120" s="99">
        <f>G120+'15'!H120</f>
        <v>7000</v>
      </c>
      <c r="I120" s="165"/>
      <c r="J120" s="328">
        <f>H120/DAY(B2)</f>
        <v>437.5</v>
      </c>
    </row>
    <row r="121" spans="1:18" ht="25.5">
      <c r="A121" s="901" t="s">
        <v>100</v>
      </c>
      <c r="B121" s="901"/>
      <c r="C121" s="901"/>
      <c r="D121" s="151" t="s">
        <v>183</v>
      </c>
      <c r="E121" s="95">
        <f>'15'!F121</f>
        <v>32825</v>
      </c>
      <c r="F121" s="237">
        <v>33273</v>
      </c>
      <c r="G121" s="112">
        <f t="shared" si="9"/>
        <v>448</v>
      </c>
      <c r="H121" s="99">
        <f>G121+'15'!H121</f>
        <v>7429</v>
      </c>
      <c r="I121" s="165"/>
      <c r="J121" s="328">
        <f>H121/DAY(B2)</f>
        <v>464.3125</v>
      </c>
    </row>
    <row r="122" spans="1:18" ht="25.5">
      <c r="A122" s="901" t="s">
        <v>101</v>
      </c>
      <c r="B122" s="901"/>
      <c r="C122" s="901"/>
      <c r="D122" s="151" t="s">
        <v>183</v>
      </c>
      <c r="E122" s="95">
        <f>'15'!F122</f>
        <v>15747</v>
      </c>
      <c r="F122" s="237">
        <v>16049</v>
      </c>
      <c r="G122" s="112">
        <f t="shared" si="9"/>
        <v>302</v>
      </c>
      <c r="H122" s="99">
        <f>G122+'15'!H122</f>
        <v>4889</v>
      </c>
      <c r="I122" s="165"/>
      <c r="J122" s="328">
        <f>H122/DAY(B2)</f>
        <v>305.5625</v>
      </c>
    </row>
    <row r="123" spans="1:18" ht="25.5">
      <c r="A123" s="901" t="s">
        <v>102</v>
      </c>
      <c r="B123" s="901"/>
      <c r="C123" s="901"/>
      <c r="D123" s="151" t="s">
        <v>183</v>
      </c>
      <c r="E123" s="95">
        <f>'15'!F123</f>
        <v>15635</v>
      </c>
      <c r="F123" s="237">
        <v>15959</v>
      </c>
      <c r="G123" s="112">
        <f t="shared" si="9"/>
        <v>324</v>
      </c>
      <c r="H123" s="99">
        <f>G123+'15'!H123</f>
        <v>5450</v>
      </c>
      <c r="I123" s="165"/>
      <c r="J123" s="328">
        <f>H123/DAY(B2)</f>
        <v>340.625</v>
      </c>
    </row>
    <row r="124" spans="1:18" ht="29.25" customHeight="1">
      <c r="A124" s="931"/>
      <c r="B124" s="932"/>
      <c r="C124" s="933"/>
      <c r="D124" s="165"/>
      <c r="E124" s="165"/>
      <c r="F124" s="155"/>
      <c r="G124" s="327"/>
      <c r="H124" s="156"/>
      <c r="I124" s="165"/>
      <c r="J124" s="327"/>
    </row>
    <row r="125" spans="1:18" ht="25.5">
      <c r="A125" s="934" t="s">
        <v>196</v>
      </c>
      <c r="B125" s="935"/>
      <c r="C125" s="245"/>
      <c r="D125" s="307"/>
      <c r="E125" s="308"/>
      <c r="F125" s="308"/>
      <c r="G125" s="309">
        <f>SUM(G112:G124)</f>
        <v>3801</v>
      </c>
      <c r="H125" s="156"/>
      <c r="I125" s="327">
        <f>G125-(G39+G53)</f>
        <v>702</v>
      </c>
      <c r="J125" s="327"/>
    </row>
    <row r="126" spans="1:18" ht="25.5">
      <c r="A126" s="936" t="s">
        <v>317</v>
      </c>
      <c r="B126" s="936"/>
      <c r="C126" s="936"/>
      <c r="D126" s="936"/>
      <c r="E126" s="936"/>
      <c r="F126" s="936"/>
      <c r="G126" s="936"/>
      <c r="H126" s="936"/>
      <c r="I126" s="936"/>
      <c r="J126" s="936"/>
    </row>
    <row r="127" spans="1:18" ht="25.5">
      <c r="A127" s="937"/>
      <c r="B127" s="937"/>
      <c r="C127" s="245"/>
      <c r="D127" s="307"/>
      <c r="E127" s="308"/>
      <c r="F127" s="308"/>
      <c r="G127" s="309"/>
      <c r="H127" s="99">
        <f>G127+'15'!H127</f>
        <v>0</v>
      </c>
      <c r="I127" s="165"/>
      <c r="J127" s="328">
        <f>H127/DAY(B2)</f>
        <v>0</v>
      </c>
    </row>
    <row r="128" spans="1:18" ht="29.25" customHeight="1">
      <c r="A128" s="906" t="s">
        <v>318</v>
      </c>
      <c r="B128" s="907"/>
      <c r="C128" s="908"/>
      <c r="D128" s="151" t="s">
        <v>183</v>
      </c>
      <c r="E128" s="95">
        <f>'15'!F128</f>
        <v>103585</v>
      </c>
      <c r="F128" s="155">
        <v>104139</v>
      </c>
      <c r="G128" s="112">
        <f t="shared" ref="G128:G134" si="10">F128-E128</f>
        <v>554</v>
      </c>
      <c r="H128" s="99">
        <f>G128+'15'!H128</f>
        <v>8424</v>
      </c>
      <c r="I128" s="165"/>
      <c r="J128" s="328">
        <f>H128/DAY(B2)</f>
        <v>526.5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'15'!F129</f>
        <v>63895</v>
      </c>
      <c r="F129" s="155">
        <v>64114</v>
      </c>
      <c r="G129" s="112">
        <f t="shared" si="10"/>
        <v>219</v>
      </c>
      <c r="H129" s="99">
        <f>G129+'15'!H129</f>
        <v>3821</v>
      </c>
      <c r="I129" s="165"/>
      <c r="J129" s="328">
        <f>H129/DAY(B2)</f>
        <v>238.8125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'15'!F130</f>
        <v>130669</v>
      </c>
      <c r="F130" s="157">
        <v>131296</v>
      </c>
      <c r="G130" s="112">
        <f t="shared" si="10"/>
        <v>627</v>
      </c>
      <c r="H130" s="99">
        <f>G130+'15'!H130</f>
        <v>10167</v>
      </c>
      <c r="I130" s="165"/>
      <c r="J130" s="328">
        <f>H130/DAY(B2)</f>
        <v>635.4375</v>
      </c>
      <c r="N130" s="240"/>
      <c r="O130" s="241"/>
    </row>
    <row r="131" spans="1:15" ht="25.5">
      <c r="A131" s="906" t="s">
        <v>321</v>
      </c>
      <c r="B131" s="907"/>
      <c r="C131" s="908"/>
      <c r="D131" s="151" t="s">
        <v>183</v>
      </c>
      <c r="E131" s="95">
        <f>'15'!F131</f>
        <v>39371</v>
      </c>
      <c r="F131" s="155">
        <v>39600</v>
      </c>
      <c r="G131" s="112">
        <f t="shared" si="10"/>
        <v>229</v>
      </c>
      <c r="H131" s="99">
        <f>G131+'15'!H131</f>
        <v>3321</v>
      </c>
      <c r="I131" s="165"/>
      <c r="J131" s="328">
        <f>H131/DAY(B2)</f>
        <v>207.5625</v>
      </c>
      <c r="N131" s="240"/>
      <c r="O131" s="241"/>
    </row>
    <row r="132" spans="1:15" ht="25.5">
      <c r="A132" s="906" t="s">
        <v>322</v>
      </c>
      <c r="B132" s="907"/>
      <c r="C132" s="908"/>
      <c r="D132" s="151" t="s">
        <v>183</v>
      </c>
      <c r="E132" s="95">
        <f>'15'!F132</f>
        <v>109524</v>
      </c>
      <c r="F132" s="155">
        <v>109834</v>
      </c>
      <c r="G132" s="112">
        <f t="shared" si="10"/>
        <v>310</v>
      </c>
      <c r="H132" s="99">
        <f>G132+'15'!H132</f>
        <v>6322</v>
      </c>
      <c r="I132" s="165"/>
      <c r="J132" s="328">
        <f>H132/DAY(B2)</f>
        <v>395.125</v>
      </c>
    </row>
    <row r="133" spans="1:15" ht="25.5">
      <c r="A133" s="906" t="s">
        <v>359</v>
      </c>
      <c r="B133" s="907"/>
      <c r="C133" s="908"/>
      <c r="D133" s="151" t="s">
        <v>183</v>
      </c>
      <c r="E133" s="95">
        <f>'15'!F133</f>
        <v>213904</v>
      </c>
      <c r="F133" s="155">
        <v>214526</v>
      </c>
      <c r="G133" s="112">
        <f t="shared" si="10"/>
        <v>622</v>
      </c>
      <c r="H133" s="99">
        <f>G133+'15'!H133</f>
        <v>13294</v>
      </c>
      <c r="I133" s="165"/>
      <c r="J133" s="328">
        <f>H133/DAY(B2)</f>
        <v>830.875</v>
      </c>
    </row>
    <row r="134" spans="1:15" s="409" customFormat="1" ht="25.5">
      <c r="A134" s="966" t="s">
        <v>340</v>
      </c>
      <c r="B134" s="967"/>
      <c r="C134" s="968"/>
      <c r="D134" s="233" t="s">
        <v>183</v>
      </c>
      <c r="E134" s="406">
        <f>'15'!F134</f>
        <v>38577</v>
      </c>
      <c r="F134" s="157">
        <v>38766</v>
      </c>
      <c r="G134" s="236">
        <f t="shared" si="10"/>
        <v>189</v>
      </c>
      <c r="H134" s="238">
        <f>G134+'15'!H134</f>
        <v>3871</v>
      </c>
      <c r="I134" s="158"/>
      <c r="J134" s="408">
        <f>H134/DAY(B2)</f>
        <v>241.9375</v>
      </c>
    </row>
    <row r="135" spans="1:15" ht="25.5">
      <c r="A135" s="934" t="s">
        <v>196</v>
      </c>
      <c r="B135" s="935"/>
      <c r="C135" s="331"/>
      <c r="D135" s="151"/>
      <c r="E135" s="95"/>
      <c r="F135" s="155"/>
      <c r="G135" s="112">
        <f>SUM(G128:G134)</f>
        <v>2750</v>
      </c>
      <c r="H135" s="99">
        <f>G135+'10'!H135</f>
        <v>32967.83</v>
      </c>
      <c r="I135" s="327">
        <f>G135-(G35+G49)</f>
        <v>-610</v>
      </c>
      <c r="J135" s="328"/>
    </row>
    <row r="136" spans="1:15" ht="27.75">
      <c r="A136" s="938" t="s">
        <v>325</v>
      </c>
      <c r="B136" s="938"/>
      <c r="C136" s="938"/>
      <c r="D136" s="938"/>
      <c r="E136" s="938"/>
      <c r="F136" s="938"/>
      <c r="G136" s="938"/>
      <c r="H136" s="938"/>
      <c r="I136" s="938"/>
      <c r="J136" s="938"/>
    </row>
    <row r="137" spans="1:15" ht="26.25">
      <c r="A137" s="245"/>
      <c r="B137" s="246"/>
      <c r="C137" s="246"/>
      <c r="D137" s="165"/>
      <c r="E137" s="165"/>
      <c r="F137" s="155"/>
      <c r="G137" s="165"/>
      <c r="H137" s="156"/>
      <c r="I137" s="165"/>
      <c r="J137" s="327"/>
    </row>
    <row r="138" spans="1:15" s="409" customFormat="1" ht="25.5">
      <c r="A138" s="969" t="s">
        <v>185</v>
      </c>
      <c r="B138" s="969"/>
      <c r="C138" s="969"/>
      <c r="D138" s="233" t="s">
        <v>183</v>
      </c>
      <c r="E138" s="406">
        <f>'15'!F138</f>
        <v>885283</v>
      </c>
      <c r="F138" s="148">
        <v>885429</v>
      </c>
      <c r="G138" s="236">
        <f t="shared" ref="G138:G152" si="11">F138-E138</f>
        <v>146</v>
      </c>
      <c r="H138" s="238">
        <f>G138+'15'!H138</f>
        <v>2151.2999999999993</v>
      </c>
      <c r="I138" s="407"/>
      <c r="J138" s="408">
        <f>H138/DAY(B2)</f>
        <v>134.45624999999995</v>
      </c>
    </row>
    <row r="139" spans="1:15" ht="25.5">
      <c r="A139" s="901" t="s">
        <v>186</v>
      </c>
      <c r="B139" s="901"/>
      <c r="C139" s="901"/>
      <c r="D139" s="151" t="s">
        <v>183</v>
      </c>
      <c r="E139" s="120">
        <f>'15'!F139</f>
        <v>901721</v>
      </c>
      <c r="F139" s="147">
        <v>901845</v>
      </c>
      <c r="G139" s="112">
        <f t="shared" si="11"/>
        <v>124</v>
      </c>
      <c r="H139" s="99">
        <f>G139+'15'!H139</f>
        <v>2390</v>
      </c>
      <c r="I139" s="118"/>
      <c r="J139" s="328">
        <f>H139/DAY(B2)</f>
        <v>149.375</v>
      </c>
    </row>
    <row r="140" spans="1:15" ht="25.5">
      <c r="A140" s="901" t="s">
        <v>187</v>
      </c>
      <c r="B140" s="901"/>
      <c r="C140" s="901"/>
      <c r="D140" s="151" t="s">
        <v>183</v>
      </c>
      <c r="E140" s="95">
        <f>'15'!F140</f>
        <v>823</v>
      </c>
      <c r="F140" s="149">
        <v>840</v>
      </c>
      <c r="G140" s="112">
        <f t="shared" si="11"/>
        <v>17</v>
      </c>
      <c r="H140" s="99">
        <f>G140+'15'!H140</f>
        <v>191.24</v>
      </c>
      <c r="I140" s="118"/>
      <c r="J140" s="328">
        <f>H140/DAY(B2)</f>
        <v>11.952500000000001</v>
      </c>
    </row>
    <row r="141" spans="1:15" ht="25.5">
      <c r="A141" s="905" t="s">
        <v>188</v>
      </c>
      <c r="B141" s="905"/>
      <c r="C141" s="905"/>
      <c r="D141" s="151" t="s">
        <v>183</v>
      </c>
      <c r="E141" s="95">
        <f>'15'!F141</f>
        <v>81012</v>
      </c>
      <c r="F141" s="149">
        <v>81218</v>
      </c>
      <c r="G141" s="112">
        <f t="shared" si="11"/>
        <v>206</v>
      </c>
      <c r="H141" s="99">
        <f>G141+'15'!H141</f>
        <v>3266</v>
      </c>
      <c r="I141" s="118"/>
      <c r="J141" s="328">
        <f>H141/DAY(B2)</f>
        <v>204.125</v>
      </c>
    </row>
    <row r="142" spans="1:15" ht="25.5">
      <c r="A142" s="905" t="s">
        <v>189</v>
      </c>
      <c r="B142" s="905"/>
      <c r="C142" s="905"/>
      <c r="D142" s="151" t="s">
        <v>183</v>
      </c>
      <c r="E142" s="95">
        <f>'15'!F142</f>
        <v>32816</v>
      </c>
      <c r="F142" s="148">
        <v>32965</v>
      </c>
      <c r="G142" s="112">
        <f t="shared" si="11"/>
        <v>149</v>
      </c>
      <c r="H142" s="99">
        <f>G142+'15'!H142</f>
        <v>2439</v>
      </c>
      <c r="I142" s="140"/>
      <c r="J142" s="328">
        <f>H142/DAY(B2)</f>
        <v>152.4375</v>
      </c>
    </row>
    <row r="143" spans="1:15" ht="25.5">
      <c r="A143" s="901" t="s">
        <v>91</v>
      </c>
      <c r="B143" s="901"/>
      <c r="C143" s="901"/>
      <c r="D143" s="151" t="s">
        <v>183</v>
      </c>
      <c r="E143" s="95">
        <f>'15'!F143</f>
        <v>7730</v>
      </c>
      <c r="F143" s="149">
        <v>7758</v>
      </c>
      <c r="G143" s="112">
        <f t="shared" si="11"/>
        <v>28</v>
      </c>
      <c r="H143" s="99">
        <f>G143+'15'!H143</f>
        <v>452</v>
      </c>
      <c r="I143" s="140"/>
      <c r="J143" s="328">
        <f>H143/DAY(B2)</f>
        <v>28.25</v>
      </c>
    </row>
    <row r="144" spans="1:15" ht="25.5">
      <c r="A144" s="905" t="s">
        <v>90</v>
      </c>
      <c r="B144" s="905"/>
      <c r="C144" s="905"/>
      <c r="D144" s="151" t="s">
        <v>183</v>
      </c>
      <c r="E144" s="120">
        <f>'15'!F144</f>
        <v>908686</v>
      </c>
      <c r="F144" s="147">
        <v>908923</v>
      </c>
      <c r="G144" s="112">
        <f t="shared" si="11"/>
        <v>237</v>
      </c>
      <c r="H144" s="99">
        <f>G144+'15'!H144</f>
        <v>3870</v>
      </c>
      <c r="I144" s="140"/>
      <c r="J144" s="328">
        <f>H144/DAY(B2)</f>
        <v>241.875</v>
      </c>
    </row>
    <row r="145" spans="1:10" ht="25.5">
      <c r="A145" s="901" t="s">
        <v>190</v>
      </c>
      <c r="B145" s="901"/>
      <c r="C145" s="901"/>
      <c r="D145" s="152" t="s">
        <v>183</v>
      </c>
      <c r="E145" s="95">
        <f>'15'!F145</f>
        <v>5665</v>
      </c>
      <c r="F145" s="148">
        <v>5665</v>
      </c>
      <c r="G145" s="112">
        <f t="shared" si="11"/>
        <v>0</v>
      </c>
      <c r="H145" s="99">
        <f>G145+'15'!H145</f>
        <v>1</v>
      </c>
      <c r="I145" s="140"/>
      <c r="J145" s="328">
        <f>H145/DAY(B2)</f>
        <v>6.25E-2</v>
      </c>
    </row>
    <row r="146" spans="1:10" ht="25.5">
      <c r="A146" s="902" t="s">
        <v>191</v>
      </c>
      <c r="B146" s="903"/>
      <c r="C146" s="904"/>
      <c r="D146" s="152" t="s">
        <v>183</v>
      </c>
      <c r="E146" s="95">
        <f>'15'!F146</f>
        <v>778633</v>
      </c>
      <c r="F146" s="148">
        <v>778678</v>
      </c>
      <c r="G146" s="112">
        <f t="shared" si="11"/>
        <v>45</v>
      </c>
      <c r="H146" s="99">
        <f>G146+'15'!H146</f>
        <v>810</v>
      </c>
      <c r="I146" s="140"/>
      <c r="J146" s="328">
        <f>H146/DAY(B2)</f>
        <v>50.625</v>
      </c>
    </row>
    <row r="147" spans="1:10" ht="25.5">
      <c r="A147" s="905" t="s">
        <v>192</v>
      </c>
      <c r="B147" s="905"/>
      <c r="C147" s="905"/>
      <c r="D147" s="152" t="s">
        <v>183</v>
      </c>
      <c r="E147" s="95">
        <f>'15'!F147</f>
        <v>681681</v>
      </c>
      <c r="F147" s="148">
        <v>682047</v>
      </c>
      <c r="G147" s="112">
        <f t="shared" si="11"/>
        <v>366</v>
      </c>
      <c r="H147" s="99">
        <f>G147+'15'!H147</f>
        <v>6199</v>
      </c>
      <c r="I147" s="140"/>
      <c r="J147" s="328">
        <f>H147/DAY(B2)</f>
        <v>387.4375</v>
      </c>
    </row>
    <row r="148" spans="1:10" ht="25.5">
      <c r="A148" s="897" t="s">
        <v>193</v>
      </c>
      <c r="B148" s="898"/>
      <c r="C148" s="899"/>
      <c r="D148" s="123" t="s">
        <v>130</v>
      </c>
      <c r="E148" s="95">
        <f>'15'!F148</f>
        <v>734006</v>
      </c>
      <c r="F148" s="164">
        <v>734246</v>
      </c>
      <c r="G148" s="112">
        <f t="shared" si="11"/>
        <v>240</v>
      </c>
      <c r="H148" s="99">
        <f>G148+'15'!H148</f>
        <v>4501</v>
      </c>
      <c r="I148" s="124"/>
      <c r="J148" s="328">
        <f>H148/DAY(B2)</f>
        <v>281.3125</v>
      </c>
    </row>
    <row r="149" spans="1:10" ht="25.5">
      <c r="A149" s="897" t="s">
        <v>336</v>
      </c>
      <c r="B149" s="898"/>
      <c r="C149" s="899"/>
      <c r="D149" s="227" t="s">
        <v>130</v>
      </c>
      <c r="E149" s="120">
        <f>'15'!F149</f>
        <v>109395</v>
      </c>
      <c r="F149" s="152">
        <v>109863</v>
      </c>
      <c r="G149" s="112">
        <f t="shared" si="11"/>
        <v>468</v>
      </c>
      <c r="H149" s="99">
        <f>G149+'15'!H149</f>
        <v>8968</v>
      </c>
      <c r="I149" s="119"/>
      <c r="J149" s="328">
        <f>H149/DAY(B2)</f>
        <v>560.5</v>
      </c>
    </row>
    <row r="150" spans="1:10" ht="25.5">
      <c r="A150" s="897" t="s">
        <v>337</v>
      </c>
      <c r="B150" s="898"/>
      <c r="C150" s="899"/>
      <c r="D150" s="117" t="s">
        <v>130</v>
      </c>
      <c r="E150" s="95">
        <f>'15'!F150</f>
        <v>40483</v>
      </c>
      <c r="F150" s="233">
        <v>40695</v>
      </c>
      <c r="G150" s="112">
        <f t="shared" si="11"/>
        <v>212</v>
      </c>
      <c r="H150" s="99">
        <f>G150+'15'!H150</f>
        <v>3479</v>
      </c>
      <c r="I150" s="119"/>
      <c r="J150" s="328">
        <f>H150/DAY(B2)</f>
        <v>217.4375</v>
      </c>
    </row>
    <row r="151" spans="1:10" ht="25.5">
      <c r="A151" s="897" t="s">
        <v>338</v>
      </c>
      <c r="B151" s="898"/>
      <c r="C151" s="899"/>
      <c r="D151" s="117" t="s">
        <v>130</v>
      </c>
      <c r="E151" s="95">
        <f>'15'!F151</f>
        <v>122477</v>
      </c>
      <c r="F151" s="233">
        <v>122749</v>
      </c>
      <c r="G151" s="112">
        <f t="shared" si="11"/>
        <v>272</v>
      </c>
      <c r="H151" s="99">
        <f>G151+'15'!H151</f>
        <v>4612</v>
      </c>
      <c r="I151" s="119"/>
      <c r="J151" s="328">
        <f>H151/DAY(B2)</f>
        <v>288.25</v>
      </c>
    </row>
    <row r="152" spans="1:10" ht="25.5">
      <c r="A152" s="897" t="s">
        <v>339</v>
      </c>
      <c r="B152" s="898"/>
      <c r="C152" s="899"/>
      <c r="D152" s="117" t="s">
        <v>130</v>
      </c>
      <c r="E152" s="95">
        <f>'15'!F152</f>
        <v>17365</v>
      </c>
      <c r="F152" s="233">
        <v>17492</v>
      </c>
      <c r="G152" s="112">
        <f t="shared" si="11"/>
        <v>127</v>
      </c>
      <c r="H152" s="99">
        <f>G152+'15'!H152</f>
        <v>6336</v>
      </c>
      <c r="I152" s="119"/>
      <c r="J152" s="328">
        <f>H152/DAY(B2)</f>
        <v>396</v>
      </c>
    </row>
    <row r="153" spans="1:10" ht="25.5">
      <c r="A153" s="934" t="s">
        <v>196</v>
      </c>
      <c r="B153" s="935"/>
      <c r="C153" s="365"/>
      <c r="D153" s="358"/>
      <c r="E153" s="360"/>
      <c r="F153" s="361"/>
      <c r="G153" s="362">
        <f>SUM(G138:G152)</f>
        <v>2637</v>
      </c>
      <c r="H153" s="363"/>
      <c r="I153" s="119">
        <f>G153-(G38+G52)</f>
        <v>271</v>
      </c>
      <c r="J153" s="366"/>
    </row>
    <row r="154" spans="1:10" ht="27.75">
      <c r="A154" s="938" t="s">
        <v>344</v>
      </c>
      <c r="B154" s="938"/>
      <c r="C154" s="938"/>
      <c r="D154" s="938"/>
      <c r="E154" s="938"/>
      <c r="F154" s="938"/>
      <c r="G154" s="938"/>
      <c r="H154" s="938"/>
      <c r="I154" s="938"/>
      <c r="J154" s="938"/>
    </row>
    <row r="155" spans="1:10" ht="27.75">
      <c r="A155" s="905" t="s">
        <v>345</v>
      </c>
      <c r="B155" s="905"/>
      <c r="C155" s="905"/>
      <c r="D155" s="117" t="s">
        <v>130</v>
      </c>
      <c r="E155" s="406">
        <f>'15'!F155</f>
        <v>121255</v>
      </c>
      <c r="F155" s="756">
        <v>121856</v>
      </c>
      <c r="G155" s="236">
        <f>F155-E155</f>
        <v>601</v>
      </c>
      <c r="H155" s="99">
        <f>G155+'15'!H155</f>
        <v>9881</v>
      </c>
      <c r="I155" s="364"/>
      <c r="J155" s="328">
        <f>H155/DAY(B2)</f>
        <v>617.5625</v>
      </c>
    </row>
    <row r="156" spans="1:10" ht="25.5">
      <c r="A156" s="905" t="s">
        <v>347</v>
      </c>
      <c r="B156" s="905"/>
      <c r="C156" s="905"/>
      <c r="D156" s="117" t="s">
        <v>130</v>
      </c>
      <c r="E156" s="406">
        <f>'15'!F156</f>
        <v>10842</v>
      </c>
      <c r="F156" s="157">
        <v>10922</v>
      </c>
      <c r="G156" s="236">
        <f t="shared" ref="G156:G158" si="12">F156-E156</f>
        <v>80</v>
      </c>
      <c r="H156" s="99">
        <f>G156+'15'!H156</f>
        <v>1237</v>
      </c>
      <c r="I156" s="165"/>
      <c r="J156" s="328">
        <f>H156/DAY(B2)</f>
        <v>77.3125</v>
      </c>
    </row>
    <row r="157" spans="1:10" ht="25.5">
      <c r="A157" s="897" t="s">
        <v>360</v>
      </c>
      <c r="B157" s="898"/>
      <c r="C157" s="899"/>
      <c r="D157" s="117" t="s">
        <v>130</v>
      </c>
      <c r="E157" s="406">
        <f>'15'!F157</f>
        <v>20672</v>
      </c>
      <c r="F157" s="157">
        <v>20853</v>
      </c>
      <c r="G157" s="236">
        <f t="shared" si="12"/>
        <v>181</v>
      </c>
      <c r="H157" s="99">
        <f>G157+'15'!H157</f>
        <v>2653</v>
      </c>
      <c r="I157" s="165"/>
      <c r="J157" s="328">
        <f>H157/DAY(B2)</f>
        <v>165.8125</v>
      </c>
    </row>
    <row r="158" spans="1:10" ht="25.5">
      <c r="A158" s="897" t="s">
        <v>361</v>
      </c>
      <c r="B158" s="898"/>
      <c r="C158" s="899"/>
      <c r="D158" s="117" t="s">
        <v>130</v>
      </c>
      <c r="E158" s="406">
        <f>'15'!F158</f>
        <v>189</v>
      </c>
      <c r="F158" s="157">
        <v>189</v>
      </c>
      <c r="G158" s="236">
        <f t="shared" si="12"/>
        <v>0</v>
      </c>
      <c r="H158" s="99">
        <f>G158+'15'!H158</f>
        <v>98.58</v>
      </c>
      <c r="I158" s="165"/>
      <c r="J158" s="328">
        <f>H158/DAY(B2)</f>
        <v>6.1612499999999999</v>
      </c>
    </row>
    <row r="159" spans="1:10" ht="25.5">
      <c r="A159" s="956"/>
      <c r="B159" s="957"/>
      <c r="C159" s="958"/>
      <c r="D159" s="117"/>
      <c r="E159" s="95"/>
      <c r="F159" s="155"/>
      <c r="G159" s="362">
        <f>SUM(G155:G158)</f>
        <v>862</v>
      </c>
      <c r="H159" s="99">
        <f>G159+'15'!H159</f>
        <v>862</v>
      </c>
      <c r="I159" s="165"/>
      <c r="J159" s="328">
        <f>H159/DAY(B2)</f>
        <v>53.875</v>
      </c>
    </row>
    <row r="160" spans="1:10" ht="27.75">
      <c r="A160" s="938" t="s">
        <v>326</v>
      </c>
      <c r="B160" s="938"/>
      <c r="C160" s="938"/>
      <c r="D160" s="938"/>
      <c r="E160" s="938"/>
      <c r="F160" s="938"/>
      <c r="G160" s="938"/>
      <c r="H160" s="938"/>
      <c r="I160" s="938"/>
      <c r="J160" s="938"/>
    </row>
    <row r="161" spans="1:10" ht="26.25">
      <c r="A161" s="242" t="s">
        <v>92</v>
      </c>
      <c r="B161" s="243"/>
      <c r="C161" s="243"/>
      <c r="D161" s="244" t="s">
        <v>180</v>
      </c>
      <c r="E161" s="95">
        <f>'15'!F161</f>
        <v>476645</v>
      </c>
      <c r="F161" s="235">
        <v>476651</v>
      </c>
      <c r="G161" s="238">
        <f t="shared" ref="G161:G165" si="13">F161-E161</f>
        <v>6</v>
      </c>
      <c r="H161" s="99">
        <f>G161+'15'!H161</f>
        <v>1230</v>
      </c>
      <c r="I161" s="236"/>
      <c r="J161" s="239">
        <f>H161/DAY(B2)</f>
        <v>76.875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'15'!F162</f>
        <v>93236</v>
      </c>
      <c r="F162" s="235">
        <v>93277</v>
      </c>
      <c r="G162" s="238">
        <f t="shared" si="13"/>
        <v>41</v>
      </c>
      <c r="H162" s="99">
        <f>G162+'15'!H162</f>
        <v>550</v>
      </c>
      <c r="I162" s="236"/>
      <c r="J162" s="239">
        <f>H162/DAY(B2)</f>
        <v>34.375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'15'!F163</f>
        <v>99552</v>
      </c>
      <c r="F163" s="235">
        <v>99737</v>
      </c>
      <c r="G163" s="238">
        <f t="shared" si="13"/>
        <v>185</v>
      </c>
      <c r="H163" s="99">
        <f>G163+'15'!H163</f>
        <v>2602</v>
      </c>
      <c r="I163" s="236"/>
      <c r="J163" s="239">
        <f>H163/DAY(B2)</f>
        <v>162.625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'15'!F164</f>
        <v>5713</v>
      </c>
      <c r="F164" s="235">
        <v>5725</v>
      </c>
      <c r="G164" s="238">
        <f t="shared" si="13"/>
        <v>12</v>
      </c>
      <c r="H164" s="99">
        <f>G164+'15'!H164</f>
        <v>183</v>
      </c>
      <c r="I164" s="236"/>
      <c r="J164" s="239">
        <f>H164/DAY(B2)</f>
        <v>11.4375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'15'!F165</f>
        <v>31186</v>
      </c>
      <c r="F165" s="235">
        <v>31196</v>
      </c>
      <c r="G165" s="238">
        <f t="shared" si="13"/>
        <v>10</v>
      </c>
      <c r="H165" s="99">
        <f>G165+'15'!H165</f>
        <v>182</v>
      </c>
      <c r="I165" s="236"/>
      <c r="J165" s="239">
        <f>H165/DAY(B2)</f>
        <v>11.375</v>
      </c>
    </row>
    <row r="166" spans="1:10" ht="26.25">
      <c r="A166" s="937"/>
      <c r="B166" s="937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0" ht="26.25">
      <c r="A167" s="937"/>
      <c r="B167" s="937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0" ht="26.25">
      <c r="A168" s="937"/>
      <c r="B168" s="937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7" t="s">
        <v>330</v>
      </c>
      <c r="B171" s="948"/>
      <c r="C171" s="948"/>
      <c r="D171" s="948"/>
      <c r="E171" s="948"/>
      <c r="F171" s="948"/>
      <c r="G171" s="948"/>
      <c r="H171" s="948"/>
      <c r="I171" s="948"/>
      <c r="J171" s="949"/>
    </row>
    <row r="172" spans="1:10" ht="25.5">
      <c r="A172" s="943"/>
      <c r="B172" s="944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5" t="s">
        <v>209</v>
      </c>
      <c r="B173" s="896"/>
      <c r="C173" s="333"/>
      <c r="D173" s="228" t="s">
        <v>142</v>
      </c>
      <c r="E173" s="95">
        <f>'15'!F173</f>
        <v>8276</v>
      </c>
      <c r="F173" s="155">
        <v>8276</v>
      </c>
      <c r="G173" s="155">
        <f>F173-E173</f>
        <v>0</v>
      </c>
      <c r="H173" s="99">
        <f>G173+'15'!H173</f>
        <v>12</v>
      </c>
      <c r="I173" s="155"/>
      <c r="J173" s="178">
        <f>H173/DAY(B2)</f>
        <v>0.75</v>
      </c>
    </row>
    <row r="174" spans="1:10" ht="25.5">
      <c r="A174" s="895" t="s">
        <v>75</v>
      </c>
      <c r="B174" s="896"/>
      <c r="C174" s="333"/>
      <c r="D174" s="228" t="s">
        <v>142</v>
      </c>
      <c r="E174" s="95">
        <f>'15'!F174</f>
        <v>40552</v>
      </c>
      <c r="F174" s="157">
        <v>40569</v>
      </c>
      <c r="G174" s="155">
        <f t="shared" ref="G174:G175" si="14">F174-E174</f>
        <v>17</v>
      </c>
      <c r="H174" s="99">
        <f>G174+'15'!H174</f>
        <v>237</v>
      </c>
      <c r="I174" s="155"/>
      <c r="J174" s="178">
        <f>H174/DAY(B2)</f>
        <v>14.8125</v>
      </c>
    </row>
    <row r="175" spans="1:10" ht="25.5">
      <c r="A175" s="895" t="s">
        <v>76</v>
      </c>
      <c r="B175" s="900"/>
      <c r="C175" s="896"/>
      <c r="D175" s="228" t="s">
        <v>142</v>
      </c>
      <c r="E175" s="95">
        <f>'15'!F175</f>
        <v>23474</v>
      </c>
      <c r="F175" s="155">
        <v>23489</v>
      </c>
      <c r="G175" s="155">
        <f t="shared" si="14"/>
        <v>15</v>
      </c>
      <c r="H175" s="99">
        <f>G175+'15'!H175</f>
        <v>231</v>
      </c>
      <c r="I175" s="155"/>
      <c r="J175" s="178">
        <f>H175/DAY(B2)</f>
        <v>14.4375</v>
      </c>
    </row>
    <row r="176" spans="1:10" ht="25.5">
      <c r="A176" s="934" t="s">
        <v>196</v>
      </c>
      <c r="B176" s="935"/>
      <c r="C176" s="333"/>
      <c r="D176" s="228" t="s">
        <v>142</v>
      </c>
      <c r="E176" s="95">
        <f>'15'!F176</f>
        <v>0</v>
      </c>
      <c r="F176" s="155"/>
      <c r="G176" s="155">
        <f>SUM(G173:G175)</f>
        <v>32</v>
      </c>
      <c r="H176" s="99">
        <f>G176+'15'!H176</f>
        <v>480</v>
      </c>
      <c r="I176" s="155"/>
      <c r="J176" s="178">
        <f>H176/DAY(B2)</f>
        <v>30</v>
      </c>
    </row>
    <row r="177" spans="1:11" ht="25.5">
      <c r="A177" s="895" t="s">
        <v>77</v>
      </c>
      <c r="B177" s="896"/>
      <c r="C177" s="33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5.5">
      <c r="A178" s="895" t="s">
        <v>210</v>
      </c>
      <c r="B178" s="896"/>
      <c r="C178" s="333"/>
      <c r="D178" s="228" t="s">
        <v>142</v>
      </c>
      <c r="E178" s="95">
        <f>'15'!F178</f>
        <v>93463</v>
      </c>
      <c r="F178" s="155">
        <v>93550</v>
      </c>
      <c r="G178" s="155">
        <f>F178-E178</f>
        <v>87</v>
      </c>
      <c r="H178" s="99">
        <f>G178+'15'!H178</f>
        <v>1728</v>
      </c>
      <c r="I178" s="155"/>
      <c r="J178" s="178">
        <f>H178/DAY(B2)</f>
        <v>108</v>
      </c>
    </row>
    <row r="179" spans="1:11" ht="25.5">
      <c r="A179" s="895" t="s">
        <v>211</v>
      </c>
      <c r="B179" s="896"/>
      <c r="C179" s="333"/>
      <c r="D179" s="228" t="s">
        <v>142</v>
      </c>
      <c r="E179" s="95">
        <f>'15'!F179</f>
        <v>36002</v>
      </c>
      <c r="F179" s="155">
        <v>36002</v>
      </c>
      <c r="G179" s="155">
        <f t="shared" ref="G179:G180" si="15">F179-E179</f>
        <v>0</v>
      </c>
      <c r="H179" s="99">
        <f>G179+'15'!H179</f>
        <v>218</v>
      </c>
      <c r="I179" s="155"/>
      <c r="J179" s="178">
        <f>H179/DAY(B2)</f>
        <v>13.625</v>
      </c>
    </row>
    <row r="180" spans="1:11" ht="25.5">
      <c r="A180" s="895" t="s">
        <v>212</v>
      </c>
      <c r="B180" s="896"/>
      <c r="C180" s="333"/>
      <c r="D180" s="228" t="s">
        <v>142</v>
      </c>
      <c r="E180" s="95">
        <f>'15'!F180</f>
        <v>6808</v>
      </c>
      <c r="F180" s="155">
        <v>6809</v>
      </c>
      <c r="G180" s="155">
        <f t="shared" si="15"/>
        <v>1</v>
      </c>
      <c r="H180" s="99">
        <f>G180+'15'!H180</f>
        <v>139</v>
      </c>
      <c r="I180" s="155"/>
      <c r="J180" s="178">
        <f>H180/DAY(B2)</f>
        <v>8.6875</v>
      </c>
    </row>
    <row r="181" spans="1:11" ht="25.5">
      <c r="A181" s="941" t="s">
        <v>108</v>
      </c>
      <c r="B181" s="942"/>
      <c r="C181" s="333"/>
      <c r="D181" s="228" t="s">
        <v>142</v>
      </c>
      <c r="E181" s="95">
        <f>'15'!F181</f>
        <v>0</v>
      </c>
      <c r="F181" s="155"/>
      <c r="G181" s="155">
        <f>SUM(G178:G180)</f>
        <v>88</v>
      </c>
      <c r="H181" s="99">
        <f>G181+'15'!H181</f>
        <v>2085</v>
      </c>
      <c r="I181" s="155"/>
      <c r="J181" s="178">
        <f>H181/DAY(B2)</f>
        <v>130.3125</v>
      </c>
    </row>
    <row r="182" spans="1:11" ht="25.5">
      <c r="A182" s="895" t="s">
        <v>213</v>
      </c>
      <c r="B182" s="896"/>
      <c r="C182" s="33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5.5">
      <c r="A183" s="895" t="s">
        <v>214</v>
      </c>
      <c r="B183" s="896"/>
      <c r="C183" s="334"/>
      <c r="D183" s="228" t="s">
        <v>142</v>
      </c>
      <c r="E183" s="95">
        <f>'15'!F183</f>
        <v>17165</v>
      </c>
      <c r="F183" s="157">
        <v>17173</v>
      </c>
      <c r="G183" s="157">
        <f>F183-E183</f>
        <v>8</v>
      </c>
      <c r="H183" s="99">
        <f>G183+'15'!H183</f>
        <v>218</v>
      </c>
      <c r="I183" s="155"/>
      <c r="J183" s="178">
        <f>H183/DAY(B2)</f>
        <v>13.625</v>
      </c>
    </row>
    <row r="184" spans="1:11" ht="25.5">
      <c r="A184" s="895" t="s">
        <v>215</v>
      </c>
      <c r="B184" s="896"/>
      <c r="C184" s="334"/>
      <c r="D184" s="228" t="s">
        <v>142</v>
      </c>
      <c r="E184" s="95">
        <f>'15'!F184</f>
        <v>11592</v>
      </c>
      <c r="F184" s="157">
        <v>11597</v>
      </c>
      <c r="G184" s="157">
        <f t="shared" ref="G184:G185" si="16">F184-E184</f>
        <v>5</v>
      </c>
      <c r="H184" s="99">
        <f>G184+'15'!H184</f>
        <v>111</v>
      </c>
      <c r="I184" s="155"/>
      <c r="J184" s="178">
        <f>H184/DAY(B2)</f>
        <v>6.9375</v>
      </c>
    </row>
    <row r="185" spans="1:11" ht="32.25" customHeight="1">
      <c r="A185" s="895" t="s">
        <v>216</v>
      </c>
      <c r="B185" s="896"/>
      <c r="C185" s="334"/>
      <c r="D185" s="228" t="s">
        <v>142</v>
      </c>
      <c r="E185" s="95">
        <f>'15'!F185</f>
        <v>0</v>
      </c>
      <c r="F185" s="157"/>
      <c r="G185" s="157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5.5">
      <c r="A186" s="934" t="s">
        <v>196</v>
      </c>
      <c r="B186" s="935"/>
      <c r="C186" s="334"/>
      <c r="D186" s="228" t="s">
        <v>142</v>
      </c>
      <c r="E186" s="95">
        <f>'15'!F186</f>
        <v>0</v>
      </c>
      <c r="F186" s="157"/>
      <c r="G186" s="157">
        <f>SUM(G183:G185)</f>
        <v>13</v>
      </c>
      <c r="H186" s="99">
        <f>G186+'15'!H186</f>
        <v>329</v>
      </c>
      <c r="I186" s="157"/>
      <c r="J186" s="178">
        <f>H186/DAY(B2)</f>
        <v>20.5625</v>
      </c>
    </row>
    <row r="187" spans="1:11" ht="25.5">
      <c r="A187" s="945" t="s">
        <v>217</v>
      </c>
      <c r="B187" s="946"/>
      <c r="C187" s="333"/>
      <c r="D187" s="230" t="s">
        <v>142</v>
      </c>
      <c r="E187" s="95">
        <f>'15'!F187</f>
        <v>0</v>
      </c>
      <c r="F187" s="159"/>
      <c r="G187" s="159">
        <f>G62+G19</f>
        <v>173</v>
      </c>
      <c r="H187" s="99">
        <f>G187+'15'!H187</f>
        <v>3180</v>
      </c>
      <c r="I187" s="158"/>
      <c r="J187" s="179">
        <f>H187/DAY(B2)</f>
        <v>198.75</v>
      </c>
    </row>
    <row r="188" spans="1:11" ht="25.5">
      <c r="A188" s="945" t="s">
        <v>218</v>
      </c>
      <c r="B188" s="946"/>
      <c r="C188" s="333"/>
      <c r="D188" s="230" t="s">
        <v>142</v>
      </c>
      <c r="E188" s="95">
        <f>'15'!F188</f>
        <v>0</v>
      </c>
      <c r="F188" s="159"/>
      <c r="G188" s="159">
        <f>G65+G66+G67+G69+G70</f>
        <v>157</v>
      </c>
      <c r="H188" s="99">
        <f>G188+'15'!H188</f>
        <v>310</v>
      </c>
      <c r="I188" s="158"/>
      <c r="J188" s="179">
        <f>H188/DAY(B2)</f>
        <v>19.375</v>
      </c>
    </row>
    <row r="189" spans="1:11" ht="23.25" customHeight="1">
      <c r="A189" s="945" t="s">
        <v>219</v>
      </c>
      <c r="B189" s="946"/>
      <c r="C189" s="333"/>
      <c r="D189" s="230" t="s">
        <v>142</v>
      </c>
      <c r="E189" s="95">
        <f>'15'!F189</f>
        <v>0</v>
      </c>
      <c r="F189" s="157"/>
      <c r="G189" s="157">
        <f>G181</f>
        <v>88</v>
      </c>
      <c r="H189" s="99">
        <f>G189+'15'!H189</f>
        <v>2085</v>
      </c>
      <c r="I189" s="158"/>
      <c r="J189" s="179">
        <f>H189/DAY(B2)</f>
        <v>130.3125</v>
      </c>
    </row>
    <row r="190" spans="1:11" ht="23.25" customHeight="1">
      <c r="A190" s="970"/>
      <c r="B190" s="971"/>
      <c r="C190" s="427"/>
      <c r="D190" s="396"/>
      <c r="E190" s="396" t="s">
        <v>207</v>
      </c>
      <c r="F190" s="415"/>
      <c r="G190" s="396"/>
      <c r="H190" s="397"/>
      <c r="I190" s="396"/>
      <c r="J190" s="398"/>
    </row>
    <row r="191" spans="1:11" ht="23.25" customHeight="1">
      <c r="A191" s="245" t="s">
        <v>358</v>
      </c>
      <c r="B191" s="246"/>
      <c r="C191" s="246"/>
      <c r="D191" s="165"/>
      <c r="E191" s="165"/>
      <c r="F191" s="155">
        <v>53090</v>
      </c>
      <c r="G191" s="165">
        <v>53289</v>
      </c>
      <c r="H191" s="238">
        <f>G191-F191</f>
        <v>199</v>
      </c>
      <c r="I191" s="99">
        <f>H191+'15'!I191</f>
        <v>199</v>
      </c>
      <c r="J191" s="236"/>
      <c r="K191" s="239" t="e">
        <f>I191/DAY(C28)</f>
        <v>#DIV/0!</v>
      </c>
    </row>
    <row r="192" spans="1:11" ht="23.25" customHeight="1">
      <c r="F192" s="414">
        <v>0</v>
      </c>
      <c r="G192" s="160" t="s">
        <v>366</v>
      </c>
    </row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topLeftCell="A106" zoomScale="55" zoomScaleSheetLayoutView="55" zoomScalePageLayoutView="60" workbookViewId="0">
      <selection activeCell="E35" sqref="E35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4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76" t="s">
        <v>115</v>
      </c>
      <c r="B1" s="877"/>
      <c r="C1" s="877"/>
      <c r="D1" s="877"/>
      <c r="E1" s="877"/>
      <c r="F1" s="877"/>
      <c r="G1" s="877"/>
      <c r="H1" s="877"/>
      <c r="I1" s="877"/>
      <c r="J1" s="878"/>
    </row>
    <row r="2" spans="1:15" s="57" customFormat="1" ht="27.75" customHeight="1">
      <c r="A2" s="191" t="s">
        <v>355</v>
      </c>
      <c r="B2" s="262">
        <v>44729</v>
      </c>
      <c r="C2" s="348" t="s">
        <v>67</v>
      </c>
      <c r="D2" s="218">
        <v>0.91</v>
      </c>
      <c r="E2" s="100"/>
      <c r="F2" s="100"/>
      <c r="G2" s="471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28</v>
      </c>
      <c r="E3" s="885" t="s">
        <v>119</v>
      </c>
      <c r="F3" s="886"/>
      <c r="G3" s="472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0.79</v>
      </c>
      <c r="E4" s="103"/>
      <c r="F4" s="103"/>
      <c r="G4" s="472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3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79" t="s">
        <v>128</v>
      </c>
      <c r="B6" s="880"/>
      <c r="C6" s="881"/>
      <c r="D6" s="110"/>
      <c r="E6" s="110"/>
      <c r="F6" s="110"/>
      <c r="G6" s="474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'16'!F7</f>
        <v>137885</v>
      </c>
      <c r="F7" s="95">
        <v>166684</v>
      </c>
      <c r="G7" s="475">
        <f>F7-E7</f>
        <v>28799</v>
      </c>
      <c r="H7" s="99">
        <f>G7+'16'!H7</f>
        <v>473857</v>
      </c>
      <c r="I7" s="113">
        <f>'1'!I7</f>
        <v>12000</v>
      </c>
      <c r="J7" s="175">
        <f>H7/DAY(B2)</f>
        <v>27873.941176470587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'16'!F8</f>
        <v>270636</v>
      </c>
      <c r="F8" s="114">
        <v>300028</v>
      </c>
      <c r="G8" s="476">
        <f>F8-E8</f>
        <v>29392</v>
      </c>
      <c r="H8" s="99">
        <f>G8+'16'!H8</f>
        <v>491369.10000000003</v>
      </c>
      <c r="I8" s="116"/>
      <c r="J8" s="175">
        <f>H8/DAY(B2)</f>
        <v>28904.064705882356</v>
      </c>
      <c r="K8" s="172">
        <v>1715917</v>
      </c>
      <c r="L8" s="76">
        <v>1728480</v>
      </c>
      <c r="M8" s="87">
        <f>L8-K8</f>
        <v>12563</v>
      </c>
      <c r="N8" s="87"/>
      <c r="O8" s="71">
        <f>G7-G8</f>
        <v>-593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'16'!F9</f>
        <v>2701061</v>
      </c>
      <c r="F9" s="469">
        <v>2720737</v>
      </c>
      <c r="G9" s="475">
        <f>F9-E9</f>
        <v>19676</v>
      </c>
      <c r="H9" s="99">
        <f>G9+'16'!H9</f>
        <v>270628.29999999981</v>
      </c>
      <c r="I9" s="124">
        <f>I7-J7</f>
        <v>-15873.941176470587</v>
      </c>
      <c r="J9" s="175">
        <f>H9/DAY(B2)</f>
        <v>15919.311764705872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'16'!F10</f>
        <v>1077206</v>
      </c>
      <c r="F10" s="353">
        <v>1085546</v>
      </c>
      <c r="G10" s="475">
        <f t="shared" ref="G10:G12" si="0">F10-E10</f>
        <v>8340</v>
      </c>
      <c r="H10" s="99">
        <f>G10+'16'!H10</f>
        <v>175142.80000000005</v>
      </c>
      <c r="I10" s="282"/>
      <c r="J10" s="175">
        <f>H10/DAY(B2)</f>
        <v>10302.517647058827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'16'!F11</f>
        <v>37560</v>
      </c>
      <c r="F11" s="95">
        <v>37560</v>
      </c>
      <c r="G11" s="475">
        <f t="shared" si="0"/>
        <v>0</v>
      </c>
      <c r="H11" s="99">
        <f>G11+'16'!H11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'16'!F12</f>
        <v>40380</v>
      </c>
      <c r="F12" s="117">
        <v>40380</v>
      </c>
      <c r="G12" s="475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77">
        <f>G9+G10+G11+G12</f>
        <v>28016</v>
      </c>
      <c r="H13" s="99">
        <f>G13+'16'!H13</f>
        <v>445632.09999999986</v>
      </c>
      <c r="I13" s="120">
        <f>G7-G13</f>
        <v>783</v>
      </c>
      <c r="J13" s="175">
        <f>H13/DAY(B2)</f>
        <v>26213.652941176464</v>
      </c>
      <c r="K13" s="79"/>
      <c r="L13" s="66"/>
      <c r="N13" s="87"/>
      <c r="O13" s="71"/>
    </row>
    <row r="14" spans="1:15" ht="27.75" customHeight="1">
      <c r="A14" s="882" t="s">
        <v>137</v>
      </c>
      <c r="B14" s="883"/>
      <c r="C14" s="884"/>
      <c r="D14" s="111"/>
      <c r="E14" s="111"/>
      <c r="F14" s="111"/>
      <c r="G14" s="478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9">
        <f>'16'!F15</f>
        <v>2054089</v>
      </c>
      <c r="F15" s="469">
        <v>2055104</v>
      </c>
      <c r="G15" s="475">
        <f>(F15-E15)</f>
        <v>1015</v>
      </c>
      <c r="H15" s="99">
        <f>G15+'16'!H15</f>
        <v>17987</v>
      </c>
      <c r="I15" s="113">
        <f>'1'!I15</f>
        <v>800</v>
      </c>
      <c r="J15" s="175">
        <f>H15/DAY(B2)</f>
        <v>1058.0588235294117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75"/>
      <c r="H16" s="124"/>
      <c r="I16" s="120">
        <f>I15-J15</f>
        <v>-258.05882352941171</v>
      </c>
      <c r="J16" s="176"/>
      <c r="K16" s="79"/>
      <c r="L16" s="66"/>
      <c r="N16" s="87"/>
      <c r="O16" s="71"/>
    </row>
    <row r="17" spans="1:15" ht="27.75" customHeight="1">
      <c r="A17" s="882" t="s">
        <v>140</v>
      </c>
      <c r="B17" s="883"/>
      <c r="C17" s="884"/>
      <c r="D17" s="111"/>
      <c r="E17" s="111"/>
      <c r="F17" s="111"/>
      <c r="G17" s="478"/>
      <c r="H17" s="111"/>
      <c r="I17" s="111"/>
      <c r="J17" s="174"/>
      <c r="K17" s="79"/>
      <c r="L17" s="66"/>
      <c r="N17" s="87"/>
      <c r="O17" s="71"/>
    </row>
    <row r="18" spans="1:15" ht="27.75" customHeight="1">
      <c r="A18" s="873" t="s">
        <v>141</v>
      </c>
      <c r="B18" s="874"/>
      <c r="C18" s="875"/>
      <c r="D18" s="151" t="s">
        <v>142</v>
      </c>
      <c r="E18" s="95">
        <f>'16'!F18</f>
        <v>18</v>
      </c>
      <c r="F18" s="122">
        <v>23</v>
      </c>
      <c r="G18" s="477">
        <f>F18*10</f>
        <v>230</v>
      </c>
      <c r="H18" s="99">
        <f>G18+'16'!H18</f>
        <v>3890</v>
      </c>
      <c r="I18" s="113">
        <f>'1'!I18</f>
        <v>65</v>
      </c>
      <c r="J18" s="175">
        <f>H18/DAY(B2)</f>
        <v>228.8235294117647</v>
      </c>
      <c r="K18" s="79"/>
      <c r="L18" s="66"/>
      <c r="N18" s="87"/>
      <c r="O18" s="71"/>
    </row>
    <row r="19" spans="1:15" ht="27.75" customHeight="1">
      <c r="A19" s="873" t="s">
        <v>69</v>
      </c>
      <c r="B19" s="874"/>
      <c r="C19" s="875"/>
      <c r="D19" s="151" t="s">
        <v>142</v>
      </c>
      <c r="E19" s="95">
        <f>'16'!F19</f>
        <v>160935</v>
      </c>
      <c r="F19" s="122">
        <v>160988</v>
      </c>
      <c r="G19" s="475">
        <f t="shared" ref="G19" si="1">F19-E19</f>
        <v>53</v>
      </c>
      <c r="H19" s="99">
        <f>G19+'16'!H19</f>
        <v>878</v>
      </c>
      <c r="I19" s="335"/>
      <c r="J19" s="175">
        <f>H19/DAY(B2)</f>
        <v>51.647058823529413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79">
        <f>G18+G19</f>
        <v>283</v>
      </c>
      <c r="H20" s="99">
        <f>G20+'16'!H20</f>
        <v>4768</v>
      </c>
      <c r="I20" s="336">
        <f>I18-J20</f>
        <v>-215.47058823529414</v>
      </c>
      <c r="J20" s="175">
        <f>H20/DAY(B2)</f>
        <v>280.47058823529414</v>
      </c>
      <c r="K20" s="79"/>
      <c r="L20" s="66"/>
      <c r="N20" s="87"/>
      <c r="O20" s="71"/>
    </row>
    <row r="21" spans="1:15" ht="27.75" customHeight="1">
      <c r="A21" s="882" t="s">
        <v>144</v>
      </c>
      <c r="B21" s="883"/>
      <c r="C21" s="884"/>
      <c r="D21" s="111"/>
      <c r="E21" s="111"/>
      <c r="F21" s="111"/>
      <c r="G21" s="478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477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'16'!F23</f>
        <v>1500</v>
      </c>
      <c r="F23" s="122">
        <v>1500</v>
      </c>
      <c r="G23" s="477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477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87" t="s">
        <v>149</v>
      </c>
      <c r="B25" s="888"/>
      <c r="C25" s="889"/>
      <c r="D25" s="110"/>
      <c r="E25" s="110"/>
      <c r="F25" s="110"/>
      <c r="G25" s="480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81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29392</v>
      </c>
      <c r="F27" s="136">
        <v>9</v>
      </c>
      <c r="G27" s="482">
        <f>E27*F27</f>
        <v>264528</v>
      </c>
      <c r="H27" s="99">
        <f>G27+'16'!H27</f>
        <v>4422321.9000000004</v>
      </c>
      <c r="I27" s="138"/>
      <c r="J27" s="175">
        <f>H27/DAY(B2)</f>
        <v>260136.58235294119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1015</v>
      </c>
      <c r="F28" s="136">
        <v>70</v>
      </c>
      <c r="G28" s="482">
        <f>E28*F28</f>
        <v>71050</v>
      </c>
      <c r="H28" s="99">
        <f>G28+'16'!H28</f>
        <v>1204532</v>
      </c>
      <c r="I28" s="140"/>
      <c r="J28" s="175">
        <f>H28/DAY(B2)</f>
        <v>70854.823529411762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2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151</v>
      </c>
      <c r="G30" s="482">
        <f>E30*F30</f>
        <v>8003</v>
      </c>
      <c r="H30" s="99">
        <f>G30+'16'!H30</f>
        <v>131828</v>
      </c>
      <c r="I30" s="140"/>
      <c r="J30" s="175">
        <f>H30/DAY(B2)</f>
        <v>7754.588235294118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482">
        <f>E31*F31</f>
        <v>18400</v>
      </c>
      <c r="H31" s="99">
        <f>G31+'16'!H31</f>
        <v>311200</v>
      </c>
      <c r="I31" s="140"/>
      <c r="J31" s="175">
        <f>H31/DAY(B2)</f>
        <v>18305.882352941175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83">
        <f>G27+G28+G29+G30+G31</f>
        <v>361981</v>
      </c>
      <c r="H32" s="99">
        <f>G32+'16'!H32</f>
        <v>6069881.9000000004</v>
      </c>
      <c r="I32" s="144"/>
      <c r="J32" s="175">
        <f>H32/DAY(B2)</f>
        <v>357051.87647058826</v>
      </c>
      <c r="K32" s="63"/>
      <c r="L32" s="89"/>
      <c r="N32" s="87"/>
      <c r="O32" s="71"/>
    </row>
    <row r="33" spans="1:15" ht="27.75" customHeight="1">
      <c r="A33" s="890" t="s">
        <v>331</v>
      </c>
      <c r="B33" s="891"/>
      <c r="C33" s="891"/>
      <c r="D33" s="337"/>
      <c r="E33" s="337"/>
      <c r="F33" s="337"/>
      <c r="G33" s="484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85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'16'!F35</f>
        <v>238713</v>
      </c>
      <c r="F35" s="145">
        <v>238713</v>
      </c>
      <c r="G35" s="475">
        <f t="shared" ref="G35:G46" si="3">F35-E35</f>
        <v>0</v>
      </c>
      <c r="H35" s="99">
        <f>G35+'16'!H35</f>
        <v>-1</v>
      </c>
      <c r="I35" s="95"/>
      <c r="J35" s="175">
        <f>H35/DAY(B2)</f>
        <v>-5.8823529411764705E-2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'16'!F36</f>
        <v>174330</v>
      </c>
      <c r="F36" s="145">
        <v>175051</v>
      </c>
      <c r="G36" s="475">
        <f t="shared" si="3"/>
        <v>721</v>
      </c>
      <c r="H36" s="99">
        <f>G36+'16'!H36</f>
        <v>14603</v>
      </c>
      <c r="I36" s="95"/>
      <c r="J36" s="175">
        <f>H36/DAY(B2)</f>
        <v>859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'16'!F37</f>
        <v>263634</v>
      </c>
      <c r="F37" s="145">
        <v>265338</v>
      </c>
      <c r="G37" s="475">
        <f t="shared" si="3"/>
        <v>1704</v>
      </c>
      <c r="H37" s="99">
        <f>G37+'16'!H37</f>
        <v>29559</v>
      </c>
      <c r="I37" s="95"/>
      <c r="J37" s="175">
        <f>H37/DAY(B2)</f>
        <v>1738.7647058823529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'16'!F38</f>
        <v>355121</v>
      </c>
      <c r="F38" s="108">
        <v>357476</v>
      </c>
      <c r="G38" s="475">
        <f t="shared" si="3"/>
        <v>2355</v>
      </c>
      <c r="H38" s="99">
        <f>G38+'16'!H38</f>
        <v>39184</v>
      </c>
      <c r="I38" s="95"/>
      <c r="J38" s="175">
        <f>H38/DAY(B2)</f>
        <v>2304.9411764705883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'16'!F39</f>
        <v>480786</v>
      </c>
      <c r="F39" s="145">
        <v>483928</v>
      </c>
      <c r="G39" s="475">
        <f t="shared" si="3"/>
        <v>3142</v>
      </c>
      <c r="H39" s="99">
        <f>G39+'16'!H39</f>
        <v>48598.090000000026</v>
      </c>
      <c r="I39" s="95"/>
      <c r="J39" s="175">
        <f>H39/DAY(B2)</f>
        <v>2858.7111764705896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'16'!F40</f>
        <v>77708</v>
      </c>
      <c r="F40" s="423">
        <v>78169</v>
      </c>
      <c r="G40" s="475">
        <f t="shared" si="3"/>
        <v>461</v>
      </c>
      <c r="H40" s="99">
        <f>G40+'16'!H40</f>
        <v>4616</v>
      </c>
      <c r="I40" s="95"/>
      <c r="J40" s="175">
        <f>H40/DAY(B2)</f>
        <v>271.52941176470586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'16'!F41</f>
        <v>108348</v>
      </c>
      <c r="F41" s="145">
        <v>114414</v>
      </c>
      <c r="G41" s="475">
        <f t="shared" si="3"/>
        <v>6066</v>
      </c>
      <c r="H41" s="99">
        <f>G41+'16'!H41</f>
        <v>45579</v>
      </c>
      <c r="I41" s="95"/>
      <c r="J41" s="175">
        <f>H41/DAY(B2)</f>
        <v>2681.1176470588234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'16'!F42</f>
        <v>634309</v>
      </c>
      <c r="F42" s="145">
        <v>638793</v>
      </c>
      <c r="G42" s="475">
        <f t="shared" si="3"/>
        <v>4484</v>
      </c>
      <c r="H42" s="99">
        <f>G42+'16'!H42</f>
        <v>75921</v>
      </c>
      <c r="I42" s="95"/>
      <c r="J42" s="175">
        <f>H42/DAY(B2)</f>
        <v>4465.9411764705883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'16'!F43</f>
        <v>407028</v>
      </c>
      <c r="F43" s="145">
        <v>407028</v>
      </c>
      <c r="G43" s="475">
        <f t="shared" si="3"/>
        <v>0</v>
      </c>
      <c r="H43" s="99">
        <f>G43+'16'!H43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475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475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475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77">
        <f>G35+G36+G37+G38+G39+G40+G41+G42+G43+G44+G45+G46</f>
        <v>18933</v>
      </c>
      <c r="H47" s="99">
        <f>G47+'16'!H47</f>
        <v>258059.09000000003</v>
      </c>
      <c r="I47" s="95"/>
      <c r="J47" s="175">
        <f>H47/DAY(B2)</f>
        <v>15179.946470588236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85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'16'!F49</f>
        <v>317736</v>
      </c>
      <c r="F49" s="145">
        <v>321230</v>
      </c>
      <c r="G49" s="475">
        <f t="shared" ref="G49:G58" si="4">F49-E49</f>
        <v>3494</v>
      </c>
      <c r="H49" s="99">
        <f>G49+'16'!H49</f>
        <v>61083</v>
      </c>
      <c r="I49" s="95"/>
      <c r="J49" s="175">
        <f>H49/DAY(B2)</f>
        <v>3593.1176470588234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'16'!F50</f>
        <v>227035</v>
      </c>
      <c r="F50" s="145">
        <v>228492</v>
      </c>
      <c r="G50" s="475">
        <f t="shared" si="4"/>
        <v>1457</v>
      </c>
      <c r="H50" s="99">
        <f>G50+'16'!H50</f>
        <v>18928</v>
      </c>
      <c r="I50" s="95"/>
      <c r="J50" s="175">
        <f>H50/DAY(B2)</f>
        <v>1113.4117647058824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'16'!F51</f>
        <v>76</v>
      </c>
      <c r="F51" s="145">
        <v>76</v>
      </c>
      <c r="G51" s="475">
        <f t="shared" si="4"/>
        <v>0</v>
      </c>
      <c r="H51" s="99">
        <f>G51+'16'!H51</f>
        <v>0.31999999999999318</v>
      </c>
      <c r="I51" s="95"/>
      <c r="J51" s="175">
        <f>H51/DAY(B2)</f>
        <v>1.8823529411764305E-2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'16'!F52</f>
        <v>10</v>
      </c>
      <c r="F52" s="145">
        <v>10</v>
      </c>
      <c r="G52" s="475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475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'16'!F54</f>
        <v>71957</v>
      </c>
      <c r="F54" s="145">
        <v>72394</v>
      </c>
      <c r="G54" s="475">
        <f t="shared" si="4"/>
        <v>437</v>
      </c>
      <c r="H54" s="99">
        <f>G54+'16'!H54</f>
        <v>7838</v>
      </c>
      <c r="I54" s="95"/>
      <c r="J54" s="175">
        <f>H54/DAY(B2)</f>
        <v>461.05882352941177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'16'!F55</f>
        <v>254288</v>
      </c>
      <c r="F55" s="145">
        <v>254288</v>
      </c>
      <c r="G55" s="475">
        <f t="shared" si="4"/>
        <v>0</v>
      </c>
      <c r="H55" s="99">
        <f>G55+'16'!H55</f>
        <v>28815</v>
      </c>
      <c r="I55" s="95"/>
      <c r="J55" s="175">
        <f>H55/DAY(B2)</f>
        <v>1695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'16'!F56</f>
        <v>109347</v>
      </c>
      <c r="F56" s="145">
        <v>109347</v>
      </c>
      <c r="G56" s="475">
        <f t="shared" si="4"/>
        <v>0</v>
      </c>
      <c r="H56" s="99">
        <f>G56+'16'!H56</f>
        <v>2101</v>
      </c>
      <c r="I56" s="95"/>
      <c r="J56" s="175">
        <f>H56/DAY(B2)</f>
        <v>123.58823529411765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'16'!F57</f>
        <v>88133</v>
      </c>
      <c r="F57" s="145">
        <v>91359</v>
      </c>
      <c r="G57" s="475">
        <f t="shared" si="4"/>
        <v>3226</v>
      </c>
      <c r="H57" s="99">
        <f>G57+'16'!H57</f>
        <v>53756</v>
      </c>
      <c r="I57" s="95"/>
      <c r="J57" s="175">
        <f>H57/DAY(B2)</f>
        <v>3162.1176470588234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'16'!F58</f>
        <v>36562</v>
      </c>
      <c r="F58" s="423">
        <v>36784</v>
      </c>
      <c r="G58" s="475">
        <f t="shared" si="4"/>
        <v>222</v>
      </c>
      <c r="H58" s="99">
        <f>G58+'16'!H58</f>
        <v>3895</v>
      </c>
      <c r="I58" s="95"/>
      <c r="J58" s="175">
        <f>H58/DAY(B2)</f>
        <v>229.11764705882354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77">
        <f>G49+G50+G51+G52+G53+G54+G55+G56+G57+G58</f>
        <v>8836</v>
      </c>
      <c r="H59" s="99">
        <f>G59+'16'!H59</f>
        <v>176416.32</v>
      </c>
      <c r="I59" s="95">
        <f>G7-G60</f>
        <v>1030</v>
      </c>
      <c r="J59" s="175">
        <f>H59/DAY(B2)</f>
        <v>10377.430588235295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77">
        <f>G47+G59</f>
        <v>27769</v>
      </c>
      <c r="H60" s="99">
        <f>G60+'16'!H60</f>
        <v>434475.41000000003</v>
      </c>
      <c r="I60" s="95">
        <f>G13-G60</f>
        <v>247</v>
      </c>
      <c r="J60" s="175">
        <f>H60/DAY(B2)</f>
        <v>25557.377058823531</v>
      </c>
      <c r="K60" s="79"/>
      <c r="L60" s="66"/>
      <c r="N60" s="87"/>
      <c r="O60" s="71"/>
    </row>
    <row r="61" spans="1:15" s="68" customFormat="1" ht="27.75" customHeight="1">
      <c r="A61" s="892" t="s">
        <v>332</v>
      </c>
      <c r="B61" s="893"/>
      <c r="C61" s="894"/>
      <c r="D61" s="339"/>
      <c r="E61" s="339"/>
      <c r="F61" s="339"/>
      <c r="G61" s="486"/>
      <c r="H61" s="339"/>
      <c r="I61" s="339"/>
      <c r="J61" s="341"/>
      <c r="K61" s="69"/>
      <c r="L61" s="67"/>
      <c r="N61" s="87"/>
      <c r="O61" s="71"/>
    </row>
    <row r="62" spans="1:15" ht="27.75" customHeight="1">
      <c r="A62" s="873" t="s">
        <v>198</v>
      </c>
      <c r="B62" s="874"/>
      <c r="C62" s="875"/>
      <c r="D62" s="151" t="s">
        <v>142</v>
      </c>
      <c r="E62" s="95">
        <f>'16'!F62</f>
        <v>291255</v>
      </c>
      <c r="F62" s="122">
        <v>291372</v>
      </c>
      <c r="G62" s="475">
        <f t="shared" ref="G62:G63" si="5">F62-E62</f>
        <v>117</v>
      </c>
      <c r="H62" s="99">
        <f>G62+'16'!H62</f>
        <v>2472</v>
      </c>
      <c r="I62" s="118"/>
      <c r="J62" s="175">
        <f>H62/DAY(B2)</f>
        <v>145.41176470588235</v>
      </c>
      <c r="K62" s="80"/>
      <c r="L62" s="66"/>
      <c r="N62" s="87"/>
      <c r="O62" s="71"/>
    </row>
    <row r="63" spans="1:15" ht="27.75" customHeight="1">
      <c r="A63" s="873" t="s">
        <v>199</v>
      </c>
      <c r="B63" s="874"/>
      <c r="C63" s="875"/>
      <c r="D63" s="151" t="s">
        <v>142</v>
      </c>
      <c r="E63" s="95">
        <f>'16'!F63</f>
        <v>233260</v>
      </c>
      <c r="F63" s="122">
        <v>233369</v>
      </c>
      <c r="G63" s="475">
        <f t="shared" si="5"/>
        <v>109</v>
      </c>
      <c r="H63" s="99">
        <f>G63+'16'!H63</f>
        <v>2207</v>
      </c>
      <c r="I63" s="118"/>
      <c r="J63" s="175">
        <f>H63/DAY(B2)</f>
        <v>129.8235294117647</v>
      </c>
      <c r="K63" s="69"/>
      <c r="L63" s="66"/>
      <c r="N63" s="87"/>
      <c r="O63" s="71"/>
    </row>
    <row r="64" spans="1:15" ht="27.75" customHeight="1">
      <c r="A64" s="870" t="s">
        <v>200</v>
      </c>
      <c r="B64" s="871"/>
      <c r="C64" s="872"/>
      <c r="D64" s="151"/>
      <c r="E64" s="95">
        <f>'16'!F64</f>
        <v>0</v>
      </c>
      <c r="F64" s="122"/>
      <c r="G64" s="475">
        <f>G62+G63</f>
        <v>226</v>
      </c>
      <c r="H64" s="99">
        <f>G64+'16'!H64</f>
        <v>4679</v>
      </c>
      <c r="I64" s="118"/>
      <c r="J64" s="175">
        <f>H64/DAY(B2)</f>
        <v>275.23529411764707</v>
      </c>
      <c r="K64" s="69"/>
      <c r="L64" s="66"/>
      <c r="N64" s="87"/>
      <c r="O64" s="71"/>
    </row>
    <row r="65" spans="1:15" ht="27.75" customHeight="1">
      <c r="A65" s="873" t="s">
        <v>201</v>
      </c>
      <c r="B65" s="874"/>
      <c r="C65" s="875"/>
      <c r="D65" s="151" t="s">
        <v>142</v>
      </c>
      <c r="E65" s="95">
        <f>'16'!F65</f>
        <v>449941</v>
      </c>
      <c r="F65" s="122">
        <v>450060</v>
      </c>
      <c r="G65" s="475">
        <f t="shared" ref="G65:G70" si="6">F65-E65</f>
        <v>119</v>
      </c>
      <c r="H65" s="99">
        <f>G65+'16'!H65</f>
        <v>2033</v>
      </c>
      <c r="I65" s="118"/>
      <c r="J65" s="175">
        <f>H65/DAY(B2)</f>
        <v>119.58823529411765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'16'!F66</f>
        <v>110755</v>
      </c>
      <c r="F66" s="122">
        <v>110775</v>
      </c>
      <c r="G66" s="475">
        <f t="shared" si="6"/>
        <v>20</v>
      </c>
      <c r="H66" s="99">
        <f>G66+'16'!H66</f>
        <v>444</v>
      </c>
      <c r="I66" s="118"/>
      <c r="J66" s="175">
        <f>H66/DAY(B2)</f>
        <v>26.117647058823529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'16'!F67</f>
        <v>113681</v>
      </c>
      <c r="F67" s="122">
        <v>113681</v>
      </c>
      <c r="G67" s="475">
        <f t="shared" si="6"/>
        <v>0</v>
      </c>
      <c r="H67" s="99">
        <f>G67+'16'!H67</f>
        <v>403</v>
      </c>
      <c r="I67" s="118"/>
      <c r="J67" s="175">
        <f>H67/DAY(B2)</f>
        <v>23.705882352941178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'16'!F68</f>
        <v>162957</v>
      </c>
      <c r="F68" s="122">
        <v>163023</v>
      </c>
      <c r="G68" s="475">
        <f t="shared" si="6"/>
        <v>66</v>
      </c>
      <c r="H68" s="99">
        <f>G68+'16'!H68</f>
        <v>529</v>
      </c>
      <c r="I68" s="118"/>
      <c r="J68" s="175">
        <f>H68/DAY(B2)</f>
        <v>31.117647058823529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'16'!F69</f>
        <v>12048</v>
      </c>
      <c r="F69" s="122">
        <v>12055</v>
      </c>
      <c r="G69" s="475">
        <f t="shared" si="6"/>
        <v>7</v>
      </c>
      <c r="H69" s="99">
        <f>G69+'16'!H69</f>
        <v>186</v>
      </c>
      <c r="I69" s="118"/>
      <c r="J69" s="175">
        <f>H69/DAY(B2)</f>
        <v>10.941176470588236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'16'!F70</f>
        <v>9402</v>
      </c>
      <c r="F70" s="122">
        <v>9408</v>
      </c>
      <c r="G70" s="475">
        <f t="shared" si="6"/>
        <v>6</v>
      </c>
      <c r="H70" s="99">
        <f>G70+'16'!H70</f>
        <v>141</v>
      </c>
      <c r="I70" s="118"/>
      <c r="J70" s="175">
        <f>H70/DAY(B2)</f>
        <v>8.2941176470588243</v>
      </c>
      <c r="K70" s="69"/>
      <c r="L70" s="66"/>
      <c r="N70" s="87"/>
      <c r="O70" s="71"/>
    </row>
    <row r="71" spans="1:15" ht="27.75" customHeight="1">
      <c r="A71" s="870" t="s">
        <v>208</v>
      </c>
      <c r="B71" s="871"/>
      <c r="C71" s="872"/>
      <c r="D71" s="152"/>
      <c r="E71" s="152"/>
      <c r="F71" s="152"/>
      <c r="G71" s="487">
        <f>SUM(G65:G70)</f>
        <v>218</v>
      </c>
      <c r="H71" s="99">
        <f>G71+'16'!H71</f>
        <v>3736</v>
      </c>
      <c r="I71" s="154"/>
      <c r="J71" s="175">
        <f>H71/DAY(B2)</f>
        <v>219.76470588235293</v>
      </c>
      <c r="K71" s="69"/>
      <c r="L71" s="66"/>
      <c r="N71" s="87"/>
      <c r="O71" s="71"/>
    </row>
    <row r="72" spans="1:15" s="88" customFormat="1" ht="27.75" customHeight="1">
      <c r="A72" s="916"/>
      <c r="B72" s="908"/>
      <c r="C72" s="347"/>
      <c r="D72" s="180"/>
      <c r="E72" s="180" t="s">
        <v>207</v>
      </c>
      <c r="F72" s="180"/>
      <c r="G72" s="488"/>
      <c r="H72" s="181"/>
      <c r="I72" s="180"/>
      <c r="J72" s="182"/>
      <c r="N72" s="87"/>
      <c r="O72" s="71"/>
    </row>
    <row r="73" spans="1:15" ht="27.75" customHeight="1">
      <c r="A73" s="921" t="s">
        <v>333</v>
      </c>
      <c r="B73" s="922"/>
      <c r="C73" s="923"/>
      <c r="D73" s="339"/>
      <c r="E73" s="339"/>
      <c r="F73" s="339"/>
      <c r="G73" s="486"/>
      <c r="H73" s="342"/>
      <c r="I73" s="342"/>
      <c r="J73" s="343"/>
      <c r="K73" s="69"/>
      <c r="L73" s="66"/>
      <c r="N73" s="87"/>
      <c r="O73" s="71"/>
    </row>
    <row r="74" spans="1:15" ht="27.75" customHeight="1">
      <c r="A74" s="873" t="s">
        <v>220</v>
      </c>
      <c r="B74" s="874"/>
      <c r="C74" s="875"/>
      <c r="D74" s="151" t="s">
        <v>139</v>
      </c>
      <c r="E74" s="95">
        <f>'16'!F74</f>
        <v>943643</v>
      </c>
      <c r="F74" s="117">
        <v>943936.52</v>
      </c>
      <c r="G74" s="475">
        <f t="shared" ref="G74:G78" si="7">F74-E74</f>
        <v>293.52000000001863</v>
      </c>
      <c r="H74" s="99">
        <f>G74+'16'!H74</f>
        <v>5266.5200000000186</v>
      </c>
      <c r="I74" s="154"/>
      <c r="J74" s="175">
        <f>H74/DAY(B2)</f>
        <v>309.79529411764815</v>
      </c>
      <c r="K74" s="69"/>
      <c r="L74" s="66"/>
      <c r="N74" s="87"/>
      <c r="O74" s="71"/>
    </row>
    <row r="75" spans="1:15" ht="27.75" customHeight="1">
      <c r="A75" s="873" t="s">
        <v>221</v>
      </c>
      <c r="B75" s="874"/>
      <c r="C75" s="875"/>
      <c r="D75" s="151" t="s">
        <v>139</v>
      </c>
      <c r="E75" s="95">
        <f>'16'!F75</f>
        <v>73586.8</v>
      </c>
      <c r="F75" s="123">
        <v>73586.8</v>
      </c>
      <c r="G75" s="475">
        <f t="shared" si="7"/>
        <v>0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7" t="s">
        <v>222</v>
      </c>
      <c r="B76" s="903"/>
      <c r="C76" s="904"/>
      <c r="D76" s="151" t="s">
        <v>139</v>
      </c>
      <c r="E76" s="95">
        <f>'16'!F76</f>
        <v>185464</v>
      </c>
      <c r="F76" s="123">
        <v>185596</v>
      </c>
      <c r="G76" s="475">
        <f t="shared" si="7"/>
        <v>132</v>
      </c>
      <c r="H76" s="99">
        <f>G76+'16'!H76</f>
        <v>1890</v>
      </c>
      <c r="I76" s="154"/>
      <c r="J76" s="175">
        <f>H76/DAY(B2)</f>
        <v>111.17647058823529</v>
      </c>
      <c r="K76" s="69"/>
      <c r="L76" s="66"/>
      <c r="N76" s="87"/>
      <c r="O76" s="71"/>
    </row>
    <row r="77" spans="1:15" ht="27.75" customHeight="1">
      <c r="A77" s="917" t="s">
        <v>223</v>
      </c>
      <c r="B77" s="903"/>
      <c r="C77" s="904"/>
      <c r="D77" s="151" t="s">
        <v>139</v>
      </c>
      <c r="E77" s="95">
        <f>'16'!F77</f>
        <v>48113</v>
      </c>
      <c r="F77" s="123">
        <v>48151</v>
      </c>
      <c r="G77" s="475">
        <f t="shared" si="7"/>
        <v>38</v>
      </c>
      <c r="H77" s="99">
        <f>G77+'16'!H77</f>
        <v>806</v>
      </c>
      <c r="I77" s="154"/>
      <c r="J77" s="175">
        <f>H77/DAY(B2)</f>
        <v>47.411764705882355</v>
      </c>
      <c r="K77" s="69"/>
      <c r="L77" s="66"/>
      <c r="N77" s="87"/>
      <c r="O77" s="71"/>
    </row>
    <row r="78" spans="1:15" ht="27.75" customHeight="1">
      <c r="A78" s="917" t="s">
        <v>224</v>
      </c>
      <c r="B78" s="903"/>
      <c r="C78" s="904"/>
      <c r="D78" s="151" t="s">
        <v>139</v>
      </c>
      <c r="E78" s="95">
        <f>'16'!F78</f>
        <v>9564</v>
      </c>
      <c r="F78" s="123">
        <v>9564</v>
      </c>
      <c r="G78" s="475">
        <f t="shared" si="7"/>
        <v>0</v>
      </c>
      <c r="H78" s="99">
        <f>G78+'16'!H78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customHeight="1">
      <c r="A79" s="917" t="s">
        <v>225</v>
      </c>
      <c r="B79" s="903"/>
      <c r="C79" s="904"/>
      <c r="D79" s="151"/>
      <c r="E79" s="95">
        <f>'16'!F79</f>
        <v>0</v>
      </c>
      <c r="F79" s="123"/>
      <c r="G79" s="475">
        <f>G15-SUM(G74:G78)</f>
        <v>551.47999999998137</v>
      </c>
      <c r="H79" s="99">
        <f>G79+'16'!H79</f>
        <v>10024.479999999981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70" t="s">
        <v>329</v>
      </c>
      <c r="B80" s="871"/>
      <c r="C80" s="872"/>
      <c r="D80" s="151"/>
      <c r="E80" s="117"/>
      <c r="F80" s="117"/>
      <c r="G80" s="475">
        <f>SUM(G74:G79)</f>
        <v>1015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09" t="s">
        <v>226</v>
      </c>
      <c r="B81" s="910"/>
      <c r="C81" s="911"/>
      <c r="D81" s="110"/>
      <c r="E81" s="110"/>
      <c r="F81" s="110"/>
      <c r="G81" s="489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'16'!F82</f>
        <v>0</v>
      </c>
      <c r="F82" s="122">
        <v>0</v>
      </c>
      <c r="G82" s="475">
        <f t="shared" ref="G82:G92" si="8">F82-E82</f>
        <v>0</v>
      </c>
      <c r="H82" s="99">
        <f>G82+'16'!H82</f>
        <v>0</v>
      </c>
      <c r="I82" s="573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'16'!F83</f>
        <v>0</v>
      </c>
      <c r="F83" s="122">
        <v>0</v>
      </c>
      <c r="G83" s="475">
        <f t="shared" si="8"/>
        <v>0</v>
      </c>
      <c r="H83" s="99">
        <f>G83+'16'!H83</f>
        <v>0</v>
      </c>
      <c r="I83" s="573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'16'!F84</f>
        <v>42137</v>
      </c>
      <c r="F84" s="164">
        <v>42161.440000000002</v>
      </c>
      <c r="G84" s="475">
        <f t="shared" si="8"/>
        <v>24.440000000002328</v>
      </c>
      <c r="H84" s="99">
        <f>G84+'16'!H84</f>
        <v>192.44000000000233</v>
      </c>
      <c r="I84" s="573"/>
      <c r="J84" s="175">
        <f>H84/DAY(B2)</f>
        <v>11.320000000000137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'16'!F85</f>
        <v>4654</v>
      </c>
      <c r="F85" s="164">
        <v>4672.3900000000003</v>
      </c>
      <c r="G85" s="475">
        <f t="shared" si="8"/>
        <v>18.390000000000327</v>
      </c>
      <c r="H85" s="99">
        <f>G85+'16'!H85</f>
        <v>329.39000000000033</v>
      </c>
      <c r="I85" s="573"/>
      <c r="J85" s="175">
        <f>H85/DAY(B2)</f>
        <v>19.375882352941197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'16'!F86</f>
        <v>44658</v>
      </c>
      <c r="F86" s="164">
        <v>44658</v>
      </c>
      <c r="G86" s="475">
        <f t="shared" si="8"/>
        <v>0</v>
      </c>
      <c r="H86" s="99">
        <f>G86+'16'!H86</f>
        <v>188</v>
      </c>
      <c r="I86" s="573"/>
      <c r="J86" s="175">
        <f>H86/DAY(B2)</f>
        <v>11.058823529411764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'16'!F87</f>
        <v>35345</v>
      </c>
      <c r="F87" s="164">
        <v>35345</v>
      </c>
      <c r="G87" s="475">
        <f t="shared" si="8"/>
        <v>0</v>
      </c>
      <c r="H87" s="99">
        <f>G87+'16'!H87</f>
        <v>16</v>
      </c>
      <c r="I87" s="573">
        <f>G84+G85+G86+G87</f>
        <v>42.830000000002656</v>
      </c>
      <c r="J87" s="175">
        <f>H87/DAY(B2)</f>
        <v>0.94117647058823528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'16'!F88</f>
        <v>24276.95</v>
      </c>
      <c r="F88" s="164">
        <v>24277</v>
      </c>
      <c r="G88" s="475">
        <f t="shared" si="8"/>
        <v>4.9999999999272404E-2</v>
      </c>
      <c r="H88" s="99">
        <f>G88+'16'!H88</f>
        <v>49.119999999998981</v>
      </c>
      <c r="I88" s="573"/>
      <c r="J88" s="175">
        <f>H88/DAY(B2)</f>
        <v>2.8894117647058226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'16'!F89</f>
        <v>27156.89</v>
      </c>
      <c r="F89" s="164">
        <v>27167</v>
      </c>
      <c r="G89" s="475">
        <f t="shared" si="8"/>
        <v>10.110000000000582</v>
      </c>
      <c r="H89" s="99">
        <f>G89+'16'!H89</f>
        <v>173.59000000000015</v>
      </c>
      <c r="I89" s="573">
        <f>G88+G89</f>
        <v>10.159999999999854</v>
      </c>
      <c r="J89" s="175">
        <f>H89/DAY(B2)</f>
        <v>10.211176470588244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'16'!F90</f>
        <v>72189.16</v>
      </c>
      <c r="F90" s="164">
        <v>72199</v>
      </c>
      <c r="G90" s="475">
        <f t="shared" si="8"/>
        <v>9.8399999999965075</v>
      </c>
      <c r="H90" s="99">
        <f>G90+'16'!H90</f>
        <v>71.880000000004657</v>
      </c>
      <c r="I90" s="573">
        <f>G90</f>
        <v>9.8399999999965075</v>
      </c>
      <c r="J90" s="175">
        <f>H90/DAY(B2)</f>
        <v>4.2282352941179209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'16'!F91</f>
        <v>4122</v>
      </c>
      <c r="F91" s="122">
        <v>4122</v>
      </c>
      <c r="G91" s="475">
        <f t="shared" si="8"/>
        <v>0</v>
      </c>
      <c r="H91" s="99">
        <f>G91+'16'!H91</f>
        <v>0.3500000000003638</v>
      </c>
      <c r="I91" s="592"/>
      <c r="J91" s="175">
        <f>H91/DAY(B2)</f>
        <v>2.0588235294139046E-2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'16'!F92</f>
        <v>6390.61</v>
      </c>
      <c r="F92" s="122">
        <v>6401</v>
      </c>
      <c r="G92" s="475">
        <f t="shared" si="8"/>
        <v>10.390000000000327</v>
      </c>
      <c r="H92" s="99">
        <f>G92+'16'!H92</f>
        <v>183.75</v>
      </c>
      <c r="I92" s="598">
        <f>G91+G92</f>
        <v>10.390000000000327</v>
      </c>
      <c r="J92" s="175">
        <f>H92/DAY(B2)</f>
        <v>10.808823529411764</v>
      </c>
      <c r="O92" s="71"/>
    </row>
    <row r="93" spans="1:15" ht="27.75" customHeight="1">
      <c r="A93" s="918" t="s">
        <v>239</v>
      </c>
      <c r="B93" s="919"/>
      <c r="C93" s="920"/>
      <c r="D93" s="111"/>
      <c r="E93" s="111"/>
      <c r="F93" s="111"/>
      <c r="G93" s="478"/>
      <c r="H93" s="121"/>
      <c r="I93" s="121"/>
      <c r="J93" s="183"/>
      <c r="K93" s="69"/>
      <c r="L93" s="66"/>
      <c r="O93" s="71"/>
    </row>
    <row r="94" spans="1:15" ht="27.75" customHeight="1">
      <c r="A94" s="873" t="s">
        <v>240</v>
      </c>
      <c r="B94" s="874"/>
      <c r="C94" s="875"/>
      <c r="D94" s="151" t="s">
        <v>130</v>
      </c>
      <c r="E94" s="151"/>
      <c r="F94" s="151"/>
      <c r="G94" s="490">
        <f>G35+G43+G49+G57</f>
        <v>6720</v>
      </c>
      <c r="H94" s="99">
        <f>G94+'16'!H94</f>
        <v>114838</v>
      </c>
      <c r="I94" s="118"/>
      <c r="J94" s="175">
        <f>H94/DAY(B2)</f>
        <v>6755.1764705882351</v>
      </c>
      <c r="K94" s="69"/>
      <c r="L94" s="66"/>
      <c r="O94" s="71"/>
    </row>
    <row r="95" spans="1:15" ht="27.75" customHeight="1">
      <c r="A95" s="873" t="s">
        <v>241</v>
      </c>
      <c r="B95" s="874"/>
      <c r="C95" s="875"/>
      <c r="D95" s="151" t="s">
        <v>23</v>
      </c>
      <c r="E95" s="146"/>
      <c r="F95" s="146"/>
      <c r="G95" s="491">
        <f>G94/G7</f>
        <v>0.23334143546650926</v>
      </c>
      <c r="H95" s="99">
        <f>G95+'16'!H95</f>
        <v>4.1155378289358584</v>
      </c>
      <c r="I95" s="167"/>
      <c r="J95" s="175">
        <f>H95/DAY(B2)</f>
        <v>0.24209046052563873</v>
      </c>
      <c r="K95" s="69"/>
      <c r="L95" s="66"/>
      <c r="O95" s="71"/>
    </row>
    <row r="96" spans="1:15" ht="27.75" customHeight="1">
      <c r="A96" s="873" t="s">
        <v>242</v>
      </c>
      <c r="B96" s="874"/>
      <c r="C96" s="875"/>
      <c r="D96" s="151" t="s">
        <v>130</v>
      </c>
      <c r="E96" s="95"/>
      <c r="F96" s="95"/>
      <c r="G96" s="490">
        <f>G41+G42+G55+G56</f>
        <v>10550</v>
      </c>
      <c r="H96" s="99">
        <f>G96+'16'!H96</f>
        <v>152416</v>
      </c>
      <c r="I96" s="118"/>
      <c r="J96" s="175">
        <f>H96/DAY(B2)</f>
        <v>8965.6470588235297</v>
      </c>
      <c r="K96" s="69"/>
      <c r="L96" s="66"/>
      <c r="O96" s="71"/>
    </row>
    <row r="97" spans="1:15" ht="27.75" customHeight="1">
      <c r="A97" s="873" t="s">
        <v>243</v>
      </c>
      <c r="B97" s="874"/>
      <c r="C97" s="875"/>
      <c r="D97" s="151" t="s">
        <v>23</v>
      </c>
      <c r="E97" s="95"/>
      <c r="F97" s="95"/>
      <c r="G97" s="491">
        <f>G96/G7</f>
        <v>0.36633216431126081</v>
      </c>
      <c r="H97" s="99">
        <f>G97+'16'!H97</f>
        <v>5.418244581374001</v>
      </c>
      <c r="I97" s="167"/>
      <c r="J97" s="175">
        <f>H97/DAY(B2)</f>
        <v>0.3187202694925883</v>
      </c>
      <c r="K97" s="69"/>
      <c r="L97" s="66"/>
      <c r="O97" s="71"/>
    </row>
    <row r="98" spans="1:15" ht="27.75" customHeight="1">
      <c r="A98" s="873" t="s">
        <v>244</v>
      </c>
      <c r="B98" s="874"/>
      <c r="C98" s="875"/>
      <c r="D98" s="151" t="s">
        <v>130</v>
      </c>
      <c r="E98" s="95"/>
      <c r="F98" s="95"/>
      <c r="G98" s="490">
        <f>G39+G53</f>
        <v>3142</v>
      </c>
      <c r="H98" s="99">
        <f>G98+'16'!H98</f>
        <v>48598.090000000026</v>
      </c>
      <c r="I98" s="168"/>
      <c r="J98" s="175">
        <f>H98/DAY(B2)</f>
        <v>2858.7111764705896</v>
      </c>
      <c r="K98" s="69"/>
      <c r="L98" s="66"/>
      <c r="O98" s="71"/>
    </row>
    <row r="99" spans="1:15" ht="27.75" customHeight="1">
      <c r="A99" s="873" t="s">
        <v>245</v>
      </c>
      <c r="B99" s="874"/>
      <c r="C99" s="875"/>
      <c r="D99" s="151" t="s">
        <v>23</v>
      </c>
      <c r="E99" s="95"/>
      <c r="F99" s="95"/>
      <c r="G99" s="491">
        <f>G98/G7</f>
        <v>0.1091010104517518</v>
      </c>
      <c r="H99" s="99">
        <f>G99+'16'!H99</f>
        <v>1.7377110606288</v>
      </c>
      <c r="I99" s="168"/>
      <c r="J99" s="175">
        <f>H99/DAY(B2)</f>
        <v>0.10221829768404705</v>
      </c>
      <c r="O99" s="71"/>
    </row>
    <row r="100" spans="1:15" ht="27.75" customHeight="1">
      <c r="A100" s="873" t="s">
        <v>246</v>
      </c>
      <c r="B100" s="874"/>
      <c r="C100" s="875"/>
      <c r="D100" s="151" t="s">
        <v>180</v>
      </c>
      <c r="E100" s="95"/>
      <c r="F100" s="95"/>
      <c r="G100" s="490">
        <f>G38+G52</f>
        <v>2355</v>
      </c>
      <c r="H100" s="99">
        <f>G100+'16'!H100</f>
        <v>39184</v>
      </c>
      <c r="I100" s="118"/>
      <c r="J100" s="175">
        <f>H100/DAY(B2)</f>
        <v>2304.9411764705883</v>
      </c>
      <c r="K100" s="70"/>
      <c r="O100" s="71"/>
    </row>
    <row r="101" spans="1:15" ht="27.75" customHeight="1">
      <c r="A101" s="873" t="s">
        <v>247</v>
      </c>
      <c r="B101" s="874"/>
      <c r="C101" s="875"/>
      <c r="D101" s="151" t="s">
        <v>23</v>
      </c>
      <c r="E101" s="95"/>
      <c r="F101" s="95"/>
      <c r="G101" s="491">
        <f>G100/G7</f>
        <v>8.1773672696968641E-2</v>
      </c>
      <c r="H101" s="99">
        <f>G101+'16'!H101</f>
        <v>1.4004690933698554</v>
      </c>
      <c r="I101" s="168"/>
      <c r="J101" s="175">
        <f>H101/DAY(B2)</f>
        <v>8.238053490410914E-2</v>
      </c>
      <c r="O101" s="71"/>
    </row>
    <row r="102" spans="1:15" ht="27.75" customHeight="1">
      <c r="A102" s="873" t="s">
        <v>248</v>
      </c>
      <c r="B102" s="874"/>
      <c r="C102" s="875"/>
      <c r="D102" s="151" t="s">
        <v>180</v>
      </c>
      <c r="E102" s="95"/>
      <c r="F102" s="95"/>
      <c r="G102" s="490">
        <f>G36+G50</f>
        <v>2178</v>
      </c>
      <c r="H102" s="99">
        <f>G102+'16'!H102</f>
        <v>33531</v>
      </c>
      <c r="I102" s="168"/>
      <c r="J102" s="175">
        <f>H102/DAY(B2)</f>
        <v>1972.4117647058824</v>
      </c>
      <c r="O102" s="71"/>
    </row>
    <row r="103" spans="1:15" ht="27.75" customHeight="1">
      <c r="A103" s="873" t="s">
        <v>249</v>
      </c>
      <c r="B103" s="874"/>
      <c r="C103" s="875"/>
      <c r="D103" s="151" t="s">
        <v>23</v>
      </c>
      <c r="E103" s="95"/>
      <c r="F103" s="95"/>
      <c r="G103" s="491">
        <f>G102/G7</f>
        <v>7.5627625959234696E-2</v>
      </c>
      <c r="H103" s="99">
        <f>G103+'16'!H103</f>
        <v>1.192770673866437</v>
      </c>
      <c r="I103" s="118"/>
      <c r="J103" s="175">
        <f>H103/DAY(B2)</f>
        <v>7.0162980815672765E-2</v>
      </c>
      <c r="O103" s="71"/>
    </row>
    <row r="104" spans="1:15" ht="27.75" customHeight="1">
      <c r="A104" s="873" t="s">
        <v>250</v>
      </c>
      <c r="B104" s="874"/>
      <c r="C104" s="875"/>
      <c r="D104" s="151" t="s">
        <v>180</v>
      </c>
      <c r="E104" s="95"/>
      <c r="F104" s="95"/>
      <c r="G104" s="490">
        <f>G37+G51</f>
        <v>1704</v>
      </c>
      <c r="H104" s="99">
        <f>G104+'16'!H104</f>
        <v>29559.32</v>
      </c>
      <c r="I104" s="118"/>
      <c r="J104" s="175">
        <f>H104/DAY(B2)</f>
        <v>1738.7835294117647</v>
      </c>
      <c r="O104" s="71"/>
    </row>
    <row r="105" spans="1:15" ht="27.75" customHeight="1" thickBot="1">
      <c r="A105" s="913" t="s">
        <v>251</v>
      </c>
      <c r="B105" s="914"/>
      <c r="C105" s="915"/>
      <c r="D105" s="231" t="s">
        <v>23</v>
      </c>
      <c r="E105" s="185"/>
      <c r="F105" s="185"/>
      <c r="G105" s="492">
        <f>G104/G7</f>
        <v>5.9168721136150564E-2</v>
      </c>
      <c r="H105" s="99">
        <f>G105+'16'!H105</f>
        <v>1.0535235520523267</v>
      </c>
      <c r="I105" s="187"/>
      <c r="J105" s="188">
        <f>H105/DAY(B2)</f>
        <v>6.1971973650136868E-2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93"/>
      <c r="H106" s="170"/>
      <c r="I106" s="169"/>
      <c r="J106" s="171"/>
      <c r="O106" s="71"/>
    </row>
    <row r="108" spans="1:15" ht="27.75" customHeight="1">
      <c r="A108" s="927" t="s">
        <v>324</v>
      </c>
      <c r="B108" s="927"/>
      <c r="C108" s="927"/>
      <c r="D108" s="927"/>
      <c r="E108" s="927"/>
      <c r="F108" s="927"/>
      <c r="G108" s="927"/>
      <c r="H108" s="927"/>
      <c r="I108" s="927"/>
      <c r="J108" s="927"/>
    </row>
    <row r="109" spans="1:15" ht="27.75" customHeight="1">
      <c r="A109" s="912"/>
      <c r="B109" s="912"/>
    </row>
    <row r="110" spans="1:15" ht="27.75" customHeight="1">
      <c r="A110" s="928" t="s">
        <v>165</v>
      </c>
      <c r="B110" s="929"/>
      <c r="C110" s="929"/>
      <c r="D110" s="929"/>
      <c r="E110" s="929"/>
      <c r="F110" s="929"/>
      <c r="G110" s="929"/>
      <c r="H110" s="929"/>
      <c r="I110" s="929"/>
      <c r="J110" s="930"/>
    </row>
    <row r="111" spans="1:15" ht="27.75" customHeight="1">
      <c r="A111" s="931"/>
      <c r="B111" s="932"/>
      <c r="C111" s="933"/>
      <c r="D111" s="165"/>
      <c r="E111" s="165"/>
      <c r="F111" s="165"/>
      <c r="G111" s="495"/>
      <c r="H111" s="156"/>
      <c r="I111" s="165"/>
      <c r="J111" s="327"/>
    </row>
    <row r="112" spans="1:15" ht="27.75" customHeight="1">
      <c r="A112" s="906" t="s">
        <v>252</v>
      </c>
      <c r="B112" s="907"/>
      <c r="C112" s="908"/>
      <c r="D112" s="146" t="s">
        <v>183</v>
      </c>
      <c r="E112" s="95">
        <f>'16'!F112</f>
        <v>3894</v>
      </c>
      <c r="F112" s="237">
        <v>3971</v>
      </c>
      <c r="G112" s="475">
        <f t="shared" ref="G112:G123" si="9">F112-E112</f>
        <v>77</v>
      </c>
      <c r="H112" s="99">
        <f>G112+'16'!H112</f>
        <v>1294</v>
      </c>
      <c r="I112" s="165"/>
      <c r="J112" s="328">
        <f>H112/DAY(B2)</f>
        <v>76.117647058823536</v>
      </c>
    </row>
    <row r="113" spans="1:18" ht="27.75" customHeight="1">
      <c r="A113" s="906" t="s">
        <v>253</v>
      </c>
      <c r="B113" s="907"/>
      <c r="C113" s="908"/>
      <c r="D113" s="146" t="s">
        <v>183</v>
      </c>
      <c r="E113" s="95">
        <f>'16'!F113</f>
        <v>8653</v>
      </c>
      <c r="F113" s="237">
        <v>8789</v>
      </c>
      <c r="G113" s="475">
        <f t="shared" si="9"/>
        <v>136</v>
      </c>
      <c r="H113" s="99">
        <f>G113+'16'!H113</f>
        <v>2398</v>
      </c>
      <c r="I113" s="165"/>
      <c r="J113" s="328">
        <f>H113/DAY(B2)</f>
        <v>141.05882352941177</v>
      </c>
    </row>
    <row r="114" spans="1:18" ht="27.75" customHeight="1">
      <c r="A114" s="906" t="s">
        <v>254</v>
      </c>
      <c r="B114" s="907"/>
      <c r="C114" s="908"/>
      <c r="D114" s="146" t="s">
        <v>183</v>
      </c>
      <c r="E114" s="95">
        <f>'16'!F114</f>
        <v>11075</v>
      </c>
      <c r="F114" s="417">
        <v>11299</v>
      </c>
      <c r="G114" s="475">
        <f t="shared" si="9"/>
        <v>224</v>
      </c>
      <c r="H114" s="99">
        <f>G114+'16'!H114</f>
        <v>3729</v>
      </c>
      <c r="I114" s="165"/>
      <c r="J114" s="328">
        <f>H114/DAY(B2)</f>
        <v>219.35294117647058</v>
      </c>
    </row>
    <row r="115" spans="1:18" ht="27.75" customHeight="1">
      <c r="A115" s="906" t="s">
        <v>255</v>
      </c>
      <c r="B115" s="907"/>
      <c r="C115" s="908"/>
      <c r="D115" s="146" t="s">
        <v>183</v>
      </c>
      <c r="E115" s="95">
        <f>'16'!F115</f>
        <v>7070</v>
      </c>
      <c r="F115" s="237">
        <v>7168</v>
      </c>
      <c r="G115" s="475">
        <f t="shared" si="9"/>
        <v>98</v>
      </c>
      <c r="H115" s="99">
        <f>G115+'16'!H115</f>
        <v>1037.5200000000002</v>
      </c>
      <c r="I115" s="165"/>
      <c r="J115" s="328">
        <f>H115/DAY(B2)</f>
        <v>61.030588235294132</v>
      </c>
    </row>
    <row r="116" spans="1:18" ht="27.75" customHeight="1">
      <c r="A116" s="924" t="s">
        <v>96</v>
      </c>
      <c r="B116" s="925"/>
      <c r="C116" s="926"/>
      <c r="D116" s="146" t="s">
        <v>183</v>
      </c>
      <c r="E116" s="95">
        <f>'16'!F116</f>
        <v>53158</v>
      </c>
      <c r="F116" s="237">
        <v>53530</v>
      </c>
      <c r="G116" s="475">
        <f t="shared" si="9"/>
        <v>372</v>
      </c>
      <c r="H116" s="99">
        <f>G116+'16'!H116</f>
        <v>6775</v>
      </c>
      <c r="I116" s="165"/>
      <c r="J116" s="328">
        <f>H116/DAY(B2)</f>
        <v>398.52941176470586</v>
      </c>
      <c r="Q116" s="906"/>
      <c r="R116" s="908"/>
    </row>
    <row r="117" spans="1:18" ht="27.75" customHeight="1">
      <c r="A117" s="924" t="s">
        <v>184</v>
      </c>
      <c r="B117" s="925"/>
      <c r="C117" s="926"/>
      <c r="D117" s="146" t="s">
        <v>183</v>
      </c>
      <c r="E117" s="95">
        <f>'16'!F117</f>
        <v>28842</v>
      </c>
      <c r="F117" s="237">
        <v>29115</v>
      </c>
      <c r="G117" s="475">
        <f t="shared" si="9"/>
        <v>273</v>
      </c>
      <c r="H117" s="99">
        <f>G117+'16'!H117</f>
        <v>3847</v>
      </c>
      <c r="I117" s="165"/>
      <c r="J117" s="328">
        <f>H117/DAY(B2)</f>
        <v>226.29411764705881</v>
      </c>
      <c r="Q117" s="906"/>
      <c r="R117" s="908"/>
    </row>
    <row r="118" spans="1:18" ht="27.75" customHeight="1">
      <c r="A118" s="901" t="s">
        <v>97</v>
      </c>
      <c r="B118" s="901"/>
      <c r="C118" s="901"/>
      <c r="D118" s="151" t="s">
        <v>183</v>
      </c>
      <c r="E118" s="95">
        <f>'16'!F118</f>
        <v>35787</v>
      </c>
      <c r="F118" s="237">
        <v>36456</v>
      </c>
      <c r="G118" s="475">
        <f t="shared" si="9"/>
        <v>669</v>
      </c>
      <c r="H118" s="99">
        <f>G118+'16'!H118</f>
        <v>10231</v>
      </c>
      <c r="I118" s="165"/>
      <c r="J118" s="328">
        <f>H118/DAY(B2)</f>
        <v>601.82352941176475</v>
      </c>
      <c r="Q118" s="906"/>
      <c r="R118" s="908"/>
    </row>
    <row r="119" spans="1:18" ht="27.75" customHeight="1">
      <c r="A119" s="901" t="s">
        <v>98</v>
      </c>
      <c r="B119" s="901"/>
      <c r="C119" s="901"/>
      <c r="D119" s="151" t="s">
        <v>183</v>
      </c>
      <c r="E119" s="95">
        <f>'16'!F119</f>
        <v>25839</v>
      </c>
      <c r="F119" s="237">
        <v>26298</v>
      </c>
      <c r="G119" s="475">
        <f t="shared" si="9"/>
        <v>459</v>
      </c>
      <c r="H119" s="99">
        <f>G119+'16'!H119</f>
        <v>7351</v>
      </c>
      <c r="I119" s="165"/>
      <c r="J119" s="328">
        <f>H119/DAY(B2)</f>
        <v>432.41176470588238</v>
      </c>
    </row>
    <row r="120" spans="1:18" ht="27.75" customHeight="1">
      <c r="A120" s="901" t="s">
        <v>99</v>
      </c>
      <c r="B120" s="901"/>
      <c r="C120" s="901"/>
      <c r="D120" s="151" t="s">
        <v>183</v>
      </c>
      <c r="E120" s="95">
        <f>'16'!F120</f>
        <v>27050</v>
      </c>
      <c r="F120" s="237">
        <v>27475</v>
      </c>
      <c r="G120" s="475">
        <f t="shared" si="9"/>
        <v>425</v>
      </c>
      <c r="H120" s="99">
        <f>G120+'16'!H120</f>
        <v>7425</v>
      </c>
      <c r="I120" s="165"/>
      <c r="J120" s="328">
        <f>H120/DAY(B2)</f>
        <v>436.76470588235293</v>
      </c>
    </row>
    <row r="121" spans="1:18" ht="27.75" customHeight="1">
      <c r="A121" s="901" t="s">
        <v>100</v>
      </c>
      <c r="B121" s="901"/>
      <c r="C121" s="901"/>
      <c r="D121" s="151" t="s">
        <v>183</v>
      </c>
      <c r="E121" s="95">
        <f>'16'!F121</f>
        <v>33273</v>
      </c>
      <c r="F121" s="237">
        <v>33727</v>
      </c>
      <c r="G121" s="475">
        <f t="shared" si="9"/>
        <v>454</v>
      </c>
      <c r="H121" s="99">
        <f>G121+'16'!H121</f>
        <v>7883</v>
      </c>
      <c r="I121" s="165"/>
      <c r="J121" s="328">
        <f>H121/DAY(B2)</f>
        <v>463.70588235294116</v>
      </c>
    </row>
    <row r="122" spans="1:18" ht="27.75" customHeight="1">
      <c r="A122" s="901" t="s">
        <v>101</v>
      </c>
      <c r="B122" s="901"/>
      <c r="C122" s="901"/>
      <c r="D122" s="151" t="s">
        <v>183</v>
      </c>
      <c r="E122" s="95">
        <f>'16'!F122</f>
        <v>16049</v>
      </c>
      <c r="F122" s="237">
        <v>16363</v>
      </c>
      <c r="G122" s="475">
        <f t="shared" si="9"/>
        <v>314</v>
      </c>
      <c r="H122" s="99">
        <f>G122+'16'!H122</f>
        <v>5203</v>
      </c>
      <c r="I122" s="165"/>
      <c r="J122" s="328">
        <f>H122/DAY(B2)</f>
        <v>306.05882352941177</v>
      </c>
    </row>
    <row r="123" spans="1:18" ht="27.75" customHeight="1">
      <c r="A123" s="901" t="s">
        <v>102</v>
      </c>
      <c r="B123" s="901"/>
      <c r="C123" s="901"/>
      <c r="D123" s="151" t="s">
        <v>183</v>
      </c>
      <c r="E123" s="95">
        <f>'16'!F123</f>
        <v>15959</v>
      </c>
      <c r="F123" s="237">
        <v>16276</v>
      </c>
      <c r="G123" s="475">
        <f t="shared" si="9"/>
        <v>317</v>
      </c>
      <c r="H123" s="99">
        <f>G123+'16'!H123</f>
        <v>5767</v>
      </c>
      <c r="I123" s="165"/>
      <c r="J123" s="328">
        <f>H123/DAY(B2)</f>
        <v>339.23529411764707</v>
      </c>
    </row>
    <row r="124" spans="1:18" ht="27.75" customHeight="1">
      <c r="A124" s="931"/>
      <c r="B124" s="932"/>
      <c r="C124" s="933"/>
      <c r="D124" s="165"/>
      <c r="E124" s="95">
        <f>'16'!F124</f>
        <v>0</v>
      </c>
      <c r="F124" s="165"/>
      <c r="G124" s="495"/>
      <c r="H124" s="99">
        <f>G124+'16'!H124</f>
        <v>0</v>
      </c>
      <c r="I124" s="165"/>
      <c r="J124" s="327"/>
    </row>
    <row r="125" spans="1:18" ht="27.75" customHeight="1">
      <c r="A125" s="934" t="s">
        <v>196</v>
      </c>
      <c r="B125" s="935"/>
      <c r="C125" s="245"/>
      <c r="D125" s="307"/>
      <c r="E125" s="308"/>
      <c r="F125" s="308"/>
      <c r="G125" s="496">
        <f>SUM(G112:G124)</f>
        <v>3818</v>
      </c>
      <c r="H125" s="156"/>
      <c r="I125" s="327">
        <f>G125-(G39+G53)</f>
        <v>676</v>
      </c>
      <c r="J125" s="327"/>
    </row>
    <row r="126" spans="1:18" ht="27.75" customHeight="1">
      <c r="A126" s="936" t="s">
        <v>317</v>
      </c>
      <c r="B126" s="936"/>
      <c r="C126" s="936"/>
      <c r="D126" s="936"/>
      <c r="E126" s="936"/>
      <c r="F126" s="936"/>
      <c r="G126" s="936"/>
      <c r="H126" s="936"/>
      <c r="I126" s="936"/>
      <c r="J126" s="936"/>
    </row>
    <row r="127" spans="1:18" ht="27.75" customHeight="1">
      <c r="A127" s="937"/>
      <c r="B127" s="937"/>
      <c r="C127" s="245"/>
      <c r="D127" s="307"/>
      <c r="E127" s="308"/>
      <c r="F127" s="308"/>
      <c r="G127" s="496"/>
      <c r="H127" s="99">
        <f>G127+'16'!H127</f>
        <v>0</v>
      </c>
      <c r="I127" s="165"/>
      <c r="J127" s="328">
        <f>H127/DAY(B2)</f>
        <v>0</v>
      </c>
    </row>
    <row r="128" spans="1:18" ht="27.75" customHeight="1">
      <c r="A128" s="906" t="s">
        <v>318</v>
      </c>
      <c r="B128" s="907"/>
      <c r="C128" s="908"/>
      <c r="D128" s="151" t="s">
        <v>183</v>
      </c>
      <c r="E128" s="95">
        <f>'16'!F128</f>
        <v>104139</v>
      </c>
      <c r="F128" s="165">
        <v>104688</v>
      </c>
      <c r="G128" s="475">
        <f t="shared" ref="G128:G133" si="10">F128-E128</f>
        <v>549</v>
      </c>
      <c r="H128" s="99">
        <f>G128+'16'!H128</f>
        <v>8973</v>
      </c>
      <c r="I128" s="165"/>
      <c r="J128" s="328">
        <f>H128/DAY(B2)</f>
        <v>527.82352941176475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'16'!F129</f>
        <v>64114</v>
      </c>
      <c r="F129" s="165">
        <v>64373</v>
      </c>
      <c r="G129" s="475">
        <f t="shared" si="10"/>
        <v>259</v>
      </c>
      <c r="H129" s="99">
        <f>G129+'16'!H129</f>
        <v>4080</v>
      </c>
      <c r="I129" s="165"/>
      <c r="J129" s="328">
        <f>H129/DAY(B2)</f>
        <v>240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'16'!F130</f>
        <v>131296</v>
      </c>
      <c r="F130" s="165">
        <v>131898</v>
      </c>
      <c r="G130" s="475">
        <f t="shared" si="10"/>
        <v>602</v>
      </c>
      <c r="H130" s="99">
        <f>G130+'16'!H130</f>
        <v>10769</v>
      </c>
      <c r="I130" s="165"/>
      <c r="J130" s="328">
        <f>H130/DAY(B2)</f>
        <v>633.47058823529414</v>
      </c>
      <c r="N130" s="240"/>
      <c r="O130" s="241"/>
    </row>
    <row r="131" spans="1:15" ht="27.75" customHeight="1">
      <c r="A131" s="906" t="s">
        <v>321</v>
      </c>
      <c r="B131" s="907"/>
      <c r="C131" s="908"/>
      <c r="D131" s="151" t="s">
        <v>183</v>
      </c>
      <c r="E131" s="95">
        <f>'16'!F131</f>
        <v>39600</v>
      </c>
      <c r="F131" s="165">
        <v>39790</v>
      </c>
      <c r="G131" s="475">
        <f t="shared" si="10"/>
        <v>190</v>
      </c>
      <c r="H131" s="99">
        <f>G131+'16'!H131</f>
        <v>3511</v>
      </c>
      <c r="I131" s="165"/>
      <c r="J131" s="328">
        <f>H131/DAY(B2)</f>
        <v>206.52941176470588</v>
      </c>
      <c r="N131" s="240"/>
      <c r="O131" s="241"/>
    </row>
    <row r="132" spans="1:15" ht="27.75" customHeight="1">
      <c r="A132" s="906" t="s">
        <v>322</v>
      </c>
      <c r="B132" s="907"/>
      <c r="C132" s="908"/>
      <c r="D132" s="151" t="s">
        <v>183</v>
      </c>
      <c r="E132" s="95">
        <f>'16'!F132</f>
        <v>109834</v>
      </c>
      <c r="F132" s="165">
        <v>110223</v>
      </c>
      <c r="G132" s="475">
        <f t="shared" si="10"/>
        <v>389</v>
      </c>
      <c r="H132" s="99">
        <f>G132+'16'!H132</f>
        <v>6711</v>
      </c>
      <c r="I132" s="165"/>
      <c r="J132" s="328">
        <f>H132/DAY(B2)</f>
        <v>394.76470588235293</v>
      </c>
    </row>
    <row r="133" spans="1:15" ht="27.75" customHeight="1">
      <c r="A133" s="906" t="s">
        <v>359</v>
      </c>
      <c r="B133" s="907"/>
      <c r="C133" s="908"/>
      <c r="D133" s="151" t="s">
        <v>183</v>
      </c>
      <c r="E133" s="95">
        <f>'16'!F133</f>
        <v>214526</v>
      </c>
      <c r="F133" s="165">
        <v>215135</v>
      </c>
      <c r="G133" s="475">
        <f t="shared" si="10"/>
        <v>609</v>
      </c>
      <c r="H133" s="99">
        <f>G133+'16'!H133</f>
        <v>13903</v>
      </c>
      <c r="I133" s="165"/>
      <c r="J133" s="328">
        <f>H133/DAY(B2)</f>
        <v>817.82352941176475</v>
      </c>
    </row>
    <row r="134" spans="1:15" ht="27.75" customHeight="1">
      <c r="A134" s="906" t="s">
        <v>340</v>
      </c>
      <c r="B134" s="907"/>
      <c r="C134" s="908"/>
      <c r="D134" s="151" t="s">
        <v>183</v>
      </c>
      <c r="E134" s="95">
        <f>'16'!F134</f>
        <v>38766</v>
      </c>
      <c r="F134" s="165">
        <v>39010</v>
      </c>
      <c r="G134" s="475">
        <f>F134-E134</f>
        <v>244</v>
      </c>
      <c r="H134" s="99">
        <f>G134+'16'!H134</f>
        <v>4115</v>
      </c>
      <c r="I134" s="165"/>
      <c r="J134" s="328">
        <f>H134/DAY(B2)</f>
        <v>242.05882352941177</v>
      </c>
    </row>
    <row r="135" spans="1:15" ht="27.75" customHeight="1">
      <c r="A135" s="934" t="s">
        <v>196</v>
      </c>
      <c r="B135" s="935"/>
      <c r="C135" s="331"/>
      <c r="D135" s="151"/>
      <c r="E135" s="95"/>
      <c r="F135" s="165"/>
      <c r="G135" s="475">
        <f>SUM(G128:G134)</f>
        <v>2842</v>
      </c>
      <c r="H135" s="99">
        <f>G135+'10'!H135</f>
        <v>33059.83</v>
      </c>
      <c r="I135" s="327">
        <f>G135-(G35+G49)</f>
        <v>-652</v>
      </c>
      <c r="J135" s="328"/>
    </row>
    <row r="136" spans="1:15" ht="27.75" customHeight="1">
      <c r="A136" s="938" t="s">
        <v>325</v>
      </c>
      <c r="B136" s="938"/>
      <c r="C136" s="938"/>
      <c r="D136" s="938"/>
      <c r="E136" s="938"/>
      <c r="F136" s="938"/>
      <c r="G136" s="938"/>
      <c r="H136" s="938"/>
      <c r="I136" s="938"/>
      <c r="J136" s="938"/>
    </row>
    <row r="137" spans="1:15" ht="27.75" customHeight="1">
      <c r="A137" s="245"/>
      <c r="B137" s="246"/>
      <c r="C137" s="246"/>
      <c r="D137" s="165"/>
      <c r="E137" s="165"/>
      <c r="F137" s="165"/>
      <c r="G137" s="495"/>
      <c r="H137" s="156"/>
      <c r="I137" s="165"/>
      <c r="J137" s="327"/>
    </row>
    <row r="138" spans="1:15" ht="27.75" customHeight="1">
      <c r="A138" s="969" t="s">
        <v>185</v>
      </c>
      <c r="B138" s="969"/>
      <c r="C138" s="969"/>
      <c r="D138" s="233" t="s">
        <v>183</v>
      </c>
      <c r="E138" s="406">
        <f>'16'!F138</f>
        <v>885429</v>
      </c>
      <c r="F138" s="518">
        <v>885598</v>
      </c>
      <c r="G138" s="608">
        <f t="shared" ref="G138:G152" si="11">F138-E138</f>
        <v>169</v>
      </c>
      <c r="H138" s="238">
        <f>G138+'16'!H138</f>
        <v>2320.2999999999993</v>
      </c>
      <c r="I138" s="407"/>
      <c r="J138" s="408">
        <f>H138/DAY(B2)</f>
        <v>136.4882352941176</v>
      </c>
    </row>
    <row r="139" spans="1:15" ht="27.75" customHeight="1">
      <c r="A139" s="969" t="s">
        <v>186</v>
      </c>
      <c r="B139" s="969"/>
      <c r="C139" s="969"/>
      <c r="D139" s="233" t="s">
        <v>183</v>
      </c>
      <c r="E139" s="406">
        <f>'16'!F139</f>
        <v>901845</v>
      </c>
      <c r="F139" s="518">
        <v>902055</v>
      </c>
      <c r="G139" s="608">
        <f t="shared" si="11"/>
        <v>210</v>
      </c>
      <c r="H139" s="238">
        <f>G139+'16'!H139</f>
        <v>2600</v>
      </c>
      <c r="I139" s="407"/>
      <c r="J139" s="408">
        <f>H139/DAY(B2)</f>
        <v>152.94117647058823</v>
      </c>
    </row>
    <row r="140" spans="1:15" ht="27.75" customHeight="1">
      <c r="A140" s="969" t="s">
        <v>187</v>
      </c>
      <c r="B140" s="969"/>
      <c r="C140" s="969"/>
      <c r="D140" s="233" t="s">
        <v>183</v>
      </c>
      <c r="E140" s="406">
        <f>'16'!F140</f>
        <v>840</v>
      </c>
      <c r="F140" s="148">
        <v>858</v>
      </c>
      <c r="G140" s="608">
        <f t="shared" si="11"/>
        <v>18</v>
      </c>
      <c r="H140" s="238">
        <f>G140+'16'!H140</f>
        <v>209.24</v>
      </c>
      <c r="I140" s="407"/>
      <c r="J140" s="408">
        <f>H140/DAY(B2)</f>
        <v>12.308235294117647</v>
      </c>
    </row>
    <row r="141" spans="1:15" ht="27.75" customHeight="1">
      <c r="A141" s="976" t="s">
        <v>188</v>
      </c>
      <c r="B141" s="976"/>
      <c r="C141" s="976"/>
      <c r="D141" s="233" t="s">
        <v>183</v>
      </c>
      <c r="E141" s="406">
        <f>'16'!F141</f>
        <v>81218</v>
      </c>
      <c r="F141" s="148">
        <v>81435</v>
      </c>
      <c r="G141" s="608">
        <f t="shared" si="11"/>
        <v>217</v>
      </c>
      <c r="H141" s="238">
        <f>G141+'16'!H141</f>
        <v>3483</v>
      </c>
      <c r="I141" s="407"/>
      <c r="J141" s="408">
        <f>H141/DAY(B2)</f>
        <v>204.88235294117646</v>
      </c>
    </row>
    <row r="142" spans="1:15" ht="27.75" customHeight="1">
      <c r="A142" s="976" t="s">
        <v>189</v>
      </c>
      <c r="B142" s="976"/>
      <c r="C142" s="976"/>
      <c r="D142" s="233" t="s">
        <v>183</v>
      </c>
      <c r="E142" s="406">
        <f>'16'!F142</f>
        <v>32965</v>
      </c>
      <c r="F142" s="148">
        <v>33103</v>
      </c>
      <c r="G142" s="608">
        <f t="shared" si="11"/>
        <v>138</v>
      </c>
      <c r="H142" s="238">
        <f>G142+'16'!H142</f>
        <v>2577</v>
      </c>
      <c r="I142" s="536"/>
      <c r="J142" s="408">
        <f>H142/DAY(B2)</f>
        <v>151.58823529411765</v>
      </c>
    </row>
    <row r="143" spans="1:15" ht="27.75" customHeight="1">
      <c r="A143" s="969" t="s">
        <v>91</v>
      </c>
      <c r="B143" s="969"/>
      <c r="C143" s="969"/>
      <c r="D143" s="233" t="s">
        <v>183</v>
      </c>
      <c r="E143" s="406">
        <f>'16'!F143</f>
        <v>7758</v>
      </c>
      <c r="F143" s="148">
        <v>7790</v>
      </c>
      <c r="G143" s="608">
        <f t="shared" si="11"/>
        <v>32</v>
      </c>
      <c r="H143" s="238">
        <f>G143+'16'!H143</f>
        <v>484</v>
      </c>
      <c r="I143" s="536"/>
      <c r="J143" s="408">
        <f>H143/DAY(B2)</f>
        <v>28.470588235294116</v>
      </c>
    </row>
    <row r="144" spans="1:15" ht="27.75" customHeight="1">
      <c r="A144" s="976" t="s">
        <v>90</v>
      </c>
      <c r="B144" s="976"/>
      <c r="C144" s="976"/>
      <c r="D144" s="233" t="s">
        <v>183</v>
      </c>
      <c r="E144" s="406">
        <f>'16'!F144</f>
        <v>908923</v>
      </c>
      <c r="F144" s="148">
        <v>909167</v>
      </c>
      <c r="G144" s="608">
        <f t="shared" si="11"/>
        <v>244</v>
      </c>
      <c r="H144" s="238">
        <f>G144+'16'!H144</f>
        <v>4114</v>
      </c>
      <c r="I144" s="536"/>
      <c r="J144" s="408">
        <f>H144/DAY(B2)</f>
        <v>242</v>
      </c>
    </row>
    <row r="145" spans="1:10" ht="27.75" customHeight="1">
      <c r="A145" s="969" t="s">
        <v>190</v>
      </c>
      <c r="B145" s="969"/>
      <c r="C145" s="969"/>
      <c r="D145" s="233" t="s">
        <v>183</v>
      </c>
      <c r="E145" s="406">
        <f>'16'!F145</f>
        <v>5665</v>
      </c>
      <c r="F145" s="148">
        <v>5665</v>
      </c>
      <c r="G145" s="608">
        <f t="shared" si="11"/>
        <v>0</v>
      </c>
      <c r="H145" s="238">
        <f>G145+'16'!H145</f>
        <v>1</v>
      </c>
      <c r="I145" s="536"/>
      <c r="J145" s="408">
        <f>H145/DAY(B2)</f>
        <v>5.8823529411764705E-2</v>
      </c>
    </row>
    <row r="146" spans="1:10" ht="27.75" customHeight="1">
      <c r="A146" s="982" t="s">
        <v>191</v>
      </c>
      <c r="B146" s="983"/>
      <c r="C146" s="984"/>
      <c r="D146" s="233" t="s">
        <v>183</v>
      </c>
      <c r="E146" s="406">
        <f>'16'!F146</f>
        <v>778678</v>
      </c>
      <c r="F146" s="148">
        <v>778722</v>
      </c>
      <c r="G146" s="608">
        <f t="shared" si="11"/>
        <v>44</v>
      </c>
      <c r="H146" s="238">
        <f>G146+'16'!H146</f>
        <v>854</v>
      </c>
      <c r="I146" s="536"/>
      <c r="J146" s="408">
        <f>H146/DAY(B2)</f>
        <v>50.235294117647058</v>
      </c>
    </row>
    <row r="147" spans="1:10" ht="27.75" customHeight="1">
      <c r="A147" s="976" t="s">
        <v>192</v>
      </c>
      <c r="B147" s="976"/>
      <c r="C147" s="976"/>
      <c r="D147" s="233" t="s">
        <v>183</v>
      </c>
      <c r="E147" s="406">
        <f>'16'!F147</f>
        <v>682047</v>
      </c>
      <c r="F147" s="518">
        <v>682458</v>
      </c>
      <c r="G147" s="608">
        <f t="shared" si="11"/>
        <v>411</v>
      </c>
      <c r="H147" s="238">
        <f>G147+'16'!H147</f>
        <v>6610</v>
      </c>
      <c r="I147" s="536"/>
      <c r="J147" s="408">
        <f>H147/DAY(B2)</f>
        <v>388.8235294117647</v>
      </c>
    </row>
    <row r="148" spans="1:10" ht="27.75" customHeight="1">
      <c r="A148" s="973" t="s">
        <v>193</v>
      </c>
      <c r="B148" s="974"/>
      <c r="C148" s="975"/>
      <c r="D148" s="410" t="s">
        <v>130</v>
      </c>
      <c r="E148" s="406">
        <f>'16'!F148</f>
        <v>734246</v>
      </c>
      <c r="F148" s="404">
        <v>734560</v>
      </c>
      <c r="G148" s="608">
        <f t="shared" si="11"/>
        <v>314</v>
      </c>
      <c r="H148" s="238">
        <f>G148+'16'!H148</f>
        <v>4815</v>
      </c>
      <c r="I148" s="238"/>
      <c r="J148" s="408">
        <f>H148/DAY(B2)</f>
        <v>283.23529411764707</v>
      </c>
    </row>
    <row r="149" spans="1:10" ht="27.75" customHeight="1">
      <c r="A149" s="973" t="s">
        <v>336</v>
      </c>
      <c r="B149" s="974"/>
      <c r="C149" s="975"/>
      <c r="D149" s="416" t="s">
        <v>130</v>
      </c>
      <c r="E149" s="406">
        <f>'16'!F149</f>
        <v>109863</v>
      </c>
      <c r="F149" s="416">
        <v>110354</v>
      </c>
      <c r="G149" s="608">
        <f t="shared" si="11"/>
        <v>491</v>
      </c>
      <c r="H149" s="238">
        <f>G149+'16'!H149</f>
        <v>9459</v>
      </c>
      <c r="I149" s="236"/>
      <c r="J149" s="408">
        <f>H149/DAY(B2)</f>
        <v>556.41176470588232</v>
      </c>
    </row>
    <row r="150" spans="1:10" ht="27.75" customHeight="1">
      <c r="A150" s="973" t="s">
        <v>337</v>
      </c>
      <c r="B150" s="974"/>
      <c r="C150" s="975"/>
      <c r="D150" s="410" t="s">
        <v>130</v>
      </c>
      <c r="E150" s="406">
        <f>'16'!F150</f>
        <v>40695</v>
      </c>
      <c r="F150" s="233">
        <v>40903</v>
      </c>
      <c r="G150" s="608">
        <f t="shared" si="11"/>
        <v>208</v>
      </c>
      <c r="H150" s="238">
        <f>G150+'16'!H150</f>
        <v>3687</v>
      </c>
      <c r="I150" s="236"/>
      <c r="J150" s="408">
        <f>H150/DAY(B2)</f>
        <v>216.88235294117646</v>
      </c>
    </row>
    <row r="151" spans="1:10" ht="27.75" customHeight="1">
      <c r="A151" s="973" t="s">
        <v>338</v>
      </c>
      <c r="B151" s="974"/>
      <c r="C151" s="975"/>
      <c r="D151" s="410" t="s">
        <v>130</v>
      </c>
      <c r="E151" s="406">
        <f>'16'!F151</f>
        <v>122749</v>
      </c>
      <c r="F151" s="233">
        <v>123011</v>
      </c>
      <c r="G151" s="608">
        <f t="shared" si="11"/>
        <v>262</v>
      </c>
      <c r="H151" s="238">
        <f>G151+'16'!H151</f>
        <v>4874</v>
      </c>
      <c r="I151" s="236"/>
      <c r="J151" s="408">
        <f>H151/DAY(B2)</f>
        <v>286.70588235294116</v>
      </c>
    </row>
    <row r="152" spans="1:10" ht="27.75" customHeight="1">
      <c r="A152" s="973" t="s">
        <v>339</v>
      </c>
      <c r="B152" s="974"/>
      <c r="C152" s="975"/>
      <c r="D152" s="410" t="s">
        <v>130</v>
      </c>
      <c r="E152" s="406">
        <f>'16'!F152</f>
        <v>17492</v>
      </c>
      <c r="F152" s="233">
        <v>17616</v>
      </c>
      <c r="G152" s="608">
        <f t="shared" si="11"/>
        <v>124</v>
      </c>
      <c r="H152" s="238">
        <f>G152+'16'!H152</f>
        <v>6460</v>
      </c>
      <c r="I152" s="236"/>
      <c r="J152" s="408">
        <f>H152/DAY(B2)</f>
        <v>380</v>
      </c>
    </row>
    <row r="153" spans="1:10" ht="27.75" customHeight="1">
      <c r="A153" s="977" t="s">
        <v>196</v>
      </c>
      <c r="B153" s="978"/>
      <c r="C153" s="537"/>
      <c r="D153" s="538"/>
      <c r="E153" s="539"/>
      <c r="F153" s="361"/>
      <c r="G153" s="609">
        <f>SUM(G138:G152)</f>
        <v>2882</v>
      </c>
      <c r="H153" s="540"/>
      <c r="I153" s="236">
        <f>G153-(G38+G52)</f>
        <v>527</v>
      </c>
      <c r="J153" s="541"/>
    </row>
    <row r="154" spans="1:10" ht="27.75" customHeight="1">
      <c r="A154" s="972" t="s">
        <v>344</v>
      </c>
      <c r="B154" s="972"/>
      <c r="C154" s="972"/>
      <c r="D154" s="972"/>
      <c r="E154" s="972"/>
      <c r="F154" s="972"/>
      <c r="G154" s="972"/>
      <c r="H154" s="972"/>
      <c r="I154" s="972"/>
      <c r="J154" s="972"/>
    </row>
    <row r="155" spans="1:10" ht="27.75" customHeight="1">
      <c r="A155" s="976" t="s">
        <v>345</v>
      </c>
      <c r="B155" s="976"/>
      <c r="C155" s="976"/>
      <c r="D155" s="410" t="s">
        <v>130</v>
      </c>
      <c r="E155" s="406">
        <f>'16'!F155</f>
        <v>121856</v>
      </c>
      <c r="F155" s="419">
        <v>122472</v>
      </c>
      <c r="G155" s="608">
        <f t="shared" ref="G155:G156" si="12">F155-E155</f>
        <v>616</v>
      </c>
      <c r="H155" s="238">
        <f>G155+'16'!H155</f>
        <v>10497</v>
      </c>
      <c r="I155" s="542"/>
      <c r="J155" s="408">
        <f>H155/DAY(B2)</f>
        <v>617.47058823529414</v>
      </c>
    </row>
    <row r="156" spans="1:10" ht="27.75" customHeight="1">
      <c r="A156" s="976" t="s">
        <v>347</v>
      </c>
      <c r="B156" s="976"/>
      <c r="C156" s="976"/>
      <c r="D156" s="410" t="s">
        <v>130</v>
      </c>
      <c r="E156" s="406">
        <f>'16'!F156</f>
        <v>10922</v>
      </c>
      <c r="F156" s="157">
        <v>10998</v>
      </c>
      <c r="G156" s="608">
        <f t="shared" si="12"/>
        <v>76</v>
      </c>
      <c r="H156" s="238">
        <f>G156+'16'!H156</f>
        <v>1313</v>
      </c>
      <c r="I156" s="158"/>
      <c r="J156" s="408">
        <f>H156/DAY(B2)</f>
        <v>77.235294117647058</v>
      </c>
    </row>
    <row r="157" spans="1:10" ht="27.75" customHeight="1">
      <c r="A157" s="973" t="s">
        <v>360</v>
      </c>
      <c r="B157" s="974"/>
      <c r="C157" s="975"/>
      <c r="D157" s="410" t="s">
        <v>130</v>
      </c>
      <c r="E157" s="406">
        <f>'16'!F157</f>
        <v>20853</v>
      </c>
      <c r="F157" s="157">
        <v>21026</v>
      </c>
      <c r="G157" s="608">
        <f>F157-E157</f>
        <v>173</v>
      </c>
      <c r="H157" s="238">
        <f>G157+'16'!H157</f>
        <v>2826</v>
      </c>
      <c r="I157" s="158"/>
      <c r="J157" s="408">
        <f>H157/DAY(B2)</f>
        <v>166.23529411764707</v>
      </c>
    </row>
    <row r="158" spans="1:10" ht="27.75" customHeight="1">
      <c r="A158" s="973" t="s">
        <v>361</v>
      </c>
      <c r="B158" s="974"/>
      <c r="C158" s="975"/>
      <c r="D158" s="410" t="s">
        <v>130</v>
      </c>
      <c r="E158" s="406">
        <f>'16'!F158</f>
        <v>189</v>
      </c>
      <c r="F158" s="158">
        <v>190</v>
      </c>
      <c r="G158" s="608">
        <f>F158-E158</f>
        <v>1</v>
      </c>
      <c r="H158" s="238">
        <f>G158+'16'!H158</f>
        <v>99.58</v>
      </c>
      <c r="I158" s="158"/>
      <c r="J158" s="408">
        <f>H158/DAY(B2)</f>
        <v>5.8576470588235292</v>
      </c>
    </row>
    <row r="159" spans="1:10" ht="27.75" customHeight="1">
      <c r="A159" s="979"/>
      <c r="B159" s="980"/>
      <c r="C159" s="981"/>
      <c r="D159" s="410"/>
      <c r="E159" s="406"/>
      <c r="F159" s="158"/>
      <c r="G159" s="608"/>
      <c r="H159" s="238"/>
      <c r="I159" s="158"/>
      <c r="J159" s="408"/>
    </row>
    <row r="160" spans="1:10" ht="27.75" customHeight="1">
      <c r="A160" s="972" t="s">
        <v>326</v>
      </c>
      <c r="B160" s="972"/>
      <c r="C160" s="972"/>
      <c r="D160" s="972"/>
      <c r="E160" s="972"/>
      <c r="F160" s="972"/>
      <c r="G160" s="972"/>
      <c r="H160" s="972"/>
      <c r="I160" s="972"/>
      <c r="J160" s="972"/>
    </row>
    <row r="161" spans="1:10" ht="27.75" customHeight="1">
      <c r="A161" s="242" t="s">
        <v>92</v>
      </c>
      <c r="B161" s="243"/>
      <c r="C161" s="243"/>
      <c r="D161" s="244" t="s">
        <v>180</v>
      </c>
      <c r="E161" s="406">
        <f>'16'!F161</f>
        <v>476651</v>
      </c>
      <c r="F161" s="763">
        <v>476666</v>
      </c>
      <c r="G161" s="498">
        <f t="shared" ref="G161:G165" si="13">F161-E161</f>
        <v>15</v>
      </c>
      <c r="H161" s="238">
        <v>0</v>
      </c>
      <c r="I161" s="236"/>
      <c r="J161" s="239">
        <f>H161/DAY(B2)</f>
        <v>0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'16'!F162</f>
        <v>93277</v>
      </c>
      <c r="F162" s="235">
        <v>93316</v>
      </c>
      <c r="G162" s="498">
        <f t="shared" si="13"/>
        <v>39</v>
      </c>
      <c r="H162" s="99">
        <f>G162+'16'!H162</f>
        <v>589</v>
      </c>
      <c r="I162" s="236"/>
      <c r="J162" s="239">
        <f>H162/DAY(B2)</f>
        <v>34.647058823529413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'16'!F163</f>
        <v>99737</v>
      </c>
      <c r="F163" s="235">
        <v>99910</v>
      </c>
      <c r="G163" s="498">
        <f t="shared" si="13"/>
        <v>173</v>
      </c>
      <c r="H163" s="99">
        <f>G163+'16'!H163</f>
        <v>2775</v>
      </c>
      <c r="I163" s="236"/>
      <c r="J163" s="239">
        <f>H163/DAY(B2)</f>
        <v>163.23529411764707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'16'!F164</f>
        <v>5725</v>
      </c>
      <c r="F164" s="235">
        <v>5736</v>
      </c>
      <c r="G164" s="498">
        <f t="shared" si="13"/>
        <v>11</v>
      </c>
      <c r="H164" s="99">
        <f>G164+'16'!H164</f>
        <v>194</v>
      </c>
      <c r="I164" s="236"/>
      <c r="J164" s="239">
        <f>H164/DAY(B2)</f>
        <v>11.411764705882353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'16'!F165</f>
        <v>31196</v>
      </c>
      <c r="F165" s="235">
        <v>31207</v>
      </c>
      <c r="G165" s="498">
        <f t="shared" si="13"/>
        <v>11</v>
      </c>
      <c r="H165" s="99">
        <f>G165+'16'!H165</f>
        <v>193</v>
      </c>
      <c r="I165" s="236"/>
      <c r="J165" s="239">
        <f>H165/DAY(B2)</f>
        <v>11.352941176470589</v>
      </c>
    </row>
    <row r="166" spans="1:10" ht="27.75" customHeight="1">
      <c r="A166" s="937"/>
      <c r="B166" s="937"/>
      <c r="C166" s="246"/>
      <c r="D166" s="244"/>
      <c r="E166" s="95"/>
      <c r="F166" s="165"/>
      <c r="G166" s="495"/>
      <c r="H166" s="99"/>
      <c r="I166" s="165"/>
      <c r="J166" s="239"/>
    </row>
    <row r="167" spans="1:10" ht="27.75" customHeight="1">
      <c r="A167" s="937"/>
      <c r="B167" s="937"/>
      <c r="C167" s="246"/>
      <c r="D167" s="244"/>
      <c r="E167" s="95"/>
      <c r="F167" s="165"/>
      <c r="G167" s="495"/>
      <c r="H167" s="99"/>
      <c r="I167" s="165"/>
      <c r="J167" s="239"/>
    </row>
    <row r="168" spans="1:10" ht="27.75" customHeight="1">
      <c r="A168" s="937"/>
      <c r="B168" s="937"/>
      <c r="C168" s="246"/>
      <c r="D168" s="244"/>
      <c r="E168" s="95"/>
      <c r="F168" s="165"/>
      <c r="G168" s="495"/>
      <c r="H168" s="99"/>
      <c r="I168" s="165"/>
      <c r="J168" s="239"/>
    </row>
    <row r="171" spans="1:10" ht="27.75" customHeight="1">
      <c r="A171" s="947" t="s">
        <v>330</v>
      </c>
      <c r="B171" s="948"/>
      <c r="C171" s="948"/>
      <c r="D171" s="948"/>
      <c r="E171" s="948"/>
      <c r="F171" s="948"/>
      <c r="G171" s="948"/>
      <c r="H171" s="948"/>
      <c r="I171" s="948"/>
      <c r="J171" s="949"/>
    </row>
    <row r="172" spans="1:10" ht="27.75" customHeight="1">
      <c r="A172" s="943"/>
      <c r="B172" s="944"/>
      <c r="C172" s="332"/>
      <c r="D172" s="228"/>
      <c r="E172" s="155"/>
      <c r="F172" s="155"/>
      <c r="G172" s="499"/>
      <c r="H172" s="156"/>
      <c r="I172" s="155"/>
      <c r="J172" s="178"/>
    </row>
    <row r="173" spans="1:10" ht="27.75" customHeight="1">
      <c r="A173" s="895" t="s">
        <v>209</v>
      </c>
      <c r="B173" s="896"/>
      <c r="C173" s="333"/>
      <c r="D173" s="228" t="s">
        <v>142</v>
      </c>
      <c r="E173" s="95">
        <f>'16'!F173</f>
        <v>8276</v>
      </c>
      <c r="F173" s="157">
        <v>8276</v>
      </c>
      <c r="G173" s="499">
        <f>F173-E173</f>
        <v>0</v>
      </c>
      <c r="H173" s="99">
        <f>G173+'16'!H173</f>
        <v>12</v>
      </c>
      <c r="I173" s="155"/>
      <c r="J173" s="178">
        <f>H173/DAY(B2)</f>
        <v>0.70588235294117652</v>
      </c>
    </row>
    <row r="174" spans="1:10" ht="27.75" customHeight="1">
      <c r="A174" s="895" t="s">
        <v>75</v>
      </c>
      <c r="B174" s="896"/>
      <c r="C174" s="333"/>
      <c r="D174" s="228" t="s">
        <v>142</v>
      </c>
      <c r="E174" s="95">
        <f>'16'!F174</f>
        <v>40569</v>
      </c>
      <c r="F174" s="157">
        <v>40583</v>
      </c>
      <c r="G174" s="499">
        <f t="shared" ref="G174:G175" si="14">F174-E174</f>
        <v>14</v>
      </c>
      <c r="H174" s="99">
        <f>G174+'16'!H174</f>
        <v>251</v>
      </c>
      <c r="I174" s="155"/>
      <c r="J174" s="178">
        <f>H174/DAY(B2)</f>
        <v>14.764705882352942</v>
      </c>
    </row>
    <row r="175" spans="1:10" ht="27.75" customHeight="1">
      <c r="A175" s="895" t="s">
        <v>76</v>
      </c>
      <c r="B175" s="900"/>
      <c r="C175" s="896"/>
      <c r="D175" s="228" t="s">
        <v>142</v>
      </c>
      <c r="E175" s="95">
        <f>'16'!F175</f>
        <v>23489</v>
      </c>
      <c r="F175" s="155">
        <v>23501</v>
      </c>
      <c r="G175" s="499">
        <f t="shared" si="14"/>
        <v>12</v>
      </c>
      <c r="H175" s="99">
        <f>G175+'16'!H175</f>
        <v>243</v>
      </c>
      <c r="I175" s="155"/>
      <c r="J175" s="178">
        <f>H175/DAY(B2)</f>
        <v>14.294117647058824</v>
      </c>
    </row>
    <row r="176" spans="1:10" ht="27.75" customHeight="1">
      <c r="A176" s="934" t="s">
        <v>196</v>
      </c>
      <c r="B176" s="935"/>
      <c r="C176" s="333"/>
      <c r="D176" s="228" t="s">
        <v>142</v>
      </c>
      <c r="E176" s="95"/>
      <c r="F176" s="155"/>
      <c r="G176" s="499">
        <f>SUM(G173:G175)</f>
        <v>26</v>
      </c>
      <c r="H176" s="99">
        <f>G176+'16'!H176</f>
        <v>506</v>
      </c>
      <c r="I176" s="155"/>
      <c r="J176" s="178">
        <f>H176/DAY(B2)</f>
        <v>29.764705882352942</v>
      </c>
    </row>
    <row r="177" spans="1:11" ht="27.75" customHeight="1">
      <c r="A177" s="895" t="s">
        <v>77</v>
      </c>
      <c r="B177" s="896"/>
      <c r="C177" s="333"/>
      <c r="D177" s="228" t="s">
        <v>142</v>
      </c>
      <c r="E177" s="95"/>
      <c r="F177" s="155"/>
      <c r="G177" s="499"/>
      <c r="H177" s="99">
        <f>G177+'16'!H177</f>
        <v>0</v>
      </c>
      <c r="I177" s="155"/>
      <c r="J177" s="178">
        <f>H177/DAY(B2)</f>
        <v>0</v>
      </c>
    </row>
    <row r="178" spans="1:11" ht="27.75" customHeight="1">
      <c r="A178" s="895" t="s">
        <v>210</v>
      </c>
      <c r="B178" s="896"/>
      <c r="C178" s="333"/>
      <c r="D178" s="228" t="s">
        <v>142</v>
      </c>
      <c r="E178" s="95">
        <f>'16'!F178</f>
        <v>93550</v>
      </c>
      <c r="F178" s="155">
        <v>93614</v>
      </c>
      <c r="G178" s="499">
        <f>F178-E178</f>
        <v>64</v>
      </c>
      <c r="H178" s="99">
        <f>G178+'16'!H178</f>
        <v>1792</v>
      </c>
      <c r="I178" s="155"/>
      <c r="J178" s="178">
        <f>H178/DAY(B2)</f>
        <v>105.41176470588235</v>
      </c>
    </row>
    <row r="179" spans="1:11" ht="27.75" customHeight="1">
      <c r="A179" s="895" t="s">
        <v>211</v>
      </c>
      <c r="B179" s="896"/>
      <c r="C179" s="333"/>
      <c r="D179" s="228" t="s">
        <v>142</v>
      </c>
      <c r="E179" s="95">
        <f>'16'!F179</f>
        <v>36002</v>
      </c>
      <c r="F179" s="155">
        <v>36002</v>
      </c>
      <c r="G179" s="499">
        <f t="shared" ref="G179:G180" si="15">F179-E179</f>
        <v>0</v>
      </c>
      <c r="H179" s="99">
        <f>G179+'16'!H179</f>
        <v>218</v>
      </c>
      <c r="I179" s="155"/>
      <c r="J179" s="178">
        <f>H179/DAY(B2)</f>
        <v>12.823529411764707</v>
      </c>
    </row>
    <row r="180" spans="1:11" ht="27.75" customHeight="1">
      <c r="A180" s="895" t="s">
        <v>212</v>
      </c>
      <c r="B180" s="896"/>
      <c r="C180" s="333"/>
      <c r="D180" s="228" t="s">
        <v>142</v>
      </c>
      <c r="E180" s="95">
        <f>'16'!F180</f>
        <v>6809</v>
      </c>
      <c r="F180" s="155">
        <v>6811</v>
      </c>
      <c r="G180" s="499">
        <f t="shared" si="15"/>
        <v>2</v>
      </c>
      <c r="H180" s="99">
        <f>G180+'16'!H180</f>
        <v>141</v>
      </c>
      <c r="I180" s="155"/>
      <c r="J180" s="178">
        <f>H180/DAY(B2)</f>
        <v>8.2941176470588243</v>
      </c>
    </row>
    <row r="181" spans="1:11" ht="27.75" customHeight="1">
      <c r="A181" s="941" t="s">
        <v>108</v>
      </c>
      <c r="B181" s="942"/>
      <c r="C181" s="333"/>
      <c r="D181" s="228" t="s">
        <v>142</v>
      </c>
      <c r="E181" s="95"/>
      <c r="F181" s="155"/>
      <c r="G181" s="499">
        <f>SUM(G178:G180)</f>
        <v>66</v>
      </c>
      <c r="H181" s="99">
        <f>G181+'16'!H181</f>
        <v>2151</v>
      </c>
      <c r="I181" s="155"/>
      <c r="J181" s="178">
        <f>H181/DAY(B2)</f>
        <v>126.52941176470588</v>
      </c>
    </row>
    <row r="182" spans="1:11" ht="27.75" customHeight="1">
      <c r="A182" s="895" t="s">
        <v>213</v>
      </c>
      <c r="B182" s="896"/>
      <c r="C182" s="333"/>
      <c r="D182" s="228" t="s">
        <v>142</v>
      </c>
      <c r="E182" s="95"/>
      <c r="F182" s="155"/>
      <c r="G182" s="499"/>
      <c r="H182" s="99">
        <f>G182+'16'!H182</f>
        <v>0</v>
      </c>
      <c r="I182" s="155"/>
      <c r="J182" s="178">
        <f>H182/DAY(B2)</f>
        <v>0</v>
      </c>
    </row>
    <row r="183" spans="1:11" ht="27.75" customHeight="1">
      <c r="A183" s="895" t="s">
        <v>214</v>
      </c>
      <c r="B183" s="896"/>
      <c r="C183" s="334"/>
      <c r="D183" s="228" t="s">
        <v>142</v>
      </c>
      <c r="E183" s="95">
        <f>'16'!F183</f>
        <v>17173</v>
      </c>
      <c r="F183" s="157">
        <v>17182</v>
      </c>
      <c r="G183" s="500">
        <f>F183-E183</f>
        <v>9</v>
      </c>
      <c r="H183" s="99">
        <f>G183+'16'!H183</f>
        <v>227</v>
      </c>
      <c r="I183" s="155"/>
      <c r="J183" s="178">
        <f>H183/DAY(B2)</f>
        <v>13.352941176470589</v>
      </c>
    </row>
    <row r="184" spans="1:11" ht="27.75" customHeight="1">
      <c r="A184" s="895" t="s">
        <v>215</v>
      </c>
      <c r="B184" s="896"/>
      <c r="C184" s="334"/>
      <c r="D184" s="228" t="s">
        <v>142</v>
      </c>
      <c r="E184" s="95">
        <f>'16'!F184</f>
        <v>11597</v>
      </c>
      <c r="F184" s="157">
        <v>11602</v>
      </c>
      <c r="G184" s="500">
        <f t="shared" ref="G184:G185" si="16">F184-E184</f>
        <v>5</v>
      </c>
      <c r="H184" s="99">
        <f>G184+'16'!H184</f>
        <v>116</v>
      </c>
      <c r="I184" s="155"/>
      <c r="J184" s="178">
        <f>H184/DAY(B2)</f>
        <v>6.8235294117647056</v>
      </c>
    </row>
    <row r="185" spans="1:11" ht="27.75" customHeight="1">
      <c r="A185" s="895" t="s">
        <v>216</v>
      </c>
      <c r="B185" s="896"/>
      <c r="C185" s="334"/>
      <c r="D185" s="228" t="s">
        <v>142</v>
      </c>
      <c r="E185" s="95">
        <f>'16'!F185</f>
        <v>0</v>
      </c>
      <c r="F185" s="157"/>
      <c r="G185" s="500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>
      <c r="A186" s="934" t="s">
        <v>196</v>
      </c>
      <c r="B186" s="935"/>
      <c r="C186" s="334"/>
      <c r="D186" s="228" t="s">
        <v>142</v>
      </c>
      <c r="E186" s="95"/>
      <c r="F186" s="157"/>
      <c r="G186" s="500">
        <f>SUM(G183:G185)</f>
        <v>14</v>
      </c>
      <c r="H186" s="99">
        <f>G186+'16'!H186</f>
        <v>343</v>
      </c>
      <c r="I186" s="157"/>
      <c r="J186" s="178">
        <f>H186/DAY(B2)</f>
        <v>20.176470588235293</v>
      </c>
    </row>
    <row r="187" spans="1:11" ht="27.75" customHeight="1">
      <c r="A187" s="945" t="s">
        <v>217</v>
      </c>
      <c r="B187" s="946"/>
      <c r="C187" s="333"/>
      <c r="D187" s="228" t="s">
        <v>142</v>
      </c>
      <c r="E187" s="95"/>
      <c r="F187" s="159"/>
      <c r="G187" s="501">
        <f>G62+G19</f>
        <v>170</v>
      </c>
      <c r="H187" s="99">
        <f>G187+'16'!H187</f>
        <v>3350</v>
      </c>
      <c r="I187" s="158"/>
      <c r="J187" s="179">
        <f>H187/DAY(B2)</f>
        <v>197.05882352941177</v>
      </c>
    </row>
    <row r="188" spans="1:11" ht="27.75" customHeight="1">
      <c r="A188" s="945" t="s">
        <v>218</v>
      </c>
      <c r="B188" s="946"/>
      <c r="C188" s="333"/>
      <c r="D188" s="230" t="s">
        <v>142</v>
      </c>
      <c r="E188" s="95"/>
      <c r="F188" s="159"/>
      <c r="G188" s="501">
        <f>G65+G66+G67+G69+G70</f>
        <v>152</v>
      </c>
      <c r="H188" s="99">
        <f>G188+'16'!H188</f>
        <v>462</v>
      </c>
      <c r="I188" s="158"/>
      <c r="J188" s="179">
        <f>H188/DAY(B2)</f>
        <v>27.176470588235293</v>
      </c>
    </row>
    <row r="189" spans="1:11" ht="27.75" customHeight="1">
      <c r="A189" s="945" t="s">
        <v>219</v>
      </c>
      <c r="B189" s="946"/>
      <c r="C189" s="333"/>
      <c r="D189" s="230" t="s">
        <v>142</v>
      </c>
      <c r="E189" s="95"/>
      <c r="F189" s="157"/>
      <c r="G189" s="501">
        <f>G181</f>
        <v>66</v>
      </c>
      <c r="H189" s="99">
        <f>G189+'16'!H189</f>
        <v>2151</v>
      </c>
      <c r="I189" s="158"/>
      <c r="J189" s="179">
        <f>H189/DAY(B2)</f>
        <v>126.52941176470588</v>
      </c>
    </row>
    <row r="190" spans="1:11" ht="27.75" customHeight="1">
      <c r="A190" s="939"/>
      <c r="B190" s="940"/>
      <c r="C190" s="399"/>
      <c r="D190" s="396"/>
      <c r="E190" s="396"/>
      <c r="F190" s="396"/>
      <c r="G190" s="610"/>
      <c r="H190" s="397"/>
      <c r="I190" s="396"/>
      <c r="J190" s="398"/>
    </row>
    <row r="191" spans="1:11" ht="23.25" customHeight="1">
      <c r="A191" s="245"/>
      <c r="B191" s="246"/>
      <c r="C191" s="246"/>
      <c r="D191" s="165"/>
      <c r="E191" s="165"/>
      <c r="F191" s="155"/>
      <c r="G191" s="495"/>
      <c r="H191" s="238"/>
      <c r="I191" s="99"/>
      <c r="J191" s="236"/>
      <c r="K191" s="239" t="e">
        <f>I191/DAY(C28)</f>
        <v>#DIV/0!</v>
      </c>
    </row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topLeftCell="A133" zoomScale="55" zoomScaleNormal="68" zoomScaleSheetLayoutView="55" workbookViewId="0">
      <selection activeCell="F7" sqref="F7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51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76" t="s">
        <v>115</v>
      </c>
      <c r="B1" s="877"/>
      <c r="C1" s="877"/>
      <c r="D1" s="877"/>
      <c r="E1" s="877"/>
      <c r="F1" s="877"/>
      <c r="G1" s="877"/>
      <c r="H1" s="877"/>
      <c r="I1" s="877"/>
      <c r="J1" s="878"/>
    </row>
    <row r="2" spans="1:15" s="57" customFormat="1" ht="27.75" customHeight="1">
      <c r="A2" s="191" t="s">
        <v>355</v>
      </c>
      <c r="B2" s="262">
        <v>44730</v>
      </c>
      <c r="C2" s="348" t="s">
        <v>67</v>
      </c>
      <c r="D2" s="218">
        <v>0.98</v>
      </c>
      <c r="E2" s="100"/>
      <c r="F2" s="100"/>
      <c r="G2" s="428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28</v>
      </c>
      <c r="E3" s="885" t="s">
        <v>119</v>
      </c>
      <c r="F3" s="886"/>
      <c r="G3" s="429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0.78</v>
      </c>
      <c r="E4" s="103"/>
      <c r="F4" s="103"/>
      <c r="G4" s="429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30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79" t="s">
        <v>128</v>
      </c>
      <c r="B6" s="880"/>
      <c r="C6" s="881"/>
      <c r="D6" s="110"/>
      <c r="E6" s="110"/>
      <c r="F6" s="110"/>
      <c r="G6" s="431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'17'!F7</f>
        <v>166684</v>
      </c>
      <c r="F7" s="95">
        <v>196095</v>
      </c>
      <c r="G7" s="432">
        <f>F7-E7</f>
        <v>29411</v>
      </c>
      <c r="H7" s="99">
        <f>G7+'17'!H7</f>
        <v>503268</v>
      </c>
      <c r="I7" s="113">
        <f>'1'!I7</f>
        <v>12000</v>
      </c>
      <c r="J7" s="175">
        <f>H7/DAY(B2)</f>
        <v>27959.333333333332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'17'!F8</f>
        <v>300028</v>
      </c>
      <c r="F8" s="114">
        <v>329781</v>
      </c>
      <c r="G8" s="433">
        <f>F8-E8</f>
        <v>29753</v>
      </c>
      <c r="H8" s="99">
        <f>G8+'17'!H8</f>
        <v>521122.10000000003</v>
      </c>
      <c r="I8" s="116"/>
      <c r="J8" s="175">
        <f>H8/DAY(B2)</f>
        <v>28951.227777777778</v>
      </c>
      <c r="K8" s="172">
        <v>1715917</v>
      </c>
      <c r="L8" s="76">
        <v>1728480</v>
      </c>
      <c r="M8" s="87">
        <f>L8-K8</f>
        <v>12563</v>
      </c>
      <c r="N8" s="87">
        <f>G8-64</f>
        <v>29689</v>
      </c>
      <c r="O8" s="71">
        <f>G7-N8</f>
        <v>-278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'17'!F9</f>
        <v>2720737</v>
      </c>
      <c r="F9" s="469">
        <v>2741072</v>
      </c>
      <c r="G9" s="432">
        <f>F9-E9</f>
        <v>20335</v>
      </c>
      <c r="H9" s="99">
        <f>G9+'17'!H9</f>
        <v>290963.29999999981</v>
      </c>
      <c r="I9" s="124">
        <f>I7-J7</f>
        <v>-15959.333333333332</v>
      </c>
      <c r="J9" s="175">
        <f>H9/DAY(B2)</f>
        <v>16164.627777777767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'17'!F10</f>
        <v>1085546</v>
      </c>
      <c r="F10" s="353">
        <v>1093803</v>
      </c>
      <c r="G10" s="432">
        <f>F10-E10</f>
        <v>8257</v>
      </c>
      <c r="H10" s="99">
        <f>G10+'17'!H10</f>
        <v>183399.80000000005</v>
      </c>
      <c r="I10" s="282"/>
      <c r="J10" s="175">
        <f>H10/DAY(B2)</f>
        <v>10188.87777777778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'17'!F11</f>
        <v>37560</v>
      </c>
      <c r="F11" s="95">
        <v>37560</v>
      </c>
      <c r="G11" s="432">
        <f t="shared" ref="G11:G12" si="0">F11-E11</f>
        <v>0</v>
      </c>
      <c r="H11" s="99">
        <f>G11+'17'!H11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'17'!F12</f>
        <v>40380</v>
      </c>
      <c r="F12" s="117">
        <v>40380</v>
      </c>
      <c r="G12" s="432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34">
        <f>G9+G10+G11+G12</f>
        <v>28592</v>
      </c>
      <c r="H13" s="99">
        <f>G13+'17'!H13</f>
        <v>474224.09999999986</v>
      </c>
      <c r="I13" s="120">
        <f>G7-G13</f>
        <v>819</v>
      </c>
      <c r="J13" s="175">
        <f>H13/DAY(B2)</f>
        <v>26345.783333333326</v>
      </c>
      <c r="K13" s="79"/>
      <c r="L13" s="66"/>
      <c r="N13" s="87"/>
      <c r="O13" s="71"/>
    </row>
    <row r="14" spans="1:15" ht="27.75" customHeight="1">
      <c r="A14" s="882" t="s">
        <v>137</v>
      </c>
      <c r="B14" s="883"/>
      <c r="C14" s="884"/>
      <c r="D14" s="111"/>
      <c r="E14" s="111"/>
      <c r="F14" s="111"/>
      <c r="G14" s="435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9">
        <f>'17'!F15</f>
        <v>2055104</v>
      </c>
      <c r="F15" s="469">
        <v>2056156</v>
      </c>
      <c r="G15" s="432">
        <f>(F15-E15)</f>
        <v>1052</v>
      </c>
      <c r="H15" s="99">
        <f>G15+'17'!H15</f>
        <v>19039</v>
      </c>
      <c r="I15" s="113">
        <f>'1'!I15</f>
        <v>800</v>
      </c>
      <c r="J15" s="175">
        <f>H15/DAY(B2)</f>
        <v>1057.7222222222222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32"/>
      <c r="H16" s="124"/>
      <c r="I16" s="120">
        <f>I15-J15</f>
        <v>-257.72222222222217</v>
      </c>
      <c r="J16" s="176"/>
      <c r="K16" s="79"/>
      <c r="L16" s="66"/>
      <c r="N16" s="87"/>
      <c r="O16" s="71"/>
    </row>
    <row r="17" spans="1:15" ht="27.75" customHeight="1">
      <c r="A17" s="882" t="s">
        <v>140</v>
      </c>
      <c r="B17" s="883"/>
      <c r="C17" s="884"/>
      <c r="D17" s="111"/>
      <c r="E17" s="111"/>
      <c r="F17" s="111"/>
      <c r="G17" s="43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73" t="s">
        <v>141</v>
      </c>
      <c r="B18" s="874"/>
      <c r="C18" s="875"/>
      <c r="D18" s="151" t="s">
        <v>142</v>
      </c>
      <c r="E18" s="95">
        <f>'17'!F18</f>
        <v>23</v>
      </c>
      <c r="F18" s="122">
        <v>18</v>
      </c>
      <c r="G18" s="434">
        <f>F18*10</f>
        <v>180</v>
      </c>
      <c r="H18" s="99">
        <f>G18+'17'!H18</f>
        <v>4070</v>
      </c>
      <c r="I18" s="113">
        <f>'1'!I18</f>
        <v>65</v>
      </c>
      <c r="J18" s="175">
        <f>H18/DAY(B2)</f>
        <v>226.11111111111111</v>
      </c>
      <c r="K18" s="79"/>
      <c r="L18" s="66"/>
      <c r="N18" s="87"/>
      <c r="O18" s="71"/>
    </row>
    <row r="19" spans="1:15" ht="27.75" customHeight="1">
      <c r="A19" s="873" t="s">
        <v>69</v>
      </c>
      <c r="B19" s="874"/>
      <c r="C19" s="875"/>
      <c r="D19" s="151" t="s">
        <v>142</v>
      </c>
      <c r="E19" s="95">
        <f>'17'!F19</f>
        <v>160988</v>
      </c>
      <c r="F19" s="122">
        <v>161040</v>
      </c>
      <c r="G19" s="432">
        <f t="shared" ref="G19" si="1">F19-E19</f>
        <v>52</v>
      </c>
      <c r="H19" s="99">
        <f>G19+'17'!H19</f>
        <v>930</v>
      </c>
      <c r="I19" s="335"/>
      <c r="J19" s="175">
        <f>H19/DAY(B2)</f>
        <v>51.666666666666664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36">
        <f>G18+G19</f>
        <v>232</v>
      </c>
      <c r="H20" s="99">
        <f>G20+'17'!H20</f>
        <v>5000</v>
      </c>
      <c r="I20" s="336">
        <f>I18-J20</f>
        <v>-212.77777777777777</v>
      </c>
      <c r="J20" s="175">
        <f>H20/DAY(B2)</f>
        <v>277.77777777777777</v>
      </c>
      <c r="K20" s="79"/>
      <c r="L20" s="66"/>
      <c r="N20" s="87"/>
      <c r="O20" s="71"/>
    </row>
    <row r="21" spans="1:15" ht="27.75" customHeight="1">
      <c r="A21" s="882" t="s">
        <v>144</v>
      </c>
      <c r="B21" s="883"/>
      <c r="C21" s="884"/>
      <c r="D21" s="111"/>
      <c r="E21" s="111"/>
      <c r="F21" s="111"/>
      <c r="G21" s="435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434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406">
        <f>'17'!F23</f>
        <v>1500</v>
      </c>
      <c r="F23" s="164">
        <v>1500</v>
      </c>
      <c r="G23" s="520">
        <f>-(F23-E23)</f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521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SUM(E22:E23)</f>
        <v>4470</v>
      </c>
      <c r="F24" s="128">
        <v>4470</v>
      </c>
      <c r="G24" s="434">
        <f>SUM(G22:G23)</f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87" t="s">
        <v>149</v>
      </c>
      <c r="B25" s="888"/>
      <c r="C25" s="889"/>
      <c r="D25" s="110"/>
      <c r="E25" s="110"/>
      <c r="F25" s="110"/>
      <c r="G25" s="437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38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29753</v>
      </c>
      <c r="F27" s="136">
        <v>9</v>
      </c>
      <c r="G27" s="439">
        <f>E27*F27</f>
        <v>267777</v>
      </c>
      <c r="H27" s="99">
        <f>G27+'17'!H27</f>
        <v>4690098.9000000004</v>
      </c>
      <c r="I27" s="138"/>
      <c r="J27" s="175">
        <f>H27/DAY(B2)</f>
        <v>260561.05000000002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1052</v>
      </c>
      <c r="F28" s="136">
        <v>70</v>
      </c>
      <c r="G28" s="439">
        <f>E28*F28</f>
        <v>73640</v>
      </c>
      <c r="H28" s="99">
        <f>G28+'17'!H28</f>
        <v>1278172</v>
      </c>
      <c r="I28" s="140"/>
      <c r="J28" s="175">
        <f>H28/DAY(B2)</f>
        <v>71009.555555555562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39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439">
        <f>E30*F30</f>
        <v>7852</v>
      </c>
      <c r="H30" s="99">
        <f>G30+'17'!H30</f>
        <v>139680</v>
      </c>
      <c r="I30" s="140"/>
      <c r="J30" s="175">
        <f>H30/DAY(B2)</f>
        <v>7760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439">
        <f>E31*F31</f>
        <v>14400</v>
      </c>
      <c r="H31" s="99">
        <f>G31+'17'!H31</f>
        <v>325600</v>
      </c>
      <c r="I31" s="140"/>
      <c r="J31" s="175">
        <f>H31/DAY(B2)</f>
        <v>18088.888888888891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40">
        <f>G27+G28+G29+G30+G31</f>
        <v>363669</v>
      </c>
      <c r="H32" s="99">
        <f>G32+'17'!H32</f>
        <v>6433550.9000000004</v>
      </c>
      <c r="I32" s="144"/>
      <c r="J32" s="175">
        <f>H32/DAY(B2)</f>
        <v>357419.49444444448</v>
      </c>
      <c r="K32" s="63"/>
      <c r="L32" s="89"/>
      <c r="N32" s="87"/>
      <c r="O32" s="71"/>
    </row>
    <row r="33" spans="1:15" ht="27.75" customHeight="1">
      <c r="A33" s="890" t="s">
        <v>331</v>
      </c>
      <c r="B33" s="891"/>
      <c r="C33" s="891"/>
      <c r="D33" s="337"/>
      <c r="E33" s="337"/>
      <c r="F33" s="337"/>
      <c r="G33" s="441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42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'17'!F35</f>
        <v>238713</v>
      </c>
      <c r="F35" s="145">
        <v>238714</v>
      </c>
      <c r="G35" s="432">
        <f t="shared" ref="G35:G46" si="2">F35-E35</f>
        <v>1</v>
      </c>
      <c r="H35" s="99">
        <f>G35+'17'!H35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'17'!F36</f>
        <v>175051</v>
      </c>
      <c r="F36" s="145">
        <v>176096</v>
      </c>
      <c r="G36" s="432">
        <f t="shared" si="2"/>
        <v>1045</v>
      </c>
      <c r="H36" s="99">
        <f>G36+'17'!H36</f>
        <v>15648</v>
      </c>
      <c r="I36" s="95"/>
      <c r="J36" s="175">
        <f>H36/DAY(B2)</f>
        <v>869.33333333333337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'17'!F37</f>
        <v>265338</v>
      </c>
      <c r="F37" s="145">
        <v>267067</v>
      </c>
      <c r="G37" s="432">
        <f t="shared" si="2"/>
        <v>1729</v>
      </c>
      <c r="H37" s="99">
        <f>G37+'17'!H37</f>
        <v>31288</v>
      </c>
      <c r="I37" s="95"/>
      <c r="J37" s="175">
        <f>H37/DAY(B2)</f>
        <v>1738.2222222222222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'17'!F38</f>
        <v>357476</v>
      </c>
      <c r="F38" s="108">
        <v>359873</v>
      </c>
      <c r="G38" s="432">
        <f t="shared" si="2"/>
        <v>2397</v>
      </c>
      <c r="H38" s="99">
        <f>G38+'17'!H38</f>
        <v>41581</v>
      </c>
      <c r="I38" s="95"/>
      <c r="J38" s="175">
        <f>H38/DAY(B2)</f>
        <v>2310.0555555555557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'17'!F39</f>
        <v>483928</v>
      </c>
      <c r="F39" s="145">
        <v>487086</v>
      </c>
      <c r="G39" s="432">
        <f t="shared" si="2"/>
        <v>3158</v>
      </c>
      <c r="H39" s="99">
        <f>G39+'17'!H39</f>
        <v>51756.090000000026</v>
      </c>
      <c r="I39" s="95"/>
      <c r="J39" s="175">
        <f>H39/DAY(B2)</f>
        <v>2875.338333333335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'17'!F40</f>
        <v>78169</v>
      </c>
      <c r="F40" s="423">
        <v>78998</v>
      </c>
      <c r="G40" s="520">
        <f t="shared" si="2"/>
        <v>829</v>
      </c>
      <c r="H40" s="99">
        <f>G40+'17'!H40</f>
        <v>5445</v>
      </c>
      <c r="I40" s="95"/>
      <c r="J40" s="175">
        <f>H40/DAY(B2)</f>
        <v>302.5</v>
      </c>
      <c r="K40" s="80"/>
      <c r="L40" s="66"/>
      <c r="N40" s="87">
        <v>7285</v>
      </c>
      <c r="O40" s="71" t="s">
        <v>364</v>
      </c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'17'!F41</f>
        <v>114414</v>
      </c>
      <c r="F41" s="145">
        <v>120664</v>
      </c>
      <c r="G41" s="432">
        <f t="shared" si="2"/>
        <v>6250</v>
      </c>
      <c r="H41" s="99">
        <f>G41+'17'!H41</f>
        <v>51829</v>
      </c>
      <c r="I41" s="95"/>
      <c r="J41" s="175">
        <f>H41/DAY(B2)</f>
        <v>2879.3888888888887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'17'!F42</f>
        <v>638793</v>
      </c>
      <c r="F42" s="145">
        <v>643374</v>
      </c>
      <c r="G42" s="432">
        <f t="shared" si="2"/>
        <v>4581</v>
      </c>
      <c r="H42" s="99">
        <f>G42+'17'!H42</f>
        <v>80502</v>
      </c>
      <c r="I42" s="95"/>
      <c r="J42" s="175">
        <f>H42/DAY(B2)</f>
        <v>4472.333333333333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'17'!F43</f>
        <v>407028</v>
      </c>
      <c r="F43" s="145">
        <v>407028</v>
      </c>
      <c r="G43" s="432">
        <f t="shared" si="2"/>
        <v>0</v>
      </c>
      <c r="H43" s="99">
        <f>G43+'17'!H43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432">
        <f t="shared" si="2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432">
        <f t="shared" si="2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432">
        <f t="shared" si="2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34">
        <f>G35+G36+G37+G38+G39+G40+G41+G42+G43+G44+G45+G46</f>
        <v>19990</v>
      </c>
      <c r="H47" s="99">
        <f>G47+'17'!H47</f>
        <v>278049.09000000003</v>
      </c>
      <c r="I47" s="95"/>
      <c r="J47" s="175">
        <f>H47/DAY(B2)</f>
        <v>15447.171666666669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42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'17'!F49</f>
        <v>321230</v>
      </c>
      <c r="F49" s="145">
        <v>324717</v>
      </c>
      <c r="G49" s="432">
        <f t="shared" ref="G49:G58" si="3">F49-E49</f>
        <v>3487</v>
      </c>
      <c r="H49" s="99">
        <f>G49+'17'!H49</f>
        <v>64570</v>
      </c>
      <c r="I49" s="95"/>
      <c r="J49" s="175">
        <f>H49/DAY(B2)</f>
        <v>3587.2222222222222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'17'!F50</f>
        <v>228492</v>
      </c>
      <c r="F50" s="145">
        <v>229995</v>
      </c>
      <c r="G50" s="432">
        <f t="shared" si="3"/>
        <v>1503</v>
      </c>
      <c r="H50" s="99">
        <f>G50+'17'!H50</f>
        <v>20431</v>
      </c>
      <c r="I50" s="95"/>
      <c r="J50" s="175">
        <f>H50/DAY(B2)</f>
        <v>1135.0555555555557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'17'!F51</f>
        <v>76</v>
      </c>
      <c r="F51" s="145">
        <v>76</v>
      </c>
      <c r="G51" s="432">
        <f t="shared" si="3"/>
        <v>0</v>
      </c>
      <c r="H51" s="99">
        <f>G51+'17'!H51</f>
        <v>0.31999999999999318</v>
      </c>
      <c r="I51" s="95"/>
      <c r="J51" s="175">
        <f>H51/DAY(B2)</f>
        <v>1.77777777777774E-2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'17'!F52</f>
        <v>10</v>
      </c>
      <c r="F52" s="145">
        <v>10</v>
      </c>
      <c r="G52" s="432">
        <f t="shared" si="3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432">
        <f t="shared" si="3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'17'!F54</f>
        <v>72394</v>
      </c>
      <c r="F54" s="145">
        <v>72761</v>
      </c>
      <c r="G54" s="432">
        <f t="shared" si="3"/>
        <v>367</v>
      </c>
      <c r="H54" s="99">
        <f>G54+'17'!H54</f>
        <v>8205</v>
      </c>
      <c r="I54" s="95"/>
      <c r="J54" s="175">
        <f>H54/DAY(B2)</f>
        <v>455.83333333333331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'17'!F55</f>
        <v>254288</v>
      </c>
      <c r="F55" s="145">
        <v>254288</v>
      </c>
      <c r="G55" s="432">
        <f t="shared" si="3"/>
        <v>0</v>
      </c>
      <c r="H55" s="99">
        <f>G55+'17'!H55</f>
        <v>28815</v>
      </c>
      <c r="I55" s="95"/>
      <c r="J55" s="175">
        <f>H55/DAY(B2)</f>
        <v>1600.8333333333333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'17'!F56</f>
        <v>109347</v>
      </c>
      <c r="F56" s="145">
        <v>109347</v>
      </c>
      <c r="G56" s="432">
        <f t="shared" si="3"/>
        <v>0</v>
      </c>
      <c r="H56" s="99">
        <f>G56+'17'!H56</f>
        <v>2101</v>
      </c>
      <c r="I56" s="95"/>
      <c r="J56" s="175">
        <f>H56/DAY(B2)</f>
        <v>116.72222222222223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'17'!F57</f>
        <v>91359</v>
      </c>
      <c r="F57" s="145">
        <v>94457</v>
      </c>
      <c r="G57" s="432">
        <f t="shared" si="3"/>
        <v>3098</v>
      </c>
      <c r="H57" s="99">
        <f>G57+'17'!H57</f>
        <v>56854</v>
      </c>
      <c r="I57" s="95"/>
      <c r="J57" s="175">
        <f>H57/DAY(B2)</f>
        <v>3158.5555555555557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'17'!F58</f>
        <v>36784</v>
      </c>
      <c r="F58" s="423">
        <v>37028</v>
      </c>
      <c r="G58" s="432">
        <f t="shared" si="3"/>
        <v>244</v>
      </c>
      <c r="H58" s="99">
        <f>G58+'17'!H58</f>
        <v>4139</v>
      </c>
      <c r="I58" s="95"/>
      <c r="J58" s="175">
        <f>H58/DAY(B2)</f>
        <v>229.94444444444446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34">
        <f>G49+G50+G51+G52+G53+G54+G55+G56+G57+G58</f>
        <v>8699</v>
      </c>
      <c r="H59" s="99">
        <f>G59+'17'!H59</f>
        <v>185115.32</v>
      </c>
      <c r="I59" s="95">
        <f>G7-G60</f>
        <v>722</v>
      </c>
      <c r="J59" s="175">
        <f>H59/DAY(B2)</f>
        <v>10284.184444444445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34">
        <f>G47+G59</f>
        <v>28689</v>
      </c>
      <c r="H60" s="99">
        <f>G60+'17'!H60</f>
        <v>463164.41000000003</v>
      </c>
      <c r="I60" s="95">
        <f>G13-G60</f>
        <v>-97</v>
      </c>
      <c r="J60" s="175">
        <f>H60/DAY(B2)</f>
        <v>25731.356111111112</v>
      </c>
      <c r="K60" s="79"/>
      <c r="L60" s="66"/>
      <c r="N60" s="87"/>
      <c r="O60" s="71"/>
    </row>
    <row r="61" spans="1:15" s="68" customFormat="1" ht="27.75" customHeight="1">
      <c r="A61" s="892" t="s">
        <v>332</v>
      </c>
      <c r="B61" s="893"/>
      <c r="C61" s="894"/>
      <c r="D61" s="339"/>
      <c r="E61" s="339"/>
      <c r="F61" s="339"/>
      <c r="G61" s="443"/>
      <c r="H61" s="339"/>
      <c r="I61" s="339"/>
      <c r="J61" s="341"/>
      <c r="K61" s="69"/>
      <c r="L61" s="67"/>
      <c r="N61" s="87"/>
      <c r="O61" s="71"/>
    </row>
    <row r="62" spans="1:15" ht="27.75" customHeight="1">
      <c r="A62" s="873" t="s">
        <v>198</v>
      </c>
      <c r="B62" s="874"/>
      <c r="C62" s="875"/>
      <c r="D62" s="151" t="s">
        <v>142</v>
      </c>
      <c r="E62" s="95">
        <f>'17'!F62</f>
        <v>291372</v>
      </c>
      <c r="F62" s="122">
        <v>291490</v>
      </c>
      <c r="G62" s="432">
        <f t="shared" ref="G62:G63" si="4">F62-E62</f>
        <v>118</v>
      </c>
      <c r="H62" s="99">
        <f>G62+'17'!H62</f>
        <v>2590</v>
      </c>
      <c r="I62" s="118"/>
      <c r="J62" s="175">
        <f>H62/DAY(B2)</f>
        <v>143.88888888888889</v>
      </c>
      <c r="K62" s="80"/>
      <c r="L62" s="66"/>
      <c r="N62" s="87"/>
      <c r="O62" s="71"/>
    </row>
    <row r="63" spans="1:15" ht="27.75" customHeight="1">
      <c r="A63" s="873" t="s">
        <v>199</v>
      </c>
      <c r="B63" s="874"/>
      <c r="C63" s="875"/>
      <c r="D63" s="151" t="s">
        <v>142</v>
      </c>
      <c r="E63" s="95">
        <f>'17'!F63</f>
        <v>233369</v>
      </c>
      <c r="F63" s="122">
        <v>233537</v>
      </c>
      <c r="G63" s="432">
        <f t="shared" si="4"/>
        <v>168</v>
      </c>
      <c r="H63" s="99">
        <f>G63+'17'!H63</f>
        <v>2375</v>
      </c>
      <c r="I63" s="118"/>
      <c r="J63" s="175">
        <f>H63/DAY(B2)</f>
        <v>131.94444444444446</v>
      </c>
      <c r="K63" s="69"/>
      <c r="L63" s="66"/>
      <c r="N63" s="87"/>
      <c r="O63" s="71"/>
    </row>
    <row r="64" spans="1:15" ht="27.75" customHeight="1">
      <c r="A64" s="870" t="s">
        <v>200</v>
      </c>
      <c r="B64" s="871"/>
      <c r="C64" s="872"/>
      <c r="D64" s="151"/>
      <c r="E64" s="95">
        <f>'17'!F64</f>
        <v>0</v>
      </c>
      <c r="F64" s="122"/>
      <c r="G64" s="432">
        <f>G62+G63</f>
        <v>286</v>
      </c>
      <c r="H64" s="99">
        <f>G64+'17'!H64</f>
        <v>4965</v>
      </c>
      <c r="I64" s="118"/>
      <c r="J64" s="175">
        <f>H64/DAY(B2)</f>
        <v>275.83333333333331</v>
      </c>
      <c r="K64" s="69"/>
      <c r="L64" s="66"/>
      <c r="N64" s="87"/>
      <c r="O64" s="71"/>
    </row>
    <row r="65" spans="1:15" ht="27.75" customHeight="1">
      <c r="A65" s="873" t="s">
        <v>201</v>
      </c>
      <c r="B65" s="874"/>
      <c r="C65" s="875"/>
      <c r="D65" s="151" t="s">
        <v>142</v>
      </c>
      <c r="E65" s="95">
        <f>'17'!F65</f>
        <v>450060</v>
      </c>
      <c r="F65" s="122">
        <v>450172</v>
      </c>
      <c r="G65" s="432">
        <f t="shared" ref="G65:G70" si="5">F65-E65</f>
        <v>112</v>
      </c>
      <c r="H65" s="99">
        <f>G65+'17'!H65</f>
        <v>2145</v>
      </c>
      <c r="I65" s="118"/>
      <c r="J65" s="175">
        <f>H65/DAY(B2)</f>
        <v>119.16666666666667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'17'!F66</f>
        <v>110775</v>
      </c>
      <c r="F66" s="122">
        <v>110799</v>
      </c>
      <c r="G66" s="432">
        <f t="shared" si="5"/>
        <v>24</v>
      </c>
      <c r="H66" s="99">
        <f>G66+'17'!H66</f>
        <v>468</v>
      </c>
      <c r="I66" s="118"/>
      <c r="J66" s="175">
        <f>H66/DAY(B2)</f>
        <v>26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'17'!F67</f>
        <v>113681</v>
      </c>
      <c r="F67" s="122">
        <v>113681</v>
      </c>
      <c r="G67" s="432">
        <f t="shared" si="5"/>
        <v>0</v>
      </c>
      <c r="H67" s="99">
        <f>G67+'17'!H67</f>
        <v>403</v>
      </c>
      <c r="I67" s="118"/>
      <c r="J67" s="175">
        <f>H67/DAY(B2)</f>
        <v>22.388888888888889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'17'!F68</f>
        <v>163023</v>
      </c>
      <c r="F68" s="122">
        <v>163082</v>
      </c>
      <c r="G68" s="432">
        <f t="shared" si="5"/>
        <v>59</v>
      </c>
      <c r="H68" s="99">
        <f>G68+'17'!H68</f>
        <v>588</v>
      </c>
      <c r="I68" s="118"/>
      <c r="J68" s="175">
        <f>H68/DAY(B2)</f>
        <v>32.666666666666664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'17'!F69</f>
        <v>12055</v>
      </c>
      <c r="F69" s="122">
        <v>12064</v>
      </c>
      <c r="G69" s="432">
        <f t="shared" si="5"/>
        <v>9</v>
      </c>
      <c r="H69" s="99">
        <f>G69+'17'!H69</f>
        <v>195</v>
      </c>
      <c r="I69" s="118"/>
      <c r="J69" s="175">
        <f>H69/DAY(B2)</f>
        <v>10.833333333333334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'17'!F70</f>
        <v>9408</v>
      </c>
      <c r="F70" s="122">
        <v>9415</v>
      </c>
      <c r="G70" s="432">
        <f t="shared" si="5"/>
        <v>7</v>
      </c>
      <c r="H70" s="99">
        <f>G70+'17'!H70</f>
        <v>148</v>
      </c>
      <c r="I70" s="118"/>
      <c r="J70" s="175">
        <f>H70/DAY(B2)</f>
        <v>8.2222222222222214</v>
      </c>
      <c r="K70" s="69"/>
      <c r="L70" s="66"/>
      <c r="N70" s="87"/>
      <c r="O70" s="71"/>
    </row>
    <row r="71" spans="1:15" ht="27.75" customHeight="1">
      <c r="A71" s="870" t="s">
        <v>208</v>
      </c>
      <c r="B71" s="871"/>
      <c r="C71" s="872"/>
      <c r="D71" s="152"/>
      <c r="E71" s="152"/>
      <c r="F71" s="152"/>
      <c r="G71" s="444">
        <f>SUM(G65:G70)</f>
        <v>211</v>
      </c>
      <c r="H71" s="99">
        <f>G71+'17'!H71</f>
        <v>3947</v>
      </c>
      <c r="I71" s="154"/>
      <c r="J71" s="175">
        <f>H71/DAY(B2)</f>
        <v>219.27777777777777</v>
      </c>
      <c r="K71" s="69"/>
      <c r="L71" s="66"/>
      <c r="N71" s="87"/>
      <c r="O71" s="71"/>
    </row>
    <row r="72" spans="1:15" s="88" customFormat="1" ht="27.75" customHeight="1">
      <c r="A72" s="916"/>
      <c r="B72" s="908"/>
      <c r="C72" s="347"/>
      <c r="D72" s="180"/>
      <c r="E72" s="180" t="s">
        <v>207</v>
      </c>
      <c r="F72" s="180"/>
      <c r="G72" s="445"/>
      <c r="H72" s="181"/>
      <c r="I72" s="180"/>
      <c r="J72" s="182"/>
      <c r="N72" s="87"/>
      <c r="O72" s="71"/>
    </row>
    <row r="73" spans="1:15" ht="27.75" customHeight="1">
      <c r="A73" s="921" t="s">
        <v>333</v>
      </c>
      <c r="B73" s="922"/>
      <c r="C73" s="923"/>
      <c r="D73" s="339"/>
      <c r="E73" s="339"/>
      <c r="F73" s="339"/>
      <c r="G73" s="443"/>
      <c r="H73" s="342"/>
      <c r="I73" s="342"/>
      <c r="J73" s="343"/>
      <c r="K73" s="69"/>
      <c r="L73" s="66"/>
      <c r="N73" s="87"/>
      <c r="O73" s="71"/>
    </row>
    <row r="74" spans="1:15" ht="27.75" customHeight="1">
      <c r="A74" s="873" t="s">
        <v>220</v>
      </c>
      <c r="B74" s="874"/>
      <c r="C74" s="875"/>
      <c r="D74" s="151" t="s">
        <v>139</v>
      </c>
      <c r="E74" s="95">
        <f>'17'!F74</f>
        <v>943936.52</v>
      </c>
      <c r="F74" s="123">
        <v>944234</v>
      </c>
      <c r="G74" s="432">
        <f>F74-E74</f>
        <v>297.47999999998137</v>
      </c>
      <c r="H74" s="99">
        <f>G74+'17'!H74</f>
        <v>5564</v>
      </c>
      <c r="I74" s="154"/>
      <c r="J74" s="175">
        <f>H74/DAY(B2)</f>
        <v>309.11111111111109</v>
      </c>
      <c r="K74" s="69"/>
      <c r="L74" s="66"/>
      <c r="N74" s="87"/>
      <c r="O74" s="71"/>
    </row>
    <row r="75" spans="1:15" ht="27.75" customHeight="1">
      <c r="A75" s="873" t="s">
        <v>221</v>
      </c>
      <c r="B75" s="874"/>
      <c r="C75" s="875"/>
      <c r="D75" s="151" t="s">
        <v>139</v>
      </c>
      <c r="E75" s="95">
        <f>'17'!F75</f>
        <v>73586.8</v>
      </c>
      <c r="F75" s="410">
        <v>73586.8</v>
      </c>
      <c r="G75" s="432">
        <f t="shared" ref="G75:G78" si="6">F75-E75</f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7" t="s">
        <v>222</v>
      </c>
      <c r="B76" s="903"/>
      <c r="C76" s="904"/>
      <c r="D76" s="151" t="s">
        <v>139</v>
      </c>
      <c r="E76" s="95">
        <f>'17'!F76</f>
        <v>185596</v>
      </c>
      <c r="F76" s="123">
        <v>185707</v>
      </c>
      <c r="G76" s="432">
        <f>F76-E76</f>
        <v>111</v>
      </c>
      <c r="H76" s="99">
        <f>G76+'17'!H76</f>
        <v>2001</v>
      </c>
      <c r="I76" s="154"/>
      <c r="J76" s="175">
        <f>H76/DAY(B2)</f>
        <v>111.16666666666667</v>
      </c>
      <c r="K76" s="69"/>
      <c r="L76" s="66"/>
      <c r="N76" s="87"/>
      <c r="O76" s="71"/>
    </row>
    <row r="77" spans="1:15" ht="27.75" customHeight="1">
      <c r="A77" s="917" t="s">
        <v>223</v>
      </c>
      <c r="B77" s="903"/>
      <c r="C77" s="904"/>
      <c r="D77" s="151" t="s">
        <v>139</v>
      </c>
      <c r="E77" s="95">
        <f>'17'!F77</f>
        <v>48151</v>
      </c>
      <c r="F77" s="123">
        <v>48201</v>
      </c>
      <c r="G77" s="432">
        <f t="shared" si="6"/>
        <v>50</v>
      </c>
      <c r="H77" s="99">
        <f>G77+'17'!H77</f>
        <v>856</v>
      </c>
      <c r="I77" s="154"/>
      <c r="J77" s="175">
        <f>H77/DAY(B2)</f>
        <v>47.555555555555557</v>
      </c>
      <c r="K77" s="69"/>
      <c r="L77" s="66"/>
      <c r="N77" s="87"/>
      <c r="O77" s="71"/>
    </row>
    <row r="78" spans="1:15" ht="27.75" customHeight="1">
      <c r="A78" s="917" t="s">
        <v>224</v>
      </c>
      <c r="B78" s="903"/>
      <c r="C78" s="904"/>
      <c r="D78" s="151" t="s">
        <v>139</v>
      </c>
      <c r="E78" s="95">
        <f>'17'!F78</f>
        <v>9564</v>
      </c>
      <c r="F78" s="123">
        <v>9564</v>
      </c>
      <c r="G78" s="432">
        <f t="shared" si="6"/>
        <v>0</v>
      </c>
      <c r="H78" s="99">
        <f>G78+'17'!H78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customHeight="1">
      <c r="A79" s="917" t="s">
        <v>225</v>
      </c>
      <c r="B79" s="903"/>
      <c r="C79" s="904"/>
      <c r="D79" s="151"/>
      <c r="E79" s="95">
        <f>'17'!F79</f>
        <v>0</v>
      </c>
      <c r="F79" s="123">
        <v>0</v>
      </c>
      <c r="G79" s="432">
        <f>G15-SUM(G74:G78)</f>
        <v>593.52000000001863</v>
      </c>
      <c r="H79" s="99">
        <f>G79+'17'!H79</f>
        <v>10618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70" t="s">
        <v>329</v>
      </c>
      <c r="B80" s="871"/>
      <c r="C80" s="872"/>
      <c r="D80" s="151"/>
      <c r="E80" s="117"/>
      <c r="F80" s="117"/>
      <c r="G80" s="432">
        <f>SUM(G74:G79)</f>
        <v>1052</v>
      </c>
      <c r="H80" s="99">
        <f>G80+'17'!H80</f>
        <v>1052</v>
      </c>
      <c r="I80" s="118"/>
      <c r="J80" s="175"/>
      <c r="K80" s="59"/>
      <c r="L80" s="58"/>
      <c r="N80" s="87"/>
      <c r="O80" s="71"/>
    </row>
    <row r="81" spans="1:15" ht="27.75" customHeight="1">
      <c r="A81" s="909" t="s">
        <v>226</v>
      </c>
      <c r="B81" s="910"/>
      <c r="C81" s="911"/>
      <c r="D81" s="110"/>
      <c r="E81" s="110"/>
      <c r="F81" s="110"/>
      <c r="G81" s="446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'17'!F82</f>
        <v>0</v>
      </c>
      <c r="F82" s="122">
        <v>0</v>
      </c>
      <c r="G82" s="432">
        <f t="shared" ref="G82:G92" si="7">F82-E82</f>
        <v>0</v>
      </c>
      <c r="H82" s="99">
        <f>G82+'17'!H82</f>
        <v>0</v>
      </c>
      <c r="I82" s="573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'17'!F83</f>
        <v>0</v>
      </c>
      <c r="F83" s="122">
        <v>0</v>
      </c>
      <c r="G83" s="432">
        <f t="shared" si="7"/>
        <v>0</v>
      </c>
      <c r="H83" s="99">
        <f>G83+'17'!H83</f>
        <v>0</v>
      </c>
      <c r="I83" s="573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'17'!F84</f>
        <v>42161.440000000002</v>
      </c>
      <c r="F84" s="164">
        <v>42185.58</v>
      </c>
      <c r="G84" s="432">
        <f>F84-E84</f>
        <v>24.139999999999418</v>
      </c>
      <c r="H84" s="99">
        <f>G84+'17'!H84</f>
        <v>216.58000000000175</v>
      </c>
      <c r="I84" s="573"/>
      <c r="J84" s="175">
        <f>H84/DAY(B2)</f>
        <v>12.03222222222232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'17'!F85</f>
        <v>4672.3900000000003</v>
      </c>
      <c r="F85" s="164">
        <v>4691.1499999999996</v>
      </c>
      <c r="G85" s="432">
        <f t="shared" si="7"/>
        <v>18.759999999999309</v>
      </c>
      <c r="H85" s="99">
        <f>G85+'17'!H85</f>
        <v>348.14999999999964</v>
      </c>
      <c r="I85" s="573"/>
      <c r="J85" s="175">
        <f>H85/DAY(B2)</f>
        <v>19.341666666666647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'17'!F86</f>
        <v>44658</v>
      </c>
      <c r="F86" s="164">
        <v>44658</v>
      </c>
      <c r="G86" s="432">
        <f t="shared" si="7"/>
        <v>0</v>
      </c>
      <c r="H86" s="99">
        <f>G86+'17'!H86</f>
        <v>188</v>
      </c>
      <c r="I86" s="573"/>
      <c r="J86" s="175">
        <f>H86/DAY(B2)</f>
        <v>10.444444444444445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'17'!F87</f>
        <v>35345</v>
      </c>
      <c r="F87" s="164">
        <v>35345</v>
      </c>
      <c r="G87" s="432">
        <f t="shared" si="7"/>
        <v>0</v>
      </c>
      <c r="H87" s="99">
        <f>G87+'17'!H87</f>
        <v>16</v>
      </c>
      <c r="I87" s="573">
        <f>G84+G85+G86+G87</f>
        <v>42.899999999998727</v>
      </c>
      <c r="J87" s="175">
        <f>H87/DAY(B2)</f>
        <v>0.88888888888888884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'17'!F88</f>
        <v>24277</v>
      </c>
      <c r="F88" s="164">
        <v>24277</v>
      </c>
      <c r="G88" s="432">
        <f t="shared" si="7"/>
        <v>0</v>
      </c>
      <c r="H88" s="99">
        <f>G88+'17'!H88</f>
        <v>49.119999999998981</v>
      </c>
      <c r="I88" s="573"/>
      <c r="J88" s="175">
        <f>H88/DAY(B2)</f>
        <v>2.7288888888888323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'17'!F89</f>
        <v>27167</v>
      </c>
      <c r="F89" s="164">
        <v>27177</v>
      </c>
      <c r="G89" s="432">
        <f t="shared" si="7"/>
        <v>10</v>
      </c>
      <c r="H89" s="99">
        <f>G89+'17'!H89</f>
        <v>183.59000000000015</v>
      </c>
      <c r="I89" s="573">
        <f>G88+G89</f>
        <v>10</v>
      </c>
      <c r="J89" s="175">
        <f>H89/DAY(B2)</f>
        <v>10.199444444444453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'17'!F90</f>
        <v>72199</v>
      </c>
      <c r="F90" s="164">
        <v>72211</v>
      </c>
      <c r="G90" s="432">
        <f t="shared" si="7"/>
        <v>12</v>
      </c>
      <c r="H90" s="99">
        <f>G90+'17'!H90</f>
        <v>83.880000000004657</v>
      </c>
      <c r="I90" s="573">
        <f>G90</f>
        <v>12</v>
      </c>
      <c r="J90" s="175">
        <f>H90/DAY(B2)</f>
        <v>4.6600000000002586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'17'!F91</f>
        <v>4122</v>
      </c>
      <c r="F91" s="404">
        <v>4122</v>
      </c>
      <c r="G91" s="432">
        <f t="shared" si="7"/>
        <v>0</v>
      </c>
      <c r="H91" s="99">
        <f>G91+'17'!H91</f>
        <v>0.3500000000003638</v>
      </c>
      <c r="I91" s="592"/>
      <c r="J91" s="175">
        <f>H91/DAY(B2)</f>
        <v>1.9444444444464654E-2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'17'!F92</f>
        <v>6401</v>
      </c>
      <c r="F92" s="404">
        <v>6411</v>
      </c>
      <c r="G92" s="432">
        <f t="shared" si="7"/>
        <v>10</v>
      </c>
      <c r="H92" s="99">
        <f>G92+'17'!H92</f>
        <v>193.75</v>
      </c>
      <c r="I92" s="598">
        <f>G91+G92</f>
        <v>10</v>
      </c>
      <c r="J92" s="175">
        <f>H92/DAY(B2)</f>
        <v>10.763888888888889</v>
      </c>
      <c r="O92" s="71"/>
    </row>
    <row r="93" spans="1:15" ht="27.75" customHeight="1">
      <c r="A93" s="918" t="s">
        <v>239</v>
      </c>
      <c r="B93" s="919"/>
      <c r="C93" s="920"/>
      <c r="D93" s="111"/>
      <c r="E93" s="111"/>
      <c r="F93" s="111"/>
      <c r="G93" s="435"/>
      <c r="H93" s="121"/>
      <c r="I93" s="121"/>
      <c r="J93" s="183"/>
      <c r="K93" s="69"/>
      <c r="L93" s="66"/>
      <c r="O93" s="71"/>
    </row>
    <row r="94" spans="1:15" ht="27.75" customHeight="1">
      <c r="A94" s="873" t="s">
        <v>240</v>
      </c>
      <c r="B94" s="874"/>
      <c r="C94" s="875"/>
      <c r="D94" s="151" t="s">
        <v>130</v>
      </c>
      <c r="E94" s="151"/>
      <c r="F94" s="151"/>
      <c r="G94" s="447">
        <f>G35+G43+G49+G57</f>
        <v>6586</v>
      </c>
      <c r="H94" s="99">
        <f>G94+'17'!H94</f>
        <v>121424</v>
      </c>
      <c r="I94" s="118"/>
      <c r="J94" s="175">
        <f>H94/DAY(B2)</f>
        <v>6745.7777777777774</v>
      </c>
      <c r="K94" s="69"/>
      <c r="L94" s="66"/>
      <c r="O94" s="71"/>
    </row>
    <row r="95" spans="1:15" ht="27.75" customHeight="1">
      <c r="A95" s="873" t="s">
        <v>241</v>
      </c>
      <c r="B95" s="874"/>
      <c r="C95" s="875"/>
      <c r="D95" s="151" t="s">
        <v>23</v>
      </c>
      <c r="E95" s="146"/>
      <c r="F95" s="146"/>
      <c r="G95" s="448">
        <f>G94/G7</f>
        <v>0.22392982217537655</v>
      </c>
      <c r="H95" s="99">
        <f>G95+'17'!H95</f>
        <v>4.3394676511112351</v>
      </c>
      <c r="I95" s="167"/>
      <c r="J95" s="175">
        <f>H95/DAY(B2)</f>
        <v>0.24108153617284639</v>
      </c>
      <c r="K95" s="69"/>
      <c r="L95" s="66"/>
      <c r="O95" s="71"/>
    </row>
    <row r="96" spans="1:15" ht="27.75" customHeight="1">
      <c r="A96" s="873" t="s">
        <v>242</v>
      </c>
      <c r="B96" s="874"/>
      <c r="C96" s="875"/>
      <c r="D96" s="151" t="s">
        <v>130</v>
      </c>
      <c r="E96" s="95"/>
      <c r="F96" s="95"/>
      <c r="G96" s="447">
        <f>G41+G42+G55+G56</f>
        <v>10831</v>
      </c>
      <c r="H96" s="99">
        <f>G96+'17'!H96</f>
        <v>163247</v>
      </c>
      <c r="I96" s="118"/>
      <c r="J96" s="175">
        <f>H96/DAY(B2)</f>
        <v>9069.2777777777774</v>
      </c>
      <c r="K96" s="69"/>
      <c r="L96" s="66"/>
      <c r="O96" s="71"/>
    </row>
    <row r="97" spans="1:15" ht="27.75" customHeight="1">
      <c r="A97" s="873" t="s">
        <v>243</v>
      </c>
      <c r="B97" s="874"/>
      <c r="C97" s="875"/>
      <c r="D97" s="151" t="s">
        <v>23</v>
      </c>
      <c r="E97" s="95"/>
      <c r="F97" s="95"/>
      <c r="G97" s="448">
        <f>G96/G7</f>
        <v>0.3682635748529462</v>
      </c>
      <c r="H97" s="99">
        <f>G97+'17'!H97</f>
        <v>5.7865081562269474</v>
      </c>
      <c r="I97" s="167"/>
      <c r="J97" s="175">
        <f>H97/DAY(B2)</f>
        <v>0.32147267534594154</v>
      </c>
      <c r="K97" s="69"/>
      <c r="L97" s="66"/>
      <c r="O97" s="71"/>
    </row>
    <row r="98" spans="1:15" ht="27.75" customHeight="1">
      <c r="A98" s="873" t="s">
        <v>244</v>
      </c>
      <c r="B98" s="874"/>
      <c r="C98" s="875"/>
      <c r="D98" s="151" t="s">
        <v>130</v>
      </c>
      <c r="E98" s="95"/>
      <c r="F98" s="95"/>
      <c r="G98" s="447">
        <f>G39+G53</f>
        <v>3158</v>
      </c>
      <c r="H98" s="99">
        <f>G98+'17'!H98</f>
        <v>51756.090000000026</v>
      </c>
      <c r="I98" s="168"/>
      <c r="J98" s="175">
        <f>H98/DAY(B2)</f>
        <v>2875.338333333335</v>
      </c>
      <c r="K98" s="69"/>
      <c r="L98" s="66"/>
      <c r="O98" s="71"/>
    </row>
    <row r="99" spans="1:15" ht="27.75" customHeight="1">
      <c r="A99" s="873" t="s">
        <v>245</v>
      </c>
      <c r="B99" s="874"/>
      <c r="C99" s="875"/>
      <c r="D99" s="151" t="s">
        <v>23</v>
      </c>
      <c r="E99" s="95"/>
      <c r="F99" s="95"/>
      <c r="G99" s="448">
        <f>G98/G7</f>
        <v>0.10737479174458536</v>
      </c>
      <c r="H99" s="99">
        <f>G99+'17'!H99</f>
        <v>1.8450858523733853</v>
      </c>
      <c r="I99" s="168"/>
      <c r="J99" s="175">
        <f>H99/DAY(B2)</f>
        <v>0.10250476957629918</v>
      </c>
      <c r="O99" s="71"/>
    </row>
    <row r="100" spans="1:15" ht="27.75" customHeight="1">
      <c r="A100" s="873" t="s">
        <v>246</v>
      </c>
      <c r="B100" s="874"/>
      <c r="C100" s="875"/>
      <c r="D100" s="151" t="s">
        <v>180</v>
      </c>
      <c r="E100" s="95"/>
      <c r="F100" s="95"/>
      <c r="G100" s="447">
        <f>G38+G52</f>
        <v>2397</v>
      </c>
      <c r="H100" s="99">
        <f>G100+'17'!H100</f>
        <v>41581</v>
      </c>
      <c r="I100" s="118"/>
      <c r="J100" s="175">
        <f>H100/DAY(B2)</f>
        <v>2310.0555555555557</v>
      </c>
      <c r="K100" s="70"/>
      <c r="O100" s="71"/>
    </row>
    <row r="101" spans="1:15" ht="27.75" customHeight="1">
      <c r="A101" s="873" t="s">
        <v>247</v>
      </c>
      <c r="B101" s="874"/>
      <c r="C101" s="875"/>
      <c r="D101" s="151" t="s">
        <v>23</v>
      </c>
      <c r="E101" s="95"/>
      <c r="F101" s="95"/>
      <c r="G101" s="448">
        <f>G100/G7</f>
        <v>8.1500119003094076E-2</v>
      </c>
      <c r="H101" s="99">
        <f>G101+'17'!H101</f>
        <v>1.4819692123729495</v>
      </c>
      <c r="I101" s="168"/>
      <c r="J101" s="175">
        <f>H101/DAY(B2)</f>
        <v>8.2331622909608312E-2</v>
      </c>
      <c r="O101" s="71"/>
    </row>
    <row r="102" spans="1:15" ht="27.75" customHeight="1">
      <c r="A102" s="873" t="s">
        <v>248</v>
      </c>
      <c r="B102" s="874"/>
      <c r="C102" s="875"/>
      <c r="D102" s="151" t="s">
        <v>180</v>
      </c>
      <c r="E102" s="95"/>
      <c r="F102" s="95"/>
      <c r="G102" s="447">
        <f>G36+G50</f>
        <v>2548</v>
      </c>
      <c r="H102" s="99">
        <f>G102+'17'!H102</f>
        <v>36079</v>
      </c>
      <c r="I102" s="168"/>
      <c r="J102" s="175">
        <f>H102/DAY(B2)</f>
        <v>2004.3888888888889</v>
      </c>
      <c r="O102" s="71"/>
    </row>
    <row r="103" spans="1:15" ht="27.75" customHeight="1">
      <c r="A103" s="873" t="s">
        <v>249</v>
      </c>
      <c r="B103" s="874"/>
      <c r="C103" s="875"/>
      <c r="D103" s="151" t="s">
        <v>23</v>
      </c>
      <c r="E103" s="95"/>
      <c r="F103" s="95"/>
      <c r="G103" s="448">
        <f>G102/G7</f>
        <v>8.663425249056475E-2</v>
      </c>
      <c r="H103" s="99">
        <f>G103+'17'!H103</f>
        <v>1.2794049263570018</v>
      </c>
      <c r="I103" s="118"/>
      <c r="J103" s="175">
        <f>H103/DAY(B2)</f>
        <v>7.1078051464277869E-2</v>
      </c>
      <c r="O103" s="71"/>
    </row>
    <row r="104" spans="1:15" ht="27.75" customHeight="1">
      <c r="A104" s="873" t="s">
        <v>250</v>
      </c>
      <c r="B104" s="874"/>
      <c r="C104" s="875"/>
      <c r="D104" s="151" t="s">
        <v>180</v>
      </c>
      <c r="E104" s="95"/>
      <c r="F104" s="95"/>
      <c r="G104" s="447">
        <f>G37+G51</f>
        <v>1729</v>
      </c>
      <c r="H104" s="99">
        <f>G104+'17'!H104</f>
        <v>31288.32</v>
      </c>
      <c r="I104" s="118"/>
      <c r="J104" s="175">
        <f>H104/DAY(B2)</f>
        <v>1738.24</v>
      </c>
      <c r="O104" s="71"/>
    </row>
    <row r="105" spans="1:15" ht="27.75" customHeight="1" thickBot="1">
      <c r="A105" s="913" t="s">
        <v>251</v>
      </c>
      <c r="B105" s="914"/>
      <c r="C105" s="915"/>
      <c r="D105" s="231" t="s">
        <v>23</v>
      </c>
      <c r="E105" s="185"/>
      <c r="F105" s="185"/>
      <c r="G105" s="449">
        <f>G104/G7</f>
        <v>5.8787528475740369E-2</v>
      </c>
      <c r="H105" s="99">
        <f>G105+'17'!H105</f>
        <v>1.1123110805280672</v>
      </c>
      <c r="I105" s="187"/>
      <c r="J105" s="188">
        <f>H105/DAY(B2)</f>
        <v>6.1795060029337066E-2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50"/>
      <c r="H106" s="170"/>
      <c r="I106" s="169"/>
      <c r="J106" s="171"/>
      <c r="O106" s="71"/>
    </row>
    <row r="108" spans="1:15" ht="27.75" customHeight="1">
      <c r="A108" s="927" t="s">
        <v>324</v>
      </c>
      <c r="B108" s="927"/>
      <c r="C108" s="927"/>
      <c r="D108" s="927"/>
      <c r="E108" s="927"/>
      <c r="F108" s="927"/>
      <c r="G108" s="927"/>
      <c r="H108" s="927"/>
      <c r="I108" s="927"/>
      <c r="J108" s="927"/>
    </row>
    <row r="109" spans="1:15" ht="27.75" customHeight="1">
      <c r="A109" s="912"/>
      <c r="B109" s="912"/>
    </row>
    <row r="110" spans="1:15" ht="27.75" customHeight="1">
      <c r="A110" s="928" t="s">
        <v>165</v>
      </c>
      <c r="B110" s="929"/>
      <c r="C110" s="929"/>
      <c r="D110" s="929"/>
      <c r="E110" s="929"/>
      <c r="F110" s="929"/>
      <c r="G110" s="929"/>
      <c r="H110" s="929"/>
      <c r="I110" s="929"/>
      <c r="J110" s="930"/>
    </row>
    <row r="111" spans="1:15" ht="27.75" customHeight="1">
      <c r="A111" s="931"/>
      <c r="B111" s="932"/>
      <c r="C111" s="933"/>
      <c r="D111" s="165"/>
      <c r="E111" s="165"/>
      <c r="F111" s="165"/>
      <c r="G111" s="452"/>
      <c r="H111" s="156"/>
      <c r="I111" s="165"/>
      <c r="J111" s="327"/>
    </row>
    <row r="112" spans="1:15" ht="27.75" customHeight="1">
      <c r="A112" s="906" t="s">
        <v>252</v>
      </c>
      <c r="B112" s="907"/>
      <c r="C112" s="908"/>
      <c r="D112" s="146" t="s">
        <v>183</v>
      </c>
      <c r="E112" s="95">
        <f>'17'!F112</f>
        <v>3971</v>
      </c>
      <c r="F112" s="237">
        <v>4048</v>
      </c>
      <c r="G112" s="432">
        <f t="shared" ref="G112:G123" si="8">F112-E112</f>
        <v>77</v>
      </c>
      <c r="H112" s="99">
        <f>G112+'17'!H112</f>
        <v>1371</v>
      </c>
      <c r="I112" s="165"/>
      <c r="J112" s="328">
        <f>H112/DAY(B2)</f>
        <v>76.166666666666671</v>
      </c>
    </row>
    <row r="113" spans="1:18" ht="27.75" customHeight="1">
      <c r="A113" s="906" t="s">
        <v>253</v>
      </c>
      <c r="B113" s="907"/>
      <c r="C113" s="908"/>
      <c r="D113" s="146" t="s">
        <v>183</v>
      </c>
      <c r="E113" s="95">
        <f>'17'!F113</f>
        <v>8789</v>
      </c>
      <c r="F113" s="237">
        <v>8930</v>
      </c>
      <c r="G113" s="432">
        <f t="shared" si="8"/>
        <v>141</v>
      </c>
      <c r="H113" s="99">
        <f>G113+'17'!H113</f>
        <v>2539</v>
      </c>
      <c r="I113" s="165"/>
      <c r="J113" s="328">
        <f>H113/DAY(B2)</f>
        <v>141.05555555555554</v>
      </c>
    </row>
    <row r="114" spans="1:18" ht="27.75" customHeight="1">
      <c r="A114" s="906" t="s">
        <v>254</v>
      </c>
      <c r="B114" s="907"/>
      <c r="C114" s="908"/>
      <c r="D114" s="146" t="s">
        <v>183</v>
      </c>
      <c r="E114" s="95">
        <f>'17'!F114</f>
        <v>11299</v>
      </c>
      <c r="F114" s="237">
        <v>11520</v>
      </c>
      <c r="G114" s="432">
        <f t="shared" si="8"/>
        <v>221</v>
      </c>
      <c r="H114" s="99">
        <f>G114+'17'!H114</f>
        <v>3950</v>
      </c>
      <c r="I114" s="165"/>
      <c r="J114" s="328">
        <f>H114/DAY(B2)</f>
        <v>219.44444444444446</v>
      </c>
    </row>
    <row r="115" spans="1:18" ht="27.75" customHeight="1">
      <c r="A115" s="906" t="s">
        <v>255</v>
      </c>
      <c r="B115" s="907"/>
      <c r="C115" s="908"/>
      <c r="D115" s="146" t="s">
        <v>183</v>
      </c>
      <c r="E115" s="95">
        <f>'17'!F115</f>
        <v>7168</v>
      </c>
      <c r="F115" s="237">
        <v>7305</v>
      </c>
      <c r="G115" s="432">
        <f t="shared" si="8"/>
        <v>137</v>
      </c>
      <c r="H115" s="99">
        <f>G115+'17'!H115</f>
        <v>1174.5200000000002</v>
      </c>
      <c r="I115" s="165"/>
      <c r="J115" s="328">
        <f>H115/DAY(B2)</f>
        <v>65.251111111111129</v>
      </c>
    </row>
    <row r="116" spans="1:18" ht="27.75" customHeight="1">
      <c r="A116" s="924" t="s">
        <v>96</v>
      </c>
      <c r="B116" s="925"/>
      <c r="C116" s="926"/>
      <c r="D116" s="146" t="s">
        <v>183</v>
      </c>
      <c r="E116" s="95">
        <f>'17'!F116</f>
        <v>53530</v>
      </c>
      <c r="F116" s="237">
        <v>53939</v>
      </c>
      <c r="G116" s="432">
        <f t="shared" si="8"/>
        <v>409</v>
      </c>
      <c r="H116" s="99">
        <f>G116+'17'!H116</f>
        <v>7184</v>
      </c>
      <c r="I116" s="165"/>
      <c r="J116" s="328">
        <f>H116/DAY(B2)</f>
        <v>399.11111111111109</v>
      </c>
      <c r="Q116" s="906" t="s">
        <v>311</v>
      </c>
      <c r="R116" s="908"/>
    </row>
    <row r="117" spans="1:18" ht="27.75" customHeight="1">
      <c r="A117" s="924" t="s">
        <v>184</v>
      </c>
      <c r="B117" s="925"/>
      <c r="C117" s="926"/>
      <c r="D117" s="146" t="s">
        <v>183</v>
      </c>
      <c r="E117" s="95">
        <f>'17'!F117</f>
        <v>29115</v>
      </c>
      <c r="F117" s="237">
        <v>29395</v>
      </c>
      <c r="G117" s="432">
        <f t="shared" si="8"/>
        <v>280</v>
      </c>
      <c r="H117" s="99">
        <f>G117+'17'!H117</f>
        <v>4127</v>
      </c>
      <c r="I117" s="165"/>
      <c r="J117" s="328">
        <f>H117/DAY(B2)</f>
        <v>229.27777777777777</v>
      </c>
      <c r="Q117" s="906" t="s">
        <v>312</v>
      </c>
      <c r="R117" s="908"/>
    </row>
    <row r="118" spans="1:18" ht="27.75" customHeight="1">
      <c r="A118" s="901" t="s">
        <v>97</v>
      </c>
      <c r="B118" s="901"/>
      <c r="C118" s="901"/>
      <c r="D118" s="151" t="s">
        <v>183</v>
      </c>
      <c r="E118" s="95">
        <f>'17'!F118</f>
        <v>36456</v>
      </c>
      <c r="F118" s="237">
        <v>37106</v>
      </c>
      <c r="G118" s="432">
        <f t="shared" si="8"/>
        <v>650</v>
      </c>
      <c r="H118" s="99">
        <f>G118+'17'!H118</f>
        <v>10881</v>
      </c>
      <c r="I118" s="165"/>
      <c r="J118" s="328">
        <f>H118/DAY(B2)</f>
        <v>604.5</v>
      </c>
      <c r="Q118" s="906" t="s">
        <v>311</v>
      </c>
      <c r="R118" s="908"/>
    </row>
    <row r="119" spans="1:18" ht="27.75" customHeight="1">
      <c r="A119" s="901" t="s">
        <v>98</v>
      </c>
      <c r="B119" s="901"/>
      <c r="C119" s="901"/>
      <c r="D119" s="151" t="s">
        <v>183</v>
      </c>
      <c r="E119" s="95">
        <f>'17'!F119</f>
        <v>26298</v>
      </c>
      <c r="F119" s="237">
        <v>26745</v>
      </c>
      <c r="G119" s="432">
        <f t="shared" si="8"/>
        <v>447</v>
      </c>
      <c r="H119" s="99">
        <f>G119+'17'!H119</f>
        <v>7798</v>
      </c>
      <c r="I119" s="165"/>
      <c r="J119" s="328">
        <f>H119/DAY(B2)</f>
        <v>433.22222222222223</v>
      </c>
    </row>
    <row r="120" spans="1:18" ht="27.75" customHeight="1">
      <c r="A120" s="901" t="s">
        <v>99</v>
      </c>
      <c r="B120" s="901"/>
      <c r="C120" s="901"/>
      <c r="D120" s="151" t="s">
        <v>183</v>
      </c>
      <c r="E120" s="95">
        <f>'17'!F120</f>
        <v>27475</v>
      </c>
      <c r="F120" s="237">
        <v>27910</v>
      </c>
      <c r="G120" s="432">
        <f t="shared" si="8"/>
        <v>435</v>
      </c>
      <c r="H120" s="99">
        <f>G120+'17'!H120</f>
        <v>7860</v>
      </c>
      <c r="I120" s="165"/>
      <c r="J120" s="328">
        <f>H120/DAY(B2)</f>
        <v>436.66666666666669</v>
      </c>
    </row>
    <row r="121" spans="1:18" ht="27.75" customHeight="1">
      <c r="A121" s="901" t="s">
        <v>100</v>
      </c>
      <c r="B121" s="901"/>
      <c r="C121" s="901"/>
      <c r="D121" s="151" t="s">
        <v>183</v>
      </c>
      <c r="E121" s="95">
        <f>'17'!F121</f>
        <v>33727</v>
      </c>
      <c r="F121" s="237">
        <v>34188</v>
      </c>
      <c r="G121" s="432">
        <f t="shared" si="8"/>
        <v>461</v>
      </c>
      <c r="H121" s="99">
        <f>G121+'17'!H121</f>
        <v>8344</v>
      </c>
      <c r="I121" s="165"/>
      <c r="J121" s="328">
        <f>H121/DAY(B2)</f>
        <v>463.55555555555554</v>
      </c>
    </row>
    <row r="122" spans="1:18" ht="27.75" customHeight="1">
      <c r="A122" s="901" t="s">
        <v>101</v>
      </c>
      <c r="B122" s="901"/>
      <c r="C122" s="901"/>
      <c r="D122" s="151" t="s">
        <v>183</v>
      </c>
      <c r="E122" s="95">
        <f>'17'!F122</f>
        <v>16363</v>
      </c>
      <c r="F122" s="237">
        <v>16677</v>
      </c>
      <c r="G122" s="432">
        <f t="shared" si="8"/>
        <v>314</v>
      </c>
      <c r="H122" s="99">
        <f>G122+'17'!H122</f>
        <v>5517</v>
      </c>
      <c r="I122" s="165"/>
      <c r="J122" s="328">
        <f>H122/DAY(B2)</f>
        <v>306.5</v>
      </c>
    </row>
    <row r="123" spans="1:18" ht="27.75" customHeight="1">
      <c r="A123" s="901" t="s">
        <v>102</v>
      </c>
      <c r="B123" s="901"/>
      <c r="C123" s="901"/>
      <c r="D123" s="151" t="s">
        <v>183</v>
      </c>
      <c r="E123" s="95">
        <f>'17'!F123</f>
        <v>16276</v>
      </c>
      <c r="F123" s="237">
        <v>16590</v>
      </c>
      <c r="G123" s="432">
        <f t="shared" si="8"/>
        <v>314</v>
      </c>
      <c r="H123" s="99">
        <f>G123+'17'!H123</f>
        <v>6081</v>
      </c>
      <c r="I123" s="165"/>
      <c r="J123" s="328">
        <f>H123/DAY(B2)</f>
        <v>337.83333333333331</v>
      </c>
    </row>
    <row r="124" spans="1:18" ht="27.75" customHeight="1">
      <c r="A124" s="931"/>
      <c r="B124" s="932"/>
      <c r="C124" s="933"/>
      <c r="D124" s="165"/>
      <c r="E124" s="95">
        <f>'17'!F124</f>
        <v>0</v>
      </c>
      <c r="F124" s="165"/>
      <c r="G124" s="452"/>
      <c r="H124" s="99">
        <f>G124+'17'!H124</f>
        <v>0</v>
      </c>
      <c r="I124" s="165"/>
      <c r="J124" s="327"/>
    </row>
    <row r="125" spans="1:18" ht="27.75" customHeight="1">
      <c r="A125" s="934" t="s">
        <v>196</v>
      </c>
      <c r="B125" s="935"/>
      <c r="C125" s="245"/>
      <c r="D125" s="307"/>
      <c r="E125" s="308"/>
      <c r="F125" s="308"/>
      <c r="G125" s="453">
        <f>SUM(G112:G124)</f>
        <v>3886</v>
      </c>
      <c r="H125" s="156"/>
      <c r="I125" s="327">
        <f>G125-(G39+G53)</f>
        <v>728</v>
      </c>
      <c r="J125" s="327"/>
    </row>
    <row r="126" spans="1:18" ht="27.75" customHeight="1">
      <c r="A126" s="936" t="s">
        <v>317</v>
      </c>
      <c r="B126" s="936"/>
      <c r="C126" s="936"/>
      <c r="D126" s="936"/>
      <c r="E126" s="936"/>
      <c r="F126" s="936"/>
      <c r="G126" s="936"/>
      <c r="H126" s="936"/>
      <c r="I126" s="936"/>
      <c r="J126" s="936"/>
    </row>
    <row r="127" spans="1:18" ht="27.75" customHeight="1">
      <c r="A127" s="937"/>
      <c r="B127" s="937"/>
      <c r="C127" s="245"/>
      <c r="D127" s="307"/>
      <c r="E127" s="308"/>
      <c r="F127" s="308"/>
      <c r="G127" s="453"/>
      <c r="H127" s="99">
        <f>G127+'17'!H127</f>
        <v>0</v>
      </c>
      <c r="I127" s="165"/>
      <c r="J127" s="328">
        <f>H127/DAY(B2)</f>
        <v>0</v>
      </c>
    </row>
    <row r="128" spans="1:18" ht="27.75" customHeight="1">
      <c r="A128" s="906" t="s">
        <v>318</v>
      </c>
      <c r="B128" s="907"/>
      <c r="C128" s="908"/>
      <c r="D128" s="151" t="s">
        <v>183</v>
      </c>
      <c r="E128" s="95">
        <f>'17'!F128</f>
        <v>104688</v>
      </c>
      <c r="F128" s="165">
        <v>105235</v>
      </c>
      <c r="G128" s="432">
        <f t="shared" ref="G128:G134" si="9">F128-E128</f>
        <v>547</v>
      </c>
      <c r="H128" s="99">
        <f>G128+'17'!H128</f>
        <v>9520</v>
      </c>
      <c r="I128" s="165"/>
      <c r="J128" s="328">
        <f>H128/DAY(B2)</f>
        <v>528.88888888888891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'17'!F129</f>
        <v>64373</v>
      </c>
      <c r="F129" s="165">
        <v>64640</v>
      </c>
      <c r="G129" s="432">
        <f t="shared" si="9"/>
        <v>267</v>
      </c>
      <c r="H129" s="99">
        <f>G129+'17'!H129</f>
        <v>4347</v>
      </c>
      <c r="I129" s="165"/>
      <c r="J129" s="328">
        <f>H129/DAY(B2)</f>
        <v>241.5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'17'!F130</f>
        <v>131898</v>
      </c>
      <c r="F130" s="165">
        <v>132549</v>
      </c>
      <c r="G130" s="432">
        <f t="shared" si="9"/>
        <v>651</v>
      </c>
      <c r="H130" s="99">
        <f>G130+'17'!H130</f>
        <v>11420</v>
      </c>
      <c r="I130" s="165"/>
      <c r="J130" s="328">
        <f>H130/DAY(B2)</f>
        <v>634.44444444444446</v>
      </c>
      <c r="N130" s="240"/>
      <c r="O130" s="241"/>
    </row>
    <row r="131" spans="1:15" ht="27.75" customHeight="1">
      <c r="A131" s="906" t="s">
        <v>321</v>
      </c>
      <c r="B131" s="907"/>
      <c r="C131" s="908"/>
      <c r="D131" s="151" t="s">
        <v>183</v>
      </c>
      <c r="E131" s="95">
        <f>'17'!F131</f>
        <v>39790</v>
      </c>
      <c r="F131" s="158">
        <v>40007</v>
      </c>
      <c r="G131" s="432">
        <f t="shared" si="9"/>
        <v>217</v>
      </c>
      <c r="H131" s="99">
        <f>G131+'17'!H131</f>
        <v>3728</v>
      </c>
      <c r="I131" s="165"/>
      <c r="J131" s="328">
        <f>H131/DAY(B2)</f>
        <v>207.11111111111111</v>
      </c>
      <c r="N131" s="240"/>
      <c r="O131" s="241"/>
    </row>
    <row r="132" spans="1:15" ht="27.75" customHeight="1">
      <c r="A132" s="906" t="s">
        <v>322</v>
      </c>
      <c r="B132" s="907"/>
      <c r="C132" s="908"/>
      <c r="D132" s="151" t="s">
        <v>183</v>
      </c>
      <c r="E132" s="95">
        <f>'17'!F132</f>
        <v>110223</v>
      </c>
      <c r="F132" s="158">
        <v>110698</v>
      </c>
      <c r="G132" s="432">
        <f t="shared" si="9"/>
        <v>475</v>
      </c>
      <c r="H132" s="99">
        <f>G132+'17'!H132</f>
        <v>7186</v>
      </c>
      <c r="I132" s="165"/>
      <c r="J132" s="328">
        <f>H132/DAY(B2)</f>
        <v>399.22222222222223</v>
      </c>
    </row>
    <row r="133" spans="1:15" ht="27.75" customHeight="1">
      <c r="A133" s="906" t="s">
        <v>359</v>
      </c>
      <c r="B133" s="907"/>
      <c r="C133" s="908"/>
      <c r="D133" s="151" t="s">
        <v>183</v>
      </c>
      <c r="E133" s="95">
        <f>'17'!F133</f>
        <v>215135</v>
      </c>
      <c r="F133" s="165">
        <v>215763</v>
      </c>
      <c r="G133" s="432">
        <f t="shared" si="9"/>
        <v>628</v>
      </c>
      <c r="H133" s="99">
        <f>G133+'17'!H133</f>
        <v>14531</v>
      </c>
      <c r="I133" s="165"/>
      <c r="J133" s="328">
        <f>H133/DAY(B2)</f>
        <v>807.27777777777783</v>
      </c>
    </row>
    <row r="134" spans="1:15" ht="27.75" customHeight="1">
      <c r="A134" s="906" t="s">
        <v>340</v>
      </c>
      <c r="B134" s="907"/>
      <c r="C134" s="908"/>
      <c r="D134" s="151" t="s">
        <v>183</v>
      </c>
      <c r="E134" s="95">
        <f>'17'!F134</f>
        <v>39010</v>
      </c>
      <c r="F134" s="158">
        <v>39249</v>
      </c>
      <c r="G134" s="432">
        <f t="shared" si="9"/>
        <v>239</v>
      </c>
      <c r="H134" s="99">
        <f>G134+'17'!H134</f>
        <v>4354</v>
      </c>
      <c r="I134" s="165"/>
      <c r="J134" s="328">
        <f>H134/DAY(B2)</f>
        <v>241.88888888888889</v>
      </c>
    </row>
    <row r="135" spans="1:15" ht="27.75" customHeight="1">
      <c r="A135" s="934" t="s">
        <v>196</v>
      </c>
      <c r="B135" s="935"/>
      <c r="C135" s="331"/>
      <c r="D135" s="151"/>
      <c r="E135" s="95"/>
      <c r="F135" s="165"/>
      <c r="G135" s="432">
        <f>SUM(G128:G134)</f>
        <v>3024</v>
      </c>
      <c r="H135" s="99">
        <f>G135+'10'!H135</f>
        <v>33241.83</v>
      </c>
      <c r="I135" s="327">
        <f>G135-(G35+G49)</f>
        <v>-464</v>
      </c>
      <c r="J135" s="328"/>
    </row>
    <row r="136" spans="1:15" ht="27.75" customHeight="1">
      <c r="A136" s="938" t="s">
        <v>325</v>
      </c>
      <c r="B136" s="938"/>
      <c r="C136" s="938"/>
      <c r="D136" s="938"/>
      <c r="E136" s="938"/>
      <c r="F136" s="938"/>
      <c r="G136" s="938"/>
      <c r="H136" s="938"/>
      <c r="I136" s="938"/>
      <c r="J136" s="938"/>
    </row>
    <row r="137" spans="1:15" ht="27.75" customHeight="1">
      <c r="A137" s="245"/>
      <c r="B137" s="246"/>
      <c r="C137" s="246"/>
      <c r="D137" s="165"/>
      <c r="E137" s="165"/>
      <c r="F137" s="165"/>
      <c r="G137" s="452"/>
      <c r="H137" s="156"/>
      <c r="I137" s="165"/>
      <c r="J137" s="327"/>
    </row>
    <row r="138" spans="1:15" ht="27.75" customHeight="1">
      <c r="A138" s="901" t="s">
        <v>185</v>
      </c>
      <c r="B138" s="901"/>
      <c r="C138" s="901"/>
      <c r="D138" s="151" t="s">
        <v>183</v>
      </c>
      <c r="E138" s="95">
        <f>'17'!F138</f>
        <v>885598</v>
      </c>
      <c r="F138" s="147">
        <v>885732</v>
      </c>
      <c r="G138" s="432">
        <f t="shared" ref="G138:G152" si="10">F138-E138</f>
        <v>134</v>
      </c>
      <c r="H138" s="99">
        <f>G138+'17'!H138</f>
        <v>2454.2999999999993</v>
      </c>
      <c r="I138" s="118"/>
      <c r="J138" s="328">
        <f>H138/DAY(B2)</f>
        <v>136.34999999999997</v>
      </c>
    </row>
    <row r="139" spans="1:15" ht="27.75" customHeight="1">
      <c r="A139" s="901" t="s">
        <v>186</v>
      </c>
      <c r="B139" s="901"/>
      <c r="C139" s="901"/>
      <c r="D139" s="151" t="s">
        <v>183</v>
      </c>
      <c r="E139" s="95">
        <f>'17'!F139</f>
        <v>902055</v>
      </c>
      <c r="F139" s="148">
        <v>902204</v>
      </c>
      <c r="G139" s="432">
        <f t="shared" si="10"/>
        <v>149</v>
      </c>
      <c r="H139" s="99">
        <f>G139+'17'!H139</f>
        <v>2749</v>
      </c>
      <c r="I139" s="118"/>
      <c r="J139" s="328">
        <f>H139/DAY(B2)</f>
        <v>152.72222222222223</v>
      </c>
    </row>
    <row r="140" spans="1:15" ht="27.75" customHeight="1">
      <c r="A140" s="901" t="s">
        <v>187</v>
      </c>
      <c r="B140" s="901"/>
      <c r="C140" s="901"/>
      <c r="D140" s="151" t="s">
        <v>183</v>
      </c>
      <c r="E140" s="95">
        <f>'17'!F140</f>
        <v>858</v>
      </c>
      <c r="F140" s="149">
        <v>873</v>
      </c>
      <c r="G140" s="432">
        <f t="shared" si="10"/>
        <v>15</v>
      </c>
      <c r="H140" s="99">
        <f>G140+'17'!H140</f>
        <v>224.24</v>
      </c>
      <c r="I140" s="118"/>
      <c r="J140" s="328">
        <f>H140/DAY(B2)</f>
        <v>12.457777777777778</v>
      </c>
    </row>
    <row r="141" spans="1:15" ht="27.75" customHeight="1">
      <c r="A141" s="905" t="s">
        <v>188</v>
      </c>
      <c r="B141" s="905"/>
      <c r="C141" s="905"/>
      <c r="D141" s="151" t="s">
        <v>183</v>
      </c>
      <c r="E141" s="95">
        <f>'17'!F141</f>
        <v>81435</v>
      </c>
      <c r="F141" s="149">
        <v>81649</v>
      </c>
      <c r="G141" s="432">
        <f t="shared" si="10"/>
        <v>214</v>
      </c>
      <c r="H141" s="99">
        <f>G141+'17'!H141</f>
        <v>3697</v>
      </c>
      <c r="I141" s="118"/>
      <c r="J141" s="328">
        <f>H141/DAY(B2)</f>
        <v>205.38888888888889</v>
      </c>
    </row>
    <row r="142" spans="1:15" ht="27.75" customHeight="1">
      <c r="A142" s="905" t="s">
        <v>189</v>
      </c>
      <c r="B142" s="905"/>
      <c r="C142" s="905"/>
      <c r="D142" s="151" t="s">
        <v>183</v>
      </c>
      <c r="E142" s="95">
        <f>'17'!F142</f>
        <v>33103</v>
      </c>
      <c r="F142" s="148">
        <v>33248</v>
      </c>
      <c r="G142" s="432">
        <f t="shared" si="10"/>
        <v>145</v>
      </c>
      <c r="H142" s="99">
        <f>G142+'17'!H142</f>
        <v>2722</v>
      </c>
      <c r="I142" s="140"/>
      <c r="J142" s="328">
        <f>H142/DAY(B2)</f>
        <v>151.22222222222223</v>
      </c>
    </row>
    <row r="143" spans="1:15" ht="27.75" customHeight="1">
      <c r="A143" s="901" t="s">
        <v>91</v>
      </c>
      <c r="B143" s="901"/>
      <c r="C143" s="901"/>
      <c r="D143" s="151" t="s">
        <v>183</v>
      </c>
      <c r="E143" s="95">
        <f>'17'!F143</f>
        <v>7790</v>
      </c>
      <c r="F143" s="149">
        <v>7817</v>
      </c>
      <c r="G143" s="432">
        <f t="shared" si="10"/>
        <v>27</v>
      </c>
      <c r="H143" s="99">
        <f>G143+'17'!H143</f>
        <v>511</v>
      </c>
      <c r="I143" s="140"/>
      <c r="J143" s="328">
        <f>H143/DAY(B2)</f>
        <v>28.388888888888889</v>
      </c>
    </row>
    <row r="144" spans="1:15" ht="27.75" customHeight="1">
      <c r="A144" s="905" t="s">
        <v>90</v>
      </c>
      <c r="B144" s="905"/>
      <c r="C144" s="905"/>
      <c r="D144" s="151" t="s">
        <v>183</v>
      </c>
      <c r="E144" s="95">
        <f>'17'!F144</f>
        <v>909167</v>
      </c>
      <c r="F144" s="148">
        <v>909398</v>
      </c>
      <c r="G144" s="432">
        <f t="shared" si="10"/>
        <v>231</v>
      </c>
      <c r="H144" s="99">
        <f>G144+'17'!H144</f>
        <v>4345</v>
      </c>
      <c r="I144" s="140"/>
      <c r="J144" s="328">
        <f>H144/DAY(B2)</f>
        <v>241.38888888888889</v>
      </c>
    </row>
    <row r="145" spans="1:10" ht="27.75" customHeight="1">
      <c r="A145" s="901" t="s">
        <v>190</v>
      </c>
      <c r="B145" s="901"/>
      <c r="C145" s="901"/>
      <c r="D145" s="152" t="s">
        <v>183</v>
      </c>
      <c r="E145" s="95">
        <f>'17'!F145</f>
        <v>5665</v>
      </c>
      <c r="F145" s="149">
        <v>5665</v>
      </c>
      <c r="G145" s="432">
        <f t="shared" si="10"/>
        <v>0</v>
      </c>
      <c r="H145" s="99">
        <f>G145+'17'!H145</f>
        <v>1</v>
      </c>
      <c r="I145" s="140"/>
      <c r="J145" s="328">
        <f>H145/DAY(B2)</f>
        <v>5.5555555555555552E-2</v>
      </c>
    </row>
    <row r="146" spans="1:10" ht="27.75" customHeight="1">
      <c r="A146" s="902" t="s">
        <v>191</v>
      </c>
      <c r="B146" s="903"/>
      <c r="C146" s="904"/>
      <c r="D146" s="152" t="s">
        <v>183</v>
      </c>
      <c r="E146" s="95">
        <f>'17'!F146</f>
        <v>778722</v>
      </c>
      <c r="F146" s="148">
        <v>778767</v>
      </c>
      <c r="G146" s="432">
        <f t="shared" si="10"/>
        <v>45</v>
      </c>
      <c r="H146" s="99">
        <f>G146+'17'!H146</f>
        <v>899</v>
      </c>
      <c r="I146" s="140"/>
      <c r="J146" s="328">
        <f>H146/DAY(B2)</f>
        <v>49.944444444444443</v>
      </c>
    </row>
    <row r="147" spans="1:10" ht="27.75" customHeight="1">
      <c r="A147" s="905" t="s">
        <v>192</v>
      </c>
      <c r="B147" s="905"/>
      <c r="C147" s="905"/>
      <c r="D147" s="152" t="s">
        <v>183</v>
      </c>
      <c r="E147" s="95">
        <f>'17'!F147</f>
        <v>682458</v>
      </c>
      <c r="F147" s="148">
        <v>682888</v>
      </c>
      <c r="G147" s="432">
        <f t="shared" si="10"/>
        <v>430</v>
      </c>
      <c r="H147" s="99">
        <f>G147+'17'!H147</f>
        <v>7040</v>
      </c>
      <c r="I147" s="140"/>
      <c r="J147" s="328">
        <f>H147/DAY(B2)</f>
        <v>391.11111111111109</v>
      </c>
    </row>
    <row r="148" spans="1:10" ht="27.75" customHeight="1">
      <c r="A148" s="897" t="s">
        <v>193</v>
      </c>
      <c r="B148" s="898"/>
      <c r="C148" s="899"/>
      <c r="D148" s="123" t="s">
        <v>130</v>
      </c>
      <c r="E148" s="95">
        <f>'17'!F148</f>
        <v>734560</v>
      </c>
      <c r="F148" s="150">
        <v>734887</v>
      </c>
      <c r="G148" s="432">
        <f t="shared" si="10"/>
        <v>327</v>
      </c>
      <c r="H148" s="99">
        <f>G148+'17'!H148</f>
        <v>5142</v>
      </c>
      <c r="I148" s="124"/>
      <c r="J148" s="328">
        <f>H148/DAY(B2)</f>
        <v>285.66666666666669</v>
      </c>
    </row>
    <row r="149" spans="1:10" ht="27.75" customHeight="1">
      <c r="A149" s="897" t="s">
        <v>336</v>
      </c>
      <c r="B149" s="898"/>
      <c r="C149" s="899"/>
      <c r="D149" s="227" t="s">
        <v>130</v>
      </c>
      <c r="E149" s="95">
        <f>'17'!F149</f>
        <v>110354</v>
      </c>
      <c r="F149" s="416">
        <v>110848</v>
      </c>
      <c r="G149" s="432">
        <f t="shared" si="10"/>
        <v>494</v>
      </c>
      <c r="H149" s="99">
        <f>G149+'17'!H149</f>
        <v>9953</v>
      </c>
      <c r="I149" s="119"/>
      <c r="J149" s="328">
        <f>H149/DAY(B2)</f>
        <v>552.94444444444446</v>
      </c>
    </row>
    <row r="150" spans="1:10" ht="27.75" customHeight="1">
      <c r="A150" s="897" t="s">
        <v>337</v>
      </c>
      <c r="B150" s="898"/>
      <c r="C150" s="899"/>
      <c r="D150" s="117" t="s">
        <v>130</v>
      </c>
      <c r="E150" s="95">
        <f>'17'!F150</f>
        <v>40903</v>
      </c>
      <c r="F150" s="233">
        <v>41125</v>
      </c>
      <c r="G150" s="432">
        <f t="shared" si="10"/>
        <v>222</v>
      </c>
      <c r="H150" s="99">
        <f>G150+'17'!H150</f>
        <v>3909</v>
      </c>
      <c r="I150" s="119"/>
      <c r="J150" s="328">
        <f>H150/DAY(B2)</f>
        <v>217.16666666666666</v>
      </c>
    </row>
    <row r="151" spans="1:10" ht="27.75" customHeight="1">
      <c r="A151" s="897" t="s">
        <v>338</v>
      </c>
      <c r="B151" s="898"/>
      <c r="C151" s="899"/>
      <c r="D151" s="117" t="s">
        <v>130</v>
      </c>
      <c r="E151" s="95">
        <f>'17'!F151</f>
        <v>123011</v>
      </c>
      <c r="F151" s="233">
        <v>123298</v>
      </c>
      <c r="G151" s="432">
        <f t="shared" si="10"/>
        <v>287</v>
      </c>
      <c r="H151" s="99">
        <f>G151+'17'!H151</f>
        <v>5161</v>
      </c>
      <c r="I151" s="119"/>
      <c r="J151" s="328">
        <f>H151/DAY(B2)</f>
        <v>286.72222222222223</v>
      </c>
    </row>
    <row r="152" spans="1:10" ht="27.75" customHeight="1">
      <c r="A152" s="897" t="s">
        <v>339</v>
      </c>
      <c r="B152" s="898"/>
      <c r="C152" s="899"/>
      <c r="D152" s="117" t="s">
        <v>130</v>
      </c>
      <c r="E152" s="95">
        <f>'17'!F152</f>
        <v>17616</v>
      </c>
      <c r="F152" s="233">
        <v>17744</v>
      </c>
      <c r="G152" s="432">
        <f t="shared" si="10"/>
        <v>128</v>
      </c>
      <c r="H152" s="99">
        <f>G152+'17'!H152</f>
        <v>6588</v>
      </c>
      <c r="I152" s="119"/>
      <c r="J152" s="328">
        <f>H152/DAY(B2)</f>
        <v>366</v>
      </c>
    </row>
    <row r="153" spans="1:10" ht="27.75" customHeight="1">
      <c r="A153" s="934" t="s">
        <v>196</v>
      </c>
      <c r="B153" s="935"/>
      <c r="C153" s="365"/>
      <c r="D153" s="358"/>
      <c r="E153" s="360"/>
      <c r="F153" s="361"/>
      <c r="G153" s="454">
        <f>SUM(G138:G152)</f>
        <v>2848</v>
      </c>
      <c r="H153" s="363"/>
      <c r="I153" s="119">
        <f>G153-(G38+G52)</f>
        <v>451</v>
      </c>
      <c r="J153" s="366"/>
    </row>
    <row r="154" spans="1:10" ht="27.75" customHeight="1">
      <c r="A154" s="938" t="s">
        <v>344</v>
      </c>
      <c r="B154" s="938"/>
      <c r="C154" s="938"/>
      <c r="D154" s="938"/>
      <c r="E154" s="938"/>
      <c r="F154" s="938"/>
      <c r="G154" s="938"/>
      <c r="H154" s="938"/>
      <c r="I154" s="938"/>
      <c r="J154" s="938"/>
    </row>
    <row r="155" spans="1:10" ht="27.75" customHeight="1">
      <c r="A155" s="905" t="s">
        <v>345</v>
      </c>
      <c r="B155" s="905"/>
      <c r="C155" s="905"/>
      <c r="D155" s="117" t="s">
        <v>130</v>
      </c>
      <c r="E155" s="95">
        <f>'17'!F155</f>
        <v>122472</v>
      </c>
      <c r="F155" s="389">
        <v>123116</v>
      </c>
      <c r="G155" s="432">
        <f t="shared" ref="G155:G157" si="11">F155-E155</f>
        <v>644</v>
      </c>
      <c r="H155" s="99">
        <f>G155+'17'!H155</f>
        <v>11141</v>
      </c>
      <c r="I155" s="364"/>
      <c r="J155" s="328">
        <f>H155/DAY(B2)</f>
        <v>618.94444444444446</v>
      </c>
    </row>
    <row r="156" spans="1:10" ht="27.75" customHeight="1">
      <c r="A156" s="905" t="s">
        <v>347</v>
      </c>
      <c r="B156" s="905"/>
      <c r="C156" s="905"/>
      <c r="D156" s="117" t="s">
        <v>130</v>
      </c>
      <c r="E156" s="95">
        <f>'17'!F156</f>
        <v>10998</v>
      </c>
      <c r="F156" s="155">
        <v>11076</v>
      </c>
      <c r="G156" s="432">
        <f t="shared" si="11"/>
        <v>78</v>
      </c>
      <c r="H156" s="99">
        <f>G156+'17'!H156</f>
        <v>1391</v>
      </c>
      <c r="I156" s="165"/>
      <c r="J156" s="328">
        <f>H156/DAY(B2)</f>
        <v>77.277777777777771</v>
      </c>
    </row>
    <row r="157" spans="1:10" ht="27.75" customHeight="1">
      <c r="A157" s="897" t="s">
        <v>360</v>
      </c>
      <c r="B157" s="898"/>
      <c r="C157" s="899"/>
      <c r="D157" s="117" t="s">
        <v>130</v>
      </c>
      <c r="E157" s="95">
        <f>'17'!F157</f>
        <v>21026</v>
      </c>
      <c r="F157" s="155">
        <v>21208</v>
      </c>
      <c r="G157" s="432">
        <f t="shared" si="11"/>
        <v>182</v>
      </c>
      <c r="H157" s="99">
        <f>G157+'17'!H157</f>
        <v>3008</v>
      </c>
      <c r="I157" s="165"/>
      <c r="J157" s="328">
        <f>H157/DAY(B2)</f>
        <v>167.11111111111111</v>
      </c>
    </row>
    <row r="158" spans="1:10" ht="27.75" customHeight="1">
      <c r="A158" s="897" t="s">
        <v>361</v>
      </c>
      <c r="B158" s="898"/>
      <c r="C158" s="899"/>
      <c r="D158" s="117" t="s">
        <v>130</v>
      </c>
      <c r="E158" s="95">
        <f>'17'!F158</f>
        <v>190</v>
      </c>
      <c r="F158" s="155">
        <v>190</v>
      </c>
      <c r="G158" s="432">
        <f t="shared" ref="G158" si="12">F158-E158</f>
        <v>0</v>
      </c>
      <c r="H158" s="99">
        <f>G158+'17'!H158</f>
        <v>99.58</v>
      </c>
      <c r="I158" s="165"/>
      <c r="J158" s="328">
        <f>H158/DAY(B2)</f>
        <v>5.5322222222222219</v>
      </c>
    </row>
    <row r="159" spans="1:10" ht="27.75" customHeight="1">
      <c r="A159" s="956"/>
      <c r="B159" s="957"/>
      <c r="C159" s="958"/>
      <c r="D159" s="117"/>
      <c r="E159" s="95"/>
      <c r="F159" s="165"/>
      <c r="G159" s="432"/>
      <c r="H159" s="99"/>
      <c r="I159" s="165"/>
      <c r="J159" s="328"/>
    </row>
    <row r="160" spans="1:10" ht="27.75" customHeight="1">
      <c r="A160" s="938" t="s">
        <v>326</v>
      </c>
      <c r="B160" s="938"/>
      <c r="C160" s="938"/>
      <c r="D160" s="938"/>
      <c r="E160" s="938"/>
      <c r="F160" s="938"/>
      <c r="G160" s="938"/>
      <c r="H160" s="938"/>
      <c r="I160" s="938"/>
      <c r="J160" s="938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'17'!F161</f>
        <v>476666</v>
      </c>
      <c r="F161" s="235">
        <v>476669</v>
      </c>
      <c r="G161" s="455">
        <f t="shared" ref="G161:G165" si="13">F161-E161</f>
        <v>3</v>
      </c>
      <c r="H161" s="99">
        <f>G161+'17'!H161</f>
        <v>3</v>
      </c>
      <c r="I161" s="236"/>
      <c r="J161" s="239">
        <f>H161/DAY(B2)</f>
        <v>0.16666666666666666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'17'!F162</f>
        <v>93316</v>
      </c>
      <c r="F162" s="235">
        <v>93358</v>
      </c>
      <c r="G162" s="455">
        <f t="shared" si="13"/>
        <v>42</v>
      </c>
      <c r="H162" s="99">
        <f>G162+'17'!H162</f>
        <v>631</v>
      </c>
      <c r="I162" s="236"/>
      <c r="J162" s="239">
        <f>H162/DAY(B2)</f>
        <v>35.055555555555557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'17'!F163</f>
        <v>99910</v>
      </c>
      <c r="F163" s="235">
        <v>100071</v>
      </c>
      <c r="G163" s="455">
        <f t="shared" si="13"/>
        <v>161</v>
      </c>
      <c r="H163" s="99">
        <f>G163+'17'!H163</f>
        <v>2936</v>
      </c>
      <c r="I163" s="236"/>
      <c r="J163" s="239">
        <f>H163/DAY(B2)</f>
        <v>163.11111111111111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'17'!F164</f>
        <v>5736</v>
      </c>
      <c r="F164" s="235">
        <v>5747</v>
      </c>
      <c r="G164" s="455">
        <f t="shared" si="13"/>
        <v>11</v>
      </c>
      <c r="H164" s="99">
        <f>G164+'17'!H164</f>
        <v>205</v>
      </c>
      <c r="I164" s="236"/>
      <c r="J164" s="239">
        <f>H164/DAY(B2)</f>
        <v>11.388888888888889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'17'!F165</f>
        <v>31207</v>
      </c>
      <c r="F165" s="235">
        <v>31217</v>
      </c>
      <c r="G165" s="455">
        <f t="shared" si="13"/>
        <v>10</v>
      </c>
      <c r="H165" s="99">
        <f>G165+'17'!H165</f>
        <v>203</v>
      </c>
      <c r="I165" s="236"/>
      <c r="J165" s="239">
        <f>H165/DAY(B2)</f>
        <v>11.277777777777779</v>
      </c>
    </row>
    <row r="166" spans="1:10" ht="27.75" customHeight="1">
      <c r="A166" s="937"/>
      <c r="B166" s="937"/>
      <c r="C166" s="246"/>
      <c r="D166" s="244" t="s">
        <v>180</v>
      </c>
      <c r="E166" s="95">
        <f>'17'!F166</f>
        <v>0</v>
      </c>
      <c r="F166" s="165"/>
      <c r="G166" s="452"/>
      <c r="H166" s="99">
        <f>G166+'17'!H166</f>
        <v>0</v>
      </c>
      <c r="I166" s="165"/>
      <c r="J166" s="239">
        <f>H166/DAY(B2)</f>
        <v>0</v>
      </c>
    </row>
    <row r="167" spans="1:10" ht="27.75" customHeight="1">
      <c r="A167" s="937"/>
      <c r="B167" s="937"/>
      <c r="C167" s="246"/>
      <c r="D167" s="244" t="s">
        <v>180</v>
      </c>
      <c r="E167" s="95">
        <f>'17'!F167</f>
        <v>0</v>
      </c>
      <c r="F167" s="165"/>
      <c r="G167" s="452"/>
      <c r="H167" s="99">
        <f>G167+'17'!H167</f>
        <v>0</v>
      </c>
      <c r="I167" s="165"/>
      <c r="J167" s="239">
        <f>H167/DAY(B2)</f>
        <v>0</v>
      </c>
    </row>
    <row r="168" spans="1:10" ht="27.75" customHeight="1">
      <c r="A168" s="937"/>
      <c r="B168" s="937"/>
      <c r="C168" s="246"/>
      <c r="D168" s="244" t="s">
        <v>180</v>
      </c>
      <c r="E168" s="95">
        <f>'17'!F168</f>
        <v>0</v>
      </c>
      <c r="F168" s="165"/>
      <c r="G168" s="452"/>
      <c r="H168" s="99">
        <f>G168+'17'!H168</f>
        <v>0</v>
      </c>
      <c r="I168" s="165"/>
      <c r="J168" s="239">
        <f>H168/DAY(B2)</f>
        <v>0</v>
      </c>
    </row>
    <row r="171" spans="1:10" ht="27.75" customHeight="1">
      <c r="A171" s="947" t="s">
        <v>330</v>
      </c>
      <c r="B171" s="948"/>
      <c r="C171" s="948"/>
      <c r="D171" s="948"/>
      <c r="E171" s="948"/>
      <c r="F171" s="948"/>
      <c r="G171" s="948"/>
      <c r="H171" s="948"/>
      <c r="I171" s="948"/>
      <c r="J171" s="949"/>
    </row>
    <row r="172" spans="1:10" ht="27.75" customHeight="1">
      <c r="A172" s="943"/>
      <c r="B172" s="944"/>
      <c r="C172" s="332"/>
      <c r="D172" s="228"/>
      <c r="E172" s="155"/>
      <c r="F172" s="155"/>
      <c r="G172" s="456"/>
      <c r="H172" s="156"/>
      <c r="I172" s="155"/>
      <c r="J172" s="178"/>
    </row>
    <row r="173" spans="1:10" ht="27.75" customHeight="1">
      <c r="A173" s="895" t="s">
        <v>209</v>
      </c>
      <c r="B173" s="896"/>
      <c r="C173" s="333"/>
      <c r="D173" s="228" t="s">
        <v>142</v>
      </c>
      <c r="E173" s="95">
        <f>'17'!F173</f>
        <v>8276</v>
      </c>
      <c r="F173" s="155">
        <v>8276</v>
      </c>
      <c r="G173" s="456">
        <f>F173-E173</f>
        <v>0</v>
      </c>
      <c r="H173" s="99">
        <f>G173+'17'!H173</f>
        <v>12</v>
      </c>
      <c r="I173" s="155"/>
      <c r="J173" s="178">
        <f>H173/DAY(B2)</f>
        <v>0.66666666666666663</v>
      </c>
    </row>
    <row r="174" spans="1:10" ht="27.75" customHeight="1">
      <c r="A174" s="895" t="s">
        <v>75</v>
      </c>
      <c r="B174" s="896"/>
      <c r="C174" s="333"/>
      <c r="D174" s="228" t="s">
        <v>142</v>
      </c>
      <c r="E174" s="95">
        <f>'17'!F174</f>
        <v>40583</v>
      </c>
      <c r="F174" s="157">
        <v>40598</v>
      </c>
      <c r="G174" s="456">
        <f t="shared" ref="G174:G175" si="14">F174-E174</f>
        <v>15</v>
      </c>
      <c r="H174" s="99">
        <f>G174+'17'!H174</f>
        <v>266</v>
      </c>
      <c r="I174" s="155"/>
      <c r="J174" s="178">
        <f>H174/DAY(B2)</f>
        <v>14.777777777777779</v>
      </c>
    </row>
    <row r="175" spans="1:10" ht="27.75" customHeight="1">
      <c r="A175" s="895" t="s">
        <v>76</v>
      </c>
      <c r="B175" s="900"/>
      <c r="C175" s="896"/>
      <c r="D175" s="228" t="s">
        <v>142</v>
      </c>
      <c r="E175" s="95">
        <f>'17'!F175</f>
        <v>23501</v>
      </c>
      <c r="F175" s="155">
        <v>23515</v>
      </c>
      <c r="G175" s="456">
        <f t="shared" si="14"/>
        <v>14</v>
      </c>
      <c r="H175" s="99">
        <f>G175+'17'!H175</f>
        <v>257</v>
      </c>
      <c r="I175" s="155"/>
      <c r="J175" s="178">
        <f>H175/DAY(B2)</f>
        <v>14.277777777777779</v>
      </c>
    </row>
    <row r="176" spans="1:10" ht="27.75" customHeight="1">
      <c r="A176" s="934" t="s">
        <v>196</v>
      </c>
      <c r="B176" s="935"/>
      <c r="C176" s="401"/>
      <c r="D176" s="228" t="s">
        <v>142</v>
      </c>
      <c r="E176" s="95"/>
      <c r="F176" s="155"/>
      <c r="G176" s="456">
        <f>SUM(G173:G175)</f>
        <v>29</v>
      </c>
      <c r="H176" s="99">
        <f>G176+'17'!H176</f>
        <v>535</v>
      </c>
      <c r="I176" s="155"/>
      <c r="J176" s="178">
        <f>H176/DAY(B2)</f>
        <v>29.722222222222221</v>
      </c>
    </row>
    <row r="177" spans="1:11" ht="27.75" customHeight="1">
      <c r="A177" s="895" t="s">
        <v>77</v>
      </c>
      <c r="B177" s="896"/>
      <c r="C177" s="333"/>
      <c r="D177" s="228" t="s">
        <v>142</v>
      </c>
      <c r="E177" s="95"/>
      <c r="F177" s="155"/>
      <c r="G177" s="456"/>
      <c r="H177" s="99">
        <f>G177+'17'!H177</f>
        <v>0</v>
      </c>
      <c r="I177" s="155"/>
      <c r="J177" s="178">
        <f>H177/DAY(B2)</f>
        <v>0</v>
      </c>
    </row>
    <row r="178" spans="1:11" ht="27.75" customHeight="1">
      <c r="A178" s="895" t="s">
        <v>210</v>
      </c>
      <c r="B178" s="896"/>
      <c r="C178" s="333"/>
      <c r="D178" s="228" t="s">
        <v>142</v>
      </c>
      <c r="E178" s="95">
        <f>'17'!F178</f>
        <v>93614</v>
      </c>
      <c r="F178" s="155">
        <v>93722</v>
      </c>
      <c r="G178" s="456">
        <f>F178-E178</f>
        <v>108</v>
      </c>
      <c r="H178" s="99">
        <f>G178+'17'!H178</f>
        <v>1900</v>
      </c>
      <c r="I178" s="155"/>
      <c r="J178" s="178">
        <f>H178/DAY(B2)</f>
        <v>105.55555555555556</v>
      </c>
    </row>
    <row r="179" spans="1:11" ht="27.75" customHeight="1">
      <c r="A179" s="895" t="s">
        <v>211</v>
      </c>
      <c r="B179" s="896"/>
      <c r="C179" s="333"/>
      <c r="D179" s="228" t="s">
        <v>142</v>
      </c>
      <c r="E179" s="95">
        <f>'17'!F179</f>
        <v>36002</v>
      </c>
      <c r="F179" s="155">
        <v>36002</v>
      </c>
      <c r="G179" s="456">
        <f t="shared" ref="G179:G180" si="15">F179-E179</f>
        <v>0</v>
      </c>
      <c r="H179" s="99">
        <f>G179+'17'!H179</f>
        <v>218</v>
      </c>
      <c r="I179" s="155"/>
      <c r="J179" s="178">
        <f>H179/DAY(B2)</f>
        <v>12.111111111111111</v>
      </c>
    </row>
    <row r="180" spans="1:11" ht="27.75" customHeight="1">
      <c r="A180" s="895" t="s">
        <v>212</v>
      </c>
      <c r="B180" s="896"/>
      <c r="C180" s="333"/>
      <c r="D180" s="228" t="s">
        <v>142</v>
      </c>
      <c r="E180" s="95">
        <f>'17'!F180</f>
        <v>6811</v>
      </c>
      <c r="F180" s="155">
        <v>6814</v>
      </c>
      <c r="G180" s="456">
        <f t="shared" si="15"/>
        <v>3</v>
      </c>
      <c r="H180" s="99">
        <f>G180+'17'!H180</f>
        <v>144</v>
      </c>
      <c r="I180" s="155"/>
      <c r="J180" s="178">
        <f>H180/DAY(B2)</f>
        <v>8</v>
      </c>
    </row>
    <row r="181" spans="1:11" ht="27.75" customHeight="1">
      <c r="A181" s="941" t="s">
        <v>108</v>
      </c>
      <c r="B181" s="942"/>
      <c r="C181" s="401"/>
      <c r="D181" s="228" t="s">
        <v>142</v>
      </c>
      <c r="E181" s="95"/>
      <c r="F181" s="155"/>
      <c r="G181" s="456">
        <f>SUM(G178:G180)</f>
        <v>111</v>
      </c>
      <c r="H181" s="99">
        <f>G181+'17'!H181</f>
        <v>2262</v>
      </c>
      <c r="I181" s="155"/>
      <c r="J181" s="178">
        <f>H181/DAY(B2)</f>
        <v>125.66666666666667</v>
      </c>
    </row>
    <row r="182" spans="1:11" ht="27.75" customHeight="1">
      <c r="A182" s="895" t="s">
        <v>213</v>
      </c>
      <c r="B182" s="896"/>
      <c r="C182" s="333"/>
      <c r="D182" s="228" t="s">
        <v>142</v>
      </c>
      <c r="E182" s="95"/>
      <c r="F182" s="155"/>
      <c r="G182" s="456"/>
      <c r="H182" s="99">
        <f>G182+'17'!H182</f>
        <v>0</v>
      </c>
      <c r="I182" s="155"/>
      <c r="J182" s="178">
        <f>H182/DAY(B2)</f>
        <v>0</v>
      </c>
    </row>
    <row r="183" spans="1:11" ht="27.75" customHeight="1">
      <c r="A183" s="895" t="s">
        <v>214</v>
      </c>
      <c r="B183" s="896"/>
      <c r="C183" s="334"/>
      <c r="D183" s="228" t="s">
        <v>142</v>
      </c>
      <c r="E183" s="95">
        <f>'17'!F183</f>
        <v>17182</v>
      </c>
      <c r="F183" s="157">
        <v>17192</v>
      </c>
      <c r="G183" s="457">
        <f>F183-E183</f>
        <v>10</v>
      </c>
      <c r="H183" s="99">
        <f>G183+'17'!H183</f>
        <v>237</v>
      </c>
      <c r="I183" s="155"/>
      <c r="J183" s="178">
        <f>H183/DAY(B2)</f>
        <v>13.166666666666666</v>
      </c>
    </row>
    <row r="184" spans="1:11" ht="27.75" customHeight="1">
      <c r="A184" s="895" t="s">
        <v>215</v>
      </c>
      <c r="B184" s="896"/>
      <c r="C184" s="334"/>
      <c r="D184" s="228" t="s">
        <v>142</v>
      </c>
      <c r="E184" s="95">
        <f>'17'!F184</f>
        <v>11602</v>
      </c>
      <c r="F184" s="157">
        <v>11608</v>
      </c>
      <c r="G184" s="457">
        <f t="shared" ref="G184:G185" si="16">F184-E184</f>
        <v>6</v>
      </c>
      <c r="H184" s="99">
        <f>G184+'17'!H184</f>
        <v>122</v>
      </c>
      <c r="I184" s="155"/>
      <c r="J184" s="178">
        <f>H184/DAY(B2)</f>
        <v>6.7777777777777777</v>
      </c>
    </row>
    <row r="185" spans="1:11" ht="27.75" customHeight="1">
      <c r="A185" s="895" t="s">
        <v>216</v>
      </c>
      <c r="B185" s="896"/>
      <c r="C185" s="334"/>
      <c r="D185" s="228" t="s">
        <v>142</v>
      </c>
      <c r="E185" s="95">
        <f>'17'!F185</f>
        <v>0</v>
      </c>
      <c r="F185" s="157"/>
      <c r="G185" s="457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>
      <c r="A186" s="934" t="s">
        <v>196</v>
      </c>
      <c r="B186" s="935"/>
      <c r="C186" s="400"/>
      <c r="D186" s="228" t="s">
        <v>142</v>
      </c>
      <c r="E186" s="95"/>
      <c r="F186" s="157"/>
      <c r="G186" s="457">
        <f>SUM(G183:G185)</f>
        <v>16</v>
      </c>
      <c r="H186" s="99">
        <f>G186+'17'!H186</f>
        <v>359</v>
      </c>
      <c r="I186" s="157"/>
      <c r="J186" s="178">
        <f>H186/DAY(B2)</f>
        <v>19.944444444444443</v>
      </c>
    </row>
    <row r="187" spans="1:11" ht="27.75" customHeight="1">
      <c r="A187" s="945" t="s">
        <v>217</v>
      </c>
      <c r="B187" s="946"/>
      <c r="C187" s="333"/>
      <c r="D187" s="230" t="s">
        <v>142</v>
      </c>
      <c r="E187" s="95"/>
      <c r="F187" s="159"/>
      <c r="G187" s="458">
        <f>G62+G19</f>
        <v>170</v>
      </c>
      <c r="H187" s="99">
        <f>G187+'17'!H187</f>
        <v>3520</v>
      </c>
      <c r="I187" s="158"/>
      <c r="J187" s="179">
        <f>H187/DAY(B2)</f>
        <v>195.55555555555554</v>
      </c>
    </row>
    <row r="188" spans="1:11" ht="27.75" customHeight="1">
      <c r="A188" s="945" t="s">
        <v>218</v>
      </c>
      <c r="B188" s="946"/>
      <c r="C188" s="333"/>
      <c r="D188" s="230" t="s">
        <v>142</v>
      </c>
      <c r="E188" s="95"/>
      <c r="F188" s="159"/>
      <c r="G188" s="458">
        <f>G65+G66+G67+G69+G70</f>
        <v>152</v>
      </c>
      <c r="H188" s="99">
        <f>G188+'17'!H188</f>
        <v>614</v>
      </c>
      <c r="I188" s="158"/>
      <c r="J188" s="179">
        <f>H188/DAY(B2)</f>
        <v>34.111111111111114</v>
      </c>
    </row>
    <row r="189" spans="1:11" ht="27.75" customHeight="1">
      <c r="A189" s="945" t="s">
        <v>219</v>
      </c>
      <c r="B189" s="946"/>
      <c r="C189" s="333"/>
      <c r="D189" s="230" t="s">
        <v>142</v>
      </c>
      <c r="E189" s="95"/>
      <c r="F189" s="157"/>
      <c r="G189" s="458">
        <f>G181</f>
        <v>111</v>
      </c>
      <c r="H189" s="99">
        <f>G189+'17'!H189</f>
        <v>2262</v>
      </c>
      <c r="I189" s="158"/>
      <c r="J189" s="179">
        <f>H189/DAY(B2)</f>
        <v>125.66666666666667</v>
      </c>
    </row>
    <row r="190" spans="1:11" ht="23.25" customHeight="1">
      <c r="A190" s="245"/>
      <c r="B190" s="246"/>
      <c r="C190" s="246"/>
      <c r="D190" s="165"/>
      <c r="E190" s="165"/>
      <c r="F190" s="155"/>
      <c r="G190" s="452"/>
      <c r="H190" s="238"/>
      <c r="I190" s="99"/>
      <c r="J190" s="236"/>
      <c r="K190" s="239" t="e">
        <f>I190/DAY(C27)</f>
        <v>#DIV/0!</v>
      </c>
    </row>
  </sheetData>
  <mergeCells count="114"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topLeftCell="A133" zoomScale="55" zoomScaleNormal="40" zoomScaleSheetLayoutView="55" zoomScalePageLayoutView="60" workbookViewId="0">
      <selection activeCell="E7" sqref="E7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4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6" t="s">
        <v>115</v>
      </c>
      <c r="B1" s="877"/>
      <c r="C1" s="877"/>
      <c r="D1" s="877"/>
      <c r="E1" s="877"/>
      <c r="F1" s="877"/>
      <c r="G1" s="877"/>
      <c r="H1" s="877"/>
      <c r="I1" s="877"/>
      <c r="J1" s="878"/>
    </row>
    <row r="2" spans="1:15" s="57" customFormat="1" ht="23.25">
      <c r="A2" s="191" t="s">
        <v>355</v>
      </c>
      <c r="B2" s="262">
        <v>44731</v>
      </c>
      <c r="C2" s="348" t="s">
        <v>67</v>
      </c>
      <c r="D2" s="218">
        <v>0.94</v>
      </c>
      <c r="E2" s="100"/>
      <c r="F2" s="100"/>
      <c r="G2" s="471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885" t="s">
        <v>119</v>
      </c>
      <c r="F3" s="886"/>
      <c r="G3" s="472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472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3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9" t="s">
        <v>128</v>
      </c>
      <c r="B6" s="880"/>
      <c r="C6" s="881"/>
      <c r="D6" s="110"/>
      <c r="E6" s="110"/>
      <c r="F6" s="110"/>
      <c r="G6" s="474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'18 '!F7</f>
        <v>196095</v>
      </c>
      <c r="F7" s="95">
        <v>224815</v>
      </c>
      <c r="G7" s="475">
        <f>F7-E7</f>
        <v>28720</v>
      </c>
      <c r="H7" s="99">
        <f>G7+'18 '!H7</f>
        <v>531988</v>
      </c>
      <c r="I7" s="113">
        <f>'1'!I7</f>
        <v>12000</v>
      </c>
      <c r="J7" s="175">
        <f>H7/DAY(B2)</f>
        <v>27999.36842105263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'18 '!F8</f>
        <v>329781</v>
      </c>
      <c r="F8" s="114">
        <v>358849</v>
      </c>
      <c r="G8" s="476">
        <f>F8-E8</f>
        <v>29068</v>
      </c>
      <c r="H8" s="99">
        <f>G8+'18 '!H8</f>
        <v>550190.10000000009</v>
      </c>
      <c r="I8" s="116"/>
      <c r="J8" s="175">
        <f>H8/DAY(B2)</f>
        <v>28957.373684210532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'18 '!F9</f>
        <v>2741072</v>
      </c>
      <c r="F9" s="469">
        <v>2761210</v>
      </c>
      <c r="G9" s="475">
        <f>F9-E9</f>
        <v>20138</v>
      </c>
      <c r="H9" s="99">
        <f>G9+'18 '!H9</f>
        <v>311101.29999999981</v>
      </c>
      <c r="I9" s="124">
        <f>I7-J7</f>
        <v>-15999.36842105263</v>
      </c>
      <c r="J9" s="175">
        <f>H9/DAY(B2)</f>
        <v>16373.752631578938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'18 '!F10</f>
        <v>1093803</v>
      </c>
      <c r="F10" s="353">
        <v>1101605</v>
      </c>
      <c r="G10" s="475">
        <f t="shared" ref="G10:G12" si="0">F10-E10</f>
        <v>7802</v>
      </c>
      <c r="H10" s="99">
        <f>G10+'18 '!H10</f>
        <v>191201.80000000005</v>
      </c>
      <c r="I10" s="282"/>
      <c r="J10" s="175">
        <f>H10/DAY(B2)</f>
        <v>10063.252631578949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'18 '!F11</f>
        <v>37560</v>
      </c>
      <c r="F11" s="95">
        <v>37560</v>
      </c>
      <c r="G11" s="475">
        <f t="shared" si="0"/>
        <v>0</v>
      </c>
      <c r="H11" s="99">
        <f>G11+'18 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'18 '!F12</f>
        <v>40380</v>
      </c>
      <c r="F12" s="117">
        <v>40380</v>
      </c>
      <c r="G12" s="475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77">
        <f>G9+G10+G11+G12</f>
        <v>27940</v>
      </c>
      <c r="H13" s="99">
        <f>G13+'18 '!H13</f>
        <v>502164.09999999986</v>
      </c>
      <c r="I13" s="120">
        <f>G7-G13</f>
        <v>780</v>
      </c>
      <c r="J13" s="175">
        <f>H13/DAY(B2)</f>
        <v>26429.689473684204</v>
      </c>
      <c r="K13" s="79"/>
      <c r="L13" s="66"/>
      <c r="N13" s="87"/>
      <c r="O13" s="71"/>
    </row>
    <row r="14" spans="1:15" ht="26.25">
      <c r="A14" s="882" t="s">
        <v>137</v>
      </c>
      <c r="B14" s="883"/>
      <c r="C14" s="884"/>
      <c r="D14" s="111"/>
      <c r="E14" s="111"/>
      <c r="F14" s="111"/>
      <c r="G14" s="478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'18 '!F15</f>
        <v>2056156</v>
      </c>
      <c r="F15" s="469">
        <v>2057203</v>
      </c>
      <c r="G15" s="475">
        <f>(F15-E15)</f>
        <v>1047</v>
      </c>
      <c r="H15" s="99">
        <f>G15+'18 '!H15</f>
        <v>20086</v>
      </c>
      <c r="I15" s="113">
        <f>'1'!I15</f>
        <v>800</v>
      </c>
      <c r="J15" s="175">
        <f>H15/DAY(B2)</f>
        <v>1057.1578947368421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75" t="s">
        <v>207</v>
      </c>
      <c r="H16" s="124"/>
      <c r="I16" s="120">
        <f>I15-J15</f>
        <v>-257.15789473684208</v>
      </c>
      <c r="J16" s="176"/>
      <c r="K16" s="79"/>
      <c r="L16" s="66"/>
      <c r="N16" s="87"/>
      <c r="O16" s="71"/>
    </row>
    <row r="17" spans="1:15" ht="26.25">
      <c r="A17" s="882" t="s">
        <v>140</v>
      </c>
      <c r="B17" s="883"/>
      <c r="C17" s="884"/>
      <c r="D17" s="111"/>
      <c r="E17" s="111"/>
      <c r="F17" s="111"/>
      <c r="G17" s="478"/>
      <c r="H17" s="111"/>
      <c r="I17" s="111"/>
      <c r="J17" s="174"/>
      <c r="K17" s="79"/>
      <c r="L17" s="66"/>
      <c r="N17" s="87"/>
      <c r="O17" s="71"/>
    </row>
    <row r="18" spans="1:15" ht="25.5">
      <c r="A18" s="873" t="s">
        <v>141</v>
      </c>
      <c r="B18" s="874"/>
      <c r="C18" s="875"/>
      <c r="D18" s="151" t="s">
        <v>142</v>
      </c>
      <c r="E18" s="95">
        <f>'18 '!F18</f>
        <v>18</v>
      </c>
      <c r="F18" s="122">
        <v>16</v>
      </c>
      <c r="G18" s="477">
        <f>F18*10</f>
        <v>160</v>
      </c>
      <c r="H18" s="99">
        <f>G18+'18 '!H18</f>
        <v>4230</v>
      </c>
      <c r="I18" s="113">
        <f>'1'!I18</f>
        <v>65</v>
      </c>
      <c r="J18" s="175">
        <f>H18/DAY(B2)</f>
        <v>222.63157894736841</v>
      </c>
      <c r="K18" s="79"/>
      <c r="L18" s="66"/>
      <c r="N18" s="87"/>
      <c r="O18" s="71"/>
    </row>
    <row r="19" spans="1:15" ht="25.5">
      <c r="A19" s="873" t="s">
        <v>69</v>
      </c>
      <c r="B19" s="874"/>
      <c r="C19" s="875"/>
      <c r="D19" s="151" t="s">
        <v>142</v>
      </c>
      <c r="E19" s="95">
        <f>'18 '!F19</f>
        <v>161040</v>
      </c>
      <c r="F19" s="612">
        <v>161092</v>
      </c>
      <c r="G19" s="475">
        <f t="shared" ref="G19" si="1">F19-E19</f>
        <v>52</v>
      </c>
      <c r="H19" s="99">
        <f>G19+'18 '!H19</f>
        <v>982</v>
      </c>
      <c r="I19" s="335"/>
      <c r="J19" s="175">
        <f>H19/DAY(B2)</f>
        <v>51.684210526315788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79">
        <f>G18+G19</f>
        <v>212</v>
      </c>
      <c r="H20" s="99">
        <f>G20+'18 '!H20</f>
        <v>5212</v>
      </c>
      <c r="I20" s="336">
        <f>I18-J20</f>
        <v>-209.31578947368422</v>
      </c>
      <c r="J20" s="175">
        <f>H20/DAY(B2)</f>
        <v>274.31578947368422</v>
      </c>
      <c r="K20" s="79"/>
      <c r="L20" s="66"/>
      <c r="N20" s="87"/>
      <c r="O20" s="71"/>
    </row>
    <row r="21" spans="1:15" ht="26.25">
      <c r="A21" s="882" t="s">
        <v>144</v>
      </c>
      <c r="B21" s="883"/>
      <c r="C21" s="884"/>
      <c r="D21" s="111"/>
      <c r="E21" s="111"/>
      <c r="F21" s="111"/>
      <c r="G21" s="478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477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'18 '!F23</f>
        <v>1500</v>
      </c>
      <c r="F23" s="122">
        <v>1500</v>
      </c>
      <c r="G23" s="477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'18 '!F24</f>
        <v>4470</v>
      </c>
      <c r="F24" s="128">
        <v>4470</v>
      </c>
      <c r="G24" s="477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7" t="s">
        <v>149</v>
      </c>
      <c r="B25" s="888"/>
      <c r="C25" s="889"/>
      <c r="D25" s="110"/>
      <c r="E25" s="110"/>
      <c r="F25" s="110"/>
      <c r="G25" s="480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81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29068</v>
      </c>
      <c r="F27" s="136">
        <v>9</v>
      </c>
      <c r="G27" s="482">
        <f>E27*F27</f>
        <v>261612</v>
      </c>
      <c r="H27" s="99">
        <f>G27+'18 '!H27</f>
        <v>4951710.9000000004</v>
      </c>
      <c r="I27" s="138"/>
      <c r="J27" s="175">
        <f>H27/DAY(B2)</f>
        <v>260616.36315789475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1047</v>
      </c>
      <c r="F28" s="136">
        <v>70</v>
      </c>
      <c r="G28" s="482">
        <f>E28*F28</f>
        <v>73290</v>
      </c>
      <c r="H28" s="99">
        <f>G28+'18 '!H28</f>
        <v>1351462</v>
      </c>
      <c r="I28" s="140"/>
      <c r="J28" s="175">
        <f>H28/DAY(B2)</f>
        <v>71129.578947368427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2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482">
        <f>E30*F30</f>
        <v>7852</v>
      </c>
      <c r="H30" s="99">
        <f>G30+'18 '!H30</f>
        <v>147532</v>
      </c>
      <c r="I30" s="140"/>
      <c r="J30" s="175">
        <f>H30/DAY(B2)</f>
        <v>7764.8421052631575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482">
        <f>E31*F31</f>
        <v>12800</v>
      </c>
      <c r="H31" s="99">
        <f>G31+'18 '!H31</f>
        <v>338400</v>
      </c>
      <c r="I31" s="140"/>
      <c r="J31" s="175">
        <f>H31/DAY(B2)</f>
        <v>17810.526315789473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83">
        <f>G27+G28+G29+G30+G31</f>
        <v>355554</v>
      </c>
      <c r="H32" s="99">
        <f>G32+'18 '!H32</f>
        <v>6789104.9000000004</v>
      </c>
      <c r="I32" s="144"/>
      <c r="J32" s="175">
        <f>H32/DAY(B2)</f>
        <v>357321.31052631582</v>
      </c>
      <c r="K32" s="63"/>
      <c r="L32" s="89"/>
      <c r="N32" s="87"/>
      <c r="O32" s="71"/>
    </row>
    <row r="33" spans="1:15" ht="25.5" customHeight="1">
      <c r="A33" s="890" t="s">
        <v>331</v>
      </c>
      <c r="B33" s="891"/>
      <c r="C33" s="891"/>
      <c r="D33" s="337"/>
      <c r="E33" s="337"/>
      <c r="F33" s="337"/>
      <c r="G33" s="484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85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'18 '!F35</f>
        <v>238714</v>
      </c>
      <c r="F35" s="145">
        <v>238714</v>
      </c>
      <c r="G35" s="475">
        <f t="shared" ref="G35:G46" si="3">F35-E35</f>
        <v>0</v>
      </c>
      <c r="H35" s="99">
        <f>G35+'18 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'18 '!F36</f>
        <v>176096</v>
      </c>
      <c r="F36" s="145">
        <v>177417</v>
      </c>
      <c r="G36" s="475">
        <f t="shared" si="3"/>
        <v>1321</v>
      </c>
      <c r="H36" s="99">
        <f>G36+'18 '!H36</f>
        <v>16969</v>
      </c>
      <c r="I36" s="95"/>
      <c r="J36" s="175">
        <f>H36/DAY(B2)</f>
        <v>893.10526315789468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'18 '!F37</f>
        <v>267067</v>
      </c>
      <c r="F37" s="145">
        <v>268801</v>
      </c>
      <c r="G37" s="475">
        <f t="shared" si="3"/>
        <v>1734</v>
      </c>
      <c r="H37" s="99">
        <f>G37+'18 '!H37</f>
        <v>33022</v>
      </c>
      <c r="I37" s="95"/>
      <c r="J37" s="175">
        <f>H37/DAY(B2)</f>
        <v>1738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'18 '!F38</f>
        <v>359873</v>
      </c>
      <c r="F38" s="108">
        <v>362215</v>
      </c>
      <c r="G38" s="475">
        <f t="shared" si="3"/>
        <v>2342</v>
      </c>
      <c r="H38" s="99">
        <f>G38+'18 '!H38</f>
        <v>43923</v>
      </c>
      <c r="I38" s="95"/>
      <c r="J38" s="175">
        <f>H38/DAY(B2)</f>
        <v>2311.7368421052633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'18 '!F39</f>
        <v>487086</v>
      </c>
      <c r="F39" s="145">
        <v>490261</v>
      </c>
      <c r="G39" s="475">
        <f t="shared" si="3"/>
        <v>3175</v>
      </c>
      <c r="H39" s="99">
        <f>G39+'18 '!H39</f>
        <v>54931.090000000026</v>
      </c>
      <c r="I39" s="95"/>
      <c r="J39" s="175">
        <f>H39/DAY(B2)</f>
        <v>2891.1100000000015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'18 '!F40</f>
        <v>78998</v>
      </c>
      <c r="F40" s="418">
        <v>79325</v>
      </c>
      <c r="G40" s="475">
        <f t="shared" si="3"/>
        <v>327</v>
      </c>
      <c r="H40" s="99">
        <f>G40+'18 '!H40</f>
        <v>5772</v>
      </c>
      <c r="I40" s="95"/>
      <c r="J40" s="175">
        <f>H40/DAY(B2)</f>
        <v>303.78947368421052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'18 '!F41</f>
        <v>120664</v>
      </c>
      <c r="F41" s="145">
        <v>126681</v>
      </c>
      <c r="G41" s="475">
        <f t="shared" si="3"/>
        <v>6017</v>
      </c>
      <c r="H41" s="99">
        <f>G41+'18 '!H41</f>
        <v>57846</v>
      </c>
      <c r="I41" s="95"/>
      <c r="J41" s="175">
        <f>H41/DAY(B2)</f>
        <v>3044.5263157894738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'18 '!F42</f>
        <v>643374</v>
      </c>
      <c r="F42" s="145">
        <v>647711</v>
      </c>
      <c r="G42" s="475">
        <f t="shared" si="3"/>
        <v>4337</v>
      </c>
      <c r="H42" s="99">
        <f>G42+'18 '!H42</f>
        <v>84839</v>
      </c>
      <c r="I42" s="95"/>
      <c r="J42" s="175">
        <f>H42/DAY(B2)</f>
        <v>4465.2105263157891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'18 '!F43</f>
        <v>407028</v>
      </c>
      <c r="F43" s="145">
        <v>407028</v>
      </c>
      <c r="G43" s="475">
        <f t="shared" si="3"/>
        <v>0</v>
      </c>
      <c r="H43" s="99">
        <f>G43+'18 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475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475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475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77">
        <f>G35+G36+G37+G38+G39+G40+G41+G42+G43+G44+G45+G46</f>
        <v>19253</v>
      </c>
      <c r="H47" s="99">
        <f>G47+'18 '!H47</f>
        <v>297302.09000000003</v>
      </c>
      <c r="I47" s="95"/>
      <c r="J47" s="175">
        <f>H47/DAY(B2)</f>
        <v>15647.478421052632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85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'18 '!F49</f>
        <v>324717</v>
      </c>
      <c r="F49" s="145">
        <v>328274</v>
      </c>
      <c r="G49" s="475">
        <f t="shared" ref="G49:G58" si="4">F49-E49</f>
        <v>3557</v>
      </c>
      <c r="H49" s="99">
        <f>G49+'18 '!H49</f>
        <v>68127</v>
      </c>
      <c r="I49" s="95"/>
      <c r="J49" s="175">
        <f>H49/DAY(B2)</f>
        <v>3585.6315789473683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'18 '!F50</f>
        <v>229995</v>
      </c>
      <c r="F50" s="145">
        <v>230953</v>
      </c>
      <c r="G50" s="475">
        <f t="shared" si="4"/>
        <v>958</v>
      </c>
      <c r="H50" s="99">
        <f>G50+'18 '!H50</f>
        <v>21389</v>
      </c>
      <c r="I50" s="95"/>
      <c r="J50" s="175">
        <f>H50/DAY(B2)</f>
        <v>1125.7368421052631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'18 '!F51</f>
        <v>76</v>
      </c>
      <c r="F51" s="145">
        <v>76</v>
      </c>
      <c r="G51" s="475">
        <f t="shared" si="4"/>
        <v>0</v>
      </c>
      <c r="H51" s="99">
        <f>G51+'18 '!H51</f>
        <v>0.31999999999999318</v>
      </c>
      <c r="I51" s="95"/>
      <c r="J51" s="175">
        <f>H51/DAY(B2)</f>
        <v>1.6842105263157537E-2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'18 '!F52</f>
        <v>10</v>
      </c>
      <c r="F52" s="145">
        <v>10</v>
      </c>
      <c r="G52" s="475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475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'18 '!F54</f>
        <v>72761</v>
      </c>
      <c r="F54" s="145">
        <v>73128</v>
      </c>
      <c r="G54" s="475">
        <f t="shared" si="4"/>
        <v>367</v>
      </c>
      <c r="H54" s="99">
        <f>G54+'18 '!H54</f>
        <v>8572</v>
      </c>
      <c r="I54" s="95"/>
      <c r="J54" s="175">
        <f>H54/DAY(B2)</f>
        <v>451.15789473684208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'18 '!F55</f>
        <v>254288</v>
      </c>
      <c r="F55" s="145">
        <v>254288</v>
      </c>
      <c r="G55" s="475">
        <f t="shared" si="4"/>
        <v>0</v>
      </c>
      <c r="H55" s="99">
        <f>G55+'18 '!H55</f>
        <v>28815</v>
      </c>
      <c r="I55" s="95"/>
      <c r="J55" s="175">
        <f>H55/DAY(B2)</f>
        <v>1516.578947368421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'18 '!F56</f>
        <v>109347</v>
      </c>
      <c r="F56" s="145">
        <v>109347</v>
      </c>
      <c r="G56" s="475">
        <f t="shared" si="4"/>
        <v>0</v>
      </c>
      <c r="H56" s="99">
        <f>G56+'18 '!H56</f>
        <v>2101</v>
      </c>
      <c r="I56" s="95"/>
      <c r="J56" s="175">
        <f>H56/DAY(B2)</f>
        <v>110.57894736842105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'18 '!F57</f>
        <v>94457</v>
      </c>
      <c r="F57" s="145">
        <v>97587</v>
      </c>
      <c r="G57" s="475">
        <f t="shared" si="4"/>
        <v>3130</v>
      </c>
      <c r="H57" s="99">
        <f>G57+'18 '!H57</f>
        <v>59984</v>
      </c>
      <c r="I57" s="95"/>
      <c r="J57" s="175">
        <f>H57/DAY(B2)</f>
        <v>3157.0526315789475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'18 '!F58</f>
        <v>37028</v>
      </c>
      <c r="F58" s="145">
        <v>37244</v>
      </c>
      <c r="G58" s="475">
        <f t="shared" si="4"/>
        <v>216</v>
      </c>
      <c r="H58" s="99">
        <f>G58+'18 '!H58</f>
        <v>4355</v>
      </c>
      <c r="I58" s="95"/>
      <c r="J58" s="175">
        <f>H58/DAY(B2)</f>
        <v>229.21052631578948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77">
        <f>G49+G50+G51+G52+G53+G54+G55+G56+G57+G58</f>
        <v>8228</v>
      </c>
      <c r="H59" s="99">
        <f>G59+'18 '!H59</f>
        <v>193343.32</v>
      </c>
      <c r="I59" s="95">
        <f>G7-G60</f>
        <v>1239</v>
      </c>
      <c r="J59" s="175">
        <f>H59/DAY(B2)</f>
        <v>10175.964210526316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77">
        <f>G47+G59</f>
        <v>27481</v>
      </c>
      <c r="H60" s="99">
        <f>G60+'18 '!H60</f>
        <v>490645.41000000003</v>
      </c>
      <c r="I60" s="95">
        <f>G13-G60</f>
        <v>459</v>
      </c>
      <c r="J60" s="175">
        <f>H60/DAY(B2)</f>
        <v>25823.44263157895</v>
      </c>
      <c r="K60" s="79"/>
      <c r="L60" s="66"/>
      <c r="N60" s="87"/>
      <c r="O60" s="71"/>
    </row>
    <row r="61" spans="1:15" s="68" customFormat="1" ht="26.25">
      <c r="A61" s="892" t="s">
        <v>332</v>
      </c>
      <c r="B61" s="893"/>
      <c r="C61" s="894"/>
      <c r="D61" s="339"/>
      <c r="E61" s="339"/>
      <c r="F61" s="339"/>
      <c r="G61" s="486"/>
      <c r="H61" s="339"/>
      <c r="I61" s="339"/>
      <c r="J61" s="341"/>
      <c r="K61" s="69"/>
      <c r="L61" s="67"/>
      <c r="N61" s="87"/>
      <c r="O61" s="71"/>
    </row>
    <row r="62" spans="1:15" ht="25.5">
      <c r="A62" s="873" t="s">
        <v>198</v>
      </c>
      <c r="B62" s="874"/>
      <c r="C62" s="875"/>
      <c r="D62" s="151" t="s">
        <v>142</v>
      </c>
      <c r="E62" s="95">
        <f>'18 '!F62</f>
        <v>291490</v>
      </c>
      <c r="F62" s="122">
        <v>291606</v>
      </c>
      <c r="G62" s="475">
        <f t="shared" ref="G62:G63" si="5">F62-E62</f>
        <v>116</v>
      </c>
      <c r="H62" s="99">
        <f>G62+'18 '!H62</f>
        <v>2706</v>
      </c>
      <c r="I62" s="118"/>
      <c r="J62" s="175">
        <f>H62/DAY(B2)</f>
        <v>142.42105263157896</v>
      </c>
      <c r="K62" s="80"/>
      <c r="L62" s="66"/>
      <c r="N62" s="87"/>
      <c r="O62" s="71"/>
    </row>
    <row r="63" spans="1:15" ht="25.5">
      <c r="A63" s="873" t="s">
        <v>199</v>
      </c>
      <c r="B63" s="874"/>
      <c r="C63" s="875"/>
      <c r="D63" s="151" t="s">
        <v>142</v>
      </c>
      <c r="E63" s="95">
        <f>'18 '!F63</f>
        <v>233537</v>
      </c>
      <c r="F63" s="122">
        <v>233694</v>
      </c>
      <c r="G63" s="475">
        <f t="shared" si="5"/>
        <v>157</v>
      </c>
      <c r="H63" s="99">
        <f>G63+'18 '!H63</f>
        <v>2532</v>
      </c>
      <c r="I63" s="118"/>
      <c r="J63" s="175">
        <f>H63/DAY(B2)</f>
        <v>133.26315789473685</v>
      </c>
      <c r="K63" s="69"/>
      <c r="L63" s="66"/>
      <c r="N63" s="87"/>
      <c r="O63" s="71"/>
    </row>
    <row r="64" spans="1:15" ht="26.25">
      <c r="A64" s="870" t="s">
        <v>200</v>
      </c>
      <c r="B64" s="871"/>
      <c r="C64" s="872"/>
      <c r="D64" s="151"/>
      <c r="E64" s="95">
        <f>'18 '!F64</f>
        <v>0</v>
      </c>
      <c r="F64" s="122"/>
      <c r="G64" s="475">
        <f>G62+G63</f>
        <v>273</v>
      </c>
      <c r="H64" s="99">
        <f>G64+'18 '!H64</f>
        <v>5238</v>
      </c>
      <c r="I64" s="118"/>
      <c r="J64" s="175">
        <f>H64/DAY(B2)</f>
        <v>275.68421052631578</v>
      </c>
      <c r="K64" s="69"/>
      <c r="L64" s="66"/>
      <c r="N64" s="87"/>
      <c r="O64" s="71"/>
    </row>
    <row r="65" spans="1:15" ht="25.5">
      <c r="A65" s="873" t="s">
        <v>201</v>
      </c>
      <c r="B65" s="874"/>
      <c r="C65" s="875"/>
      <c r="D65" s="151" t="s">
        <v>142</v>
      </c>
      <c r="E65" s="95">
        <f>'18 '!F65</f>
        <v>450172</v>
      </c>
      <c r="F65" s="122">
        <v>450282</v>
      </c>
      <c r="G65" s="475">
        <f t="shared" ref="G65:G70" si="6">F65-E65</f>
        <v>110</v>
      </c>
      <c r="H65" s="99">
        <f>G65+'18 '!H65</f>
        <v>2255</v>
      </c>
      <c r="I65" s="118"/>
      <c r="J65" s="175">
        <f>H65/DAY(B2)</f>
        <v>118.68421052631579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'18 '!F66</f>
        <v>110799</v>
      </c>
      <c r="F66" s="122">
        <v>110822</v>
      </c>
      <c r="G66" s="475">
        <f t="shared" si="6"/>
        <v>23</v>
      </c>
      <c r="H66" s="99">
        <f>G66+'18 '!H66</f>
        <v>491</v>
      </c>
      <c r="I66" s="118"/>
      <c r="J66" s="175">
        <f>H66/DAY(B2)</f>
        <v>25.842105263157894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'18 '!F67</f>
        <v>113681</v>
      </c>
      <c r="F67" s="122">
        <v>113681</v>
      </c>
      <c r="G67" s="475">
        <f t="shared" si="6"/>
        <v>0</v>
      </c>
      <c r="H67" s="99">
        <f>G67+'18 '!H67</f>
        <v>403</v>
      </c>
      <c r="I67" s="118"/>
      <c r="J67" s="175">
        <f>H67/DAY(B2)</f>
        <v>21.210526315789473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'18 '!F68</f>
        <v>163082</v>
      </c>
      <c r="F68" s="122">
        <v>163127</v>
      </c>
      <c r="G68" s="475">
        <f t="shared" si="6"/>
        <v>45</v>
      </c>
      <c r="H68" s="99">
        <f>G68+'18 '!H68</f>
        <v>633</v>
      </c>
      <c r="I68" s="118"/>
      <c r="J68" s="175">
        <f>H68/DAY(B2)</f>
        <v>33.315789473684212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'18 '!F69</f>
        <v>12064</v>
      </c>
      <c r="F69" s="122">
        <v>12075</v>
      </c>
      <c r="G69" s="475">
        <f t="shared" si="6"/>
        <v>11</v>
      </c>
      <c r="H69" s="99">
        <f>G69+'18 '!H69</f>
        <v>206</v>
      </c>
      <c r="I69" s="118"/>
      <c r="J69" s="175">
        <f>H69/DAY(B2)</f>
        <v>10.842105263157896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'18 '!F70</f>
        <v>9415</v>
      </c>
      <c r="F70" s="122">
        <v>9423</v>
      </c>
      <c r="G70" s="475">
        <f t="shared" si="6"/>
        <v>8</v>
      </c>
      <c r="H70" s="99">
        <f>G70+'18 '!H70</f>
        <v>156</v>
      </c>
      <c r="I70" s="118"/>
      <c r="J70" s="175">
        <f>H70/DAY(B2)</f>
        <v>8.2105263157894743</v>
      </c>
      <c r="K70" s="69"/>
      <c r="L70" s="66"/>
      <c r="N70" s="87"/>
      <c r="O70" s="71"/>
    </row>
    <row r="71" spans="1:15" ht="26.25">
      <c r="A71" s="870" t="s">
        <v>208</v>
      </c>
      <c r="B71" s="871"/>
      <c r="C71" s="872"/>
      <c r="D71" s="152"/>
      <c r="E71" s="95">
        <f>'18 '!F71</f>
        <v>0</v>
      </c>
      <c r="F71" s="152"/>
      <c r="G71" s="487">
        <f>SUM(G65:G70)</f>
        <v>197</v>
      </c>
      <c r="H71" s="99">
        <f>G71+'18 '!H71</f>
        <v>4144</v>
      </c>
      <c r="I71" s="154"/>
      <c r="J71" s="175">
        <f>H71/DAY(B2)</f>
        <v>218.10526315789474</v>
      </c>
      <c r="K71" s="69"/>
      <c r="L71" s="66"/>
      <c r="N71" s="87"/>
      <c r="O71" s="71"/>
    </row>
    <row r="72" spans="1:15" s="88" customFormat="1" ht="25.5">
      <c r="A72" s="916"/>
      <c r="B72" s="908"/>
      <c r="C72" s="347"/>
      <c r="D72" s="180"/>
      <c r="E72" s="180" t="s">
        <v>207</v>
      </c>
      <c r="F72" s="180"/>
      <c r="G72" s="488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486"/>
      <c r="H73" s="342"/>
      <c r="I73" s="342"/>
      <c r="J73" s="343"/>
      <c r="K73" s="69"/>
      <c r="L73" s="66"/>
      <c r="N73" s="87"/>
      <c r="O73" s="71"/>
    </row>
    <row r="74" spans="1:15" ht="25.5">
      <c r="A74" s="873" t="s">
        <v>220</v>
      </c>
      <c r="B74" s="874"/>
      <c r="C74" s="875"/>
      <c r="D74" s="151" t="s">
        <v>139</v>
      </c>
      <c r="E74" s="95">
        <f>'18 '!F74</f>
        <v>944234</v>
      </c>
      <c r="F74" s="117">
        <v>944534</v>
      </c>
      <c r="G74" s="475">
        <f t="shared" ref="G74:G78" si="7">F74-E74</f>
        <v>300</v>
      </c>
      <c r="H74" s="99">
        <f>G74+'18 '!H74</f>
        <v>5864</v>
      </c>
      <c r="I74" s="154"/>
      <c r="J74" s="175">
        <f>H74/DAY(B2)</f>
        <v>308.63157894736844</v>
      </c>
      <c r="K74" s="69"/>
      <c r="L74" s="66"/>
      <c r="N74" s="87"/>
      <c r="O74" s="71"/>
    </row>
    <row r="75" spans="1:15" ht="25.5">
      <c r="A75" s="873" t="s">
        <v>221</v>
      </c>
      <c r="B75" s="874"/>
      <c r="C75" s="875"/>
      <c r="D75" s="151" t="s">
        <v>139</v>
      </c>
      <c r="E75" s="95">
        <f>'18 '!F75</f>
        <v>73586.8</v>
      </c>
      <c r="F75" s="123">
        <v>73586.8</v>
      </c>
      <c r="G75" s="475">
        <f t="shared" si="7"/>
        <v>0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7" t="s">
        <v>222</v>
      </c>
      <c r="B76" s="903"/>
      <c r="C76" s="904"/>
      <c r="D76" s="151" t="s">
        <v>139</v>
      </c>
      <c r="E76" s="95">
        <f>'18 '!F76</f>
        <v>185707</v>
      </c>
      <c r="F76" s="123">
        <v>185825</v>
      </c>
      <c r="G76" s="475">
        <f t="shared" si="7"/>
        <v>118</v>
      </c>
      <c r="H76" s="99">
        <f>G76+'18 '!H76</f>
        <v>2119</v>
      </c>
      <c r="I76" s="154"/>
      <c r="J76" s="175">
        <f>H76/DAY(B2)</f>
        <v>111.52631578947368</v>
      </c>
      <c r="K76" s="69"/>
      <c r="L76" s="66"/>
      <c r="N76" s="87"/>
      <c r="O76" s="71"/>
    </row>
    <row r="77" spans="1:15" ht="25.5">
      <c r="A77" s="917" t="s">
        <v>223</v>
      </c>
      <c r="B77" s="903"/>
      <c r="C77" s="904"/>
      <c r="D77" s="151" t="s">
        <v>139</v>
      </c>
      <c r="E77" s="95">
        <f>'18 '!F77</f>
        <v>48201</v>
      </c>
      <c r="F77" s="123">
        <v>48264</v>
      </c>
      <c r="G77" s="475">
        <f t="shared" si="7"/>
        <v>63</v>
      </c>
      <c r="H77" s="99">
        <f>G77+'18 '!H77</f>
        <v>919</v>
      </c>
      <c r="I77" s="154"/>
      <c r="J77" s="175">
        <f>H77/DAY(B2)</f>
        <v>48.368421052631582</v>
      </c>
      <c r="K77" s="69"/>
      <c r="L77" s="66"/>
      <c r="N77" s="87"/>
      <c r="O77" s="71"/>
    </row>
    <row r="78" spans="1:15" ht="25.5">
      <c r="A78" s="917" t="s">
        <v>224</v>
      </c>
      <c r="B78" s="903"/>
      <c r="C78" s="904"/>
      <c r="D78" s="151" t="s">
        <v>139</v>
      </c>
      <c r="E78" s="95">
        <f>'18 '!F78</f>
        <v>9564</v>
      </c>
      <c r="F78" s="123">
        <v>9564</v>
      </c>
      <c r="G78" s="475">
        <f t="shared" si="7"/>
        <v>0</v>
      </c>
      <c r="H78" s="99">
        <f>G78+'18 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7" t="s">
        <v>225</v>
      </c>
      <c r="B79" s="903"/>
      <c r="C79" s="904"/>
      <c r="D79" s="151"/>
      <c r="E79" s="95">
        <f>'18 '!F79</f>
        <v>0</v>
      </c>
      <c r="F79" s="123"/>
      <c r="G79" s="475">
        <f>G15-SUM(G74:G78)</f>
        <v>566</v>
      </c>
      <c r="H79" s="99">
        <f>G79+'18 '!H79</f>
        <v>11184</v>
      </c>
      <c r="I79" s="118"/>
      <c r="J79" s="175"/>
      <c r="K79" s="59"/>
      <c r="L79" s="58"/>
      <c r="N79" s="87"/>
      <c r="O79" s="71"/>
    </row>
    <row r="80" spans="1:15" s="57" customFormat="1" ht="26.25">
      <c r="A80" s="870" t="s">
        <v>329</v>
      </c>
      <c r="B80" s="871"/>
      <c r="C80" s="872"/>
      <c r="D80" s="151"/>
      <c r="E80" s="117"/>
      <c r="F80" s="117"/>
      <c r="G80" s="475">
        <f>SUM(G74:G79)</f>
        <v>1047</v>
      </c>
      <c r="H80" s="99"/>
      <c r="I80" s="118"/>
      <c r="J80" s="175"/>
      <c r="K80" s="59"/>
      <c r="L80" s="58"/>
      <c r="N80" s="87"/>
      <c r="O80" s="71"/>
    </row>
    <row r="81" spans="1:15" ht="25.5">
      <c r="A81" s="909" t="s">
        <v>226</v>
      </c>
      <c r="B81" s="910"/>
      <c r="C81" s="911"/>
      <c r="D81" s="110"/>
      <c r="E81" s="110"/>
      <c r="F81" s="110"/>
      <c r="G81" s="489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475">
        <f t="shared" ref="G82:G92" si="8">F82-E82</f>
        <v>0</v>
      </c>
      <c r="H82" s="99">
        <f>G82+'18 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475">
        <f t="shared" si="8"/>
        <v>0</v>
      </c>
      <c r="H83" s="99">
        <f>G83+'18 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'18 '!F84</f>
        <v>42185.58</v>
      </c>
      <c r="F84" s="164">
        <v>42209.53</v>
      </c>
      <c r="G84" s="475">
        <f t="shared" si="8"/>
        <v>23.94999999999709</v>
      </c>
      <c r="H84" s="99">
        <f>G84+'18 '!H84</f>
        <v>240.52999999999884</v>
      </c>
      <c r="I84" s="573"/>
      <c r="J84" s="175">
        <f>H84/DAY(B2)</f>
        <v>12.659473684210464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'18 '!F85</f>
        <v>4691.1499999999996</v>
      </c>
      <c r="F85" s="164">
        <v>4708.54</v>
      </c>
      <c r="G85" s="475">
        <f t="shared" si="8"/>
        <v>17.390000000000327</v>
      </c>
      <c r="H85" s="99">
        <f>G85+'18 '!H85</f>
        <v>365.53999999999996</v>
      </c>
      <c r="I85" s="573"/>
      <c r="J85" s="175">
        <f>H85/DAY(B2)</f>
        <v>19.238947368421051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'18 '!F86</f>
        <v>44658</v>
      </c>
      <c r="F86" s="164">
        <v>44658</v>
      </c>
      <c r="G86" s="475">
        <f t="shared" si="8"/>
        <v>0</v>
      </c>
      <c r="H86" s="99">
        <f>G86+'18 '!H86</f>
        <v>188</v>
      </c>
      <c r="I86" s="573"/>
      <c r="J86" s="175">
        <f>H86/DAY(B2)</f>
        <v>9.8947368421052637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'18 '!F87</f>
        <v>35345</v>
      </c>
      <c r="F87" s="164">
        <v>35345</v>
      </c>
      <c r="G87" s="475">
        <f t="shared" si="8"/>
        <v>0</v>
      </c>
      <c r="H87" s="99">
        <f>G87+'18 '!H87</f>
        <v>16</v>
      </c>
      <c r="I87" s="573">
        <f>G84+G85+G86+G87</f>
        <v>41.339999999997417</v>
      </c>
      <c r="J87" s="175">
        <f>H87/DAY(B2)</f>
        <v>0.84210526315789469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'18 '!F88</f>
        <v>24277</v>
      </c>
      <c r="F88" s="164">
        <v>24277</v>
      </c>
      <c r="G88" s="475">
        <f t="shared" si="8"/>
        <v>0</v>
      </c>
      <c r="H88" s="99">
        <f>G88+'18 '!H88</f>
        <v>49.119999999998981</v>
      </c>
      <c r="I88" s="573"/>
      <c r="J88" s="175">
        <f>H88/DAY(B2)</f>
        <v>2.5852631578946834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'18 '!F89</f>
        <v>27177</v>
      </c>
      <c r="F89" s="164">
        <v>27186.47</v>
      </c>
      <c r="G89" s="475">
        <f t="shared" si="8"/>
        <v>9.4700000000011642</v>
      </c>
      <c r="H89" s="99">
        <f>G89+'18 '!H89</f>
        <v>193.06000000000131</v>
      </c>
      <c r="I89" s="573">
        <f>G88+G89</f>
        <v>9.4700000000011642</v>
      </c>
      <c r="J89" s="175">
        <f>H89/DAY(B2)</f>
        <v>10.161052631579016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'18 '!F90</f>
        <v>72211</v>
      </c>
      <c r="F90" s="164">
        <v>72220</v>
      </c>
      <c r="G90" s="475">
        <f t="shared" si="8"/>
        <v>9</v>
      </c>
      <c r="H90" s="99">
        <f>G90+'18 '!H90</f>
        <v>92.880000000004657</v>
      </c>
      <c r="I90" s="573">
        <f>G90</f>
        <v>9</v>
      </c>
      <c r="J90" s="175">
        <f>H90/DAY(B2)</f>
        <v>4.8884210526318244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'18 '!F91</f>
        <v>4122</v>
      </c>
      <c r="F91" s="122">
        <v>4122</v>
      </c>
      <c r="G91" s="475">
        <f t="shared" si="8"/>
        <v>0</v>
      </c>
      <c r="H91" s="99">
        <f>G91+'18 '!H91</f>
        <v>0.3500000000003638</v>
      </c>
      <c r="I91" s="592"/>
      <c r="J91" s="175">
        <f>H91/DAY(B2)</f>
        <v>1.8421052631598094E-2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'18 '!F92</f>
        <v>6411</v>
      </c>
      <c r="F92" s="122">
        <v>6421</v>
      </c>
      <c r="G92" s="475">
        <f t="shared" si="8"/>
        <v>10</v>
      </c>
      <c r="H92" s="99">
        <f>G92+'18 '!H92</f>
        <v>203.75</v>
      </c>
      <c r="I92" s="598">
        <f>G91+G92</f>
        <v>10</v>
      </c>
      <c r="J92" s="175">
        <f>H92/DAY(B2)</f>
        <v>10.723684210526315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478"/>
      <c r="H93" s="121"/>
      <c r="I93" s="121"/>
      <c r="J93" s="183"/>
      <c r="K93" s="69"/>
      <c r="L93" s="66"/>
      <c r="O93" s="71"/>
    </row>
    <row r="94" spans="1:15" ht="25.5">
      <c r="A94" s="873" t="s">
        <v>240</v>
      </c>
      <c r="B94" s="874"/>
      <c r="C94" s="875"/>
      <c r="D94" s="151" t="s">
        <v>130</v>
      </c>
      <c r="E94" s="151"/>
      <c r="F94" s="151"/>
      <c r="G94" s="490">
        <f>G35+G43+G49+G57</f>
        <v>6687</v>
      </c>
      <c r="H94" s="99">
        <f>G94+'18 '!H94</f>
        <v>128111</v>
      </c>
      <c r="I94" s="118"/>
      <c r="J94" s="175">
        <f>H94/DAY(B2)</f>
        <v>6742.6842105263158</v>
      </c>
      <c r="K94" s="69"/>
      <c r="L94" s="66"/>
      <c r="O94" s="71"/>
    </row>
    <row r="95" spans="1:15" ht="25.5">
      <c r="A95" s="873" t="s">
        <v>241</v>
      </c>
      <c r="B95" s="874"/>
      <c r="C95" s="875"/>
      <c r="D95" s="151" t="s">
        <v>23</v>
      </c>
      <c r="E95" s="146"/>
      <c r="F95" s="146"/>
      <c r="G95" s="491">
        <f>G94/G7</f>
        <v>0.23283426183844011</v>
      </c>
      <c r="H95" s="99">
        <f>G95+'18 '!H95</f>
        <v>4.5723019129496754</v>
      </c>
      <c r="I95" s="167"/>
      <c r="J95" s="175">
        <f>H95/DAY(B2)</f>
        <v>0.2406474691026145</v>
      </c>
      <c r="K95" s="69"/>
      <c r="L95" s="66"/>
      <c r="O95" s="71"/>
    </row>
    <row r="96" spans="1:15" ht="25.5">
      <c r="A96" s="873" t="s">
        <v>242</v>
      </c>
      <c r="B96" s="874"/>
      <c r="C96" s="875"/>
      <c r="D96" s="151" t="s">
        <v>130</v>
      </c>
      <c r="E96" s="95"/>
      <c r="F96" s="95"/>
      <c r="G96" s="490">
        <f>G41+G42+G55+G56</f>
        <v>10354</v>
      </c>
      <c r="H96" s="99">
        <f>G96+'18 '!H96</f>
        <v>173601</v>
      </c>
      <c r="I96" s="118"/>
      <c r="J96" s="175">
        <f>H96/DAY(B2)</f>
        <v>9136.894736842105</v>
      </c>
      <c r="K96" s="69"/>
      <c r="L96" s="66"/>
      <c r="O96" s="71"/>
    </row>
    <row r="97" spans="1:15" ht="25.5">
      <c r="A97" s="873" t="s">
        <v>243</v>
      </c>
      <c r="B97" s="874"/>
      <c r="C97" s="875"/>
      <c r="D97" s="151" t="s">
        <v>23</v>
      </c>
      <c r="E97" s="95"/>
      <c r="F97" s="95"/>
      <c r="G97" s="491">
        <f>G96/G7</f>
        <v>0.36051532033426181</v>
      </c>
      <c r="H97" s="99">
        <f>G97+'18 '!H97</f>
        <v>6.1470234765612091</v>
      </c>
      <c r="I97" s="167"/>
      <c r="J97" s="175">
        <f>H97/DAY(B2)</f>
        <v>0.32352755139795836</v>
      </c>
      <c r="K97" s="69"/>
      <c r="L97" s="66"/>
      <c r="O97" s="71"/>
    </row>
    <row r="98" spans="1:15" ht="25.5">
      <c r="A98" s="873" t="s">
        <v>244</v>
      </c>
      <c r="B98" s="874"/>
      <c r="C98" s="875"/>
      <c r="D98" s="151" t="s">
        <v>130</v>
      </c>
      <c r="E98" s="95"/>
      <c r="F98" s="95"/>
      <c r="G98" s="490">
        <f>G39+G53</f>
        <v>3175</v>
      </c>
      <c r="H98" s="99">
        <f>G98+'18 '!H98</f>
        <v>54931.090000000026</v>
      </c>
      <c r="I98" s="168"/>
      <c r="J98" s="175">
        <f>H98/DAY(B2)</f>
        <v>2891.1100000000015</v>
      </c>
      <c r="K98" s="69"/>
      <c r="L98" s="66"/>
      <c r="O98" s="71"/>
    </row>
    <row r="99" spans="1:15" ht="25.5">
      <c r="A99" s="873" t="s">
        <v>245</v>
      </c>
      <c r="B99" s="874"/>
      <c r="C99" s="875"/>
      <c r="D99" s="151" t="s">
        <v>23</v>
      </c>
      <c r="E99" s="95"/>
      <c r="F99" s="95"/>
      <c r="G99" s="491">
        <f>G98/G7</f>
        <v>0.11055013927576601</v>
      </c>
      <c r="H99" s="99">
        <f>G99+'18 '!H99</f>
        <v>1.9556359916491513</v>
      </c>
      <c r="I99" s="168"/>
      <c r="J99" s="175">
        <f>H99/DAY(B2)</f>
        <v>0.10292821008679744</v>
      </c>
      <c r="O99" s="71"/>
    </row>
    <row r="100" spans="1:15" ht="26.25">
      <c r="A100" s="873" t="s">
        <v>246</v>
      </c>
      <c r="B100" s="874"/>
      <c r="C100" s="875"/>
      <c r="D100" s="151" t="s">
        <v>180</v>
      </c>
      <c r="E100" s="95"/>
      <c r="F100" s="95"/>
      <c r="G100" s="490">
        <f>G38+G52</f>
        <v>2342</v>
      </c>
      <c r="H100" s="99">
        <f>G100+'18 '!H100</f>
        <v>43923</v>
      </c>
      <c r="I100" s="118"/>
      <c r="J100" s="175">
        <f>H100/DAY(B2)</f>
        <v>2311.7368421052633</v>
      </c>
      <c r="K100" s="70"/>
      <c r="O100" s="71"/>
    </row>
    <row r="101" spans="1:15" ht="25.5">
      <c r="A101" s="873" t="s">
        <v>247</v>
      </c>
      <c r="B101" s="874"/>
      <c r="C101" s="875"/>
      <c r="D101" s="151" t="s">
        <v>23</v>
      </c>
      <c r="E101" s="95"/>
      <c r="F101" s="95"/>
      <c r="G101" s="491">
        <f>G100/G7</f>
        <v>8.1545961002785522E-2</v>
      </c>
      <c r="H101" s="99">
        <f>G101+'18 '!H101</f>
        <v>1.5635151733757351</v>
      </c>
      <c r="I101" s="168"/>
      <c r="J101" s="175">
        <f>H101/DAY(B2)</f>
        <v>8.2290272282933424E-2</v>
      </c>
      <c r="O101" s="71"/>
    </row>
    <row r="102" spans="1:15" ht="25.5">
      <c r="A102" s="873" t="s">
        <v>248</v>
      </c>
      <c r="B102" s="874"/>
      <c r="C102" s="875"/>
      <c r="D102" s="151" t="s">
        <v>180</v>
      </c>
      <c r="E102" s="95"/>
      <c r="F102" s="95"/>
      <c r="G102" s="490">
        <f>G36+G50</f>
        <v>2279</v>
      </c>
      <c r="H102" s="99">
        <f>G102+'18 '!H102</f>
        <v>38358</v>
      </c>
      <c r="I102" s="168"/>
      <c r="J102" s="175">
        <f>H102/DAY(B2)</f>
        <v>2018.8421052631579</v>
      </c>
      <c r="O102" s="71"/>
    </row>
    <row r="103" spans="1:15" ht="25.5">
      <c r="A103" s="873" t="s">
        <v>249</v>
      </c>
      <c r="B103" s="874"/>
      <c r="C103" s="875"/>
      <c r="D103" s="151" t="s">
        <v>23</v>
      </c>
      <c r="E103" s="95"/>
      <c r="F103" s="95"/>
      <c r="G103" s="491">
        <f>G102/G7</f>
        <v>7.9352367688022285E-2</v>
      </c>
      <c r="H103" s="99">
        <f>G103+'18 '!H103</f>
        <v>1.3587572940450241</v>
      </c>
      <c r="I103" s="118"/>
      <c r="J103" s="175">
        <f>H103/DAY(B2)</f>
        <v>7.1513541791843369E-2</v>
      </c>
      <c r="O103" s="71"/>
    </row>
    <row r="104" spans="1:15" ht="25.5">
      <c r="A104" s="873" t="s">
        <v>250</v>
      </c>
      <c r="B104" s="874"/>
      <c r="C104" s="875"/>
      <c r="D104" s="151" t="s">
        <v>180</v>
      </c>
      <c r="E104" s="95"/>
      <c r="F104" s="95"/>
      <c r="G104" s="490">
        <f>G37+G51</f>
        <v>1734</v>
      </c>
      <c r="H104" s="99">
        <f>G104+'18 '!H104</f>
        <v>33022.32</v>
      </c>
      <c r="I104" s="118"/>
      <c r="J104" s="175">
        <f>H104/DAY(B2)</f>
        <v>1738.0168421052631</v>
      </c>
      <c r="O104" s="71"/>
    </row>
    <row r="105" spans="1:15" ht="26.25" thickBot="1">
      <c r="A105" s="913" t="s">
        <v>251</v>
      </c>
      <c r="B105" s="914"/>
      <c r="C105" s="915"/>
      <c r="D105" s="231" t="s">
        <v>23</v>
      </c>
      <c r="E105" s="185"/>
      <c r="F105" s="185"/>
      <c r="G105" s="492">
        <f>G104/G7</f>
        <v>6.0376044568245128E-2</v>
      </c>
      <c r="H105" s="99">
        <f>G105+'18 '!H105</f>
        <v>1.1726871250963122</v>
      </c>
      <c r="I105" s="187"/>
      <c r="J105" s="188">
        <f>H105/DAY(B2)</f>
        <v>6.1720375005069064E-2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93"/>
      <c r="H106" s="170"/>
      <c r="I106" s="169"/>
      <c r="J106" s="171"/>
      <c r="O106" s="71"/>
    </row>
    <row r="107" spans="1:15" ht="26.25"/>
    <row r="108" spans="1:15" ht="27.75">
      <c r="A108" s="927" t="s">
        <v>324</v>
      </c>
      <c r="B108" s="927"/>
      <c r="C108" s="927"/>
      <c r="D108" s="927"/>
      <c r="E108" s="927"/>
      <c r="F108" s="927"/>
      <c r="G108" s="927"/>
      <c r="H108" s="927"/>
      <c r="I108" s="927"/>
      <c r="J108" s="927"/>
    </row>
    <row r="109" spans="1:15" ht="26.25">
      <c r="A109" s="912"/>
      <c r="B109" s="912"/>
    </row>
    <row r="110" spans="1:15" ht="26.25">
      <c r="A110" s="928" t="s">
        <v>165</v>
      </c>
      <c r="B110" s="929"/>
      <c r="C110" s="929"/>
      <c r="D110" s="929"/>
      <c r="E110" s="929"/>
      <c r="F110" s="929"/>
      <c r="G110" s="929"/>
      <c r="H110" s="929"/>
      <c r="I110" s="929"/>
      <c r="J110" s="930"/>
    </row>
    <row r="111" spans="1:15" ht="25.5">
      <c r="A111" s="931"/>
      <c r="B111" s="932"/>
      <c r="C111" s="933"/>
      <c r="D111" s="165"/>
      <c r="E111" s="165"/>
      <c r="F111" s="165"/>
      <c r="G111" s="495"/>
      <c r="H111" s="156"/>
      <c r="I111" s="165"/>
      <c r="J111" s="327"/>
    </row>
    <row r="112" spans="1:15" ht="25.5">
      <c r="A112" s="906" t="s">
        <v>252</v>
      </c>
      <c r="B112" s="907"/>
      <c r="C112" s="908"/>
      <c r="D112" s="146" t="s">
        <v>183</v>
      </c>
      <c r="E112" s="95">
        <f>'18 '!F112</f>
        <v>4048</v>
      </c>
      <c r="F112" s="237">
        <v>4123</v>
      </c>
      <c r="G112" s="475">
        <f t="shared" ref="G112:G123" si="9">F112-E112</f>
        <v>75</v>
      </c>
      <c r="H112" s="99">
        <f>G112+'18 '!H112</f>
        <v>1446</v>
      </c>
      <c r="I112" s="165"/>
      <c r="J112" s="328">
        <f>H112/DAY(B2)</f>
        <v>76.10526315789474</v>
      </c>
    </row>
    <row r="113" spans="1:18" ht="29.25" customHeight="1">
      <c r="A113" s="906" t="s">
        <v>253</v>
      </c>
      <c r="B113" s="907"/>
      <c r="C113" s="908"/>
      <c r="D113" s="146" t="s">
        <v>183</v>
      </c>
      <c r="E113" s="95">
        <f>'18 '!F113</f>
        <v>8930</v>
      </c>
      <c r="F113" s="237">
        <v>9068</v>
      </c>
      <c r="G113" s="475">
        <f t="shared" si="9"/>
        <v>138</v>
      </c>
      <c r="H113" s="99">
        <f>G113+'18 '!H113</f>
        <v>2677</v>
      </c>
      <c r="I113" s="165"/>
      <c r="J113" s="328">
        <f>H113/DAY(B2)</f>
        <v>140.89473684210526</v>
      </c>
    </row>
    <row r="114" spans="1:18" ht="29.25" customHeight="1">
      <c r="A114" s="906" t="s">
        <v>254</v>
      </c>
      <c r="B114" s="907"/>
      <c r="C114" s="908"/>
      <c r="D114" s="146" t="s">
        <v>183</v>
      </c>
      <c r="E114" s="95">
        <f>'18 '!F114</f>
        <v>11520</v>
      </c>
      <c r="F114" s="237">
        <v>11735</v>
      </c>
      <c r="G114" s="475">
        <f t="shared" si="9"/>
        <v>215</v>
      </c>
      <c r="H114" s="99">
        <f>G114+'18 '!H114</f>
        <v>4165</v>
      </c>
      <c r="I114" s="165"/>
      <c r="J114" s="328">
        <f>H114/DAY(B2)</f>
        <v>219.21052631578948</v>
      </c>
    </row>
    <row r="115" spans="1:18" ht="29.25" customHeight="1">
      <c r="A115" s="906" t="s">
        <v>255</v>
      </c>
      <c r="B115" s="907"/>
      <c r="C115" s="908"/>
      <c r="D115" s="146" t="s">
        <v>183</v>
      </c>
      <c r="E115" s="95">
        <f>'18 '!F115</f>
        <v>7305</v>
      </c>
      <c r="F115" s="237">
        <v>7435</v>
      </c>
      <c r="G115" s="475">
        <f t="shared" si="9"/>
        <v>130</v>
      </c>
      <c r="H115" s="99">
        <f>G115+'18 '!H115</f>
        <v>1304.5200000000002</v>
      </c>
      <c r="I115" s="165"/>
      <c r="J115" s="328">
        <f>H115/DAY(B2)</f>
        <v>68.658947368421067</v>
      </c>
    </row>
    <row r="116" spans="1:18" ht="29.25" customHeight="1">
      <c r="A116" s="924" t="s">
        <v>96</v>
      </c>
      <c r="B116" s="925"/>
      <c r="C116" s="926"/>
      <c r="D116" s="146" t="s">
        <v>183</v>
      </c>
      <c r="E116" s="95">
        <f>'18 '!F116</f>
        <v>53939</v>
      </c>
      <c r="F116" s="237">
        <v>54421</v>
      </c>
      <c r="G116" s="475">
        <f t="shared" si="9"/>
        <v>482</v>
      </c>
      <c r="H116" s="99">
        <f>G116+'18 '!H116</f>
        <v>7666</v>
      </c>
      <c r="I116" s="165"/>
      <c r="J116" s="328">
        <f>H116/DAY(B2)</f>
        <v>403.4736842105263</v>
      </c>
      <c r="Q116" s="906"/>
      <c r="R116" s="908"/>
    </row>
    <row r="117" spans="1:18" ht="29.25" customHeight="1">
      <c r="A117" s="924" t="s">
        <v>184</v>
      </c>
      <c r="B117" s="925"/>
      <c r="C117" s="926"/>
      <c r="D117" s="146" t="s">
        <v>183</v>
      </c>
      <c r="E117" s="95">
        <f>'18 '!F117</f>
        <v>29395</v>
      </c>
      <c r="F117" s="237">
        <v>29680</v>
      </c>
      <c r="G117" s="475">
        <f t="shared" si="9"/>
        <v>285</v>
      </c>
      <c r="H117" s="99">
        <f>G117+'18 '!H117</f>
        <v>4412</v>
      </c>
      <c r="I117" s="165"/>
      <c r="J117" s="328">
        <f>H117/DAY(B2)</f>
        <v>232.21052631578948</v>
      </c>
      <c r="Q117" s="906"/>
      <c r="R117" s="908"/>
    </row>
    <row r="118" spans="1:18" ht="25.5">
      <c r="A118" s="901" t="s">
        <v>97</v>
      </c>
      <c r="B118" s="901"/>
      <c r="C118" s="901"/>
      <c r="D118" s="151" t="s">
        <v>183</v>
      </c>
      <c r="E118" s="95">
        <f>'18 '!F118</f>
        <v>37106</v>
      </c>
      <c r="F118" s="237">
        <v>37749</v>
      </c>
      <c r="G118" s="475">
        <f t="shared" si="9"/>
        <v>643</v>
      </c>
      <c r="H118" s="99">
        <f>G118+'18 '!H118</f>
        <v>11524</v>
      </c>
      <c r="I118" s="165"/>
      <c r="J118" s="328">
        <f>H118/DAY(B2)</f>
        <v>606.52631578947364</v>
      </c>
      <c r="Q118" s="906"/>
      <c r="R118" s="908"/>
    </row>
    <row r="119" spans="1:18" ht="25.5">
      <c r="A119" s="901" t="s">
        <v>98</v>
      </c>
      <c r="B119" s="901"/>
      <c r="C119" s="901"/>
      <c r="D119" s="151" t="s">
        <v>183</v>
      </c>
      <c r="E119" s="95">
        <f>'18 '!F119</f>
        <v>26745</v>
      </c>
      <c r="F119" s="237">
        <v>27206</v>
      </c>
      <c r="G119" s="475">
        <f t="shared" si="9"/>
        <v>461</v>
      </c>
      <c r="H119" s="99">
        <f>G119+'18 '!H119</f>
        <v>8259</v>
      </c>
      <c r="I119" s="165"/>
      <c r="J119" s="328">
        <f>H119/DAY(B2)</f>
        <v>434.68421052631578</v>
      </c>
    </row>
    <row r="120" spans="1:18" ht="25.5">
      <c r="A120" s="901" t="s">
        <v>99</v>
      </c>
      <c r="B120" s="901"/>
      <c r="C120" s="901"/>
      <c r="D120" s="151" t="s">
        <v>183</v>
      </c>
      <c r="E120" s="95">
        <f>'18 '!F120</f>
        <v>27910</v>
      </c>
      <c r="F120" s="237">
        <v>28341</v>
      </c>
      <c r="G120" s="475">
        <f t="shared" si="9"/>
        <v>431</v>
      </c>
      <c r="H120" s="99">
        <f>G120+'18 '!H120</f>
        <v>8291</v>
      </c>
      <c r="I120" s="165"/>
      <c r="J120" s="328">
        <f>H120/DAY(B2)</f>
        <v>436.36842105263156</v>
      </c>
    </row>
    <row r="121" spans="1:18" ht="25.5">
      <c r="A121" s="901" t="s">
        <v>100</v>
      </c>
      <c r="B121" s="901"/>
      <c r="C121" s="901"/>
      <c r="D121" s="151" t="s">
        <v>183</v>
      </c>
      <c r="E121" s="95">
        <f>'18 '!F121</f>
        <v>34188</v>
      </c>
      <c r="F121" s="237">
        <v>34643</v>
      </c>
      <c r="G121" s="475">
        <f t="shared" si="9"/>
        <v>455</v>
      </c>
      <c r="H121" s="99">
        <f>G121+'18 '!H121</f>
        <v>8799</v>
      </c>
      <c r="I121" s="165"/>
      <c r="J121" s="328">
        <f>H121/DAY(B2)</f>
        <v>463.10526315789474</v>
      </c>
    </row>
    <row r="122" spans="1:18" ht="25.5">
      <c r="A122" s="901" t="s">
        <v>101</v>
      </c>
      <c r="B122" s="901"/>
      <c r="C122" s="901"/>
      <c r="D122" s="151" t="s">
        <v>183</v>
      </c>
      <c r="E122" s="95">
        <f>'18 '!F122</f>
        <v>16677</v>
      </c>
      <c r="F122" s="237">
        <v>16954</v>
      </c>
      <c r="G122" s="475">
        <f t="shared" si="9"/>
        <v>277</v>
      </c>
      <c r="H122" s="99">
        <f>G122+'18 '!H122</f>
        <v>5794</v>
      </c>
      <c r="I122" s="165"/>
      <c r="J122" s="328">
        <f>H122/DAY(B2)</f>
        <v>304.94736842105266</v>
      </c>
    </row>
    <row r="123" spans="1:18" ht="25.5">
      <c r="A123" s="901" t="s">
        <v>102</v>
      </c>
      <c r="B123" s="901"/>
      <c r="C123" s="901"/>
      <c r="D123" s="151" t="s">
        <v>183</v>
      </c>
      <c r="E123" s="95">
        <f>'18 '!F123</f>
        <v>16590</v>
      </c>
      <c r="F123" s="237">
        <v>16904</v>
      </c>
      <c r="G123" s="475">
        <f t="shared" si="9"/>
        <v>314</v>
      </c>
      <c r="H123" s="99">
        <f>G123+'18 '!H123</f>
        <v>6395</v>
      </c>
      <c r="I123" s="165"/>
      <c r="J123" s="328">
        <f>H123/DAY(B2)</f>
        <v>336.57894736842104</v>
      </c>
    </row>
    <row r="124" spans="1:18" ht="29.25" customHeight="1">
      <c r="A124" s="931"/>
      <c r="B124" s="932"/>
      <c r="C124" s="933"/>
      <c r="D124" s="165"/>
      <c r="E124" s="95">
        <f>'18 '!F124</f>
        <v>0</v>
      </c>
      <c r="F124" s="165"/>
      <c r="G124" s="495"/>
      <c r="H124" s="156"/>
      <c r="I124" s="165"/>
      <c r="J124" s="327"/>
    </row>
    <row r="125" spans="1:18" ht="25.5">
      <c r="A125" s="934" t="s">
        <v>196</v>
      </c>
      <c r="B125" s="935"/>
      <c r="C125" s="245"/>
      <c r="D125" s="307"/>
      <c r="E125" s="308"/>
      <c r="F125" s="308"/>
      <c r="G125" s="496">
        <f>SUM(G112:G124)</f>
        <v>3906</v>
      </c>
      <c r="H125" s="156"/>
      <c r="I125" s="327">
        <f>G125-(G39+G53)</f>
        <v>731</v>
      </c>
      <c r="J125" s="327"/>
    </row>
    <row r="126" spans="1:18" ht="25.5">
      <c r="A126" s="936" t="s">
        <v>317</v>
      </c>
      <c r="B126" s="936"/>
      <c r="C126" s="936"/>
      <c r="D126" s="936"/>
      <c r="E126" s="936"/>
      <c r="F126" s="936"/>
      <c r="G126" s="936"/>
      <c r="H126" s="936"/>
      <c r="I126" s="936"/>
      <c r="J126" s="936"/>
    </row>
    <row r="127" spans="1:18" ht="25.5">
      <c r="A127" s="937"/>
      <c r="B127" s="937"/>
      <c r="C127" s="245"/>
      <c r="D127" s="307"/>
      <c r="E127" s="308"/>
      <c r="F127" s="308"/>
      <c r="G127" s="496"/>
      <c r="H127" s="99">
        <f>G127+'18 '!H127</f>
        <v>0</v>
      </c>
      <c r="I127" s="165"/>
      <c r="J127" s="328">
        <f>H127/DAY(B2)</f>
        <v>0</v>
      </c>
    </row>
    <row r="128" spans="1:18" ht="29.25" customHeight="1">
      <c r="A128" s="906" t="s">
        <v>318</v>
      </c>
      <c r="B128" s="907"/>
      <c r="C128" s="908"/>
      <c r="D128" s="151" t="s">
        <v>183</v>
      </c>
      <c r="E128" s="95">
        <f>'18 '!F128</f>
        <v>105235</v>
      </c>
      <c r="F128" s="165">
        <v>105754</v>
      </c>
      <c r="G128" s="475">
        <f t="shared" ref="G128:G134" si="10">F128-E128</f>
        <v>519</v>
      </c>
      <c r="H128" s="99">
        <f>G128+'18 '!H128</f>
        <v>10039</v>
      </c>
      <c r="I128" s="165"/>
      <c r="J128" s="328">
        <f>H128/DAY(B2)</f>
        <v>528.36842105263156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'18 '!F129</f>
        <v>64640</v>
      </c>
      <c r="F129" s="165">
        <v>64752</v>
      </c>
      <c r="G129" s="475">
        <f t="shared" si="10"/>
        <v>112</v>
      </c>
      <c r="H129" s="99">
        <f>G129+'18 '!H129</f>
        <v>4459</v>
      </c>
      <c r="I129" s="165"/>
      <c r="J129" s="328">
        <f>H129/DAY(B2)</f>
        <v>234.68421052631578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'18 '!F130</f>
        <v>132549</v>
      </c>
      <c r="F130" s="158">
        <v>133331</v>
      </c>
      <c r="G130" s="475">
        <f t="shared" si="10"/>
        <v>782</v>
      </c>
      <c r="H130" s="99">
        <f>G130+'18 '!H130</f>
        <v>12202</v>
      </c>
      <c r="I130" s="165"/>
      <c r="J130" s="328">
        <f>H130/DAY(B2)</f>
        <v>642.21052631578948</v>
      </c>
      <c r="N130" s="240"/>
      <c r="O130" s="241"/>
    </row>
    <row r="131" spans="1:15" ht="25.5">
      <c r="A131" s="906" t="s">
        <v>321</v>
      </c>
      <c r="B131" s="907"/>
      <c r="C131" s="908"/>
      <c r="D131" s="151" t="s">
        <v>183</v>
      </c>
      <c r="E131" s="95">
        <f>'18 '!F131</f>
        <v>40007</v>
      </c>
      <c r="F131" s="165">
        <v>40186</v>
      </c>
      <c r="G131" s="475">
        <f t="shared" si="10"/>
        <v>179</v>
      </c>
      <c r="H131" s="99">
        <f>G131+'18 '!H131</f>
        <v>3907</v>
      </c>
      <c r="I131" s="165"/>
      <c r="J131" s="328">
        <f>H131/DAY(B2)</f>
        <v>205.63157894736841</v>
      </c>
      <c r="N131" s="240"/>
      <c r="O131" s="241"/>
    </row>
    <row r="132" spans="1:15" ht="25.5">
      <c r="A132" s="906" t="s">
        <v>322</v>
      </c>
      <c r="B132" s="907"/>
      <c r="C132" s="908"/>
      <c r="D132" s="151" t="s">
        <v>183</v>
      </c>
      <c r="E132" s="95">
        <f>'18 '!F132</f>
        <v>110698</v>
      </c>
      <c r="F132" s="165">
        <v>111171</v>
      </c>
      <c r="G132" s="475">
        <f t="shared" si="10"/>
        <v>473</v>
      </c>
      <c r="H132" s="99">
        <f>G132+'18 '!H132</f>
        <v>7659</v>
      </c>
      <c r="I132" s="165"/>
      <c r="J132" s="328">
        <f>H132/DAY(B2)</f>
        <v>403.10526315789474</v>
      </c>
    </row>
    <row r="133" spans="1:15" ht="25.5">
      <c r="A133" s="906" t="s">
        <v>359</v>
      </c>
      <c r="B133" s="907"/>
      <c r="C133" s="908"/>
      <c r="D133" s="151" t="s">
        <v>183</v>
      </c>
      <c r="E133" s="95">
        <f>'18 '!F133</f>
        <v>215763</v>
      </c>
      <c r="F133" s="165">
        <v>216386</v>
      </c>
      <c r="G133" s="475">
        <f t="shared" si="10"/>
        <v>623</v>
      </c>
      <c r="H133" s="99">
        <f>G133+'18 '!H133</f>
        <v>15154</v>
      </c>
      <c r="I133" s="165"/>
      <c r="J133" s="328">
        <f>H133/DAY(B2)</f>
        <v>797.57894736842104</v>
      </c>
    </row>
    <row r="134" spans="1:15" ht="25.5">
      <c r="A134" s="906" t="s">
        <v>340</v>
      </c>
      <c r="B134" s="907"/>
      <c r="C134" s="908"/>
      <c r="D134" s="151" t="s">
        <v>183</v>
      </c>
      <c r="E134" s="95">
        <f>'18 '!F134</f>
        <v>39249</v>
      </c>
      <c r="F134" s="165">
        <v>39467</v>
      </c>
      <c r="G134" s="475">
        <f t="shared" si="10"/>
        <v>218</v>
      </c>
      <c r="H134" s="99">
        <f>G134+'18 '!H134</f>
        <v>4572</v>
      </c>
      <c r="I134" s="165"/>
      <c r="J134" s="328">
        <f>H134/DAY(B2)</f>
        <v>240.63157894736841</v>
      </c>
    </row>
    <row r="135" spans="1:15" ht="25.5">
      <c r="A135" s="934" t="s">
        <v>196</v>
      </c>
      <c r="B135" s="935"/>
      <c r="C135" s="331"/>
      <c r="D135" s="151"/>
      <c r="E135" s="95"/>
      <c r="F135" s="165"/>
      <c r="G135" s="475">
        <f>SUM(G128:G134)</f>
        <v>2906</v>
      </c>
      <c r="H135" s="99">
        <f>G135+'10'!H135</f>
        <v>33123.83</v>
      </c>
      <c r="I135" s="327">
        <f>G135-(G35+G49)</f>
        <v>-651</v>
      </c>
      <c r="J135" s="328"/>
    </row>
    <row r="136" spans="1:15" ht="27.75">
      <c r="A136" s="938" t="s">
        <v>325</v>
      </c>
      <c r="B136" s="938"/>
      <c r="C136" s="938"/>
      <c r="D136" s="938"/>
      <c r="E136" s="938"/>
      <c r="F136" s="938"/>
      <c r="G136" s="938"/>
      <c r="H136" s="938"/>
      <c r="I136" s="938"/>
      <c r="J136" s="938"/>
    </row>
    <row r="137" spans="1:15" ht="26.25">
      <c r="A137" s="245"/>
      <c r="B137" s="246"/>
      <c r="C137" s="246"/>
      <c r="D137" s="165"/>
      <c r="E137" s="165"/>
      <c r="F137" s="165"/>
      <c r="G137" s="495"/>
      <c r="H137" s="156"/>
      <c r="I137" s="165"/>
      <c r="J137" s="327"/>
    </row>
    <row r="138" spans="1:15" ht="25.5">
      <c r="A138" s="901" t="s">
        <v>185</v>
      </c>
      <c r="B138" s="901"/>
      <c r="C138" s="901"/>
      <c r="D138" s="151" t="s">
        <v>183</v>
      </c>
      <c r="E138" s="95">
        <f>'18 '!F138</f>
        <v>885732</v>
      </c>
      <c r="F138" s="147">
        <v>885869</v>
      </c>
      <c r="G138" s="475">
        <f t="shared" ref="G138:G152" si="11">F138-E138</f>
        <v>137</v>
      </c>
      <c r="H138" s="99">
        <f>G138+'18 '!H138</f>
        <v>2591.2999999999993</v>
      </c>
      <c r="I138" s="118"/>
      <c r="J138" s="328">
        <f>H138/DAY(B2)</f>
        <v>136.38421052631574</v>
      </c>
    </row>
    <row r="139" spans="1:15" ht="25.5">
      <c r="A139" s="901" t="s">
        <v>186</v>
      </c>
      <c r="B139" s="901"/>
      <c r="C139" s="901"/>
      <c r="D139" s="151" t="s">
        <v>183</v>
      </c>
      <c r="E139" s="95">
        <f>'18 '!F139</f>
        <v>902204</v>
      </c>
      <c r="F139" s="148">
        <v>902354</v>
      </c>
      <c r="G139" s="475">
        <f t="shared" si="11"/>
        <v>150</v>
      </c>
      <c r="H139" s="99">
        <f>G139+'18 '!H139</f>
        <v>2899</v>
      </c>
      <c r="I139" s="118"/>
      <c r="J139" s="328">
        <f>H139/DAY(B2)</f>
        <v>152.57894736842104</v>
      </c>
    </row>
    <row r="140" spans="1:15" ht="25.5">
      <c r="A140" s="901" t="s">
        <v>187</v>
      </c>
      <c r="B140" s="901"/>
      <c r="C140" s="901"/>
      <c r="D140" s="151" t="s">
        <v>183</v>
      </c>
      <c r="E140" s="95">
        <f>'18 '!F140</f>
        <v>873</v>
      </c>
      <c r="F140" s="149">
        <v>887</v>
      </c>
      <c r="G140" s="475">
        <f t="shared" si="11"/>
        <v>14</v>
      </c>
      <c r="H140" s="99">
        <f>G140+'18 '!H140</f>
        <v>238.24</v>
      </c>
      <c r="I140" s="118"/>
      <c r="J140" s="328">
        <f>H140/DAY(B2)</f>
        <v>12.538947368421054</v>
      </c>
    </row>
    <row r="141" spans="1:15" ht="25.5">
      <c r="A141" s="905" t="s">
        <v>188</v>
      </c>
      <c r="B141" s="905"/>
      <c r="C141" s="905"/>
      <c r="D141" s="151" t="s">
        <v>183</v>
      </c>
      <c r="E141" s="95">
        <f>'18 '!F141</f>
        <v>81649</v>
      </c>
      <c r="F141" s="149">
        <v>81870</v>
      </c>
      <c r="G141" s="475">
        <f t="shared" si="11"/>
        <v>221</v>
      </c>
      <c r="H141" s="99">
        <f>G141+'18 '!H141</f>
        <v>3918</v>
      </c>
      <c r="I141" s="118"/>
      <c r="J141" s="328">
        <f>H141/DAY(B2)</f>
        <v>206.21052631578948</v>
      </c>
    </row>
    <row r="142" spans="1:15" ht="25.5">
      <c r="A142" s="905" t="s">
        <v>189</v>
      </c>
      <c r="B142" s="905"/>
      <c r="C142" s="905"/>
      <c r="D142" s="151" t="s">
        <v>183</v>
      </c>
      <c r="E142" s="95">
        <f>'18 '!F142</f>
        <v>33248</v>
      </c>
      <c r="F142" s="148">
        <v>33396</v>
      </c>
      <c r="G142" s="475">
        <f t="shared" si="11"/>
        <v>148</v>
      </c>
      <c r="H142" s="99">
        <f>G142+'18 '!H142</f>
        <v>2870</v>
      </c>
      <c r="I142" s="140"/>
      <c r="J142" s="328">
        <f>H142/DAY(B2)</f>
        <v>151.05263157894737</v>
      </c>
    </row>
    <row r="143" spans="1:15" ht="25.5">
      <c r="A143" s="901" t="s">
        <v>91</v>
      </c>
      <c r="B143" s="901"/>
      <c r="C143" s="901"/>
      <c r="D143" s="151" t="s">
        <v>183</v>
      </c>
      <c r="E143" s="95">
        <f>'18 '!F143</f>
        <v>7817</v>
      </c>
      <c r="F143" s="149">
        <v>7845</v>
      </c>
      <c r="G143" s="475">
        <f t="shared" si="11"/>
        <v>28</v>
      </c>
      <c r="H143" s="99">
        <f>G143+'18 '!H143</f>
        <v>539</v>
      </c>
      <c r="I143" s="140"/>
      <c r="J143" s="328">
        <f>H143/DAY(B2)</f>
        <v>28.368421052631579</v>
      </c>
    </row>
    <row r="144" spans="1:15" ht="25.5">
      <c r="A144" s="905" t="s">
        <v>90</v>
      </c>
      <c r="B144" s="905"/>
      <c r="C144" s="905"/>
      <c r="D144" s="151" t="s">
        <v>183</v>
      </c>
      <c r="E144" s="95">
        <f>'18 '!F144</f>
        <v>909398</v>
      </c>
      <c r="F144" s="149">
        <v>909648</v>
      </c>
      <c r="G144" s="475">
        <f t="shared" si="11"/>
        <v>250</v>
      </c>
      <c r="H144" s="99">
        <f>G144+'18 '!H144</f>
        <v>4595</v>
      </c>
      <c r="I144" s="140"/>
      <c r="J144" s="328">
        <f>H144/DAY(B2)</f>
        <v>241.84210526315789</v>
      </c>
    </row>
    <row r="145" spans="1:10" ht="25.5">
      <c r="A145" s="901" t="s">
        <v>190</v>
      </c>
      <c r="B145" s="901"/>
      <c r="C145" s="901"/>
      <c r="D145" s="152" t="s">
        <v>183</v>
      </c>
      <c r="E145" s="95">
        <f>'18 '!F145</f>
        <v>5665</v>
      </c>
      <c r="F145" s="149">
        <v>5665</v>
      </c>
      <c r="G145" s="475">
        <f t="shared" si="11"/>
        <v>0</v>
      </c>
      <c r="H145" s="99">
        <f>G145+'18 '!H145</f>
        <v>1</v>
      </c>
      <c r="I145" s="140"/>
      <c r="J145" s="328">
        <f>H145/DAY(B2)</f>
        <v>5.2631578947368418E-2</v>
      </c>
    </row>
    <row r="146" spans="1:10" ht="25.5">
      <c r="A146" s="902" t="s">
        <v>191</v>
      </c>
      <c r="B146" s="903"/>
      <c r="C146" s="904"/>
      <c r="D146" s="152" t="s">
        <v>183</v>
      </c>
      <c r="E146" s="95">
        <f>'18 '!F146</f>
        <v>778767</v>
      </c>
      <c r="F146" s="148">
        <v>778805</v>
      </c>
      <c r="G146" s="475">
        <f t="shared" si="11"/>
        <v>38</v>
      </c>
      <c r="H146" s="99">
        <f>G146+'18 '!H146</f>
        <v>937</v>
      </c>
      <c r="I146" s="140"/>
      <c r="J146" s="328">
        <f>H146/DAY(B2)</f>
        <v>49.315789473684212</v>
      </c>
    </row>
    <row r="147" spans="1:10" ht="25.5">
      <c r="A147" s="905" t="s">
        <v>192</v>
      </c>
      <c r="B147" s="905"/>
      <c r="C147" s="905"/>
      <c r="D147" s="152" t="s">
        <v>183</v>
      </c>
      <c r="E147" s="95">
        <f>'18 '!F147</f>
        <v>682888</v>
      </c>
      <c r="F147" s="148">
        <v>683269</v>
      </c>
      <c r="G147" s="475">
        <f t="shared" si="11"/>
        <v>381</v>
      </c>
      <c r="H147" s="99">
        <f>G147+'18 '!H147</f>
        <v>7421</v>
      </c>
      <c r="I147" s="140"/>
      <c r="J147" s="328">
        <f>H147/DAY(B2)</f>
        <v>390.57894736842104</v>
      </c>
    </row>
    <row r="148" spans="1:10" ht="25.5">
      <c r="A148" s="897" t="s">
        <v>193</v>
      </c>
      <c r="B148" s="898"/>
      <c r="C148" s="899"/>
      <c r="D148" s="123" t="s">
        <v>130</v>
      </c>
      <c r="E148" s="95">
        <f>'18 '!F148</f>
        <v>734887</v>
      </c>
      <c r="F148" s="150">
        <v>735404</v>
      </c>
      <c r="G148" s="475">
        <f t="shared" si="11"/>
        <v>517</v>
      </c>
      <c r="H148" s="99">
        <f>G148+'18 '!H148</f>
        <v>5659</v>
      </c>
      <c r="I148" s="124"/>
      <c r="J148" s="328">
        <f>H148/DAY(B2)</f>
        <v>297.84210526315792</v>
      </c>
    </row>
    <row r="149" spans="1:10" ht="25.5">
      <c r="A149" s="897" t="s">
        <v>336</v>
      </c>
      <c r="B149" s="898"/>
      <c r="C149" s="899"/>
      <c r="D149" s="227" t="s">
        <v>130</v>
      </c>
      <c r="E149" s="95">
        <f>'18 '!F149</f>
        <v>110848</v>
      </c>
      <c r="F149" s="416">
        <v>111327</v>
      </c>
      <c r="G149" s="475">
        <f t="shared" si="11"/>
        <v>479</v>
      </c>
      <c r="H149" s="99">
        <f>G149+'18 '!H149</f>
        <v>10432</v>
      </c>
      <c r="I149" s="119"/>
      <c r="J149" s="328">
        <f>H149/DAY(B2)</f>
        <v>549.0526315789474</v>
      </c>
    </row>
    <row r="150" spans="1:10" ht="25.5">
      <c r="A150" s="897" t="s">
        <v>337</v>
      </c>
      <c r="B150" s="898"/>
      <c r="C150" s="899"/>
      <c r="D150" s="117" t="s">
        <v>130</v>
      </c>
      <c r="E150" s="95">
        <f>'18 '!F150</f>
        <v>41125</v>
      </c>
      <c r="F150" s="233">
        <v>41346</v>
      </c>
      <c r="G150" s="475">
        <f t="shared" si="11"/>
        <v>221</v>
      </c>
      <c r="H150" s="99">
        <f>G150+'18 '!H150</f>
        <v>4130</v>
      </c>
      <c r="I150" s="119"/>
      <c r="J150" s="328">
        <f>H150/DAY(B2)</f>
        <v>217.36842105263159</v>
      </c>
    </row>
    <row r="151" spans="1:10" ht="25.5">
      <c r="A151" s="897" t="s">
        <v>338</v>
      </c>
      <c r="B151" s="898"/>
      <c r="C151" s="899"/>
      <c r="D151" s="117" t="s">
        <v>130</v>
      </c>
      <c r="E151" s="95">
        <f>'18 '!F151</f>
        <v>123298</v>
      </c>
      <c r="F151" s="233">
        <v>123589</v>
      </c>
      <c r="G151" s="475">
        <f t="shared" si="11"/>
        <v>291</v>
      </c>
      <c r="H151" s="99">
        <f>G151+'18 '!H151</f>
        <v>5452</v>
      </c>
      <c r="I151" s="119"/>
      <c r="J151" s="328">
        <f>H151/DAY(B2)</f>
        <v>286.94736842105266</v>
      </c>
    </row>
    <row r="152" spans="1:10" ht="25.5">
      <c r="A152" s="897" t="s">
        <v>339</v>
      </c>
      <c r="B152" s="898"/>
      <c r="C152" s="899"/>
      <c r="D152" s="117" t="s">
        <v>130</v>
      </c>
      <c r="E152" s="95">
        <f>'18 '!F152</f>
        <v>17744</v>
      </c>
      <c r="F152" s="233">
        <v>17874</v>
      </c>
      <c r="G152" s="475">
        <f t="shared" si="11"/>
        <v>130</v>
      </c>
      <c r="H152" s="99">
        <f>G152+'18 '!H152</f>
        <v>6718</v>
      </c>
      <c r="I152" s="119"/>
      <c r="J152" s="328">
        <f>H152/DAY(B2)</f>
        <v>353.57894736842104</v>
      </c>
    </row>
    <row r="153" spans="1:10" ht="25.5">
      <c r="A153" s="934" t="s">
        <v>196</v>
      </c>
      <c r="B153" s="935"/>
      <c r="C153" s="365"/>
      <c r="D153" s="358"/>
      <c r="E153" s="360"/>
      <c r="F153" s="361"/>
      <c r="G153" s="497">
        <f>SUM(G138:G152)</f>
        <v>3005</v>
      </c>
      <c r="H153" s="363"/>
      <c r="I153" s="119">
        <f>G153-(G38+G52)</f>
        <v>663</v>
      </c>
      <c r="J153" s="366"/>
    </row>
    <row r="154" spans="1:10" ht="27.75">
      <c r="A154" s="938" t="s">
        <v>207</v>
      </c>
      <c r="B154" s="938"/>
      <c r="C154" s="938"/>
      <c r="D154" s="938"/>
      <c r="E154" s="938"/>
      <c r="F154" s="938"/>
      <c r="G154" s="938"/>
      <c r="H154" s="938"/>
      <c r="I154" s="938"/>
      <c r="J154" s="938"/>
    </row>
    <row r="155" spans="1:10" ht="27.75">
      <c r="A155" s="905" t="s">
        <v>345</v>
      </c>
      <c r="B155" s="905"/>
      <c r="C155" s="905"/>
      <c r="D155" s="117" t="s">
        <v>130</v>
      </c>
      <c r="E155" s="95">
        <f>'18 '!F155</f>
        <v>123116</v>
      </c>
      <c r="F155" s="157">
        <v>123763</v>
      </c>
      <c r="G155" s="475">
        <f t="shared" ref="G155:G158" si="12">F155-E155</f>
        <v>647</v>
      </c>
      <c r="H155" s="99">
        <f>G155+'18 '!H155</f>
        <v>11788</v>
      </c>
      <c r="I155" s="364"/>
      <c r="J155" s="328">
        <f>H155/DAY(B2)</f>
        <v>620.42105263157896</v>
      </c>
    </row>
    <row r="156" spans="1:10" ht="25.5">
      <c r="A156" s="905" t="s">
        <v>347</v>
      </c>
      <c r="B156" s="905"/>
      <c r="C156" s="905"/>
      <c r="D156" s="117" t="s">
        <v>130</v>
      </c>
      <c r="E156" s="95">
        <f>'18 '!F156</f>
        <v>11076</v>
      </c>
      <c r="F156" s="157">
        <v>11156</v>
      </c>
      <c r="G156" s="475">
        <f t="shared" si="12"/>
        <v>80</v>
      </c>
      <c r="H156" s="99">
        <f>G156+'18 '!H156</f>
        <v>1471</v>
      </c>
      <c r="I156" s="165"/>
      <c r="J156" s="328">
        <f>H156/DAY(B2)</f>
        <v>77.421052631578945</v>
      </c>
    </row>
    <row r="157" spans="1:10" ht="25.5">
      <c r="A157" s="897" t="s">
        <v>360</v>
      </c>
      <c r="B157" s="898"/>
      <c r="C157" s="899"/>
      <c r="D157" s="117" t="s">
        <v>130</v>
      </c>
      <c r="E157" s="95">
        <f>'18 '!F157</f>
        <v>21208</v>
      </c>
      <c r="F157" s="374">
        <v>21391</v>
      </c>
      <c r="G157" s="475">
        <f t="shared" si="12"/>
        <v>183</v>
      </c>
      <c r="H157" s="99"/>
      <c r="I157" s="165"/>
      <c r="J157" s="328"/>
    </row>
    <row r="158" spans="1:10" ht="25.5">
      <c r="A158" s="897" t="s">
        <v>361</v>
      </c>
      <c r="B158" s="898"/>
      <c r="C158" s="899"/>
      <c r="D158" s="117" t="s">
        <v>130</v>
      </c>
      <c r="E158" s="95">
        <f>'18 '!F158</f>
        <v>190</v>
      </c>
      <c r="F158" s="374">
        <v>190</v>
      </c>
      <c r="G158" s="475">
        <f t="shared" si="12"/>
        <v>0</v>
      </c>
      <c r="H158" s="99"/>
      <c r="I158" s="165"/>
      <c r="J158" s="328"/>
    </row>
    <row r="159" spans="1:10" ht="25.5">
      <c r="A159" s="956"/>
      <c r="B159" s="957"/>
      <c r="C159" s="958"/>
      <c r="D159" s="117"/>
      <c r="E159" s="95"/>
      <c r="F159" s="165"/>
      <c r="G159" s="475"/>
      <c r="H159" s="99"/>
      <c r="I159" s="165"/>
      <c r="J159" s="328"/>
    </row>
    <row r="160" spans="1:10" ht="27.75">
      <c r="A160" s="938" t="s">
        <v>326</v>
      </c>
      <c r="B160" s="938"/>
      <c r="C160" s="938"/>
      <c r="D160" s="938"/>
      <c r="E160" s="938"/>
      <c r="F160" s="938"/>
      <c r="G160" s="938"/>
      <c r="H160" s="938"/>
      <c r="I160" s="938"/>
      <c r="J160" s="938"/>
    </row>
    <row r="161" spans="1:10" ht="26.25">
      <c r="A161" s="242" t="s">
        <v>92</v>
      </c>
      <c r="B161" s="243"/>
      <c r="C161" s="243"/>
      <c r="D161" s="244" t="s">
        <v>180</v>
      </c>
      <c r="E161" s="95">
        <f>'18 '!F161</f>
        <v>476669</v>
      </c>
      <c r="F161" s="235">
        <v>476679</v>
      </c>
      <c r="G161" s="498">
        <f t="shared" ref="G161:G165" si="13">F161-E161</f>
        <v>10</v>
      </c>
      <c r="H161" s="99">
        <f>G161+'18 '!H161</f>
        <v>13</v>
      </c>
      <c r="I161" s="236"/>
      <c r="J161" s="239">
        <f>H161/DAY(B2)</f>
        <v>0.68421052631578949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'18 '!F162</f>
        <v>93358</v>
      </c>
      <c r="F162" s="235">
        <v>93374</v>
      </c>
      <c r="G162" s="498">
        <f t="shared" si="13"/>
        <v>16</v>
      </c>
      <c r="H162" s="99">
        <f>G162+'18 '!H162</f>
        <v>647</v>
      </c>
      <c r="I162" s="236"/>
      <c r="J162" s="239">
        <f>H162/DAY(B2)</f>
        <v>34.05263157894737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'18 '!F163</f>
        <v>100071</v>
      </c>
      <c r="F163" s="235">
        <v>100226</v>
      </c>
      <c r="G163" s="498">
        <f t="shared" si="13"/>
        <v>155</v>
      </c>
      <c r="H163" s="99">
        <f>G163+'18 '!H163</f>
        <v>3091</v>
      </c>
      <c r="I163" s="236"/>
      <c r="J163" s="239">
        <f>H163/DAY(B2)</f>
        <v>162.68421052631578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'18 '!F164</f>
        <v>5747</v>
      </c>
      <c r="F164" s="235">
        <v>5756</v>
      </c>
      <c r="G164" s="498">
        <f t="shared" si="13"/>
        <v>9</v>
      </c>
      <c r="H164" s="99">
        <f>G164+'18 '!H164</f>
        <v>214</v>
      </c>
      <c r="I164" s="236"/>
      <c r="J164" s="239">
        <f>H164/DAY(B2)</f>
        <v>11.263157894736842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'18 '!F165</f>
        <v>31217</v>
      </c>
      <c r="F165" s="235">
        <v>31223</v>
      </c>
      <c r="G165" s="498">
        <f t="shared" si="13"/>
        <v>6</v>
      </c>
      <c r="H165" s="99">
        <f>G165+'18 '!H165</f>
        <v>209</v>
      </c>
      <c r="I165" s="236"/>
      <c r="J165" s="239">
        <f>H165/DAY(B2)</f>
        <v>11</v>
      </c>
    </row>
    <row r="166" spans="1:10" ht="26.25">
      <c r="A166" s="937"/>
      <c r="B166" s="937"/>
      <c r="C166" s="246"/>
      <c r="D166" s="244"/>
      <c r="E166" s="95"/>
      <c r="F166" s="165"/>
      <c r="G166" s="495"/>
      <c r="H166" s="99"/>
      <c r="I166" s="165"/>
      <c r="J166" s="239"/>
    </row>
    <row r="167" spans="1:10" ht="26.25">
      <c r="A167" s="937"/>
      <c r="B167" s="937"/>
      <c r="C167" s="246"/>
      <c r="D167" s="244"/>
      <c r="E167" s="95"/>
      <c r="F167" s="165"/>
      <c r="G167" s="495"/>
      <c r="H167" s="99"/>
      <c r="I167" s="165"/>
      <c r="J167" s="239"/>
    </row>
    <row r="168" spans="1:10" ht="26.25">
      <c r="A168" s="937"/>
      <c r="B168" s="937"/>
      <c r="C168" s="246"/>
      <c r="D168" s="244"/>
      <c r="E168" s="95"/>
      <c r="F168" s="165"/>
      <c r="G168" s="495"/>
      <c r="H168" s="99"/>
      <c r="I168" s="165"/>
      <c r="J168" s="239"/>
    </row>
    <row r="169" spans="1:10" ht="26.25"/>
    <row r="170" spans="1:10" ht="26.25"/>
    <row r="171" spans="1:10" ht="27.75">
      <c r="A171" s="947" t="s">
        <v>330</v>
      </c>
      <c r="B171" s="948"/>
      <c r="C171" s="948"/>
      <c r="D171" s="948"/>
      <c r="E171" s="948"/>
      <c r="F171" s="948"/>
      <c r="G171" s="948"/>
      <c r="H171" s="948"/>
      <c r="I171" s="948"/>
      <c r="J171" s="949"/>
    </row>
    <row r="172" spans="1:10" ht="25.5">
      <c r="A172" s="943"/>
      <c r="B172" s="944"/>
      <c r="C172" s="332"/>
      <c r="D172" s="228"/>
      <c r="E172" s="155"/>
      <c r="F172" s="155"/>
      <c r="G172" s="499"/>
      <c r="H172" s="156"/>
      <c r="I172" s="155"/>
      <c r="J172" s="178"/>
    </row>
    <row r="173" spans="1:10" ht="25.5">
      <c r="A173" s="895" t="s">
        <v>209</v>
      </c>
      <c r="B173" s="896"/>
      <c r="C173" s="333"/>
      <c r="D173" s="228" t="s">
        <v>142</v>
      </c>
      <c r="E173" s="95">
        <f>'18 '!F173</f>
        <v>8276</v>
      </c>
      <c r="F173" s="157">
        <v>8276</v>
      </c>
      <c r="G173" s="499">
        <f>F173-E173</f>
        <v>0</v>
      </c>
      <c r="H173" s="99">
        <f>G173+'18 '!H173</f>
        <v>12</v>
      </c>
      <c r="I173" s="155"/>
      <c r="J173" s="178">
        <f>H173/DAY(B2)</f>
        <v>0.63157894736842102</v>
      </c>
    </row>
    <row r="174" spans="1:10" ht="25.5">
      <c r="A174" s="895" t="s">
        <v>75</v>
      </c>
      <c r="B174" s="896"/>
      <c r="C174" s="333"/>
      <c r="D174" s="228" t="s">
        <v>142</v>
      </c>
      <c r="E174" s="95">
        <f>'18 '!F174</f>
        <v>40598</v>
      </c>
      <c r="F174" s="157">
        <v>40614</v>
      </c>
      <c r="G174" s="499">
        <f t="shared" ref="G174:G175" si="14">F174-E174</f>
        <v>16</v>
      </c>
      <c r="H174" s="99">
        <f>G174+'18 '!H174</f>
        <v>282</v>
      </c>
      <c r="I174" s="155"/>
      <c r="J174" s="178">
        <f>H174/DAY(B2)</f>
        <v>14.842105263157896</v>
      </c>
    </row>
    <row r="175" spans="1:10" ht="25.5">
      <c r="A175" s="895" t="s">
        <v>76</v>
      </c>
      <c r="B175" s="900"/>
      <c r="C175" s="896"/>
      <c r="D175" s="228" t="s">
        <v>142</v>
      </c>
      <c r="E175" s="95">
        <f>'18 '!F175</f>
        <v>23515</v>
      </c>
      <c r="F175" s="155">
        <v>23526</v>
      </c>
      <c r="G175" s="499">
        <f t="shared" si="14"/>
        <v>11</v>
      </c>
      <c r="H175" s="99">
        <f>G175+'18 '!H175</f>
        <v>268</v>
      </c>
      <c r="I175" s="155"/>
      <c r="J175" s="178">
        <f>H175/DAY(B2)</f>
        <v>14.105263157894736</v>
      </c>
    </row>
    <row r="176" spans="1:10" ht="25.5">
      <c r="A176" s="934" t="s">
        <v>196</v>
      </c>
      <c r="B176" s="935"/>
      <c r="C176" s="401"/>
      <c r="D176" s="228" t="s">
        <v>142</v>
      </c>
      <c r="E176" s="95"/>
      <c r="F176" s="155"/>
      <c r="G176" s="499">
        <f>SUM(G173:G175)</f>
        <v>27</v>
      </c>
      <c r="H176" s="99">
        <f>G176+'18 '!H176</f>
        <v>562</v>
      </c>
      <c r="I176" s="155"/>
      <c r="J176" s="178">
        <f>H176/DAY(B2)</f>
        <v>29.578947368421051</v>
      </c>
    </row>
    <row r="177" spans="1:11" ht="25.5">
      <c r="A177" s="895" t="s">
        <v>77</v>
      </c>
      <c r="B177" s="896"/>
      <c r="C177" s="333"/>
      <c r="D177" s="228" t="s">
        <v>142</v>
      </c>
      <c r="E177" s="95"/>
      <c r="F177" s="155"/>
      <c r="G177" s="499"/>
      <c r="H177" s="99">
        <f>G177+'18 '!H177</f>
        <v>0</v>
      </c>
      <c r="I177" s="155"/>
      <c r="J177" s="178">
        <f>H177/DAY(B2)</f>
        <v>0</v>
      </c>
    </row>
    <row r="178" spans="1:11" ht="25.5">
      <c r="A178" s="895" t="s">
        <v>210</v>
      </c>
      <c r="B178" s="896"/>
      <c r="C178" s="333"/>
      <c r="D178" s="228" t="s">
        <v>142</v>
      </c>
      <c r="E178" s="95">
        <f>'18 '!F178</f>
        <v>93722</v>
      </c>
      <c r="F178" s="155">
        <v>93833</v>
      </c>
      <c r="G178" s="499">
        <f>F178-E178</f>
        <v>111</v>
      </c>
      <c r="H178" s="99">
        <f>G178+'18 '!H178</f>
        <v>2011</v>
      </c>
      <c r="I178" s="155"/>
      <c r="J178" s="178">
        <f>H178/DAY(B2)</f>
        <v>105.84210526315789</v>
      </c>
    </row>
    <row r="179" spans="1:11" ht="25.5">
      <c r="A179" s="895" t="s">
        <v>211</v>
      </c>
      <c r="B179" s="896"/>
      <c r="C179" s="333"/>
      <c r="D179" s="228" t="s">
        <v>142</v>
      </c>
      <c r="E179" s="95">
        <f>'18 '!F179</f>
        <v>36002</v>
      </c>
      <c r="F179" s="155">
        <v>36002</v>
      </c>
      <c r="G179" s="499">
        <f t="shared" ref="G179:G180" si="15">F179-E179</f>
        <v>0</v>
      </c>
      <c r="H179" s="99">
        <f>G179+'18 '!H179</f>
        <v>218</v>
      </c>
      <c r="I179" s="155"/>
      <c r="J179" s="178">
        <f>H179/DAY(B2)</f>
        <v>11.473684210526315</v>
      </c>
    </row>
    <row r="180" spans="1:11" ht="25.5">
      <c r="A180" s="895" t="s">
        <v>212</v>
      </c>
      <c r="B180" s="896"/>
      <c r="C180" s="333"/>
      <c r="D180" s="228" t="s">
        <v>142</v>
      </c>
      <c r="E180" s="95">
        <f>'18 '!F180</f>
        <v>6814</v>
      </c>
      <c r="F180" s="155">
        <v>6816</v>
      </c>
      <c r="G180" s="499">
        <f t="shared" si="15"/>
        <v>2</v>
      </c>
      <c r="H180" s="99">
        <f>G180+'18 '!H180</f>
        <v>146</v>
      </c>
      <c r="I180" s="155"/>
      <c r="J180" s="178">
        <f>H180/DAY(B2)</f>
        <v>7.6842105263157894</v>
      </c>
    </row>
    <row r="181" spans="1:11" ht="25.5">
      <c r="A181" s="941" t="s">
        <v>108</v>
      </c>
      <c r="B181" s="942"/>
      <c r="C181" s="401"/>
      <c r="D181" s="228" t="s">
        <v>142</v>
      </c>
      <c r="E181" s="95"/>
      <c r="F181" s="155"/>
      <c r="G181" s="499">
        <f>SUM(G178:G180)</f>
        <v>113</v>
      </c>
      <c r="H181" s="99">
        <f>G181+'18 '!H181</f>
        <v>2375</v>
      </c>
      <c r="I181" s="155"/>
      <c r="J181" s="178">
        <f>H181/DAY(B2)</f>
        <v>125</v>
      </c>
    </row>
    <row r="182" spans="1:11" ht="25.5">
      <c r="A182" s="895" t="s">
        <v>213</v>
      </c>
      <c r="B182" s="896"/>
      <c r="C182" s="333"/>
      <c r="D182" s="228" t="s">
        <v>142</v>
      </c>
      <c r="E182" s="95"/>
      <c r="F182" s="155"/>
      <c r="G182" s="499"/>
      <c r="H182" s="99">
        <f>G182+'18 '!H182</f>
        <v>0</v>
      </c>
      <c r="I182" s="155"/>
      <c r="J182" s="178">
        <f>H182/DAY(B2)</f>
        <v>0</v>
      </c>
    </row>
    <row r="183" spans="1:11" ht="25.5">
      <c r="A183" s="895" t="s">
        <v>214</v>
      </c>
      <c r="B183" s="896"/>
      <c r="C183" s="334"/>
      <c r="D183" s="228" t="s">
        <v>142</v>
      </c>
      <c r="E183" s="95">
        <f>'18 '!F183</f>
        <v>17192</v>
      </c>
      <c r="F183" s="157">
        <v>17206</v>
      </c>
      <c r="G183" s="500">
        <f>F183-E183</f>
        <v>14</v>
      </c>
      <c r="H183" s="99">
        <f>G183+'18 '!H183</f>
        <v>251</v>
      </c>
      <c r="I183" s="155"/>
      <c r="J183" s="178">
        <f>H183/DAY(B2)</f>
        <v>13.210526315789474</v>
      </c>
    </row>
    <row r="184" spans="1:11" ht="25.5">
      <c r="A184" s="895" t="s">
        <v>215</v>
      </c>
      <c r="B184" s="896"/>
      <c r="C184" s="334"/>
      <c r="D184" s="228" t="s">
        <v>142</v>
      </c>
      <c r="E184" s="95">
        <f>'18 '!F184</f>
        <v>11608</v>
      </c>
      <c r="F184" s="157">
        <v>11615</v>
      </c>
      <c r="G184" s="500">
        <f t="shared" ref="G184:G185" si="16">F184-E184</f>
        <v>7</v>
      </c>
      <c r="H184" s="99">
        <f>G184+'18 '!H184</f>
        <v>129</v>
      </c>
      <c r="I184" s="155"/>
      <c r="J184" s="178">
        <f>H184/DAY(B2)</f>
        <v>6.7894736842105265</v>
      </c>
    </row>
    <row r="185" spans="1:11" ht="30.75" customHeight="1">
      <c r="A185" s="895" t="s">
        <v>216</v>
      </c>
      <c r="B185" s="896"/>
      <c r="C185" s="334"/>
      <c r="D185" s="228" t="s">
        <v>142</v>
      </c>
      <c r="E185" s="95">
        <f>'18 '!F185</f>
        <v>0</v>
      </c>
      <c r="F185" s="157"/>
      <c r="G185" s="500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5.5">
      <c r="A186" s="934" t="s">
        <v>196</v>
      </c>
      <c r="B186" s="935"/>
      <c r="C186" s="400"/>
      <c r="D186" s="228" t="s">
        <v>142</v>
      </c>
      <c r="E186" s="95"/>
      <c r="F186" s="157"/>
      <c r="G186" s="500">
        <f>SUM(G183:G185)</f>
        <v>21</v>
      </c>
      <c r="H186" s="99">
        <f>G186+'18 '!H186</f>
        <v>380</v>
      </c>
      <c r="I186" s="157"/>
      <c r="J186" s="178">
        <f>H186/DAY(B2)</f>
        <v>20</v>
      </c>
    </row>
    <row r="187" spans="1:11" ht="25.5">
      <c r="A187" s="945" t="s">
        <v>217</v>
      </c>
      <c r="B187" s="946"/>
      <c r="C187" s="333"/>
      <c r="D187" s="230" t="s">
        <v>142</v>
      </c>
      <c r="E187" s="95"/>
      <c r="F187" s="159"/>
      <c r="G187" s="501">
        <f>G62+G19</f>
        <v>168</v>
      </c>
      <c r="H187" s="99">
        <f>G187+'18 '!H187</f>
        <v>3688</v>
      </c>
      <c r="I187" s="158"/>
      <c r="J187" s="179">
        <f>H187/DAY(B2)</f>
        <v>194.10526315789474</v>
      </c>
    </row>
    <row r="188" spans="1:11" ht="25.5">
      <c r="A188" s="945" t="s">
        <v>218</v>
      </c>
      <c r="B188" s="946"/>
      <c r="C188" s="333"/>
      <c r="D188" s="230" t="s">
        <v>142</v>
      </c>
      <c r="E188" s="95"/>
      <c r="F188" s="159"/>
      <c r="G188" s="501">
        <f>G65+G66+G67+G69+G70</f>
        <v>152</v>
      </c>
      <c r="H188" s="99">
        <f>G188+'18 '!H188</f>
        <v>766</v>
      </c>
      <c r="I188" s="158"/>
      <c r="J188" s="179">
        <f>H188/DAY(B2)</f>
        <v>40.315789473684212</v>
      </c>
    </row>
    <row r="189" spans="1:11" ht="25.5">
      <c r="A189" s="945" t="s">
        <v>219</v>
      </c>
      <c r="B189" s="946"/>
      <c r="C189" s="333"/>
      <c r="D189" s="230" t="s">
        <v>142</v>
      </c>
      <c r="E189" s="95"/>
      <c r="F189" s="157"/>
      <c r="G189" s="501">
        <f>G181</f>
        <v>113</v>
      </c>
      <c r="H189" s="99">
        <f>G189+'30'!H238</f>
        <v>113</v>
      </c>
      <c r="I189" s="158"/>
      <c r="J189" s="179">
        <f>H189/DAY(B2)</f>
        <v>5.9473684210526319</v>
      </c>
    </row>
    <row r="190" spans="1:11" ht="23.25" customHeight="1">
      <c r="A190" s="245"/>
      <c r="B190" s="246"/>
      <c r="C190" s="246"/>
      <c r="D190" s="165"/>
      <c r="E190" s="165"/>
      <c r="F190" s="456"/>
      <c r="G190" s="495"/>
      <c r="H190" s="238"/>
      <c r="I190" s="99"/>
      <c r="J190" s="236"/>
      <c r="K190" s="239" t="e">
        <f>I190/DAY(C27)</f>
        <v>#DIV/0!</v>
      </c>
    </row>
    <row r="191" spans="1:11" ht="26.25"/>
    <row r="192" spans="1:11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topLeftCell="A22" zoomScale="55" zoomScaleSheetLayoutView="55" zoomScalePageLayoutView="78" workbookViewId="0">
      <selection activeCell="N57" sqref="N57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6" t="s">
        <v>115</v>
      </c>
      <c r="B1" s="877"/>
      <c r="C1" s="877"/>
      <c r="D1" s="877"/>
      <c r="E1" s="877"/>
      <c r="F1" s="877"/>
      <c r="G1" s="877"/>
      <c r="H1" s="877"/>
      <c r="I1" s="877"/>
      <c r="J1" s="878"/>
    </row>
    <row r="2" spans="1:15" s="57" customFormat="1" ht="23.25">
      <c r="A2" s="191" t="s">
        <v>355</v>
      </c>
      <c r="B2" s="262">
        <v>44732</v>
      </c>
      <c r="C2" s="348" t="s">
        <v>67</v>
      </c>
      <c r="D2" s="218">
        <v>0.94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85" t="s">
        <v>119</v>
      </c>
      <c r="F3" s="886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9" t="s">
        <v>128</v>
      </c>
      <c r="B6" s="880"/>
      <c r="C6" s="88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'19'!F7</f>
        <v>224815</v>
      </c>
      <c r="F7" s="95">
        <v>253239</v>
      </c>
      <c r="G7" s="112">
        <f>F7-E7</f>
        <v>28424</v>
      </c>
      <c r="H7" s="99">
        <f>G7+'19'!H7</f>
        <v>560412</v>
      </c>
      <c r="I7" s="113">
        <v>24000</v>
      </c>
      <c r="J7" s="175">
        <f>H7/DAY(B2)</f>
        <v>28020.6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'19'!F8</f>
        <v>358849</v>
      </c>
      <c r="F8" s="114">
        <v>387563</v>
      </c>
      <c r="G8" s="115">
        <f>F8-E8</f>
        <v>28714</v>
      </c>
      <c r="H8" s="99">
        <f>G8+'19'!H8</f>
        <v>578904.10000000009</v>
      </c>
      <c r="I8" s="116"/>
      <c r="J8" s="175">
        <f>H8/DAY(B2)</f>
        <v>28945.205000000005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'19'!F9</f>
        <v>2761210</v>
      </c>
      <c r="F9" s="469">
        <v>2780874</v>
      </c>
      <c r="G9" s="112">
        <f>F9-E9</f>
        <v>19664</v>
      </c>
      <c r="H9" s="99">
        <f>G9+'19'!H9</f>
        <v>330765.29999999981</v>
      </c>
      <c r="I9" s="124">
        <f>I7-J7</f>
        <v>-4020.5999999999985</v>
      </c>
      <c r="J9" s="175">
        <f>H9/DAY(B2)</f>
        <v>16538.264999999992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'19'!F10</f>
        <v>1101605</v>
      </c>
      <c r="F10" s="353">
        <v>1109606</v>
      </c>
      <c r="G10" s="112">
        <f t="shared" ref="G10:G12" si="0">F10-E10</f>
        <v>8001</v>
      </c>
      <c r="H10" s="99">
        <f>G10+'19'!H10</f>
        <v>199202.80000000005</v>
      </c>
      <c r="I10" s="282"/>
      <c r="J10" s="175">
        <f>H10/DAY(B2)</f>
        <v>9960.1400000000031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'19'!F11</f>
        <v>37560</v>
      </c>
      <c r="F11" s="95">
        <v>37560</v>
      </c>
      <c r="G11" s="112">
        <f t="shared" si="0"/>
        <v>0</v>
      </c>
      <c r="H11" s="99">
        <f>G11+'19'!H11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'19'!F12</f>
        <v>40380</v>
      </c>
      <c r="F12" s="117">
        <v>40380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27665</v>
      </c>
      <c r="H13" s="99">
        <f>G13+'19'!H13</f>
        <v>529829.09999999986</v>
      </c>
      <c r="I13" s="120">
        <f>G7-G13</f>
        <v>759</v>
      </c>
      <c r="J13" s="175">
        <f>H13/DAY(B2)</f>
        <v>26491.454999999994</v>
      </c>
      <c r="K13" s="79"/>
      <c r="L13" s="66"/>
      <c r="N13" s="87"/>
      <c r="O13" s="71"/>
    </row>
    <row r="14" spans="1:15" ht="26.25">
      <c r="A14" s="882" t="s">
        <v>137</v>
      </c>
      <c r="B14" s="883"/>
      <c r="C14" s="88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'19'!F15</f>
        <v>2057203</v>
      </c>
      <c r="F15" s="469">
        <v>2058217</v>
      </c>
      <c r="G15" s="112">
        <f>(F15-E15)</f>
        <v>1014</v>
      </c>
      <c r="H15" s="99">
        <f>G15+'19'!H15</f>
        <v>21100</v>
      </c>
      <c r="I15" s="113">
        <f>'1'!I15</f>
        <v>800</v>
      </c>
      <c r="J15" s="175">
        <f>H15/DAY(B2)</f>
        <v>1055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-255</v>
      </c>
      <c r="J16" s="176"/>
      <c r="K16" s="79"/>
      <c r="L16" s="66"/>
      <c r="N16" s="87"/>
      <c r="O16" s="71"/>
    </row>
    <row r="17" spans="1:15" ht="26.25">
      <c r="A17" s="882" t="s">
        <v>140</v>
      </c>
      <c r="B17" s="883"/>
      <c r="C17" s="88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3" t="s">
        <v>141</v>
      </c>
      <c r="B18" s="874"/>
      <c r="C18" s="875"/>
      <c r="D18" s="151" t="s">
        <v>142</v>
      </c>
      <c r="E18" s="95">
        <f>'19'!F18</f>
        <v>16</v>
      </c>
      <c r="F18" s="122">
        <v>20</v>
      </c>
      <c r="G18" s="119">
        <f>F18*10</f>
        <v>200</v>
      </c>
      <c r="H18" s="99">
        <f>G18+'19'!H18</f>
        <v>4430</v>
      </c>
      <c r="I18" s="113">
        <f>'1'!I18</f>
        <v>65</v>
      </c>
      <c r="J18" s="175">
        <f>H18/DAY(B2)</f>
        <v>221.5</v>
      </c>
      <c r="K18" s="79"/>
      <c r="L18" s="66"/>
      <c r="N18" s="87"/>
      <c r="O18" s="71"/>
    </row>
    <row r="19" spans="1:15" ht="25.5">
      <c r="A19" s="873" t="s">
        <v>69</v>
      </c>
      <c r="B19" s="874"/>
      <c r="C19" s="875"/>
      <c r="D19" s="151" t="s">
        <v>142</v>
      </c>
      <c r="E19" s="95">
        <f>'19'!F19</f>
        <v>161092</v>
      </c>
      <c r="F19" s="543">
        <v>161145</v>
      </c>
      <c r="G19" s="112">
        <f t="shared" ref="G19" si="1">F19-E19</f>
        <v>53</v>
      </c>
      <c r="H19" s="99">
        <f>G19+'19'!H19</f>
        <v>1035</v>
      </c>
      <c r="I19" s="335"/>
      <c r="J19" s="175">
        <f>H19/DAY(B2)</f>
        <v>51.75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253</v>
      </c>
      <c r="H20" s="99">
        <f>G20+'19'!H20</f>
        <v>5465</v>
      </c>
      <c r="I20" s="336">
        <f>I18-J20</f>
        <v>-208.25</v>
      </c>
      <c r="J20" s="175">
        <f>H20/DAY(B2)</f>
        <v>273.25</v>
      </c>
      <c r="K20" s="79"/>
      <c r="L20" s="66"/>
      <c r="N20" s="87"/>
      <c r="O20" s="71"/>
    </row>
    <row r="21" spans="1:15" ht="26.25">
      <c r="A21" s="882" t="s">
        <v>144</v>
      </c>
      <c r="B21" s="883"/>
      <c r="C21" s="88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'19'!F23</f>
        <v>1500</v>
      </c>
      <c r="F23" s="122">
        <v>1500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'19'!F24</f>
        <v>4470</v>
      </c>
      <c r="F24" s="128">
        <v>4470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7" t="s">
        <v>149</v>
      </c>
      <c r="B25" s="888"/>
      <c r="C25" s="88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28714</v>
      </c>
      <c r="F27" s="136">
        <v>9</v>
      </c>
      <c r="G27" s="137">
        <f>E27*F27</f>
        <v>258426</v>
      </c>
      <c r="H27" s="99">
        <f>G27+'19'!H27</f>
        <v>5210136.9000000004</v>
      </c>
      <c r="I27" s="138"/>
      <c r="J27" s="175">
        <f>H27/DAY(B2)</f>
        <v>260506.84500000003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1014</v>
      </c>
      <c r="F28" s="136">
        <v>70</v>
      </c>
      <c r="G28" s="137">
        <f>E28*F28</f>
        <v>70980</v>
      </c>
      <c r="H28" s="99">
        <f>G28+'19'!H28</f>
        <v>1422442</v>
      </c>
      <c r="I28" s="140"/>
      <c r="J28" s="175">
        <f>H28/DAY(B2)</f>
        <v>71122.100000000006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151</v>
      </c>
      <c r="G30" s="137">
        <f>E30*F30</f>
        <v>8003</v>
      </c>
      <c r="H30" s="99">
        <f>G30+'19'!H30</f>
        <v>155535</v>
      </c>
      <c r="I30" s="140"/>
      <c r="J30" s="175">
        <f>H30/DAY(B2)</f>
        <v>7776.75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G31+'19'!H31</f>
        <v>354400</v>
      </c>
      <c r="I31" s="140"/>
      <c r="J31" s="175">
        <f>H31/DAY(B2)</f>
        <v>17720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353409</v>
      </c>
      <c r="H32" s="99">
        <f>G32+'19'!H32</f>
        <v>7142513.9000000004</v>
      </c>
      <c r="I32" s="144"/>
      <c r="J32" s="175">
        <f>H32/DAY(B2)</f>
        <v>357125.69500000001</v>
      </c>
      <c r="K32" s="63"/>
      <c r="L32" s="89"/>
      <c r="N32" s="87"/>
      <c r="O32" s="71"/>
    </row>
    <row r="33" spans="1:15" ht="25.5" customHeight="1">
      <c r="A33" s="890" t="s">
        <v>331</v>
      </c>
      <c r="B33" s="891"/>
      <c r="C33" s="89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'19'!F35</f>
        <v>238714</v>
      </c>
      <c r="F35" s="145">
        <v>238714</v>
      </c>
      <c r="G35" s="112">
        <f t="shared" ref="G35:G46" si="3">F35-E35</f>
        <v>0</v>
      </c>
      <c r="H35" s="99">
        <f>G35+'19'!H35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'19'!F36</f>
        <v>177417</v>
      </c>
      <c r="F36" s="145">
        <v>178616</v>
      </c>
      <c r="G36" s="112">
        <f t="shared" si="3"/>
        <v>1199</v>
      </c>
      <c r="H36" s="99">
        <f>G36+'19'!H36</f>
        <v>18168</v>
      </c>
      <c r="I36" s="95"/>
      <c r="J36" s="175">
        <f>H36/DAY(B2)</f>
        <v>908.4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'19'!F37</f>
        <v>268801</v>
      </c>
      <c r="F37" s="418">
        <v>270470</v>
      </c>
      <c r="G37" s="112">
        <f t="shared" si="3"/>
        <v>1669</v>
      </c>
      <c r="H37" s="99">
        <f>G37+'19'!H37</f>
        <v>34691</v>
      </c>
      <c r="I37" s="95"/>
      <c r="J37" s="175">
        <f>H37/DAY(B2)</f>
        <v>1734.55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'19'!F38</f>
        <v>362215</v>
      </c>
      <c r="F38" s="106">
        <v>364556</v>
      </c>
      <c r="G38" s="112">
        <f t="shared" si="3"/>
        <v>2341</v>
      </c>
      <c r="H38" s="99">
        <f>G38+'19'!H38</f>
        <v>46264</v>
      </c>
      <c r="I38" s="95"/>
      <c r="J38" s="175">
        <f>H38/DAY(B2)</f>
        <v>2313.1999999999998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'19'!F39</f>
        <v>490261</v>
      </c>
      <c r="F39" s="418">
        <v>493474</v>
      </c>
      <c r="G39" s="112">
        <f t="shared" si="3"/>
        <v>3213</v>
      </c>
      <c r="H39" s="99">
        <f>G39+'19'!H39</f>
        <v>58144.090000000026</v>
      </c>
      <c r="I39" s="95"/>
      <c r="J39" s="175">
        <f>H39/DAY(B2)</f>
        <v>2907.2045000000012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'19'!F40</f>
        <v>79325</v>
      </c>
      <c r="F40" s="145">
        <v>79975</v>
      </c>
      <c r="G40" s="112">
        <f t="shared" si="3"/>
        <v>650</v>
      </c>
      <c r="H40" s="99">
        <f>G40+'19'!H40</f>
        <v>6422</v>
      </c>
      <c r="I40" s="95"/>
      <c r="J40" s="175">
        <f>H40/DAY(B2)</f>
        <v>321.10000000000002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'19'!F41</f>
        <v>126681</v>
      </c>
      <c r="F41" s="145">
        <v>130870</v>
      </c>
      <c r="G41" s="112">
        <f t="shared" si="3"/>
        <v>4189</v>
      </c>
      <c r="H41" s="99">
        <f>G41+'19'!H41</f>
        <v>62035</v>
      </c>
      <c r="I41" s="95"/>
      <c r="J41" s="175">
        <f>H41/DAY(B2)</f>
        <v>3101.75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'19'!F42</f>
        <v>647711</v>
      </c>
      <c r="F42" s="145">
        <v>653515</v>
      </c>
      <c r="G42" s="112">
        <f t="shared" si="3"/>
        <v>5804</v>
      </c>
      <c r="H42" s="99">
        <f>G42+'19'!H42</f>
        <v>90643</v>
      </c>
      <c r="I42" s="95"/>
      <c r="J42" s="175">
        <f>H42/DAY(B2)</f>
        <v>4532.1499999999996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'19'!F43</f>
        <v>407028</v>
      </c>
      <c r="F43" s="145">
        <v>407028</v>
      </c>
      <c r="G43" s="112">
        <f t="shared" si="3"/>
        <v>0</v>
      </c>
      <c r="H43" s="99">
        <f>G43+'19'!H43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19065</v>
      </c>
      <c r="H47" s="99">
        <f>G47+'19'!H47</f>
        <v>316367.09000000003</v>
      </c>
      <c r="I47" s="95"/>
      <c r="J47" s="175">
        <f>H47/DAY(B2)</f>
        <v>15818.354500000001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'19'!F49</f>
        <v>328274</v>
      </c>
      <c r="F49" s="145">
        <v>331865</v>
      </c>
      <c r="G49" s="112">
        <f t="shared" ref="G49:G58" si="4">F49-E49</f>
        <v>3591</v>
      </c>
      <c r="H49" s="99">
        <f>G49+'19'!H49</f>
        <v>71718</v>
      </c>
      <c r="I49" s="95"/>
      <c r="J49" s="175">
        <f>H49/DAY(B2)</f>
        <v>3585.9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'19'!F50</f>
        <v>230953</v>
      </c>
      <c r="F50" s="145">
        <v>232086</v>
      </c>
      <c r="G50" s="112">
        <f t="shared" si="4"/>
        <v>1133</v>
      </c>
      <c r="H50" s="99">
        <f>G50+'19'!H50</f>
        <v>22522</v>
      </c>
      <c r="I50" s="95"/>
      <c r="J50" s="175">
        <f>H50/DAY(B2)</f>
        <v>1126.0999999999999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'19'!F51</f>
        <v>76</v>
      </c>
      <c r="F51" s="145">
        <v>76</v>
      </c>
      <c r="G51" s="112">
        <f t="shared" si="4"/>
        <v>0</v>
      </c>
      <c r="H51" s="99">
        <f>G51+'19'!H51</f>
        <v>0.31999999999999318</v>
      </c>
      <c r="I51" s="95"/>
      <c r="J51" s="175">
        <f>H51/DAY(B2)</f>
        <v>1.599999999999966E-2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'19'!F52</f>
        <v>10</v>
      </c>
      <c r="F52" s="145">
        <v>10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'19'!F54</f>
        <v>73128</v>
      </c>
      <c r="F54" s="145">
        <v>73494</v>
      </c>
      <c r="G54" s="112">
        <f t="shared" si="4"/>
        <v>366</v>
      </c>
      <c r="H54" s="99">
        <f>G54+'19'!H54</f>
        <v>8938</v>
      </c>
      <c r="I54" s="95"/>
      <c r="J54" s="175">
        <f>H54/DAY(B2)</f>
        <v>446.9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'19'!F55</f>
        <v>254288</v>
      </c>
      <c r="F55" s="145">
        <v>254288</v>
      </c>
      <c r="G55" s="112">
        <f t="shared" si="4"/>
        <v>0</v>
      </c>
      <c r="H55" s="99">
        <f>G55+'19'!H55</f>
        <v>28815</v>
      </c>
      <c r="I55" s="95"/>
      <c r="J55" s="175">
        <f>H55/DAY(B2)</f>
        <v>1440.75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'19'!F56</f>
        <v>109347</v>
      </c>
      <c r="F56" s="145">
        <v>109347</v>
      </c>
      <c r="G56" s="112">
        <f t="shared" si="4"/>
        <v>0</v>
      </c>
      <c r="H56" s="99">
        <f>G56+'19'!H56</f>
        <v>2101</v>
      </c>
      <c r="I56" s="95"/>
      <c r="J56" s="175">
        <f>H56/DAY(B2)</f>
        <v>105.05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'19'!F57</f>
        <v>97587</v>
      </c>
      <c r="F57" s="145">
        <v>100679</v>
      </c>
      <c r="G57" s="112">
        <f t="shared" si="4"/>
        <v>3092</v>
      </c>
      <c r="H57" s="99">
        <f>G57+'19'!H57</f>
        <v>63076</v>
      </c>
      <c r="I57" s="95"/>
      <c r="J57" s="175">
        <f>H57/DAY(B2)</f>
        <v>3153.8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'19'!F58</f>
        <v>37244</v>
      </c>
      <c r="F58" s="145">
        <v>37498</v>
      </c>
      <c r="G58" s="112">
        <f t="shared" si="4"/>
        <v>254</v>
      </c>
      <c r="H58" s="99">
        <f>G58+'19'!H58</f>
        <v>4609</v>
      </c>
      <c r="I58" s="95"/>
      <c r="J58" s="175">
        <f>H58/DAY(B2)</f>
        <v>230.45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8436</v>
      </c>
      <c r="H59" s="99">
        <f>G59+'19'!H59</f>
        <v>201779.32</v>
      </c>
      <c r="I59" s="95">
        <f>G7-G60</f>
        <v>923</v>
      </c>
      <c r="J59" s="175">
        <f>H59/DAY(B2)</f>
        <v>10088.966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27501</v>
      </c>
      <c r="H60" s="99">
        <f>G60+'19'!H60</f>
        <v>518146.41000000003</v>
      </c>
      <c r="I60" s="95">
        <f>G13-G60</f>
        <v>164</v>
      </c>
      <c r="J60" s="175">
        <f>H60/DAY(B2)</f>
        <v>25907.320500000002</v>
      </c>
      <c r="K60" s="79"/>
      <c r="L60" s="66"/>
      <c r="N60" s="87"/>
      <c r="O60" s="71"/>
    </row>
    <row r="61" spans="1:15" s="68" customFormat="1" ht="26.25">
      <c r="A61" s="892" t="s">
        <v>332</v>
      </c>
      <c r="B61" s="893"/>
      <c r="C61" s="89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3" t="s">
        <v>198</v>
      </c>
      <c r="B62" s="874"/>
      <c r="C62" s="875"/>
      <c r="D62" s="151" t="s">
        <v>142</v>
      </c>
      <c r="E62" s="95">
        <f>'19'!F62</f>
        <v>291606</v>
      </c>
      <c r="F62" s="122">
        <v>291731</v>
      </c>
      <c r="G62" s="112">
        <f t="shared" ref="G62:G63" si="5">F62-E62</f>
        <v>125</v>
      </c>
      <c r="H62" s="99">
        <f>G62+'19'!H62</f>
        <v>2831</v>
      </c>
      <c r="I62" s="118"/>
      <c r="J62" s="175">
        <f>H62/DAY(B2)</f>
        <v>141.55000000000001</v>
      </c>
      <c r="K62" s="80"/>
      <c r="L62" s="66"/>
      <c r="N62" s="87"/>
      <c r="O62" s="71"/>
    </row>
    <row r="63" spans="1:15" ht="25.5">
      <c r="A63" s="873" t="s">
        <v>199</v>
      </c>
      <c r="B63" s="874"/>
      <c r="C63" s="875"/>
      <c r="D63" s="151" t="s">
        <v>142</v>
      </c>
      <c r="E63" s="95">
        <f>'19'!F63</f>
        <v>233694</v>
      </c>
      <c r="F63" s="122">
        <v>233839</v>
      </c>
      <c r="G63" s="112">
        <f t="shared" si="5"/>
        <v>145</v>
      </c>
      <c r="H63" s="99">
        <f>G63+'19'!H63</f>
        <v>2677</v>
      </c>
      <c r="I63" s="118"/>
      <c r="J63" s="175">
        <f>H63/DAY(B2)</f>
        <v>133.85</v>
      </c>
      <c r="K63" s="69"/>
      <c r="L63" s="66"/>
      <c r="N63" s="87"/>
      <c r="O63" s="71"/>
    </row>
    <row r="64" spans="1:15" ht="26.25">
      <c r="A64" s="870" t="s">
        <v>200</v>
      </c>
      <c r="B64" s="871"/>
      <c r="C64" s="872"/>
      <c r="D64" s="151"/>
      <c r="E64" s="95">
        <f>'19'!F64</f>
        <v>0</v>
      </c>
      <c r="F64" s="122"/>
      <c r="G64" s="112">
        <f>G62+G63</f>
        <v>270</v>
      </c>
      <c r="H64" s="99">
        <f>G64+'19'!H64</f>
        <v>5508</v>
      </c>
      <c r="I64" s="118"/>
      <c r="J64" s="175">
        <f>H64/DAY(B2)</f>
        <v>275.39999999999998</v>
      </c>
      <c r="K64" s="69"/>
      <c r="L64" s="66"/>
      <c r="N64" s="87"/>
      <c r="O64" s="71"/>
    </row>
    <row r="65" spans="1:15" ht="25.5">
      <c r="A65" s="873" t="s">
        <v>201</v>
      </c>
      <c r="B65" s="874"/>
      <c r="C65" s="875"/>
      <c r="D65" s="151" t="s">
        <v>142</v>
      </c>
      <c r="E65" s="95">
        <f>'19'!F65</f>
        <v>450282</v>
      </c>
      <c r="F65" s="122">
        <v>450399</v>
      </c>
      <c r="G65" s="112">
        <f t="shared" ref="G65:G70" si="6">F65-E65</f>
        <v>117</v>
      </c>
      <c r="H65" s="99">
        <f>G65+'19'!H65</f>
        <v>2372</v>
      </c>
      <c r="I65" s="118"/>
      <c r="J65" s="175">
        <f>H65/DAY(B2)</f>
        <v>118.6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'19'!F66</f>
        <v>110822</v>
      </c>
      <c r="F66" s="122">
        <v>110845</v>
      </c>
      <c r="G66" s="112">
        <f t="shared" si="6"/>
        <v>23</v>
      </c>
      <c r="H66" s="99">
        <f>G66+'19'!H66</f>
        <v>514</v>
      </c>
      <c r="I66" s="118"/>
      <c r="J66" s="175">
        <f>H66/DAY(B2)</f>
        <v>25.7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'19'!F67</f>
        <v>113681</v>
      </c>
      <c r="F67" s="122">
        <v>113681</v>
      </c>
      <c r="G67" s="112">
        <f t="shared" si="6"/>
        <v>0</v>
      </c>
      <c r="H67" s="99">
        <f>G67+'19'!H67</f>
        <v>403</v>
      </c>
      <c r="I67" s="118"/>
      <c r="J67" s="175">
        <f>H67/DAY(B2)</f>
        <v>20.149999999999999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'19'!F68</f>
        <v>163127</v>
      </c>
      <c r="F68" s="122">
        <v>163163</v>
      </c>
      <c r="G68" s="112">
        <f t="shared" si="6"/>
        <v>36</v>
      </c>
      <c r="H68" s="99">
        <f>G68+'19'!H68</f>
        <v>669</v>
      </c>
      <c r="I68" s="118"/>
      <c r="J68" s="175">
        <f>H68/DAY(B2)</f>
        <v>33.450000000000003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'19'!F69</f>
        <v>12075</v>
      </c>
      <c r="F69" s="122">
        <v>12082</v>
      </c>
      <c r="G69" s="112">
        <f t="shared" si="6"/>
        <v>7</v>
      </c>
      <c r="H69" s="99">
        <f>G69+'19'!H69</f>
        <v>213</v>
      </c>
      <c r="I69" s="118"/>
      <c r="J69" s="175">
        <f>H69/DAY(B2)</f>
        <v>10.65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'19'!F70</f>
        <v>9423</v>
      </c>
      <c r="F70" s="122">
        <v>9443</v>
      </c>
      <c r="G70" s="112">
        <f t="shared" si="6"/>
        <v>20</v>
      </c>
      <c r="H70" s="99">
        <f>G70+'19'!H70</f>
        <v>176</v>
      </c>
      <c r="I70" s="118"/>
      <c r="J70" s="175">
        <f>H70/DAY(B2)</f>
        <v>8.8000000000000007</v>
      </c>
      <c r="K70" s="69"/>
      <c r="L70" s="66"/>
      <c r="N70" s="87"/>
      <c r="O70" s="71"/>
    </row>
    <row r="71" spans="1:15" ht="26.25">
      <c r="A71" s="870" t="s">
        <v>208</v>
      </c>
      <c r="B71" s="871"/>
      <c r="C71" s="872"/>
      <c r="D71" s="152"/>
      <c r="E71" s="152"/>
      <c r="F71" s="152"/>
      <c r="G71" s="153">
        <f>SUM(G65:G70)</f>
        <v>203</v>
      </c>
      <c r="H71" s="99">
        <f>G71+'19'!H71</f>
        <v>4347</v>
      </c>
      <c r="I71" s="154"/>
      <c r="J71" s="175">
        <f>H71/DAY(B2)</f>
        <v>217.35</v>
      </c>
      <c r="K71" s="69"/>
      <c r="L71" s="66"/>
      <c r="N71" s="87"/>
      <c r="O71" s="71"/>
    </row>
    <row r="72" spans="1:15" s="88" customFormat="1" ht="25.5">
      <c r="A72" s="916"/>
      <c r="B72" s="90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3" t="s">
        <v>220</v>
      </c>
      <c r="B74" s="874"/>
      <c r="C74" s="875"/>
      <c r="D74" s="151" t="s">
        <v>139</v>
      </c>
      <c r="E74" s="95">
        <f>'19'!F74</f>
        <v>944534</v>
      </c>
      <c r="F74" s="117">
        <v>944830</v>
      </c>
      <c r="G74" s="112">
        <f t="shared" ref="G74:G78" si="7">F74-E74</f>
        <v>296</v>
      </c>
      <c r="H74" s="99">
        <f>G74+'19'!H74</f>
        <v>6160</v>
      </c>
      <c r="I74" s="154"/>
      <c r="J74" s="175">
        <f>H74/DAY(B2)</f>
        <v>308</v>
      </c>
      <c r="K74" s="69"/>
      <c r="L74" s="66"/>
      <c r="N74" s="87"/>
      <c r="O74" s="71"/>
    </row>
    <row r="75" spans="1:15" ht="25.5">
      <c r="A75" s="873" t="s">
        <v>221</v>
      </c>
      <c r="B75" s="874"/>
      <c r="C75" s="875"/>
      <c r="D75" s="151" t="s">
        <v>139</v>
      </c>
      <c r="E75" s="95">
        <f>'19'!F75</f>
        <v>73586.8</v>
      </c>
      <c r="F75" s="123">
        <v>73586.8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7" t="s">
        <v>222</v>
      </c>
      <c r="B76" s="903"/>
      <c r="C76" s="904"/>
      <c r="D76" s="151" t="s">
        <v>139</v>
      </c>
      <c r="E76" s="95">
        <f>'19'!F76</f>
        <v>185825</v>
      </c>
      <c r="F76" s="123">
        <v>185928</v>
      </c>
      <c r="G76" s="112">
        <f t="shared" si="7"/>
        <v>103</v>
      </c>
      <c r="H76" s="99">
        <f>G76+'19'!H76</f>
        <v>2222</v>
      </c>
      <c r="I76" s="154"/>
      <c r="J76" s="175">
        <f>H76/DAY(B2)</f>
        <v>111.1</v>
      </c>
      <c r="K76" s="69"/>
      <c r="L76" s="66"/>
      <c r="N76" s="87"/>
      <c r="O76" s="71"/>
    </row>
    <row r="77" spans="1:15" ht="25.5">
      <c r="A77" s="917" t="s">
        <v>223</v>
      </c>
      <c r="B77" s="903"/>
      <c r="C77" s="904"/>
      <c r="D77" s="151" t="s">
        <v>139</v>
      </c>
      <c r="E77" s="95">
        <f>'19'!F77</f>
        <v>48264</v>
      </c>
      <c r="F77" s="123">
        <v>48306</v>
      </c>
      <c r="G77" s="112">
        <f t="shared" si="7"/>
        <v>42</v>
      </c>
      <c r="H77" s="99">
        <f>G77+'19'!H77</f>
        <v>961</v>
      </c>
      <c r="I77" s="154"/>
      <c r="J77" s="175">
        <f>H77/DAY(B2)</f>
        <v>48.05</v>
      </c>
      <c r="K77" s="69"/>
      <c r="L77" s="66"/>
      <c r="N77" s="87"/>
      <c r="O77" s="71"/>
    </row>
    <row r="78" spans="1:15" ht="25.5">
      <c r="A78" s="917" t="s">
        <v>224</v>
      </c>
      <c r="B78" s="903"/>
      <c r="C78" s="904"/>
      <c r="D78" s="151" t="s">
        <v>139</v>
      </c>
      <c r="E78" s="95">
        <f>'19'!F78</f>
        <v>9564</v>
      </c>
      <c r="F78" s="123">
        <v>9564</v>
      </c>
      <c r="G78" s="112">
        <f t="shared" si="7"/>
        <v>0</v>
      </c>
      <c r="H78" s="99">
        <f>G78+'19'!H78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7" t="s">
        <v>225</v>
      </c>
      <c r="B79" s="903"/>
      <c r="C79" s="904"/>
      <c r="D79" s="151"/>
      <c r="E79" s="95">
        <f>'19'!F79</f>
        <v>0</v>
      </c>
      <c r="F79" s="117"/>
      <c r="G79" s="112">
        <f>G15-SUM(G74:G78)</f>
        <v>573</v>
      </c>
      <c r="H79" s="99">
        <f>G79+'19'!H79</f>
        <v>11757</v>
      </c>
      <c r="I79" s="118"/>
      <c r="J79" s="175"/>
      <c r="K79" s="59"/>
      <c r="L79" s="58"/>
      <c r="N79" s="87"/>
      <c r="O79" s="71"/>
    </row>
    <row r="80" spans="1:15" s="57" customFormat="1" ht="26.25">
      <c r="A80" s="985" t="s">
        <v>329</v>
      </c>
      <c r="B80" s="986"/>
      <c r="C80" s="987"/>
      <c r="D80" s="151"/>
      <c r="E80" s="117"/>
      <c r="F80" s="117"/>
      <c r="G80" s="112">
        <f>SUM(G74:G79)</f>
        <v>1014</v>
      </c>
      <c r="H80" s="99"/>
      <c r="I80" s="118"/>
      <c r="J80" s="175"/>
      <c r="K80" s="59"/>
      <c r="L80" s="58"/>
      <c r="N80" s="87"/>
      <c r="O80" s="71"/>
    </row>
    <row r="81" spans="1:15" ht="25.5">
      <c r="A81" s="909" t="s">
        <v>226</v>
      </c>
      <c r="B81" s="910"/>
      <c r="C81" s="91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'19'!F84</f>
        <v>42209.53</v>
      </c>
      <c r="F84" s="164">
        <v>42227</v>
      </c>
      <c r="G84" s="112">
        <f t="shared" si="8"/>
        <v>17.470000000001164</v>
      </c>
      <c r="H84" s="99">
        <f>G84+'19'!H84</f>
        <v>258</v>
      </c>
      <c r="I84" s="573"/>
      <c r="J84" s="175">
        <f>H84/DAY(B2)</f>
        <v>12.9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'19'!F85</f>
        <v>4708.54</v>
      </c>
      <c r="F85" s="164">
        <v>4732.55</v>
      </c>
      <c r="G85" s="112">
        <f t="shared" si="8"/>
        <v>24.010000000000218</v>
      </c>
      <c r="H85" s="99">
        <f>G85+'19'!H85</f>
        <v>389.55000000000018</v>
      </c>
      <c r="I85" s="573"/>
      <c r="J85" s="175">
        <f>H85/DAY(B2)</f>
        <v>19.47750000000001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'19'!F86</f>
        <v>44658</v>
      </c>
      <c r="F86" s="164">
        <v>44658</v>
      </c>
      <c r="G86" s="112">
        <f t="shared" si="8"/>
        <v>0</v>
      </c>
      <c r="H86" s="99">
        <f>G86+'19'!H86</f>
        <v>188</v>
      </c>
      <c r="I86" s="573"/>
      <c r="J86" s="175">
        <f>H86/DAY(B2)</f>
        <v>9.4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'19'!F87</f>
        <v>35345</v>
      </c>
      <c r="F87" s="164">
        <v>35345</v>
      </c>
      <c r="G87" s="112">
        <f t="shared" si="8"/>
        <v>0</v>
      </c>
      <c r="H87" s="99">
        <f>G87+'19'!H87</f>
        <v>16</v>
      </c>
      <c r="I87" s="573">
        <f>G84+G85+G86+G87</f>
        <v>41.480000000001382</v>
      </c>
      <c r="J87" s="175">
        <f>H87/DAY(B2)</f>
        <v>0.8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'19'!F88</f>
        <v>24277</v>
      </c>
      <c r="F88" s="164">
        <v>24277</v>
      </c>
      <c r="G88" s="112">
        <f t="shared" si="8"/>
        <v>0</v>
      </c>
      <c r="H88" s="99">
        <f>G88+'19'!H88</f>
        <v>49.119999999998981</v>
      </c>
      <c r="I88" s="573"/>
      <c r="J88" s="175">
        <f>H88/DAY(B2)</f>
        <v>2.4559999999999489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'19'!F89</f>
        <v>27186.47</v>
      </c>
      <c r="F89" s="164">
        <v>27197</v>
      </c>
      <c r="G89" s="112">
        <f t="shared" si="8"/>
        <v>10.529999999998836</v>
      </c>
      <c r="H89" s="99">
        <f>G89+'19'!H89</f>
        <v>203.59000000000015</v>
      </c>
      <c r="I89" s="573">
        <f>G88+G89</f>
        <v>10.529999999998836</v>
      </c>
      <c r="J89" s="175">
        <f>H89/DAY(B2)</f>
        <v>10.179500000000008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'19'!F90</f>
        <v>72220</v>
      </c>
      <c r="F90" s="164">
        <v>72230</v>
      </c>
      <c r="G90" s="112">
        <f t="shared" si="8"/>
        <v>10</v>
      </c>
      <c r="H90" s="99">
        <f>G90+'19'!H90</f>
        <v>102.88000000000466</v>
      </c>
      <c r="I90" s="573">
        <f>G90</f>
        <v>10</v>
      </c>
      <c r="J90" s="175">
        <f>H90/DAY(B2)</f>
        <v>5.1440000000002328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'19'!F91</f>
        <v>4122</v>
      </c>
      <c r="F91" s="122">
        <v>4122</v>
      </c>
      <c r="G91" s="112">
        <f t="shared" si="8"/>
        <v>0</v>
      </c>
      <c r="H91" s="99">
        <f>G91+'19'!H91</f>
        <v>0.3500000000003638</v>
      </c>
      <c r="I91" s="592"/>
      <c r="J91" s="175">
        <f>H91/DAY(B2)</f>
        <v>1.7500000000018189E-2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'19'!F92</f>
        <v>6421</v>
      </c>
      <c r="F92" s="122">
        <v>6432</v>
      </c>
      <c r="G92" s="112">
        <f t="shared" si="8"/>
        <v>11</v>
      </c>
      <c r="H92" s="99">
        <f>G92+'19'!H92</f>
        <v>214.75</v>
      </c>
      <c r="I92" s="598">
        <f>G91+G92</f>
        <v>11</v>
      </c>
      <c r="J92" s="175">
        <f>H92/DAY(B2)</f>
        <v>10.737500000000001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3" t="s">
        <v>240</v>
      </c>
      <c r="B94" s="874"/>
      <c r="C94" s="875"/>
      <c r="D94" s="151" t="s">
        <v>130</v>
      </c>
      <c r="E94" s="151"/>
      <c r="F94" s="151"/>
      <c r="G94" s="99">
        <f>G35+G43+G49+G57</f>
        <v>6683</v>
      </c>
      <c r="H94" s="99">
        <f>G94+'19'!H94</f>
        <v>134794</v>
      </c>
      <c r="I94" s="118"/>
      <c r="J94" s="175">
        <f>H94/DAY(B2)</f>
        <v>6739.7</v>
      </c>
      <c r="K94" s="69"/>
      <c r="L94" s="66"/>
      <c r="O94" s="71"/>
    </row>
    <row r="95" spans="1:15" ht="25.5">
      <c r="A95" s="873" t="s">
        <v>241</v>
      </c>
      <c r="B95" s="874"/>
      <c r="C95" s="875"/>
      <c r="D95" s="151" t="s">
        <v>23</v>
      </c>
      <c r="E95" s="146"/>
      <c r="F95" s="146"/>
      <c r="G95" s="166">
        <f>G94/G7</f>
        <v>0.23511820996341121</v>
      </c>
      <c r="H95" s="99">
        <f>G95+'19'!H95</f>
        <v>4.8074201229130864</v>
      </c>
      <c r="I95" s="167"/>
      <c r="J95" s="175">
        <f>H95/DAY(B2)</f>
        <v>0.24037100614565432</v>
      </c>
      <c r="K95" s="69"/>
      <c r="L95" s="66"/>
      <c r="O95" s="71"/>
    </row>
    <row r="96" spans="1:15" ht="25.5">
      <c r="A96" s="873" t="s">
        <v>242</v>
      </c>
      <c r="B96" s="874"/>
      <c r="C96" s="875"/>
      <c r="D96" s="151" t="s">
        <v>130</v>
      </c>
      <c r="E96" s="95"/>
      <c r="F96" s="95"/>
      <c r="G96" s="99">
        <f>G41+G42+G55+G56</f>
        <v>9993</v>
      </c>
      <c r="H96" s="99">
        <f>G96+'19'!H96</f>
        <v>183594</v>
      </c>
      <c r="I96" s="118"/>
      <c r="J96" s="175">
        <f>H96/DAY(B2)</f>
        <v>9179.7000000000007</v>
      </c>
      <c r="K96" s="69"/>
      <c r="L96" s="66"/>
      <c r="O96" s="71"/>
    </row>
    <row r="97" spans="1:15" ht="25.5">
      <c r="A97" s="873" t="s">
        <v>243</v>
      </c>
      <c r="B97" s="874"/>
      <c r="C97" s="875"/>
      <c r="D97" s="151" t="s">
        <v>23</v>
      </c>
      <c r="E97" s="95"/>
      <c r="F97" s="95"/>
      <c r="G97" s="166">
        <f>G96/G7</f>
        <v>0.35156909653813678</v>
      </c>
      <c r="H97" s="99">
        <f>G97+'19'!H97</f>
        <v>6.4985925730993461</v>
      </c>
      <c r="I97" s="167"/>
      <c r="J97" s="175">
        <f>H97/DAY(B2)</f>
        <v>0.32492962865496733</v>
      </c>
      <c r="K97" s="69"/>
      <c r="L97" s="66"/>
      <c r="O97" s="71"/>
    </row>
    <row r="98" spans="1:15" ht="25.5">
      <c r="A98" s="873" t="s">
        <v>244</v>
      </c>
      <c r="B98" s="874"/>
      <c r="C98" s="875"/>
      <c r="D98" s="151" t="s">
        <v>130</v>
      </c>
      <c r="E98" s="95"/>
      <c r="F98" s="95"/>
      <c r="G98" s="99">
        <f>G39+G53</f>
        <v>3213</v>
      </c>
      <c r="H98" s="99">
        <f>G98+'19'!H98</f>
        <v>58144.090000000026</v>
      </c>
      <c r="I98" s="168"/>
      <c r="J98" s="175">
        <f>H98/DAY(B2)</f>
        <v>2907.2045000000012</v>
      </c>
      <c r="K98" s="69"/>
      <c r="L98" s="66"/>
      <c r="O98" s="71"/>
    </row>
    <row r="99" spans="1:15" ht="25.5">
      <c r="A99" s="873" t="s">
        <v>245</v>
      </c>
      <c r="B99" s="874"/>
      <c r="C99" s="875"/>
      <c r="D99" s="151" t="s">
        <v>23</v>
      </c>
      <c r="E99" s="95"/>
      <c r="F99" s="95"/>
      <c r="G99" s="166">
        <f>G98/G7</f>
        <v>0.11303827751196172</v>
      </c>
      <c r="H99" s="99">
        <f>G99+'19'!H99</f>
        <v>2.0686742691611131</v>
      </c>
      <c r="I99" s="168"/>
      <c r="J99" s="175">
        <f>H99/DAY(B2)</f>
        <v>0.10343371345805566</v>
      </c>
      <c r="O99" s="71"/>
    </row>
    <row r="100" spans="1:15" ht="26.25">
      <c r="A100" s="873" t="s">
        <v>246</v>
      </c>
      <c r="B100" s="874"/>
      <c r="C100" s="875"/>
      <c r="D100" s="151" t="s">
        <v>180</v>
      </c>
      <c r="E100" s="95"/>
      <c r="F100" s="95"/>
      <c r="G100" s="99">
        <f>G38+G52</f>
        <v>2341</v>
      </c>
      <c r="H100" s="99">
        <f>G100+'19'!H100</f>
        <v>46264</v>
      </c>
      <c r="I100" s="118"/>
      <c r="J100" s="175">
        <f>H100/DAY(B2)</f>
        <v>2313.1999999999998</v>
      </c>
      <c r="K100" s="70"/>
      <c r="O100" s="71"/>
    </row>
    <row r="101" spans="1:15" ht="25.5">
      <c r="A101" s="873" t="s">
        <v>247</v>
      </c>
      <c r="B101" s="874"/>
      <c r="C101" s="875"/>
      <c r="D101" s="151" t="s">
        <v>23</v>
      </c>
      <c r="E101" s="95"/>
      <c r="F101" s="95"/>
      <c r="G101" s="166">
        <f>G100/G7</f>
        <v>8.2359977483816488E-2</v>
      </c>
      <c r="H101" s="99">
        <f>G101+'19'!H101</f>
        <v>1.6458751508595515</v>
      </c>
      <c r="I101" s="168"/>
      <c r="J101" s="175">
        <f>H101/DAY(B2)</f>
        <v>8.2293757542977575E-2</v>
      </c>
      <c r="O101" s="71"/>
    </row>
    <row r="102" spans="1:15" ht="25.5">
      <c r="A102" s="873" t="s">
        <v>248</v>
      </c>
      <c r="B102" s="874"/>
      <c r="C102" s="875"/>
      <c r="D102" s="151" t="s">
        <v>180</v>
      </c>
      <c r="E102" s="95"/>
      <c r="F102" s="95"/>
      <c r="G102" s="99">
        <f>G36+G50</f>
        <v>2332</v>
      </c>
      <c r="H102" s="99">
        <f>G102+'19'!H102</f>
        <v>40690</v>
      </c>
      <c r="I102" s="168"/>
      <c r="J102" s="175">
        <f>H102/DAY(B2)</f>
        <v>2034.5</v>
      </c>
      <c r="O102" s="71"/>
    </row>
    <row r="103" spans="1:15" ht="25.5">
      <c r="A103" s="873" t="s">
        <v>249</v>
      </c>
      <c r="B103" s="874"/>
      <c r="C103" s="875"/>
      <c r="D103" s="151" t="s">
        <v>23</v>
      </c>
      <c r="E103" s="95"/>
      <c r="F103" s="95"/>
      <c r="G103" s="166">
        <f>G102/G7</f>
        <v>8.2043343653250778E-2</v>
      </c>
      <c r="H103" s="99">
        <f>G103+'19'!H103</f>
        <v>1.4408006376982749</v>
      </c>
      <c r="I103" s="118"/>
      <c r="J103" s="175">
        <f>H103/DAY(B2)</f>
        <v>7.2040031884913744E-2</v>
      </c>
      <c r="O103" s="71"/>
    </row>
    <row r="104" spans="1:15" ht="25.5">
      <c r="A104" s="873" t="s">
        <v>250</v>
      </c>
      <c r="B104" s="874"/>
      <c r="C104" s="875"/>
      <c r="D104" s="151" t="s">
        <v>180</v>
      </c>
      <c r="E104" s="95"/>
      <c r="F104" s="95"/>
      <c r="G104" s="99">
        <f>G37+G51</f>
        <v>1669</v>
      </c>
      <c r="H104" s="99">
        <f>G104+'19'!H104</f>
        <v>34691.32</v>
      </c>
      <c r="I104" s="118"/>
      <c r="J104" s="175">
        <f>H104/DAY(B2)</f>
        <v>1734.566</v>
      </c>
      <c r="O104" s="71"/>
    </row>
    <row r="105" spans="1:15" ht="26.25" thickBot="1">
      <c r="A105" s="913" t="s">
        <v>251</v>
      </c>
      <c r="B105" s="914"/>
      <c r="C105" s="915"/>
      <c r="D105" s="231" t="s">
        <v>23</v>
      </c>
      <c r="E105" s="185"/>
      <c r="F105" s="185"/>
      <c r="G105" s="186">
        <f>G104/G7</f>
        <v>5.8717984801576133E-2</v>
      </c>
      <c r="H105" s="99">
        <f>G105+'19'!H105</f>
        <v>1.2314051098978884</v>
      </c>
      <c r="I105" s="187"/>
      <c r="J105" s="188">
        <f>H105/DAY(B2)</f>
        <v>6.1570255494894421E-2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7" t="s">
        <v>324</v>
      </c>
      <c r="B108" s="927"/>
      <c r="C108" s="927"/>
      <c r="D108" s="927"/>
      <c r="E108" s="927"/>
      <c r="F108" s="927"/>
      <c r="G108" s="927"/>
      <c r="H108" s="927"/>
      <c r="I108" s="927"/>
      <c r="J108" s="927"/>
    </row>
    <row r="109" spans="1:15" ht="26.25">
      <c r="A109" s="912"/>
      <c r="B109" s="912"/>
    </row>
    <row r="110" spans="1:15" ht="26.25">
      <c r="A110" s="928" t="s">
        <v>165</v>
      </c>
      <c r="B110" s="929"/>
      <c r="C110" s="929"/>
      <c r="D110" s="929"/>
      <c r="E110" s="929"/>
      <c r="F110" s="929"/>
      <c r="G110" s="929"/>
      <c r="H110" s="929"/>
      <c r="I110" s="929"/>
      <c r="J110" s="930"/>
    </row>
    <row r="111" spans="1:15" ht="25.5">
      <c r="A111" s="931"/>
      <c r="B111" s="932"/>
      <c r="C111" s="933"/>
      <c r="D111" s="165"/>
      <c r="E111" s="165"/>
      <c r="F111" s="165"/>
      <c r="G111" s="165"/>
      <c r="H111" s="156"/>
      <c r="I111" s="165"/>
      <c r="J111" s="327"/>
    </row>
    <row r="112" spans="1:15" ht="25.5">
      <c r="A112" s="906" t="s">
        <v>252</v>
      </c>
      <c r="B112" s="907"/>
      <c r="C112" s="908"/>
      <c r="D112" s="146" t="s">
        <v>183</v>
      </c>
      <c r="E112" s="95">
        <f>'19'!F112</f>
        <v>4123</v>
      </c>
      <c r="F112" s="237">
        <v>4197</v>
      </c>
      <c r="G112" s="112">
        <f t="shared" ref="G112:G123" si="9">F112-E112</f>
        <v>74</v>
      </c>
      <c r="H112" s="99">
        <f>G112+'19'!H112</f>
        <v>1520</v>
      </c>
      <c r="I112" s="165"/>
      <c r="J112" s="328">
        <f>H112/DAY(B2)</f>
        <v>76</v>
      </c>
    </row>
    <row r="113" spans="1:18" ht="29.25" customHeight="1">
      <c r="A113" s="906" t="s">
        <v>253</v>
      </c>
      <c r="B113" s="907"/>
      <c r="C113" s="908"/>
      <c r="D113" s="146" t="s">
        <v>183</v>
      </c>
      <c r="E113" s="95">
        <f>'19'!F113</f>
        <v>9068</v>
      </c>
      <c r="F113" s="237">
        <v>9207</v>
      </c>
      <c r="G113" s="112">
        <f t="shared" si="9"/>
        <v>139</v>
      </c>
      <c r="H113" s="99">
        <f>G113+'19'!H113</f>
        <v>2816</v>
      </c>
      <c r="I113" s="165"/>
      <c r="J113" s="328">
        <f>H113/DAY(B2)</f>
        <v>140.80000000000001</v>
      </c>
    </row>
    <row r="114" spans="1:18" ht="29.25" customHeight="1">
      <c r="A114" s="906" t="s">
        <v>254</v>
      </c>
      <c r="B114" s="907"/>
      <c r="C114" s="908"/>
      <c r="D114" s="146" t="s">
        <v>183</v>
      </c>
      <c r="E114" s="95">
        <f>'19'!F114</f>
        <v>11735</v>
      </c>
      <c r="F114" s="237">
        <v>11956</v>
      </c>
      <c r="G114" s="112">
        <f t="shared" si="9"/>
        <v>221</v>
      </c>
      <c r="H114" s="99">
        <f>G114+'19'!H114</f>
        <v>4386</v>
      </c>
      <c r="I114" s="165"/>
      <c r="J114" s="328">
        <f>H114/DAY(B2)</f>
        <v>219.3</v>
      </c>
    </row>
    <row r="115" spans="1:18" ht="29.25" customHeight="1">
      <c r="A115" s="906" t="s">
        <v>255</v>
      </c>
      <c r="B115" s="907"/>
      <c r="C115" s="908"/>
      <c r="D115" s="146" t="s">
        <v>183</v>
      </c>
      <c r="E115" s="95">
        <f>'19'!F115</f>
        <v>7435</v>
      </c>
      <c r="F115" s="237">
        <v>7600</v>
      </c>
      <c r="G115" s="112">
        <f t="shared" si="9"/>
        <v>165</v>
      </c>
      <c r="H115" s="99">
        <f>G115+'19'!H115</f>
        <v>1469.5200000000002</v>
      </c>
      <c r="I115" s="165"/>
      <c r="J115" s="328">
        <f>H115/DAY(B2)</f>
        <v>73.476000000000013</v>
      </c>
    </row>
    <row r="116" spans="1:18" ht="29.25" customHeight="1">
      <c r="A116" s="924" t="s">
        <v>96</v>
      </c>
      <c r="B116" s="925"/>
      <c r="C116" s="926"/>
      <c r="D116" s="146" t="s">
        <v>183</v>
      </c>
      <c r="E116" s="95">
        <f>'19'!F116</f>
        <v>54421</v>
      </c>
      <c r="F116" s="237">
        <v>54876</v>
      </c>
      <c r="G116" s="112">
        <f t="shared" si="9"/>
        <v>455</v>
      </c>
      <c r="H116" s="99">
        <f>G116+'19'!H116</f>
        <v>8121</v>
      </c>
      <c r="I116" s="165"/>
      <c r="J116" s="328">
        <f>H116/DAY(B2)</f>
        <v>406.05</v>
      </c>
      <c r="Q116" s="906"/>
      <c r="R116" s="908"/>
    </row>
    <row r="117" spans="1:18" ht="29.25" customHeight="1">
      <c r="A117" s="924" t="s">
        <v>184</v>
      </c>
      <c r="B117" s="925"/>
      <c r="C117" s="926"/>
      <c r="D117" s="146" t="s">
        <v>183</v>
      </c>
      <c r="E117" s="95">
        <f>'19'!F117</f>
        <v>29680</v>
      </c>
      <c r="F117" s="237">
        <v>29972</v>
      </c>
      <c r="G117" s="112">
        <f t="shared" si="9"/>
        <v>292</v>
      </c>
      <c r="H117" s="99">
        <f>G117+'19'!H117</f>
        <v>4704</v>
      </c>
      <c r="I117" s="165"/>
      <c r="J117" s="328">
        <f>H117/DAY(B2)</f>
        <v>235.2</v>
      </c>
      <c r="Q117" s="906"/>
      <c r="R117" s="908"/>
    </row>
    <row r="118" spans="1:18" ht="25.5">
      <c r="A118" s="901" t="s">
        <v>97</v>
      </c>
      <c r="B118" s="901"/>
      <c r="C118" s="901"/>
      <c r="D118" s="151" t="s">
        <v>183</v>
      </c>
      <c r="E118" s="95">
        <f>'19'!F118</f>
        <v>37749</v>
      </c>
      <c r="F118" s="237">
        <v>38388</v>
      </c>
      <c r="G118" s="112">
        <f t="shared" si="9"/>
        <v>639</v>
      </c>
      <c r="H118" s="99">
        <f>G118+'19'!H118</f>
        <v>12163</v>
      </c>
      <c r="I118" s="165"/>
      <c r="J118" s="328">
        <f>H118/DAY(B2)</f>
        <v>608.15</v>
      </c>
      <c r="Q118" s="906"/>
      <c r="R118" s="908"/>
    </row>
    <row r="119" spans="1:18" ht="25.5">
      <c r="A119" s="901" t="s">
        <v>98</v>
      </c>
      <c r="B119" s="901"/>
      <c r="C119" s="901"/>
      <c r="D119" s="151" t="s">
        <v>183</v>
      </c>
      <c r="E119" s="95">
        <f>'19'!F119</f>
        <v>27206</v>
      </c>
      <c r="F119" s="237">
        <v>27674</v>
      </c>
      <c r="G119" s="112">
        <f t="shared" si="9"/>
        <v>468</v>
      </c>
      <c r="H119" s="99">
        <f>G119+'19'!H119</f>
        <v>8727</v>
      </c>
      <c r="I119" s="165"/>
      <c r="J119" s="328">
        <f>H119/DAY(B2)</f>
        <v>436.35</v>
      </c>
    </row>
    <row r="120" spans="1:18" ht="25.5">
      <c r="A120" s="901" t="s">
        <v>99</v>
      </c>
      <c r="B120" s="901"/>
      <c r="C120" s="901"/>
      <c r="D120" s="151" t="s">
        <v>183</v>
      </c>
      <c r="E120" s="95">
        <f>'19'!F120</f>
        <v>28341</v>
      </c>
      <c r="F120" s="237">
        <v>28769</v>
      </c>
      <c r="G120" s="112">
        <f t="shared" si="9"/>
        <v>428</v>
      </c>
      <c r="H120" s="99">
        <f>G120+'19'!H120</f>
        <v>8719</v>
      </c>
      <c r="I120" s="165"/>
      <c r="J120" s="328">
        <f>H120/DAY(B2)</f>
        <v>435.95</v>
      </c>
    </row>
    <row r="121" spans="1:18" ht="25.5">
      <c r="A121" s="901" t="s">
        <v>100</v>
      </c>
      <c r="B121" s="901"/>
      <c r="C121" s="901"/>
      <c r="D121" s="151" t="s">
        <v>183</v>
      </c>
      <c r="E121" s="95">
        <f>'19'!F121</f>
        <v>34643</v>
      </c>
      <c r="F121" s="237">
        <v>35116</v>
      </c>
      <c r="G121" s="112">
        <f t="shared" si="9"/>
        <v>473</v>
      </c>
      <c r="H121" s="99">
        <f>G121+'19'!H121</f>
        <v>9272</v>
      </c>
      <c r="I121" s="165"/>
      <c r="J121" s="328">
        <f>H121/DAY(B2)</f>
        <v>463.6</v>
      </c>
    </row>
    <row r="122" spans="1:18" ht="25.5">
      <c r="A122" s="901" t="s">
        <v>101</v>
      </c>
      <c r="B122" s="901"/>
      <c r="C122" s="901"/>
      <c r="D122" s="151" t="s">
        <v>183</v>
      </c>
      <c r="E122" s="95">
        <f>'19'!F122</f>
        <v>16954</v>
      </c>
      <c r="F122" s="237">
        <v>17234</v>
      </c>
      <c r="G122" s="112">
        <f t="shared" si="9"/>
        <v>280</v>
      </c>
      <c r="H122" s="99">
        <f>G122+'19'!H122</f>
        <v>6074</v>
      </c>
      <c r="I122" s="165"/>
      <c r="J122" s="328">
        <f>H122/DAY(B2)</f>
        <v>303.7</v>
      </c>
    </row>
    <row r="123" spans="1:18" ht="25.5">
      <c r="A123" s="901" t="s">
        <v>102</v>
      </c>
      <c r="B123" s="901"/>
      <c r="C123" s="901"/>
      <c r="D123" s="151" t="s">
        <v>183</v>
      </c>
      <c r="E123" s="95">
        <f>'19'!F123</f>
        <v>16904</v>
      </c>
      <c r="F123" s="237">
        <v>17217</v>
      </c>
      <c r="G123" s="112">
        <f t="shared" si="9"/>
        <v>313</v>
      </c>
      <c r="H123" s="99">
        <f>G123+'19'!H123</f>
        <v>6708</v>
      </c>
      <c r="I123" s="165"/>
      <c r="J123" s="328">
        <f>H123/DAY(B2)</f>
        <v>335.4</v>
      </c>
    </row>
    <row r="124" spans="1:18" ht="29.25" customHeight="1">
      <c r="A124" s="931"/>
      <c r="B124" s="932"/>
      <c r="C124" s="933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5.5">
      <c r="A125" s="964" t="s">
        <v>108</v>
      </c>
      <c r="B125" s="964"/>
      <c r="C125" s="245"/>
      <c r="D125" s="307"/>
      <c r="E125" s="308"/>
      <c r="F125" s="308"/>
      <c r="G125" s="309">
        <f>SUM(G112:G124)</f>
        <v>3947</v>
      </c>
      <c r="H125" s="156"/>
      <c r="I125" s="327">
        <f>G125-(G39+G53)</f>
        <v>734</v>
      </c>
      <c r="J125" s="327"/>
    </row>
    <row r="126" spans="1:18" ht="25.5">
      <c r="A126" s="936" t="s">
        <v>317</v>
      </c>
      <c r="B126" s="936"/>
      <c r="C126" s="936"/>
      <c r="D126" s="936"/>
      <c r="E126" s="936"/>
      <c r="F126" s="936"/>
      <c r="G126" s="936"/>
      <c r="H126" s="936"/>
      <c r="I126" s="936"/>
      <c r="J126" s="936"/>
    </row>
    <row r="127" spans="1:18" ht="25.5">
      <c r="A127" s="937"/>
      <c r="B127" s="937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>
      <c r="A128" s="906" t="s">
        <v>318</v>
      </c>
      <c r="B128" s="907"/>
      <c r="C128" s="908"/>
      <c r="D128" s="151" t="s">
        <v>183</v>
      </c>
      <c r="E128" s="95">
        <f>'19'!F128</f>
        <v>105754</v>
      </c>
      <c r="F128" s="165">
        <v>106283</v>
      </c>
      <c r="G128" s="112">
        <f t="shared" ref="G128:G134" si="10">F128-E128</f>
        <v>529</v>
      </c>
      <c r="H128" s="99">
        <f>G128+'19'!H128</f>
        <v>10568</v>
      </c>
      <c r="I128" s="165"/>
      <c r="J128" s="328">
        <f>H128/DAY(B2)</f>
        <v>528.4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'19'!F129</f>
        <v>64752</v>
      </c>
      <c r="F129" s="165">
        <v>64918</v>
      </c>
      <c r="G129" s="112">
        <f t="shared" si="10"/>
        <v>166</v>
      </c>
      <c r="H129" s="99">
        <f>G129+'19'!H129</f>
        <v>4625</v>
      </c>
      <c r="I129" s="165"/>
      <c r="J129" s="328">
        <f>H129/DAY(B2)</f>
        <v>231.25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'19'!F130</f>
        <v>133331</v>
      </c>
      <c r="F130" s="165">
        <v>134094</v>
      </c>
      <c r="G130" s="112">
        <f t="shared" si="10"/>
        <v>763</v>
      </c>
      <c r="H130" s="99">
        <f>G130+'19'!H130</f>
        <v>12965</v>
      </c>
      <c r="I130" s="165"/>
      <c r="J130" s="328">
        <f>H130/DAY(B2)</f>
        <v>648.25</v>
      </c>
      <c r="N130" s="240"/>
      <c r="O130" s="241"/>
    </row>
    <row r="131" spans="1:15" ht="25.5">
      <c r="A131" s="906" t="s">
        <v>321</v>
      </c>
      <c r="B131" s="907"/>
      <c r="C131" s="908"/>
      <c r="D131" s="151" t="s">
        <v>183</v>
      </c>
      <c r="E131" s="95">
        <f>'19'!F131</f>
        <v>40186</v>
      </c>
      <c r="F131" s="165">
        <v>40412</v>
      </c>
      <c r="G131" s="112">
        <f t="shared" si="10"/>
        <v>226</v>
      </c>
      <c r="H131" s="99">
        <f>G131+'19'!H131</f>
        <v>4133</v>
      </c>
      <c r="I131" s="165"/>
      <c r="J131" s="328">
        <f>H131/DAY(B2)</f>
        <v>206.65</v>
      </c>
      <c r="N131" s="240"/>
      <c r="O131" s="241"/>
    </row>
    <row r="132" spans="1:15" ht="25.5">
      <c r="A132" s="906" t="s">
        <v>322</v>
      </c>
      <c r="B132" s="907"/>
      <c r="C132" s="908"/>
      <c r="D132" s="151" t="s">
        <v>183</v>
      </c>
      <c r="E132" s="95">
        <f>'19'!F132</f>
        <v>111171</v>
      </c>
      <c r="F132" s="165">
        <v>111643</v>
      </c>
      <c r="G132" s="112">
        <f t="shared" si="10"/>
        <v>472</v>
      </c>
      <c r="H132" s="99">
        <f>G132+'19'!H132</f>
        <v>8131</v>
      </c>
      <c r="I132" s="165"/>
      <c r="J132" s="328">
        <f>H132/DAY(B2)</f>
        <v>406.55</v>
      </c>
    </row>
    <row r="133" spans="1:15" ht="25.5">
      <c r="A133" s="906" t="s">
        <v>359</v>
      </c>
      <c r="B133" s="907"/>
      <c r="C133" s="908"/>
      <c r="D133" s="151" t="s">
        <v>183</v>
      </c>
      <c r="E133" s="95">
        <f>'19'!F133</f>
        <v>216386</v>
      </c>
      <c r="F133" s="165">
        <v>217005</v>
      </c>
      <c r="G133" s="112">
        <f t="shared" si="10"/>
        <v>619</v>
      </c>
      <c r="H133" s="99">
        <f>G133+'19'!H133</f>
        <v>15773</v>
      </c>
      <c r="I133" s="165"/>
      <c r="J133" s="328">
        <f>H133/DAY(B2)</f>
        <v>788.65</v>
      </c>
    </row>
    <row r="134" spans="1:15" ht="25.5">
      <c r="A134" s="906" t="s">
        <v>340</v>
      </c>
      <c r="B134" s="907"/>
      <c r="C134" s="908"/>
      <c r="D134" s="151" t="s">
        <v>183</v>
      </c>
      <c r="E134" s="95">
        <f>'19'!F134</f>
        <v>39467</v>
      </c>
      <c r="F134" s="465">
        <v>39684</v>
      </c>
      <c r="G134" s="112">
        <f t="shared" si="10"/>
        <v>217</v>
      </c>
      <c r="H134" s="99">
        <f>G134+'19'!H134</f>
        <v>4789</v>
      </c>
      <c r="I134" s="165"/>
      <c r="J134" s="328">
        <f>H134/DAY(B2)</f>
        <v>239.45</v>
      </c>
    </row>
    <row r="135" spans="1:15" ht="25.5">
      <c r="A135" s="988" t="s">
        <v>108</v>
      </c>
      <c r="B135" s="989"/>
      <c r="C135" s="942"/>
      <c r="D135" s="151"/>
      <c r="E135" s="95"/>
      <c r="F135" s="165"/>
      <c r="G135" s="112">
        <f>SUM(G128:G134)</f>
        <v>2992</v>
      </c>
      <c r="H135" s="99"/>
      <c r="I135" s="327">
        <f>G135-(G35+G49)</f>
        <v>-599</v>
      </c>
      <c r="J135" s="328"/>
    </row>
    <row r="136" spans="1:15" ht="27.75">
      <c r="A136" s="938" t="s">
        <v>325</v>
      </c>
      <c r="B136" s="938"/>
      <c r="C136" s="938"/>
      <c r="D136" s="938"/>
      <c r="E136" s="938"/>
      <c r="F136" s="938"/>
      <c r="G136" s="938"/>
      <c r="H136" s="938"/>
      <c r="I136" s="938"/>
      <c r="J136" s="938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1" t="s">
        <v>185</v>
      </c>
      <c r="B138" s="901"/>
      <c r="C138" s="901"/>
      <c r="D138" s="151" t="s">
        <v>183</v>
      </c>
      <c r="E138" s="95">
        <f>'19'!F138</f>
        <v>885869</v>
      </c>
      <c r="F138" s="147">
        <v>886016</v>
      </c>
      <c r="G138" s="112">
        <f t="shared" ref="G138:G152" si="11">F138-E138</f>
        <v>147</v>
      </c>
      <c r="H138" s="99">
        <f>G138+'19'!H138</f>
        <v>2738.2999999999993</v>
      </c>
      <c r="I138" s="118"/>
      <c r="J138" s="328">
        <f>H138/DAY(B2)</f>
        <v>136.91499999999996</v>
      </c>
    </row>
    <row r="139" spans="1:15" ht="25.5">
      <c r="A139" s="901" t="s">
        <v>186</v>
      </c>
      <c r="B139" s="901"/>
      <c r="C139" s="901"/>
      <c r="D139" s="151" t="s">
        <v>183</v>
      </c>
      <c r="E139" s="95">
        <f>'19'!F139</f>
        <v>902354</v>
      </c>
      <c r="F139" s="148">
        <v>902506</v>
      </c>
      <c r="G139" s="112">
        <f t="shared" si="11"/>
        <v>152</v>
      </c>
      <c r="H139" s="99">
        <f>G139+'19'!H139</f>
        <v>3051</v>
      </c>
      <c r="I139" s="118"/>
      <c r="J139" s="328">
        <f>H139/DAY(B2)</f>
        <v>152.55000000000001</v>
      </c>
    </row>
    <row r="140" spans="1:15" ht="25.5">
      <c r="A140" s="901" t="s">
        <v>187</v>
      </c>
      <c r="B140" s="901"/>
      <c r="C140" s="901"/>
      <c r="D140" s="151" t="s">
        <v>183</v>
      </c>
      <c r="E140" s="95">
        <f>'19'!F140</f>
        <v>887</v>
      </c>
      <c r="F140" s="149">
        <v>903</v>
      </c>
      <c r="G140" s="112">
        <f>F140-E140</f>
        <v>16</v>
      </c>
      <c r="H140" s="99">
        <f>G140+'19'!H140</f>
        <v>254.24</v>
      </c>
      <c r="I140" s="118"/>
      <c r="J140" s="328">
        <f>H140/DAY(B2)</f>
        <v>12.712</v>
      </c>
    </row>
    <row r="141" spans="1:15" ht="25.5">
      <c r="A141" s="905" t="s">
        <v>188</v>
      </c>
      <c r="B141" s="905"/>
      <c r="C141" s="905"/>
      <c r="D141" s="151" t="s">
        <v>183</v>
      </c>
      <c r="E141" s="95">
        <f>'19'!F141</f>
        <v>81870</v>
      </c>
      <c r="F141" s="149">
        <v>82073</v>
      </c>
      <c r="G141" s="112">
        <f t="shared" si="11"/>
        <v>203</v>
      </c>
      <c r="H141" s="99">
        <f>G141+'19'!H141</f>
        <v>4121</v>
      </c>
      <c r="I141" s="118"/>
      <c r="J141" s="328">
        <f>H141/DAY(B2)</f>
        <v>206.05</v>
      </c>
    </row>
    <row r="142" spans="1:15" ht="25.5">
      <c r="A142" s="905" t="s">
        <v>189</v>
      </c>
      <c r="B142" s="905"/>
      <c r="C142" s="905"/>
      <c r="D142" s="151" t="s">
        <v>183</v>
      </c>
      <c r="E142" s="95">
        <f>'19'!F142</f>
        <v>33396</v>
      </c>
      <c r="F142" s="148">
        <v>33510</v>
      </c>
      <c r="G142" s="112">
        <f t="shared" si="11"/>
        <v>114</v>
      </c>
      <c r="H142" s="99">
        <f>G142+'19'!H142</f>
        <v>2984</v>
      </c>
      <c r="I142" s="140"/>
      <c r="J142" s="328">
        <f>H142/DAY(B2)</f>
        <v>149.19999999999999</v>
      </c>
    </row>
    <row r="143" spans="1:15" ht="25.5">
      <c r="A143" s="901" t="s">
        <v>91</v>
      </c>
      <c r="B143" s="901"/>
      <c r="C143" s="901"/>
      <c r="D143" s="151" t="s">
        <v>183</v>
      </c>
      <c r="E143" s="95">
        <f>'19'!F143</f>
        <v>7845</v>
      </c>
      <c r="F143" s="149">
        <v>7874</v>
      </c>
      <c r="G143" s="112">
        <f t="shared" si="11"/>
        <v>29</v>
      </c>
      <c r="H143" s="99">
        <f>G143+'19'!H143</f>
        <v>568</v>
      </c>
      <c r="I143" s="140"/>
      <c r="J143" s="328">
        <f>H143/DAY(B2)</f>
        <v>28.4</v>
      </c>
    </row>
    <row r="144" spans="1:15" ht="25.5">
      <c r="A144" s="905" t="s">
        <v>90</v>
      </c>
      <c r="B144" s="905"/>
      <c r="C144" s="905"/>
      <c r="D144" s="151" t="s">
        <v>183</v>
      </c>
      <c r="E144" s="95">
        <f>'19'!F144</f>
        <v>909648</v>
      </c>
      <c r="F144" s="518">
        <v>909887</v>
      </c>
      <c r="G144" s="112">
        <f t="shared" si="11"/>
        <v>239</v>
      </c>
      <c r="H144" s="99">
        <f>G144+'19'!H144</f>
        <v>4834</v>
      </c>
      <c r="I144" s="140"/>
      <c r="J144" s="328">
        <f>H144/DAY(B2)</f>
        <v>241.7</v>
      </c>
    </row>
    <row r="145" spans="1:10" ht="25.5">
      <c r="A145" s="901" t="s">
        <v>190</v>
      </c>
      <c r="B145" s="901"/>
      <c r="C145" s="901"/>
      <c r="D145" s="152" t="s">
        <v>183</v>
      </c>
      <c r="E145" s="95">
        <f>'19'!F145</f>
        <v>5665</v>
      </c>
      <c r="F145" s="149">
        <v>5665</v>
      </c>
      <c r="G145" s="112">
        <f t="shared" si="11"/>
        <v>0</v>
      </c>
      <c r="H145" s="99">
        <f>G145+'19'!H145</f>
        <v>1</v>
      </c>
      <c r="I145" s="140"/>
      <c r="J145" s="328">
        <f>H145/DAY(B2)</f>
        <v>0.05</v>
      </c>
    </row>
    <row r="146" spans="1:10" ht="25.5">
      <c r="A146" s="902" t="s">
        <v>191</v>
      </c>
      <c r="B146" s="903"/>
      <c r="C146" s="904"/>
      <c r="D146" s="152" t="s">
        <v>183</v>
      </c>
      <c r="E146" s="95">
        <f>'19'!F146</f>
        <v>778805</v>
      </c>
      <c r="F146" s="148">
        <v>778852</v>
      </c>
      <c r="G146" s="112">
        <f t="shared" si="11"/>
        <v>47</v>
      </c>
      <c r="H146" s="99">
        <f>G146+'19'!H146</f>
        <v>984</v>
      </c>
      <c r="I146" s="140"/>
      <c r="J146" s="328">
        <f>H146/DAY(B2)</f>
        <v>49.2</v>
      </c>
    </row>
    <row r="147" spans="1:10" ht="25.5">
      <c r="A147" s="905" t="s">
        <v>192</v>
      </c>
      <c r="B147" s="905"/>
      <c r="C147" s="905"/>
      <c r="D147" s="152" t="s">
        <v>183</v>
      </c>
      <c r="E147" s="95">
        <f>'19'!F147</f>
        <v>683269</v>
      </c>
      <c r="F147" s="148">
        <v>683679</v>
      </c>
      <c r="G147" s="112">
        <f t="shared" si="11"/>
        <v>410</v>
      </c>
      <c r="H147" s="99">
        <f>G147+'19'!H147</f>
        <v>7831</v>
      </c>
      <c r="I147" s="140"/>
      <c r="J147" s="328">
        <f>H147/DAY(B2)</f>
        <v>391.55</v>
      </c>
    </row>
    <row r="148" spans="1:10" ht="25.5">
      <c r="A148" s="897" t="s">
        <v>193</v>
      </c>
      <c r="B148" s="898"/>
      <c r="C148" s="899"/>
      <c r="D148" s="123" t="s">
        <v>130</v>
      </c>
      <c r="E148" s="95">
        <f>'19'!F148</f>
        <v>735404</v>
      </c>
      <c r="F148" s="150">
        <v>735964</v>
      </c>
      <c r="G148" s="112">
        <f t="shared" si="11"/>
        <v>560</v>
      </c>
      <c r="H148" s="99">
        <f>G148+'19'!H148</f>
        <v>6219</v>
      </c>
      <c r="I148" s="124"/>
      <c r="J148" s="328">
        <f>H148/DAY(B2)</f>
        <v>310.95</v>
      </c>
    </row>
    <row r="149" spans="1:10" ht="25.5">
      <c r="A149" s="897" t="s">
        <v>336</v>
      </c>
      <c r="B149" s="898"/>
      <c r="C149" s="899"/>
      <c r="D149" s="227" t="s">
        <v>130</v>
      </c>
      <c r="E149" s="95">
        <f>'19'!F149</f>
        <v>111327</v>
      </c>
      <c r="F149" s="146">
        <v>111852</v>
      </c>
      <c r="G149" s="112">
        <f t="shared" si="11"/>
        <v>525</v>
      </c>
      <c r="H149" s="99">
        <f>G149+'19'!H149</f>
        <v>10957</v>
      </c>
      <c r="I149" s="119"/>
      <c r="J149" s="328">
        <f>H149/DAY(B2)</f>
        <v>547.85</v>
      </c>
    </row>
    <row r="150" spans="1:10" ht="25.5">
      <c r="A150" s="897" t="s">
        <v>337</v>
      </c>
      <c r="B150" s="898"/>
      <c r="C150" s="899"/>
      <c r="D150" s="117" t="s">
        <v>130</v>
      </c>
      <c r="E150" s="95">
        <f>'19'!F150</f>
        <v>41346</v>
      </c>
      <c r="F150" s="233">
        <v>41565</v>
      </c>
      <c r="G150" s="112">
        <f t="shared" si="11"/>
        <v>219</v>
      </c>
      <c r="H150" s="99">
        <f>G150+'19'!H150</f>
        <v>4349</v>
      </c>
      <c r="I150" s="119"/>
      <c r="J150" s="328">
        <f>H150/DAY(B2)</f>
        <v>217.45</v>
      </c>
    </row>
    <row r="151" spans="1:10" ht="25.5">
      <c r="A151" s="897" t="s">
        <v>338</v>
      </c>
      <c r="B151" s="898"/>
      <c r="C151" s="899"/>
      <c r="D151" s="117" t="s">
        <v>130</v>
      </c>
      <c r="E151" s="95">
        <f>'19'!F151</f>
        <v>123589</v>
      </c>
      <c r="F151" s="233">
        <v>123883</v>
      </c>
      <c r="G151" s="112">
        <f t="shared" si="11"/>
        <v>294</v>
      </c>
      <c r="H151" s="99">
        <f>G151+'19'!H151</f>
        <v>5746</v>
      </c>
      <c r="I151" s="119"/>
      <c r="J151" s="328">
        <f>H151/DAY(B2)</f>
        <v>287.3</v>
      </c>
    </row>
    <row r="152" spans="1:10" ht="25.5">
      <c r="A152" s="897" t="s">
        <v>339</v>
      </c>
      <c r="B152" s="898"/>
      <c r="C152" s="899"/>
      <c r="D152" s="117" t="s">
        <v>130</v>
      </c>
      <c r="E152" s="95">
        <f>'19'!F152</f>
        <v>17874</v>
      </c>
      <c r="F152" s="233">
        <v>18008</v>
      </c>
      <c r="G152" s="112">
        <f t="shared" si="11"/>
        <v>134</v>
      </c>
      <c r="H152" s="99">
        <f>G152+'19'!H152</f>
        <v>6852</v>
      </c>
      <c r="I152" s="119"/>
      <c r="J152" s="328">
        <f>H152/DAY(B2)</f>
        <v>342.6</v>
      </c>
    </row>
    <row r="153" spans="1:10" ht="25.5">
      <c r="A153" s="459" t="s">
        <v>108</v>
      </c>
      <c r="B153" s="365"/>
      <c r="C153" s="365"/>
      <c r="D153" s="117"/>
      <c r="E153" s="95"/>
      <c r="F153" s="233"/>
      <c r="G153" s="112">
        <f>SUM(G138:G152)</f>
        <v>3089</v>
      </c>
      <c r="H153" s="99"/>
      <c r="I153" s="119">
        <f>G153-(G38+G52)</f>
        <v>748</v>
      </c>
      <c r="J153" s="328"/>
    </row>
    <row r="154" spans="1:10" ht="27.75">
      <c r="A154" s="938" t="s">
        <v>344</v>
      </c>
      <c r="B154" s="938"/>
      <c r="C154" s="938"/>
      <c r="D154" s="938"/>
      <c r="E154" s="938"/>
      <c r="F154" s="938"/>
      <c r="G154" s="938"/>
      <c r="H154" s="938"/>
      <c r="I154" s="938"/>
      <c r="J154" s="938"/>
    </row>
    <row r="155" spans="1:10" ht="27.75">
      <c r="A155" s="905" t="s">
        <v>345</v>
      </c>
      <c r="B155" s="905"/>
      <c r="C155" s="905"/>
      <c r="D155" s="117" t="s">
        <v>130</v>
      </c>
      <c r="E155" s="95">
        <f>'19'!F155</f>
        <v>123763</v>
      </c>
      <c r="F155" s="374">
        <v>124370</v>
      </c>
      <c r="G155" s="112">
        <f t="shared" ref="G155:G158" si="12">F155-E155</f>
        <v>607</v>
      </c>
      <c r="H155" s="99">
        <f>G155+'19'!H155</f>
        <v>12395</v>
      </c>
      <c r="I155" s="364"/>
      <c r="J155" s="328">
        <f>H155/DAY(B2)</f>
        <v>619.75</v>
      </c>
    </row>
    <row r="156" spans="1:10" ht="25.5">
      <c r="A156" s="905" t="s">
        <v>347</v>
      </c>
      <c r="B156" s="905"/>
      <c r="C156" s="905"/>
      <c r="D156" s="117" t="s">
        <v>130</v>
      </c>
      <c r="E156" s="95">
        <f>'19'!F156</f>
        <v>11156</v>
      </c>
      <c r="F156" s="155">
        <v>11232</v>
      </c>
      <c r="G156" s="112">
        <f t="shared" si="12"/>
        <v>76</v>
      </c>
      <c r="H156" s="99">
        <f>G156+'19'!H156</f>
        <v>1547</v>
      </c>
      <c r="I156" s="165"/>
      <c r="J156" s="328">
        <f>H156/DAY(B2)</f>
        <v>77.349999999999994</v>
      </c>
    </row>
    <row r="157" spans="1:10" ht="25.5">
      <c r="A157" s="897" t="s">
        <v>360</v>
      </c>
      <c r="B157" s="898"/>
      <c r="C157" s="899"/>
      <c r="D157" s="117" t="s">
        <v>130</v>
      </c>
      <c r="E157" s="95">
        <f>'19'!F157</f>
        <v>21391</v>
      </c>
      <c r="F157" s="155">
        <v>21544</v>
      </c>
      <c r="G157" s="112">
        <f t="shared" si="12"/>
        <v>153</v>
      </c>
      <c r="H157" s="99">
        <f>G157+'19'!H157</f>
        <v>153</v>
      </c>
      <c r="I157" s="165"/>
      <c r="J157" s="328">
        <f>H157/DAY(B2)</f>
        <v>7.65</v>
      </c>
    </row>
    <row r="158" spans="1:10" ht="25.5">
      <c r="A158" s="897" t="s">
        <v>361</v>
      </c>
      <c r="B158" s="898"/>
      <c r="C158" s="899"/>
      <c r="D158" s="117" t="s">
        <v>130</v>
      </c>
      <c r="E158" s="95">
        <f>'19'!F158</f>
        <v>190</v>
      </c>
      <c r="F158" s="155">
        <v>190</v>
      </c>
      <c r="G158" s="112">
        <f t="shared" si="12"/>
        <v>0</v>
      </c>
      <c r="H158" s="99">
        <f>G158+'19'!H158</f>
        <v>0</v>
      </c>
      <c r="I158" s="165"/>
      <c r="J158" s="328">
        <f>H158/DAY(B2)</f>
        <v>0</v>
      </c>
    </row>
    <row r="159" spans="1:10" ht="25.5">
      <c r="A159" s="956"/>
      <c r="B159" s="957"/>
      <c r="C159" s="958"/>
      <c r="D159" s="117"/>
      <c r="E159" s="95"/>
      <c r="F159" s="155"/>
      <c r="G159" s="112"/>
      <c r="H159" s="99"/>
      <c r="I159" s="165"/>
      <c r="J159" s="328"/>
    </row>
    <row r="160" spans="1:10" ht="27.75">
      <c r="A160" s="938" t="s">
        <v>326</v>
      </c>
      <c r="B160" s="938"/>
      <c r="C160" s="938"/>
      <c r="D160" s="938"/>
      <c r="E160" s="938"/>
      <c r="F160" s="938"/>
      <c r="G160" s="938"/>
      <c r="H160" s="938"/>
      <c r="I160" s="938"/>
      <c r="J160" s="938"/>
    </row>
    <row r="161" spans="1:10" ht="26.25">
      <c r="A161" s="242" t="s">
        <v>92</v>
      </c>
      <c r="B161" s="243"/>
      <c r="C161" s="243"/>
      <c r="D161" s="244" t="s">
        <v>180</v>
      </c>
      <c r="E161" s="95">
        <f>'19'!F161</f>
        <v>476679</v>
      </c>
      <c r="F161" s="235">
        <v>476923</v>
      </c>
      <c r="G161" s="238">
        <f t="shared" ref="G161:G166" si="13">F161-E161</f>
        <v>244</v>
      </c>
      <c r="H161" s="99">
        <f>G161+'19'!H161</f>
        <v>257</v>
      </c>
      <c r="I161" s="236"/>
      <c r="J161" s="239">
        <f>H161/DAY(B2)</f>
        <v>12.85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'19'!F162</f>
        <v>93374</v>
      </c>
      <c r="F162" s="235">
        <v>93415</v>
      </c>
      <c r="G162" s="238">
        <f t="shared" si="13"/>
        <v>41</v>
      </c>
      <c r="H162" s="99">
        <f>G162+'19'!H162</f>
        <v>688</v>
      </c>
      <c r="I162" s="236"/>
      <c r="J162" s="239">
        <f>H162/DAY(B2)</f>
        <v>34.4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v>231</v>
      </c>
      <c r="F163" s="235">
        <v>391</v>
      </c>
      <c r="G163" s="238">
        <f t="shared" si="13"/>
        <v>160</v>
      </c>
      <c r="H163" s="99">
        <f>G163+'19'!H163</f>
        <v>3251</v>
      </c>
      <c r="I163" s="236"/>
      <c r="J163" s="239">
        <f>H163/DAY(B2)</f>
        <v>162.55000000000001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'19'!F164</f>
        <v>5756</v>
      </c>
      <c r="F164" s="235">
        <v>5770</v>
      </c>
      <c r="G164" s="238">
        <f t="shared" si="13"/>
        <v>14</v>
      </c>
      <c r="H164" s="99">
        <f>G164+'19'!H164</f>
        <v>228</v>
      </c>
      <c r="I164" s="236"/>
      <c r="J164" s="239">
        <f>H164/DAY(B2)</f>
        <v>11.4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'19'!F165</f>
        <v>31223</v>
      </c>
      <c r="F165" s="235">
        <v>31235</v>
      </c>
      <c r="G165" s="238">
        <f t="shared" si="13"/>
        <v>12</v>
      </c>
      <c r="H165" s="99">
        <f>G165+'19'!H165</f>
        <v>221</v>
      </c>
      <c r="I165" s="236"/>
      <c r="J165" s="239">
        <f>H165/DAY(B2)</f>
        <v>11.05</v>
      </c>
    </row>
    <row r="166" spans="1:10" ht="26.25">
      <c r="A166" s="937"/>
      <c r="B166" s="937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6.25">
      <c r="A167" s="937"/>
      <c r="B167" s="937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6.25">
      <c r="A168" s="937"/>
      <c r="B168" s="937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7" t="s">
        <v>330</v>
      </c>
      <c r="B171" s="948"/>
      <c r="C171" s="948"/>
      <c r="D171" s="948"/>
      <c r="E171" s="948"/>
      <c r="F171" s="948"/>
      <c r="G171" s="948"/>
      <c r="H171" s="948"/>
      <c r="I171" s="948"/>
      <c r="J171" s="949"/>
    </row>
    <row r="172" spans="1:10" ht="25.5">
      <c r="A172" s="943"/>
      <c r="B172" s="944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5" t="s">
        <v>209</v>
      </c>
      <c r="B173" s="896"/>
      <c r="C173" s="333"/>
      <c r="D173" s="228" t="s">
        <v>142</v>
      </c>
      <c r="E173" s="95">
        <f>'19'!F173</f>
        <v>8276</v>
      </c>
      <c r="F173" s="155">
        <v>8276</v>
      </c>
      <c r="G173" s="155">
        <f>F173-E173</f>
        <v>0</v>
      </c>
      <c r="H173" s="99">
        <f>G173+'19'!H173</f>
        <v>12</v>
      </c>
      <c r="I173" s="155"/>
      <c r="J173" s="178">
        <f>H173/DAY(B2)</f>
        <v>0.6</v>
      </c>
    </row>
    <row r="174" spans="1:10" ht="25.5">
      <c r="A174" s="895" t="s">
        <v>75</v>
      </c>
      <c r="B174" s="896"/>
      <c r="C174" s="333"/>
      <c r="D174" s="228" t="s">
        <v>142</v>
      </c>
      <c r="E174" s="95">
        <f>'19'!F174</f>
        <v>40614</v>
      </c>
      <c r="F174" s="157">
        <v>40628</v>
      </c>
      <c r="G174" s="155">
        <f t="shared" ref="G174:G175" si="14">F174-E174</f>
        <v>14</v>
      </c>
      <c r="H174" s="99">
        <f>G174+'19'!H174</f>
        <v>296</v>
      </c>
      <c r="I174" s="155"/>
      <c r="J174" s="178">
        <f>H174/DAY(B2)</f>
        <v>14.8</v>
      </c>
    </row>
    <row r="175" spans="1:10" ht="25.5">
      <c r="A175" s="895" t="s">
        <v>76</v>
      </c>
      <c r="B175" s="900"/>
      <c r="C175" s="896"/>
      <c r="D175" s="228" t="s">
        <v>142</v>
      </c>
      <c r="E175" s="95">
        <f>'19'!F175</f>
        <v>23526</v>
      </c>
      <c r="F175" s="155">
        <v>23537</v>
      </c>
      <c r="G175" s="155">
        <f t="shared" si="14"/>
        <v>11</v>
      </c>
      <c r="H175" s="99">
        <f>G175+'19'!H175</f>
        <v>279</v>
      </c>
      <c r="I175" s="155"/>
      <c r="J175" s="178">
        <f>H175/DAY(B2)</f>
        <v>13.95</v>
      </c>
    </row>
    <row r="176" spans="1:10" ht="25.5">
      <c r="A176" s="934" t="s">
        <v>196</v>
      </c>
      <c r="B176" s="935"/>
      <c r="C176" s="401"/>
      <c r="D176" s="228" t="s">
        <v>142</v>
      </c>
      <c r="E176" s="95"/>
      <c r="F176" s="155"/>
      <c r="G176" s="155">
        <f>SUM(G173:G175)</f>
        <v>25</v>
      </c>
      <c r="H176" s="99">
        <f>G176+'19'!H176</f>
        <v>587</v>
      </c>
      <c r="I176" s="155"/>
      <c r="J176" s="178">
        <f>H176/DAY(B2)</f>
        <v>29.35</v>
      </c>
    </row>
    <row r="177" spans="1:10" ht="25.5">
      <c r="A177" s="895" t="s">
        <v>77</v>
      </c>
      <c r="B177" s="896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5.5">
      <c r="A178" s="895" t="s">
        <v>210</v>
      </c>
      <c r="B178" s="896"/>
      <c r="C178" s="333"/>
      <c r="D178" s="228" t="s">
        <v>142</v>
      </c>
      <c r="E178" s="95">
        <f>'19'!F178</f>
        <v>93833</v>
      </c>
      <c r="F178" s="155">
        <v>93943</v>
      </c>
      <c r="G178" s="155">
        <f>F178-E178</f>
        <v>110</v>
      </c>
      <c r="H178" s="99">
        <f>G178+'19'!H178</f>
        <v>2121</v>
      </c>
      <c r="I178" s="155"/>
      <c r="J178" s="178">
        <f>H178/DAY(B2)</f>
        <v>106.05</v>
      </c>
    </row>
    <row r="179" spans="1:10" ht="25.5">
      <c r="A179" s="895" t="s">
        <v>211</v>
      </c>
      <c r="B179" s="896"/>
      <c r="C179" s="333"/>
      <c r="D179" s="228" t="s">
        <v>142</v>
      </c>
      <c r="E179" s="95">
        <f>'19'!F179</f>
        <v>36002</v>
      </c>
      <c r="F179" s="155">
        <v>36002</v>
      </c>
      <c r="G179" s="155">
        <f t="shared" ref="G179:G180" si="15">F179-E179</f>
        <v>0</v>
      </c>
      <c r="H179" s="99">
        <f>G179+'19'!H179</f>
        <v>218</v>
      </c>
      <c r="I179" s="155"/>
      <c r="J179" s="178">
        <f>H179/DAY(B2)</f>
        <v>10.9</v>
      </c>
    </row>
    <row r="180" spans="1:10" ht="25.5">
      <c r="A180" s="895" t="s">
        <v>212</v>
      </c>
      <c r="B180" s="896"/>
      <c r="C180" s="333"/>
      <c r="D180" s="228" t="s">
        <v>142</v>
      </c>
      <c r="E180" s="95">
        <f>'19'!F180</f>
        <v>6816</v>
      </c>
      <c r="F180" s="155">
        <v>6818</v>
      </c>
      <c r="G180" s="155">
        <f t="shared" si="15"/>
        <v>2</v>
      </c>
      <c r="H180" s="99">
        <f>G180+'19'!H180</f>
        <v>148</v>
      </c>
      <c r="I180" s="155"/>
      <c r="J180" s="178">
        <f>H180/DAY(B2)</f>
        <v>7.4</v>
      </c>
    </row>
    <row r="181" spans="1:10" ht="24.75" customHeight="1">
      <c r="A181" s="941" t="s">
        <v>108</v>
      </c>
      <c r="B181" s="942"/>
      <c r="C181" s="401"/>
      <c r="D181" s="228" t="s">
        <v>142</v>
      </c>
      <c r="E181" s="95"/>
      <c r="F181" s="155"/>
      <c r="G181" s="155">
        <f>SUM(G178:G180)</f>
        <v>112</v>
      </c>
      <c r="H181" s="99">
        <f>G181+'19'!H181</f>
        <v>2487</v>
      </c>
      <c r="I181" s="155"/>
      <c r="J181" s="178">
        <f>H181/DAY(B2)</f>
        <v>124.35</v>
      </c>
    </row>
    <row r="182" spans="1:10" ht="24.75" customHeight="1">
      <c r="A182" s="895" t="s">
        <v>213</v>
      </c>
      <c r="B182" s="896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>
      <c r="A183" s="895" t="s">
        <v>214</v>
      </c>
      <c r="B183" s="896"/>
      <c r="C183" s="334"/>
      <c r="D183" s="228" t="s">
        <v>142</v>
      </c>
      <c r="E183" s="95">
        <f>'19'!F183</f>
        <v>17206</v>
      </c>
      <c r="F183" s="157">
        <v>17215</v>
      </c>
      <c r="G183" s="157">
        <f>F183-E183</f>
        <v>9</v>
      </c>
      <c r="H183" s="99">
        <f>G183+'19'!H183</f>
        <v>260</v>
      </c>
      <c r="I183" s="155"/>
      <c r="J183" s="178">
        <f>H183/DAY(B2)</f>
        <v>13</v>
      </c>
    </row>
    <row r="184" spans="1:10" ht="24.75" customHeight="1">
      <c r="A184" s="895" t="s">
        <v>215</v>
      </c>
      <c r="B184" s="896"/>
      <c r="C184" s="334"/>
      <c r="D184" s="228" t="s">
        <v>142</v>
      </c>
      <c r="E184" s="95">
        <f>'19'!F184</f>
        <v>11615</v>
      </c>
      <c r="F184" s="157">
        <v>11630</v>
      </c>
      <c r="G184" s="157">
        <f t="shared" ref="G184:G185" si="16">F184-E184</f>
        <v>15</v>
      </c>
      <c r="H184" s="99">
        <f>G184+'19'!H184</f>
        <v>144</v>
      </c>
      <c r="I184" s="155"/>
      <c r="J184" s="178">
        <f>H184/DAY(B2)</f>
        <v>7.2</v>
      </c>
    </row>
    <row r="185" spans="1:10" ht="24.75" customHeight="1">
      <c r="A185" s="895" t="s">
        <v>216</v>
      </c>
      <c r="B185" s="896"/>
      <c r="C185" s="334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5.5">
      <c r="A186" s="934" t="s">
        <v>196</v>
      </c>
      <c r="B186" s="935"/>
      <c r="C186" s="400"/>
      <c r="D186" s="228" t="s">
        <v>142</v>
      </c>
      <c r="E186" s="95"/>
      <c r="F186" s="157"/>
      <c r="G186" s="157">
        <f>SUM(G183:G185)</f>
        <v>24</v>
      </c>
      <c r="H186" s="99">
        <f>G186+'19'!H186</f>
        <v>404</v>
      </c>
      <c r="I186" s="157"/>
      <c r="J186" s="178">
        <f>H186/DAY(B2)</f>
        <v>20.2</v>
      </c>
    </row>
    <row r="187" spans="1:10" ht="25.5">
      <c r="A187" s="945" t="s">
        <v>217</v>
      </c>
      <c r="B187" s="946"/>
      <c r="C187" s="333"/>
      <c r="D187" s="230" t="s">
        <v>142</v>
      </c>
      <c r="E187" s="95"/>
      <c r="F187" s="159"/>
      <c r="G187" s="378">
        <f>G62+G19</f>
        <v>178</v>
      </c>
      <c r="H187" s="99">
        <f>G187+'19'!H187</f>
        <v>3866</v>
      </c>
      <c r="I187" s="158"/>
      <c r="J187" s="179">
        <f>H187/DAY(B2)</f>
        <v>193.3</v>
      </c>
    </row>
    <row r="188" spans="1:10" ht="25.5">
      <c r="A188" s="945" t="s">
        <v>218</v>
      </c>
      <c r="B188" s="946"/>
      <c r="C188" s="333"/>
      <c r="D188" s="230" t="s">
        <v>142</v>
      </c>
      <c r="E188" s="95"/>
      <c r="F188" s="159"/>
      <c r="G188" s="378">
        <f>G65+G66+G67+G69+G70</f>
        <v>167</v>
      </c>
      <c r="H188" s="99">
        <f>G188+'19'!H188</f>
        <v>933</v>
      </c>
      <c r="I188" s="158"/>
      <c r="J188" s="179">
        <f>H188/DAY(B2)</f>
        <v>46.65</v>
      </c>
    </row>
    <row r="189" spans="1:10" ht="25.5">
      <c r="A189" s="945" t="s">
        <v>219</v>
      </c>
      <c r="B189" s="946"/>
      <c r="C189" s="333"/>
      <c r="D189" s="230" t="s">
        <v>142</v>
      </c>
      <c r="E189" s="95"/>
      <c r="F189" s="157"/>
      <c r="G189" s="377">
        <f>G181</f>
        <v>112</v>
      </c>
      <c r="H189" s="99">
        <f>G189+'19'!H189</f>
        <v>225</v>
      </c>
      <c r="I189" s="158"/>
      <c r="J189" s="179">
        <f>H189/DAY(B2)</f>
        <v>11.25</v>
      </c>
    </row>
    <row r="190" spans="1:10" ht="25.5">
      <c r="A190" s="939"/>
      <c r="B190" s="940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4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topLeftCell="A157" zoomScale="60" zoomScaleNormal="60" zoomScalePageLayoutView="20" workbookViewId="0">
      <selection activeCell="F185" sqref="F18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.5546875" style="161" customWidth="1"/>
    <col min="9" max="9" width="19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6" t="s">
        <v>115</v>
      </c>
      <c r="B1" s="877"/>
      <c r="C1" s="877"/>
      <c r="D1" s="877"/>
      <c r="E1" s="877"/>
      <c r="F1" s="877"/>
      <c r="G1" s="877"/>
      <c r="H1" s="877"/>
      <c r="I1" s="877"/>
      <c r="J1" s="878"/>
    </row>
    <row r="2" spans="1:15" s="57" customFormat="1" ht="23.25">
      <c r="A2" s="191" t="s">
        <v>354</v>
      </c>
      <c r="B2" s="262">
        <v>44733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85" t="s">
        <v>119</v>
      </c>
      <c r="F3" s="886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9" t="s">
        <v>128</v>
      </c>
      <c r="B6" s="880"/>
      <c r="C6" s="88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'20'!F7</f>
        <v>253239</v>
      </c>
      <c r="F7" s="95">
        <v>279914.11</v>
      </c>
      <c r="G7" s="112">
        <f>F7-E7</f>
        <v>26675.109999999986</v>
      </c>
      <c r="H7" s="99">
        <f>G7+'20'!H7</f>
        <v>587087.11</v>
      </c>
      <c r="I7" s="113">
        <f>'1'!I7</f>
        <v>12000</v>
      </c>
      <c r="J7" s="175">
        <f>H7/DAY(B2)</f>
        <v>27956.529047619046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'20'!F8</f>
        <v>387563</v>
      </c>
      <c r="F8" s="114">
        <v>414650.11</v>
      </c>
      <c r="G8" s="115">
        <f>F8-E8</f>
        <v>27087.109999999986</v>
      </c>
      <c r="H8" s="99">
        <f>G8+'20'!H8</f>
        <v>605991.21000000008</v>
      </c>
      <c r="I8" s="116"/>
      <c r="J8" s="175">
        <f>H8/DAY(B2)</f>
        <v>28856.724285714288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'20'!F9</f>
        <v>2780874</v>
      </c>
      <c r="F9" s="469">
        <v>2796075.3</v>
      </c>
      <c r="G9" s="112">
        <f>F9-E9</f>
        <v>15201.299999999814</v>
      </c>
      <c r="H9" s="99">
        <f>G9+'20'!H9</f>
        <v>345966.59999999963</v>
      </c>
      <c r="I9" s="124">
        <f>I7-J7</f>
        <v>-15956.529047619046</v>
      </c>
      <c r="J9" s="175">
        <f>H9/DAY(B2)</f>
        <v>16474.599999999984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'20'!F10</f>
        <v>1109606</v>
      </c>
      <c r="F10" s="353">
        <v>1120396.6000000001</v>
      </c>
      <c r="G10" s="112">
        <f t="shared" ref="G10:G12" si="0">F10-E10</f>
        <v>10790.600000000093</v>
      </c>
      <c r="H10" s="99">
        <f>G10+'20'!H10</f>
        <v>209993.40000000014</v>
      </c>
      <c r="I10" s="282"/>
      <c r="J10" s="175">
        <f>H10/DAY(B2)</f>
        <v>9999.6857142857207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'20'!F11</f>
        <v>37560</v>
      </c>
      <c r="F11" s="95">
        <v>37560</v>
      </c>
      <c r="G11" s="112">
        <f t="shared" si="0"/>
        <v>0</v>
      </c>
      <c r="H11" s="99">
        <f>G11+'20'!H11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'20'!F12</f>
        <v>40380</v>
      </c>
      <c r="F12" s="117">
        <v>40380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25991.899999999907</v>
      </c>
      <c r="H13" s="99">
        <f>G13+'20'!H13</f>
        <v>555820.99999999977</v>
      </c>
      <c r="I13" s="120">
        <f>G7-G13</f>
        <v>683.21000000007916</v>
      </c>
      <c r="J13" s="175">
        <f>H13/DAY(B2)</f>
        <v>26467.666666666657</v>
      </c>
      <c r="K13" s="79"/>
      <c r="L13" s="66"/>
      <c r="N13" s="87"/>
      <c r="O13" s="71"/>
    </row>
    <row r="14" spans="1:15" ht="26.25">
      <c r="A14" s="882" t="s">
        <v>137</v>
      </c>
      <c r="B14" s="883"/>
      <c r="C14" s="88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'20'!F15</f>
        <v>2058217</v>
      </c>
      <c r="F15" s="469">
        <v>2059266.42</v>
      </c>
      <c r="G15" s="112">
        <f>(F15-E15)</f>
        <v>1049.4199999999255</v>
      </c>
      <c r="H15" s="99">
        <f>G15+'20'!H15</f>
        <v>22149.419999999925</v>
      </c>
      <c r="I15" s="113">
        <f>'1'!I15</f>
        <v>800</v>
      </c>
      <c r="J15" s="175">
        <f>H15/DAY(B2)</f>
        <v>1054.7342857142821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-254.73428571428212</v>
      </c>
      <c r="J16" s="176"/>
      <c r="K16" s="79"/>
      <c r="L16" s="66"/>
      <c r="N16" s="87"/>
      <c r="O16" s="71"/>
    </row>
    <row r="17" spans="1:15" ht="26.25">
      <c r="A17" s="882" t="s">
        <v>140</v>
      </c>
      <c r="B17" s="883"/>
      <c r="C17" s="88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3" t="s">
        <v>141</v>
      </c>
      <c r="B18" s="874"/>
      <c r="C18" s="875"/>
      <c r="D18" s="151" t="s">
        <v>142</v>
      </c>
      <c r="E18" s="95">
        <f>'20'!F18</f>
        <v>20</v>
      </c>
      <c r="F18" s="122">
        <v>21</v>
      </c>
      <c r="G18" s="119">
        <f>F18*10</f>
        <v>210</v>
      </c>
      <c r="H18" s="99">
        <f>G18+'20'!H18</f>
        <v>4640</v>
      </c>
      <c r="I18" s="113">
        <f>'1'!I18</f>
        <v>65</v>
      </c>
      <c r="J18" s="175">
        <f>H18/DAY(B2)</f>
        <v>220.95238095238096</v>
      </c>
      <c r="K18" s="79"/>
      <c r="L18" s="66"/>
      <c r="N18" s="87"/>
      <c r="O18" s="71"/>
    </row>
    <row r="19" spans="1:15" ht="25.5">
      <c r="A19" s="873" t="s">
        <v>69</v>
      </c>
      <c r="B19" s="874"/>
      <c r="C19" s="875"/>
      <c r="D19" s="151" t="s">
        <v>142</v>
      </c>
      <c r="E19" s="95">
        <f>'20'!F19</f>
        <v>161145</v>
      </c>
      <c r="F19" s="122">
        <v>161198</v>
      </c>
      <c r="G19" s="112">
        <f t="shared" ref="G19" si="1">F19-E19</f>
        <v>53</v>
      </c>
      <c r="H19" s="99">
        <f>G19+'20'!H19</f>
        <v>1088</v>
      </c>
      <c r="I19" s="335"/>
      <c r="J19" s="175">
        <f>H19/DAY(B2)</f>
        <v>51.80952380952381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263</v>
      </c>
      <c r="H20" s="99">
        <f>G20+'20'!H20</f>
        <v>5728</v>
      </c>
      <c r="I20" s="336">
        <f>I18-J20</f>
        <v>-207.76190476190476</v>
      </c>
      <c r="J20" s="175">
        <f>H20/DAY(B2)</f>
        <v>272.76190476190476</v>
      </c>
      <c r="K20" s="79"/>
      <c r="L20" s="66"/>
      <c r="N20" s="87"/>
      <c r="O20" s="71"/>
    </row>
    <row r="21" spans="1:15" ht="26.25">
      <c r="A21" s="882" t="s">
        <v>144</v>
      </c>
      <c r="B21" s="883"/>
      <c r="C21" s="88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'20'!F23</f>
        <v>1500</v>
      </c>
      <c r="F23" s="122">
        <v>1500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'20'!F24</f>
        <v>4470</v>
      </c>
      <c r="F24" s="128">
        <v>4470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7" t="s">
        <v>149</v>
      </c>
      <c r="B25" s="888"/>
      <c r="C25" s="88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27087.109999999986</v>
      </c>
      <c r="F27" s="136">
        <v>9</v>
      </c>
      <c r="G27" s="137">
        <f>E27*F27</f>
        <v>243783.98999999987</v>
      </c>
      <c r="H27" s="99">
        <f>G27+'20'!H27</f>
        <v>5453920.8900000006</v>
      </c>
      <c r="I27" s="138"/>
      <c r="J27" s="175">
        <f>H27/DAY(B2)</f>
        <v>259710.51857142861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1049.4199999999255</v>
      </c>
      <c r="F28" s="136">
        <v>70</v>
      </c>
      <c r="G28" s="137">
        <f>E28*F28</f>
        <v>73459.399999994785</v>
      </c>
      <c r="H28" s="99">
        <f>G28+'20'!H28</f>
        <v>1495901.3999999948</v>
      </c>
      <c r="I28" s="140"/>
      <c r="J28" s="175">
        <f>H28/DAY(B2)</f>
        <v>71233.399999999747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151</v>
      </c>
      <c r="G30" s="137">
        <f>E30*F30</f>
        <v>8003</v>
      </c>
      <c r="H30" s="99">
        <f>G30+'20'!H30</f>
        <v>163538</v>
      </c>
      <c r="I30" s="140"/>
      <c r="J30" s="175">
        <f>H30/DAY(B2)</f>
        <v>7787.5238095238092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G31+'20'!H31</f>
        <v>371200</v>
      </c>
      <c r="I31" s="140"/>
      <c r="J31" s="175">
        <f>H31/DAY(B2)</f>
        <v>17676.190476190477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342046.38999999466</v>
      </c>
      <c r="H32" s="99">
        <f>G32+'20'!H32</f>
        <v>7484560.2899999954</v>
      </c>
      <c r="I32" s="144"/>
      <c r="J32" s="175">
        <f>H32/DAY(B2)</f>
        <v>356407.63285714266</v>
      </c>
      <c r="K32" s="63"/>
      <c r="L32" s="89"/>
      <c r="N32" s="87"/>
      <c r="O32" s="71"/>
    </row>
    <row r="33" spans="1:15" ht="25.5" customHeight="1">
      <c r="A33" s="890" t="s">
        <v>331</v>
      </c>
      <c r="B33" s="891"/>
      <c r="C33" s="89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'20'!F35</f>
        <v>238714</v>
      </c>
      <c r="F35" s="145">
        <v>238714</v>
      </c>
      <c r="G35" s="112">
        <f t="shared" ref="G35:G46" si="3">F35-E35</f>
        <v>0</v>
      </c>
      <c r="H35" s="99">
        <f>G35+'20'!H35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'20'!F36</f>
        <v>178616</v>
      </c>
      <c r="F36" s="145">
        <v>179427.33</v>
      </c>
      <c r="G36" s="112">
        <f t="shared" si="3"/>
        <v>811.32999999998719</v>
      </c>
      <c r="H36" s="99">
        <f>G36+'20'!H36</f>
        <v>18979.329999999987</v>
      </c>
      <c r="I36" s="95"/>
      <c r="J36" s="175">
        <f>H36/DAY(B2)</f>
        <v>903.77761904761849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'20'!F37</f>
        <v>270470</v>
      </c>
      <c r="F37" s="418">
        <v>272131.05</v>
      </c>
      <c r="G37" s="112">
        <f t="shared" si="3"/>
        <v>1661.0499999999884</v>
      </c>
      <c r="H37" s="99">
        <f>G37+'20'!H37</f>
        <v>36352.049999999988</v>
      </c>
      <c r="I37" s="95"/>
      <c r="J37" s="175">
        <f>H37/DAY(B2)</f>
        <v>1731.0499999999995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'20'!F38</f>
        <v>364556</v>
      </c>
      <c r="F38" s="108">
        <v>366939.15</v>
      </c>
      <c r="G38" s="112">
        <f t="shared" si="3"/>
        <v>2383.1500000000233</v>
      </c>
      <c r="H38" s="99">
        <f>G38+'20'!H38</f>
        <v>48647.150000000023</v>
      </c>
      <c r="I38" s="95"/>
      <c r="J38" s="175">
        <f>H38/DAY(B2)</f>
        <v>2316.5309523809533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'20'!F39</f>
        <v>493474</v>
      </c>
      <c r="F39" s="418">
        <v>496597.91</v>
      </c>
      <c r="G39" s="112">
        <f t="shared" si="3"/>
        <v>3123.9099999999744</v>
      </c>
      <c r="H39" s="99">
        <f>G39+'20'!H39</f>
        <v>61268</v>
      </c>
      <c r="I39" s="95"/>
      <c r="J39" s="175">
        <f>H39/DAY(B2)</f>
        <v>2917.5238095238096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'20'!F40</f>
        <v>79975</v>
      </c>
      <c r="F40" s="145">
        <v>80362.59</v>
      </c>
      <c r="G40" s="112">
        <f t="shared" si="3"/>
        <v>387.58999999999651</v>
      </c>
      <c r="H40" s="99">
        <f>G40+'20'!H40</f>
        <v>6809.5899999999965</v>
      </c>
      <c r="I40" s="95"/>
      <c r="J40" s="175">
        <f>H40/DAY(B2)</f>
        <v>324.26619047619033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'20'!F41</f>
        <v>130870</v>
      </c>
      <c r="F41" s="145">
        <v>136730.97</v>
      </c>
      <c r="G41" s="112">
        <f t="shared" si="3"/>
        <v>5860.9700000000012</v>
      </c>
      <c r="H41" s="99">
        <f>G41+'20'!H41</f>
        <v>67895.97</v>
      </c>
      <c r="I41" s="95"/>
      <c r="J41" s="175">
        <f>H41/DAY(B2)</f>
        <v>3233.1414285714286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'20'!F42</f>
        <v>653515</v>
      </c>
      <c r="F42" s="145">
        <v>653540.03</v>
      </c>
      <c r="G42" s="112">
        <f t="shared" si="3"/>
        <v>25.03000000002794</v>
      </c>
      <c r="H42" s="99">
        <f>G42+'20'!H42</f>
        <v>90668.030000000028</v>
      </c>
      <c r="I42" s="95"/>
      <c r="J42" s="175">
        <f>H42/DAY(B2)</f>
        <v>4317.5252380952397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'20'!F43</f>
        <v>407028</v>
      </c>
      <c r="F43" s="145">
        <v>407028</v>
      </c>
      <c r="G43" s="112">
        <f t="shared" si="3"/>
        <v>0</v>
      </c>
      <c r="H43" s="99">
        <f>G43+'20'!H43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14253.029999999999</v>
      </c>
      <c r="H47" s="99">
        <f>G47+'20'!H47</f>
        <v>330620.12</v>
      </c>
      <c r="I47" s="95"/>
      <c r="J47" s="175">
        <f>H47/DAY(B2)</f>
        <v>15743.815238095238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'20'!F49</f>
        <v>331865</v>
      </c>
      <c r="F49" s="145">
        <v>335497.07</v>
      </c>
      <c r="G49" s="112">
        <f t="shared" ref="G49:G58" si="4">F49-E49</f>
        <v>3632.070000000007</v>
      </c>
      <c r="H49" s="99">
        <f>G49+'20'!H49</f>
        <v>75350.070000000007</v>
      </c>
      <c r="I49" s="95"/>
      <c r="J49" s="175">
        <f>H49/DAY(B2)</f>
        <v>3588.0985714285716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'20'!F50</f>
        <v>232086</v>
      </c>
      <c r="F50" s="145">
        <v>233218.41</v>
      </c>
      <c r="G50" s="112">
        <f t="shared" si="4"/>
        <v>1132.4100000000035</v>
      </c>
      <c r="H50" s="99">
        <f>G50+'20'!H50</f>
        <v>23654.410000000003</v>
      </c>
      <c r="I50" s="95"/>
      <c r="J50" s="175">
        <f>H50/DAY(B2)</f>
        <v>1126.4004761904764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'20'!F51</f>
        <v>76</v>
      </c>
      <c r="F51" s="145">
        <v>76</v>
      </c>
      <c r="G51" s="112">
        <f t="shared" si="4"/>
        <v>0</v>
      </c>
      <c r="H51" s="99">
        <f>G51+'20'!H51</f>
        <v>0.31999999999999318</v>
      </c>
      <c r="I51" s="95"/>
      <c r="J51" s="175">
        <f>H51/DAY(B2)</f>
        <v>1.5238095238094914E-2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'20'!F52</f>
        <v>10</v>
      </c>
      <c r="F52" s="145">
        <v>10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'20'!F54</f>
        <v>73494</v>
      </c>
      <c r="F54" s="145">
        <v>73852.429999999993</v>
      </c>
      <c r="G54" s="112">
        <f t="shared" si="4"/>
        <v>358.42999999999302</v>
      </c>
      <c r="H54" s="99">
        <f>G54+'20'!H54</f>
        <v>9296.429999999993</v>
      </c>
      <c r="I54" s="95"/>
      <c r="J54" s="175">
        <f>H54/DAY(B2)</f>
        <v>442.68714285714253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'20'!F55</f>
        <v>254288</v>
      </c>
      <c r="F55" s="145">
        <v>254287.51</v>
      </c>
      <c r="G55" s="112">
        <f t="shared" si="4"/>
        <v>-0.48999999999068677</v>
      </c>
      <c r="H55" s="99">
        <f>G55+'20'!H55</f>
        <v>28814.510000000009</v>
      </c>
      <c r="I55" s="95"/>
      <c r="J55" s="175">
        <f>H55/DAY(B2)</f>
        <v>1372.1195238095243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'20'!F56</f>
        <v>109347</v>
      </c>
      <c r="F56" s="418">
        <v>111208.75</v>
      </c>
      <c r="G56" s="112">
        <f t="shared" si="4"/>
        <v>1861.75</v>
      </c>
      <c r="H56" s="99">
        <f>G56+'20'!H56</f>
        <v>3962.75</v>
      </c>
      <c r="I56" s="95"/>
      <c r="J56" s="175">
        <f>H56/DAY(B2)</f>
        <v>188.70238095238096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'20'!F57</f>
        <v>100679</v>
      </c>
      <c r="F57" s="145">
        <v>103719.23</v>
      </c>
      <c r="G57" s="112">
        <f t="shared" si="4"/>
        <v>3040.2299999999959</v>
      </c>
      <c r="H57" s="99">
        <f>G57+'20'!H57</f>
        <v>66116.23</v>
      </c>
      <c r="I57" s="95"/>
      <c r="J57" s="175">
        <f>H57/DAY(B2)</f>
        <v>3148.3919047619047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'20'!F58</f>
        <v>37498</v>
      </c>
      <c r="F58" s="145">
        <v>37738.400000000001</v>
      </c>
      <c r="G58" s="112">
        <f t="shared" si="4"/>
        <v>240.40000000000146</v>
      </c>
      <c r="H58" s="99">
        <f>G58+'20'!H58</f>
        <v>4849.4000000000015</v>
      </c>
      <c r="I58" s="95"/>
      <c r="J58" s="175">
        <f>H58/DAY(B2)</f>
        <v>230.92380952380958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10264.80000000001</v>
      </c>
      <c r="H59" s="99">
        <f>G59+'20'!H59</f>
        <v>212044.12000000002</v>
      </c>
      <c r="I59" s="95">
        <f>G7-G60</f>
        <v>2157.279999999977</v>
      </c>
      <c r="J59" s="175">
        <f>H59/DAY(B2)</f>
        <v>10097.339047619049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24517.830000000009</v>
      </c>
      <c r="H60" s="99">
        <f>G60+'20'!H60</f>
        <v>542664.24</v>
      </c>
      <c r="I60" s="95">
        <f>G13-G60</f>
        <v>1474.0699999998978</v>
      </c>
      <c r="J60" s="175">
        <f>H60/DAY(B2)</f>
        <v>25841.154285714285</v>
      </c>
      <c r="K60" s="79"/>
      <c r="L60" s="66"/>
      <c r="N60" s="87"/>
      <c r="O60" s="71"/>
    </row>
    <row r="61" spans="1:15" s="68" customFormat="1" ht="26.25">
      <c r="A61" s="892" t="s">
        <v>332</v>
      </c>
      <c r="B61" s="893"/>
      <c r="C61" s="89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3" t="s">
        <v>198</v>
      </c>
      <c r="B62" s="874"/>
      <c r="C62" s="875"/>
      <c r="D62" s="151" t="s">
        <v>142</v>
      </c>
      <c r="E62" s="95">
        <f>'20'!F62</f>
        <v>291731</v>
      </c>
      <c r="F62" s="122">
        <v>291834</v>
      </c>
      <c r="G62" s="112">
        <f t="shared" ref="G62:G63" si="5">F62-E62</f>
        <v>103</v>
      </c>
      <c r="H62" s="99">
        <f>G62+'20'!H62</f>
        <v>2934</v>
      </c>
      <c r="I62" s="118"/>
      <c r="J62" s="175">
        <f>H62/DAY(B2)</f>
        <v>139.71428571428572</v>
      </c>
      <c r="K62" s="80"/>
      <c r="L62" s="66"/>
      <c r="N62" s="87"/>
      <c r="O62" s="71"/>
    </row>
    <row r="63" spans="1:15" ht="25.5">
      <c r="A63" s="873" t="s">
        <v>199</v>
      </c>
      <c r="B63" s="874"/>
      <c r="C63" s="875"/>
      <c r="D63" s="151" t="s">
        <v>142</v>
      </c>
      <c r="E63" s="95">
        <f>'20'!F63</f>
        <v>233839</v>
      </c>
      <c r="F63" s="150">
        <v>233954</v>
      </c>
      <c r="G63" s="112">
        <f t="shared" si="5"/>
        <v>115</v>
      </c>
      <c r="H63" s="99">
        <f>G63+'20'!H63</f>
        <v>2792</v>
      </c>
      <c r="I63" s="118"/>
      <c r="J63" s="175">
        <f>H63/DAY(B2)</f>
        <v>132.95238095238096</v>
      </c>
      <c r="K63" s="69"/>
      <c r="L63" s="66"/>
      <c r="N63" s="87"/>
      <c r="O63" s="71"/>
    </row>
    <row r="64" spans="1:15" ht="26.25">
      <c r="A64" s="870" t="s">
        <v>200</v>
      </c>
      <c r="B64" s="871"/>
      <c r="C64" s="872"/>
      <c r="D64" s="151"/>
      <c r="E64" s="95">
        <f>'20'!F64</f>
        <v>0</v>
      </c>
      <c r="F64" s="122"/>
      <c r="G64" s="112">
        <f>G62+G63</f>
        <v>218</v>
      </c>
      <c r="H64" s="99">
        <f>G64+'20'!H64</f>
        <v>5726</v>
      </c>
      <c r="I64" s="118"/>
      <c r="J64" s="175">
        <f>H64/DAY(B2)</f>
        <v>272.66666666666669</v>
      </c>
      <c r="K64" s="69"/>
      <c r="L64" s="66"/>
      <c r="N64" s="87"/>
      <c r="O64" s="71"/>
    </row>
    <row r="65" spans="1:15" ht="25.5">
      <c r="A65" s="873" t="s">
        <v>201</v>
      </c>
      <c r="B65" s="874"/>
      <c r="C65" s="875"/>
      <c r="D65" s="151" t="s">
        <v>142</v>
      </c>
      <c r="E65" s="95">
        <f>'20'!F65</f>
        <v>450399</v>
      </c>
      <c r="F65" s="122">
        <v>450501</v>
      </c>
      <c r="G65" s="112">
        <f t="shared" ref="G65:G70" si="6">F65-E65</f>
        <v>102</v>
      </c>
      <c r="H65" s="99">
        <f>G65+'20'!H65</f>
        <v>2474</v>
      </c>
      <c r="I65" s="118"/>
      <c r="J65" s="175">
        <f>H65/DAY(B2)</f>
        <v>117.80952380952381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'20'!F66</f>
        <v>110845</v>
      </c>
      <c r="F66" s="122">
        <v>110860</v>
      </c>
      <c r="G66" s="112">
        <f t="shared" si="6"/>
        <v>15</v>
      </c>
      <c r="H66" s="99">
        <f>G66+'20'!H66</f>
        <v>529</v>
      </c>
      <c r="I66" s="118"/>
      <c r="J66" s="175">
        <f>H66/DAY(B2)</f>
        <v>25.19047619047619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'20'!F67</f>
        <v>113681</v>
      </c>
      <c r="F67" s="122">
        <v>113681</v>
      </c>
      <c r="G67" s="112">
        <f t="shared" si="6"/>
        <v>0</v>
      </c>
      <c r="H67" s="99">
        <f>G67+'20'!H67</f>
        <v>403</v>
      </c>
      <c r="I67" s="118"/>
      <c r="J67" s="175">
        <f>H67/DAY(B2)</f>
        <v>19.19047619047619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'20'!F68</f>
        <v>163163</v>
      </c>
      <c r="F68" s="122">
        <v>163196</v>
      </c>
      <c r="G68" s="112">
        <f t="shared" si="6"/>
        <v>33</v>
      </c>
      <c r="H68" s="99">
        <f>G68+'20'!H68</f>
        <v>702</v>
      </c>
      <c r="I68" s="118"/>
      <c r="J68" s="175">
        <f>H68/DAY(B2)</f>
        <v>33.428571428571431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'20'!F69</f>
        <v>12082</v>
      </c>
      <c r="F69" s="122">
        <v>12085</v>
      </c>
      <c r="G69" s="112">
        <f t="shared" si="6"/>
        <v>3</v>
      </c>
      <c r="H69" s="99">
        <f>G69+'20'!H69</f>
        <v>216</v>
      </c>
      <c r="I69" s="118"/>
      <c r="J69" s="175">
        <f>H69/DAY(B2)</f>
        <v>10.285714285714286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'20'!F70</f>
        <v>9443</v>
      </c>
      <c r="F70" s="122">
        <v>9448</v>
      </c>
      <c r="G70" s="112">
        <f t="shared" si="6"/>
        <v>5</v>
      </c>
      <c r="H70" s="99">
        <f>G70+'20'!H70</f>
        <v>181</v>
      </c>
      <c r="I70" s="118"/>
      <c r="J70" s="175">
        <f>H70/DAY(B2)</f>
        <v>8.6190476190476186</v>
      </c>
      <c r="K70" s="69"/>
      <c r="L70" s="66"/>
      <c r="N70" s="87"/>
      <c r="O70" s="71"/>
    </row>
    <row r="71" spans="1:15" ht="26.25">
      <c r="A71" s="870" t="s">
        <v>208</v>
      </c>
      <c r="B71" s="871"/>
      <c r="C71" s="872"/>
      <c r="D71" s="152"/>
      <c r="E71" s="152"/>
      <c r="F71" s="152"/>
      <c r="G71" s="153">
        <f>SUM(G65:G70)</f>
        <v>158</v>
      </c>
      <c r="H71" s="99">
        <f>G71+'20'!H71</f>
        <v>4505</v>
      </c>
      <c r="I71" s="154"/>
      <c r="J71" s="175">
        <f>H71/DAY(B2)</f>
        <v>214.52380952380952</v>
      </c>
      <c r="K71" s="69"/>
      <c r="L71" s="66"/>
      <c r="N71" s="87"/>
      <c r="O71" s="71"/>
    </row>
    <row r="72" spans="1:15" s="88" customFormat="1" ht="25.5">
      <c r="A72" s="916"/>
      <c r="B72" s="90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3" t="s">
        <v>220</v>
      </c>
      <c r="B74" s="874"/>
      <c r="C74" s="875"/>
      <c r="D74" s="151" t="s">
        <v>139</v>
      </c>
      <c r="E74" s="95">
        <f>'20'!F74</f>
        <v>944830</v>
      </c>
      <c r="F74" s="123">
        <v>945123.62</v>
      </c>
      <c r="G74" s="112">
        <f t="shared" ref="G74:G78" si="7">F74-E74</f>
        <v>293.61999999999534</v>
      </c>
      <c r="H74" s="99">
        <f>G74+'20'!H74</f>
        <v>6453.6199999999953</v>
      </c>
      <c r="I74" s="154"/>
      <c r="J74" s="175">
        <f>H74/DAY(B2)</f>
        <v>307.31523809523787</v>
      </c>
      <c r="K74" s="69"/>
      <c r="L74" s="66"/>
      <c r="N74" s="87"/>
      <c r="O74" s="71"/>
    </row>
    <row r="75" spans="1:15" ht="25.5">
      <c r="A75" s="873" t="s">
        <v>221</v>
      </c>
      <c r="B75" s="874"/>
      <c r="C75" s="875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7" t="s">
        <v>222</v>
      </c>
      <c r="B76" s="903"/>
      <c r="C76" s="904"/>
      <c r="D76" s="151" t="s">
        <v>139</v>
      </c>
      <c r="E76" s="95">
        <f>'20'!F76</f>
        <v>185928</v>
      </c>
      <c r="F76" s="123">
        <v>186041.63</v>
      </c>
      <c r="G76" s="112">
        <f t="shared" si="7"/>
        <v>113.63000000000466</v>
      </c>
      <c r="H76" s="99">
        <f>G76+'20'!H76</f>
        <v>2335.6300000000047</v>
      </c>
      <c r="I76" s="154"/>
      <c r="J76" s="175">
        <f>H76/DAY(B2)</f>
        <v>111.22047619047642</v>
      </c>
      <c r="K76" s="69"/>
      <c r="L76" s="66"/>
      <c r="N76" s="87"/>
      <c r="O76" s="71"/>
    </row>
    <row r="77" spans="1:15" ht="25.5">
      <c r="A77" s="917" t="s">
        <v>223</v>
      </c>
      <c r="B77" s="903"/>
      <c r="C77" s="904"/>
      <c r="D77" s="151" t="s">
        <v>139</v>
      </c>
      <c r="E77" s="95">
        <f>'20'!F77</f>
        <v>48306</v>
      </c>
      <c r="F77" s="123">
        <v>48351.4</v>
      </c>
      <c r="G77" s="112">
        <f t="shared" si="7"/>
        <v>45.400000000001455</v>
      </c>
      <c r="H77" s="99">
        <f>G77+'20'!H77</f>
        <v>1006.4000000000015</v>
      </c>
      <c r="I77" s="154"/>
      <c r="J77" s="175">
        <f>H77/DAY(B2)</f>
        <v>47.923809523809595</v>
      </c>
      <c r="K77" s="69"/>
      <c r="L77" s="66"/>
      <c r="N77" s="87"/>
      <c r="O77" s="71"/>
    </row>
    <row r="78" spans="1:15" ht="25.5">
      <c r="A78" s="917" t="s">
        <v>224</v>
      </c>
      <c r="B78" s="903"/>
      <c r="C78" s="904"/>
      <c r="D78" s="151" t="s">
        <v>139</v>
      </c>
      <c r="E78" s="95">
        <f>'20'!F78</f>
        <v>9564</v>
      </c>
      <c r="F78" s="123">
        <v>9564</v>
      </c>
      <c r="G78" s="112">
        <f t="shared" si="7"/>
        <v>0</v>
      </c>
      <c r="H78" s="99">
        <f>G78+'20'!H78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7" t="s">
        <v>225</v>
      </c>
      <c r="B79" s="903"/>
      <c r="C79" s="904"/>
      <c r="D79" s="151"/>
      <c r="E79" s="95">
        <f>'20'!F79</f>
        <v>0</v>
      </c>
      <c r="F79" s="123"/>
      <c r="G79" s="112">
        <f>G15-SUM(G74:G78)</f>
        <v>596.76999999992404</v>
      </c>
      <c r="H79" s="99">
        <f>G79+'20'!H79</f>
        <v>12353.769999999924</v>
      </c>
      <c r="I79" s="118"/>
      <c r="J79" s="175"/>
      <c r="K79" s="59"/>
      <c r="L79" s="58"/>
      <c r="N79" s="87"/>
      <c r="O79" s="71"/>
    </row>
    <row r="80" spans="1:15" s="57" customFormat="1" ht="26.25">
      <c r="A80" s="870" t="s">
        <v>329</v>
      </c>
      <c r="B80" s="871"/>
      <c r="C80" s="872"/>
      <c r="D80" s="151"/>
      <c r="E80" s="117"/>
      <c r="F80" s="117"/>
      <c r="G80" s="112">
        <f>SUM(G74:G79)</f>
        <v>1049.4199999999255</v>
      </c>
      <c r="H80" s="99"/>
      <c r="I80" s="118"/>
      <c r="J80" s="175"/>
      <c r="K80" s="59"/>
      <c r="L80" s="58"/>
      <c r="N80" s="87"/>
      <c r="O80" s="71"/>
    </row>
    <row r="81" spans="1:15" ht="25.5">
      <c r="A81" s="909" t="s">
        <v>226</v>
      </c>
      <c r="B81" s="910"/>
      <c r="C81" s="91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'20'!F84</f>
        <v>42227</v>
      </c>
      <c r="F84" s="164">
        <v>42251.24</v>
      </c>
      <c r="G84" s="112">
        <f t="shared" si="8"/>
        <v>24.239999999997963</v>
      </c>
      <c r="H84" s="99">
        <f>G84+'20'!H84</f>
        <v>282.23999999999796</v>
      </c>
      <c r="I84" s="573"/>
      <c r="J84" s="175">
        <f>H84/DAY(B2)</f>
        <v>13.439999999999904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'20'!F85</f>
        <v>4732.55</v>
      </c>
      <c r="F85" s="164">
        <v>4732.5600000000004</v>
      </c>
      <c r="G85" s="112">
        <f t="shared" si="8"/>
        <v>1.0000000000218279E-2</v>
      </c>
      <c r="H85" s="99">
        <f>G85+'20'!H85</f>
        <v>389.5600000000004</v>
      </c>
      <c r="I85" s="573"/>
      <c r="J85" s="175">
        <f>H85/DAY(B2)</f>
        <v>18.550476190476211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'20'!F86</f>
        <v>44658</v>
      </c>
      <c r="F86" s="164">
        <v>44660.15</v>
      </c>
      <c r="G86" s="112">
        <f t="shared" si="8"/>
        <v>2.1500000000014552</v>
      </c>
      <c r="H86" s="99">
        <f>G86+'20'!H86</f>
        <v>190.15000000000146</v>
      </c>
      <c r="I86" s="573"/>
      <c r="J86" s="175">
        <f>H86/DAY(B2)</f>
        <v>9.0547619047619747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'20'!F87</f>
        <v>35345</v>
      </c>
      <c r="F87" s="164">
        <v>35357.440000000002</v>
      </c>
      <c r="G87" s="112">
        <f t="shared" si="8"/>
        <v>12.440000000002328</v>
      </c>
      <c r="H87" s="99">
        <f>G87+'20'!H87</f>
        <v>28.440000000002328</v>
      </c>
      <c r="I87" s="573">
        <f>G84+G85+G86+G87</f>
        <v>38.840000000001965</v>
      </c>
      <c r="J87" s="175">
        <f>H87/DAY(B2)</f>
        <v>1.3542857142858251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'20'!F88</f>
        <v>24277</v>
      </c>
      <c r="F88" s="164">
        <v>24276.95</v>
      </c>
      <c r="G88" s="112">
        <f t="shared" si="8"/>
        <v>-4.9999999999272404E-2</v>
      </c>
      <c r="H88" s="99">
        <f>G88+'20'!H88</f>
        <v>49.069999999999709</v>
      </c>
      <c r="I88" s="573"/>
      <c r="J88" s="175">
        <f>H88/DAY(B2)</f>
        <v>2.3366666666666527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'20'!F89</f>
        <v>27197</v>
      </c>
      <c r="F89" s="164">
        <v>27206.95</v>
      </c>
      <c r="G89" s="112">
        <f t="shared" si="8"/>
        <v>9.9500000000007276</v>
      </c>
      <c r="H89" s="99">
        <f>G89+'20'!H89</f>
        <v>213.54000000000087</v>
      </c>
      <c r="I89" s="573">
        <f>G88+G89</f>
        <v>9.9000000000014552</v>
      </c>
      <c r="J89" s="175">
        <f>H89/DAY(B2)</f>
        <v>10.16857142857147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'20'!F90</f>
        <v>72230</v>
      </c>
      <c r="F90" s="164">
        <v>72240.52</v>
      </c>
      <c r="G90" s="112">
        <f t="shared" si="8"/>
        <v>10.520000000004075</v>
      </c>
      <c r="H90" s="99">
        <f>G90+'20'!H90</f>
        <v>113.40000000000873</v>
      </c>
      <c r="I90" s="573">
        <f>G90</f>
        <v>10.520000000004075</v>
      </c>
      <c r="J90" s="175">
        <f>H90/DAY(B2)</f>
        <v>5.400000000000416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'20'!F91</f>
        <v>4122</v>
      </c>
      <c r="F91" s="122">
        <v>4122</v>
      </c>
      <c r="G91" s="112">
        <f t="shared" si="8"/>
        <v>0</v>
      </c>
      <c r="H91" s="99">
        <f>G91+'20'!H91</f>
        <v>0.3500000000003638</v>
      </c>
      <c r="I91" s="592"/>
      <c r="J91" s="175">
        <f>H91/DAY(B2)</f>
        <v>1.6666666666683989E-2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'20'!F92</f>
        <v>6432</v>
      </c>
      <c r="F92" s="122">
        <v>6441.64</v>
      </c>
      <c r="G92" s="112">
        <f t="shared" si="8"/>
        <v>9.6400000000003274</v>
      </c>
      <c r="H92" s="99">
        <f>G92+'20'!H92</f>
        <v>224.39000000000033</v>
      </c>
      <c r="I92" s="598">
        <f>G91+G92</f>
        <v>9.6400000000003274</v>
      </c>
      <c r="J92" s="175">
        <f>H92/DAY(B2)</f>
        <v>10.685238095238111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3" t="s">
        <v>240</v>
      </c>
      <c r="B94" s="874"/>
      <c r="C94" s="875"/>
      <c r="D94" s="151" t="s">
        <v>130</v>
      </c>
      <c r="E94" s="151"/>
      <c r="F94" s="151"/>
      <c r="G94" s="99">
        <f>G35+G43+G49+G57</f>
        <v>6672.3000000000029</v>
      </c>
      <c r="H94" s="99">
        <f>G94+'20'!H94</f>
        <v>141466.29999999999</v>
      </c>
      <c r="I94" s="118"/>
      <c r="J94" s="175">
        <f>H94/DAY(B2)</f>
        <v>6736.4904761904754</v>
      </c>
      <c r="K94" s="69"/>
      <c r="L94" s="66"/>
      <c r="O94" s="71"/>
    </row>
    <row r="95" spans="1:15" ht="25.5">
      <c r="A95" s="873" t="s">
        <v>241</v>
      </c>
      <c r="B95" s="874"/>
      <c r="C95" s="875"/>
      <c r="D95" s="151" t="s">
        <v>23</v>
      </c>
      <c r="E95" s="146"/>
      <c r="F95" s="146"/>
      <c r="G95" s="166">
        <f>G94/G7</f>
        <v>0.25013205193905502</v>
      </c>
      <c r="H95" s="99">
        <f>G95+'20'!H95</f>
        <v>5.057552174852141</v>
      </c>
      <c r="I95" s="167"/>
      <c r="J95" s="175">
        <f>H95/DAY(B2)</f>
        <v>0.24083581785010194</v>
      </c>
      <c r="K95" s="69"/>
      <c r="L95" s="66"/>
      <c r="O95" s="71"/>
    </row>
    <row r="96" spans="1:15" ht="25.5">
      <c r="A96" s="873" t="s">
        <v>242</v>
      </c>
      <c r="B96" s="874"/>
      <c r="C96" s="875"/>
      <c r="D96" s="151" t="s">
        <v>130</v>
      </c>
      <c r="E96" s="95"/>
      <c r="F96" s="95"/>
      <c r="G96" s="99">
        <f>G41+G42+G55+G56</f>
        <v>7747.2600000000384</v>
      </c>
      <c r="H96" s="99">
        <f>G96+'20'!H96</f>
        <v>191341.26000000004</v>
      </c>
      <c r="I96" s="118"/>
      <c r="J96" s="175">
        <f>H96/DAY(B2)</f>
        <v>9111.4885714285738</v>
      </c>
      <c r="K96" s="69"/>
      <c r="L96" s="66"/>
      <c r="O96" s="71"/>
    </row>
    <row r="97" spans="1:15" ht="25.5">
      <c r="A97" s="873" t="s">
        <v>243</v>
      </c>
      <c r="B97" s="874"/>
      <c r="C97" s="875"/>
      <c r="D97" s="151" t="s">
        <v>23</v>
      </c>
      <c r="E97" s="95"/>
      <c r="F97" s="95"/>
      <c r="G97" s="166">
        <f>G96/G7</f>
        <v>0.29043029250863606</v>
      </c>
      <c r="H97" s="99">
        <f>G97+'20'!H97</f>
        <v>6.7890228656079818</v>
      </c>
      <c r="I97" s="167"/>
      <c r="J97" s="175">
        <f>H97/DAY(B2)</f>
        <v>0.32328680312418961</v>
      </c>
      <c r="K97" s="69"/>
      <c r="L97" s="66"/>
      <c r="O97" s="71"/>
    </row>
    <row r="98" spans="1:15" ht="25.5">
      <c r="A98" s="873" t="s">
        <v>244</v>
      </c>
      <c r="B98" s="874"/>
      <c r="C98" s="875"/>
      <c r="D98" s="151" t="s">
        <v>130</v>
      </c>
      <c r="E98" s="95"/>
      <c r="F98" s="95"/>
      <c r="G98" s="99">
        <f>G39+G53</f>
        <v>3123.9099999999744</v>
      </c>
      <c r="H98" s="99">
        <f>G98+'20'!H98</f>
        <v>61268</v>
      </c>
      <c r="I98" s="168"/>
      <c r="J98" s="175">
        <f>H98/DAY(B2)</f>
        <v>2917.5238095238096</v>
      </c>
      <c r="K98" s="69"/>
      <c r="L98" s="66"/>
      <c r="O98" s="71"/>
    </row>
    <row r="99" spans="1:15" ht="25.5">
      <c r="A99" s="873" t="s">
        <v>245</v>
      </c>
      <c r="B99" s="874"/>
      <c r="C99" s="875"/>
      <c r="D99" s="151" t="s">
        <v>23</v>
      </c>
      <c r="E99" s="95"/>
      <c r="F99" s="95"/>
      <c r="G99" s="166">
        <f>G98/G7</f>
        <v>0.11710954519025324</v>
      </c>
      <c r="H99" s="99">
        <f>G99+'20'!H99</f>
        <v>2.1857838143513661</v>
      </c>
      <c r="I99" s="168"/>
      <c r="J99" s="175">
        <f>H99/DAY(B2)</f>
        <v>0.10408494354054125</v>
      </c>
      <c r="O99" s="71"/>
    </row>
    <row r="100" spans="1:15" ht="26.25">
      <c r="A100" s="873" t="s">
        <v>246</v>
      </c>
      <c r="B100" s="874"/>
      <c r="C100" s="875"/>
      <c r="D100" s="151" t="s">
        <v>180</v>
      </c>
      <c r="E100" s="95"/>
      <c r="F100" s="95"/>
      <c r="G100" s="99">
        <f>G38+G52</f>
        <v>2383.1500000000233</v>
      </c>
      <c r="H100" s="99">
        <f>G100+'20'!H100</f>
        <v>48647.150000000023</v>
      </c>
      <c r="I100" s="118"/>
      <c r="J100" s="175">
        <f>H100/DAY(B2)</f>
        <v>2316.5309523809533</v>
      </c>
      <c r="K100" s="70"/>
      <c r="O100" s="71"/>
    </row>
    <row r="101" spans="1:15" ht="25.5">
      <c r="A101" s="873" t="s">
        <v>247</v>
      </c>
      <c r="B101" s="874"/>
      <c r="C101" s="875"/>
      <c r="D101" s="151" t="s">
        <v>23</v>
      </c>
      <c r="E101" s="95"/>
      <c r="F101" s="95"/>
      <c r="G101" s="166">
        <f>G100/G7</f>
        <v>8.9339837773865768E-2</v>
      </c>
      <c r="H101" s="99">
        <f>G101+'20'!H101</f>
        <v>1.7352149886334172</v>
      </c>
      <c r="I101" s="168"/>
      <c r="J101" s="175">
        <f>H101/DAY(B2)</f>
        <v>8.2629285173019859E-2</v>
      </c>
      <c r="O101" s="71"/>
    </row>
    <row r="102" spans="1:15" ht="25.5">
      <c r="A102" s="873" t="s">
        <v>248</v>
      </c>
      <c r="B102" s="874"/>
      <c r="C102" s="875"/>
      <c r="D102" s="151" t="s">
        <v>180</v>
      </c>
      <c r="E102" s="95"/>
      <c r="F102" s="95"/>
      <c r="G102" s="99">
        <f>G36+G50</f>
        <v>1943.7399999999907</v>
      </c>
      <c r="H102" s="99">
        <f>G102+'20'!H102</f>
        <v>42633.739999999991</v>
      </c>
      <c r="I102" s="168"/>
      <c r="J102" s="175">
        <f>H102/DAY(B2)</f>
        <v>2030.1780952380948</v>
      </c>
      <c r="O102" s="71"/>
    </row>
    <row r="103" spans="1:15" ht="25.5">
      <c r="A103" s="873" t="s">
        <v>249</v>
      </c>
      <c r="B103" s="874"/>
      <c r="C103" s="875"/>
      <c r="D103" s="151" t="s">
        <v>23</v>
      </c>
      <c r="E103" s="95"/>
      <c r="F103" s="95"/>
      <c r="G103" s="166">
        <f>G102/G7</f>
        <v>7.2867178429629406E-2</v>
      </c>
      <c r="H103" s="99">
        <f>G103+'20'!H103</f>
        <v>1.5136678161279042</v>
      </c>
      <c r="I103" s="118"/>
      <c r="J103" s="175">
        <f>H103/DAY(B2)</f>
        <v>7.2079419815614484E-2</v>
      </c>
      <c r="O103" s="71"/>
    </row>
    <row r="104" spans="1:15" ht="25.5">
      <c r="A104" s="873" t="s">
        <v>250</v>
      </c>
      <c r="B104" s="874"/>
      <c r="C104" s="875"/>
      <c r="D104" s="151" t="s">
        <v>180</v>
      </c>
      <c r="E104" s="95"/>
      <c r="F104" s="95"/>
      <c r="G104" s="99">
        <f>G37+G51</f>
        <v>1661.0499999999884</v>
      </c>
      <c r="H104" s="99">
        <f>G104+'20'!H104</f>
        <v>36352.369999999988</v>
      </c>
      <c r="I104" s="118"/>
      <c r="J104" s="175">
        <f>H104/DAY(B2)</f>
        <v>1731.0652380952374</v>
      </c>
      <c r="O104" s="71"/>
    </row>
    <row r="105" spans="1:15" ht="26.25" thickBot="1">
      <c r="A105" s="913" t="s">
        <v>251</v>
      </c>
      <c r="B105" s="914"/>
      <c r="C105" s="915"/>
      <c r="D105" s="231" t="s">
        <v>23</v>
      </c>
      <c r="E105" s="185"/>
      <c r="F105" s="185"/>
      <c r="G105" s="186">
        <f>G104/G7</f>
        <v>6.2269658869260114E-2</v>
      </c>
      <c r="H105" s="99">
        <f>G105+'20'!H105</f>
        <v>1.2936747687671486</v>
      </c>
      <c r="I105" s="187"/>
      <c r="J105" s="188">
        <f>H105/DAY(B2)</f>
        <v>6.1603560417483265E-2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7" t="s">
        <v>324</v>
      </c>
      <c r="B108" s="927"/>
      <c r="C108" s="927"/>
      <c r="D108" s="927"/>
      <c r="E108" s="927"/>
      <c r="F108" s="927"/>
      <c r="G108" s="927"/>
      <c r="H108" s="927"/>
      <c r="I108" s="927"/>
      <c r="J108" s="927"/>
    </row>
    <row r="109" spans="1:15" ht="26.25">
      <c r="A109" s="912"/>
      <c r="B109" s="912"/>
    </row>
    <row r="110" spans="1:15" ht="26.25">
      <c r="A110" s="928" t="s">
        <v>165</v>
      </c>
      <c r="B110" s="929"/>
      <c r="C110" s="929"/>
      <c r="D110" s="929"/>
      <c r="E110" s="929"/>
      <c r="F110" s="929"/>
      <c r="G110" s="929"/>
      <c r="H110" s="929"/>
      <c r="I110" s="929"/>
      <c r="J110" s="930"/>
    </row>
    <row r="111" spans="1:15" ht="25.5">
      <c r="A111" s="931"/>
      <c r="B111" s="932"/>
      <c r="C111" s="933"/>
      <c r="D111" s="165"/>
      <c r="E111" s="165"/>
      <c r="F111" s="165"/>
      <c r="G111" s="165"/>
      <c r="H111" s="156"/>
      <c r="I111" s="165"/>
      <c r="J111" s="327"/>
    </row>
    <row r="112" spans="1:15" ht="25.5">
      <c r="A112" s="906" t="s">
        <v>252</v>
      </c>
      <c r="B112" s="907"/>
      <c r="C112" s="908"/>
      <c r="D112" s="146" t="s">
        <v>183</v>
      </c>
      <c r="E112" s="95">
        <f>'20'!F112</f>
        <v>4197</v>
      </c>
      <c r="F112" s="237">
        <v>4271.32</v>
      </c>
      <c r="G112" s="112">
        <f t="shared" ref="G112:G123" si="9">F112-E112</f>
        <v>74.319999999999709</v>
      </c>
      <c r="H112" s="99">
        <f>G112+'20'!H112</f>
        <v>1594.3199999999997</v>
      </c>
      <c r="I112" s="165"/>
      <c r="J112" s="328">
        <f>H112/DAY(B2)</f>
        <v>75.919999999999987</v>
      </c>
    </row>
    <row r="113" spans="1:18" ht="29.25" customHeight="1">
      <c r="A113" s="906" t="s">
        <v>253</v>
      </c>
      <c r="B113" s="907"/>
      <c r="C113" s="908"/>
      <c r="D113" s="146" t="s">
        <v>183</v>
      </c>
      <c r="E113" s="95">
        <f>'20'!F113</f>
        <v>9207</v>
      </c>
      <c r="F113" s="468">
        <v>9348.15</v>
      </c>
      <c r="G113" s="112">
        <f t="shared" si="9"/>
        <v>141.14999999999964</v>
      </c>
      <c r="H113" s="99">
        <f>G113+'20'!H113</f>
        <v>2957.1499999999996</v>
      </c>
      <c r="I113" s="165"/>
      <c r="J113" s="328">
        <f>H113/DAY(B2)</f>
        <v>140.81666666666666</v>
      </c>
    </row>
    <row r="114" spans="1:18" ht="29.25" customHeight="1">
      <c r="A114" s="906" t="s">
        <v>254</v>
      </c>
      <c r="B114" s="907"/>
      <c r="C114" s="908"/>
      <c r="D114" s="146" t="s">
        <v>183</v>
      </c>
      <c r="E114" s="95">
        <f>'20'!F114</f>
        <v>11956</v>
      </c>
      <c r="F114" s="237">
        <v>12181.13</v>
      </c>
      <c r="G114" s="112">
        <f t="shared" si="9"/>
        <v>225.1299999999992</v>
      </c>
      <c r="H114" s="99">
        <f>G114+'20'!H114</f>
        <v>4611.1299999999992</v>
      </c>
      <c r="I114" s="165"/>
      <c r="J114" s="328">
        <f>H114/DAY(B2)</f>
        <v>219.57761904761901</v>
      </c>
    </row>
    <row r="115" spans="1:18" ht="29.25" customHeight="1">
      <c r="A115" s="906" t="s">
        <v>255</v>
      </c>
      <c r="B115" s="907"/>
      <c r="C115" s="908"/>
      <c r="D115" s="146" t="s">
        <v>183</v>
      </c>
      <c r="E115" s="95">
        <f>'20'!F115</f>
        <v>7600</v>
      </c>
      <c r="F115" s="237">
        <v>7753.23</v>
      </c>
      <c r="G115" s="112">
        <f t="shared" si="9"/>
        <v>153.22999999999956</v>
      </c>
      <c r="H115" s="99">
        <f>G115+'20'!H115</f>
        <v>1622.7499999999998</v>
      </c>
      <c r="I115" s="165"/>
      <c r="J115" s="328">
        <f>H115/DAY(B2)</f>
        <v>77.273809523809518</v>
      </c>
    </row>
    <row r="116" spans="1:18" ht="29.25" customHeight="1">
      <c r="A116" s="924" t="s">
        <v>96</v>
      </c>
      <c r="B116" s="925"/>
      <c r="C116" s="926"/>
      <c r="D116" s="146" t="s">
        <v>183</v>
      </c>
      <c r="E116" s="95">
        <f>'20'!F116</f>
        <v>54876</v>
      </c>
      <c r="F116" s="237">
        <v>55295.19</v>
      </c>
      <c r="G116" s="112">
        <f t="shared" si="9"/>
        <v>419.19000000000233</v>
      </c>
      <c r="H116" s="99">
        <f>G116+'20'!H116</f>
        <v>8540.1900000000023</v>
      </c>
      <c r="I116" s="165"/>
      <c r="J116" s="328">
        <f>H116/DAY(B2)</f>
        <v>406.67571428571438</v>
      </c>
      <c r="Q116" s="906" t="s">
        <v>311</v>
      </c>
      <c r="R116" s="908"/>
    </row>
    <row r="117" spans="1:18" ht="29.25" customHeight="1">
      <c r="A117" s="924" t="s">
        <v>184</v>
      </c>
      <c r="B117" s="925"/>
      <c r="C117" s="926"/>
      <c r="D117" s="146" t="s">
        <v>183</v>
      </c>
      <c r="E117" s="95">
        <f>'20'!F117</f>
        <v>29972</v>
      </c>
      <c r="F117" s="237">
        <v>30311.56</v>
      </c>
      <c r="G117" s="112">
        <f t="shared" si="9"/>
        <v>339.56000000000131</v>
      </c>
      <c r="H117" s="99">
        <f>G117+'20'!H117</f>
        <v>5043.5600000000013</v>
      </c>
      <c r="I117" s="165"/>
      <c r="J117" s="328">
        <f>H117/DAY(B2)</f>
        <v>240.16952380952387</v>
      </c>
      <c r="Q117" s="906" t="s">
        <v>312</v>
      </c>
      <c r="R117" s="908"/>
    </row>
    <row r="118" spans="1:18" ht="25.5">
      <c r="A118" s="901" t="s">
        <v>97</v>
      </c>
      <c r="B118" s="901"/>
      <c r="C118" s="901"/>
      <c r="D118" s="151" t="s">
        <v>183</v>
      </c>
      <c r="E118" s="95">
        <f>'20'!F118</f>
        <v>38388</v>
      </c>
      <c r="F118" s="237">
        <v>39056.65</v>
      </c>
      <c r="G118" s="112">
        <f t="shared" si="9"/>
        <v>668.65000000000146</v>
      </c>
      <c r="H118" s="99">
        <f>G118+'20'!H118</f>
        <v>12831.650000000001</v>
      </c>
      <c r="I118" s="165"/>
      <c r="J118" s="328">
        <f>H118/DAY(B2)</f>
        <v>611.0309523809525</v>
      </c>
      <c r="Q118" s="906" t="s">
        <v>311</v>
      </c>
      <c r="R118" s="908"/>
    </row>
    <row r="119" spans="1:18" ht="25.5">
      <c r="A119" s="901" t="s">
        <v>98</v>
      </c>
      <c r="B119" s="901"/>
      <c r="C119" s="901"/>
      <c r="D119" s="151" t="s">
        <v>183</v>
      </c>
      <c r="E119" s="95">
        <f>'20'!F119</f>
        <v>27674</v>
      </c>
      <c r="F119" s="237">
        <v>28066.15</v>
      </c>
      <c r="G119" s="112">
        <f t="shared" si="9"/>
        <v>392.15000000000146</v>
      </c>
      <c r="H119" s="99">
        <f>G119+'20'!H119</f>
        <v>9119.1500000000015</v>
      </c>
      <c r="I119" s="165"/>
      <c r="J119" s="328">
        <f>H119/DAY(B2)</f>
        <v>434.24523809523816</v>
      </c>
    </row>
    <row r="120" spans="1:18" ht="25.5">
      <c r="A120" s="901" t="s">
        <v>99</v>
      </c>
      <c r="B120" s="901"/>
      <c r="C120" s="901"/>
      <c r="D120" s="151" t="s">
        <v>183</v>
      </c>
      <c r="E120" s="95">
        <f>'20'!F120</f>
        <v>28769</v>
      </c>
      <c r="F120" s="468">
        <v>29195.56</v>
      </c>
      <c r="G120" s="112">
        <f t="shared" si="9"/>
        <v>426.56000000000131</v>
      </c>
      <c r="H120" s="99">
        <f>G120+'20'!H120</f>
        <v>9145.5600000000013</v>
      </c>
      <c r="I120" s="165"/>
      <c r="J120" s="328">
        <f>H120/DAY(B2)</f>
        <v>435.50285714285718</v>
      </c>
    </row>
    <row r="121" spans="1:18" ht="25.5">
      <c r="A121" s="901" t="s">
        <v>100</v>
      </c>
      <c r="B121" s="901"/>
      <c r="C121" s="901"/>
      <c r="D121" s="151" t="s">
        <v>183</v>
      </c>
      <c r="E121" s="95">
        <f>'20'!F121</f>
        <v>35116</v>
      </c>
      <c r="F121" s="237">
        <v>35577.21</v>
      </c>
      <c r="G121" s="112">
        <f t="shared" si="9"/>
        <v>461.20999999999913</v>
      </c>
      <c r="H121" s="99">
        <f>G121+'20'!H121</f>
        <v>9733.2099999999991</v>
      </c>
      <c r="I121" s="165"/>
      <c r="J121" s="328">
        <f>H121/DAY(B2)</f>
        <v>463.48619047619042</v>
      </c>
    </row>
    <row r="122" spans="1:18" ht="25.5">
      <c r="A122" s="901" t="s">
        <v>101</v>
      </c>
      <c r="B122" s="901"/>
      <c r="C122" s="901"/>
      <c r="D122" s="151" t="s">
        <v>183</v>
      </c>
      <c r="E122" s="95">
        <f>'20'!F122</f>
        <v>17234</v>
      </c>
      <c r="F122" s="237">
        <v>17470.02</v>
      </c>
      <c r="G122" s="112">
        <f t="shared" si="9"/>
        <v>236.02000000000044</v>
      </c>
      <c r="H122" s="99">
        <f>G122+'20'!H122</f>
        <v>6310.02</v>
      </c>
      <c r="I122" s="165"/>
      <c r="J122" s="328">
        <f>H122/DAY(B2)</f>
        <v>300.47714285714289</v>
      </c>
    </row>
    <row r="123" spans="1:18" ht="25.5">
      <c r="A123" s="901" t="s">
        <v>102</v>
      </c>
      <c r="B123" s="901"/>
      <c r="C123" s="901"/>
      <c r="D123" s="151" t="s">
        <v>183</v>
      </c>
      <c r="E123" s="95">
        <f>'20'!F123</f>
        <v>17217</v>
      </c>
      <c r="F123" s="237">
        <v>17532.310000000001</v>
      </c>
      <c r="G123" s="112">
        <f t="shared" si="9"/>
        <v>315.31000000000131</v>
      </c>
      <c r="H123" s="99">
        <f>G123+'20'!H123</f>
        <v>7023.3100000000013</v>
      </c>
      <c r="I123" s="165"/>
      <c r="J123" s="328">
        <f>H123/DAY(B2)</f>
        <v>334.44333333333338</v>
      </c>
    </row>
    <row r="124" spans="1:18" ht="29.25" customHeight="1">
      <c r="A124" s="931"/>
      <c r="B124" s="932"/>
      <c r="C124" s="933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5.5">
      <c r="A125" s="934" t="s">
        <v>196</v>
      </c>
      <c r="B125" s="935"/>
      <c r="C125" s="245"/>
      <c r="D125" s="307"/>
      <c r="E125" s="308"/>
      <c r="F125" s="308"/>
      <c r="G125" s="309">
        <f>SUM(G112:G124)</f>
        <v>3852.4800000000068</v>
      </c>
      <c r="H125" s="156"/>
      <c r="I125" s="327">
        <f>G125-(G39+G53)</f>
        <v>728.57000000003245</v>
      </c>
      <c r="J125" s="327"/>
    </row>
    <row r="126" spans="1:18" ht="25.5">
      <c r="A126" s="936" t="s">
        <v>317</v>
      </c>
      <c r="B126" s="936"/>
      <c r="C126" s="936"/>
      <c r="D126" s="936"/>
      <c r="E126" s="936"/>
      <c r="F126" s="936"/>
      <c r="G126" s="936"/>
      <c r="H126" s="936"/>
      <c r="I126" s="936"/>
      <c r="J126" s="936"/>
    </row>
    <row r="127" spans="1:18" ht="25.5">
      <c r="A127" s="937"/>
      <c r="B127" s="937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>
      <c r="A128" s="906" t="s">
        <v>318</v>
      </c>
      <c r="B128" s="907"/>
      <c r="C128" s="908"/>
      <c r="D128" s="151" t="s">
        <v>183</v>
      </c>
      <c r="E128" s="95">
        <f>'20'!F128</f>
        <v>106283</v>
      </c>
      <c r="F128" s="165">
        <v>106866.64</v>
      </c>
      <c r="G128" s="112">
        <f t="shared" ref="G128:G134" si="10">F128-E128</f>
        <v>583.63999999999942</v>
      </c>
      <c r="H128" s="99">
        <f>G128+'20'!H128</f>
        <v>11151.64</v>
      </c>
      <c r="I128" s="165"/>
      <c r="J128" s="328">
        <f>H128/DAY(B2)</f>
        <v>531.03047619047618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'20'!F129</f>
        <v>64918</v>
      </c>
      <c r="F129" s="165">
        <v>65103.33</v>
      </c>
      <c r="G129" s="112">
        <f t="shared" si="10"/>
        <v>185.33000000000175</v>
      </c>
      <c r="H129" s="99">
        <f>G129+'20'!H129</f>
        <v>4810.3300000000017</v>
      </c>
      <c r="I129" s="165"/>
      <c r="J129" s="328">
        <f>H129/DAY(B2)</f>
        <v>229.06333333333342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'20'!F130</f>
        <v>134094</v>
      </c>
      <c r="F130" s="465">
        <v>134866.97</v>
      </c>
      <c r="G130" s="112">
        <f t="shared" si="10"/>
        <v>772.97000000000116</v>
      </c>
      <c r="H130" s="99">
        <f>G130+'20'!H130</f>
        <v>13737.970000000001</v>
      </c>
      <c r="I130" s="165"/>
      <c r="J130" s="328">
        <f>H130/DAY(B2)</f>
        <v>654.18904761904764</v>
      </c>
      <c r="N130" s="240"/>
      <c r="O130" s="241"/>
    </row>
    <row r="131" spans="1:15" ht="25.5">
      <c r="A131" s="906" t="s">
        <v>321</v>
      </c>
      <c r="B131" s="907"/>
      <c r="C131" s="908"/>
      <c r="D131" s="151" t="s">
        <v>183</v>
      </c>
      <c r="E131" s="95">
        <f>'20'!F131</f>
        <v>40412</v>
      </c>
      <c r="F131" s="165">
        <v>40614.97</v>
      </c>
      <c r="G131" s="112">
        <f t="shared" si="10"/>
        <v>202.97000000000116</v>
      </c>
      <c r="H131" s="99">
        <f>G131+'20'!H131</f>
        <v>4335.9700000000012</v>
      </c>
      <c r="I131" s="165"/>
      <c r="J131" s="328">
        <f>H131/DAY(B2)</f>
        <v>206.47476190476195</v>
      </c>
      <c r="N131" s="240"/>
      <c r="O131" s="241"/>
    </row>
    <row r="132" spans="1:15" ht="25.5">
      <c r="A132" s="906" t="s">
        <v>322</v>
      </c>
      <c r="B132" s="907"/>
      <c r="C132" s="908"/>
      <c r="D132" s="151" t="s">
        <v>183</v>
      </c>
      <c r="E132" s="95">
        <f>'20'!F132</f>
        <v>111643</v>
      </c>
      <c r="F132" s="165">
        <v>112121.35</v>
      </c>
      <c r="G132" s="112">
        <f t="shared" si="10"/>
        <v>478.35000000000582</v>
      </c>
      <c r="H132" s="99">
        <f>G132+'20'!H132</f>
        <v>8609.3500000000058</v>
      </c>
      <c r="I132" s="165"/>
      <c r="J132" s="328">
        <f>H132/DAY(B2)</f>
        <v>409.9690476190479</v>
      </c>
    </row>
    <row r="133" spans="1:15" ht="25.5">
      <c r="A133" s="906" t="s">
        <v>359</v>
      </c>
      <c r="B133" s="907"/>
      <c r="C133" s="908"/>
      <c r="D133" s="151" t="s">
        <v>183</v>
      </c>
      <c r="E133" s="95">
        <f>'20'!F133</f>
        <v>217005</v>
      </c>
      <c r="F133" s="165">
        <v>217628.91</v>
      </c>
      <c r="G133" s="112">
        <f t="shared" si="10"/>
        <v>623.91000000000349</v>
      </c>
      <c r="H133" s="99">
        <f>G133+'20'!H133</f>
        <v>16396.910000000003</v>
      </c>
      <c r="I133" s="165"/>
      <c r="J133" s="328">
        <f>H133/DAY(B2)</f>
        <v>780.80523809523822</v>
      </c>
    </row>
    <row r="134" spans="1:15" ht="25.5">
      <c r="A134" s="906" t="s">
        <v>340</v>
      </c>
      <c r="B134" s="907"/>
      <c r="C134" s="908"/>
      <c r="D134" s="151" t="s">
        <v>183</v>
      </c>
      <c r="E134" s="95">
        <f>'20'!F134</f>
        <v>39684</v>
      </c>
      <c r="F134" s="165">
        <v>39900.949999999997</v>
      </c>
      <c r="G134" s="112">
        <f t="shared" si="10"/>
        <v>216.94999999999709</v>
      </c>
      <c r="H134" s="99">
        <f>G134+'20'!H134</f>
        <v>5005.9499999999971</v>
      </c>
      <c r="I134" s="165"/>
      <c r="J134" s="328">
        <f>H134/DAY(B2)</f>
        <v>238.37857142857129</v>
      </c>
    </row>
    <row r="135" spans="1:15" ht="25.5">
      <c r="A135" s="934" t="s">
        <v>196</v>
      </c>
      <c r="B135" s="935"/>
      <c r="C135" s="331"/>
      <c r="D135" s="151"/>
      <c r="E135" s="95"/>
      <c r="F135" s="165"/>
      <c r="G135" s="112">
        <f>SUM(G128:G134)</f>
        <v>3064.1200000000099</v>
      </c>
      <c r="H135" s="99">
        <f>G135+'10'!H135</f>
        <v>33281.950000000012</v>
      </c>
      <c r="I135" s="327">
        <f>G135-(G35+G49)</f>
        <v>-567.94999999999709</v>
      </c>
      <c r="J135" s="328"/>
    </row>
    <row r="136" spans="1:15" ht="27.75">
      <c r="A136" s="938" t="s">
        <v>325</v>
      </c>
      <c r="B136" s="938"/>
      <c r="C136" s="938"/>
      <c r="D136" s="938"/>
      <c r="E136" s="938"/>
      <c r="F136" s="938"/>
      <c r="G136" s="938"/>
      <c r="H136" s="938"/>
      <c r="I136" s="938"/>
      <c r="J136" s="938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1" t="s">
        <v>185</v>
      </c>
      <c r="B138" s="901"/>
      <c r="C138" s="901"/>
      <c r="D138" s="151" t="s">
        <v>183</v>
      </c>
      <c r="E138" s="95">
        <f>'20'!F138</f>
        <v>886016</v>
      </c>
      <c r="F138" s="147">
        <v>886154</v>
      </c>
      <c r="G138" s="112">
        <f t="shared" ref="G138:G152" si="11">F138-E138</f>
        <v>138</v>
      </c>
      <c r="H138" s="99">
        <f>G138+'20'!H138</f>
        <v>2876.2999999999993</v>
      </c>
      <c r="I138" s="118"/>
      <c r="J138" s="328">
        <f>H138/DAY(B2)</f>
        <v>136.96666666666664</v>
      </c>
    </row>
    <row r="139" spans="1:15" ht="25.5">
      <c r="A139" s="901" t="s">
        <v>186</v>
      </c>
      <c r="B139" s="901"/>
      <c r="C139" s="901"/>
      <c r="D139" s="151" t="s">
        <v>183</v>
      </c>
      <c r="E139" s="95">
        <f>'20'!F139</f>
        <v>902506</v>
      </c>
      <c r="F139" s="148">
        <v>902676</v>
      </c>
      <c r="G139" s="112">
        <f t="shared" si="11"/>
        <v>170</v>
      </c>
      <c r="H139" s="99">
        <f>G139+'20'!H139</f>
        <v>3221</v>
      </c>
      <c r="I139" s="118"/>
      <c r="J139" s="328">
        <f>H139/DAY(B2)</f>
        <v>153.38095238095238</v>
      </c>
    </row>
    <row r="140" spans="1:15" ht="25.5">
      <c r="A140" s="901" t="s">
        <v>187</v>
      </c>
      <c r="B140" s="901"/>
      <c r="C140" s="901"/>
      <c r="D140" s="151" t="s">
        <v>183</v>
      </c>
      <c r="E140" s="95">
        <f>'20'!F140</f>
        <v>903</v>
      </c>
      <c r="F140" s="149">
        <v>921.09</v>
      </c>
      <c r="G140" s="112">
        <f t="shared" si="11"/>
        <v>18.090000000000032</v>
      </c>
      <c r="H140" s="99">
        <f>G140+'20'!H140</f>
        <v>272.33000000000004</v>
      </c>
      <c r="I140" s="118"/>
      <c r="J140" s="328">
        <f>H140/DAY(B2)</f>
        <v>12.968095238095239</v>
      </c>
    </row>
    <row r="141" spans="1:15" ht="25.5">
      <c r="A141" s="905" t="s">
        <v>188</v>
      </c>
      <c r="B141" s="905"/>
      <c r="C141" s="905"/>
      <c r="D141" s="151" t="s">
        <v>183</v>
      </c>
      <c r="E141" s="95">
        <f>'20'!F141</f>
        <v>82073</v>
      </c>
      <c r="F141" s="149">
        <v>82294.75</v>
      </c>
      <c r="G141" s="112">
        <f t="shared" si="11"/>
        <v>221.75</v>
      </c>
      <c r="H141" s="99">
        <f>G141+'20'!H141</f>
        <v>4342.75</v>
      </c>
      <c r="I141" s="118"/>
      <c r="J141" s="328">
        <f>H141/DAY(B2)</f>
        <v>206.79761904761904</v>
      </c>
    </row>
    <row r="142" spans="1:15" ht="25.5">
      <c r="A142" s="905" t="s">
        <v>189</v>
      </c>
      <c r="B142" s="905"/>
      <c r="C142" s="905"/>
      <c r="D142" s="151" t="s">
        <v>183</v>
      </c>
      <c r="E142" s="95">
        <f>'20'!F142</f>
        <v>33510</v>
      </c>
      <c r="F142" s="148">
        <v>33647.79</v>
      </c>
      <c r="G142" s="112">
        <f t="shared" si="11"/>
        <v>137.79000000000087</v>
      </c>
      <c r="H142" s="99">
        <f>G142+'20'!H142</f>
        <v>3121.7900000000009</v>
      </c>
      <c r="I142" s="140"/>
      <c r="J142" s="328">
        <f>H142/DAY(B2)</f>
        <v>148.65666666666669</v>
      </c>
    </row>
    <row r="143" spans="1:15" ht="25.5">
      <c r="A143" s="901" t="s">
        <v>91</v>
      </c>
      <c r="B143" s="901"/>
      <c r="C143" s="901"/>
      <c r="D143" s="151" t="s">
        <v>183</v>
      </c>
      <c r="E143" s="95">
        <f>'20'!F143</f>
        <v>7874</v>
      </c>
      <c r="F143" s="149">
        <v>7906.19</v>
      </c>
      <c r="G143" s="112">
        <f t="shared" si="11"/>
        <v>32.1899999999996</v>
      </c>
      <c r="H143" s="99">
        <f>G143+'20'!H143</f>
        <v>600.1899999999996</v>
      </c>
      <c r="I143" s="140"/>
      <c r="J143" s="328">
        <f>H143/DAY(B2)</f>
        <v>28.580476190476173</v>
      </c>
    </row>
    <row r="144" spans="1:15" ht="25.5">
      <c r="A144" s="905" t="s">
        <v>90</v>
      </c>
      <c r="B144" s="905"/>
      <c r="C144" s="905"/>
      <c r="D144" s="151" t="s">
        <v>183</v>
      </c>
      <c r="E144" s="95">
        <f>'20'!F144</f>
        <v>909887</v>
      </c>
      <c r="F144" s="147">
        <v>910142</v>
      </c>
      <c r="G144" s="112">
        <f t="shared" si="11"/>
        <v>255</v>
      </c>
      <c r="H144" s="99">
        <f>G144+'20'!H144</f>
        <v>5089</v>
      </c>
      <c r="I144" s="140"/>
      <c r="J144" s="328">
        <f>H144/DAY(B2)</f>
        <v>242.33333333333334</v>
      </c>
    </row>
    <row r="145" spans="1:10" ht="25.5">
      <c r="A145" s="901" t="s">
        <v>190</v>
      </c>
      <c r="B145" s="901"/>
      <c r="C145" s="901"/>
      <c r="D145" s="152" t="s">
        <v>183</v>
      </c>
      <c r="E145" s="95">
        <f>'20'!F145</f>
        <v>5665</v>
      </c>
      <c r="F145" s="147">
        <v>5665</v>
      </c>
      <c r="G145" s="112">
        <f t="shared" si="11"/>
        <v>0</v>
      </c>
      <c r="H145" s="99">
        <f>G145+'20'!H145</f>
        <v>1</v>
      </c>
      <c r="I145" s="140"/>
      <c r="J145" s="328">
        <f>H145/DAY(B2)</f>
        <v>4.7619047619047616E-2</v>
      </c>
    </row>
    <row r="146" spans="1:10" ht="25.5">
      <c r="A146" s="902" t="s">
        <v>191</v>
      </c>
      <c r="B146" s="903"/>
      <c r="C146" s="904"/>
      <c r="D146" s="152" t="s">
        <v>183</v>
      </c>
      <c r="E146" s="95">
        <f>'20'!F146</f>
        <v>778852</v>
      </c>
      <c r="F146" s="148">
        <v>778897</v>
      </c>
      <c r="G146" s="112">
        <f t="shared" si="11"/>
        <v>45</v>
      </c>
      <c r="H146" s="99">
        <f>G146+'20'!H146</f>
        <v>1029</v>
      </c>
      <c r="I146" s="140"/>
      <c r="J146" s="328">
        <f>H146/DAY(B2)</f>
        <v>49</v>
      </c>
    </row>
    <row r="147" spans="1:10" ht="25.5">
      <c r="A147" s="905" t="s">
        <v>192</v>
      </c>
      <c r="B147" s="905"/>
      <c r="C147" s="905"/>
      <c r="D147" s="152" t="s">
        <v>183</v>
      </c>
      <c r="E147" s="95">
        <f>'20'!F147</f>
        <v>683679</v>
      </c>
      <c r="F147" s="148">
        <v>684059.44</v>
      </c>
      <c r="G147" s="112">
        <f t="shared" si="11"/>
        <v>380.43999999994412</v>
      </c>
      <c r="H147" s="99">
        <f>G147+'20'!H147</f>
        <v>8211.4399999999441</v>
      </c>
      <c r="I147" s="140"/>
      <c r="J147" s="328">
        <f>H147/DAY(B2)</f>
        <v>391.02095238094972</v>
      </c>
    </row>
    <row r="148" spans="1:10" ht="25.5">
      <c r="A148" s="897" t="s">
        <v>193</v>
      </c>
      <c r="B148" s="898"/>
      <c r="C148" s="899"/>
      <c r="D148" s="123" t="s">
        <v>130</v>
      </c>
      <c r="E148" s="95">
        <f>'20'!F148</f>
        <v>735964</v>
      </c>
      <c r="F148" s="150">
        <v>736256.08</v>
      </c>
      <c r="G148" s="112">
        <f t="shared" si="11"/>
        <v>292.07999999995809</v>
      </c>
      <c r="H148" s="99">
        <f>G148+'20'!H148</f>
        <v>6511.0799999999581</v>
      </c>
      <c r="I148" s="124"/>
      <c r="J148" s="328">
        <f>H148/DAY(B2)</f>
        <v>310.05142857142658</v>
      </c>
    </row>
    <row r="149" spans="1:10" ht="25.5">
      <c r="A149" s="897" t="s">
        <v>336</v>
      </c>
      <c r="B149" s="898"/>
      <c r="C149" s="899"/>
      <c r="D149" s="227" t="s">
        <v>130</v>
      </c>
      <c r="E149" s="95">
        <f>'20'!F149</f>
        <v>111852</v>
      </c>
      <c r="F149" s="146">
        <v>112337.11</v>
      </c>
      <c r="G149" s="112">
        <f t="shared" si="11"/>
        <v>485.11000000000058</v>
      </c>
      <c r="H149" s="99">
        <f>G149+'20'!H149</f>
        <v>11442.11</v>
      </c>
      <c r="I149" s="119"/>
      <c r="J149" s="328">
        <f>H149/DAY(B2)</f>
        <v>544.86238095238093</v>
      </c>
    </row>
    <row r="150" spans="1:10" ht="25.5">
      <c r="A150" s="897" t="s">
        <v>337</v>
      </c>
      <c r="B150" s="898"/>
      <c r="C150" s="899"/>
      <c r="D150" s="117" t="s">
        <v>130</v>
      </c>
      <c r="E150" s="95">
        <f>'20'!F150</f>
        <v>41565</v>
      </c>
      <c r="F150" s="233">
        <v>41786.120000000003</v>
      </c>
      <c r="G150" s="112">
        <f t="shared" si="11"/>
        <v>221.12000000000262</v>
      </c>
      <c r="H150" s="99">
        <f>G150+'20'!H150</f>
        <v>4570.1200000000026</v>
      </c>
      <c r="I150" s="119"/>
      <c r="J150" s="328">
        <f>H150/DAY(B2)</f>
        <v>217.62476190476204</v>
      </c>
    </row>
    <row r="151" spans="1:10" ht="25.5">
      <c r="A151" s="897" t="s">
        <v>338</v>
      </c>
      <c r="B151" s="898"/>
      <c r="C151" s="899"/>
      <c r="D151" s="117" t="s">
        <v>130</v>
      </c>
      <c r="E151" s="95">
        <f>'20'!F151</f>
        <v>123883</v>
      </c>
      <c r="F151" s="152">
        <v>124166</v>
      </c>
      <c r="G151" s="112">
        <f t="shared" si="11"/>
        <v>283</v>
      </c>
      <c r="H151" s="99">
        <f>G151+'20'!H151</f>
        <v>6029</v>
      </c>
      <c r="I151" s="119"/>
      <c r="J151" s="328">
        <f>H151/DAY(B2)</f>
        <v>287.09523809523807</v>
      </c>
    </row>
    <row r="152" spans="1:10" ht="25.5">
      <c r="A152" s="897" t="s">
        <v>339</v>
      </c>
      <c r="B152" s="898"/>
      <c r="C152" s="899"/>
      <c r="D152" s="117" t="s">
        <v>130</v>
      </c>
      <c r="E152" s="95">
        <f>'20'!F152</f>
        <v>18008</v>
      </c>
      <c r="F152" s="233">
        <v>18141.07</v>
      </c>
      <c r="G152" s="112">
        <f t="shared" si="11"/>
        <v>133.06999999999971</v>
      </c>
      <c r="H152" s="99">
        <f>G152+'20'!H152</f>
        <v>6985.07</v>
      </c>
      <c r="I152" s="119"/>
      <c r="J152" s="328">
        <f>H152/DAY(B2)</f>
        <v>332.62238095238092</v>
      </c>
    </row>
    <row r="153" spans="1:10" ht="25.5">
      <c r="A153" s="934" t="s">
        <v>196</v>
      </c>
      <c r="B153" s="935"/>
      <c r="C153" s="365"/>
      <c r="D153" s="358"/>
      <c r="E153" s="360"/>
      <c r="F153" s="361"/>
      <c r="G153" s="362">
        <f>SUM(G138:G152)</f>
        <v>2812.6399999999057</v>
      </c>
      <c r="H153" s="363"/>
      <c r="I153" s="119">
        <f>G153-(G38+G52)</f>
        <v>429.48999999988246</v>
      </c>
      <c r="J153" s="366"/>
    </row>
    <row r="154" spans="1:10" ht="27.75">
      <c r="A154" s="938" t="s">
        <v>344</v>
      </c>
      <c r="B154" s="938"/>
      <c r="C154" s="938"/>
      <c r="D154" s="938"/>
      <c r="E154" s="938"/>
      <c r="F154" s="938"/>
      <c r="G154" s="938"/>
      <c r="H154" s="938"/>
      <c r="I154" s="938"/>
      <c r="J154" s="938"/>
    </row>
    <row r="155" spans="1:10" ht="27.75">
      <c r="A155" s="905" t="s">
        <v>345</v>
      </c>
      <c r="B155" s="905"/>
      <c r="C155" s="905"/>
      <c r="D155" s="117" t="s">
        <v>130</v>
      </c>
      <c r="E155" s="95">
        <f>'20'!F155</f>
        <v>124370</v>
      </c>
      <c r="F155" s="374">
        <v>124977.22</v>
      </c>
      <c r="G155" s="112">
        <f t="shared" ref="G155:G158" si="12">F155-E155</f>
        <v>607.22000000000116</v>
      </c>
      <c r="H155" s="99">
        <f>G155+'20'!H155</f>
        <v>13002.220000000001</v>
      </c>
      <c r="I155" s="364"/>
      <c r="J155" s="328">
        <f>H155/DAY(B2)</f>
        <v>619.15333333333342</v>
      </c>
    </row>
    <row r="156" spans="1:10" ht="25.5">
      <c r="A156" s="905" t="s">
        <v>347</v>
      </c>
      <c r="B156" s="905"/>
      <c r="C156" s="905"/>
      <c r="D156" s="117" t="s">
        <v>130</v>
      </c>
      <c r="E156" s="95">
        <f>'20'!F156</f>
        <v>11232</v>
      </c>
      <c r="F156" s="155">
        <v>11321.37</v>
      </c>
      <c r="G156" s="112">
        <f t="shared" si="12"/>
        <v>89.3700000000008</v>
      </c>
      <c r="H156" s="99">
        <f>G156+'20'!H156</f>
        <v>1636.3700000000008</v>
      </c>
      <c r="I156" s="165"/>
      <c r="J156" s="328">
        <f>H156/DAY(B2)</f>
        <v>77.92238095238099</v>
      </c>
    </row>
    <row r="157" spans="1:10" ht="25.5">
      <c r="A157" s="897" t="s">
        <v>360</v>
      </c>
      <c r="B157" s="898"/>
      <c r="C157" s="899"/>
      <c r="D157" s="117" t="s">
        <v>130</v>
      </c>
      <c r="E157" s="95">
        <f>'20'!F157</f>
        <v>21544</v>
      </c>
      <c r="F157" s="155">
        <v>21705.88</v>
      </c>
      <c r="G157" s="112">
        <f t="shared" si="12"/>
        <v>161.88000000000102</v>
      </c>
      <c r="H157" s="99">
        <f>G157+'20'!H157</f>
        <v>314.88000000000102</v>
      </c>
      <c r="I157" s="165"/>
      <c r="J157" s="328">
        <f>H157/DAY(B2)</f>
        <v>14.994285714285763</v>
      </c>
    </row>
    <row r="158" spans="1:10" ht="25.5">
      <c r="A158" s="897" t="s">
        <v>361</v>
      </c>
      <c r="B158" s="898"/>
      <c r="C158" s="899"/>
      <c r="D158" s="117" t="s">
        <v>130</v>
      </c>
      <c r="E158" s="95">
        <f>'20'!F158</f>
        <v>190</v>
      </c>
      <c r="F158" s="155">
        <v>190.23</v>
      </c>
      <c r="G158" s="112">
        <f t="shared" si="12"/>
        <v>0.22999999999998977</v>
      </c>
      <c r="H158" s="99">
        <f>G158+'20'!H158</f>
        <v>0.22999999999998977</v>
      </c>
      <c r="I158" s="165"/>
      <c r="J158" s="328">
        <f>H158/DAY(B2)</f>
        <v>1.0952380952380466E-2</v>
      </c>
    </row>
    <row r="159" spans="1:10" ht="25.5">
      <c r="A159" s="956"/>
      <c r="B159" s="957"/>
      <c r="C159" s="958"/>
      <c r="D159" s="117"/>
      <c r="E159" s="95"/>
      <c r="F159" s="165"/>
      <c r="G159" s="112"/>
      <c r="H159" s="99"/>
      <c r="I159" s="165"/>
      <c r="J159" s="328"/>
    </row>
    <row r="160" spans="1:10" ht="27.75">
      <c r="A160" s="938" t="s">
        <v>326</v>
      </c>
      <c r="B160" s="938"/>
      <c r="C160" s="938"/>
      <c r="D160" s="938"/>
      <c r="E160" s="938"/>
      <c r="F160" s="938"/>
      <c r="G160" s="938"/>
      <c r="H160" s="938"/>
      <c r="I160" s="938"/>
      <c r="J160" s="938"/>
    </row>
    <row r="161" spans="1:10" ht="26.25">
      <c r="A161" s="242" t="s">
        <v>92</v>
      </c>
      <c r="B161" s="243"/>
      <c r="C161" s="243"/>
      <c r="D161" s="244" t="s">
        <v>180</v>
      </c>
      <c r="E161" s="95">
        <f>'20'!F161</f>
        <v>476923</v>
      </c>
      <c r="F161" s="235">
        <v>477148.24</v>
      </c>
      <c r="G161" s="238">
        <f t="shared" ref="G161:G165" si="13">F161-E161</f>
        <v>225.23999999999069</v>
      </c>
      <c r="H161" s="99">
        <f>G161+'20'!H161</f>
        <v>482.23999999999069</v>
      </c>
      <c r="I161" s="236"/>
      <c r="J161" s="239">
        <f>H161/DAY(B2)</f>
        <v>22.963809523809079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'20'!F162</f>
        <v>93415</v>
      </c>
      <c r="F162" s="235">
        <v>93455.2</v>
      </c>
      <c r="G162" s="238">
        <f t="shared" si="13"/>
        <v>40.19999999999709</v>
      </c>
      <c r="H162" s="99">
        <f>G162+'20'!H162</f>
        <v>728.19999999999709</v>
      </c>
      <c r="I162" s="236"/>
      <c r="J162" s="239">
        <f>H162/DAY(B2)</f>
        <v>34.676190476190335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'20'!F163</f>
        <v>391</v>
      </c>
      <c r="F163" s="502">
        <v>552.6</v>
      </c>
      <c r="G163" s="238">
        <f t="shared" si="13"/>
        <v>161.60000000000002</v>
      </c>
      <c r="H163" s="99">
        <f>G163+'20'!H163</f>
        <v>3412.6</v>
      </c>
      <c r="I163" s="236"/>
      <c r="J163" s="239">
        <f>H163/DAY(B2)</f>
        <v>162.50476190476189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'20'!F164</f>
        <v>5770</v>
      </c>
      <c r="F164" s="502">
        <v>5786.5</v>
      </c>
      <c r="G164" s="238">
        <f t="shared" si="13"/>
        <v>16.5</v>
      </c>
      <c r="H164" s="99">
        <f>G164+'20'!H164</f>
        <v>244.5</v>
      </c>
      <c r="I164" s="236"/>
      <c r="J164" s="239">
        <f>H164/DAY(B2)</f>
        <v>11.642857142857142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'20'!F165</f>
        <v>31235</v>
      </c>
      <c r="F165" s="235">
        <v>31247.39</v>
      </c>
      <c r="G165" s="238">
        <f t="shared" si="13"/>
        <v>12.389999999999418</v>
      </c>
      <c r="H165" s="99">
        <f>G165+'20'!H165</f>
        <v>233.38999999999942</v>
      </c>
      <c r="I165" s="236"/>
      <c r="J165" s="239">
        <f>H165/DAY(B2)</f>
        <v>11.113809523809497</v>
      </c>
    </row>
    <row r="166" spans="1:10" ht="26.25">
      <c r="A166" s="937"/>
      <c r="B166" s="937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6.25">
      <c r="A167" s="937"/>
      <c r="B167" s="937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6.25">
      <c r="A168" s="937"/>
      <c r="B168" s="937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7" t="s">
        <v>330</v>
      </c>
      <c r="B171" s="948"/>
      <c r="C171" s="948"/>
      <c r="D171" s="948"/>
      <c r="E171" s="948"/>
      <c r="F171" s="948"/>
      <c r="G171" s="948"/>
      <c r="H171" s="948"/>
      <c r="I171" s="948"/>
      <c r="J171" s="949"/>
    </row>
    <row r="172" spans="1:10" ht="25.5">
      <c r="A172" s="943"/>
      <c r="B172" s="944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5" t="s">
        <v>209</v>
      </c>
      <c r="B173" s="896"/>
      <c r="C173" s="333"/>
      <c r="D173" s="228" t="s">
        <v>142</v>
      </c>
      <c r="E173" s="95">
        <f>'20'!F173</f>
        <v>8276</v>
      </c>
      <c r="F173" s="155">
        <v>8276</v>
      </c>
      <c r="G173" s="155">
        <f>F173-E173</f>
        <v>0</v>
      </c>
      <c r="H173" s="99">
        <f>G173+'20'!H173</f>
        <v>12</v>
      </c>
      <c r="I173" s="155"/>
      <c r="J173" s="178">
        <f>H173/DAY(B2)</f>
        <v>0.5714285714285714</v>
      </c>
    </row>
    <row r="174" spans="1:10" ht="25.5">
      <c r="A174" s="895" t="s">
        <v>75</v>
      </c>
      <c r="B174" s="896"/>
      <c r="C174" s="333"/>
      <c r="D174" s="228" t="s">
        <v>142</v>
      </c>
      <c r="E174" s="95">
        <f>'20'!F174</f>
        <v>40628</v>
      </c>
      <c r="F174" s="157">
        <v>40645</v>
      </c>
      <c r="G174" s="155">
        <f t="shared" ref="G174:G175" si="14">F174-E174</f>
        <v>17</v>
      </c>
      <c r="H174" s="99">
        <f>G174+'20'!H174</f>
        <v>313</v>
      </c>
      <c r="I174" s="155"/>
      <c r="J174" s="178">
        <f>H174/DAY(B2)</f>
        <v>14.904761904761905</v>
      </c>
    </row>
    <row r="175" spans="1:10" ht="25.5">
      <c r="A175" s="895" t="s">
        <v>76</v>
      </c>
      <c r="B175" s="900"/>
      <c r="C175" s="896"/>
      <c r="D175" s="228" t="s">
        <v>142</v>
      </c>
      <c r="E175" s="95">
        <f>'20'!F175</f>
        <v>23537</v>
      </c>
      <c r="F175" s="155">
        <v>23550</v>
      </c>
      <c r="G175" s="155">
        <f t="shared" si="14"/>
        <v>13</v>
      </c>
      <c r="H175" s="99">
        <f>G175+'20'!H175</f>
        <v>292</v>
      </c>
      <c r="I175" s="155"/>
      <c r="J175" s="178">
        <f>H175/DAY(B2)</f>
        <v>13.904761904761905</v>
      </c>
    </row>
    <row r="176" spans="1:10" ht="25.5">
      <c r="A176" s="934" t="s">
        <v>196</v>
      </c>
      <c r="B176" s="935"/>
      <c r="C176" s="401"/>
      <c r="D176" s="228" t="s">
        <v>142</v>
      </c>
      <c r="E176" s="95"/>
      <c r="F176" s="155"/>
      <c r="G176" s="155">
        <f>SUM(G173:G175)</f>
        <v>30</v>
      </c>
      <c r="H176" s="99">
        <f>G176+'20'!H176</f>
        <v>617</v>
      </c>
      <c r="I176" s="155"/>
      <c r="J176" s="178">
        <f>H176/DAY(B2)</f>
        <v>29.38095238095238</v>
      </c>
    </row>
    <row r="177" spans="1:10" ht="25.5">
      <c r="A177" s="895" t="s">
        <v>77</v>
      </c>
      <c r="B177" s="896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5.5">
      <c r="A178" s="895" t="s">
        <v>210</v>
      </c>
      <c r="B178" s="896"/>
      <c r="C178" s="333"/>
      <c r="D178" s="228" t="s">
        <v>142</v>
      </c>
      <c r="E178" s="95">
        <f>'20'!F178</f>
        <v>93943</v>
      </c>
      <c r="F178" s="155">
        <v>94059</v>
      </c>
      <c r="G178" s="155">
        <f>F178-E178</f>
        <v>116</v>
      </c>
      <c r="H178" s="99">
        <f>G178+'20'!H178</f>
        <v>2237</v>
      </c>
      <c r="I178" s="155"/>
      <c r="J178" s="178">
        <f>H178/DAY(B2)</f>
        <v>106.52380952380952</v>
      </c>
    </row>
    <row r="179" spans="1:10" ht="25.5">
      <c r="A179" s="895" t="s">
        <v>211</v>
      </c>
      <c r="B179" s="896"/>
      <c r="C179" s="333"/>
      <c r="D179" s="228" t="s">
        <v>142</v>
      </c>
      <c r="E179" s="95">
        <f>'20'!F179</f>
        <v>36002</v>
      </c>
      <c r="F179" s="155">
        <v>36002</v>
      </c>
      <c r="G179" s="155">
        <f t="shared" ref="G179:G180" si="15">F179-E179</f>
        <v>0</v>
      </c>
      <c r="H179" s="99">
        <f>G179+'20'!H179</f>
        <v>218</v>
      </c>
      <c r="I179" s="155"/>
      <c r="J179" s="178">
        <f>H179/DAY(B2)</f>
        <v>10.380952380952381</v>
      </c>
    </row>
    <row r="180" spans="1:10" ht="25.5">
      <c r="A180" s="895" t="s">
        <v>212</v>
      </c>
      <c r="B180" s="896"/>
      <c r="C180" s="333"/>
      <c r="D180" s="228" t="s">
        <v>142</v>
      </c>
      <c r="E180" s="95">
        <f>'20'!F180</f>
        <v>6818</v>
      </c>
      <c r="F180" s="155">
        <v>6818</v>
      </c>
      <c r="G180" s="155">
        <f t="shared" si="15"/>
        <v>0</v>
      </c>
      <c r="H180" s="99">
        <f>G180+'20'!H180</f>
        <v>148</v>
      </c>
      <c r="I180" s="155"/>
      <c r="J180" s="178">
        <f>H180/DAY(B2)</f>
        <v>7.0476190476190474</v>
      </c>
    </row>
    <row r="181" spans="1:10" ht="25.5">
      <c r="A181" s="941" t="s">
        <v>108</v>
      </c>
      <c r="B181" s="942"/>
      <c r="C181" s="401"/>
      <c r="D181" s="228" t="s">
        <v>142</v>
      </c>
      <c r="E181" s="95"/>
      <c r="F181" s="155"/>
      <c r="G181" s="155">
        <f>SUM(G178:G180)</f>
        <v>116</v>
      </c>
      <c r="H181" s="99">
        <f>G181+'20'!H181</f>
        <v>2603</v>
      </c>
      <c r="I181" s="155"/>
      <c r="J181" s="178">
        <f>H181/DAY(B2)</f>
        <v>123.95238095238095</v>
      </c>
    </row>
    <row r="182" spans="1:10" ht="25.5">
      <c r="A182" s="895" t="s">
        <v>213</v>
      </c>
      <c r="B182" s="896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5.5">
      <c r="A183" s="895" t="s">
        <v>214</v>
      </c>
      <c r="B183" s="896"/>
      <c r="C183" s="334"/>
      <c r="D183" s="228" t="s">
        <v>142</v>
      </c>
      <c r="E183" s="95">
        <f>'20'!F183</f>
        <v>17215</v>
      </c>
      <c r="F183" s="157">
        <v>17219</v>
      </c>
      <c r="G183" s="157">
        <f>F183-E183</f>
        <v>4</v>
      </c>
      <c r="H183" s="99">
        <f>G183+'20'!H183</f>
        <v>264</v>
      </c>
      <c r="I183" s="155"/>
      <c r="J183" s="178">
        <f>H183/DAY(B2)</f>
        <v>12.571428571428571</v>
      </c>
    </row>
    <row r="184" spans="1:10" ht="25.5">
      <c r="A184" s="895" t="s">
        <v>215</v>
      </c>
      <c r="B184" s="896"/>
      <c r="C184" s="334"/>
      <c r="D184" s="228" t="s">
        <v>142</v>
      </c>
      <c r="E184" s="95">
        <f>'20'!F184</f>
        <v>11630</v>
      </c>
      <c r="F184" s="157">
        <v>11635</v>
      </c>
      <c r="G184" s="157">
        <f t="shared" ref="G184:G185" si="16">F184-E184</f>
        <v>5</v>
      </c>
      <c r="H184" s="99">
        <f>G184+'20'!H184</f>
        <v>149</v>
      </c>
      <c r="I184" s="155"/>
      <c r="J184" s="178">
        <f>H184/DAY(B2)</f>
        <v>7.0952380952380949</v>
      </c>
    </row>
    <row r="185" spans="1:10" ht="32.25" customHeight="1">
      <c r="A185" s="895" t="s">
        <v>216</v>
      </c>
      <c r="B185" s="896"/>
      <c r="C185" s="334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5.5">
      <c r="A186" s="934" t="s">
        <v>196</v>
      </c>
      <c r="B186" s="935"/>
      <c r="C186" s="400"/>
      <c r="D186" s="228" t="s">
        <v>142</v>
      </c>
      <c r="E186" s="95"/>
      <c r="F186" s="157"/>
      <c r="G186" s="157">
        <f>SUM(G183:G185)</f>
        <v>9</v>
      </c>
      <c r="H186" s="99">
        <f>G186+'20'!H186</f>
        <v>413</v>
      </c>
      <c r="I186" s="157"/>
      <c r="J186" s="178">
        <f>H186/DAY(B2)</f>
        <v>19.666666666666668</v>
      </c>
    </row>
    <row r="187" spans="1:10" ht="25.5">
      <c r="A187" s="945" t="s">
        <v>217</v>
      </c>
      <c r="B187" s="946"/>
      <c r="C187" s="333"/>
      <c r="D187" s="230" t="s">
        <v>142</v>
      </c>
      <c r="E187" s="95"/>
      <c r="F187" s="159"/>
      <c r="G187" s="378">
        <f>G62+G19</f>
        <v>156</v>
      </c>
      <c r="H187" s="99">
        <f>G187+'20'!H187</f>
        <v>4022</v>
      </c>
      <c r="I187" s="158"/>
      <c r="J187" s="179">
        <f>H187/DAY(B2)</f>
        <v>191.52380952380952</v>
      </c>
    </row>
    <row r="188" spans="1:10" ht="25.5">
      <c r="A188" s="945" t="s">
        <v>218</v>
      </c>
      <c r="B188" s="946"/>
      <c r="C188" s="333"/>
      <c r="D188" s="230" t="s">
        <v>142</v>
      </c>
      <c r="E188" s="95"/>
      <c r="F188" s="159"/>
      <c r="G188" s="378">
        <f>G65+G66+G67+G69+G70</f>
        <v>125</v>
      </c>
      <c r="H188" s="99">
        <f>G188+'20'!H188</f>
        <v>1058</v>
      </c>
      <c r="I188" s="158"/>
      <c r="J188" s="179">
        <f>H188/DAY(B2)</f>
        <v>50.38095238095238</v>
      </c>
    </row>
    <row r="189" spans="1:10" ht="21" customHeight="1">
      <c r="A189" s="945" t="s">
        <v>219</v>
      </c>
      <c r="B189" s="946"/>
      <c r="C189" s="333"/>
      <c r="D189" s="230" t="s">
        <v>142</v>
      </c>
      <c r="E189" s="95"/>
      <c r="F189" s="157"/>
      <c r="G189" s="377">
        <f>G181</f>
        <v>116</v>
      </c>
      <c r="H189" s="99">
        <f>G189+'20'!H189</f>
        <v>341</v>
      </c>
      <c r="I189" s="158"/>
      <c r="J189" s="179">
        <f>H189/DAY(B2)</f>
        <v>16.238095238095237</v>
      </c>
    </row>
    <row r="190" spans="1:10" ht="25.5">
      <c r="A190" s="939"/>
      <c r="B190" s="940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  <row r="1691" ht="21" customHeight="1"/>
    <row r="1692" ht="21" customHeight="1"/>
    <row r="1693" ht="21" customHeight="1"/>
    <row r="1694" ht="21" customHeight="1"/>
    <row r="1695" ht="21" customHeight="1"/>
    <row r="1696" ht="21" customHeight="1"/>
    <row r="1697" ht="21" customHeight="1"/>
    <row r="1698" ht="21" customHeight="1"/>
    <row r="1699" ht="21" customHeight="1"/>
    <row r="1700" ht="21" customHeight="1"/>
    <row r="1701" ht="21" customHeight="1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92"/>
  <sheetViews>
    <sheetView view="pageBreakPreview" topLeftCell="A127" zoomScale="60" zoomScaleNormal="71" workbookViewId="0">
      <selection activeCell="F68" sqref="F6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6" t="s">
        <v>115</v>
      </c>
      <c r="B1" s="877"/>
      <c r="C1" s="877"/>
      <c r="D1" s="877"/>
      <c r="E1" s="877"/>
      <c r="F1" s="877"/>
      <c r="G1" s="877"/>
      <c r="H1" s="877"/>
      <c r="I1" s="877"/>
      <c r="J1" s="878"/>
    </row>
    <row r="2" spans="1:15" s="57" customFormat="1" ht="23.25">
      <c r="A2" s="191" t="s">
        <v>354</v>
      </c>
      <c r="B2" s="262">
        <v>44734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885" t="s">
        <v>119</v>
      </c>
      <c r="F3" s="886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9" t="s">
        <v>128</v>
      </c>
      <c r="B6" s="880"/>
      <c r="C6" s="88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'21'!F7</f>
        <v>279914.11</v>
      </c>
      <c r="F7" s="95">
        <v>307561.69</v>
      </c>
      <c r="G7" s="112">
        <f>F7-E7</f>
        <v>27647.580000000016</v>
      </c>
      <c r="H7" s="99">
        <f>G7+'21'!H7</f>
        <v>614734.68999999994</v>
      </c>
      <c r="I7" s="113">
        <f>'1'!I7</f>
        <v>12000</v>
      </c>
      <c r="J7" s="175">
        <f>H7/DAY(B2)</f>
        <v>27942.485909090905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'21'!F8</f>
        <v>414650.11</v>
      </c>
      <c r="F8" s="114">
        <v>442777.11</v>
      </c>
      <c r="G8" s="115">
        <f>F8-E8</f>
        <v>28127</v>
      </c>
      <c r="H8" s="99">
        <f>G8+'21'!H8</f>
        <v>634118.21000000008</v>
      </c>
      <c r="I8" s="116"/>
      <c r="J8" s="175">
        <f>H8/DAY(B2)</f>
        <v>28823.555000000004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'21'!F9</f>
        <v>2796075.3</v>
      </c>
      <c r="F9" s="469">
        <v>2811127.9</v>
      </c>
      <c r="G9" s="112">
        <f>F9-E9</f>
        <v>15052.600000000093</v>
      </c>
      <c r="H9" s="99">
        <f>G9+'21'!H9</f>
        <v>361019.19999999972</v>
      </c>
      <c r="I9" s="124">
        <f>I7-J7</f>
        <v>-15942.485909090905</v>
      </c>
      <c r="J9" s="175">
        <f>H9/DAY(B2)</f>
        <v>16409.963636363624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'21'!F10</f>
        <v>1120396.6000000001</v>
      </c>
      <c r="F10" s="353">
        <v>1132277.1000000001</v>
      </c>
      <c r="G10" s="112">
        <f t="shared" ref="G10:G12" si="0">F10-E10</f>
        <v>11880.5</v>
      </c>
      <c r="H10" s="99">
        <f>G10+'21'!H10</f>
        <v>221873.90000000014</v>
      </c>
      <c r="I10" s="282"/>
      <c r="J10" s="175">
        <f>H10/DAY(B2)</f>
        <v>10085.177272727278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'21'!F11</f>
        <v>37560</v>
      </c>
      <c r="F11" s="95">
        <v>37560</v>
      </c>
      <c r="G11" s="112">
        <f t="shared" si="0"/>
        <v>0</v>
      </c>
      <c r="H11" s="99">
        <f>G11+'21'!H11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'21'!F12</f>
        <v>40380</v>
      </c>
      <c r="F12" s="117">
        <v>40380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26933.100000000093</v>
      </c>
      <c r="H13" s="99">
        <f>G13+'21'!H13</f>
        <v>582754.09999999986</v>
      </c>
      <c r="I13" s="120">
        <f>G7-G13</f>
        <v>714.47999999992317</v>
      </c>
      <c r="J13" s="175">
        <f>H13/DAY(B2)</f>
        <v>26488.82272727272</v>
      </c>
      <c r="K13" s="79"/>
      <c r="L13" s="66"/>
      <c r="N13" s="87"/>
      <c r="O13" s="71"/>
    </row>
    <row r="14" spans="1:15" ht="26.25">
      <c r="A14" s="882" t="s">
        <v>137</v>
      </c>
      <c r="B14" s="883"/>
      <c r="C14" s="88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'21'!F15</f>
        <v>2059266.42</v>
      </c>
      <c r="F15" s="469">
        <v>2060241.03</v>
      </c>
      <c r="G15" s="112">
        <f>(F15-E15)</f>
        <v>974.61000000010245</v>
      </c>
      <c r="H15" s="99">
        <f>G15+'21'!H15</f>
        <v>23124.030000000028</v>
      </c>
      <c r="I15" s="113">
        <f>'1'!I15</f>
        <v>800</v>
      </c>
      <c r="J15" s="175">
        <f>H15/DAY(B2)</f>
        <v>1051.0922727272739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-251.09227272727389</v>
      </c>
      <c r="J16" s="176"/>
      <c r="K16" s="79"/>
      <c r="L16" s="66"/>
      <c r="N16" s="87"/>
      <c r="O16" s="71"/>
    </row>
    <row r="17" spans="1:15" ht="26.25">
      <c r="A17" s="882" t="s">
        <v>140</v>
      </c>
      <c r="B17" s="883"/>
      <c r="C17" s="88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3" t="s">
        <v>141</v>
      </c>
      <c r="B18" s="874"/>
      <c r="C18" s="875"/>
      <c r="D18" s="151" t="s">
        <v>142</v>
      </c>
      <c r="E18" s="95">
        <f>'21'!F18</f>
        <v>21</v>
      </c>
      <c r="F18" s="122">
        <v>19</v>
      </c>
      <c r="G18" s="119">
        <f>F18*10</f>
        <v>190</v>
      </c>
      <c r="H18" s="99">
        <f>G18+'21'!H18</f>
        <v>4830</v>
      </c>
      <c r="I18" s="113">
        <f>'1'!I18</f>
        <v>65</v>
      </c>
      <c r="J18" s="175">
        <f>H18/DAY(B2)</f>
        <v>219.54545454545453</v>
      </c>
      <c r="K18" s="79"/>
      <c r="L18" s="66"/>
      <c r="N18" s="87"/>
      <c r="O18" s="71"/>
    </row>
    <row r="19" spans="1:15" ht="25.5">
      <c r="A19" s="873" t="s">
        <v>69</v>
      </c>
      <c r="B19" s="874"/>
      <c r="C19" s="875"/>
      <c r="D19" s="151" t="s">
        <v>142</v>
      </c>
      <c r="E19" s="95">
        <f>'21'!F19</f>
        <v>161198</v>
      </c>
      <c r="F19" s="122">
        <v>161251</v>
      </c>
      <c r="G19" s="112">
        <f t="shared" ref="G19" si="1">F19-E19</f>
        <v>53</v>
      </c>
      <c r="H19" s="99">
        <f>G19+'21'!H19</f>
        <v>1141</v>
      </c>
      <c r="I19" s="335"/>
      <c r="J19" s="175">
        <f>H19/DAY(B2)</f>
        <v>51.863636363636367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243</v>
      </c>
      <c r="H20" s="99">
        <f>G20+'21'!H20</f>
        <v>5971</v>
      </c>
      <c r="I20" s="336">
        <f>I18-J20</f>
        <v>-206.40909090909093</v>
      </c>
      <c r="J20" s="175">
        <f>H20/DAY(B2)</f>
        <v>271.40909090909093</v>
      </c>
      <c r="K20" s="79"/>
      <c r="L20" s="66"/>
      <c r="N20" s="87"/>
      <c r="O20" s="71"/>
    </row>
    <row r="21" spans="1:15" ht="26.25">
      <c r="A21" s="882" t="s">
        <v>144</v>
      </c>
      <c r="B21" s="883"/>
      <c r="C21" s="88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'21'!F23</f>
        <v>1500</v>
      </c>
      <c r="F23" s="122">
        <v>1500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7" t="s">
        <v>149</v>
      </c>
      <c r="B25" s="888"/>
      <c r="C25" s="88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28127</v>
      </c>
      <c r="F27" s="136">
        <v>9</v>
      </c>
      <c r="G27" s="137">
        <f>E27*F27</f>
        <v>253143</v>
      </c>
      <c r="H27" s="99">
        <f>G27+'21'!H27</f>
        <v>5707063.8900000006</v>
      </c>
      <c r="I27" s="138"/>
      <c r="J27" s="175">
        <f>H27/DAY(B2)</f>
        <v>259411.99500000002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974.61000000010245</v>
      </c>
      <c r="F28" s="136">
        <v>70</v>
      </c>
      <c r="G28" s="137">
        <f>E28*F28</f>
        <v>68222.700000007171</v>
      </c>
      <c r="H28" s="99">
        <f>G28+'21'!H28</f>
        <v>1564124.100000002</v>
      </c>
      <c r="I28" s="140"/>
      <c r="J28" s="175">
        <f>H28/DAY(B2)</f>
        <v>71096.55000000009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151</v>
      </c>
      <c r="G30" s="137">
        <f>E30*F30</f>
        <v>8003</v>
      </c>
      <c r="H30" s="99">
        <f>G30+'21'!H30</f>
        <v>171541</v>
      </c>
      <c r="I30" s="140"/>
      <c r="J30" s="175">
        <f>H30/DAY(B2)</f>
        <v>7797.318181818182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G31+'21'!H31</f>
        <v>386400</v>
      </c>
      <c r="I31" s="140"/>
      <c r="J31" s="175">
        <f>H31/DAY(B2)</f>
        <v>17563.636363636364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344568.70000000717</v>
      </c>
      <c r="H32" s="99">
        <f>G32+'21'!H32</f>
        <v>7829128.9900000021</v>
      </c>
      <c r="I32" s="144"/>
      <c r="J32" s="175">
        <f>H32/DAY(B2)</f>
        <v>355869.49954545463</v>
      </c>
      <c r="K32" s="63"/>
      <c r="L32" s="89"/>
      <c r="N32" s="87"/>
      <c r="O32" s="71"/>
    </row>
    <row r="33" spans="1:15" ht="25.5" customHeight="1">
      <c r="A33" s="890" t="s">
        <v>331</v>
      </c>
      <c r="B33" s="891"/>
      <c r="C33" s="89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'21'!F35</f>
        <v>238714</v>
      </c>
      <c r="F35" s="418">
        <v>238714</v>
      </c>
      <c r="G35" s="112">
        <f t="shared" ref="G35:G46" si="3">F35-E35</f>
        <v>0</v>
      </c>
      <c r="H35" s="99">
        <f>G35+'21'!H35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'21'!F36</f>
        <v>179427.33</v>
      </c>
      <c r="F36" s="145">
        <v>180147.25</v>
      </c>
      <c r="G36" s="112">
        <f t="shared" si="3"/>
        <v>719.92000000001281</v>
      </c>
      <c r="H36" s="99">
        <f>G36+'21'!H36</f>
        <v>19699.25</v>
      </c>
      <c r="I36" s="95"/>
      <c r="J36" s="175">
        <f>H36/DAY(B2)</f>
        <v>895.4204545454545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'21'!F37</f>
        <v>272131.05</v>
      </c>
      <c r="F37" s="418">
        <v>273789.78999999998</v>
      </c>
      <c r="G37" s="112">
        <f t="shared" si="3"/>
        <v>1658.7399999999907</v>
      </c>
      <c r="H37" s="99">
        <f>G37+'21'!H37</f>
        <v>38010.789999999979</v>
      </c>
      <c r="I37" s="95"/>
      <c r="J37" s="175">
        <f>H37/DAY(B2)</f>
        <v>1727.7631818181808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'21'!F38</f>
        <v>366939.15</v>
      </c>
      <c r="F38" s="108">
        <v>369225.55</v>
      </c>
      <c r="G38" s="112">
        <f t="shared" si="3"/>
        <v>2286.3999999999651</v>
      </c>
      <c r="H38" s="99">
        <f>G38+'21'!H38</f>
        <v>50933.549999999988</v>
      </c>
      <c r="I38" s="95"/>
      <c r="J38" s="175">
        <f>H38/DAY(B2)</f>
        <v>2315.1613636363631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'21'!F39</f>
        <v>496597.91</v>
      </c>
      <c r="F39" s="418">
        <v>499638.15</v>
      </c>
      <c r="G39" s="112">
        <f t="shared" si="3"/>
        <v>3040.2400000000489</v>
      </c>
      <c r="H39" s="99">
        <f>G39+'21'!H39</f>
        <v>64308.240000000049</v>
      </c>
      <c r="I39" s="95"/>
      <c r="J39" s="175">
        <f>H39/DAY(B2)</f>
        <v>2923.1018181818204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'21'!F40</f>
        <v>80362.59</v>
      </c>
      <c r="F40" s="145">
        <v>80690.009999999995</v>
      </c>
      <c r="G40" s="112">
        <f t="shared" si="3"/>
        <v>327.41999999999825</v>
      </c>
      <c r="H40" s="99">
        <f>G40+'21'!H40</f>
        <v>7137.0099999999948</v>
      </c>
      <c r="I40" s="95"/>
      <c r="J40" s="175">
        <f>H40/DAY(B2)</f>
        <v>324.4095454545452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'21'!F41</f>
        <v>136730.97</v>
      </c>
      <c r="F41" s="145">
        <v>142727.24</v>
      </c>
      <c r="G41" s="112">
        <f t="shared" si="3"/>
        <v>5996.2699999999895</v>
      </c>
      <c r="H41" s="99">
        <f>G41+'21'!H41</f>
        <v>73892.239999999991</v>
      </c>
      <c r="I41" s="95"/>
      <c r="J41" s="175">
        <f>H41/DAY(B2)</f>
        <v>3358.7381818181816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'21'!F42</f>
        <v>653540.03</v>
      </c>
      <c r="F42" s="145">
        <v>653540.03</v>
      </c>
      <c r="G42" s="112">
        <f t="shared" si="3"/>
        <v>0</v>
      </c>
      <c r="H42" s="99">
        <f>G42+'21'!H42</f>
        <v>90668.030000000028</v>
      </c>
      <c r="I42" s="95"/>
      <c r="J42" s="175">
        <f>H42/DAY(B2)</f>
        <v>4121.2740909090926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'21'!F43</f>
        <v>407028</v>
      </c>
      <c r="F43" s="145">
        <v>407028.03</v>
      </c>
      <c r="G43" s="112">
        <f t="shared" si="3"/>
        <v>3.0000000027939677E-2</v>
      </c>
      <c r="H43" s="99">
        <f>G43+'21'!H43</f>
        <v>3.0000000027939677E-2</v>
      </c>
      <c r="I43" s="95"/>
      <c r="J43" s="175">
        <f>H43/DAY(B2)</f>
        <v>1.3636363649063489E-3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14029.020000000033</v>
      </c>
      <c r="H47" s="99">
        <f>G47+'21'!H47</f>
        <v>344649.14</v>
      </c>
      <c r="I47" s="95"/>
      <c r="J47" s="175">
        <f>H47/DAY(B2)</f>
        <v>15665.87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'21'!F49</f>
        <v>335497.07</v>
      </c>
      <c r="F49" s="145">
        <v>339027.51</v>
      </c>
      <c r="G49" s="112">
        <f t="shared" ref="G49:G58" si="4">F49-E49</f>
        <v>3530.4400000000023</v>
      </c>
      <c r="H49" s="99">
        <f>G49+'21'!H49</f>
        <v>78880.510000000009</v>
      </c>
      <c r="I49" s="95"/>
      <c r="J49" s="175">
        <f>H49/DAY(B2)</f>
        <v>3585.4777272727279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'21'!F50</f>
        <v>233218.41</v>
      </c>
      <c r="F50" s="145">
        <v>234360.91</v>
      </c>
      <c r="G50" s="112">
        <f t="shared" si="4"/>
        <v>1142.5</v>
      </c>
      <c r="H50" s="99">
        <f>G50+'21'!H50</f>
        <v>24796.910000000003</v>
      </c>
      <c r="I50" s="95"/>
      <c r="J50" s="175">
        <f>H50/DAY(B2)</f>
        <v>1127.1322727272729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'21'!F51</f>
        <v>76</v>
      </c>
      <c r="F51" s="145">
        <v>76</v>
      </c>
      <c r="G51" s="112">
        <f t="shared" si="4"/>
        <v>0</v>
      </c>
      <c r="H51" s="99">
        <f>G51+'21'!H51</f>
        <v>0.31999999999999318</v>
      </c>
      <c r="I51" s="95"/>
      <c r="J51" s="175">
        <f>H51/DAY(B2)</f>
        <v>1.4545454545454235E-2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'21'!F52</f>
        <v>10</v>
      </c>
      <c r="F52" s="145">
        <v>10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'21'!F54</f>
        <v>73852.429999999993</v>
      </c>
      <c r="F54" s="145">
        <v>74204.649999999994</v>
      </c>
      <c r="G54" s="112">
        <f t="shared" si="4"/>
        <v>352.22000000000116</v>
      </c>
      <c r="H54" s="99">
        <f>G54+'21'!H54</f>
        <v>9648.6499999999942</v>
      </c>
      <c r="I54" s="95"/>
      <c r="J54" s="175">
        <f>H54/DAY(B2)</f>
        <v>438.57499999999976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'21'!F55</f>
        <v>254287.51</v>
      </c>
      <c r="F55" s="418">
        <v>256950.75</v>
      </c>
      <c r="G55" s="112">
        <f t="shared" si="4"/>
        <v>2663.2399999999907</v>
      </c>
      <c r="H55" s="99">
        <f>G55+'21'!H55</f>
        <v>31477.75</v>
      </c>
      <c r="I55" s="95"/>
      <c r="J55" s="175">
        <f>H55/DAY(B2)</f>
        <v>1430.8068181818182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'21'!F56</f>
        <v>111208.75</v>
      </c>
      <c r="F56" s="418">
        <v>111241.95</v>
      </c>
      <c r="G56" s="112">
        <f>F56-E56</f>
        <v>33.19999999999709</v>
      </c>
      <c r="H56" s="99">
        <f>G56+'21'!H56</f>
        <v>3995.9499999999971</v>
      </c>
      <c r="I56" s="95"/>
      <c r="J56" s="175">
        <f>H56/DAY(B2)</f>
        <v>181.63409090909079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'21'!F57</f>
        <v>103719.23</v>
      </c>
      <c r="F57" s="145">
        <v>106769.26</v>
      </c>
      <c r="G57" s="112">
        <f t="shared" si="4"/>
        <v>3050.0299999999988</v>
      </c>
      <c r="H57" s="99">
        <f>G57+'21'!H57</f>
        <v>69166.259999999995</v>
      </c>
      <c r="I57" s="95"/>
      <c r="J57" s="175">
        <f>H57/DAY(B2)</f>
        <v>3143.9209090909089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'21'!F58</f>
        <v>37738.400000000001</v>
      </c>
      <c r="F58" s="145">
        <v>38013.53</v>
      </c>
      <c r="G58" s="112">
        <f t="shared" si="4"/>
        <v>275.12999999999738</v>
      </c>
      <c r="H58" s="99">
        <f>G58+'21'!H58</f>
        <v>5124.5299999999988</v>
      </c>
      <c r="I58" s="95"/>
      <c r="J58" s="175">
        <f>H58/DAY(B2)</f>
        <v>232.93318181818177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11046.759999999987</v>
      </c>
      <c r="H59" s="99">
        <f>G59+'21'!H59</f>
        <v>223090.88</v>
      </c>
      <c r="I59" s="95">
        <f>G7-G60</f>
        <v>2571.7999999999956</v>
      </c>
      <c r="J59" s="175">
        <f>H59/DAY(B2)</f>
        <v>10140.494545454545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25075.780000000021</v>
      </c>
      <c r="H60" s="99">
        <f>G60+'21'!H60</f>
        <v>567740.02</v>
      </c>
      <c r="I60" s="95">
        <f>G13-G60</f>
        <v>1857.3200000000725</v>
      </c>
      <c r="J60" s="175">
        <f>H60/DAY(B2)</f>
        <v>25806.364545454548</v>
      </c>
      <c r="K60" s="79"/>
      <c r="L60" s="66"/>
      <c r="N60" s="87"/>
      <c r="O60" s="71"/>
    </row>
    <row r="61" spans="1:15" s="68" customFormat="1" ht="26.25">
      <c r="A61" s="892" t="s">
        <v>332</v>
      </c>
      <c r="B61" s="893"/>
      <c r="C61" s="89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3" t="s">
        <v>198</v>
      </c>
      <c r="B62" s="874"/>
      <c r="C62" s="875"/>
      <c r="D62" s="151" t="s">
        <v>142</v>
      </c>
      <c r="E62" s="95">
        <f>'21'!F62</f>
        <v>291834</v>
      </c>
      <c r="F62" s="122">
        <v>291929</v>
      </c>
      <c r="G62" s="112">
        <f t="shared" ref="G62:G63" si="5">F62-E62</f>
        <v>95</v>
      </c>
      <c r="H62" s="99">
        <f>G62+'21'!H62</f>
        <v>3029</v>
      </c>
      <c r="I62" s="118"/>
      <c r="J62" s="175">
        <f>H62/DAY(B2)</f>
        <v>137.68181818181819</v>
      </c>
      <c r="K62" s="80"/>
      <c r="L62" s="66"/>
      <c r="N62" s="87"/>
      <c r="O62" s="71"/>
    </row>
    <row r="63" spans="1:15" ht="25.5">
      <c r="A63" s="873" t="s">
        <v>199</v>
      </c>
      <c r="B63" s="874"/>
      <c r="C63" s="875"/>
      <c r="D63" s="151" t="s">
        <v>142</v>
      </c>
      <c r="E63" s="95">
        <f>'21'!F63</f>
        <v>233954</v>
      </c>
      <c r="F63" s="122">
        <v>234087</v>
      </c>
      <c r="G63" s="112">
        <f t="shared" si="5"/>
        <v>133</v>
      </c>
      <c r="H63" s="99">
        <f>G63+'21'!H63</f>
        <v>2925</v>
      </c>
      <c r="I63" s="118"/>
      <c r="J63" s="175">
        <f>H63/DAY(B2)</f>
        <v>132.95454545454547</v>
      </c>
      <c r="K63" s="69"/>
      <c r="L63" s="66"/>
      <c r="N63" s="87"/>
      <c r="O63" s="71"/>
    </row>
    <row r="64" spans="1:15" ht="26.25">
      <c r="A64" s="870" t="s">
        <v>200</v>
      </c>
      <c r="B64" s="871"/>
      <c r="C64" s="872"/>
      <c r="D64" s="151"/>
      <c r="E64" s="95">
        <f>'21'!F64</f>
        <v>0</v>
      </c>
      <c r="F64" s="122"/>
      <c r="G64" s="112">
        <f>G62+G63</f>
        <v>228</v>
      </c>
      <c r="H64" s="99">
        <f>G64+'21'!H64</f>
        <v>5954</v>
      </c>
      <c r="I64" s="118"/>
      <c r="J64" s="175">
        <f>H64/DAY(B2)</f>
        <v>270.63636363636363</v>
      </c>
      <c r="K64" s="69"/>
      <c r="L64" s="66"/>
      <c r="N64" s="87"/>
      <c r="O64" s="71"/>
    </row>
    <row r="65" spans="1:15" ht="25.5">
      <c r="A65" s="873" t="s">
        <v>201</v>
      </c>
      <c r="B65" s="874"/>
      <c r="C65" s="875"/>
      <c r="D65" s="151" t="s">
        <v>142</v>
      </c>
      <c r="E65" s="95">
        <f>'21'!F65</f>
        <v>450501</v>
      </c>
      <c r="F65" s="122">
        <v>450601</v>
      </c>
      <c r="G65" s="112">
        <f t="shared" ref="G65:G70" si="6">F65-E65</f>
        <v>100</v>
      </c>
      <c r="H65" s="99">
        <f>G65+'21'!H65</f>
        <v>2574</v>
      </c>
      <c r="I65" s="118"/>
      <c r="J65" s="175">
        <f>H65/DAY(B2)</f>
        <v>117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'21'!F66</f>
        <v>110860</v>
      </c>
      <c r="F66" s="122">
        <v>110879</v>
      </c>
      <c r="G66" s="112">
        <f t="shared" si="6"/>
        <v>19</v>
      </c>
      <c r="H66" s="99">
        <f>G66+'21'!H66</f>
        <v>548</v>
      </c>
      <c r="I66" s="118"/>
      <c r="J66" s="175">
        <f>H66/DAY(B2)</f>
        <v>24.90909090909091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'21'!F67</f>
        <v>113681</v>
      </c>
      <c r="F67" s="122">
        <v>113681</v>
      </c>
      <c r="G67" s="112">
        <f t="shared" si="6"/>
        <v>0</v>
      </c>
      <c r="H67" s="99">
        <f>G67+'21'!H67</f>
        <v>403</v>
      </c>
      <c r="I67" s="118"/>
      <c r="J67" s="175">
        <f>H67/DAY(B2)</f>
        <v>18.318181818181817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'21'!F68</f>
        <v>163196</v>
      </c>
      <c r="F68" s="122">
        <v>163247</v>
      </c>
      <c r="G68" s="112">
        <f t="shared" si="6"/>
        <v>51</v>
      </c>
      <c r="H68" s="99">
        <f>G68+'21'!H68</f>
        <v>753</v>
      </c>
      <c r="I68" s="118"/>
      <c r="J68" s="175">
        <f>H68/DAY(B2)</f>
        <v>34.227272727272727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'21'!F69</f>
        <v>12085</v>
      </c>
      <c r="F69" s="122">
        <v>12090</v>
      </c>
      <c r="G69" s="112">
        <f t="shared" si="6"/>
        <v>5</v>
      </c>
      <c r="H69" s="99">
        <f>G69+'21'!H69</f>
        <v>221</v>
      </c>
      <c r="I69" s="118"/>
      <c r="J69" s="175">
        <f>H69/DAY(B2)</f>
        <v>10.045454545454545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'21'!F70</f>
        <v>9448</v>
      </c>
      <c r="F70" s="122">
        <v>9454</v>
      </c>
      <c r="G70" s="112">
        <f t="shared" si="6"/>
        <v>6</v>
      </c>
      <c r="H70" s="99">
        <f>G70+'21'!H70</f>
        <v>187</v>
      </c>
      <c r="I70" s="118"/>
      <c r="J70" s="175">
        <f>H70/DAY(B2)</f>
        <v>8.5</v>
      </c>
      <c r="K70" s="69"/>
      <c r="L70" s="66"/>
      <c r="N70" s="87"/>
      <c r="O70" s="71"/>
    </row>
    <row r="71" spans="1:15" ht="26.25">
      <c r="A71" s="870" t="s">
        <v>208</v>
      </c>
      <c r="B71" s="871"/>
      <c r="C71" s="872"/>
      <c r="D71" s="152"/>
      <c r="E71" s="152"/>
      <c r="F71" s="152"/>
      <c r="G71" s="153">
        <f>SUM(G65:G70)</f>
        <v>181</v>
      </c>
      <c r="H71" s="99">
        <f>G71+'21'!H71</f>
        <v>4686</v>
      </c>
      <c r="I71" s="154"/>
      <c r="J71" s="175">
        <f>H71/DAY(B2)</f>
        <v>213</v>
      </c>
      <c r="K71" s="69"/>
      <c r="L71" s="66"/>
      <c r="N71" s="87"/>
      <c r="O71" s="71"/>
    </row>
    <row r="72" spans="1:15" s="88" customFormat="1" ht="25.5">
      <c r="A72" s="916"/>
      <c r="B72" s="90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3" t="s">
        <v>220</v>
      </c>
      <c r="B74" s="874"/>
      <c r="C74" s="875"/>
      <c r="D74" s="151" t="s">
        <v>139</v>
      </c>
      <c r="E74" s="95">
        <f>'21'!F74</f>
        <v>945123.62</v>
      </c>
      <c r="F74" s="123">
        <v>945423.5</v>
      </c>
      <c r="G74" s="112">
        <f t="shared" ref="G74:G78" si="7">F74-E74</f>
        <v>299.88000000000466</v>
      </c>
      <c r="H74" s="99">
        <f>G74+'21'!H74</f>
        <v>6753.5</v>
      </c>
      <c r="I74" s="154"/>
      <c r="J74" s="175">
        <f>H74/DAY(B2)</f>
        <v>306.97727272727275</v>
      </c>
      <c r="K74" s="69"/>
      <c r="L74" s="66"/>
      <c r="N74" s="87"/>
      <c r="O74" s="71"/>
    </row>
    <row r="75" spans="1:15" ht="25.5">
      <c r="A75" s="873" t="s">
        <v>221</v>
      </c>
      <c r="B75" s="874"/>
      <c r="C75" s="875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7" t="s">
        <v>222</v>
      </c>
      <c r="B76" s="903"/>
      <c r="C76" s="904"/>
      <c r="D76" s="151" t="s">
        <v>139</v>
      </c>
      <c r="E76" s="95">
        <f>'21'!F76</f>
        <v>186041.63</v>
      </c>
      <c r="F76" s="123">
        <v>186139.5</v>
      </c>
      <c r="G76" s="112">
        <f t="shared" si="7"/>
        <v>97.869999999995343</v>
      </c>
      <c r="H76" s="99">
        <f>G76+'21'!H76</f>
        <v>2433.5</v>
      </c>
      <c r="I76" s="154"/>
      <c r="J76" s="175">
        <f>H76/DAY(B2)</f>
        <v>110.61363636363636</v>
      </c>
      <c r="K76" s="69"/>
      <c r="L76" s="66"/>
      <c r="N76" s="87"/>
      <c r="O76" s="71"/>
    </row>
    <row r="77" spans="1:15" ht="25.5">
      <c r="A77" s="917" t="s">
        <v>223</v>
      </c>
      <c r="B77" s="903"/>
      <c r="C77" s="904"/>
      <c r="D77" s="151" t="s">
        <v>139</v>
      </c>
      <c r="E77" s="95">
        <f>'21'!F77</f>
        <v>48351.4</v>
      </c>
      <c r="F77" s="123">
        <v>48386.2</v>
      </c>
      <c r="G77" s="112">
        <f t="shared" si="7"/>
        <v>34.799999999995634</v>
      </c>
      <c r="H77" s="99">
        <f>G77+'21'!H77</f>
        <v>1041.1999999999971</v>
      </c>
      <c r="I77" s="154"/>
      <c r="J77" s="175">
        <f>H77/DAY(B2)</f>
        <v>47.327272727272593</v>
      </c>
      <c r="K77" s="69"/>
      <c r="L77" s="66"/>
      <c r="N77" s="87"/>
      <c r="O77" s="71"/>
    </row>
    <row r="78" spans="1:15" ht="25.5">
      <c r="A78" s="917" t="s">
        <v>224</v>
      </c>
      <c r="B78" s="903"/>
      <c r="C78" s="904"/>
      <c r="D78" s="151" t="s">
        <v>139</v>
      </c>
      <c r="E78" s="95">
        <f>'21'!F78</f>
        <v>9564</v>
      </c>
      <c r="F78" s="123">
        <v>9564</v>
      </c>
      <c r="G78" s="112">
        <f t="shared" si="7"/>
        <v>0</v>
      </c>
      <c r="H78" s="99">
        <f>G78+'21'!H78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7" t="s">
        <v>225</v>
      </c>
      <c r="B79" s="903"/>
      <c r="C79" s="904"/>
      <c r="D79" s="151"/>
      <c r="E79" s="95">
        <f>'21'!F79</f>
        <v>0</v>
      </c>
      <c r="F79" s="123"/>
      <c r="G79" s="112">
        <f>G15-SUM(G74:G78)</f>
        <v>542.06000000010681</v>
      </c>
      <c r="H79" s="99">
        <f>G79+'21'!H79</f>
        <v>12895.830000000031</v>
      </c>
      <c r="I79" s="118"/>
      <c r="J79" s="175"/>
      <c r="K79" s="59"/>
      <c r="L79" s="58"/>
      <c r="N79" s="87"/>
      <c r="O79" s="71"/>
    </row>
    <row r="80" spans="1:15" s="57" customFormat="1" ht="26.25">
      <c r="A80" s="870" t="s">
        <v>329</v>
      </c>
      <c r="B80" s="871"/>
      <c r="C80" s="872"/>
      <c r="D80" s="151"/>
      <c r="E80" s="117"/>
      <c r="F80" s="117"/>
      <c r="G80" s="112">
        <f>SUM(G74:G79)</f>
        <v>974.61000000010245</v>
      </c>
      <c r="H80" s="99"/>
      <c r="I80" s="118"/>
      <c r="J80" s="175"/>
      <c r="K80" s="59"/>
      <c r="L80" s="58"/>
      <c r="N80" s="87"/>
      <c r="O80" s="71"/>
    </row>
    <row r="81" spans="1:15" ht="25.5">
      <c r="A81" s="909" t="s">
        <v>226</v>
      </c>
      <c r="B81" s="910"/>
      <c r="C81" s="91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'21'!F84</f>
        <v>42251.24</v>
      </c>
      <c r="F84" s="164">
        <v>42275.23</v>
      </c>
      <c r="G84" s="112">
        <f t="shared" si="8"/>
        <v>23.990000000005239</v>
      </c>
      <c r="H84" s="99">
        <f>G84+'21'!H84</f>
        <v>306.2300000000032</v>
      </c>
      <c r="I84" s="573"/>
      <c r="J84" s="175">
        <f>H84/DAY(B2)</f>
        <v>13.919545454545601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'21'!F85</f>
        <v>4732.5600000000004</v>
      </c>
      <c r="F85" s="164">
        <v>4732.1499999999996</v>
      </c>
      <c r="G85" s="112">
        <f t="shared" si="8"/>
        <v>-0.41000000000076398</v>
      </c>
      <c r="H85" s="99">
        <f>G85+'21'!H85</f>
        <v>389.14999999999964</v>
      </c>
      <c r="I85" s="573"/>
      <c r="J85" s="175">
        <f>H85/DAY(B2)</f>
        <v>17.688636363636348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'21'!F86</f>
        <v>44660.15</v>
      </c>
      <c r="F86" s="164">
        <v>44677.14</v>
      </c>
      <c r="G86" s="112">
        <f t="shared" si="8"/>
        <v>16.989999999997963</v>
      </c>
      <c r="H86" s="99">
        <f>G86+'21'!H86</f>
        <v>207.13999999999942</v>
      </c>
      <c r="I86" s="573"/>
      <c r="J86" s="175">
        <f>H86/DAY(B2)</f>
        <v>9.4154545454545193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'21'!F87</f>
        <v>35357.440000000002</v>
      </c>
      <c r="F87" s="164">
        <v>35358.04</v>
      </c>
      <c r="G87" s="112">
        <f t="shared" si="8"/>
        <v>0.59999999999854481</v>
      </c>
      <c r="H87" s="99">
        <f>G87+'21'!H87</f>
        <v>29.040000000000873</v>
      </c>
      <c r="I87" s="573">
        <f>G84+G85+G86+G87</f>
        <v>41.170000000000982</v>
      </c>
      <c r="J87" s="175">
        <f>H87/DAY(B2)</f>
        <v>1.3200000000000396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'21'!F88</f>
        <v>24276.95</v>
      </c>
      <c r="F88" s="164">
        <v>24277.14</v>
      </c>
      <c r="G88" s="112">
        <f t="shared" si="8"/>
        <v>0.18999999999869033</v>
      </c>
      <c r="H88" s="99">
        <f>G88+'21'!H88</f>
        <v>49.259999999998399</v>
      </c>
      <c r="I88" s="573"/>
      <c r="J88" s="175">
        <f>H88/DAY(B2)</f>
        <v>2.2390909090908364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'21'!F89</f>
        <v>27206.95</v>
      </c>
      <c r="F89" s="164">
        <v>27215.93</v>
      </c>
      <c r="G89" s="112">
        <f t="shared" si="8"/>
        <v>8.9799999999995634</v>
      </c>
      <c r="H89" s="99">
        <f>G89+'21'!H89</f>
        <v>222.52000000000044</v>
      </c>
      <c r="I89" s="573">
        <f>G88+G89</f>
        <v>9.1699999999982538</v>
      </c>
      <c r="J89" s="175">
        <f>H89/DAY(B2)</f>
        <v>10.114545454545475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'21'!F90</f>
        <v>72240.52</v>
      </c>
      <c r="F90" s="164">
        <v>72250.17</v>
      </c>
      <c r="G90" s="112">
        <f t="shared" si="8"/>
        <v>9.6499999999941792</v>
      </c>
      <c r="H90" s="99">
        <f>G90+'21'!H90</f>
        <v>123.05000000000291</v>
      </c>
      <c r="I90" s="573">
        <f>G90</f>
        <v>9.6499999999941792</v>
      </c>
      <c r="J90" s="175">
        <f>H90/DAY(B2)</f>
        <v>5.5931818181819501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'21'!F91</f>
        <v>4122</v>
      </c>
      <c r="F91" s="122">
        <v>4122</v>
      </c>
      <c r="G91" s="112">
        <f t="shared" si="8"/>
        <v>0</v>
      </c>
      <c r="H91" s="99">
        <f>G91+'21'!H91</f>
        <v>0.3500000000003638</v>
      </c>
      <c r="I91" s="592"/>
      <c r="J91" s="175">
        <f>H91/DAY(B2)</f>
        <v>1.5909090909107446E-2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'21'!F92</f>
        <v>6441.64</v>
      </c>
      <c r="F92" s="122">
        <v>6451.96</v>
      </c>
      <c r="G92" s="112">
        <f t="shared" si="8"/>
        <v>10.319999999999709</v>
      </c>
      <c r="H92" s="99">
        <f>G92+'21'!H92</f>
        <v>234.71000000000004</v>
      </c>
      <c r="I92" s="598">
        <f>G91+G92</f>
        <v>10.319999999999709</v>
      </c>
      <c r="J92" s="175">
        <f>H92/DAY(B2)</f>
        <v>10.668636363636365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3" t="s">
        <v>240</v>
      </c>
      <c r="B94" s="874"/>
      <c r="C94" s="875"/>
      <c r="D94" s="151" t="s">
        <v>130</v>
      </c>
      <c r="E94" s="151"/>
      <c r="F94" s="151"/>
      <c r="G94" s="99">
        <f>G35+G43+G49+G57</f>
        <v>6580.5000000000291</v>
      </c>
      <c r="H94" s="99">
        <f>G94+'21'!H94</f>
        <v>148046.80000000002</v>
      </c>
      <c r="I94" s="118"/>
      <c r="J94" s="175">
        <f>H94/DAY(B2)</f>
        <v>6729.4000000000005</v>
      </c>
      <c r="K94" s="69"/>
      <c r="L94" s="66"/>
      <c r="O94" s="71"/>
    </row>
    <row r="95" spans="1:15" ht="25.5">
      <c r="A95" s="873" t="s">
        <v>241</v>
      </c>
      <c r="B95" s="874"/>
      <c r="C95" s="875"/>
      <c r="D95" s="151" t="s">
        <v>23</v>
      </c>
      <c r="E95" s="146"/>
      <c r="F95" s="146"/>
      <c r="G95" s="166">
        <f>G94/G7</f>
        <v>0.23801359829685004</v>
      </c>
      <c r="H95" s="99">
        <f>G95+'21'!H95</f>
        <v>5.2955657731489909</v>
      </c>
      <c r="I95" s="167"/>
      <c r="J95" s="175">
        <f>H95/DAY(B2)</f>
        <v>0.24070753514313595</v>
      </c>
      <c r="K95" s="69"/>
      <c r="L95" s="66"/>
      <c r="O95" s="71"/>
    </row>
    <row r="96" spans="1:15" ht="25.5">
      <c r="A96" s="873" t="s">
        <v>242</v>
      </c>
      <c r="B96" s="874"/>
      <c r="C96" s="875"/>
      <c r="D96" s="151" t="s">
        <v>130</v>
      </c>
      <c r="E96" s="95"/>
      <c r="F96" s="95"/>
      <c r="G96" s="99">
        <f>G41+G42+G55+G56</f>
        <v>8692.7099999999773</v>
      </c>
      <c r="H96" s="99">
        <f>G96+'21'!H96</f>
        <v>200033.97000000003</v>
      </c>
      <c r="I96" s="118"/>
      <c r="J96" s="175">
        <f>H96/DAY(B2)</f>
        <v>9092.453181818184</v>
      </c>
      <c r="K96" s="69"/>
      <c r="L96" s="66"/>
      <c r="O96" s="71"/>
    </row>
    <row r="97" spans="1:15" ht="25.5">
      <c r="A97" s="873" t="s">
        <v>243</v>
      </c>
      <c r="B97" s="874"/>
      <c r="C97" s="875"/>
      <c r="D97" s="151" t="s">
        <v>23</v>
      </c>
      <c r="E97" s="95"/>
      <c r="F97" s="95"/>
      <c r="G97" s="166">
        <f>G96/G7</f>
        <v>0.31441124322635011</v>
      </c>
      <c r="H97" s="99">
        <f>G97+'21'!H97</f>
        <v>7.1034341088343318</v>
      </c>
      <c r="I97" s="167"/>
      <c r="J97" s="175">
        <f>H97/DAY(B2)</f>
        <v>0.32288336858337874</v>
      </c>
      <c r="K97" s="69"/>
      <c r="L97" s="66"/>
      <c r="O97" s="71"/>
    </row>
    <row r="98" spans="1:15" ht="25.5">
      <c r="A98" s="873" t="s">
        <v>244</v>
      </c>
      <c r="B98" s="874"/>
      <c r="C98" s="875"/>
      <c r="D98" s="151" t="s">
        <v>130</v>
      </c>
      <c r="E98" s="95"/>
      <c r="F98" s="95"/>
      <c r="G98" s="99">
        <f>G39+G53</f>
        <v>3040.2400000000489</v>
      </c>
      <c r="H98" s="99">
        <f>G98+'21'!H98</f>
        <v>64308.240000000049</v>
      </c>
      <c r="I98" s="168"/>
      <c r="J98" s="175">
        <f>H98/DAY(B2)</f>
        <v>2923.1018181818204</v>
      </c>
      <c r="K98" s="69"/>
      <c r="L98" s="66"/>
      <c r="O98" s="71"/>
    </row>
    <row r="99" spans="1:15" ht="25.5">
      <c r="A99" s="873" t="s">
        <v>245</v>
      </c>
      <c r="B99" s="874"/>
      <c r="C99" s="875"/>
      <c r="D99" s="151" t="s">
        <v>23</v>
      </c>
      <c r="E99" s="95"/>
      <c r="F99" s="95"/>
      <c r="G99" s="166">
        <f>G98/G7</f>
        <v>0.10996405472016166</v>
      </c>
      <c r="H99" s="99">
        <f>G99+'21'!H99</f>
        <v>2.2957478690715276</v>
      </c>
      <c r="I99" s="168"/>
      <c r="J99" s="175">
        <f>H99/DAY(B2)</f>
        <v>0.10435217586688762</v>
      </c>
      <c r="O99" s="71"/>
    </row>
    <row r="100" spans="1:15" ht="26.25">
      <c r="A100" s="873" t="s">
        <v>246</v>
      </c>
      <c r="B100" s="874"/>
      <c r="C100" s="875"/>
      <c r="D100" s="151" t="s">
        <v>180</v>
      </c>
      <c r="E100" s="95"/>
      <c r="F100" s="95"/>
      <c r="G100" s="99">
        <f>G38+G52</f>
        <v>2286.3999999999651</v>
      </c>
      <c r="H100" s="99">
        <f>G100+'21'!H100</f>
        <v>50933.549999999988</v>
      </c>
      <c r="I100" s="118"/>
      <c r="J100" s="175">
        <f>H100/DAY(B2)</f>
        <v>2315.1613636363631</v>
      </c>
      <c r="K100" s="70"/>
      <c r="O100" s="71"/>
    </row>
    <row r="101" spans="1:15" ht="25.5">
      <c r="A101" s="873" t="s">
        <v>247</v>
      </c>
      <c r="B101" s="874"/>
      <c r="C101" s="875"/>
      <c r="D101" s="151" t="s">
        <v>23</v>
      </c>
      <c r="E101" s="95"/>
      <c r="F101" s="95"/>
      <c r="G101" s="166">
        <f>G100/G7</f>
        <v>8.2698015522514587E-2</v>
      </c>
      <c r="H101" s="99">
        <f>G101+'21'!H101</f>
        <v>1.8179130041559317</v>
      </c>
      <c r="I101" s="168"/>
      <c r="J101" s="175">
        <f>H101/DAY(B2)</f>
        <v>8.2632409279815078E-2</v>
      </c>
      <c r="O101" s="71"/>
    </row>
    <row r="102" spans="1:15" ht="25.5">
      <c r="A102" s="873" t="s">
        <v>248</v>
      </c>
      <c r="B102" s="874"/>
      <c r="C102" s="875"/>
      <c r="D102" s="151" t="s">
        <v>180</v>
      </c>
      <c r="E102" s="95"/>
      <c r="F102" s="95"/>
      <c r="G102" s="99">
        <f>G36+G50</f>
        <v>1862.4200000000128</v>
      </c>
      <c r="H102" s="99">
        <f>G102+'21'!H102</f>
        <v>44496.160000000003</v>
      </c>
      <c r="I102" s="168"/>
      <c r="J102" s="175">
        <f>H102/DAY(B2)</f>
        <v>2022.5527272727275</v>
      </c>
      <c r="O102" s="71"/>
    </row>
    <row r="103" spans="1:15" ht="25.5">
      <c r="A103" s="873" t="s">
        <v>249</v>
      </c>
      <c r="B103" s="874"/>
      <c r="C103" s="875"/>
      <c r="D103" s="151" t="s">
        <v>23</v>
      </c>
      <c r="E103" s="95"/>
      <c r="F103" s="95"/>
      <c r="G103" s="166">
        <f>G102/G7</f>
        <v>6.7362857798042783E-2</v>
      </c>
      <c r="H103" s="99">
        <f>G103+'21'!H103</f>
        <v>1.581030673925947</v>
      </c>
      <c r="I103" s="118"/>
      <c r="J103" s="175">
        <f>H103/DAY(B2)</f>
        <v>7.1865030632997595E-2</v>
      </c>
      <c r="O103" s="71"/>
    </row>
    <row r="104" spans="1:15" ht="25.5">
      <c r="A104" s="873" t="s">
        <v>250</v>
      </c>
      <c r="B104" s="874"/>
      <c r="C104" s="875"/>
      <c r="D104" s="151" t="s">
        <v>180</v>
      </c>
      <c r="E104" s="95"/>
      <c r="F104" s="95"/>
      <c r="G104" s="99">
        <f>G37+G51</f>
        <v>1658.7399999999907</v>
      </c>
      <c r="H104" s="99">
        <f>G104+'21'!H104</f>
        <v>38011.109999999979</v>
      </c>
      <c r="I104" s="118"/>
      <c r="J104" s="175">
        <f>H104/DAY(B2)</f>
        <v>1727.7777272727262</v>
      </c>
      <c r="O104" s="71"/>
    </row>
    <row r="105" spans="1:15" ht="26.25" thickBot="1">
      <c r="A105" s="913" t="s">
        <v>251</v>
      </c>
      <c r="B105" s="914"/>
      <c r="C105" s="915"/>
      <c r="D105" s="231" t="s">
        <v>23</v>
      </c>
      <c r="E105" s="185"/>
      <c r="F105" s="185"/>
      <c r="G105" s="186">
        <f>G104/G7</f>
        <v>5.9995847737848655E-2</v>
      </c>
      <c r="H105" s="99">
        <f>G105+'21'!H105</f>
        <v>1.3536706165049972</v>
      </c>
      <c r="I105" s="187"/>
      <c r="J105" s="188">
        <f>H105/DAY(B2)</f>
        <v>6.1530482568408963E-2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7" t="s">
        <v>324</v>
      </c>
      <c r="B108" s="927"/>
      <c r="C108" s="927"/>
      <c r="D108" s="927"/>
      <c r="E108" s="927"/>
      <c r="F108" s="927"/>
      <c r="G108" s="927"/>
      <c r="H108" s="927"/>
      <c r="I108" s="927"/>
      <c r="J108" s="927"/>
    </row>
    <row r="109" spans="1:15" ht="26.25">
      <c r="A109" s="912"/>
      <c r="B109" s="912"/>
    </row>
    <row r="110" spans="1:15" ht="26.25">
      <c r="A110" s="928" t="s">
        <v>165</v>
      </c>
      <c r="B110" s="929"/>
      <c r="C110" s="929"/>
      <c r="D110" s="929"/>
      <c r="E110" s="929"/>
      <c r="F110" s="929"/>
      <c r="G110" s="929"/>
      <c r="H110" s="929"/>
      <c r="I110" s="929"/>
      <c r="J110" s="930"/>
    </row>
    <row r="111" spans="1:15" ht="25.5">
      <c r="A111" s="931"/>
      <c r="B111" s="932"/>
      <c r="C111" s="933"/>
      <c r="D111" s="165"/>
      <c r="E111" s="165"/>
      <c r="F111" s="165"/>
      <c r="G111" s="165"/>
      <c r="H111" s="156"/>
      <c r="I111" s="165"/>
      <c r="J111" s="327"/>
    </row>
    <row r="112" spans="1:15" ht="25.5">
      <c r="A112" s="906" t="s">
        <v>252</v>
      </c>
      <c r="B112" s="907"/>
      <c r="C112" s="908"/>
      <c r="D112" s="146" t="s">
        <v>183</v>
      </c>
      <c r="E112" s="95">
        <f>'21'!F112</f>
        <v>4271.32</v>
      </c>
      <c r="F112" s="237">
        <v>4344.38</v>
      </c>
      <c r="G112" s="112">
        <f t="shared" ref="G112:G123" si="9">F112-E112</f>
        <v>73.0600000000004</v>
      </c>
      <c r="H112" s="99">
        <f>G112+'21'!H112</f>
        <v>1667.38</v>
      </c>
      <c r="I112" s="165"/>
      <c r="J112" s="328">
        <f>H112/DAY(B2)</f>
        <v>75.790000000000006</v>
      </c>
    </row>
    <row r="113" spans="1:18" ht="29.25" customHeight="1">
      <c r="A113" s="906" t="s">
        <v>253</v>
      </c>
      <c r="B113" s="907"/>
      <c r="C113" s="908"/>
      <c r="D113" s="146" t="s">
        <v>183</v>
      </c>
      <c r="E113" s="95">
        <f>'21'!F113</f>
        <v>9348.15</v>
      </c>
      <c r="F113" s="237">
        <v>9486.23</v>
      </c>
      <c r="G113" s="112">
        <f t="shared" si="9"/>
        <v>138.07999999999993</v>
      </c>
      <c r="H113" s="99">
        <f>G113+'21'!H113</f>
        <v>3095.2299999999996</v>
      </c>
      <c r="I113" s="165"/>
      <c r="J113" s="328">
        <f>H113/DAY(B2)</f>
        <v>140.69227272727269</v>
      </c>
    </row>
    <row r="114" spans="1:18" ht="29.25" customHeight="1">
      <c r="A114" s="906" t="s">
        <v>254</v>
      </c>
      <c r="B114" s="907"/>
      <c r="C114" s="908"/>
      <c r="D114" s="146" t="s">
        <v>183</v>
      </c>
      <c r="E114" s="95">
        <f>'21'!F114</f>
        <v>12181.13</v>
      </c>
      <c r="F114" s="237">
        <v>12402.32</v>
      </c>
      <c r="G114" s="112">
        <f t="shared" si="9"/>
        <v>221.19000000000051</v>
      </c>
      <c r="H114" s="99">
        <f>G114+'21'!H114</f>
        <v>4832.32</v>
      </c>
      <c r="I114" s="165"/>
      <c r="J114" s="328">
        <f>H114/DAY(B2)</f>
        <v>219.65090909090907</v>
      </c>
    </row>
    <row r="115" spans="1:18" ht="29.25" customHeight="1">
      <c r="A115" s="906" t="s">
        <v>255</v>
      </c>
      <c r="B115" s="907"/>
      <c r="C115" s="908"/>
      <c r="D115" s="146" t="s">
        <v>183</v>
      </c>
      <c r="E115" s="95">
        <f>'21'!F115</f>
        <v>7753.23</v>
      </c>
      <c r="F115" s="237">
        <v>7884.61</v>
      </c>
      <c r="G115" s="112">
        <f t="shared" si="9"/>
        <v>131.38000000000011</v>
      </c>
      <c r="H115" s="99">
        <f>G115+'21'!H115</f>
        <v>1754.1299999999999</v>
      </c>
      <c r="I115" s="165"/>
      <c r="J115" s="328">
        <f>H115/DAY(B2)</f>
        <v>79.733181818181819</v>
      </c>
    </row>
    <row r="116" spans="1:18" ht="29.25" customHeight="1">
      <c r="A116" s="924" t="s">
        <v>96</v>
      </c>
      <c r="B116" s="925"/>
      <c r="C116" s="926"/>
      <c r="D116" s="146" t="s">
        <v>183</v>
      </c>
      <c r="E116" s="95">
        <f>'21'!F116</f>
        <v>55295.19</v>
      </c>
      <c r="F116" s="237">
        <v>55701.99</v>
      </c>
      <c r="G116" s="112">
        <f t="shared" si="9"/>
        <v>406.79999999999563</v>
      </c>
      <c r="H116" s="99">
        <f>G116+'21'!H116</f>
        <v>8946.989999999998</v>
      </c>
      <c r="I116" s="165"/>
      <c r="J116" s="328">
        <f>H116/DAY(B2)</f>
        <v>406.68136363636353</v>
      </c>
      <c r="Q116" s="906"/>
      <c r="R116" s="908"/>
    </row>
    <row r="117" spans="1:18" ht="29.25" customHeight="1">
      <c r="A117" s="924" t="s">
        <v>184</v>
      </c>
      <c r="B117" s="925"/>
      <c r="C117" s="926"/>
      <c r="D117" s="146" t="s">
        <v>183</v>
      </c>
      <c r="E117" s="95">
        <f>'21'!F117</f>
        <v>30311.56</v>
      </c>
      <c r="F117" s="237">
        <v>30589.97</v>
      </c>
      <c r="G117" s="112">
        <f t="shared" si="9"/>
        <v>278.40999999999985</v>
      </c>
      <c r="H117" s="99">
        <f>G117+'21'!H117</f>
        <v>5321.9700000000012</v>
      </c>
      <c r="I117" s="165"/>
      <c r="J117" s="328">
        <f>H117/DAY(B2)</f>
        <v>241.90772727272733</v>
      </c>
      <c r="Q117" s="906"/>
      <c r="R117" s="908"/>
    </row>
    <row r="118" spans="1:18" ht="25.5">
      <c r="A118" s="901" t="s">
        <v>97</v>
      </c>
      <c r="B118" s="901"/>
      <c r="C118" s="901"/>
      <c r="D118" s="151" t="s">
        <v>183</v>
      </c>
      <c r="E118" s="95">
        <f>'21'!F118</f>
        <v>39056.65</v>
      </c>
      <c r="F118" s="237">
        <v>39714.81</v>
      </c>
      <c r="G118" s="112">
        <f t="shared" si="9"/>
        <v>658.15999999999622</v>
      </c>
      <c r="H118" s="99">
        <f>G118+'21'!H118</f>
        <v>13489.809999999998</v>
      </c>
      <c r="I118" s="165"/>
      <c r="J118" s="328">
        <f>H118/DAY(B2)</f>
        <v>613.17318181818166</v>
      </c>
      <c r="Q118" s="906"/>
      <c r="R118" s="908"/>
    </row>
    <row r="119" spans="1:18" ht="25.5">
      <c r="A119" s="901" t="s">
        <v>98</v>
      </c>
      <c r="B119" s="901"/>
      <c r="C119" s="901"/>
      <c r="D119" s="151" t="s">
        <v>183</v>
      </c>
      <c r="E119" s="95">
        <f>'21'!F119</f>
        <v>28066.15</v>
      </c>
      <c r="F119" s="237">
        <v>28362.78</v>
      </c>
      <c r="G119" s="112">
        <f t="shared" si="9"/>
        <v>296.62999999999738</v>
      </c>
      <c r="H119" s="99">
        <f>G119+'21'!H119</f>
        <v>9415.7799999999988</v>
      </c>
      <c r="I119" s="165"/>
      <c r="J119" s="328">
        <f>H119/DAY(B2)</f>
        <v>427.98999999999995</v>
      </c>
    </row>
    <row r="120" spans="1:18" ht="25.5">
      <c r="A120" s="901" t="s">
        <v>99</v>
      </c>
      <c r="B120" s="901"/>
      <c r="C120" s="901"/>
      <c r="D120" s="151" t="s">
        <v>183</v>
      </c>
      <c r="E120" s="95">
        <f>'21'!F120</f>
        <v>29195.56</v>
      </c>
      <c r="F120" s="237">
        <v>29629.119999999999</v>
      </c>
      <c r="G120" s="112">
        <f t="shared" si="9"/>
        <v>433.55999999999767</v>
      </c>
      <c r="H120" s="99">
        <f>G120+'21'!H120</f>
        <v>9579.119999999999</v>
      </c>
      <c r="I120" s="165"/>
      <c r="J120" s="328">
        <f>H120/DAY(B2)</f>
        <v>435.41454545454542</v>
      </c>
    </row>
    <row r="121" spans="1:18" ht="25.5">
      <c r="A121" s="901" t="s">
        <v>100</v>
      </c>
      <c r="B121" s="901"/>
      <c r="C121" s="901"/>
      <c r="D121" s="151" t="s">
        <v>183</v>
      </c>
      <c r="E121" s="95">
        <f>'21'!F121</f>
        <v>35577.21</v>
      </c>
      <c r="F121" s="237">
        <v>36048.81</v>
      </c>
      <c r="G121" s="112">
        <f t="shared" si="9"/>
        <v>471.59999999999854</v>
      </c>
      <c r="H121" s="99">
        <f>G121+'21'!H121</f>
        <v>10204.809999999998</v>
      </c>
      <c r="I121" s="165"/>
      <c r="J121" s="328">
        <f>H121/DAY(B2)</f>
        <v>463.8549999999999</v>
      </c>
    </row>
    <row r="122" spans="1:18" ht="25.5">
      <c r="A122" s="901" t="s">
        <v>101</v>
      </c>
      <c r="B122" s="901"/>
      <c r="C122" s="901"/>
      <c r="D122" s="151" t="s">
        <v>183</v>
      </c>
      <c r="E122" s="95">
        <f>'21'!F122</f>
        <v>17470.02</v>
      </c>
      <c r="F122" s="237">
        <v>17765.34</v>
      </c>
      <c r="G122" s="112">
        <f t="shared" si="9"/>
        <v>295.31999999999971</v>
      </c>
      <c r="H122" s="99">
        <f>G122+'21'!H122</f>
        <v>6605.34</v>
      </c>
      <c r="I122" s="165"/>
      <c r="J122" s="328">
        <f>H122/DAY(B2)</f>
        <v>300.24272727272728</v>
      </c>
    </row>
    <row r="123" spans="1:18" ht="25.5">
      <c r="A123" s="901" t="s">
        <v>102</v>
      </c>
      <c r="B123" s="901"/>
      <c r="C123" s="901"/>
      <c r="D123" s="151" t="s">
        <v>183</v>
      </c>
      <c r="E123" s="95">
        <f>'21'!F123</f>
        <v>17532.310000000001</v>
      </c>
      <c r="F123" s="237">
        <v>17844.72</v>
      </c>
      <c r="G123" s="112">
        <f t="shared" si="9"/>
        <v>312.40999999999985</v>
      </c>
      <c r="H123" s="99">
        <f>G123+'21'!H123</f>
        <v>7335.7200000000012</v>
      </c>
      <c r="I123" s="165"/>
      <c r="J123" s="328">
        <f>H123/DAY(B2)</f>
        <v>333.44181818181823</v>
      </c>
    </row>
    <row r="124" spans="1:18" ht="29.25" customHeight="1">
      <c r="A124" s="931"/>
      <c r="B124" s="932"/>
      <c r="C124" s="933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5.5">
      <c r="A125" s="934" t="s">
        <v>196</v>
      </c>
      <c r="B125" s="935"/>
      <c r="C125" s="245"/>
      <c r="D125" s="307"/>
      <c r="E125" s="308"/>
      <c r="F125" s="308"/>
      <c r="G125" s="309">
        <f>SUM(G112:G124)</f>
        <v>3716.5999999999858</v>
      </c>
      <c r="H125" s="156"/>
      <c r="I125" s="327">
        <f>G125-(G39+G53)</f>
        <v>676.35999999993692</v>
      </c>
      <c r="J125" s="327"/>
    </row>
    <row r="126" spans="1:18" ht="25.5">
      <c r="A126" s="936" t="s">
        <v>317</v>
      </c>
      <c r="B126" s="936"/>
      <c r="C126" s="936"/>
      <c r="D126" s="936"/>
      <c r="E126" s="936"/>
      <c r="F126" s="936"/>
      <c r="G126" s="936"/>
      <c r="H126" s="936"/>
      <c r="I126" s="936"/>
      <c r="J126" s="936"/>
    </row>
    <row r="127" spans="1:18" ht="25.5">
      <c r="A127" s="937"/>
      <c r="B127" s="937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>
      <c r="A128" s="906" t="s">
        <v>318</v>
      </c>
      <c r="B128" s="907"/>
      <c r="C128" s="908"/>
      <c r="D128" s="151" t="s">
        <v>183</v>
      </c>
      <c r="E128" s="95">
        <f>'21'!F128</f>
        <v>106866.64</v>
      </c>
      <c r="F128" s="165">
        <v>107442.18</v>
      </c>
      <c r="G128" s="112">
        <f t="shared" ref="G128:G134" si="10">F128-E128</f>
        <v>575.5399999999936</v>
      </c>
      <c r="H128" s="99">
        <f>G128+'21'!H128</f>
        <v>11727.179999999993</v>
      </c>
      <c r="I128" s="165"/>
      <c r="J128" s="328">
        <f>H128/DAY(B2)</f>
        <v>533.05363636363609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'21'!F129</f>
        <v>65103.33</v>
      </c>
      <c r="F129" s="165">
        <v>65222.47</v>
      </c>
      <c r="G129" s="112">
        <f t="shared" si="10"/>
        <v>119.13999999999942</v>
      </c>
      <c r="H129" s="99">
        <f>G129+'21'!H129</f>
        <v>4929.4700000000012</v>
      </c>
      <c r="I129" s="165"/>
      <c r="J129" s="328">
        <f>H129/DAY(B2)</f>
        <v>224.06681818181823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'21'!F130</f>
        <v>134866.97</v>
      </c>
      <c r="F130" s="165">
        <v>135578.57</v>
      </c>
      <c r="G130" s="112">
        <f t="shared" si="10"/>
        <v>711.60000000000582</v>
      </c>
      <c r="H130" s="99">
        <f>G130+'21'!H130</f>
        <v>14449.570000000007</v>
      </c>
      <c r="I130" s="165"/>
      <c r="J130" s="328">
        <f>H130/DAY(B2)</f>
        <v>656.79863636363666</v>
      </c>
      <c r="N130" s="240"/>
      <c r="O130" s="241"/>
    </row>
    <row r="131" spans="1:15" ht="25.5">
      <c r="A131" s="906" t="s">
        <v>321</v>
      </c>
      <c r="B131" s="907"/>
      <c r="C131" s="908"/>
      <c r="D131" s="151" t="s">
        <v>183</v>
      </c>
      <c r="E131" s="95">
        <f>'21'!F131</f>
        <v>40614.97</v>
      </c>
      <c r="F131" s="165">
        <v>40841.440000000002</v>
      </c>
      <c r="G131" s="112">
        <f t="shared" si="10"/>
        <v>226.47000000000116</v>
      </c>
      <c r="H131" s="99">
        <f>G131+'21'!H131</f>
        <v>4562.4400000000023</v>
      </c>
      <c r="I131" s="165"/>
      <c r="J131" s="328">
        <f>H131/DAY(B2)</f>
        <v>207.38363636363647</v>
      </c>
      <c r="N131" s="240"/>
      <c r="O131" s="241"/>
    </row>
    <row r="132" spans="1:15" ht="25.5">
      <c r="A132" s="906" t="s">
        <v>322</v>
      </c>
      <c r="B132" s="907"/>
      <c r="C132" s="908"/>
      <c r="D132" s="151" t="s">
        <v>183</v>
      </c>
      <c r="E132" s="95">
        <f>'21'!F132</f>
        <v>112121.35</v>
      </c>
      <c r="F132" s="165">
        <v>112591.36</v>
      </c>
      <c r="G132" s="112">
        <f t="shared" si="10"/>
        <v>470.00999999999476</v>
      </c>
      <c r="H132" s="99">
        <f>G132+'21'!H132</f>
        <v>9079.36</v>
      </c>
      <c r="I132" s="165"/>
      <c r="J132" s="328">
        <f>H132/DAY(B2)</f>
        <v>412.69818181818187</v>
      </c>
    </row>
    <row r="133" spans="1:15" ht="25.5">
      <c r="A133" s="906" t="s">
        <v>359</v>
      </c>
      <c r="B133" s="907"/>
      <c r="C133" s="908"/>
      <c r="D133" s="151" t="s">
        <v>183</v>
      </c>
      <c r="E133" s="95">
        <f>'21'!F133</f>
        <v>217628.91</v>
      </c>
      <c r="F133" s="165">
        <v>218234.05</v>
      </c>
      <c r="G133" s="112">
        <f t="shared" si="10"/>
        <v>605.13999999998487</v>
      </c>
      <c r="H133" s="99">
        <f>G133+'21'!H133</f>
        <v>17002.049999999988</v>
      </c>
      <c r="I133" s="165"/>
      <c r="J133" s="328">
        <f>H133/DAY(B2)</f>
        <v>772.82045454545403</v>
      </c>
    </row>
    <row r="134" spans="1:15" ht="25.5">
      <c r="A134" s="906" t="s">
        <v>340</v>
      </c>
      <c r="B134" s="907"/>
      <c r="C134" s="908"/>
      <c r="D134" s="151" t="s">
        <v>183</v>
      </c>
      <c r="E134" s="95">
        <f>'21'!F134</f>
        <v>39900.949999999997</v>
      </c>
      <c r="F134" s="165">
        <v>40114.58</v>
      </c>
      <c r="G134" s="112">
        <f t="shared" si="10"/>
        <v>213.63000000000466</v>
      </c>
      <c r="H134" s="99">
        <f>G134+'21'!H134</f>
        <v>5219.5800000000017</v>
      </c>
      <c r="I134" s="165"/>
      <c r="J134" s="328">
        <f>H134/DAY(B2)</f>
        <v>237.25363636363645</v>
      </c>
    </row>
    <row r="135" spans="1:15" ht="25.5">
      <c r="A135" s="934" t="s">
        <v>196</v>
      </c>
      <c r="B135" s="935"/>
      <c r="C135" s="331"/>
      <c r="D135" s="151"/>
      <c r="E135" s="95"/>
      <c r="F135" s="165"/>
      <c r="G135" s="112">
        <f>SUM(G128:G134)</f>
        <v>2921.5299999999843</v>
      </c>
      <c r="H135" s="99">
        <f>G135+'10'!H135</f>
        <v>33139.359999999986</v>
      </c>
      <c r="I135" s="327">
        <f>G135-(G35+G49)</f>
        <v>-608.91000000001804</v>
      </c>
      <c r="J135" s="328"/>
    </row>
    <row r="136" spans="1:15" ht="27.75">
      <c r="A136" s="938" t="s">
        <v>325</v>
      </c>
      <c r="B136" s="938"/>
      <c r="C136" s="938"/>
      <c r="D136" s="938"/>
      <c r="E136" s="938"/>
      <c r="F136" s="938"/>
      <c r="G136" s="938"/>
      <c r="H136" s="938"/>
      <c r="I136" s="938"/>
      <c r="J136" s="938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1" t="s">
        <v>185</v>
      </c>
      <c r="B138" s="901"/>
      <c r="C138" s="901"/>
      <c r="D138" s="151" t="s">
        <v>183</v>
      </c>
      <c r="E138" s="95">
        <f>'21'!F138</f>
        <v>886154</v>
      </c>
      <c r="F138" s="147">
        <v>886283</v>
      </c>
      <c r="G138" s="112">
        <f t="shared" ref="G138:G152" si="11">F138-E138</f>
        <v>129</v>
      </c>
      <c r="H138" s="99">
        <f>G138+'21'!H138</f>
        <v>3005.2999999999993</v>
      </c>
      <c r="I138" s="118"/>
      <c r="J138" s="328">
        <f>H138/DAY(B2)</f>
        <v>136.60454545454542</v>
      </c>
    </row>
    <row r="139" spans="1:15" ht="25.5">
      <c r="A139" s="901" t="s">
        <v>186</v>
      </c>
      <c r="B139" s="901"/>
      <c r="C139" s="901"/>
      <c r="D139" s="151" t="s">
        <v>183</v>
      </c>
      <c r="E139" s="95">
        <f>'21'!F139</f>
        <v>902676</v>
      </c>
      <c r="F139" s="148">
        <v>902848</v>
      </c>
      <c r="G139" s="112">
        <f t="shared" si="11"/>
        <v>172</v>
      </c>
      <c r="H139" s="99">
        <f>G139+'21'!H139</f>
        <v>3393</v>
      </c>
      <c r="I139" s="118"/>
      <c r="J139" s="328">
        <f>H139/DAY(B2)</f>
        <v>154.22727272727272</v>
      </c>
    </row>
    <row r="140" spans="1:15" ht="25.5">
      <c r="A140" s="901" t="s">
        <v>187</v>
      </c>
      <c r="B140" s="901"/>
      <c r="C140" s="901"/>
      <c r="D140" s="151" t="s">
        <v>183</v>
      </c>
      <c r="E140" s="95">
        <f>'21'!F140</f>
        <v>921.09</v>
      </c>
      <c r="F140" s="149">
        <v>938.16</v>
      </c>
      <c r="G140" s="112">
        <f t="shared" si="11"/>
        <v>17.069999999999936</v>
      </c>
      <c r="H140" s="99">
        <f>G140+'21'!H140</f>
        <v>289.39999999999998</v>
      </c>
      <c r="I140" s="118"/>
      <c r="J140" s="328">
        <f>H140/DAY(B2)</f>
        <v>13.154545454545454</v>
      </c>
    </row>
    <row r="141" spans="1:15" ht="25.5">
      <c r="A141" s="905" t="s">
        <v>188</v>
      </c>
      <c r="B141" s="905"/>
      <c r="C141" s="905"/>
      <c r="D141" s="151" t="s">
        <v>183</v>
      </c>
      <c r="E141" s="95">
        <f>'21'!F141</f>
        <v>82294.75</v>
      </c>
      <c r="F141" s="149">
        <v>82494.98</v>
      </c>
      <c r="G141" s="112">
        <f t="shared" si="11"/>
        <v>200.22999999999593</v>
      </c>
      <c r="H141" s="99">
        <f>G141+'21'!H141</f>
        <v>4542.9799999999959</v>
      </c>
      <c r="I141" s="118"/>
      <c r="J141" s="328">
        <f>H141/DAY(B2)</f>
        <v>206.49909090909071</v>
      </c>
    </row>
    <row r="142" spans="1:15" ht="25.5">
      <c r="A142" s="905" t="s">
        <v>189</v>
      </c>
      <c r="B142" s="905"/>
      <c r="C142" s="905"/>
      <c r="D142" s="151" t="s">
        <v>183</v>
      </c>
      <c r="E142" s="95">
        <f>'21'!F142</f>
        <v>33647.79</v>
      </c>
      <c r="F142" s="148">
        <v>33750.75</v>
      </c>
      <c r="G142" s="112">
        <f t="shared" si="11"/>
        <v>102.95999999999913</v>
      </c>
      <c r="H142" s="99">
        <f>G142+'21'!H142</f>
        <v>3224.75</v>
      </c>
      <c r="I142" s="140"/>
      <c r="J142" s="328">
        <f>H142/DAY(B2)</f>
        <v>146.57954545454547</v>
      </c>
    </row>
    <row r="143" spans="1:15" ht="25.5">
      <c r="A143" s="901" t="s">
        <v>91</v>
      </c>
      <c r="B143" s="901"/>
      <c r="C143" s="901"/>
      <c r="D143" s="151" t="s">
        <v>183</v>
      </c>
      <c r="E143" s="95">
        <f>'21'!F143</f>
        <v>7906.19</v>
      </c>
      <c r="F143" s="149">
        <v>7934.61</v>
      </c>
      <c r="G143" s="112">
        <f t="shared" si="11"/>
        <v>28.420000000000073</v>
      </c>
      <c r="H143" s="99">
        <f>G143+'21'!H143</f>
        <v>628.60999999999967</v>
      </c>
      <c r="I143" s="140"/>
      <c r="J143" s="328">
        <f>H143/DAY(B2)</f>
        <v>28.573181818181805</v>
      </c>
    </row>
    <row r="144" spans="1:15" ht="25.5">
      <c r="A144" s="905" t="s">
        <v>90</v>
      </c>
      <c r="B144" s="905"/>
      <c r="C144" s="905"/>
      <c r="D144" s="151" t="s">
        <v>183</v>
      </c>
      <c r="E144" s="95">
        <f>'21'!F144</f>
        <v>910142</v>
      </c>
      <c r="F144" s="149">
        <v>910395</v>
      </c>
      <c r="G144" s="112">
        <f t="shared" si="11"/>
        <v>253</v>
      </c>
      <c r="H144" s="99">
        <f>G144+'21'!H144</f>
        <v>5342</v>
      </c>
      <c r="I144" s="140"/>
      <c r="J144" s="328">
        <f>H144/DAY(B2)</f>
        <v>242.81818181818181</v>
      </c>
    </row>
    <row r="145" spans="1:10" ht="25.5">
      <c r="A145" s="901" t="s">
        <v>190</v>
      </c>
      <c r="B145" s="901"/>
      <c r="C145" s="901"/>
      <c r="D145" s="152" t="s">
        <v>183</v>
      </c>
      <c r="E145" s="95">
        <f>'21'!F145</f>
        <v>5665</v>
      </c>
      <c r="F145" s="149">
        <v>5665</v>
      </c>
      <c r="G145" s="112">
        <f t="shared" si="11"/>
        <v>0</v>
      </c>
      <c r="H145" s="99">
        <f>G145+'21'!H145</f>
        <v>1</v>
      </c>
      <c r="I145" s="140"/>
      <c r="J145" s="328">
        <f>H145/DAY(B2)</f>
        <v>4.5454545454545456E-2</v>
      </c>
    </row>
    <row r="146" spans="1:10" ht="25.5">
      <c r="A146" s="902" t="s">
        <v>191</v>
      </c>
      <c r="B146" s="903"/>
      <c r="C146" s="904"/>
      <c r="D146" s="152" t="s">
        <v>183</v>
      </c>
      <c r="E146" s="95">
        <f>'21'!F146</f>
        <v>778897</v>
      </c>
      <c r="F146" s="148">
        <v>778943</v>
      </c>
      <c r="G146" s="112">
        <f t="shared" si="11"/>
        <v>46</v>
      </c>
      <c r="H146" s="99">
        <f>G146+'21'!H146</f>
        <v>1075</v>
      </c>
      <c r="I146" s="140"/>
      <c r="J146" s="328">
        <f>H146/DAY(B2)</f>
        <v>48.863636363636367</v>
      </c>
    </row>
    <row r="147" spans="1:10" ht="25.5">
      <c r="A147" s="905" t="s">
        <v>192</v>
      </c>
      <c r="B147" s="905"/>
      <c r="C147" s="905"/>
      <c r="D147" s="152" t="s">
        <v>183</v>
      </c>
      <c r="E147" s="95">
        <f>'21'!F147</f>
        <v>684059.44</v>
      </c>
      <c r="F147" s="148">
        <v>684424.88</v>
      </c>
      <c r="G147" s="112">
        <f t="shared" si="11"/>
        <v>365.44000000006054</v>
      </c>
      <c r="H147" s="99">
        <f>G147+'21'!H147</f>
        <v>8576.8800000000047</v>
      </c>
      <c r="I147" s="140"/>
      <c r="J147" s="328">
        <f>H147/DAY(B2)</f>
        <v>389.858181818182</v>
      </c>
    </row>
    <row r="148" spans="1:10" ht="25.5">
      <c r="A148" s="897" t="s">
        <v>193</v>
      </c>
      <c r="B148" s="898"/>
      <c r="C148" s="899"/>
      <c r="D148" s="123" t="s">
        <v>130</v>
      </c>
      <c r="E148" s="95">
        <f>'21'!F148</f>
        <v>736256.08</v>
      </c>
      <c r="F148" s="150">
        <v>736571.6</v>
      </c>
      <c r="G148" s="112">
        <f t="shared" si="11"/>
        <v>315.52000000001863</v>
      </c>
      <c r="H148" s="99">
        <f>G148+'21'!H148</f>
        <v>6826.5999999999767</v>
      </c>
      <c r="I148" s="124"/>
      <c r="J148" s="328">
        <f>H148/DAY(B2)</f>
        <v>310.29999999999893</v>
      </c>
    </row>
    <row r="149" spans="1:10" ht="25.5">
      <c r="A149" s="897" t="s">
        <v>336</v>
      </c>
      <c r="B149" s="898"/>
      <c r="C149" s="899"/>
      <c r="D149" s="227" t="s">
        <v>130</v>
      </c>
      <c r="E149" s="95">
        <f>'21'!F149</f>
        <v>112337.11</v>
      </c>
      <c r="F149" s="146">
        <v>112834.58</v>
      </c>
      <c r="G149" s="112">
        <f t="shared" si="11"/>
        <v>497.47000000000116</v>
      </c>
      <c r="H149" s="99">
        <f>G149+'21'!H149</f>
        <v>11939.580000000002</v>
      </c>
      <c r="I149" s="119"/>
      <c r="J149" s="328">
        <f>H149/DAY(B2)</f>
        <v>542.70818181818186</v>
      </c>
    </row>
    <row r="150" spans="1:10" ht="25.5">
      <c r="A150" s="897" t="s">
        <v>337</v>
      </c>
      <c r="B150" s="898"/>
      <c r="C150" s="899"/>
      <c r="D150" s="117" t="s">
        <v>130</v>
      </c>
      <c r="E150" s="95">
        <f>'21'!F150</f>
        <v>41786.120000000003</v>
      </c>
      <c r="F150" s="233">
        <v>41997.440000000002</v>
      </c>
      <c r="G150" s="112">
        <f t="shared" si="11"/>
        <v>211.31999999999971</v>
      </c>
      <c r="H150" s="99">
        <f>G150+'21'!H150</f>
        <v>4781.4400000000023</v>
      </c>
      <c r="I150" s="119"/>
      <c r="J150" s="328">
        <f>H150/DAY(B2)</f>
        <v>217.33818181818194</v>
      </c>
    </row>
    <row r="151" spans="1:10" ht="25.5">
      <c r="A151" s="897" t="s">
        <v>338</v>
      </c>
      <c r="B151" s="898"/>
      <c r="C151" s="899"/>
      <c r="D151" s="117" t="s">
        <v>130</v>
      </c>
      <c r="E151" s="95">
        <f>'21'!F151</f>
        <v>124166</v>
      </c>
      <c r="F151" s="233">
        <v>124450</v>
      </c>
      <c r="G151" s="112">
        <f t="shared" si="11"/>
        <v>284</v>
      </c>
      <c r="H151" s="99">
        <f>G151+'21'!H151</f>
        <v>6313</v>
      </c>
      <c r="I151" s="119"/>
      <c r="J151" s="328">
        <f>H151/DAY(B2)</f>
        <v>286.95454545454544</v>
      </c>
    </row>
    <row r="152" spans="1:10" ht="25.5">
      <c r="A152" s="897" t="s">
        <v>339</v>
      </c>
      <c r="B152" s="898"/>
      <c r="C152" s="899"/>
      <c r="D152" s="117" t="s">
        <v>130</v>
      </c>
      <c r="E152" s="95">
        <f>'21'!F152</f>
        <v>18141.07</v>
      </c>
      <c r="F152" s="233">
        <v>18269.59</v>
      </c>
      <c r="G152" s="112">
        <f t="shared" si="11"/>
        <v>128.52000000000044</v>
      </c>
      <c r="H152" s="99">
        <f>G152+'21'!H152</f>
        <v>7113.59</v>
      </c>
      <c r="I152" s="119"/>
      <c r="J152" s="328">
        <f>H152/DAY(B2)</f>
        <v>323.34500000000003</v>
      </c>
    </row>
    <row r="153" spans="1:10" ht="25.5">
      <c r="A153" s="934" t="s">
        <v>196</v>
      </c>
      <c r="B153" s="935"/>
      <c r="C153" s="365"/>
      <c r="D153" s="358"/>
      <c r="E153" s="360"/>
      <c r="F153" s="361"/>
      <c r="G153" s="362">
        <f>SUM(G138:G152)</f>
        <v>2750.9500000000753</v>
      </c>
      <c r="H153" s="363"/>
      <c r="I153" s="119">
        <f>G153-(G38+G52)</f>
        <v>464.55000000011023</v>
      </c>
      <c r="J153" s="366"/>
    </row>
    <row r="154" spans="1:10" ht="27.75">
      <c r="A154" s="938" t="s">
        <v>344</v>
      </c>
      <c r="B154" s="938"/>
      <c r="C154" s="938"/>
      <c r="D154" s="938"/>
      <c r="E154" s="938"/>
      <c r="F154" s="938"/>
      <c r="G154" s="938"/>
      <c r="H154" s="938"/>
      <c r="I154" s="938"/>
      <c r="J154" s="938"/>
    </row>
    <row r="155" spans="1:10" ht="27.75">
      <c r="A155" s="905" t="s">
        <v>345</v>
      </c>
      <c r="B155" s="905"/>
      <c r="C155" s="905"/>
      <c r="D155" s="117" t="s">
        <v>130</v>
      </c>
      <c r="E155" s="95">
        <f>'21'!F155</f>
        <v>124977.22</v>
      </c>
      <c r="F155" s="374">
        <v>125599.51</v>
      </c>
      <c r="G155" s="112">
        <f t="shared" ref="G155:G158" si="12">F155-E155</f>
        <v>622.2899999999936</v>
      </c>
      <c r="H155" s="99">
        <f>G155+'21'!H155</f>
        <v>13624.509999999995</v>
      </c>
      <c r="I155" s="364"/>
      <c r="J155" s="328">
        <f>H155/DAY(B2)</f>
        <v>619.29590909090882</v>
      </c>
    </row>
    <row r="156" spans="1:10" ht="25.5">
      <c r="A156" s="905" t="s">
        <v>347</v>
      </c>
      <c r="B156" s="905"/>
      <c r="C156" s="905"/>
      <c r="D156" s="117" t="s">
        <v>130</v>
      </c>
      <c r="E156" s="95">
        <f>'21'!F156</f>
        <v>11321.37</v>
      </c>
      <c r="F156" s="155">
        <v>11426.68</v>
      </c>
      <c r="G156" s="112">
        <f t="shared" si="12"/>
        <v>105.30999999999949</v>
      </c>
      <c r="H156" s="99">
        <f>G156+'21'!H156</f>
        <v>1741.6800000000003</v>
      </c>
      <c r="I156" s="165"/>
      <c r="J156" s="328">
        <f>H156/DAY(B2)</f>
        <v>79.167272727272746</v>
      </c>
    </row>
    <row r="157" spans="1:10" ht="25.5">
      <c r="A157" s="897" t="s">
        <v>360</v>
      </c>
      <c r="B157" s="898"/>
      <c r="C157" s="899"/>
      <c r="D157" s="117" t="s">
        <v>130</v>
      </c>
      <c r="E157" s="95">
        <f>'21'!F157</f>
        <v>21705.88</v>
      </c>
      <c r="F157" s="155">
        <v>21862.76</v>
      </c>
      <c r="G157" s="112">
        <f t="shared" si="12"/>
        <v>156.87999999999738</v>
      </c>
      <c r="H157" s="99">
        <f>G157+'21'!H157</f>
        <v>471.7599999999984</v>
      </c>
      <c r="I157" s="165"/>
      <c r="J157" s="328">
        <f>H157/DAY(B2)</f>
        <v>21.443636363636291</v>
      </c>
    </row>
    <row r="158" spans="1:10" ht="25.5">
      <c r="A158" s="897" t="s">
        <v>361</v>
      </c>
      <c r="B158" s="898"/>
      <c r="C158" s="899"/>
      <c r="D158" s="117" t="s">
        <v>130</v>
      </c>
      <c r="E158" s="95">
        <f>'21'!F158</f>
        <v>190.23</v>
      </c>
      <c r="F158" s="155">
        <v>191.81</v>
      </c>
      <c r="G158" s="112">
        <f t="shared" si="12"/>
        <v>1.5800000000000125</v>
      </c>
      <c r="H158" s="99">
        <f>G158+'21'!H158</f>
        <v>1.8100000000000023</v>
      </c>
      <c r="I158" s="165"/>
      <c r="J158" s="328">
        <f>H158/DAY(B2)</f>
        <v>8.2272727272727372E-2</v>
      </c>
    </row>
    <row r="159" spans="1:10" ht="25.5">
      <c r="A159" s="956"/>
      <c r="B159" s="957"/>
      <c r="C159" s="958"/>
      <c r="D159" s="117"/>
      <c r="E159" s="95"/>
      <c r="F159" s="165"/>
      <c r="G159" s="112"/>
      <c r="H159" s="99"/>
      <c r="I159" s="165"/>
      <c r="J159" s="328"/>
    </row>
    <row r="160" spans="1:10" ht="27.75">
      <c r="A160" s="938" t="s">
        <v>326</v>
      </c>
      <c r="B160" s="938"/>
      <c r="C160" s="938"/>
      <c r="D160" s="938"/>
      <c r="E160" s="938"/>
      <c r="F160" s="938"/>
      <c r="G160" s="938"/>
      <c r="H160" s="938"/>
      <c r="I160" s="938"/>
      <c r="J160" s="938"/>
    </row>
    <row r="161" spans="1:10" ht="26.25">
      <c r="A161" s="242" t="s">
        <v>92</v>
      </c>
      <c r="B161" s="243"/>
      <c r="C161" s="243"/>
      <c r="D161" s="244" t="s">
        <v>180</v>
      </c>
      <c r="E161" s="95">
        <f>'21'!F161</f>
        <v>477148.24</v>
      </c>
      <c r="F161" s="235">
        <v>477330</v>
      </c>
      <c r="G161" s="238">
        <f t="shared" ref="G161:G165" si="13">F161-E161</f>
        <v>181.76000000000931</v>
      </c>
      <c r="H161" s="99">
        <f>G161+'21'!H161</f>
        <v>664</v>
      </c>
      <c r="I161" s="236"/>
      <c r="J161" s="239">
        <f>H161/DAY(B2)</f>
        <v>30.181818181818183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'21'!F162</f>
        <v>93455.2</v>
      </c>
      <c r="F162" s="235">
        <v>93498.5</v>
      </c>
      <c r="G162" s="238">
        <f t="shared" si="13"/>
        <v>43.30000000000291</v>
      </c>
      <c r="H162" s="99">
        <f>G162+'21'!H162</f>
        <v>771.5</v>
      </c>
      <c r="I162" s="236"/>
      <c r="J162" s="239">
        <f>H162/DAY(B2)</f>
        <v>35.06818181818182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'21'!F163</f>
        <v>552.6</v>
      </c>
      <c r="F163" s="235">
        <v>702.8</v>
      </c>
      <c r="G163" s="238">
        <f t="shared" si="13"/>
        <v>150.19999999999993</v>
      </c>
      <c r="H163" s="99">
        <f>G163+'21'!H163</f>
        <v>3562.7999999999997</v>
      </c>
      <c r="I163" s="236"/>
      <c r="J163" s="239">
        <f>H163/DAY(B2)</f>
        <v>161.94545454545454</v>
      </c>
    </row>
    <row r="164" spans="1:10" ht="21.95" customHeight="1">
      <c r="A164" s="242" t="s">
        <v>197</v>
      </c>
      <c r="B164" s="243"/>
      <c r="C164" s="243"/>
      <c r="D164" s="244" t="s">
        <v>180</v>
      </c>
      <c r="E164" s="95">
        <f>'21'!F164</f>
        <v>5786.5</v>
      </c>
      <c r="F164" s="235">
        <v>5799.9</v>
      </c>
      <c r="G164" s="238">
        <f t="shared" si="13"/>
        <v>13.399999999999636</v>
      </c>
      <c r="H164" s="99">
        <f>G164+'21'!H164</f>
        <v>257.89999999999964</v>
      </c>
      <c r="I164" s="236"/>
      <c r="J164" s="239">
        <f>H164/DAY(B2)</f>
        <v>11.722727272727257</v>
      </c>
    </row>
    <row r="165" spans="1:10" ht="21.95" customHeight="1">
      <c r="A165" s="242" t="s">
        <v>309</v>
      </c>
      <c r="B165" s="243"/>
      <c r="C165" s="243"/>
      <c r="D165" s="244" t="s">
        <v>180</v>
      </c>
      <c r="E165" s="95">
        <f>'21'!F165</f>
        <v>31247.39</v>
      </c>
      <c r="F165" s="235">
        <v>31257.38</v>
      </c>
      <c r="G165" s="238">
        <f t="shared" si="13"/>
        <v>9.9900000000016007</v>
      </c>
      <c r="H165" s="99">
        <f>G165+'21'!H165</f>
        <v>243.38000000000102</v>
      </c>
      <c r="I165" s="236"/>
      <c r="J165" s="239">
        <f>H165/DAY(B2)</f>
        <v>11.062727272727319</v>
      </c>
    </row>
    <row r="166" spans="1:10" ht="21.95" customHeight="1">
      <c r="A166" s="937"/>
      <c r="B166" s="937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>
      <c r="A167" s="937"/>
      <c r="B167" s="937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>
      <c r="A168" s="937"/>
      <c r="B168" s="937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7" t="s">
        <v>330</v>
      </c>
      <c r="B171" s="948"/>
      <c r="C171" s="948"/>
      <c r="D171" s="948"/>
      <c r="E171" s="948"/>
      <c r="F171" s="948"/>
      <c r="G171" s="948"/>
      <c r="H171" s="948"/>
      <c r="I171" s="948"/>
      <c r="J171" s="949"/>
    </row>
    <row r="172" spans="1:10" ht="25.5">
      <c r="A172" s="943"/>
      <c r="B172" s="944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5" t="s">
        <v>209</v>
      </c>
      <c r="B173" s="896"/>
      <c r="C173" s="333"/>
      <c r="D173" s="228" t="s">
        <v>142</v>
      </c>
      <c r="E173" s="95">
        <f>'21'!F173</f>
        <v>8276</v>
      </c>
      <c r="F173" s="155">
        <v>8276</v>
      </c>
      <c r="G173" s="155">
        <f>F173-E173</f>
        <v>0</v>
      </c>
      <c r="H173" s="99">
        <f>G173+'21'!H173</f>
        <v>12</v>
      </c>
      <c r="I173" s="155"/>
      <c r="J173" s="178">
        <f>H173/DAY(B2)</f>
        <v>0.54545454545454541</v>
      </c>
    </row>
    <row r="174" spans="1:10" ht="25.5">
      <c r="A174" s="895" t="s">
        <v>75</v>
      </c>
      <c r="B174" s="896"/>
      <c r="C174" s="333"/>
      <c r="D174" s="228" t="s">
        <v>142</v>
      </c>
      <c r="E174" s="95">
        <f>'21'!F174</f>
        <v>40645</v>
      </c>
      <c r="F174" s="157">
        <v>40661</v>
      </c>
      <c r="G174" s="155">
        <f t="shared" ref="G174:G175" si="14">F174-E174</f>
        <v>16</v>
      </c>
      <c r="H174" s="99">
        <f>G174+'21'!H174</f>
        <v>329</v>
      </c>
      <c r="I174" s="155"/>
      <c r="J174" s="178">
        <f>H174/DAY(B2)</f>
        <v>14.954545454545455</v>
      </c>
    </row>
    <row r="175" spans="1:10" ht="25.5">
      <c r="A175" s="895" t="s">
        <v>76</v>
      </c>
      <c r="B175" s="900"/>
      <c r="C175" s="896"/>
      <c r="D175" s="228" t="s">
        <v>142</v>
      </c>
      <c r="E175" s="95">
        <f>'21'!F175</f>
        <v>23550</v>
      </c>
      <c r="F175" s="155">
        <v>23561</v>
      </c>
      <c r="G175" s="155">
        <f t="shared" si="14"/>
        <v>11</v>
      </c>
      <c r="H175" s="99">
        <f>G175+'21'!H175</f>
        <v>303</v>
      </c>
      <c r="I175" s="155"/>
      <c r="J175" s="178">
        <f>H175/DAY(B2)</f>
        <v>13.772727272727273</v>
      </c>
    </row>
    <row r="176" spans="1:10" ht="25.5">
      <c r="A176" s="934" t="s">
        <v>196</v>
      </c>
      <c r="B176" s="935"/>
      <c r="C176" s="401"/>
      <c r="D176" s="228" t="s">
        <v>142</v>
      </c>
      <c r="E176" s="95"/>
      <c r="F176" s="155"/>
      <c r="G176" s="155">
        <f>SUM(G173:G175)</f>
        <v>27</v>
      </c>
      <c r="H176" s="99">
        <f>G176+'21'!H176</f>
        <v>644</v>
      </c>
      <c r="I176" s="155"/>
      <c r="J176" s="178">
        <f>H176/DAY(B2)</f>
        <v>29.272727272727273</v>
      </c>
    </row>
    <row r="177" spans="1:10" ht="25.5">
      <c r="A177" s="895" t="s">
        <v>77</v>
      </c>
      <c r="B177" s="896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5.5">
      <c r="A178" s="895" t="s">
        <v>210</v>
      </c>
      <c r="B178" s="896"/>
      <c r="C178" s="333"/>
      <c r="D178" s="228" t="s">
        <v>142</v>
      </c>
      <c r="E178" s="95">
        <f>'21'!F178</f>
        <v>94059</v>
      </c>
      <c r="F178" s="155">
        <v>94174</v>
      </c>
      <c r="G178" s="155">
        <f>F178-E178</f>
        <v>115</v>
      </c>
      <c r="H178" s="99">
        <f>G178+'21'!H178</f>
        <v>2352</v>
      </c>
      <c r="I178" s="155"/>
      <c r="J178" s="178">
        <f>H178/DAY(B2)</f>
        <v>106.90909090909091</v>
      </c>
    </row>
    <row r="179" spans="1:10" ht="25.5">
      <c r="A179" s="895" t="s">
        <v>211</v>
      </c>
      <c r="B179" s="896"/>
      <c r="C179" s="333"/>
      <c r="D179" s="228" t="s">
        <v>142</v>
      </c>
      <c r="E179" s="95">
        <f>'21'!F179</f>
        <v>36002</v>
      </c>
      <c r="F179" s="155">
        <v>36002</v>
      </c>
      <c r="G179" s="155">
        <f t="shared" ref="G179:G180" si="15">F179-E179</f>
        <v>0</v>
      </c>
      <c r="H179" s="99">
        <f>G179+'21'!H179</f>
        <v>218</v>
      </c>
      <c r="I179" s="155"/>
      <c r="J179" s="178">
        <f>H179/DAY(B2)</f>
        <v>9.9090909090909083</v>
      </c>
    </row>
    <row r="180" spans="1:10" ht="25.5">
      <c r="A180" s="895" t="s">
        <v>212</v>
      </c>
      <c r="B180" s="896"/>
      <c r="C180" s="333"/>
      <c r="D180" s="228" t="s">
        <v>142</v>
      </c>
      <c r="E180" s="95">
        <f>'21'!F180</f>
        <v>6818</v>
      </c>
      <c r="F180" s="155">
        <v>6821</v>
      </c>
      <c r="G180" s="374">
        <f t="shared" si="15"/>
        <v>3</v>
      </c>
      <c r="H180" s="99">
        <f>G180+'21'!H180</f>
        <v>151</v>
      </c>
      <c r="I180" s="155"/>
      <c r="J180" s="178">
        <f>H180/DAY(B2)</f>
        <v>6.8636363636363633</v>
      </c>
    </row>
    <row r="181" spans="1:10" ht="27.75" customHeight="1">
      <c r="A181" s="941" t="s">
        <v>108</v>
      </c>
      <c r="B181" s="942"/>
      <c r="C181" s="401"/>
      <c r="D181" s="228" t="s">
        <v>142</v>
      </c>
      <c r="E181" s="95"/>
      <c r="F181" s="155"/>
      <c r="G181" s="155">
        <f>SUM(G178:G180)</f>
        <v>118</v>
      </c>
      <c r="H181" s="99">
        <f>G181+'21'!H181</f>
        <v>2721</v>
      </c>
      <c r="I181" s="155"/>
      <c r="J181" s="178">
        <f>H181/DAY(B2)</f>
        <v>123.68181818181819</v>
      </c>
    </row>
    <row r="182" spans="1:10" ht="25.5">
      <c r="A182" s="895" t="s">
        <v>213</v>
      </c>
      <c r="B182" s="896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5.5">
      <c r="A183" s="895" t="s">
        <v>214</v>
      </c>
      <c r="B183" s="896"/>
      <c r="C183" s="334"/>
      <c r="D183" s="228" t="s">
        <v>142</v>
      </c>
      <c r="E183" s="95">
        <f>'21'!F183</f>
        <v>17219</v>
      </c>
      <c r="F183" s="157">
        <v>17225</v>
      </c>
      <c r="G183" s="157">
        <f>F183-E183</f>
        <v>6</v>
      </c>
      <c r="H183" s="99">
        <f>G183+'21'!H183</f>
        <v>270</v>
      </c>
      <c r="I183" s="155"/>
      <c r="J183" s="178">
        <f>H183/DAY(B2)</f>
        <v>12.272727272727273</v>
      </c>
    </row>
    <row r="184" spans="1:10" ht="25.5">
      <c r="A184" s="895" t="s">
        <v>215</v>
      </c>
      <c r="B184" s="896"/>
      <c r="C184" s="334"/>
      <c r="D184" s="228" t="s">
        <v>142</v>
      </c>
      <c r="E184" s="95">
        <f>'21'!F184</f>
        <v>11635</v>
      </c>
      <c r="F184" s="157">
        <v>11639</v>
      </c>
      <c r="G184" s="157">
        <f t="shared" ref="G184:G185" si="16">F184-E184</f>
        <v>4</v>
      </c>
      <c r="H184" s="99">
        <f>G184+'21'!H184</f>
        <v>153</v>
      </c>
      <c r="I184" s="155"/>
      <c r="J184" s="178">
        <f>H184/DAY(B2)</f>
        <v>6.9545454545454541</v>
      </c>
    </row>
    <row r="185" spans="1:10" ht="25.5">
      <c r="A185" s="895" t="s">
        <v>216</v>
      </c>
      <c r="B185" s="896"/>
      <c r="C185" s="334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5.5">
      <c r="A186" s="934" t="s">
        <v>196</v>
      </c>
      <c r="B186" s="935"/>
      <c r="C186" s="400"/>
      <c r="D186" s="228" t="s">
        <v>142</v>
      </c>
      <c r="E186" s="95"/>
      <c r="F186" s="157"/>
      <c r="G186" s="157">
        <f>SUM(G183:G185)</f>
        <v>10</v>
      </c>
      <c r="H186" s="99">
        <f>G186+'21'!H186</f>
        <v>423</v>
      </c>
      <c r="I186" s="157"/>
      <c r="J186" s="178">
        <f>H186/DAY(B2)</f>
        <v>19.227272727272727</v>
      </c>
    </row>
    <row r="187" spans="1:10" ht="25.5">
      <c r="A187" s="945" t="s">
        <v>217</v>
      </c>
      <c r="B187" s="946"/>
      <c r="C187" s="333"/>
      <c r="D187" s="230" t="s">
        <v>142</v>
      </c>
      <c r="E187" s="95"/>
      <c r="F187" s="159"/>
      <c r="G187" s="378">
        <f>G62+G19</f>
        <v>148</v>
      </c>
      <c r="H187" s="99">
        <f>G187+'21'!H187</f>
        <v>4170</v>
      </c>
      <c r="I187" s="158"/>
      <c r="J187" s="179">
        <f>H187/DAY(B2)</f>
        <v>189.54545454545453</v>
      </c>
    </row>
    <row r="188" spans="1:10" ht="25.5">
      <c r="A188" s="945" t="s">
        <v>218</v>
      </c>
      <c r="B188" s="946"/>
      <c r="C188" s="333"/>
      <c r="D188" s="230" t="s">
        <v>142</v>
      </c>
      <c r="E188" s="95"/>
      <c r="F188" s="159"/>
      <c r="G188" s="378">
        <f>G65+G66+G67+G69+G70</f>
        <v>130</v>
      </c>
      <c r="H188" s="99">
        <f>G188+'21'!H188</f>
        <v>1188</v>
      </c>
      <c r="I188" s="158"/>
      <c r="J188" s="179">
        <f>H188/DAY(B2)</f>
        <v>54</v>
      </c>
    </row>
    <row r="189" spans="1:10" ht="25.5">
      <c r="A189" s="945" t="s">
        <v>219</v>
      </c>
      <c r="B189" s="946"/>
      <c r="C189" s="333"/>
      <c r="D189" s="230" t="s">
        <v>142</v>
      </c>
      <c r="E189" s="95"/>
      <c r="F189" s="157"/>
      <c r="G189" s="377">
        <f>G181</f>
        <v>118</v>
      </c>
      <c r="H189" s="99">
        <f>G189+'21'!H189</f>
        <v>459</v>
      </c>
      <c r="I189" s="158"/>
      <c r="J189" s="179">
        <f>H189/DAY(B2)</f>
        <v>20.863636363636363</v>
      </c>
    </row>
    <row r="190" spans="1:10" ht="25.5">
      <c r="A190" s="939"/>
      <c r="B190" s="940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</sheetData>
  <mergeCells count="115"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topLeftCell="A130" zoomScale="50" zoomScaleNormal="80" zoomScaleSheetLayoutView="50" workbookViewId="0">
      <selection activeCell="F185" sqref="F185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876" t="s">
        <v>115</v>
      </c>
      <c r="B1" s="877"/>
      <c r="C1" s="877"/>
      <c r="D1" s="877"/>
      <c r="E1" s="877"/>
      <c r="F1" s="877"/>
      <c r="G1" s="877"/>
      <c r="H1" s="877"/>
      <c r="I1" s="877"/>
      <c r="J1" s="878"/>
    </row>
    <row r="2" spans="1:15" s="57" customFormat="1" ht="30.75" customHeight="1">
      <c r="A2" s="191" t="s">
        <v>354</v>
      </c>
      <c r="B2" s="262">
        <v>44735</v>
      </c>
      <c r="C2" s="348" t="s">
        <v>67</v>
      </c>
      <c r="D2" s="218">
        <v>0.99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29</v>
      </c>
      <c r="E3" s="885" t="s">
        <v>119</v>
      </c>
      <c r="F3" s="886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879" t="s">
        <v>128</v>
      </c>
      <c r="B6" s="880"/>
      <c r="C6" s="88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'22'!F7</f>
        <v>307561.69</v>
      </c>
      <c r="F7" s="95">
        <v>334572.23</v>
      </c>
      <c r="G7" s="112">
        <f>F7-E7</f>
        <v>27010.539999999979</v>
      </c>
      <c r="H7" s="99">
        <f>G7+'22'!H7</f>
        <v>641745.23</v>
      </c>
      <c r="I7" s="113">
        <f>'1'!I7</f>
        <v>12000</v>
      </c>
      <c r="J7" s="175">
        <f>H7/DAY(B2)</f>
        <v>27901.96652173913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'22'!F8</f>
        <v>442777.11</v>
      </c>
      <c r="F8" s="114">
        <v>470254.75</v>
      </c>
      <c r="G8" s="115">
        <f>F8-E8</f>
        <v>27477.640000000014</v>
      </c>
      <c r="H8" s="99">
        <f>G8+'22'!H8</f>
        <v>661595.85000000009</v>
      </c>
      <c r="I8" s="116"/>
      <c r="J8" s="175">
        <f>H8/DAY(B2)</f>
        <v>28765.036956521744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'22'!F9</f>
        <v>2811127.9</v>
      </c>
      <c r="F9" s="469">
        <v>2823549.1</v>
      </c>
      <c r="G9" s="112">
        <f>F9-E9</f>
        <v>12421.200000000186</v>
      </c>
      <c r="H9" s="99">
        <f>G9+'22'!H9</f>
        <v>373440.39999999991</v>
      </c>
      <c r="I9" s="124">
        <f>I7-J7</f>
        <v>-15901.96652173913</v>
      </c>
      <c r="J9" s="175">
        <f>H9/DAY(B2)</f>
        <v>16236.539130434778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'22'!F10</f>
        <v>1132277.1000000001</v>
      </c>
      <c r="F10" s="353">
        <v>1146187.2</v>
      </c>
      <c r="G10" s="112">
        <f t="shared" ref="G10:G11" si="0">F10-E10</f>
        <v>13910.09999999986</v>
      </c>
      <c r="H10" s="99">
        <f>G10+'22'!H10</f>
        <v>235784</v>
      </c>
      <c r="I10" s="282"/>
      <c r="J10" s="175">
        <f>H10/DAY(B2)</f>
        <v>10251.478260869566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'22'!F11</f>
        <v>37560</v>
      </c>
      <c r="F11" s="95">
        <v>37560</v>
      </c>
      <c r="G11" s="112">
        <f t="shared" si="0"/>
        <v>0</v>
      </c>
      <c r="H11" s="99">
        <f>G11+'22'!H11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'22'!F12</f>
        <v>40380</v>
      </c>
      <c r="F12" s="117">
        <v>40380</v>
      </c>
      <c r="G12" s="112"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26331.300000000047</v>
      </c>
      <c r="H13" s="99">
        <f>G13+'22'!H13</f>
        <v>609085.39999999991</v>
      </c>
      <c r="I13" s="120">
        <f>G7-G13</f>
        <v>679.23999999993248</v>
      </c>
      <c r="J13" s="175">
        <f>H13/DAY(B2)</f>
        <v>26481.973913043475</v>
      </c>
      <c r="K13" s="79"/>
      <c r="L13" s="66"/>
      <c r="N13" s="87"/>
      <c r="O13" s="71"/>
    </row>
    <row r="14" spans="1:15" ht="30.75" customHeight="1">
      <c r="A14" s="882" t="s">
        <v>137</v>
      </c>
      <c r="B14" s="883"/>
      <c r="C14" s="88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'22'!F15</f>
        <v>2060241.03</v>
      </c>
      <c r="F15" s="469">
        <v>2061215.5</v>
      </c>
      <c r="G15" s="112">
        <f>(F15-E15)</f>
        <v>974.46999999997206</v>
      </c>
      <c r="H15" s="99">
        <f>G15+'22'!H15</f>
        <v>24098.5</v>
      </c>
      <c r="I15" s="113">
        <f>'1'!I15</f>
        <v>800</v>
      </c>
      <c r="J15" s="175">
        <f>H15/DAY(B2)</f>
        <v>1047.7608695652175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-247.76086956521749</v>
      </c>
      <c r="J16" s="176"/>
      <c r="K16" s="79"/>
      <c r="L16" s="66"/>
      <c r="N16" s="87"/>
      <c r="O16" s="71"/>
    </row>
    <row r="17" spans="1:15" ht="30.75" customHeight="1">
      <c r="A17" s="882" t="s">
        <v>140</v>
      </c>
      <c r="B17" s="883"/>
      <c r="C17" s="88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73" t="s">
        <v>141</v>
      </c>
      <c r="B18" s="874"/>
      <c r="C18" s="875"/>
      <c r="D18" s="151" t="s">
        <v>142</v>
      </c>
      <c r="E18" s="95">
        <f>'22'!F18</f>
        <v>19</v>
      </c>
      <c r="F18" s="122">
        <v>13</v>
      </c>
      <c r="G18" s="119">
        <f>F18*10</f>
        <v>130</v>
      </c>
      <c r="H18" s="99">
        <f>G18+'22'!H18</f>
        <v>4960</v>
      </c>
      <c r="I18" s="113">
        <f>'1'!I18</f>
        <v>65</v>
      </c>
      <c r="J18" s="175">
        <f>H18/DAY(B2)</f>
        <v>215.65217391304347</v>
      </c>
      <c r="K18" s="79"/>
      <c r="L18" s="66"/>
      <c r="N18" s="87"/>
      <c r="O18" s="71"/>
    </row>
    <row r="19" spans="1:15" ht="30.75" customHeight="1">
      <c r="A19" s="873" t="s">
        <v>69</v>
      </c>
      <c r="B19" s="874"/>
      <c r="C19" s="875"/>
      <c r="D19" s="151" t="s">
        <v>142</v>
      </c>
      <c r="E19" s="95">
        <f>'22'!F19</f>
        <v>161251</v>
      </c>
      <c r="F19" s="122">
        <v>161303</v>
      </c>
      <c r="G19" s="112">
        <f t="shared" ref="G19" si="1">F19-E19</f>
        <v>52</v>
      </c>
      <c r="H19" s="99">
        <f>G19+'22'!H19</f>
        <v>1193</v>
      </c>
      <c r="I19" s="335"/>
      <c r="J19" s="175">
        <f>H19/DAY(B2)</f>
        <v>51.869565217391305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182</v>
      </c>
      <c r="H20" s="99">
        <f>G20+'22'!H20</f>
        <v>6153</v>
      </c>
      <c r="I20" s="336">
        <f>I18-J20</f>
        <v>-202.52173913043481</v>
      </c>
      <c r="J20" s="175">
        <f>H20/DAY(B2)</f>
        <v>267.52173913043481</v>
      </c>
      <c r="K20" s="79"/>
      <c r="L20" s="66"/>
      <c r="N20" s="87"/>
      <c r="O20" s="71"/>
    </row>
    <row r="21" spans="1:15" ht="30.75" customHeight="1">
      <c r="A21" s="882" t="s">
        <v>144</v>
      </c>
      <c r="B21" s="883"/>
      <c r="C21" s="88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'22'!F23</f>
        <v>1500</v>
      </c>
      <c r="F23" s="122">
        <v>1500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'22'!F24</f>
        <v>4470</v>
      </c>
      <c r="F24" s="128">
        <v>4470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87" t="s">
        <v>149</v>
      </c>
      <c r="B25" s="888"/>
      <c r="C25" s="88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27477.640000000014</v>
      </c>
      <c r="F27" s="136">
        <v>9</v>
      </c>
      <c r="G27" s="137">
        <f>E27*F27</f>
        <v>247298.76000000013</v>
      </c>
      <c r="H27" s="99">
        <f>G27+'22'!H27</f>
        <v>5954362.6500000004</v>
      </c>
      <c r="I27" s="138"/>
      <c r="J27" s="175">
        <f>H27/DAY(B2)</f>
        <v>258885.33260869567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974.46999999997206</v>
      </c>
      <c r="F28" s="136">
        <v>70</v>
      </c>
      <c r="G28" s="137">
        <f>E28*F28</f>
        <v>68212.899999998044</v>
      </c>
      <c r="H28" s="99">
        <f>G28+'22'!H28</f>
        <v>1632337</v>
      </c>
      <c r="I28" s="140"/>
      <c r="J28" s="175">
        <f>H28/DAY(B2)</f>
        <v>70971.173913043473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G30+'22'!H30</f>
        <v>179393</v>
      </c>
      <c r="I30" s="140"/>
      <c r="J30" s="175">
        <f>H30/DAY(B2)</f>
        <v>7799.695652173913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130</v>
      </c>
      <c r="F31" s="136">
        <v>80</v>
      </c>
      <c r="G31" s="137">
        <f>E31*F31</f>
        <v>10400</v>
      </c>
      <c r="H31" s="99">
        <f>G31+'22'!H31</f>
        <v>396800</v>
      </c>
      <c r="I31" s="140"/>
      <c r="J31" s="175">
        <f>H31/DAY(B2)</f>
        <v>17252.17391304348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333763.65999999817</v>
      </c>
      <c r="H32" s="99">
        <f>G32+'22'!H32</f>
        <v>8162892.6500000004</v>
      </c>
      <c r="I32" s="144"/>
      <c r="J32" s="175">
        <f>H32/DAY(B2)</f>
        <v>354908.37608695653</v>
      </c>
      <c r="K32" s="63"/>
      <c r="L32" s="89"/>
      <c r="N32" s="87"/>
      <c r="O32" s="71"/>
    </row>
    <row r="33" spans="1:15" ht="30.75" customHeight="1">
      <c r="A33" s="890" t="s">
        <v>331</v>
      </c>
      <c r="B33" s="891"/>
      <c r="C33" s="89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'22'!F35</f>
        <v>238714</v>
      </c>
      <c r="F35" s="145">
        <v>238714</v>
      </c>
      <c r="G35" s="112">
        <f t="shared" ref="G35:G46" si="3">F35-E35</f>
        <v>0</v>
      </c>
      <c r="H35" s="99">
        <f>G35+'22'!H35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'22'!F36</f>
        <v>180147.25</v>
      </c>
      <c r="F36" s="145">
        <v>180922.33</v>
      </c>
      <c r="G36" s="112">
        <f t="shared" si="3"/>
        <v>775.07999999998719</v>
      </c>
      <c r="H36" s="99">
        <f>G36+'22'!H36</f>
        <v>20474.329999999987</v>
      </c>
      <c r="I36" s="95"/>
      <c r="J36" s="175">
        <f>H36/DAY(B2)</f>
        <v>890.18826086956471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'22'!F37</f>
        <v>273789.78999999998</v>
      </c>
      <c r="F37" s="145">
        <v>275426.90000000002</v>
      </c>
      <c r="G37" s="112">
        <f t="shared" si="3"/>
        <v>1637.1100000000442</v>
      </c>
      <c r="H37" s="99">
        <f>G37+'22'!H37</f>
        <v>39647.900000000023</v>
      </c>
      <c r="I37" s="95"/>
      <c r="J37" s="175">
        <f>H37/DAY(B2)</f>
        <v>1723.8217391304358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'22'!F38</f>
        <v>369225.55</v>
      </c>
      <c r="F38" s="108">
        <v>371505.39</v>
      </c>
      <c r="G38" s="112">
        <f t="shared" si="3"/>
        <v>2279.8400000000256</v>
      </c>
      <c r="H38" s="99">
        <f>G38+'22'!H38</f>
        <v>53213.390000000014</v>
      </c>
      <c r="I38" s="95"/>
      <c r="J38" s="175">
        <f>H38/DAY(B2)</f>
        <v>2313.6256521739137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'22'!F39</f>
        <v>499638.15</v>
      </c>
      <c r="F39" s="145">
        <v>502666.27</v>
      </c>
      <c r="G39" s="112">
        <f t="shared" si="3"/>
        <v>3028.1199999999953</v>
      </c>
      <c r="H39" s="99">
        <f>G39+'22'!H39</f>
        <v>67336.360000000044</v>
      </c>
      <c r="I39" s="95"/>
      <c r="J39" s="175">
        <f>H39/DAY(B2)</f>
        <v>2927.6678260869585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'22'!F40</f>
        <v>80690.009999999995</v>
      </c>
      <c r="F40" s="145">
        <v>81009.039999999994</v>
      </c>
      <c r="G40" s="112">
        <f t="shared" si="3"/>
        <v>319.02999999999884</v>
      </c>
      <c r="H40" s="99">
        <f>G40+'22'!H40</f>
        <v>7456.0399999999936</v>
      </c>
      <c r="I40" s="95"/>
      <c r="J40" s="175">
        <f>H40/DAY(B2)</f>
        <v>324.17565217391274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'22'!F41</f>
        <v>142727.24</v>
      </c>
      <c r="F41" s="145">
        <v>142818.41</v>
      </c>
      <c r="G41" s="112">
        <f t="shared" si="3"/>
        <v>91.170000000012806</v>
      </c>
      <c r="H41" s="99">
        <f>G41+'22'!H41</f>
        <v>73983.41</v>
      </c>
      <c r="I41" s="95"/>
      <c r="J41" s="175">
        <f>H41/DAY(B2)</f>
        <v>3216.67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'22'!F42</f>
        <v>653540.03</v>
      </c>
      <c r="F42" s="145">
        <v>656780.75</v>
      </c>
      <c r="G42" s="112">
        <f t="shared" si="3"/>
        <v>3240.7199999999721</v>
      </c>
      <c r="H42" s="99">
        <f>G42+'22'!H42</f>
        <v>93908.75</v>
      </c>
      <c r="I42" s="95"/>
      <c r="J42" s="175">
        <f>H42/DAY(B2)</f>
        <v>4082.9891304347825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'22'!F43</f>
        <v>407028.03</v>
      </c>
      <c r="F43" s="145">
        <v>407028.03</v>
      </c>
      <c r="G43" s="112">
        <f t="shared" si="3"/>
        <v>0</v>
      </c>
      <c r="H43" s="99">
        <f>G43+'22'!H43</f>
        <v>3.0000000027939677E-2</v>
      </c>
      <c r="I43" s="95"/>
      <c r="J43" s="175">
        <f>H43/DAY(B2)</f>
        <v>1.3043478273017251E-3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11371.070000000036</v>
      </c>
      <c r="H47" s="99">
        <f>G47+'22'!H47</f>
        <v>356020.21000000008</v>
      </c>
      <c r="I47" s="95"/>
      <c r="J47" s="175">
        <f>H47/DAY(B2)</f>
        <v>15479.139565217394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'22'!F49</f>
        <v>339027.51</v>
      </c>
      <c r="F49" s="145">
        <v>342702.67</v>
      </c>
      <c r="G49" s="112">
        <f t="shared" ref="G49:G58" si="4">F49-E49</f>
        <v>3675.1599999999744</v>
      </c>
      <c r="H49" s="99">
        <f>G49+'22'!H49</f>
        <v>82555.669999999984</v>
      </c>
      <c r="I49" s="95"/>
      <c r="J49" s="175">
        <f>H49/DAY(B2)</f>
        <v>3589.3769565217385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'22'!F50</f>
        <v>234360.91</v>
      </c>
      <c r="F50" s="145">
        <v>235549.19</v>
      </c>
      <c r="G50" s="112">
        <f t="shared" si="4"/>
        <v>1188.2799999999988</v>
      </c>
      <c r="H50" s="99">
        <f>G50+'22'!H50</f>
        <v>25985.190000000002</v>
      </c>
      <c r="I50" s="95"/>
      <c r="J50" s="175">
        <f>H50/DAY(B2)</f>
        <v>1129.7908695652175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'22'!F51</f>
        <v>76</v>
      </c>
      <c r="F51" s="145">
        <v>76</v>
      </c>
      <c r="G51" s="112">
        <f t="shared" si="4"/>
        <v>0</v>
      </c>
      <c r="H51" s="99">
        <f>G51+'22'!H51</f>
        <v>0.31999999999999318</v>
      </c>
      <c r="I51" s="95"/>
      <c r="J51" s="175">
        <f>H51/DAY(B2)</f>
        <v>1.3913043478260573E-2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'22'!F52</f>
        <v>10</v>
      </c>
      <c r="F52" s="145">
        <v>10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'22'!F54</f>
        <v>74204.649999999994</v>
      </c>
      <c r="F54" s="145">
        <v>74554.87</v>
      </c>
      <c r="G54" s="112">
        <f t="shared" si="4"/>
        <v>350.22000000000116</v>
      </c>
      <c r="H54" s="99">
        <f>G54+'22'!H54</f>
        <v>9998.8699999999953</v>
      </c>
      <c r="I54" s="95"/>
      <c r="J54" s="175">
        <f>H54/DAY(B2)</f>
        <v>434.73347826086939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'22'!F55</f>
        <v>256950.75</v>
      </c>
      <c r="F55" s="145">
        <v>260896.35</v>
      </c>
      <c r="G55" s="112">
        <f t="shared" si="4"/>
        <v>3945.6000000000058</v>
      </c>
      <c r="H55" s="99">
        <f>G55+'22'!H55</f>
        <v>35423.350000000006</v>
      </c>
      <c r="I55" s="95"/>
      <c r="J55" s="175">
        <f>H55/DAY(B2)</f>
        <v>1540.1456521739133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'22'!F56</f>
        <v>111241.95</v>
      </c>
      <c r="F56" s="145">
        <v>111243.13</v>
      </c>
      <c r="G56" s="112">
        <f t="shared" si="4"/>
        <v>1.180000000007567</v>
      </c>
      <c r="H56" s="99">
        <f>G56+'22'!H56</f>
        <v>3997.1300000000047</v>
      </c>
      <c r="I56" s="95"/>
      <c r="J56" s="175">
        <f>H56/DAY(B2)</f>
        <v>173.78826086956542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'22'!F57</f>
        <v>106769.26</v>
      </c>
      <c r="F57" s="145">
        <v>109785.89</v>
      </c>
      <c r="G57" s="112">
        <f t="shared" si="4"/>
        <v>3016.6300000000047</v>
      </c>
      <c r="H57" s="99">
        <f>G57+'22'!H57</f>
        <v>72182.89</v>
      </c>
      <c r="I57" s="95"/>
      <c r="J57" s="175">
        <f>H57/DAY(B2)</f>
        <v>3138.3865217391303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'22'!F58</f>
        <v>38013.53</v>
      </c>
      <c r="F58" s="145">
        <v>38309.42</v>
      </c>
      <c r="G58" s="112">
        <f t="shared" si="4"/>
        <v>295.88999999999942</v>
      </c>
      <c r="H58" s="99">
        <f>G58+'22'!H58</f>
        <v>5420.4199999999983</v>
      </c>
      <c r="I58" s="95"/>
      <c r="J58" s="175">
        <f>H58/DAY(B2)</f>
        <v>235.67043478260862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12472.959999999992</v>
      </c>
      <c r="H59" s="99">
        <f>G59+'22'!H59</f>
        <v>235563.84</v>
      </c>
      <c r="I59" s="95">
        <f>G7-G60</f>
        <v>3166.5099999999511</v>
      </c>
      <c r="J59" s="175">
        <f>H59/DAY(B2)</f>
        <v>10241.906086956522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23844.030000000028</v>
      </c>
      <c r="H60" s="99">
        <f>G60+'22'!H60</f>
        <v>591584.05000000005</v>
      </c>
      <c r="I60" s="95">
        <f>G13-G60</f>
        <v>2487.2700000000186</v>
      </c>
      <c r="J60" s="175">
        <f>H60/DAY(B2)</f>
        <v>25721.045652173914</v>
      </c>
      <c r="K60" s="79"/>
      <c r="L60" s="66"/>
      <c r="N60" s="87"/>
      <c r="O60" s="71"/>
    </row>
    <row r="61" spans="1:15" s="68" customFormat="1" ht="30.75" customHeight="1">
      <c r="A61" s="892" t="s">
        <v>332</v>
      </c>
      <c r="B61" s="893"/>
      <c r="C61" s="89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873" t="s">
        <v>198</v>
      </c>
      <c r="B62" s="874"/>
      <c r="C62" s="875"/>
      <c r="D62" s="151" t="s">
        <v>142</v>
      </c>
      <c r="E62" s="95">
        <f>'22'!F62</f>
        <v>291929</v>
      </c>
      <c r="F62" s="122">
        <v>292038</v>
      </c>
      <c r="G62" s="112">
        <f t="shared" ref="G62:G63" si="5">F62-E62</f>
        <v>109</v>
      </c>
      <c r="H62" s="99">
        <f>G62+'22'!H62</f>
        <v>3138</v>
      </c>
      <c r="I62" s="118"/>
      <c r="J62" s="175">
        <f>H62/DAY(B2)</f>
        <v>136.43478260869566</v>
      </c>
      <c r="K62" s="80"/>
      <c r="L62" s="66"/>
      <c r="N62" s="87"/>
      <c r="O62" s="71"/>
    </row>
    <row r="63" spans="1:15" ht="30.75" customHeight="1">
      <c r="A63" s="873" t="s">
        <v>199</v>
      </c>
      <c r="B63" s="874"/>
      <c r="C63" s="875"/>
      <c r="D63" s="151" t="s">
        <v>142</v>
      </c>
      <c r="E63" s="95">
        <f>'22'!F63</f>
        <v>234087</v>
      </c>
      <c r="F63" s="122">
        <v>234223</v>
      </c>
      <c r="G63" s="112">
        <f t="shared" si="5"/>
        <v>136</v>
      </c>
      <c r="H63" s="99">
        <f>G63+'22'!H63</f>
        <v>3061</v>
      </c>
      <c r="I63" s="118"/>
      <c r="J63" s="175">
        <f>H63/DAY(B2)</f>
        <v>133.08695652173913</v>
      </c>
      <c r="K63" s="69"/>
      <c r="L63" s="66"/>
      <c r="N63" s="87"/>
      <c r="O63" s="71"/>
    </row>
    <row r="64" spans="1:15" ht="30.75" customHeight="1">
      <c r="A64" s="870" t="s">
        <v>200</v>
      </c>
      <c r="B64" s="871"/>
      <c r="C64" s="872"/>
      <c r="D64" s="151"/>
      <c r="E64" s="95">
        <f>'22'!F64</f>
        <v>0</v>
      </c>
      <c r="F64" s="122"/>
      <c r="G64" s="112">
        <f>G62+G63</f>
        <v>245</v>
      </c>
      <c r="H64" s="99">
        <f>G64+'22'!H64</f>
        <v>6199</v>
      </c>
      <c r="I64" s="118"/>
      <c r="J64" s="175">
        <f>H64/DAY(B2)</f>
        <v>269.52173913043481</v>
      </c>
      <c r="K64" s="69"/>
      <c r="L64" s="66"/>
      <c r="N64" s="87"/>
      <c r="O64" s="71"/>
    </row>
    <row r="65" spans="1:15" ht="30.75" customHeight="1">
      <c r="A65" s="873" t="s">
        <v>201</v>
      </c>
      <c r="B65" s="874"/>
      <c r="C65" s="875"/>
      <c r="D65" s="151" t="s">
        <v>142</v>
      </c>
      <c r="E65" s="95">
        <f>'22'!F65</f>
        <v>450601</v>
      </c>
      <c r="F65" s="122">
        <v>450720</v>
      </c>
      <c r="G65" s="112">
        <f t="shared" ref="G65:G70" si="6">F65-E65</f>
        <v>119</v>
      </c>
      <c r="H65" s="99">
        <f>G65+'22'!H65</f>
        <v>2693</v>
      </c>
      <c r="I65" s="118"/>
      <c r="J65" s="175">
        <f>H65/DAY(B2)</f>
        <v>117.08695652173913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'22'!F66</f>
        <v>110879</v>
      </c>
      <c r="F66" s="122">
        <v>110899</v>
      </c>
      <c r="G66" s="112">
        <f t="shared" si="6"/>
        <v>20</v>
      </c>
      <c r="H66" s="99">
        <f>G66+'22'!H66</f>
        <v>568</v>
      </c>
      <c r="I66" s="118"/>
      <c r="J66" s="175">
        <f>H66/DAY(B2)</f>
        <v>24.695652173913043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'22'!F67</f>
        <v>113681</v>
      </c>
      <c r="F67" s="150">
        <v>113681</v>
      </c>
      <c r="G67" s="112">
        <f t="shared" si="6"/>
        <v>0</v>
      </c>
      <c r="H67" s="99">
        <f>G67+'22'!H67</f>
        <v>403</v>
      </c>
      <c r="I67" s="118"/>
      <c r="J67" s="175">
        <f>H67/DAY(B2)</f>
        <v>17.521739130434781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'22'!F68</f>
        <v>163247</v>
      </c>
      <c r="F68" s="122">
        <v>163279</v>
      </c>
      <c r="G68" s="112">
        <f t="shared" si="6"/>
        <v>32</v>
      </c>
      <c r="H68" s="99">
        <f>G68+'22'!H68</f>
        <v>785</v>
      </c>
      <c r="I68" s="118"/>
      <c r="J68" s="175">
        <f>H68/DAY(B2)</f>
        <v>34.130434782608695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'22'!F69</f>
        <v>12090</v>
      </c>
      <c r="F69" s="122">
        <v>12095</v>
      </c>
      <c r="G69" s="112">
        <f t="shared" si="6"/>
        <v>5</v>
      </c>
      <c r="H69" s="99">
        <f>G69+'22'!H69</f>
        <v>226</v>
      </c>
      <c r="I69" s="118"/>
      <c r="J69" s="175">
        <f>H69/DAY(B2)</f>
        <v>9.8260869565217384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'22'!F70</f>
        <v>9454</v>
      </c>
      <c r="F70" s="150">
        <v>9464</v>
      </c>
      <c r="G70" s="112">
        <f t="shared" si="6"/>
        <v>10</v>
      </c>
      <c r="H70" s="99">
        <f>G70+'22'!H70</f>
        <v>197</v>
      </c>
      <c r="I70" s="118"/>
      <c r="J70" s="175">
        <f>H70/DAY(B2)</f>
        <v>8.5652173913043477</v>
      </c>
      <c r="K70" s="69"/>
      <c r="L70" s="66"/>
      <c r="N70" s="87"/>
      <c r="O70" s="71"/>
    </row>
    <row r="71" spans="1:15" ht="30.75" customHeight="1">
      <c r="A71" s="870" t="s">
        <v>208</v>
      </c>
      <c r="B71" s="871"/>
      <c r="C71" s="872"/>
      <c r="D71" s="152"/>
      <c r="E71" s="152"/>
      <c r="F71" s="152"/>
      <c r="G71" s="153">
        <f>SUM(G65:G70)</f>
        <v>186</v>
      </c>
      <c r="H71" s="99">
        <f>G71+'22'!H71</f>
        <v>4872</v>
      </c>
      <c r="I71" s="154"/>
      <c r="J71" s="175">
        <f>H71/DAY(B2)</f>
        <v>211.82608695652175</v>
      </c>
      <c r="K71" s="69"/>
      <c r="L71" s="66"/>
      <c r="N71" s="87"/>
      <c r="O71" s="71"/>
    </row>
    <row r="72" spans="1:15" s="88" customFormat="1" ht="30.75" customHeight="1">
      <c r="A72" s="916"/>
      <c r="B72" s="90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73" t="s">
        <v>220</v>
      </c>
      <c r="B74" s="874"/>
      <c r="C74" s="875"/>
      <c r="D74" s="151" t="s">
        <v>139</v>
      </c>
      <c r="E74" s="95">
        <f>'22'!F74</f>
        <v>945423.5</v>
      </c>
      <c r="F74" s="117">
        <v>945711.89</v>
      </c>
      <c r="G74" s="112">
        <f t="shared" ref="G74:G78" si="7">F74-E74</f>
        <v>288.39000000001397</v>
      </c>
      <c r="H74" s="99">
        <f>G74+'22'!H74</f>
        <v>7041.890000000014</v>
      </c>
      <c r="I74" s="154"/>
      <c r="J74" s="175">
        <f>H74/DAY(B2)</f>
        <v>306.1691304347832</v>
      </c>
      <c r="K74" s="69"/>
      <c r="L74" s="66"/>
      <c r="N74" s="87"/>
      <c r="O74" s="71"/>
    </row>
    <row r="75" spans="1:15" ht="30.75" customHeight="1">
      <c r="A75" s="873" t="s">
        <v>221</v>
      </c>
      <c r="B75" s="874"/>
      <c r="C75" s="875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917" t="s">
        <v>222</v>
      </c>
      <c r="B76" s="903"/>
      <c r="C76" s="904"/>
      <c r="D76" s="151" t="s">
        <v>139</v>
      </c>
      <c r="E76" s="95">
        <f>'22'!F76</f>
        <v>186139.5</v>
      </c>
      <c r="F76" s="123">
        <v>186235.77</v>
      </c>
      <c r="G76" s="112">
        <f t="shared" si="7"/>
        <v>96.269999999989523</v>
      </c>
      <c r="H76" s="99">
        <f>G76+'22'!H76</f>
        <v>2529.7699999999895</v>
      </c>
      <c r="I76" s="154"/>
      <c r="J76" s="175">
        <f>H76/DAY(B2)</f>
        <v>109.98999999999954</v>
      </c>
      <c r="K76" s="69"/>
      <c r="L76" s="66"/>
      <c r="N76" s="87"/>
      <c r="O76" s="71"/>
    </row>
    <row r="77" spans="1:15" ht="30.75" customHeight="1">
      <c r="A77" s="917" t="s">
        <v>223</v>
      </c>
      <c r="B77" s="903"/>
      <c r="C77" s="904"/>
      <c r="D77" s="151" t="s">
        <v>139</v>
      </c>
      <c r="E77" s="95">
        <f>'22'!F77</f>
        <v>48386.2</v>
      </c>
      <c r="F77" s="123">
        <v>48423.8</v>
      </c>
      <c r="G77" s="112">
        <f t="shared" si="7"/>
        <v>37.600000000005821</v>
      </c>
      <c r="H77" s="99">
        <f>G77+'22'!H77</f>
        <v>1078.8000000000029</v>
      </c>
      <c r="I77" s="154"/>
      <c r="J77" s="175">
        <f>H77/DAY(B2)</f>
        <v>46.904347826087083</v>
      </c>
      <c r="K77" s="69"/>
      <c r="L77" s="66"/>
      <c r="N77" s="87"/>
      <c r="O77" s="71"/>
    </row>
    <row r="78" spans="1:15" ht="30.75" customHeight="1">
      <c r="A78" s="917" t="s">
        <v>224</v>
      </c>
      <c r="B78" s="903"/>
      <c r="C78" s="904"/>
      <c r="D78" s="151" t="s">
        <v>139</v>
      </c>
      <c r="E78" s="95">
        <f>'22'!F78</f>
        <v>9564</v>
      </c>
      <c r="F78" s="123">
        <v>9564</v>
      </c>
      <c r="G78" s="112">
        <f t="shared" si="7"/>
        <v>0</v>
      </c>
      <c r="H78" s="99">
        <f>G78+'22'!H78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30.75" customHeight="1">
      <c r="A79" s="917" t="s">
        <v>225</v>
      </c>
      <c r="B79" s="903"/>
      <c r="C79" s="904"/>
      <c r="D79" s="151"/>
      <c r="E79" s="95">
        <f>'22'!F79</f>
        <v>0</v>
      </c>
      <c r="F79" s="123"/>
      <c r="G79" s="112">
        <f>G15-SUM(G74:G78)</f>
        <v>552.20999999996275</v>
      </c>
      <c r="H79" s="99">
        <f>G79+'22'!H79</f>
        <v>13448.039999999994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70" t="s">
        <v>329</v>
      </c>
      <c r="B80" s="871"/>
      <c r="C80" s="872"/>
      <c r="D80" s="151"/>
      <c r="E80" s="117"/>
      <c r="F80" s="117"/>
      <c r="G80" s="112">
        <f>SUM(G74:G79)</f>
        <v>974.46999999997206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09" t="s">
        <v>226</v>
      </c>
      <c r="B81" s="910"/>
      <c r="C81" s="911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573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573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'22'!F84</f>
        <v>42275.23</v>
      </c>
      <c r="F84" s="164">
        <v>42275</v>
      </c>
      <c r="G84" s="112">
        <f t="shared" si="8"/>
        <v>-0.23000000000320142</v>
      </c>
      <c r="H84" s="99">
        <f>G84+'22'!H84</f>
        <v>306</v>
      </c>
      <c r="I84" s="573"/>
      <c r="J84" s="175">
        <f>H84/DAY(B2)</f>
        <v>13.304347826086957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'22'!F85</f>
        <v>4732.1499999999996</v>
      </c>
      <c r="F85" s="164">
        <v>4746.25</v>
      </c>
      <c r="G85" s="112">
        <f t="shared" si="8"/>
        <v>14.100000000000364</v>
      </c>
      <c r="H85" s="99">
        <f>G85+'22'!H85</f>
        <v>403.25</v>
      </c>
      <c r="I85" s="573"/>
      <c r="J85" s="175">
        <f>H85/DAY(B2)</f>
        <v>17.532608695652176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'22'!F86</f>
        <v>44677.14</v>
      </c>
      <c r="F86" s="164">
        <v>44701.21</v>
      </c>
      <c r="G86" s="112">
        <f t="shared" si="8"/>
        <v>24.069999999999709</v>
      </c>
      <c r="H86" s="99">
        <f>G86+'22'!H86</f>
        <v>231.20999999999913</v>
      </c>
      <c r="I86" s="573"/>
      <c r="J86" s="175">
        <f>H86/DAY(B2)</f>
        <v>10.052608695652136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'22'!F87</f>
        <v>35358.04</v>
      </c>
      <c r="F87" s="164">
        <v>35358</v>
      </c>
      <c r="G87" s="112">
        <f t="shared" si="8"/>
        <v>-4.0000000000873115E-2</v>
      </c>
      <c r="H87" s="99">
        <f>G87+'22'!H87</f>
        <v>29</v>
      </c>
      <c r="I87" s="573">
        <f>G84+G85+G86+G87</f>
        <v>37.899999999995998</v>
      </c>
      <c r="J87" s="175">
        <f>H87/DAY(B2)</f>
        <v>1.2608695652173914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'22'!F88</f>
        <v>24277.14</v>
      </c>
      <c r="F88" s="164">
        <v>24277.14</v>
      </c>
      <c r="G88" s="112">
        <f t="shared" si="8"/>
        <v>0</v>
      </c>
      <c r="H88" s="99">
        <f>G88+'22'!H88</f>
        <v>49.259999999998399</v>
      </c>
      <c r="I88" s="573"/>
      <c r="J88" s="175">
        <f>H88/DAY(B2)</f>
        <v>2.1417391304347131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'22'!F89</f>
        <v>27215.93</v>
      </c>
      <c r="F89" s="164">
        <v>27225.58</v>
      </c>
      <c r="G89" s="112">
        <f t="shared" si="8"/>
        <v>9.6500000000014552</v>
      </c>
      <c r="H89" s="99">
        <f>G89+'22'!H89</f>
        <v>232.17000000000189</v>
      </c>
      <c r="I89" s="573">
        <f>G88+G89</f>
        <v>9.6500000000014552</v>
      </c>
      <c r="J89" s="175">
        <f>H89/DAY(B2)</f>
        <v>10.09434782608704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'22'!F90</f>
        <v>72250.17</v>
      </c>
      <c r="F90" s="164">
        <v>72260.55</v>
      </c>
      <c r="G90" s="112">
        <f t="shared" si="8"/>
        <v>10.380000000004657</v>
      </c>
      <c r="H90" s="99">
        <f>G90+'22'!H90</f>
        <v>133.43000000000757</v>
      </c>
      <c r="I90" s="573">
        <f>G90</f>
        <v>10.380000000004657</v>
      </c>
      <c r="J90" s="175">
        <f>H90/DAY(B2)</f>
        <v>5.8013043478264157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'22'!F91</f>
        <v>4122</v>
      </c>
      <c r="F91" s="122">
        <v>4122</v>
      </c>
      <c r="G91" s="112">
        <f t="shared" si="8"/>
        <v>0</v>
      </c>
      <c r="H91" s="99">
        <f>G91+'22'!H91</f>
        <v>0.3500000000003638</v>
      </c>
      <c r="I91" s="592"/>
      <c r="J91" s="175">
        <f>H91/DAY(B2)</f>
        <v>1.5217391304363644E-2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'22'!F92</f>
        <v>6451.96</v>
      </c>
      <c r="F92" s="122">
        <v>6462</v>
      </c>
      <c r="G92" s="112">
        <f t="shared" si="8"/>
        <v>10.039999999999964</v>
      </c>
      <c r="H92" s="99">
        <f>G92+'22'!H92</f>
        <v>244.75</v>
      </c>
      <c r="I92" s="598">
        <f>G91+G92</f>
        <v>10.039999999999964</v>
      </c>
      <c r="J92" s="175">
        <f>H92/DAY(B2)</f>
        <v>10.641304347826088</v>
      </c>
      <c r="O92" s="71"/>
    </row>
    <row r="93" spans="1:15" ht="30.75" customHeight="1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73" t="s">
        <v>240</v>
      </c>
      <c r="B94" s="874"/>
      <c r="C94" s="875"/>
      <c r="D94" s="151" t="s">
        <v>130</v>
      </c>
      <c r="E94" s="151"/>
      <c r="F94" s="151"/>
      <c r="G94" s="99">
        <f>G35+G43+G49+G57</f>
        <v>6691.789999999979</v>
      </c>
      <c r="H94" s="99">
        <f>G94+'22'!H94</f>
        <v>154738.59</v>
      </c>
      <c r="I94" s="118"/>
      <c r="J94" s="175">
        <f>H94/DAY(B2)</f>
        <v>6727.7647826086959</v>
      </c>
      <c r="K94" s="69"/>
      <c r="L94" s="66"/>
      <c r="O94" s="71"/>
    </row>
    <row r="95" spans="1:15" ht="30.75" customHeight="1">
      <c r="A95" s="873" t="s">
        <v>241</v>
      </c>
      <c r="B95" s="874"/>
      <c r="C95" s="875"/>
      <c r="D95" s="151" t="s">
        <v>23</v>
      </c>
      <c r="E95" s="146"/>
      <c r="F95" s="146"/>
      <c r="G95" s="166">
        <f>G94/G7</f>
        <v>0.24774736084506213</v>
      </c>
      <c r="H95" s="99">
        <f>G95+'22'!H95</f>
        <v>5.5433131339940527</v>
      </c>
      <c r="I95" s="167"/>
      <c r="J95" s="175">
        <f>H95/DAY(B2)</f>
        <v>0.24101361452148054</v>
      </c>
      <c r="K95" s="69"/>
      <c r="L95" s="66"/>
      <c r="O95" s="71"/>
    </row>
    <row r="96" spans="1:15" ht="30.75" customHeight="1">
      <c r="A96" s="873" t="s">
        <v>242</v>
      </c>
      <c r="B96" s="874"/>
      <c r="C96" s="875"/>
      <c r="D96" s="151" t="s">
        <v>130</v>
      </c>
      <c r="E96" s="95"/>
      <c r="F96" s="95"/>
      <c r="G96" s="99">
        <f>G41+G42+G55+G56</f>
        <v>7278.6699999999983</v>
      </c>
      <c r="H96" s="99">
        <f>G96+'22'!H96</f>
        <v>207312.64000000001</v>
      </c>
      <c r="I96" s="118"/>
      <c r="J96" s="175">
        <f>H96/DAY(B2)</f>
        <v>9013.5930434782622</v>
      </c>
      <c r="K96" s="69"/>
      <c r="L96" s="66"/>
      <c r="O96" s="71"/>
    </row>
    <row r="97" spans="1:15" ht="30.75" customHeight="1">
      <c r="A97" s="873" t="s">
        <v>243</v>
      </c>
      <c r="B97" s="874"/>
      <c r="C97" s="875"/>
      <c r="D97" s="151" t="s">
        <v>23</v>
      </c>
      <c r="E97" s="95"/>
      <c r="F97" s="95"/>
      <c r="G97" s="166">
        <f>G96/G7</f>
        <v>0.26947517524640396</v>
      </c>
      <c r="H97" s="99">
        <f>G97+'22'!H97</f>
        <v>7.3729092840807358</v>
      </c>
      <c r="I97" s="167"/>
      <c r="J97" s="175">
        <f>H97/DAY(B2)</f>
        <v>0.32056127322090155</v>
      </c>
      <c r="K97" s="69"/>
      <c r="L97" s="66"/>
      <c r="O97" s="71"/>
    </row>
    <row r="98" spans="1:15" ht="30.75" customHeight="1">
      <c r="A98" s="873" t="s">
        <v>244</v>
      </c>
      <c r="B98" s="874"/>
      <c r="C98" s="875"/>
      <c r="D98" s="151" t="s">
        <v>130</v>
      </c>
      <c r="E98" s="95"/>
      <c r="F98" s="95"/>
      <c r="G98" s="99">
        <f>G39+G53</f>
        <v>3028.1199999999953</v>
      </c>
      <c r="H98" s="99">
        <f>G98+'22'!H98</f>
        <v>67336.360000000044</v>
      </c>
      <c r="I98" s="168"/>
      <c r="J98" s="175">
        <f>H98/DAY(B2)</f>
        <v>2927.6678260869585</v>
      </c>
      <c r="K98" s="69"/>
      <c r="L98" s="66"/>
      <c r="O98" s="71"/>
    </row>
    <row r="99" spans="1:15" ht="30.75" customHeight="1">
      <c r="A99" s="873" t="s">
        <v>245</v>
      </c>
      <c r="B99" s="874"/>
      <c r="C99" s="875"/>
      <c r="D99" s="151" t="s">
        <v>23</v>
      </c>
      <c r="E99" s="95"/>
      <c r="F99" s="95"/>
      <c r="G99" s="166">
        <f>G98/G7</f>
        <v>0.11210882862763935</v>
      </c>
      <c r="H99" s="99">
        <f>G99+'22'!H99</f>
        <v>2.4078566976991671</v>
      </c>
      <c r="I99" s="168"/>
      <c r="J99" s="175">
        <f>H99/DAY(B2)</f>
        <v>0.10468942163909423</v>
      </c>
      <c r="O99" s="71"/>
    </row>
    <row r="100" spans="1:15" ht="30.75" customHeight="1">
      <c r="A100" s="873" t="s">
        <v>246</v>
      </c>
      <c r="B100" s="874"/>
      <c r="C100" s="875"/>
      <c r="D100" s="151" t="s">
        <v>180</v>
      </c>
      <c r="E100" s="95"/>
      <c r="F100" s="95"/>
      <c r="G100" s="99">
        <f>G38+G52</f>
        <v>2279.8400000000256</v>
      </c>
      <c r="H100" s="99">
        <f>G100+'22'!H100</f>
        <v>53213.390000000014</v>
      </c>
      <c r="I100" s="118"/>
      <c r="J100" s="175">
        <f>H100/DAY(B2)</f>
        <v>2313.6256521739137</v>
      </c>
      <c r="K100" s="70"/>
      <c r="O100" s="71"/>
    </row>
    <row r="101" spans="1:15" ht="30.75" customHeight="1">
      <c r="A101" s="873" t="s">
        <v>247</v>
      </c>
      <c r="B101" s="874"/>
      <c r="C101" s="875"/>
      <c r="D101" s="151" t="s">
        <v>23</v>
      </c>
      <c r="E101" s="95"/>
      <c r="F101" s="95"/>
      <c r="G101" s="166">
        <f>G100/G7</f>
        <v>8.44055690852544E-2</v>
      </c>
      <c r="H101" s="99">
        <f>G101+'22'!H101</f>
        <v>1.902318573241186</v>
      </c>
      <c r="I101" s="168"/>
      <c r="J101" s="175">
        <f>H101/DAY(B2)</f>
        <v>8.2709503184399388E-2</v>
      </c>
      <c r="O101" s="71"/>
    </row>
    <row r="102" spans="1:15" ht="30.75" customHeight="1">
      <c r="A102" s="873" t="s">
        <v>248</v>
      </c>
      <c r="B102" s="874"/>
      <c r="C102" s="875"/>
      <c r="D102" s="151" t="s">
        <v>180</v>
      </c>
      <c r="E102" s="95"/>
      <c r="F102" s="95"/>
      <c r="G102" s="99">
        <f>G36+G50</f>
        <v>1963.359999999986</v>
      </c>
      <c r="H102" s="99">
        <f>G102+'22'!H102</f>
        <v>46459.51999999999</v>
      </c>
      <c r="I102" s="168"/>
      <c r="J102" s="175">
        <f>H102/DAY(B2)</f>
        <v>2019.9791304347821</v>
      </c>
      <c r="O102" s="71"/>
    </row>
    <row r="103" spans="1:15" ht="30.75" customHeight="1">
      <c r="A103" s="873" t="s">
        <v>249</v>
      </c>
      <c r="B103" s="874"/>
      <c r="C103" s="875"/>
      <c r="D103" s="151" t="s">
        <v>23</v>
      </c>
      <c r="E103" s="95"/>
      <c r="F103" s="95"/>
      <c r="G103" s="166">
        <f>G102/G7</f>
        <v>7.2688661537310531E-2</v>
      </c>
      <c r="H103" s="99">
        <f>G103+'22'!H103</f>
        <v>1.6537193354632576</v>
      </c>
      <c r="I103" s="118"/>
      <c r="J103" s="175">
        <f>H103/DAY(B2)</f>
        <v>7.1900840672315544E-2</v>
      </c>
      <c r="O103" s="71"/>
    </row>
    <row r="104" spans="1:15" ht="30.75" customHeight="1">
      <c r="A104" s="873" t="s">
        <v>250</v>
      </c>
      <c r="B104" s="874"/>
      <c r="C104" s="875"/>
      <c r="D104" s="151" t="s">
        <v>180</v>
      </c>
      <c r="E104" s="95"/>
      <c r="F104" s="95"/>
      <c r="G104" s="99">
        <f>G37+G51</f>
        <v>1637.1100000000442</v>
      </c>
      <c r="H104" s="99">
        <f>G104+'22'!H104</f>
        <v>39648.220000000023</v>
      </c>
      <c r="I104" s="118"/>
      <c r="J104" s="175">
        <f>H104/DAY(B2)</f>
        <v>1723.835652173914</v>
      </c>
      <c r="O104" s="71"/>
    </row>
    <row r="105" spans="1:15" ht="30.75" customHeight="1" thickBot="1">
      <c r="A105" s="913" t="s">
        <v>251</v>
      </c>
      <c r="B105" s="914"/>
      <c r="C105" s="915"/>
      <c r="D105" s="231" t="s">
        <v>23</v>
      </c>
      <c r="E105" s="185"/>
      <c r="F105" s="185"/>
      <c r="G105" s="186">
        <f>G104/G7</f>
        <v>6.0610043338639119E-2</v>
      </c>
      <c r="H105" s="99">
        <f>G105+'22'!H105</f>
        <v>1.4142806598436364</v>
      </c>
      <c r="I105" s="187"/>
      <c r="J105" s="188">
        <f>H105/DAY(B2)</f>
        <v>6.1490463471462455E-2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27" t="s">
        <v>324</v>
      </c>
      <c r="B108" s="927"/>
      <c r="C108" s="927"/>
      <c r="D108" s="927"/>
      <c r="E108" s="927"/>
      <c r="F108" s="927"/>
      <c r="G108" s="927"/>
      <c r="H108" s="927"/>
      <c r="I108" s="927"/>
      <c r="J108" s="927"/>
    </row>
    <row r="109" spans="1:15" ht="30.75" customHeight="1">
      <c r="A109" s="912"/>
      <c r="B109" s="912"/>
    </row>
    <row r="110" spans="1:15" ht="30.75" customHeight="1">
      <c r="A110" s="928" t="s">
        <v>165</v>
      </c>
      <c r="B110" s="929"/>
      <c r="C110" s="929"/>
      <c r="D110" s="929"/>
      <c r="E110" s="929"/>
      <c r="F110" s="929"/>
      <c r="G110" s="929"/>
      <c r="H110" s="929"/>
      <c r="I110" s="929"/>
      <c r="J110" s="930"/>
    </row>
    <row r="111" spans="1:15" ht="30.75" customHeight="1">
      <c r="A111" s="931"/>
      <c r="B111" s="932"/>
      <c r="C111" s="933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906" t="s">
        <v>252</v>
      </c>
      <c r="B112" s="907"/>
      <c r="C112" s="908"/>
      <c r="D112" s="146" t="s">
        <v>183</v>
      </c>
      <c r="E112" s="95">
        <f>'22'!F112</f>
        <v>4344.38</v>
      </c>
      <c r="F112" s="237">
        <v>4419.18</v>
      </c>
      <c r="G112" s="112">
        <f t="shared" ref="G112:G123" si="9">F112-E112</f>
        <v>74.800000000000182</v>
      </c>
      <c r="H112" s="99">
        <f>G112+'22'!H112</f>
        <v>1742.1800000000003</v>
      </c>
      <c r="I112" s="165"/>
      <c r="J112" s="328">
        <f>H112/DAY(B2)</f>
        <v>75.746956521739136</v>
      </c>
    </row>
    <row r="113" spans="1:18" ht="30.75" customHeight="1">
      <c r="A113" s="906" t="s">
        <v>253</v>
      </c>
      <c r="B113" s="907"/>
      <c r="C113" s="908"/>
      <c r="D113" s="146" t="s">
        <v>183</v>
      </c>
      <c r="E113" s="95">
        <f>'22'!F113</f>
        <v>9486.23</v>
      </c>
      <c r="F113" s="237">
        <v>9631.57</v>
      </c>
      <c r="G113" s="112">
        <f t="shared" si="9"/>
        <v>145.34000000000015</v>
      </c>
      <c r="H113" s="99">
        <f>G113+'22'!H113</f>
        <v>3240.5699999999997</v>
      </c>
      <c r="I113" s="165"/>
      <c r="J113" s="328">
        <f>H113/DAY(B2)</f>
        <v>140.89434782608694</v>
      </c>
    </row>
    <row r="114" spans="1:18" ht="30.75" customHeight="1">
      <c r="A114" s="906" t="s">
        <v>254</v>
      </c>
      <c r="B114" s="907"/>
      <c r="C114" s="908"/>
      <c r="D114" s="146" t="s">
        <v>183</v>
      </c>
      <c r="E114" s="95">
        <f>'22'!F114</f>
        <v>12402.32</v>
      </c>
      <c r="F114" s="237">
        <v>12623.84</v>
      </c>
      <c r="G114" s="112">
        <f t="shared" si="9"/>
        <v>221.52000000000044</v>
      </c>
      <c r="H114" s="99">
        <f>G114+'22'!H114</f>
        <v>5053.84</v>
      </c>
      <c r="I114" s="165"/>
      <c r="J114" s="328">
        <f>H114/DAY(B2)</f>
        <v>219.73217391304348</v>
      </c>
    </row>
    <row r="115" spans="1:18" ht="30.75" customHeight="1">
      <c r="A115" s="906" t="s">
        <v>255</v>
      </c>
      <c r="B115" s="907"/>
      <c r="C115" s="908"/>
      <c r="D115" s="146" t="s">
        <v>183</v>
      </c>
      <c r="E115" s="95">
        <f>'22'!F115</f>
        <v>7884.61</v>
      </c>
      <c r="F115" s="237">
        <v>8013.19</v>
      </c>
      <c r="G115" s="112">
        <f t="shared" si="9"/>
        <v>128.57999999999993</v>
      </c>
      <c r="H115" s="99">
        <f>G115+'22'!H115</f>
        <v>1882.7099999999998</v>
      </c>
      <c r="I115" s="165"/>
      <c r="J115" s="328">
        <f>H115/DAY(B2)</f>
        <v>81.856956521739122</v>
      </c>
    </row>
    <row r="116" spans="1:18" ht="30.75" customHeight="1">
      <c r="A116" s="924" t="s">
        <v>96</v>
      </c>
      <c r="B116" s="925"/>
      <c r="C116" s="926"/>
      <c r="D116" s="146" t="s">
        <v>183</v>
      </c>
      <c r="E116" s="95">
        <f>'22'!F116</f>
        <v>55701.99</v>
      </c>
      <c r="F116" s="237">
        <v>56100.76</v>
      </c>
      <c r="G116" s="112">
        <f t="shared" si="9"/>
        <v>398.77000000000407</v>
      </c>
      <c r="H116" s="99">
        <f>G116+'22'!H116</f>
        <v>9345.760000000002</v>
      </c>
      <c r="I116" s="165"/>
      <c r="J116" s="328">
        <f>H116/DAY(B2)</f>
        <v>406.33739130434793</v>
      </c>
      <c r="Q116" s="906" t="s">
        <v>311</v>
      </c>
      <c r="R116" s="908"/>
    </row>
    <row r="117" spans="1:18" ht="30.75" customHeight="1">
      <c r="A117" s="924" t="s">
        <v>184</v>
      </c>
      <c r="B117" s="925"/>
      <c r="C117" s="926"/>
      <c r="D117" s="146" t="s">
        <v>183</v>
      </c>
      <c r="E117" s="95">
        <f>'22'!F117</f>
        <v>30589.97</v>
      </c>
      <c r="F117" s="237">
        <v>30894.99</v>
      </c>
      <c r="G117" s="112">
        <f t="shared" si="9"/>
        <v>305.02000000000044</v>
      </c>
      <c r="H117" s="99">
        <f>G117+'22'!H117</f>
        <v>5626.9900000000016</v>
      </c>
      <c r="I117" s="165"/>
      <c r="J117" s="328">
        <f>H117/DAY(B2)</f>
        <v>244.65173913043486</v>
      </c>
      <c r="Q117" s="906" t="s">
        <v>312</v>
      </c>
      <c r="R117" s="908"/>
    </row>
    <row r="118" spans="1:18" ht="30.75" customHeight="1">
      <c r="A118" s="901" t="s">
        <v>97</v>
      </c>
      <c r="B118" s="901"/>
      <c r="C118" s="901"/>
      <c r="D118" s="151" t="s">
        <v>183</v>
      </c>
      <c r="E118" s="95">
        <f>'22'!F118</f>
        <v>39714.81</v>
      </c>
      <c r="F118" s="237">
        <v>40382.199999999997</v>
      </c>
      <c r="G118" s="112">
        <f t="shared" si="9"/>
        <v>667.38999999999942</v>
      </c>
      <c r="H118" s="99">
        <f>G118+'22'!H118</f>
        <v>14157.199999999997</v>
      </c>
      <c r="I118" s="165"/>
      <c r="J118" s="328">
        <f>H118/DAY(B2)</f>
        <v>615.53043478260861</v>
      </c>
      <c r="Q118" s="906" t="s">
        <v>311</v>
      </c>
      <c r="R118" s="908"/>
    </row>
    <row r="119" spans="1:18" ht="30.75" customHeight="1">
      <c r="A119" s="901" t="s">
        <v>98</v>
      </c>
      <c r="B119" s="901"/>
      <c r="C119" s="901"/>
      <c r="D119" s="151" t="s">
        <v>183</v>
      </c>
      <c r="E119" s="95">
        <f>'22'!F119</f>
        <v>28362.78</v>
      </c>
      <c r="F119" s="237">
        <v>28635.66</v>
      </c>
      <c r="G119" s="112">
        <f t="shared" si="9"/>
        <v>272.88000000000102</v>
      </c>
      <c r="H119" s="99">
        <f>G119+'22'!H119</f>
        <v>9688.66</v>
      </c>
      <c r="I119" s="165"/>
      <c r="J119" s="328">
        <f>H119/DAY(B2)</f>
        <v>421.24608695652171</v>
      </c>
    </row>
    <row r="120" spans="1:18" ht="30.75" customHeight="1">
      <c r="A120" s="901" t="s">
        <v>99</v>
      </c>
      <c r="B120" s="901"/>
      <c r="C120" s="901"/>
      <c r="D120" s="151" t="s">
        <v>183</v>
      </c>
      <c r="E120" s="95">
        <f>'22'!F120</f>
        <v>29629.119999999999</v>
      </c>
      <c r="F120" s="237">
        <v>30065.23</v>
      </c>
      <c r="G120" s="112">
        <f t="shared" si="9"/>
        <v>436.11000000000058</v>
      </c>
      <c r="H120" s="99">
        <f>G120+'22'!H120</f>
        <v>10015.23</v>
      </c>
      <c r="I120" s="165"/>
      <c r="J120" s="328">
        <f>H120/DAY(B2)</f>
        <v>435.44478260869562</v>
      </c>
    </row>
    <row r="121" spans="1:18" ht="30.75" customHeight="1">
      <c r="A121" s="901" t="s">
        <v>100</v>
      </c>
      <c r="B121" s="901"/>
      <c r="C121" s="901"/>
      <c r="D121" s="151" t="s">
        <v>183</v>
      </c>
      <c r="E121" s="95">
        <f>'22'!F121</f>
        <v>36048.81</v>
      </c>
      <c r="F121" s="237">
        <v>36514</v>
      </c>
      <c r="G121" s="112">
        <f t="shared" si="9"/>
        <v>465.19000000000233</v>
      </c>
      <c r="H121" s="99">
        <f>G121+'22'!H121</f>
        <v>10670</v>
      </c>
      <c r="I121" s="165"/>
      <c r="J121" s="328">
        <f>H121/DAY(B2)</f>
        <v>463.91304347826087</v>
      </c>
    </row>
    <row r="122" spans="1:18" ht="30.75" customHeight="1">
      <c r="A122" s="901" t="s">
        <v>101</v>
      </c>
      <c r="B122" s="901"/>
      <c r="C122" s="901"/>
      <c r="D122" s="151" t="s">
        <v>183</v>
      </c>
      <c r="E122" s="95">
        <f>'22'!F122</f>
        <v>17765.34</v>
      </c>
      <c r="F122" s="237">
        <v>18040.96</v>
      </c>
      <c r="G122" s="112">
        <f t="shared" si="9"/>
        <v>275.61999999999898</v>
      </c>
      <c r="H122" s="99">
        <f>G122+'22'!H122</f>
        <v>6880.9599999999991</v>
      </c>
      <c r="I122" s="165"/>
      <c r="J122" s="328">
        <f>H122/DAY(B2)</f>
        <v>299.17217391304342</v>
      </c>
    </row>
    <row r="123" spans="1:18" ht="30.75" customHeight="1">
      <c r="A123" s="901" t="s">
        <v>102</v>
      </c>
      <c r="B123" s="901"/>
      <c r="C123" s="901"/>
      <c r="D123" s="151" t="s">
        <v>183</v>
      </c>
      <c r="E123" s="95">
        <f>'22'!F123</f>
        <v>17844.72</v>
      </c>
      <c r="F123" s="237">
        <v>18158.169999999998</v>
      </c>
      <c r="G123" s="112">
        <f t="shared" si="9"/>
        <v>313.44999999999709</v>
      </c>
      <c r="H123" s="99">
        <f>G123+'22'!H123</f>
        <v>7649.1699999999983</v>
      </c>
      <c r="I123" s="165"/>
      <c r="J123" s="328">
        <f>H123/DAY(B2)</f>
        <v>332.57260869565209</v>
      </c>
    </row>
    <row r="124" spans="1:18" ht="30.75" customHeight="1">
      <c r="A124" s="931"/>
      <c r="B124" s="932"/>
      <c r="C124" s="933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>
      <c r="A125" s="934" t="s">
        <v>196</v>
      </c>
      <c r="B125" s="935"/>
      <c r="C125" s="245"/>
      <c r="D125" s="307"/>
      <c r="E125" s="308"/>
      <c r="F125" s="308"/>
      <c r="G125" s="309">
        <f>SUM(G112:G124)</f>
        <v>3704.6700000000046</v>
      </c>
      <c r="H125" s="156"/>
      <c r="I125" s="327">
        <f>G125-(G39+G53)</f>
        <v>676.55000000000928</v>
      </c>
      <c r="J125" s="327"/>
    </row>
    <row r="126" spans="1:18" ht="30.75" customHeight="1">
      <c r="A126" s="936" t="s">
        <v>317</v>
      </c>
      <c r="B126" s="936"/>
      <c r="C126" s="936"/>
      <c r="D126" s="936"/>
      <c r="E126" s="936"/>
      <c r="F126" s="936"/>
      <c r="G126" s="936"/>
      <c r="H126" s="936"/>
      <c r="I126" s="936"/>
      <c r="J126" s="936"/>
    </row>
    <row r="127" spans="1:18" ht="30.75" customHeight="1">
      <c r="A127" s="937"/>
      <c r="B127" s="937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>
      <c r="A128" s="906" t="s">
        <v>318</v>
      </c>
      <c r="B128" s="907"/>
      <c r="C128" s="908"/>
      <c r="D128" s="151" t="s">
        <v>183</v>
      </c>
      <c r="E128" s="95">
        <f>'22'!F128</f>
        <v>107442.18</v>
      </c>
      <c r="F128" s="155">
        <v>108007.89</v>
      </c>
      <c r="G128" s="112">
        <f t="shared" ref="G128:G134" si="10">F128-E128</f>
        <v>565.7100000000064</v>
      </c>
      <c r="H128" s="99">
        <f>G128+'22'!H128</f>
        <v>12292.89</v>
      </c>
      <c r="I128" s="165"/>
      <c r="J128" s="328">
        <f>H128/DAY(B2)</f>
        <v>534.47347826086957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'22'!F129</f>
        <v>65222.47</v>
      </c>
      <c r="F129" s="155">
        <v>65421.46</v>
      </c>
      <c r="G129" s="112">
        <f t="shared" si="10"/>
        <v>198.98999999999796</v>
      </c>
      <c r="H129" s="99">
        <f>G129+'22'!H129</f>
        <v>5128.4599999999991</v>
      </c>
      <c r="I129" s="165"/>
      <c r="J129" s="328">
        <f>H129/DAY(B2)</f>
        <v>222.97652173913039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'22'!F130</f>
        <v>135578.57</v>
      </c>
      <c r="F130" s="155">
        <v>136346.54999999999</v>
      </c>
      <c r="G130" s="112">
        <f t="shared" si="10"/>
        <v>767.97999999998137</v>
      </c>
      <c r="H130" s="99">
        <f>G130+'22'!H130</f>
        <v>15217.549999999988</v>
      </c>
      <c r="I130" s="165"/>
      <c r="J130" s="328">
        <f>H130/DAY(B2)</f>
        <v>661.6326086956517</v>
      </c>
      <c r="N130" s="240"/>
      <c r="O130" s="241"/>
    </row>
    <row r="131" spans="1:15" ht="30.75" customHeight="1">
      <c r="A131" s="906" t="s">
        <v>321</v>
      </c>
      <c r="B131" s="907"/>
      <c r="C131" s="908"/>
      <c r="D131" s="151" t="s">
        <v>183</v>
      </c>
      <c r="E131" s="95">
        <f>'22'!F131</f>
        <v>40841.440000000002</v>
      </c>
      <c r="F131" s="155">
        <v>41080.19</v>
      </c>
      <c r="G131" s="112">
        <f t="shared" si="10"/>
        <v>238.75</v>
      </c>
      <c r="H131" s="99">
        <f>G131+'22'!H131</f>
        <v>4801.1900000000023</v>
      </c>
      <c r="I131" s="165"/>
      <c r="J131" s="328">
        <f>H131/DAY(B2)</f>
        <v>208.74739130434793</v>
      </c>
      <c r="N131" s="240"/>
      <c r="O131" s="241"/>
    </row>
    <row r="132" spans="1:15" ht="30.75" customHeight="1">
      <c r="A132" s="906" t="s">
        <v>322</v>
      </c>
      <c r="B132" s="907"/>
      <c r="C132" s="908"/>
      <c r="D132" s="151" t="s">
        <v>183</v>
      </c>
      <c r="E132" s="95">
        <f>'22'!F132</f>
        <v>112591.36</v>
      </c>
      <c r="F132" s="155">
        <v>113062.21</v>
      </c>
      <c r="G132" s="112">
        <f t="shared" si="10"/>
        <v>470.85000000000582</v>
      </c>
      <c r="H132" s="99">
        <f>G132+'22'!H132</f>
        <v>9550.2100000000064</v>
      </c>
      <c r="I132" s="165"/>
      <c r="J132" s="328">
        <f>H132/DAY(B2)</f>
        <v>415.2265217391307</v>
      </c>
    </row>
    <row r="133" spans="1:15" ht="30.75" customHeight="1">
      <c r="A133" s="906" t="s">
        <v>359</v>
      </c>
      <c r="B133" s="907"/>
      <c r="C133" s="908"/>
      <c r="D133" s="151" t="s">
        <v>183</v>
      </c>
      <c r="E133" s="95">
        <f>'22'!F133</f>
        <v>218234.05</v>
      </c>
      <c r="F133" s="155">
        <v>218841.49</v>
      </c>
      <c r="G133" s="112">
        <f t="shared" si="10"/>
        <v>607.44000000000233</v>
      </c>
      <c r="H133" s="99">
        <f>G133+'22'!H133</f>
        <v>17609.489999999991</v>
      </c>
      <c r="I133" s="165"/>
      <c r="J133" s="328">
        <f>H133/DAY(B2)</f>
        <v>765.62999999999954</v>
      </c>
    </row>
    <row r="134" spans="1:15" ht="30.75" customHeight="1">
      <c r="A134" s="906" t="s">
        <v>340</v>
      </c>
      <c r="B134" s="907"/>
      <c r="C134" s="908"/>
      <c r="D134" s="151" t="s">
        <v>183</v>
      </c>
      <c r="E134" s="95">
        <f>'22'!F134</f>
        <v>40114.58</v>
      </c>
      <c r="F134" s="374">
        <v>40325.360000000001</v>
      </c>
      <c r="G134" s="112">
        <f t="shared" si="10"/>
        <v>210.77999999999884</v>
      </c>
      <c r="H134" s="99">
        <f>G134+'22'!H134</f>
        <v>5430.3600000000006</v>
      </c>
      <c r="I134" s="165"/>
      <c r="J134" s="328">
        <f>H134/DAY(B2)</f>
        <v>236.10260869565221</v>
      </c>
    </row>
    <row r="135" spans="1:15" ht="30.75" customHeight="1">
      <c r="A135" s="934" t="s">
        <v>196</v>
      </c>
      <c r="B135" s="935"/>
      <c r="C135" s="331"/>
      <c r="D135" s="151"/>
      <c r="E135" s="95"/>
      <c r="F135" s="465"/>
      <c r="G135" s="112">
        <f>SUM(G128:G134)</f>
        <v>3060.4999999999927</v>
      </c>
      <c r="H135" s="99">
        <f>G135+'10'!H135</f>
        <v>33278.329999999994</v>
      </c>
      <c r="I135" s="327">
        <f>G135-(G35+G49)</f>
        <v>-614.65999999998166</v>
      </c>
      <c r="J135" s="328"/>
    </row>
    <row r="136" spans="1:15" ht="30.75" customHeight="1">
      <c r="A136" s="938" t="s">
        <v>325</v>
      </c>
      <c r="B136" s="938"/>
      <c r="C136" s="938"/>
      <c r="D136" s="938"/>
      <c r="E136" s="938"/>
      <c r="F136" s="938"/>
      <c r="G136" s="938"/>
      <c r="H136" s="938"/>
      <c r="I136" s="938"/>
      <c r="J136" s="938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901" t="s">
        <v>185</v>
      </c>
      <c r="B138" s="901"/>
      <c r="C138" s="901"/>
      <c r="D138" s="151" t="s">
        <v>183</v>
      </c>
      <c r="E138" s="95">
        <f>'22'!F138</f>
        <v>886283</v>
      </c>
      <c r="F138" s="147">
        <v>886418</v>
      </c>
      <c r="G138" s="112">
        <f t="shared" ref="G138:G152" si="11">F138-E138</f>
        <v>135</v>
      </c>
      <c r="H138" s="99">
        <f>G138+'22'!H138</f>
        <v>3140.2999999999993</v>
      </c>
      <c r="I138" s="118"/>
      <c r="J138" s="328">
        <f>H138/DAY(B2)</f>
        <v>136.53478260869562</v>
      </c>
    </row>
    <row r="139" spans="1:15" ht="30.75" customHeight="1">
      <c r="A139" s="901" t="s">
        <v>186</v>
      </c>
      <c r="B139" s="901"/>
      <c r="C139" s="901"/>
      <c r="D139" s="151" t="s">
        <v>183</v>
      </c>
      <c r="E139" s="95">
        <f>'22'!F139</f>
        <v>902848</v>
      </c>
      <c r="F139" s="148">
        <v>902998</v>
      </c>
      <c r="G139" s="112">
        <f t="shared" si="11"/>
        <v>150</v>
      </c>
      <c r="H139" s="99">
        <f>G139+'22'!H139</f>
        <v>3543</v>
      </c>
      <c r="I139" s="118"/>
      <c r="J139" s="328">
        <f>H139/DAY(B2)</f>
        <v>154.04347826086956</v>
      </c>
    </row>
    <row r="140" spans="1:15" ht="30.75" customHeight="1">
      <c r="A140" s="901" t="s">
        <v>187</v>
      </c>
      <c r="B140" s="901"/>
      <c r="C140" s="901"/>
      <c r="D140" s="151" t="s">
        <v>183</v>
      </c>
      <c r="E140" s="95">
        <f>'22'!F140</f>
        <v>938.16</v>
      </c>
      <c r="F140" s="149">
        <v>955.13</v>
      </c>
      <c r="G140" s="112">
        <f t="shared" si="11"/>
        <v>16.970000000000027</v>
      </c>
      <c r="H140" s="99">
        <f>G140+'22'!H140</f>
        <v>306.37</v>
      </c>
      <c r="I140" s="118"/>
      <c r="J140" s="328">
        <f>H140/DAY(B2)</f>
        <v>13.320434782608697</v>
      </c>
    </row>
    <row r="141" spans="1:15" ht="30.75" customHeight="1">
      <c r="A141" s="905" t="s">
        <v>188</v>
      </c>
      <c r="B141" s="905"/>
      <c r="C141" s="905"/>
      <c r="D141" s="151" t="s">
        <v>183</v>
      </c>
      <c r="E141" s="95">
        <f>'22'!F141</f>
        <v>82494.98</v>
      </c>
      <c r="F141" s="149">
        <v>82712.28</v>
      </c>
      <c r="G141" s="112">
        <f t="shared" si="11"/>
        <v>217.30000000000291</v>
      </c>
      <c r="H141" s="99">
        <f>G141+'22'!H141</f>
        <v>4760.2799999999988</v>
      </c>
      <c r="I141" s="118"/>
      <c r="J141" s="328">
        <f>H141/DAY(B2)</f>
        <v>206.96869565217386</v>
      </c>
    </row>
    <row r="142" spans="1:15" ht="30.75" customHeight="1">
      <c r="A142" s="905" t="s">
        <v>189</v>
      </c>
      <c r="B142" s="905"/>
      <c r="C142" s="905"/>
      <c r="D142" s="151" t="s">
        <v>183</v>
      </c>
      <c r="E142" s="95">
        <f>'22'!F142</f>
        <v>33750.75</v>
      </c>
      <c r="F142" s="148">
        <v>33844.15</v>
      </c>
      <c r="G142" s="112">
        <f t="shared" si="11"/>
        <v>93.400000000001455</v>
      </c>
      <c r="H142" s="99">
        <f>G142+'22'!H142</f>
        <v>3318.1500000000015</v>
      </c>
      <c r="I142" s="140"/>
      <c r="J142" s="328">
        <f>H142/DAY(B2)</f>
        <v>144.26739130434788</v>
      </c>
    </row>
    <row r="143" spans="1:15" ht="30.75" customHeight="1">
      <c r="A143" s="901" t="s">
        <v>91</v>
      </c>
      <c r="B143" s="901"/>
      <c r="C143" s="901"/>
      <c r="D143" s="151" t="s">
        <v>183</v>
      </c>
      <c r="E143" s="95">
        <f>'22'!F143</f>
        <v>7934.61</v>
      </c>
      <c r="F143" s="149">
        <v>7963.14</v>
      </c>
      <c r="G143" s="112">
        <f t="shared" si="11"/>
        <v>28.530000000000655</v>
      </c>
      <c r="H143" s="99">
        <f>G143+'22'!H143</f>
        <v>657.14000000000033</v>
      </c>
      <c r="I143" s="140"/>
      <c r="J143" s="328">
        <f>H143/DAY(B2)</f>
        <v>28.5713043478261</v>
      </c>
    </row>
    <row r="144" spans="1:15" ht="30.75" customHeight="1">
      <c r="A144" s="905" t="s">
        <v>90</v>
      </c>
      <c r="B144" s="905"/>
      <c r="C144" s="905"/>
      <c r="D144" s="151" t="s">
        <v>183</v>
      </c>
      <c r="E144" s="95">
        <f>'22'!F144</f>
        <v>910395</v>
      </c>
      <c r="F144" s="149">
        <v>910626</v>
      </c>
      <c r="G144" s="112">
        <f t="shared" si="11"/>
        <v>231</v>
      </c>
      <c r="H144" s="99">
        <f>G144+'22'!H144</f>
        <v>5573</v>
      </c>
      <c r="I144" s="140"/>
      <c r="J144" s="328">
        <f>H144/DAY(B2)</f>
        <v>242.30434782608697</v>
      </c>
    </row>
    <row r="145" spans="1:10" ht="30.75" customHeight="1">
      <c r="A145" s="901" t="s">
        <v>190</v>
      </c>
      <c r="B145" s="901"/>
      <c r="C145" s="901"/>
      <c r="D145" s="152" t="s">
        <v>183</v>
      </c>
      <c r="E145" s="95">
        <f>'22'!F145</f>
        <v>5665</v>
      </c>
      <c r="F145" s="149">
        <v>5665.31</v>
      </c>
      <c r="G145" s="112">
        <f t="shared" si="11"/>
        <v>0.31000000000040018</v>
      </c>
      <c r="H145" s="99">
        <f>G145+'22'!H145</f>
        <v>1.3100000000004002</v>
      </c>
      <c r="I145" s="140"/>
      <c r="J145" s="328">
        <f>H145/DAY(B2)</f>
        <v>5.6956521739147836E-2</v>
      </c>
    </row>
    <row r="146" spans="1:10" ht="30.75" customHeight="1">
      <c r="A146" s="902" t="s">
        <v>191</v>
      </c>
      <c r="B146" s="903"/>
      <c r="C146" s="904"/>
      <c r="D146" s="152" t="s">
        <v>183</v>
      </c>
      <c r="E146" s="95">
        <f>'22'!F146</f>
        <v>778943</v>
      </c>
      <c r="F146" s="148">
        <v>779015</v>
      </c>
      <c r="G146" s="112">
        <f t="shared" si="11"/>
        <v>72</v>
      </c>
      <c r="H146" s="99">
        <f>G146+'22'!H146</f>
        <v>1147</v>
      </c>
      <c r="I146" s="140"/>
      <c r="J146" s="328">
        <f>H146/DAY(B2)</f>
        <v>49.869565217391305</v>
      </c>
    </row>
    <row r="147" spans="1:10" ht="30.75" customHeight="1">
      <c r="A147" s="905" t="s">
        <v>192</v>
      </c>
      <c r="B147" s="905"/>
      <c r="C147" s="905"/>
      <c r="D147" s="152" t="s">
        <v>183</v>
      </c>
      <c r="E147" s="95">
        <f>'22'!F147</f>
        <v>684424.88</v>
      </c>
      <c r="F147" s="148">
        <v>684789</v>
      </c>
      <c r="G147" s="112">
        <f t="shared" si="11"/>
        <v>364.11999999999534</v>
      </c>
      <c r="H147" s="99">
        <f>G147+'22'!H147</f>
        <v>8941</v>
      </c>
      <c r="I147" s="140"/>
      <c r="J147" s="328">
        <f>H147/DAY(B2)</f>
        <v>388.73913043478262</v>
      </c>
    </row>
    <row r="148" spans="1:10" ht="30.75" customHeight="1">
      <c r="A148" s="897" t="s">
        <v>193</v>
      </c>
      <c r="B148" s="898"/>
      <c r="C148" s="899"/>
      <c r="D148" s="123" t="s">
        <v>130</v>
      </c>
      <c r="E148" s="95">
        <f>'22'!F148</f>
        <v>736571.6</v>
      </c>
      <c r="F148" s="150">
        <v>736878.64</v>
      </c>
      <c r="G148" s="112">
        <f t="shared" si="11"/>
        <v>307.04000000003725</v>
      </c>
      <c r="H148" s="99">
        <f>G148+'22'!H148</f>
        <v>7133.640000000014</v>
      </c>
      <c r="I148" s="124"/>
      <c r="J148" s="328">
        <f>H148/DAY(B2)</f>
        <v>310.15826086956582</v>
      </c>
    </row>
    <row r="149" spans="1:10" ht="30.75" customHeight="1">
      <c r="A149" s="897" t="s">
        <v>336</v>
      </c>
      <c r="B149" s="898"/>
      <c r="C149" s="899"/>
      <c r="D149" s="227" t="s">
        <v>130</v>
      </c>
      <c r="E149" s="95">
        <f>'22'!F149</f>
        <v>112834.58</v>
      </c>
      <c r="F149" s="227">
        <v>113370.66</v>
      </c>
      <c r="G149" s="112">
        <f t="shared" si="11"/>
        <v>536.08000000000175</v>
      </c>
      <c r="H149" s="99">
        <f>G149+'22'!H149</f>
        <v>12475.660000000003</v>
      </c>
      <c r="I149" s="119"/>
      <c r="J149" s="328">
        <f>H149/DAY(B2)</f>
        <v>542.42000000000019</v>
      </c>
    </row>
    <row r="150" spans="1:10" ht="30.75" customHeight="1">
      <c r="A150" s="897" t="s">
        <v>337</v>
      </c>
      <c r="B150" s="898"/>
      <c r="C150" s="899"/>
      <c r="D150" s="117" t="s">
        <v>130</v>
      </c>
      <c r="E150" s="95">
        <f>'22'!F150</f>
        <v>41997.440000000002</v>
      </c>
      <c r="F150" s="233">
        <v>42210.78</v>
      </c>
      <c r="G150" s="112">
        <f t="shared" si="11"/>
        <v>213.33999999999651</v>
      </c>
      <c r="H150" s="99">
        <f>G150+'22'!H150</f>
        <v>4994.7799999999988</v>
      </c>
      <c r="I150" s="119"/>
      <c r="J150" s="328">
        <f>H150/DAY(B2)</f>
        <v>217.1643478260869</v>
      </c>
    </row>
    <row r="151" spans="1:10" ht="30.75" customHeight="1">
      <c r="A151" s="897" t="s">
        <v>338</v>
      </c>
      <c r="B151" s="898"/>
      <c r="C151" s="899"/>
      <c r="D151" s="117" t="s">
        <v>130</v>
      </c>
      <c r="E151" s="95">
        <f>'22'!F151</f>
        <v>124450</v>
      </c>
      <c r="F151" s="233">
        <v>124693</v>
      </c>
      <c r="G151" s="112">
        <f t="shared" si="11"/>
        <v>243</v>
      </c>
      <c r="H151" s="99">
        <f>G151+'22'!H151</f>
        <v>6556</v>
      </c>
      <c r="I151" s="119"/>
      <c r="J151" s="328">
        <f>H151/DAY(B2)</f>
        <v>285.04347826086956</v>
      </c>
    </row>
    <row r="152" spans="1:10" ht="30.75" customHeight="1">
      <c r="A152" s="897" t="s">
        <v>339</v>
      </c>
      <c r="B152" s="898"/>
      <c r="C152" s="899"/>
      <c r="D152" s="117" t="s">
        <v>130</v>
      </c>
      <c r="E152" s="95">
        <f>'22'!F152</f>
        <v>18269.59</v>
      </c>
      <c r="F152" s="233">
        <v>18398.14</v>
      </c>
      <c r="G152" s="112">
        <f t="shared" si="11"/>
        <v>128.54999999999927</v>
      </c>
      <c r="H152" s="99">
        <f>G152+'22'!H152</f>
        <v>7242.1399999999994</v>
      </c>
      <c r="I152" s="119"/>
      <c r="J152" s="328">
        <f>H152/DAY(B2)</f>
        <v>314.87565217391301</v>
      </c>
    </row>
    <row r="153" spans="1:10" ht="30.75" customHeight="1">
      <c r="A153" s="934" t="s">
        <v>196</v>
      </c>
      <c r="B153" s="935"/>
      <c r="C153" s="365"/>
      <c r="D153" s="358"/>
      <c r="E153" s="360"/>
      <c r="F153" s="361"/>
      <c r="G153" s="362">
        <f>SUM(G138:G152)</f>
        <v>2736.6400000000358</v>
      </c>
      <c r="H153" s="363"/>
      <c r="I153" s="119">
        <f>G153-(G38+G52)</f>
        <v>456.80000000001019</v>
      </c>
      <c r="J153" s="366"/>
    </row>
    <row r="154" spans="1:10" ht="30.75" customHeight="1">
      <c r="A154" s="938" t="s">
        <v>344</v>
      </c>
      <c r="B154" s="938"/>
      <c r="C154" s="938"/>
      <c r="D154" s="938"/>
      <c r="E154" s="938"/>
      <c r="F154" s="938"/>
      <c r="G154" s="938"/>
      <c r="H154" s="938"/>
      <c r="I154" s="938"/>
      <c r="J154" s="938"/>
    </row>
    <row r="155" spans="1:10" ht="30.75" customHeight="1">
      <c r="A155" s="905" t="s">
        <v>345</v>
      </c>
      <c r="B155" s="905"/>
      <c r="C155" s="905"/>
      <c r="D155" s="117" t="s">
        <v>130</v>
      </c>
      <c r="E155" s="95">
        <f>'22'!F155</f>
        <v>125599.51</v>
      </c>
      <c r="F155" s="374">
        <v>126223.69</v>
      </c>
      <c r="G155" s="112">
        <f t="shared" ref="G155:G158" si="12">F155-E155</f>
        <v>624.18000000000757</v>
      </c>
      <c r="H155" s="99">
        <f>G155+'22'!H155</f>
        <v>14248.690000000002</v>
      </c>
      <c r="I155" s="364"/>
      <c r="J155" s="161">
        <v>329</v>
      </c>
    </row>
    <row r="156" spans="1:10" ht="30.75" customHeight="1">
      <c r="A156" s="905" t="s">
        <v>347</v>
      </c>
      <c r="B156" s="905"/>
      <c r="C156" s="905"/>
      <c r="D156" s="117" t="s">
        <v>130</v>
      </c>
      <c r="E156" s="95">
        <f>'22'!F156</f>
        <v>11426.68</v>
      </c>
      <c r="F156" s="374">
        <v>11522.38</v>
      </c>
      <c r="G156" s="112">
        <f t="shared" si="12"/>
        <v>95.699999999998909</v>
      </c>
      <c r="H156" s="99">
        <f>G156+'22'!H156</f>
        <v>1837.3799999999992</v>
      </c>
      <c r="I156" s="165"/>
      <c r="J156" s="328">
        <f>H156/DAY(B2)</f>
        <v>79.886086956521709</v>
      </c>
    </row>
    <row r="157" spans="1:10" ht="30.75" customHeight="1">
      <c r="A157" s="897" t="s">
        <v>360</v>
      </c>
      <c r="B157" s="898"/>
      <c r="C157" s="899"/>
      <c r="D157" s="117" t="s">
        <v>130</v>
      </c>
      <c r="E157" s="95">
        <f>'22'!F157</f>
        <v>21862.76</v>
      </c>
      <c r="F157" s="95">
        <v>22022.66</v>
      </c>
      <c r="G157" s="112">
        <f t="shared" si="12"/>
        <v>159.90000000000146</v>
      </c>
      <c r="H157" s="99">
        <f>G157+'22'!H157</f>
        <v>631.65999999999985</v>
      </c>
      <c r="I157" s="165"/>
      <c r="J157" s="328">
        <f>H157/DAY(B2)</f>
        <v>27.463478260869557</v>
      </c>
    </row>
    <row r="158" spans="1:10" ht="30.75" customHeight="1">
      <c r="A158" s="897" t="s">
        <v>361</v>
      </c>
      <c r="B158" s="898"/>
      <c r="C158" s="899"/>
      <c r="D158" s="117" t="s">
        <v>130</v>
      </c>
      <c r="E158" s="95">
        <f>'22'!F158</f>
        <v>191.81</v>
      </c>
      <c r="F158" s="95">
        <v>191.87</v>
      </c>
      <c r="G158" s="112">
        <f t="shared" si="12"/>
        <v>6.0000000000002274E-2</v>
      </c>
      <c r="H158" s="99">
        <f>G158+'22'!H158</f>
        <v>1.8700000000000045</v>
      </c>
      <c r="I158" s="165"/>
      <c r="J158" s="328">
        <f>H158/DAY(B2)</f>
        <v>8.1304347826087156E-2</v>
      </c>
    </row>
    <row r="159" spans="1:10" ht="30.75" customHeight="1">
      <c r="A159" s="956"/>
      <c r="B159" s="957"/>
      <c r="C159" s="958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938" t="s">
        <v>326</v>
      </c>
      <c r="B160" s="938"/>
      <c r="C160" s="938"/>
      <c r="D160" s="938"/>
      <c r="E160" s="938"/>
      <c r="F160" s="938"/>
      <c r="G160" s="938"/>
      <c r="H160" s="938"/>
      <c r="I160" s="938"/>
      <c r="J160" s="938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'22'!F161</f>
        <v>477330</v>
      </c>
      <c r="F161" s="235">
        <v>477524.52</v>
      </c>
      <c r="G161" s="238">
        <f t="shared" ref="G161:G165" si="13">F161-E161</f>
        <v>194.52000000001863</v>
      </c>
      <c r="H161" s="99">
        <f>G161+'22'!H161</f>
        <v>858.52000000001863</v>
      </c>
      <c r="I161" s="236"/>
      <c r="J161" s="239">
        <f>H161/DAY(B2)</f>
        <v>37.326956521739938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'22'!F162</f>
        <v>93498.5</v>
      </c>
      <c r="F162" s="235">
        <v>93545.4</v>
      </c>
      <c r="G162" s="238">
        <f t="shared" si="13"/>
        <v>46.899999999994179</v>
      </c>
      <c r="H162" s="99">
        <f>G162+'22'!H162</f>
        <v>818.39999999999418</v>
      </c>
      <c r="I162" s="236"/>
      <c r="J162" s="239">
        <f>H162/DAY(B2)</f>
        <v>35.582608695651921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'22'!F163</f>
        <v>702.8</v>
      </c>
      <c r="F163" s="235">
        <v>883</v>
      </c>
      <c r="G163" s="238">
        <f t="shared" si="13"/>
        <v>180.20000000000005</v>
      </c>
      <c r="H163" s="99">
        <f>G163+'22'!H163</f>
        <v>3743</v>
      </c>
      <c r="I163" s="236"/>
      <c r="J163" s="239">
        <f>H163/DAY(B2)</f>
        <v>162.7391304347826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'22'!F164</f>
        <v>5799.9</v>
      </c>
      <c r="F164" s="235">
        <v>5811.9</v>
      </c>
      <c r="G164" s="238">
        <f t="shared" si="13"/>
        <v>12</v>
      </c>
      <c r="H164" s="99">
        <f>G164+'22'!H164</f>
        <v>269.89999999999964</v>
      </c>
      <c r="I164" s="236"/>
      <c r="J164" s="239">
        <f>H164/DAY(B2)</f>
        <v>11.734782608695637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'22'!F165</f>
        <v>31257.38</v>
      </c>
      <c r="F165" s="235">
        <v>31267.56</v>
      </c>
      <c r="G165" s="238">
        <f t="shared" si="13"/>
        <v>10.180000000000291</v>
      </c>
      <c r="H165" s="99">
        <f>G165+'22'!H165</f>
        <v>253.56000000000131</v>
      </c>
      <c r="I165" s="236"/>
      <c r="J165" s="239">
        <f>H165/DAY(B2)</f>
        <v>11.024347826087013</v>
      </c>
    </row>
    <row r="166" spans="1:10" ht="30.75" customHeight="1">
      <c r="A166" s="937"/>
      <c r="B166" s="937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>
      <c r="A167" s="937"/>
      <c r="B167" s="937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>
      <c r="A168" s="937"/>
      <c r="B168" s="937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>
      <c r="A171" s="947" t="s">
        <v>330</v>
      </c>
      <c r="B171" s="948"/>
      <c r="C171" s="948"/>
      <c r="D171" s="948"/>
      <c r="E171" s="948"/>
      <c r="F171" s="948"/>
      <c r="G171" s="948"/>
      <c r="H171" s="948"/>
      <c r="I171" s="948"/>
      <c r="J171" s="949"/>
    </row>
    <row r="172" spans="1:10" ht="30.75" customHeight="1">
      <c r="A172" s="943"/>
      <c r="B172" s="944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95" t="s">
        <v>209</v>
      </c>
      <c r="B173" s="896"/>
      <c r="C173" s="333"/>
      <c r="D173" s="228" t="s">
        <v>142</v>
      </c>
      <c r="E173" s="95">
        <v>8229</v>
      </c>
      <c r="F173" s="155">
        <v>8229</v>
      </c>
      <c r="G173" s="155">
        <f>F173-E173</f>
        <v>0</v>
      </c>
      <c r="H173" s="99">
        <f>G173+'22'!H173</f>
        <v>12</v>
      </c>
      <c r="I173" s="155"/>
      <c r="J173" s="178">
        <f>H173/DAY(B2)</f>
        <v>0.52173913043478259</v>
      </c>
    </row>
    <row r="174" spans="1:10" ht="30.75" customHeight="1">
      <c r="A174" s="895" t="s">
        <v>75</v>
      </c>
      <c r="B174" s="896"/>
      <c r="C174" s="333"/>
      <c r="D174" s="228" t="s">
        <v>142</v>
      </c>
      <c r="E174" s="95">
        <f>'22'!F174</f>
        <v>40661</v>
      </c>
      <c r="F174" s="157">
        <v>40677</v>
      </c>
      <c r="G174" s="155">
        <f t="shared" ref="G174:G175" si="14">F174-E174</f>
        <v>16</v>
      </c>
      <c r="H174" s="99">
        <f>G174+'22'!H174</f>
        <v>345</v>
      </c>
      <c r="I174" s="155"/>
      <c r="J174" s="178">
        <f>H174/DAY(B2)</f>
        <v>15</v>
      </c>
    </row>
    <row r="175" spans="1:10" ht="30.75" customHeight="1">
      <c r="A175" s="895" t="s">
        <v>76</v>
      </c>
      <c r="B175" s="900"/>
      <c r="C175" s="896"/>
      <c r="D175" s="228" t="s">
        <v>142</v>
      </c>
      <c r="E175" s="95">
        <f>'22'!F175</f>
        <v>23561</v>
      </c>
      <c r="F175" s="155">
        <v>23574</v>
      </c>
      <c r="G175" s="155">
        <f t="shared" si="14"/>
        <v>13</v>
      </c>
      <c r="H175" s="99">
        <f>G175+'22'!H175</f>
        <v>316</v>
      </c>
      <c r="I175" s="155"/>
      <c r="J175" s="178">
        <f>H175/DAY(B2)</f>
        <v>13.739130434782609</v>
      </c>
    </row>
    <row r="176" spans="1:10" ht="30.75" customHeight="1">
      <c r="A176" s="934" t="s">
        <v>196</v>
      </c>
      <c r="B176" s="935"/>
      <c r="C176" s="401"/>
      <c r="D176" s="228"/>
      <c r="E176" s="95"/>
      <c r="F176" s="155"/>
      <c r="G176" s="155">
        <f>SUM(G173:G175)</f>
        <v>29</v>
      </c>
      <c r="H176" s="99">
        <f>G176+'22'!H176</f>
        <v>673</v>
      </c>
      <c r="I176" s="155"/>
      <c r="J176" s="178">
        <f>H176/DAY(B2)</f>
        <v>29.260869565217391</v>
      </c>
    </row>
    <row r="177" spans="1:10" ht="30.75" customHeight="1">
      <c r="A177" s="895" t="s">
        <v>77</v>
      </c>
      <c r="B177" s="896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>
      <c r="A178" s="895" t="s">
        <v>210</v>
      </c>
      <c r="B178" s="896"/>
      <c r="C178" s="333"/>
      <c r="D178" s="228" t="s">
        <v>142</v>
      </c>
      <c r="E178" s="95">
        <f>'22'!F178</f>
        <v>94174</v>
      </c>
      <c r="F178" s="155">
        <v>94187</v>
      </c>
      <c r="G178" s="155">
        <f>F178-E178</f>
        <v>13</v>
      </c>
      <c r="H178" s="99">
        <f>G178+'22'!H178</f>
        <v>2365</v>
      </c>
      <c r="I178" s="155"/>
      <c r="J178" s="178">
        <f>H178/DAY(B2)</f>
        <v>102.82608695652173</v>
      </c>
    </row>
    <row r="179" spans="1:10" ht="30.75" customHeight="1">
      <c r="A179" s="895" t="s">
        <v>211</v>
      </c>
      <c r="B179" s="896"/>
      <c r="C179" s="333"/>
      <c r="D179" s="228" t="s">
        <v>142</v>
      </c>
      <c r="E179" s="95">
        <f>'22'!F179</f>
        <v>36002</v>
      </c>
      <c r="F179" s="155">
        <v>36002</v>
      </c>
      <c r="G179" s="155">
        <f t="shared" ref="G179:G180" si="15">F179-E179</f>
        <v>0</v>
      </c>
      <c r="H179" s="99">
        <f>G179+'22'!H179</f>
        <v>218</v>
      </c>
      <c r="I179" s="155"/>
      <c r="J179" s="178">
        <f>H179/DAY(B2)</f>
        <v>9.4782608695652169</v>
      </c>
    </row>
    <row r="180" spans="1:10" ht="30.75" customHeight="1">
      <c r="A180" s="895" t="s">
        <v>212</v>
      </c>
      <c r="B180" s="896"/>
      <c r="C180" s="333"/>
      <c r="D180" s="228" t="s">
        <v>142</v>
      </c>
      <c r="E180" s="95">
        <f>'22'!F180</f>
        <v>6821</v>
      </c>
      <c r="F180" s="155">
        <v>6826</v>
      </c>
      <c r="G180" s="155">
        <f t="shared" si="15"/>
        <v>5</v>
      </c>
      <c r="H180" s="99">
        <f>G180+'22'!H180</f>
        <v>156</v>
      </c>
      <c r="I180" s="155"/>
      <c r="J180" s="178">
        <f>H180/DAY(B2)</f>
        <v>6.7826086956521738</v>
      </c>
    </row>
    <row r="181" spans="1:10" ht="30.75" customHeight="1">
      <c r="A181" s="941" t="s">
        <v>108</v>
      </c>
      <c r="B181" s="942"/>
      <c r="C181" s="401"/>
      <c r="D181" s="228"/>
      <c r="E181" s="95"/>
      <c r="F181" s="155"/>
      <c r="G181" s="155">
        <f>SUM(G178:G180)</f>
        <v>18</v>
      </c>
      <c r="H181" s="99">
        <f>G181+'22'!H181</f>
        <v>2739</v>
      </c>
      <c r="I181" s="155"/>
      <c r="J181" s="178">
        <f>H181/DAY(B2)</f>
        <v>119.08695652173913</v>
      </c>
    </row>
    <row r="182" spans="1:10" ht="30.75" customHeight="1">
      <c r="A182" s="895" t="s">
        <v>213</v>
      </c>
      <c r="B182" s="896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>
      <c r="A183" s="895" t="s">
        <v>214</v>
      </c>
      <c r="B183" s="896"/>
      <c r="C183" s="334"/>
      <c r="D183" s="228" t="s">
        <v>142</v>
      </c>
      <c r="E183" s="95">
        <f>'22'!F183</f>
        <v>17225</v>
      </c>
      <c r="F183" s="157">
        <v>17232</v>
      </c>
      <c r="G183" s="157">
        <f>F183-E183</f>
        <v>7</v>
      </c>
      <c r="H183" s="99">
        <f>G183+'22'!H183</f>
        <v>277</v>
      </c>
      <c r="I183" s="155"/>
      <c r="J183" s="178">
        <f>H183/DAY(B2)</f>
        <v>12.043478260869565</v>
      </c>
    </row>
    <row r="184" spans="1:10" ht="30.75" customHeight="1">
      <c r="A184" s="895" t="s">
        <v>215</v>
      </c>
      <c r="B184" s="896"/>
      <c r="C184" s="334"/>
      <c r="D184" s="228" t="s">
        <v>142</v>
      </c>
      <c r="E184" s="95">
        <f>'22'!F184</f>
        <v>11639</v>
      </c>
      <c r="F184" s="157">
        <v>11646</v>
      </c>
      <c r="G184" s="157">
        <f t="shared" ref="G184:G185" si="16">F184-E184</f>
        <v>7</v>
      </c>
      <c r="H184" s="99">
        <f>G184+'22'!H184</f>
        <v>160</v>
      </c>
      <c r="I184" s="155"/>
      <c r="J184" s="178">
        <f>H184/DAY(B2)</f>
        <v>6.9565217391304346</v>
      </c>
    </row>
    <row r="185" spans="1:10" ht="30.75" customHeight="1">
      <c r="A185" s="895" t="s">
        <v>216</v>
      </c>
      <c r="B185" s="896"/>
      <c r="C185" s="334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>
      <c r="A186" s="934" t="s">
        <v>196</v>
      </c>
      <c r="B186" s="935"/>
      <c r="C186" s="400"/>
      <c r="D186" s="229"/>
      <c r="E186" s="95"/>
      <c r="F186" s="157"/>
      <c r="G186" s="157">
        <f>SUM(G183:G185)</f>
        <v>14</v>
      </c>
      <c r="H186" s="99">
        <f>G186+'22'!H186</f>
        <v>437</v>
      </c>
      <c r="I186" s="157"/>
      <c r="J186" s="178">
        <f>H186/DAY(B2)</f>
        <v>19</v>
      </c>
    </row>
    <row r="187" spans="1:10" ht="30.75" customHeight="1">
      <c r="A187" s="945" t="s">
        <v>217</v>
      </c>
      <c r="B187" s="946"/>
      <c r="C187" s="333"/>
      <c r="D187" s="230" t="s">
        <v>142</v>
      </c>
      <c r="E187" s="95"/>
      <c r="F187" s="159"/>
      <c r="G187" s="378">
        <f>G62+G19</f>
        <v>161</v>
      </c>
      <c r="H187" s="99">
        <f>G187+'22'!H187</f>
        <v>4331</v>
      </c>
      <c r="I187" s="158"/>
      <c r="J187" s="179">
        <f>H187/DAY(B2)</f>
        <v>188.30434782608697</v>
      </c>
    </row>
    <row r="188" spans="1:10" ht="30.75" customHeight="1">
      <c r="A188" s="945" t="s">
        <v>218</v>
      </c>
      <c r="B188" s="946"/>
      <c r="C188" s="333"/>
      <c r="D188" s="230" t="s">
        <v>142</v>
      </c>
      <c r="E188" s="95"/>
      <c r="F188" s="159"/>
      <c r="G188" s="378">
        <f>G65+G66+G67+G69+G70</f>
        <v>154</v>
      </c>
      <c r="H188" s="99">
        <f>G188+'22'!H188</f>
        <v>1342</v>
      </c>
      <c r="I188" s="158"/>
      <c r="J188" s="179">
        <f>H188/DAY(B2)</f>
        <v>58.347826086956523</v>
      </c>
    </row>
    <row r="189" spans="1:10" ht="30.75" customHeight="1">
      <c r="A189" s="945" t="s">
        <v>219</v>
      </c>
      <c r="B189" s="946"/>
      <c r="C189" s="333"/>
      <c r="D189" s="230" t="s">
        <v>142</v>
      </c>
      <c r="E189" s="95"/>
      <c r="F189" s="157"/>
      <c r="G189" s="377">
        <f>G181</f>
        <v>18</v>
      </c>
      <c r="H189" s="99">
        <f>G189+'22'!H189</f>
        <v>477</v>
      </c>
      <c r="I189" s="158"/>
      <c r="J189" s="179">
        <f>H189/DAY(B2)</f>
        <v>20.739130434782609</v>
      </c>
    </row>
    <row r="190" spans="1:10" ht="30.75" customHeight="1">
      <c r="A190" s="939"/>
      <c r="B190" s="940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topLeftCell="A127" zoomScale="55" zoomScaleNormal="44" zoomScaleSheetLayoutView="55" workbookViewId="0">
      <selection activeCell="F147" sqref="F147"/>
    </sheetView>
  </sheetViews>
  <sheetFormatPr defaultColWidth="22.33203125" defaultRowHeight="21.95" customHeight="1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6" t="s">
        <v>115</v>
      </c>
      <c r="B1" s="877"/>
      <c r="C1" s="877"/>
      <c r="D1" s="877"/>
      <c r="E1" s="877"/>
      <c r="F1" s="877"/>
      <c r="G1" s="877"/>
      <c r="H1" s="877"/>
      <c r="I1" s="877"/>
      <c r="J1" s="878"/>
    </row>
    <row r="2" spans="1:15" s="57" customFormat="1" ht="23.25">
      <c r="A2" s="191" t="s">
        <v>354</v>
      </c>
      <c r="B2" s="262">
        <v>44736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885" t="s">
        <v>119</v>
      </c>
      <c r="F3" s="886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9" t="s">
        <v>128</v>
      </c>
      <c r="B6" s="880"/>
      <c r="C6" s="88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'23'!F7</f>
        <v>334572.23</v>
      </c>
      <c r="F7" s="95">
        <v>362079.39</v>
      </c>
      <c r="G7" s="112">
        <f>F7-E7</f>
        <v>27507.160000000033</v>
      </c>
      <c r="H7" s="99">
        <f>G7+'23'!H7</f>
        <v>669252.39</v>
      </c>
      <c r="I7" s="113">
        <f>'1'!I7</f>
        <v>12000</v>
      </c>
      <c r="J7" s="175">
        <f>H7/DAY(B2)</f>
        <v>27885.516250000001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'23'!F8</f>
        <v>470254.75</v>
      </c>
      <c r="F8" s="114">
        <v>498251.63</v>
      </c>
      <c r="G8" s="115">
        <f>F8-E8</f>
        <v>27996.880000000005</v>
      </c>
      <c r="H8" s="99">
        <f>G8+'23'!H8</f>
        <v>689592.7300000001</v>
      </c>
      <c r="I8" s="116"/>
      <c r="J8" s="175">
        <f>H8/DAY(B2)</f>
        <v>28733.030416666672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'23'!F9</f>
        <v>2823549.1</v>
      </c>
      <c r="F9" s="469">
        <v>2838366.3</v>
      </c>
      <c r="G9" s="112">
        <f>F9-E9</f>
        <v>14817.199999999721</v>
      </c>
      <c r="H9" s="99">
        <f>G9+'23'!H9</f>
        <v>388257.59999999963</v>
      </c>
      <c r="I9" s="124">
        <f>I7-J7</f>
        <v>-15885.516250000001</v>
      </c>
      <c r="J9" s="175">
        <f>H9/DAY(B2)</f>
        <v>16177.399999999985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'23'!F10</f>
        <v>1146187.2</v>
      </c>
      <c r="F10" s="353">
        <v>1158177.8</v>
      </c>
      <c r="G10" s="112">
        <f t="shared" ref="G10:G12" si="0">F10-E10</f>
        <v>11990.600000000093</v>
      </c>
      <c r="H10" s="99">
        <f>G10+'23'!H10</f>
        <v>247774.60000000009</v>
      </c>
      <c r="I10" s="282"/>
      <c r="J10" s="175">
        <f>H10/DAY(B2)</f>
        <v>10323.941666666671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'23'!F11</f>
        <v>37560</v>
      </c>
      <c r="F11" s="95">
        <v>37560</v>
      </c>
      <c r="G11" s="112">
        <f t="shared" si="0"/>
        <v>0</v>
      </c>
      <c r="H11" s="99">
        <f>G11+'23'!H11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'23'!F12</f>
        <v>40380</v>
      </c>
      <c r="F12" s="117">
        <v>40380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26807.799999999814</v>
      </c>
      <c r="H13" s="99">
        <f>G13+'23'!H13</f>
        <v>635893.19999999972</v>
      </c>
      <c r="I13" s="120">
        <f>G7-G13</f>
        <v>699.36000000021886</v>
      </c>
      <c r="J13" s="175">
        <f>H13/DAY(B2)</f>
        <v>26495.549999999988</v>
      </c>
      <c r="K13" s="79"/>
      <c r="L13" s="66"/>
      <c r="N13" s="87"/>
      <c r="O13" s="71"/>
    </row>
    <row r="14" spans="1:15" ht="26.25">
      <c r="A14" s="882" t="s">
        <v>137</v>
      </c>
      <c r="B14" s="883"/>
      <c r="C14" s="88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'23'!F15</f>
        <v>2061215.5</v>
      </c>
      <c r="F15" s="469">
        <v>2062176.45</v>
      </c>
      <c r="G15" s="112">
        <f>(F15-E15)</f>
        <v>960.94999999995343</v>
      </c>
      <c r="H15" s="99">
        <f>G15+'23'!H15</f>
        <v>25059.449999999953</v>
      </c>
      <c r="I15" s="113">
        <f>'1'!I15</f>
        <v>800</v>
      </c>
      <c r="J15" s="175">
        <f>H15/DAY(B2)</f>
        <v>1044.1437499999981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-244.14374999999814</v>
      </c>
      <c r="J16" s="176"/>
      <c r="K16" s="79"/>
      <c r="L16" s="66"/>
      <c r="N16" s="87"/>
      <c r="O16" s="71"/>
    </row>
    <row r="17" spans="1:15" ht="26.25">
      <c r="A17" s="882" t="s">
        <v>140</v>
      </c>
      <c r="B17" s="883"/>
      <c r="C17" s="88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3" t="s">
        <v>141</v>
      </c>
      <c r="B18" s="874"/>
      <c r="C18" s="875"/>
      <c r="D18" s="151" t="s">
        <v>142</v>
      </c>
      <c r="E18" s="95">
        <f>'23'!F18</f>
        <v>13</v>
      </c>
      <c r="F18" s="122">
        <v>18</v>
      </c>
      <c r="G18" s="119">
        <f>F18*10</f>
        <v>180</v>
      </c>
      <c r="H18" s="99">
        <f>G18+'23'!H18</f>
        <v>5140</v>
      </c>
      <c r="I18" s="113">
        <f>'1'!I18</f>
        <v>65</v>
      </c>
      <c r="J18" s="175">
        <f>H18/DAY(B2)</f>
        <v>214.16666666666666</v>
      </c>
      <c r="K18" s="79"/>
      <c r="L18" s="66"/>
      <c r="N18" s="87"/>
      <c r="O18" s="71"/>
    </row>
    <row r="19" spans="1:15" ht="25.5">
      <c r="A19" s="873" t="s">
        <v>69</v>
      </c>
      <c r="B19" s="874"/>
      <c r="C19" s="875"/>
      <c r="D19" s="151" t="s">
        <v>142</v>
      </c>
      <c r="E19" s="95">
        <f>'23'!F19</f>
        <v>161303</v>
      </c>
      <c r="F19" s="122">
        <v>161356</v>
      </c>
      <c r="G19" s="112">
        <f t="shared" ref="G19" si="1">F19-E19</f>
        <v>53</v>
      </c>
      <c r="H19" s="99">
        <f>G19+'23'!H19</f>
        <v>1246</v>
      </c>
      <c r="I19" s="335"/>
      <c r="J19" s="175">
        <f>H19/DAY(B2)</f>
        <v>51.916666666666664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233</v>
      </c>
      <c r="H20" s="99">
        <f>G20+'23'!H20</f>
        <v>6386</v>
      </c>
      <c r="I20" s="336">
        <f>I18-J20</f>
        <v>-201.08333333333331</v>
      </c>
      <c r="J20" s="175">
        <f>H20/DAY(B2)</f>
        <v>266.08333333333331</v>
      </c>
      <c r="K20" s="79"/>
      <c r="L20" s="66"/>
      <c r="N20" s="87"/>
      <c r="O20" s="71"/>
    </row>
    <row r="21" spans="1:15" ht="26.25">
      <c r="A21" s="882" t="s">
        <v>144</v>
      </c>
      <c r="B21" s="883"/>
      <c r="C21" s="88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'23'!F23</f>
        <v>1500</v>
      </c>
      <c r="F23" s="122">
        <v>1500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'23'!F24</f>
        <v>4470</v>
      </c>
      <c r="F24" s="128">
        <v>4470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7" t="s">
        <v>149</v>
      </c>
      <c r="B25" s="888"/>
      <c r="C25" s="88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27996.880000000005</v>
      </c>
      <c r="F27" s="136">
        <v>9</v>
      </c>
      <c r="G27" s="137">
        <f>E27*F27</f>
        <v>251971.92000000004</v>
      </c>
      <c r="H27" s="99">
        <f>G27+'23'!H27</f>
        <v>6206334.5700000003</v>
      </c>
      <c r="I27" s="138"/>
      <c r="J27" s="175">
        <f>H27/DAY(B2)</f>
        <v>258597.27375000002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960.94999999995343</v>
      </c>
      <c r="F28" s="136">
        <v>52</v>
      </c>
      <c r="G28" s="137">
        <f>E28*F28</f>
        <v>49969.399999997579</v>
      </c>
      <c r="H28" s="99">
        <f>G28+'23'!H28</f>
        <v>1682306.3999999976</v>
      </c>
      <c r="I28" s="140"/>
      <c r="J28" s="175">
        <f>H28/DAY(B2)</f>
        <v>70096.099999999904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G30+'23'!H30</f>
        <v>187131</v>
      </c>
      <c r="I30" s="140"/>
      <c r="J30" s="175">
        <f>H30/DAY(B2)</f>
        <v>7797.125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G31+'23'!H31</f>
        <v>411200</v>
      </c>
      <c r="I31" s="140"/>
      <c r="J31" s="175">
        <f>H31/DAY(B2)</f>
        <v>17133.333333333332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324079.31999999762</v>
      </c>
      <c r="H32" s="99">
        <f>G32+'23'!H32</f>
        <v>8486971.9699999988</v>
      </c>
      <c r="I32" s="144"/>
      <c r="J32" s="175">
        <f>H32/DAY(B2)</f>
        <v>353623.83208333328</v>
      </c>
      <c r="K32" s="63"/>
      <c r="L32" s="89"/>
      <c r="N32" s="87"/>
      <c r="O32" s="71"/>
    </row>
    <row r="33" spans="1:15" ht="25.5">
      <c r="A33" s="890" t="s">
        <v>331</v>
      </c>
      <c r="B33" s="891"/>
      <c r="C33" s="89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'23'!F35</f>
        <v>238714</v>
      </c>
      <c r="F35" s="145">
        <v>238714</v>
      </c>
      <c r="G35" s="112">
        <f t="shared" ref="G35:G46" si="3">F35-E35</f>
        <v>0</v>
      </c>
      <c r="H35" s="99">
        <f>G35+'23'!H35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'23'!F36</f>
        <v>180922.33</v>
      </c>
      <c r="F36" s="145">
        <v>181742.95</v>
      </c>
      <c r="G36" s="112">
        <f t="shared" si="3"/>
        <v>820.62000000002445</v>
      </c>
      <c r="H36" s="99">
        <f>G36+'23'!H36</f>
        <v>21294.950000000012</v>
      </c>
      <c r="I36" s="95"/>
      <c r="J36" s="175">
        <f>H36/DAY(B2)</f>
        <v>887.28958333333378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'23'!F37</f>
        <v>275426.90000000002</v>
      </c>
      <c r="F37" s="145">
        <v>277054.95</v>
      </c>
      <c r="G37" s="112">
        <f t="shared" si="3"/>
        <v>1628.0499999999884</v>
      </c>
      <c r="H37" s="99">
        <f>G37+'23'!H37</f>
        <v>41275.950000000012</v>
      </c>
      <c r="I37" s="95"/>
      <c r="J37" s="175">
        <f>H37/DAY(B2)</f>
        <v>1719.8312500000004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'23'!F38</f>
        <v>371505.39</v>
      </c>
      <c r="F38" s="108">
        <v>373753.91</v>
      </c>
      <c r="G38" s="112">
        <f t="shared" si="3"/>
        <v>2248.5199999999604</v>
      </c>
      <c r="H38" s="99">
        <f>G38+'23'!H38</f>
        <v>55461.909999999974</v>
      </c>
      <c r="I38" s="95"/>
      <c r="J38" s="175">
        <f>H38/DAY(B2)</f>
        <v>2310.9129166666658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'23'!F39</f>
        <v>502666.27</v>
      </c>
      <c r="F39" s="145">
        <v>505659.71</v>
      </c>
      <c r="G39" s="112">
        <f t="shared" si="3"/>
        <v>2993.4400000000023</v>
      </c>
      <c r="H39" s="99">
        <f>G39+'23'!H39</f>
        <v>70329.800000000047</v>
      </c>
      <c r="I39" s="95"/>
      <c r="J39" s="175">
        <f>H39/DAY(B2)</f>
        <v>2930.4083333333351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'23'!F40</f>
        <v>81009.039999999994</v>
      </c>
      <c r="F40" s="145">
        <v>81307.820000000007</v>
      </c>
      <c r="G40" s="112">
        <f t="shared" si="3"/>
        <v>298.78000000001339</v>
      </c>
      <c r="H40" s="99">
        <f>G40+'23'!H40</f>
        <v>7754.820000000007</v>
      </c>
      <c r="I40" s="95"/>
      <c r="J40" s="175">
        <f>H40/DAY(B2)</f>
        <v>323.11750000000029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'23'!F41</f>
        <v>142818.41</v>
      </c>
      <c r="F41" s="145">
        <v>142818.41</v>
      </c>
      <c r="G41" s="112">
        <f t="shared" si="3"/>
        <v>0</v>
      </c>
      <c r="H41" s="99">
        <f>G41+'23'!H41</f>
        <v>73983.41</v>
      </c>
      <c r="I41" s="95"/>
      <c r="J41" s="175">
        <f>H41/DAY(B2)</f>
        <v>3082.6420833333336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'23'!F42</f>
        <v>656780.75</v>
      </c>
      <c r="F42" s="145">
        <v>662595.55000000005</v>
      </c>
      <c r="G42" s="112">
        <f t="shared" si="3"/>
        <v>5814.8000000000466</v>
      </c>
      <c r="H42" s="99">
        <f>G42+'23'!H42</f>
        <v>99723.550000000047</v>
      </c>
      <c r="I42" s="95"/>
      <c r="J42" s="175">
        <f>H42/DAY(B2)</f>
        <v>4155.1479166666686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'23'!F43</f>
        <v>407028.03</v>
      </c>
      <c r="F43" s="145">
        <v>407028.03</v>
      </c>
      <c r="G43" s="112">
        <f t="shared" si="3"/>
        <v>0</v>
      </c>
      <c r="H43" s="99">
        <f>G43+'23'!H43</f>
        <v>3.0000000027939677E-2</v>
      </c>
      <c r="I43" s="95"/>
      <c r="J43" s="175">
        <f>H43/DAY(B2)</f>
        <v>1.2500000011641532E-3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13804.210000000036</v>
      </c>
      <c r="H47" s="99">
        <f>G47+'23'!H47</f>
        <v>369824.4200000001</v>
      </c>
      <c r="I47" s="95"/>
      <c r="J47" s="175">
        <f>H47/DAY(B2)</f>
        <v>15409.350833333338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'23'!F49</f>
        <v>342702.67</v>
      </c>
      <c r="F49" s="145">
        <v>346373.83</v>
      </c>
      <c r="G49" s="112">
        <f t="shared" ref="G49:G58" si="4">F49-E49</f>
        <v>3671.1600000000326</v>
      </c>
      <c r="H49" s="99">
        <f>G49+'23'!H49</f>
        <v>86226.830000000016</v>
      </c>
      <c r="I49" s="95"/>
      <c r="J49" s="175">
        <f>H49/DAY(B2)</f>
        <v>3592.784583333334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'23'!F50</f>
        <v>235549.19</v>
      </c>
      <c r="F50" s="145">
        <v>236571.91</v>
      </c>
      <c r="G50" s="112">
        <f t="shared" si="4"/>
        <v>1022.7200000000012</v>
      </c>
      <c r="H50" s="99">
        <f>G50+'23'!H50</f>
        <v>27007.910000000003</v>
      </c>
      <c r="I50" s="95"/>
      <c r="J50" s="175">
        <f>H50/DAY(B2)</f>
        <v>1125.3295833333334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'23'!F51</f>
        <v>76</v>
      </c>
      <c r="F51" s="145">
        <v>76</v>
      </c>
      <c r="G51" s="112">
        <f t="shared" si="4"/>
        <v>0</v>
      </c>
      <c r="H51" s="99">
        <f>G51+'23'!H51</f>
        <v>0.31999999999999318</v>
      </c>
      <c r="I51" s="95"/>
      <c r="J51" s="175">
        <f>H51/DAY(B2)</f>
        <v>1.333333333333305E-2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'23'!F52</f>
        <v>10</v>
      </c>
      <c r="F52" s="145">
        <v>10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'23'!F54</f>
        <v>74554.87</v>
      </c>
      <c r="F54" s="145">
        <v>74910.48</v>
      </c>
      <c r="G54" s="112">
        <f t="shared" si="4"/>
        <v>355.61000000000058</v>
      </c>
      <c r="H54" s="99">
        <f>G54+'23'!H54</f>
        <v>10354.479999999996</v>
      </c>
      <c r="I54" s="95"/>
      <c r="J54" s="175">
        <f>H54/DAY(B2)</f>
        <v>431.4366666666665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'23'!F55</f>
        <v>260896.35</v>
      </c>
      <c r="F55" s="145">
        <v>263552.81</v>
      </c>
      <c r="G55" s="112">
        <f t="shared" si="4"/>
        <v>2656.4599999999919</v>
      </c>
      <c r="H55" s="99">
        <f>G55+'23'!H55</f>
        <v>38079.81</v>
      </c>
      <c r="I55" s="95"/>
      <c r="J55" s="175">
        <f>H55/DAY(B2)</f>
        <v>1586.6587499999998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'23'!F56</f>
        <v>111243.13</v>
      </c>
      <c r="F56" s="145">
        <v>111243.13</v>
      </c>
      <c r="G56" s="112">
        <f t="shared" si="4"/>
        <v>0</v>
      </c>
      <c r="H56" s="99">
        <f>G56+'23'!H56</f>
        <v>3997.1300000000047</v>
      </c>
      <c r="I56" s="95"/>
      <c r="J56" s="175">
        <f>H56/DAY(B2)</f>
        <v>166.54708333333352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'23'!F57</f>
        <v>109785.89</v>
      </c>
      <c r="F57" s="145">
        <v>113016.03</v>
      </c>
      <c r="G57" s="112">
        <f t="shared" si="4"/>
        <v>3230.1399999999994</v>
      </c>
      <c r="H57" s="99">
        <f>G57+'23'!H57</f>
        <v>75413.03</v>
      </c>
      <c r="I57" s="95"/>
      <c r="J57" s="175">
        <f>H57/DAY(B2)</f>
        <v>3142.2095833333333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'23'!F58</f>
        <v>38309.42</v>
      </c>
      <c r="F58" s="145">
        <v>38598.43</v>
      </c>
      <c r="G58" s="112">
        <f t="shared" si="4"/>
        <v>289.01000000000204</v>
      </c>
      <c r="H58" s="99">
        <f>G58+'23'!H58</f>
        <v>5709.43</v>
      </c>
      <c r="I58" s="95"/>
      <c r="J58" s="175">
        <f>H58/DAY(B2)</f>
        <v>237.89291666666668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11225.100000000028</v>
      </c>
      <c r="H59" s="99">
        <f>G59+'23'!H59</f>
        <v>246788.94000000003</v>
      </c>
      <c r="I59" s="95">
        <f>G7-G60</f>
        <v>2477.8499999999694</v>
      </c>
      <c r="J59" s="175">
        <f>H59/DAY(B2)</f>
        <v>10282.872500000001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25029.310000000063</v>
      </c>
      <c r="H60" s="99">
        <f>G60+'23'!H60</f>
        <v>616613.3600000001</v>
      </c>
      <c r="I60" s="95">
        <f>G13-G60</f>
        <v>1778.4899999997506</v>
      </c>
      <c r="J60" s="175">
        <f>H60/DAY(B2)</f>
        <v>25692.223333333339</v>
      </c>
      <c r="K60" s="79"/>
      <c r="L60" s="66"/>
      <c r="N60" s="87"/>
      <c r="O60" s="71"/>
    </row>
    <row r="61" spans="1:15" s="68" customFormat="1" ht="26.25">
      <c r="A61" s="892" t="s">
        <v>332</v>
      </c>
      <c r="B61" s="893"/>
      <c r="C61" s="89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3" t="s">
        <v>198</v>
      </c>
      <c r="B62" s="874"/>
      <c r="C62" s="875"/>
      <c r="D62" s="151" t="s">
        <v>142</v>
      </c>
      <c r="E62" s="95">
        <f>'23'!F62</f>
        <v>292038</v>
      </c>
      <c r="F62" s="122">
        <v>292141</v>
      </c>
      <c r="G62" s="112">
        <f t="shared" ref="G62:G63" si="5">F62-E62</f>
        <v>103</v>
      </c>
      <c r="H62" s="99">
        <f>G62+'23'!H62</f>
        <v>3241</v>
      </c>
      <c r="I62" s="118"/>
      <c r="J62" s="175">
        <f>H62/DAY(B2)</f>
        <v>135.04166666666666</v>
      </c>
      <c r="K62" s="80"/>
      <c r="L62" s="66"/>
      <c r="N62" s="87"/>
      <c r="O62" s="71"/>
    </row>
    <row r="63" spans="1:15" ht="25.5">
      <c r="A63" s="873" t="s">
        <v>199</v>
      </c>
      <c r="B63" s="874"/>
      <c r="C63" s="875"/>
      <c r="D63" s="151" t="s">
        <v>142</v>
      </c>
      <c r="E63" s="95">
        <f>'23'!F63</f>
        <v>234223</v>
      </c>
      <c r="F63" s="122">
        <v>234289</v>
      </c>
      <c r="G63" s="112">
        <f t="shared" si="5"/>
        <v>66</v>
      </c>
      <c r="H63" s="99">
        <f>G63+'23'!H63</f>
        <v>3127</v>
      </c>
      <c r="I63" s="118"/>
      <c r="J63" s="175">
        <f>H63/DAY(B2)</f>
        <v>130.29166666666666</v>
      </c>
      <c r="K63" s="69"/>
      <c r="L63" s="66"/>
      <c r="N63" s="87"/>
      <c r="O63" s="71"/>
    </row>
    <row r="64" spans="1:15" ht="26.25">
      <c r="A64" s="870" t="s">
        <v>200</v>
      </c>
      <c r="B64" s="871"/>
      <c r="C64" s="872"/>
      <c r="D64" s="151"/>
      <c r="E64" s="95">
        <f>'23'!F64</f>
        <v>0</v>
      </c>
      <c r="F64" s="122"/>
      <c r="G64" s="112">
        <f>G62+G63</f>
        <v>169</v>
      </c>
      <c r="H64" s="99">
        <f>G64+'23'!H64</f>
        <v>6368</v>
      </c>
      <c r="I64" s="118"/>
      <c r="J64" s="175">
        <f>H64/DAY(B2)</f>
        <v>265.33333333333331</v>
      </c>
      <c r="K64" s="69"/>
      <c r="L64" s="66"/>
      <c r="N64" s="87"/>
      <c r="O64" s="71"/>
    </row>
    <row r="65" spans="1:15" ht="25.5">
      <c r="A65" s="873" t="s">
        <v>201</v>
      </c>
      <c r="B65" s="874"/>
      <c r="C65" s="875"/>
      <c r="D65" s="151" t="s">
        <v>142</v>
      </c>
      <c r="E65" s="95">
        <f>'23'!F65</f>
        <v>450720</v>
      </c>
      <c r="F65" s="122">
        <v>450817</v>
      </c>
      <c r="G65" s="112">
        <f t="shared" ref="G65:G70" si="6">F65-E65</f>
        <v>97</v>
      </c>
      <c r="H65" s="99">
        <f>G65+'23'!H65</f>
        <v>2790</v>
      </c>
      <c r="I65" s="118"/>
      <c r="J65" s="175">
        <f>H65/DAY(B2)</f>
        <v>116.25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'23'!F66</f>
        <v>110899</v>
      </c>
      <c r="F66" s="122">
        <v>110918</v>
      </c>
      <c r="G66" s="112">
        <f t="shared" si="6"/>
        <v>19</v>
      </c>
      <c r="H66" s="99">
        <f>G66+'23'!H66</f>
        <v>587</v>
      </c>
      <c r="I66" s="118"/>
      <c r="J66" s="175">
        <f>H66/DAY(B2)</f>
        <v>24.458333333333332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'23'!F67</f>
        <v>113681</v>
      </c>
      <c r="F67" s="122">
        <v>113681</v>
      </c>
      <c r="G67" s="112">
        <f t="shared" si="6"/>
        <v>0</v>
      </c>
      <c r="H67" s="99">
        <f>G67+'23'!H67</f>
        <v>403</v>
      </c>
      <c r="I67" s="118"/>
      <c r="J67" s="175">
        <f>H67/DAY(B2)</f>
        <v>16.791666666666668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'23'!F68</f>
        <v>163279</v>
      </c>
      <c r="F68" s="122">
        <v>163317</v>
      </c>
      <c r="G68" s="112">
        <f t="shared" si="6"/>
        <v>38</v>
      </c>
      <c r="H68" s="99">
        <f>G68+'23'!H68</f>
        <v>823</v>
      </c>
      <c r="I68" s="118"/>
      <c r="J68" s="175">
        <f>H68/DAY(B2)</f>
        <v>34.291666666666664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'23'!F69</f>
        <v>12095</v>
      </c>
      <c r="F69" s="122">
        <v>12099</v>
      </c>
      <c r="G69" s="112">
        <f t="shared" si="6"/>
        <v>4</v>
      </c>
      <c r="H69" s="99">
        <f>G69+'23'!H69</f>
        <v>230</v>
      </c>
      <c r="I69" s="118"/>
      <c r="J69" s="175">
        <f>H69/DAY(B2)</f>
        <v>9.5833333333333339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'23'!F70</f>
        <v>9464</v>
      </c>
      <c r="F70" s="122">
        <v>9472</v>
      </c>
      <c r="G70" s="112">
        <f t="shared" si="6"/>
        <v>8</v>
      </c>
      <c r="H70" s="99">
        <f>G70+'23'!H70</f>
        <v>205</v>
      </c>
      <c r="I70" s="118"/>
      <c r="J70" s="175">
        <f>H70/DAY(B2)</f>
        <v>8.5416666666666661</v>
      </c>
      <c r="K70" s="69"/>
      <c r="L70" s="66"/>
      <c r="N70" s="87"/>
      <c r="O70" s="71"/>
    </row>
    <row r="71" spans="1:15" ht="26.25">
      <c r="A71" s="870" t="s">
        <v>208</v>
      </c>
      <c r="B71" s="871"/>
      <c r="C71" s="872"/>
      <c r="D71" s="152"/>
      <c r="E71" s="152"/>
      <c r="F71" s="152"/>
      <c r="G71" s="153">
        <f>SUM(G65:G70)</f>
        <v>166</v>
      </c>
      <c r="H71" s="99">
        <f>G71+'23'!H71</f>
        <v>5038</v>
      </c>
      <c r="I71" s="154"/>
      <c r="J71" s="175">
        <f>H71/DAY(B2)</f>
        <v>209.91666666666666</v>
      </c>
      <c r="K71" s="69"/>
      <c r="L71" s="66"/>
      <c r="N71" s="87"/>
      <c r="O71" s="71"/>
    </row>
    <row r="72" spans="1:15" s="88" customFormat="1" ht="25.5">
      <c r="A72" s="916"/>
      <c r="B72" s="90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3" t="s">
        <v>220</v>
      </c>
      <c r="B74" s="874"/>
      <c r="C74" s="875"/>
      <c r="D74" s="151" t="s">
        <v>139</v>
      </c>
      <c r="E74" s="95">
        <f>'23'!F74</f>
        <v>945711.89</v>
      </c>
      <c r="F74" s="117">
        <v>946000.38</v>
      </c>
      <c r="G74" s="112">
        <f t="shared" ref="G74:G78" si="7">F74-E74</f>
        <v>288.48999999999069</v>
      </c>
      <c r="H74" s="99">
        <f>G74+'23'!H74</f>
        <v>7330.3800000000047</v>
      </c>
      <c r="I74" s="154"/>
      <c r="J74" s="175">
        <f>H74/DAY(B2)</f>
        <v>305.43250000000018</v>
      </c>
      <c r="K74" s="69"/>
      <c r="L74" s="66"/>
      <c r="N74" s="87"/>
      <c r="O74" s="71"/>
    </row>
    <row r="75" spans="1:15" ht="25.5">
      <c r="A75" s="873" t="s">
        <v>221</v>
      </c>
      <c r="B75" s="874"/>
      <c r="C75" s="875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7" t="s">
        <v>222</v>
      </c>
      <c r="B76" s="903"/>
      <c r="C76" s="904"/>
      <c r="D76" s="151" t="s">
        <v>139</v>
      </c>
      <c r="E76" s="95">
        <f>'23'!F76</f>
        <v>186235.77</v>
      </c>
      <c r="F76" s="123">
        <v>186317.65</v>
      </c>
      <c r="G76" s="112">
        <f t="shared" si="7"/>
        <v>81.880000000004657</v>
      </c>
      <c r="H76" s="99">
        <f>G76+'23'!H76</f>
        <v>2611.6499999999942</v>
      </c>
      <c r="I76" s="154"/>
      <c r="J76" s="175">
        <f>H76/DAY(B2)</f>
        <v>108.81874999999975</v>
      </c>
      <c r="K76" s="69"/>
      <c r="L76" s="66"/>
      <c r="N76" s="87"/>
      <c r="O76" s="71"/>
    </row>
    <row r="77" spans="1:15" ht="25.5">
      <c r="A77" s="917" t="s">
        <v>223</v>
      </c>
      <c r="B77" s="903"/>
      <c r="C77" s="904"/>
      <c r="D77" s="151" t="s">
        <v>139</v>
      </c>
      <c r="E77" s="95">
        <f>'23'!F77</f>
        <v>48423.8</v>
      </c>
      <c r="F77" s="123">
        <v>48466.7</v>
      </c>
      <c r="G77" s="112">
        <f t="shared" si="7"/>
        <v>42.899999999994179</v>
      </c>
      <c r="H77" s="99">
        <f>G77+'23'!H77</f>
        <v>1121.6999999999971</v>
      </c>
      <c r="I77" s="154"/>
      <c r="J77" s="175">
        <f>H77/DAY(B2)</f>
        <v>46.737499999999876</v>
      </c>
      <c r="K77" s="69"/>
      <c r="L77" s="66"/>
      <c r="N77" s="87"/>
      <c r="O77" s="71"/>
    </row>
    <row r="78" spans="1:15" ht="25.5">
      <c r="A78" s="917" t="s">
        <v>224</v>
      </c>
      <c r="B78" s="903"/>
      <c r="C78" s="904"/>
      <c r="D78" s="151" t="s">
        <v>139</v>
      </c>
      <c r="E78" s="95">
        <f>'23'!F78</f>
        <v>9564</v>
      </c>
      <c r="F78" s="123">
        <v>9564</v>
      </c>
      <c r="G78" s="112">
        <f t="shared" si="7"/>
        <v>0</v>
      </c>
      <c r="H78" s="99">
        <f>G78+'23'!H78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7" t="s">
        <v>225</v>
      </c>
      <c r="B79" s="903"/>
      <c r="C79" s="904"/>
      <c r="D79" s="151"/>
      <c r="E79" s="95">
        <f>'23'!F79</f>
        <v>0</v>
      </c>
      <c r="F79" s="117"/>
      <c r="G79" s="112">
        <f>G15-SUM(G74:G78)</f>
        <v>547.67999999996391</v>
      </c>
      <c r="H79" s="99">
        <f>G79+'23'!H79</f>
        <v>13995.719999999958</v>
      </c>
      <c r="I79" s="118"/>
      <c r="J79" s="175">
        <f>H79/DAY(B2)</f>
        <v>583.15499999999827</v>
      </c>
      <c r="K79" s="59"/>
      <c r="L79" s="58"/>
      <c r="N79" s="87"/>
      <c r="O79" s="71"/>
    </row>
    <row r="80" spans="1:15" s="57" customFormat="1" ht="26.25">
      <c r="A80" s="870" t="s">
        <v>329</v>
      </c>
      <c r="B80" s="871"/>
      <c r="C80" s="872"/>
      <c r="D80" s="151"/>
      <c r="E80" s="117"/>
      <c r="F80" s="117"/>
      <c r="G80" s="112">
        <f>SUM(G74:G79)</f>
        <v>960.94999999995343</v>
      </c>
      <c r="H80" s="99"/>
      <c r="I80" s="118"/>
      <c r="J80" s="175"/>
      <c r="K80" s="59"/>
      <c r="L80" s="58"/>
      <c r="N80" s="87"/>
      <c r="O80" s="71"/>
    </row>
    <row r="81" spans="1:15" ht="25.5">
      <c r="A81" s="909" t="s">
        <v>226</v>
      </c>
      <c r="B81" s="910"/>
      <c r="C81" s="91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'23'!F84</f>
        <v>42275</v>
      </c>
      <c r="F84" s="164">
        <v>42275</v>
      </c>
      <c r="G84" s="112">
        <f t="shared" si="8"/>
        <v>0</v>
      </c>
      <c r="H84" s="99">
        <f>G84+'23'!H84</f>
        <v>306</v>
      </c>
      <c r="I84" s="573"/>
      <c r="J84" s="175">
        <f>H84/DAY(B2)</f>
        <v>12.75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'23'!F85</f>
        <v>4746.25</v>
      </c>
      <c r="F85" s="164">
        <v>4770.32</v>
      </c>
      <c r="G85" s="112">
        <f t="shared" si="8"/>
        <v>24.069999999999709</v>
      </c>
      <c r="H85" s="99">
        <f>G85+'23'!H85</f>
        <v>427.31999999999971</v>
      </c>
      <c r="I85" s="573"/>
      <c r="J85" s="175">
        <f>H85/DAY(B2)</f>
        <v>17.804999999999989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'23'!F86</f>
        <v>44701.21</v>
      </c>
      <c r="F86" s="164">
        <v>44718.32</v>
      </c>
      <c r="G86" s="112">
        <f t="shared" si="8"/>
        <v>17.110000000000582</v>
      </c>
      <c r="H86" s="99">
        <f>G86+'23'!H86</f>
        <v>248.31999999999971</v>
      </c>
      <c r="I86" s="573"/>
      <c r="J86" s="175">
        <f>H86/DAY(B2)</f>
        <v>10.346666666666655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'23'!F87</f>
        <v>35358</v>
      </c>
      <c r="F87" s="164">
        <v>35358.050000000003</v>
      </c>
      <c r="G87" s="112">
        <f t="shared" si="8"/>
        <v>5.0000000002910383E-2</v>
      </c>
      <c r="H87" s="99">
        <f>G87+'23'!H87</f>
        <v>29.05000000000291</v>
      </c>
      <c r="I87" s="573">
        <f>G84+G85+G86+G87</f>
        <v>41.230000000003201</v>
      </c>
      <c r="J87" s="175">
        <f>H87/DAY(B2)</f>
        <v>1.2104166666667879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'23'!F88</f>
        <v>24277.14</v>
      </c>
      <c r="F88" s="164">
        <v>24277.14</v>
      </c>
      <c r="G88" s="112">
        <f t="shared" si="8"/>
        <v>0</v>
      </c>
      <c r="H88" s="99">
        <f>G88+'23'!H88</f>
        <v>49.259999999998399</v>
      </c>
      <c r="I88" s="573"/>
      <c r="J88" s="175">
        <f>H88/DAY(B2)</f>
        <v>2.0524999999999332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'23'!F89</f>
        <v>27225.58</v>
      </c>
      <c r="F89" s="164">
        <v>27235.34</v>
      </c>
      <c r="G89" s="112">
        <f t="shared" si="8"/>
        <v>9.7599999999983993</v>
      </c>
      <c r="H89" s="99">
        <f>G89+'23'!H89</f>
        <v>241.93000000000029</v>
      </c>
      <c r="I89" s="573">
        <f>G88+G89</f>
        <v>9.7599999999983993</v>
      </c>
      <c r="J89" s="175">
        <f>H89/DAY(B2)</f>
        <v>10.080416666666679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'23'!F90</f>
        <v>72260.55</v>
      </c>
      <c r="F90" s="164">
        <v>72271.149999999994</v>
      </c>
      <c r="G90" s="112">
        <f t="shared" si="8"/>
        <v>10.599999999991269</v>
      </c>
      <c r="H90" s="99">
        <f>G90+'23'!H90</f>
        <v>144.02999999999884</v>
      </c>
      <c r="I90" s="573">
        <f>G90</f>
        <v>10.599999999991269</v>
      </c>
      <c r="J90" s="175">
        <f>H90/DAY(B2)</f>
        <v>6.0012499999999518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'23'!F91</f>
        <v>4122</v>
      </c>
      <c r="F91" s="122">
        <v>4122</v>
      </c>
      <c r="G91" s="112">
        <f t="shared" si="8"/>
        <v>0</v>
      </c>
      <c r="H91" s="99">
        <f>G91+'23'!H91</f>
        <v>0.3500000000003638</v>
      </c>
      <c r="I91" s="592"/>
      <c r="J91" s="175">
        <f>H91/DAY(B2)</f>
        <v>1.4583333333348492E-2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'23'!F92</f>
        <v>6462</v>
      </c>
      <c r="F92" s="122">
        <v>6472.05</v>
      </c>
      <c r="G92" s="112">
        <f t="shared" si="8"/>
        <v>10.050000000000182</v>
      </c>
      <c r="H92" s="99">
        <f>G92+'23'!H92</f>
        <v>254.80000000000018</v>
      </c>
      <c r="I92" s="598">
        <f>G91+G92</f>
        <v>10.050000000000182</v>
      </c>
      <c r="J92" s="175">
        <f>H92/DAY(B2)</f>
        <v>10.616666666666674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3" t="s">
        <v>240</v>
      </c>
      <c r="B94" s="874"/>
      <c r="C94" s="875"/>
      <c r="D94" s="151" t="s">
        <v>130</v>
      </c>
      <c r="E94" s="151"/>
      <c r="F94" s="151"/>
      <c r="G94" s="99">
        <f>G35+G43+G49+G57</f>
        <v>6901.300000000032</v>
      </c>
      <c r="H94" s="99">
        <f>G94+'23'!H94</f>
        <v>161639.89000000001</v>
      </c>
      <c r="I94" s="118"/>
      <c r="J94" s="175">
        <f>H94/DAY(B2)</f>
        <v>6734.9954166666676</v>
      </c>
      <c r="K94" s="69"/>
      <c r="L94" s="66"/>
      <c r="O94" s="71"/>
    </row>
    <row r="95" spans="1:15" ht="25.5">
      <c r="A95" s="873" t="s">
        <v>241</v>
      </c>
      <c r="B95" s="874"/>
      <c r="C95" s="875"/>
      <c r="D95" s="151" t="s">
        <v>23</v>
      </c>
      <c r="E95" s="146"/>
      <c r="F95" s="146"/>
      <c r="G95" s="166">
        <f>G94/G7</f>
        <v>0.25089104073266827</v>
      </c>
      <c r="H95" s="99">
        <f>G95+'23'!H95</f>
        <v>5.7942041747267208</v>
      </c>
      <c r="I95" s="167"/>
      <c r="J95" s="175">
        <f>H95/DAY(B2)</f>
        <v>0.24142517394694671</v>
      </c>
      <c r="K95" s="69"/>
      <c r="L95" s="66"/>
      <c r="O95" s="71"/>
    </row>
    <row r="96" spans="1:15" ht="25.5">
      <c r="A96" s="873" t="s">
        <v>242</v>
      </c>
      <c r="B96" s="874"/>
      <c r="C96" s="875"/>
      <c r="D96" s="151" t="s">
        <v>130</v>
      </c>
      <c r="E96" s="95"/>
      <c r="F96" s="95"/>
      <c r="G96" s="99">
        <f>G41+G42+G55+G56</f>
        <v>8471.2600000000384</v>
      </c>
      <c r="H96" s="99">
        <f>G96+'23'!H96</f>
        <v>215783.90000000005</v>
      </c>
      <c r="I96" s="118"/>
      <c r="J96" s="175">
        <f>H96/DAY(B2)</f>
        <v>8990.9958333333361</v>
      </c>
      <c r="K96" s="69"/>
      <c r="L96" s="66"/>
      <c r="O96" s="71"/>
    </row>
    <row r="97" spans="1:15" ht="25.5">
      <c r="A97" s="873" t="s">
        <v>243</v>
      </c>
      <c r="B97" s="874"/>
      <c r="C97" s="875"/>
      <c r="D97" s="151" t="s">
        <v>23</v>
      </c>
      <c r="E97" s="95"/>
      <c r="F97" s="95"/>
      <c r="G97" s="166">
        <f>G96/G7</f>
        <v>0.30796563512918196</v>
      </c>
      <c r="H97" s="99">
        <f>G97+'23'!H97</f>
        <v>7.6808749192099182</v>
      </c>
      <c r="I97" s="167"/>
      <c r="J97" s="175">
        <f>H97/DAY(B2)</f>
        <v>0.32003645496707994</v>
      </c>
      <c r="K97" s="69"/>
      <c r="L97" s="66"/>
      <c r="O97" s="71"/>
    </row>
    <row r="98" spans="1:15" ht="25.5">
      <c r="A98" s="873" t="s">
        <v>244</v>
      </c>
      <c r="B98" s="874"/>
      <c r="C98" s="875"/>
      <c r="D98" s="151" t="s">
        <v>130</v>
      </c>
      <c r="E98" s="95"/>
      <c r="F98" s="95"/>
      <c r="G98" s="99">
        <f>G39+G53</f>
        <v>2993.4400000000023</v>
      </c>
      <c r="H98" s="99">
        <f>G98+'23'!H98</f>
        <v>70329.800000000047</v>
      </c>
      <c r="I98" s="168"/>
      <c r="J98" s="175">
        <f>H98/DAY(B2)</f>
        <v>2930.4083333333351</v>
      </c>
      <c r="K98" s="69"/>
      <c r="L98" s="66"/>
      <c r="O98" s="71"/>
    </row>
    <row r="99" spans="1:15" ht="25.5">
      <c r="A99" s="873" t="s">
        <v>245</v>
      </c>
      <c r="B99" s="874"/>
      <c r="C99" s="875"/>
      <c r="D99" s="151" t="s">
        <v>23</v>
      </c>
      <c r="E99" s="95"/>
      <c r="F99" s="95"/>
      <c r="G99" s="166">
        <f>G98/G7</f>
        <v>0.10882402981623689</v>
      </c>
      <c r="H99" s="99">
        <f>G99+'23'!H99</f>
        <v>2.5166807275154039</v>
      </c>
      <c r="I99" s="168"/>
      <c r="J99" s="175">
        <f>H99/DAY(B2)</f>
        <v>0.1048616969798085</v>
      </c>
      <c r="O99" s="71"/>
    </row>
    <row r="100" spans="1:15" ht="26.25">
      <c r="A100" s="873" t="s">
        <v>246</v>
      </c>
      <c r="B100" s="874"/>
      <c r="C100" s="875"/>
      <c r="D100" s="151" t="s">
        <v>180</v>
      </c>
      <c r="E100" s="95"/>
      <c r="F100" s="95"/>
      <c r="G100" s="99">
        <f>G38+G52</f>
        <v>2248.5199999999604</v>
      </c>
      <c r="H100" s="99">
        <f>G100+'23'!H100</f>
        <v>55461.909999999974</v>
      </c>
      <c r="I100" s="118"/>
      <c r="J100" s="175">
        <f>H100/DAY(B2)</f>
        <v>2310.9129166666658</v>
      </c>
      <c r="K100" s="70"/>
      <c r="O100" s="71"/>
    </row>
    <row r="101" spans="1:15" ht="25.5">
      <c r="A101" s="873" t="s">
        <v>247</v>
      </c>
      <c r="B101" s="874"/>
      <c r="C101" s="875"/>
      <c r="D101" s="151" t="s">
        <v>23</v>
      </c>
      <c r="E101" s="95"/>
      <c r="F101" s="95"/>
      <c r="G101" s="166">
        <f>G100/G7</f>
        <v>8.1743080710620711E-2</v>
      </c>
      <c r="H101" s="99">
        <f>G101+'23'!H101</f>
        <v>1.9840616539518068</v>
      </c>
      <c r="I101" s="168"/>
      <c r="J101" s="175">
        <f>H101/DAY(B2)</f>
        <v>8.2669235581325287E-2</v>
      </c>
      <c r="O101" s="71"/>
    </row>
    <row r="102" spans="1:15" ht="25.5">
      <c r="A102" s="873" t="s">
        <v>248</v>
      </c>
      <c r="B102" s="874"/>
      <c r="C102" s="875"/>
      <c r="D102" s="151" t="s">
        <v>180</v>
      </c>
      <c r="E102" s="95"/>
      <c r="F102" s="95"/>
      <c r="G102" s="99">
        <f>G36+G50</f>
        <v>1843.3400000000256</v>
      </c>
      <c r="H102" s="99">
        <f>G102+'23'!H102</f>
        <v>48302.860000000015</v>
      </c>
      <c r="I102" s="168"/>
      <c r="J102" s="175">
        <f>H102/DAY(B2)</f>
        <v>2012.6191666666673</v>
      </c>
      <c r="O102" s="71"/>
    </row>
    <row r="103" spans="1:15" ht="25.5">
      <c r="A103" s="873" t="s">
        <v>249</v>
      </c>
      <c r="B103" s="874"/>
      <c r="C103" s="875"/>
      <c r="D103" s="151" t="s">
        <v>23</v>
      </c>
      <c r="E103" s="95"/>
      <c r="F103" s="95"/>
      <c r="G103" s="166">
        <f>G102/G7</f>
        <v>6.7013097680750158E-2</v>
      </c>
      <c r="H103" s="99">
        <f>G103+'23'!H103</f>
        <v>1.7207324331440077</v>
      </c>
      <c r="I103" s="118"/>
      <c r="J103" s="175">
        <f>H103/DAY(B2)</f>
        <v>7.1697184714333659E-2</v>
      </c>
      <c r="O103" s="71"/>
    </row>
    <row r="104" spans="1:15" ht="25.5">
      <c r="A104" s="873" t="s">
        <v>250</v>
      </c>
      <c r="B104" s="874"/>
      <c r="C104" s="875"/>
      <c r="D104" s="151" t="s">
        <v>180</v>
      </c>
      <c r="E104" s="95"/>
      <c r="F104" s="95"/>
      <c r="G104" s="99">
        <f>G37+G51</f>
        <v>1628.0499999999884</v>
      </c>
      <c r="H104" s="99">
        <f>G104+'23'!H104</f>
        <v>41276.270000000011</v>
      </c>
      <c r="I104" s="118"/>
      <c r="J104" s="175">
        <f>H104/DAY(B2)</f>
        <v>1719.8445833333337</v>
      </c>
      <c r="O104" s="71"/>
    </row>
    <row r="105" spans="1:15" ht="26.25" thickBot="1">
      <c r="A105" s="913" t="s">
        <v>251</v>
      </c>
      <c r="B105" s="914"/>
      <c r="C105" s="915"/>
      <c r="D105" s="231" t="s">
        <v>23</v>
      </c>
      <c r="E105" s="185"/>
      <c r="F105" s="185"/>
      <c r="G105" s="186">
        <f>G104/G7</f>
        <v>5.9186408193357166E-2</v>
      </c>
      <c r="H105" s="99">
        <f>G105+'23'!H105</f>
        <v>1.4734670680369935</v>
      </c>
      <c r="I105" s="187"/>
      <c r="J105" s="188">
        <f>H105/DAY(B2)</f>
        <v>6.1394461168208063E-2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7" t="s">
        <v>324</v>
      </c>
      <c r="B108" s="927"/>
      <c r="C108" s="927"/>
      <c r="D108" s="927"/>
      <c r="E108" s="927"/>
      <c r="F108" s="927"/>
      <c r="G108" s="927"/>
      <c r="H108" s="927"/>
      <c r="I108" s="927"/>
      <c r="J108" s="927"/>
    </row>
    <row r="109" spans="1:15" ht="26.25">
      <c r="A109" s="912"/>
      <c r="B109" s="912"/>
    </row>
    <row r="110" spans="1:15" ht="26.25">
      <c r="A110" s="928" t="s">
        <v>165</v>
      </c>
      <c r="B110" s="929"/>
      <c r="C110" s="929"/>
      <c r="D110" s="929"/>
      <c r="E110" s="929"/>
      <c r="F110" s="929"/>
      <c r="G110" s="929"/>
      <c r="H110" s="929"/>
      <c r="I110" s="929"/>
      <c r="J110" s="930"/>
    </row>
    <row r="111" spans="1:15" ht="25.5">
      <c r="A111" s="931"/>
      <c r="B111" s="932"/>
      <c r="C111" s="933"/>
      <c r="D111" s="165"/>
      <c r="E111" s="165"/>
      <c r="F111" s="165"/>
      <c r="G111" s="165"/>
      <c r="H111" s="156"/>
      <c r="I111" s="165"/>
      <c r="J111" s="327"/>
    </row>
    <row r="112" spans="1:15" ht="25.5">
      <c r="A112" s="906" t="s">
        <v>252</v>
      </c>
      <c r="B112" s="907"/>
      <c r="C112" s="908"/>
      <c r="D112" s="146" t="s">
        <v>183</v>
      </c>
      <c r="E112" s="95">
        <f>'23'!F112</f>
        <v>4419.18</v>
      </c>
      <c r="F112" s="237">
        <v>4494.51</v>
      </c>
      <c r="G112" s="112">
        <f t="shared" ref="G112:G123" si="9">F112-E112</f>
        <v>75.329999999999927</v>
      </c>
      <c r="H112" s="99">
        <f>G112+'23'!H112</f>
        <v>1817.5100000000002</v>
      </c>
      <c r="I112" s="165"/>
      <c r="J112" s="328">
        <f>H112/DAY(B2)</f>
        <v>75.729583333333338</v>
      </c>
    </row>
    <row r="113" spans="1:18" ht="29.25" customHeight="1">
      <c r="A113" s="906" t="s">
        <v>253</v>
      </c>
      <c r="B113" s="907"/>
      <c r="C113" s="908"/>
      <c r="D113" s="146" t="s">
        <v>183</v>
      </c>
      <c r="E113" s="95">
        <f>'23'!F113</f>
        <v>9631.57</v>
      </c>
      <c r="F113" s="237">
        <v>9778.8799999999992</v>
      </c>
      <c r="G113" s="112">
        <f t="shared" si="9"/>
        <v>147.30999999999949</v>
      </c>
      <c r="H113" s="99">
        <f>G113+'23'!H113</f>
        <v>3387.8799999999992</v>
      </c>
      <c r="I113" s="165"/>
      <c r="J113" s="328">
        <f>H113/DAY(B2)</f>
        <v>141.16166666666663</v>
      </c>
    </row>
    <row r="114" spans="1:18" ht="29.25" customHeight="1">
      <c r="A114" s="906" t="s">
        <v>254</v>
      </c>
      <c r="B114" s="907"/>
      <c r="C114" s="908"/>
      <c r="D114" s="146" t="s">
        <v>183</v>
      </c>
      <c r="E114" s="95">
        <f>'23'!F114</f>
        <v>12623.84</v>
      </c>
      <c r="F114" s="237">
        <v>12849.96</v>
      </c>
      <c r="G114" s="112">
        <f t="shared" si="9"/>
        <v>226.11999999999898</v>
      </c>
      <c r="H114" s="99">
        <f>G114+'23'!H114</f>
        <v>5279.9599999999991</v>
      </c>
      <c r="I114" s="165"/>
      <c r="J114" s="328">
        <f>H114/DAY(B2)</f>
        <v>219.99833333333331</v>
      </c>
    </row>
    <row r="115" spans="1:18" ht="29.25" customHeight="1">
      <c r="A115" s="906" t="s">
        <v>255</v>
      </c>
      <c r="B115" s="907"/>
      <c r="C115" s="908"/>
      <c r="D115" s="146" t="s">
        <v>183</v>
      </c>
      <c r="E115" s="95">
        <f>'23'!F115</f>
        <v>8013.19</v>
      </c>
      <c r="F115" s="237">
        <v>8149.36</v>
      </c>
      <c r="G115" s="112">
        <f t="shared" si="9"/>
        <v>136.17000000000007</v>
      </c>
      <c r="H115" s="99">
        <f>G115+'23'!H115</f>
        <v>2018.8799999999999</v>
      </c>
      <c r="I115" s="165"/>
      <c r="J115" s="328">
        <f>H115/DAY(B2)</f>
        <v>84.11999999999999</v>
      </c>
    </row>
    <row r="116" spans="1:18" ht="29.25" customHeight="1">
      <c r="A116" s="924" t="s">
        <v>96</v>
      </c>
      <c r="B116" s="925"/>
      <c r="C116" s="926"/>
      <c r="D116" s="146" t="s">
        <v>183</v>
      </c>
      <c r="E116" s="95">
        <f>'23'!F116</f>
        <v>56100.76</v>
      </c>
      <c r="F116" s="417">
        <v>56496.11</v>
      </c>
      <c r="G116" s="112">
        <f t="shared" si="9"/>
        <v>395.34999999999854</v>
      </c>
      <c r="H116" s="99">
        <f>G116+'23'!H116</f>
        <v>9741.11</v>
      </c>
      <c r="I116" s="165"/>
      <c r="J116" s="328">
        <f>H116/DAY(B2)</f>
        <v>405.87958333333336</v>
      </c>
      <c r="Q116" s="906"/>
      <c r="R116" s="908"/>
    </row>
    <row r="117" spans="1:18" ht="29.25" customHeight="1">
      <c r="A117" s="924" t="s">
        <v>184</v>
      </c>
      <c r="B117" s="925"/>
      <c r="C117" s="926"/>
      <c r="D117" s="146" t="s">
        <v>183</v>
      </c>
      <c r="E117" s="95">
        <f>'23'!F117</f>
        <v>30894.99</v>
      </c>
      <c r="F117" s="237">
        <v>31192.57</v>
      </c>
      <c r="G117" s="112">
        <f t="shared" si="9"/>
        <v>297.57999999999811</v>
      </c>
      <c r="H117" s="99">
        <f>G117+'23'!H117</f>
        <v>5924.57</v>
      </c>
      <c r="I117" s="165"/>
      <c r="J117" s="328">
        <f>H117/DAY(B2)</f>
        <v>246.85708333333332</v>
      </c>
      <c r="Q117" s="906"/>
      <c r="R117" s="908"/>
    </row>
    <row r="118" spans="1:18" ht="25.5">
      <c r="A118" s="901" t="s">
        <v>97</v>
      </c>
      <c r="B118" s="901"/>
      <c r="C118" s="901"/>
      <c r="D118" s="151" t="s">
        <v>183</v>
      </c>
      <c r="E118" s="95">
        <f>'23'!F118</f>
        <v>40382.199999999997</v>
      </c>
      <c r="F118" s="237">
        <v>41018.79</v>
      </c>
      <c r="G118" s="112">
        <f t="shared" si="9"/>
        <v>636.59000000000378</v>
      </c>
      <c r="H118" s="99">
        <f>G118+'23'!H118</f>
        <v>14793.79</v>
      </c>
      <c r="I118" s="165"/>
      <c r="J118" s="328">
        <f>H118/DAY(B2)</f>
        <v>616.40791666666667</v>
      </c>
      <c r="Q118" s="906"/>
      <c r="R118" s="908"/>
    </row>
    <row r="119" spans="1:18" ht="25.5">
      <c r="A119" s="901" t="s">
        <v>98</v>
      </c>
      <c r="B119" s="901"/>
      <c r="C119" s="901"/>
      <c r="D119" s="151" t="s">
        <v>183</v>
      </c>
      <c r="E119" s="95">
        <f>'23'!F119</f>
        <v>28635.66</v>
      </c>
      <c r="F119" s="237">
        <v>28887.06</v>
      </c>
      <c r="G119" s="112">
        <f t="shared" si="9"/>
        <v>251.40000000000146</v>
      </c>
      <c r="H119" s="99">
        <f>G119+'23'!H119</f>
        <v>9940.0600000000013</v>
      </c>
      <c r="I119" s="165"/>
      <c r="J119" s="328">
        <f>H119/DAY(B2)</f>
        <v>414.16916666666674</v>
      </c>
    </row>
    <row r="120" spans="1:18" ht="25.5">
      <c r="A120" s="901" t="s">
        <v>99</v>
      </c>
      <c r="B120" s="901"/>
      <c r="C120" s="901"/>
      <c r="D120" s="151" t="s">
        <v>183</v>
      </c>
      <c r="E120" s="95">
        <f>'23'!F120</f>
        <v>30065.23</v>
      </c>
      <c r="F120" s="237">
        <v>30519.919999999998</v>
      </c>
      <c r="G120" s="112">
        <f t="shared" si="9"/>
        <v>454.68999999999869</v>
      </c>
      <c r="H120" s="99">
        <f>G120+'23'!H120</f>
        <v>10469.919999999998</v>
      </c>
      <c r="I120" s="165"/>
      <c r="J120" s="328">
        <f>H120/DAY(B2)</f>
        <v>436.24666666666661</v>
      </c>
    </row>
    <row r="121" spans="1:18" ht="25.5">
      <c r="A121" s="901" t="s">
        <v>100</v>
      </c>
      <c r="B121" s="901"/>
      <c r="C121" s="901"/>
      <c r="D121" s="151" t="s">
        <v>183</v>
      </c>
      <c r="E121" s="95">
        <f>'23'!F121</f>
        <v>36514</v>
      </c>
      <c r="F121" s="237">
        <v>36965.53</v>
      </c>
      <c r="G121" s="112">
        <f t="shared" si="9"/>
        <v>451.52999999999884</v>
      </c>
      <c r="H121" s="99">
        <f>G121+'23'!H121</f>
        <v>11121.529999999999</v>
      </c>
      <c r="I121" s="165"/>
      <c r="J121" s="328">
        <f>H121/DAY(B2)</f>
        <v>463.39708333333328</v>
      </c>
    </row>
    <row r="122" spans="1:18" ht="25.5">
      <c r="A122" s="901" t="s">
        <v>101</v>
      </c>
      <c r="B122" s="901"/>
      <c r="C122" s="901"/>
      <c r="D122" s="151" t="s">
        <v>183</v>
      </c>
      <c r="E122" s="95">
        <f>'23'!F122</f>
        <v>18040.96</v>
      </c>
      <c r="F122" s="237">
        <v>18317.28</v>
      </c>
      <c r="G122" s="112">
        <f t="shared" si="9"/>
        <v>276.31999999999971</v>
      </c>
      <c r="H122" s="99">
        <f>G122+'23'!H122</f>
        <v>7157.2799999999988</v>
      </c>
      <c r="I122" s="165"/>
      <c r="J122" s="328">
        <f>H122/DAY(B2)</f>
        <v>298.21999999999997</v>
      </c>
    </row>
    <row r="123" spans="1:18" ht="25.5">
      <c r="A123" s="901" t="s">
        <v>102</v>
      </c>
      <c r="B123" s="901"/>
      <c r="C123" s="901"/>
      <c r="D123" s="151" t="s">
        <v>183</v>
      </c>
      <c r="E123" s="95">
        <f>'23'!F123</f>
        <v>18158.169999999998</v>
      </c>
      <c r="F123" s="237">
        <v>18472.32</v>
      </c>
      <c r="G123" s="112">
        <f t="shared" si="9"/>
        <v>314.15000000000146</v>
      </c>
      <c r="H123" s="99">
        <f>G123+'23'!H123</f>
        <v>7963.32</v>
      </c>
      <c r="I123" s="165"/>
      <c r="J123" s="328">
        <f>H123/DAY(B2)</f>
        <v>331.80500000000001</v>
      </c>
    </row>
    <row r="124" spans="1:18" ht="29.25" customHeight="1">
      <c r="A124" s="931"/>
      <c r="B124" s="932"/>
      <c r="C124" s="933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5.5">
      <c r="A125" s="934" t="s">
        <v>196</v>
      </c>
      <c r="B125" s="935"/>
      <c r="C125" s="245"/>
      <c r="D125" s="307"/>
      <c r="E125" s="308"/>
      <c r="F125" s="308"/>
      <c r="G125" s="309">
        <f>SUM(G112:G124)</f>
        <v>3662.5399999999991</v>
      </c>
      <c r="H125" s="156"/>
      <c r="I125" s="327">
        <f>G125-(G39+G53)</f>
        <v>669.09999999999673</v>
      </c>
      <c r="J125" s="327"/>
    </row>
    <row r="126" spans="1:18" ht="25.5">
      <c r="A126" s="936" t="s">
        <v>317</v>
      </c>
      <c r="B126" s="936"/>
      <c r="C126" s="936"/>
      <c r="D126" s="936"/>
      <c r="E126" s="936"/>
      <c r="F126" s="936"/>
      <c r="G126" s="936"/>
      <c r="H126" s="936"/>
      <c r="I126" s="936"/>
      <c r="J126" s="936"/>
    </row>
    <row r="127" spans="1:18" ht="25.5">
      <c r="A127" s="937"/>
      <c r="B127" s="937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>
      <c r="A128" s="906" t="s">
        <v>318</v>
      </c>
      <c r="B128" s="907"/>
      <c r="C128" s="908"/>
      <c r="D128" s="151" t="s">
        <v>183</v>
      </c>
      <c r="E128" s="95">
        <f>'23'!F128</f>
        <v>108007.89</v>
      </c>
      <c r="F128" s="165">
        <v>108582.65</v>
      </c>
      <c r="G128" s="112">
        <f t="shared" ref="G128:G134" si="10">F128-E128</f>
        <v>574.75999999999476</v>
      </c>
      <c r="H128" s="99">
        <f>G128+'23'!H128</f>
        <v>12867.649999999994</v>
      </c>
      <c r="I128" s="165"/>
      <c r="J128" s="328">
        <f>H128/DAY(B2)</f>
        <v>536.15208333333305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'23'!F129</f>
        <v>65421.46</v>
      </c>
      <c r="F129" s="165">
        <v>65615.91</v>
      </c>
      <c r="G129" s="112">
        <f t="shared" si="10"/>
        <v>194.45000000000437</v>
      </c>
      <c r="H129" s="99">
        <f>G129+'23'!H129</f>
        <v>5322.9100000000035</v>
      </c>
      <c r="I129" s="165"/>
      <c r="J129" s="328">
        <f>H129/DAY(B2)</f>
        <v>221.7879166666668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'23'!F130</f>
        <v>136346.54999999999</v>
      </c>
      <c r="F130" s="165">
        <v>137120.15</v>
      </c>
      <c r="G130" s="112">
        <f t="shared" si="10"/>
        <v>773.60000000000582</v>
      </c>
      <c r="H130" s="99">
        <f>G130+'23'!H130</f>
        <v>15991.149999999994</v>
      </c>
      <c r="I130" s="165"/>
      <c r="J130" s="328">
        <f>H130/DAY(B2)</f>
        <v>666.29791666666642</v>
      </c>
      <c r="N130" s="240"/>
      <c r="O130" s="241"/>
    </row>
    <row r="131" spans="1:15" ht="25.5">
      <c r="A131" s="906" t="s">
        <v>321</v>
      </c>
      <c r="B131" s="907"/>
      <c r="C131" s="908"/>
      <c r="D131" s="151" t="s">
        <v>183</v>
      </c>
      <c r="E131" s="95">
        <f>'23'!F131</f>
        <v>41080.19</v>
      </c>
      <c r="F131" s="165">
        <v>41295.15</v>
      </c>
      <c r="G131" s="112">
        <f t="shared" si="10"/>
        <v>214.95999999999913</v>
      </c>
      <c r="H131" s="99">
        <f>G131+'23'!H131</f>
        <v>5016.1500000000015</v>
      </c>
      <c r="I131" s="165"/>
      <c r="J131" s="328">
        <f>H131/DAY(B2)</f>
        <v>209.00625000000005</v>
      </c>
      <c r="N131" s="240"/>
      <c r="O131" s="241"/>
    </row>
    <row r="132" spans="1:15" ht="25.5">
      <c r="A132" s="906" t="s">
        <v>322</v>
      </c>
      <c r="B132" s="907"/>
      <c r="C132" s="908"/>
      <c r="D132" s="151" t="s">
        <v>183</v>
      </c>
      <c r="E132" s="95">
        <f>'23'!F132</f>
        <v>113062.21</v>
      </c>
      <c r="F132" s="165">
        <v>113536.27</v>
      </c>
      <c r="G132" s="112">
        <f t="shared" si="10"/>
        <v>474.05999999999767</v>
      </c>
      <c r="H132" s="99">
        <f>G132+'23'!H132</f>
        <v>10024.270000000004</v>
      </c>
      <c r="I132" s="165"/>
      <c r="J132" s="328">
        <f>H132/DAY(B2)</f>
        <v>417.67791666666682</v>
      </c>
    </row>
    <row r="133" spans="1:15" ht="25.5">
      <c r="A133" s="906" t="s">
        <v>359</v>
      </c>
      <c r="B133" s="907"/>
      <c r="C133" s="908"/>
      <c r="D133" s="151" t="s">
        <v>183</v>
      </c>
      <c r="E133" s="95">
        <f>'23'!F133</f>
        <v>218841.49</v>
      </c>
      <c r="F133" s="165">
        <v>219453.95</v>
      </c>
      <c r="G133" s="112">
        <f t="shared" si="10"/>
        <v>612.46000000002095</v>
      </c>
      <c r="H133" s="99">
        <f>G133+'23'!H133</f>
        <v>18221.950000000012</v>
      </c>
      <c r="I133" s="165"/>
      <c r="J133" s="328">
        <f>H133/DAY(B2)</f>
        <v>759.24791666666715</v>
      </c>
    </row>
    <row r="134" spans="1:15" ht="25.5">
      <c r="A134" s="906" t="s">
        <v>340</v>
      </c>
      <c r="B134" s="907"/>
      <c r="C134" s="908"/>
      <c r="D134" s="151" t="s">
        <v>183</v>
      </c>
      <c r="E134" s="95">
        <f>'23'!F134</f>
        <v>40325.360000000001</v>
      </c>
      <c r="F134" s="158">
        <v>40535.79</v>
      </c>
      <c r="G134" s="112">
        <f t="shared" si="10"/>
        <v>210.43000000000029</v>
      </c>
      <c r="H134" s="99">
        <f>G134+'23'!H134</f>
        <v>5640.7900000000009</v>
      </c>
      <c r="I134" s="165"/>
      <c r="J134" s="328">
        <f>H134/DAY(B2)</f>
        <v>235.03291666666669</v>
      </c>
    </row>
    <row r="135" spans="1:15" ht="25.5">
      <c r="A135" s="934" t="s">
        <v>196</v>
      </c>
      <c r="B135" s="935"/>
      <c r="C135" s="331"/>
      <c r="D135" s="151"/>
      <c r="E135" s="95"/>
      <c r="F135" s="165"/>
      <c r="G135" s="112">
        <f>SUM(G128:G134)</f>
        <v>3054.720000000023</v>
      </c>
      <c r="H135" s="99">
        <f>G135+'23'!H135</f>
        <v>36333.050000000017</v>
      </c>
      <c r="I135" s="327">
        <f>G135-(G35+G49)</f>
        <v>-616.4400000000096</v>
      </c>
      <c r="J135" s="328"/>
    </row>
    <row r="136" spans="1:15" ht="27.75">
      <c r="A136" s="938" t="s">
        <v>325</v>
      </c>
      <c r="B136" s="938"/>
      <c r="C136" s="938"/>
      <c r="D136" s="938"/>
      <c r="E136" s="938"/>
      <c r="F136" s="938"/>
      <c r="G136" s="938"/>
      <c r="H136" s="938"/>
      <c r="I136" s="938"/>
      <c r="J136" s="938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1" t="s">
        <v>185</v>
      </c>
      <c r="B138" s="901"/>
      <c r="C138" s="901"/>
      <c r="D138" s="151" t="s">
        <v>183</v>
      </c>
      <c r="E138" s="95">
        <f>'23'!F138</f>
        <v>886418</v>
      </c>
      <c r="F138" s="147">
        <v>886548</v>
      </c>
      <c r="G138" s="112">
        <f t="shared" ref="G138:G152" si="11">F138-E138</f>
        <v>130</v>
      </c>
      <c r="H138" s="99">
        <f>G138+'23'!H138</f>
        <v>3270.2999999999993</v>
      </c>
      <c r="I138" s="118"/>
      <c r="J138" s="328">
        <f>H138/DAY(B2)</f>
        <v>136.26249999999996</v>
      </c>
    </row>
    <row r="139" spans="1:15" ht="25.5">
      <c r="A139" s="901" t="s">
        <v>186</v>
      </c>
      <c r="B139" s="901"/>
      <c r="C139" s="901"/>
      <c r="D139" s="151" t="s">
        <v>183</v>
      </c>
      <c r="E139" s="95">
        <f>'23'!F139</f>
        <v>902998</v>
      </c>
      <c r="F139" s="148">
        <v>903145</v>
      </c>
      <c r="G139" s="112">
        <f t="shared" si="11"/>
        <v>147</v>
      </c>
      <c r="H139" s="99">
        <f>G139+'23'!H139</f>
        <v>3690</v>
      </c>
      <c r="I139" s="118"/>
      <c r="J139" s="328">
        <f>H139/DAY(B2)</f>
        <v>153.75</v>
      </c>
    </row>
    <row r="140" spans="1:15" ht="25.5">
      <c r="A140" s="901" t="s">
        <v>187</v>
      </c>
      <c r="B140" s="901"/>
      <c r="C140" s="901"/>
      <c r="D140" s="151" t="s">
        <v>183</v>
      </c>
      <c r="E140" s="95">
        <f>'23'!F140</f>
        <v>955.13</v>
      </c>
      <c r="F140" s="149">
        <v>970.7</v>
      </c>
      <c r="G140" s="112">
        <f t="shared" si="11"/>
        <v>15.57000000000005</v>
      </c>
      <c r="H140" s="99">
        <f>G140+'23'!H140</f>
        <v>321.94000000000005</v>
      </c>
      <c r="I140" s="118"/>
      <c r="J140" s="328">
        <f>H140/DAY(B2)</f>
        <v>13.414166666666668</v>
      </c>
    </row>
    <row r="141" spans="1:15" ht="25.5">
      <c r="A141" s="905" t="s">
        <v>188</v>
      </c>
      <c r="B141" s="905"/>
      <c r="C141" s="905"/>
      <c r="D141" s="151" t="s">
        <v>183</v>
      </c>
      <c r="E141" s="95">
        <f>'23'!F141</f>
        <v>82712.28</v>
      </c>
      <c r="F141" s="149">
        <v>82911.39</v>
      </c>
      <c r="G141" s="112">
        <f t="shared" si="11"/>
        <v>199.11000000000058</v>
      </c>
      <c r="H141" s="99">
        <f>G141+'23'!H141</f>
        <v>4959.3899999999994</v>
      </c>
      <c r="I141" s="118"/>
      <c r="J141" s="328">
        <f>H141/DAY(B2)</f>
        <v>206.64124999999999</v>
      </c>
    </row>
    <row r="142" spans="1:15" ht="25.5">
      <c r="A142" s="905" t="s">
        <v>189</v>
      </c>
      <c r="B142" s="905"/>
      <c r="C142" s="905"/>
      <c r="D142" s="151" t="s">
        <v>183</v>
      </c>
      <c r="E142" s="95">
        <f>'23'!F142</f>
        <v>33844.15</v>
      </c>
      <c r="F142" s="148">
        <v>33928.639999999999</v>
      </c>
      <c r="G142" s="112">
        <f t="shared" si="11"/>
        <v>84.489999999997963</v>
      </c>
      <c r="H142" s="99">
        <f>G142+'23'!H142</f>
        <v>3402.6399999999994</v>
      </c>
      <c r="I142" s="140"/>
      <c r="J142" s="328">
        <f>H142/DAY(B2)</f>
        <v>141.77666666666664</v>
      </c>
    </row>
    <row r="143" spans="1:15" ht="25.5">
      <c r="A143" s="901" t="s">
        <v>91</v>
      </c>
      <c r="B143" s="901"/>
      <c r="C143" s="901"/>
      <c r="D143" s="151" t="s">
        <v>183</v>
      </c>
      <c r="E143" s="95">
        <f>'23'!F143</f>
        <v>7963.14</v>
      </c>
      <c r="F143" s="149">
        <v>7990.73</v>
      </c>
      <c r="G143" s="112">
        <f t="shared" si="11"/>
        <v>27.589999999999236</v>
      </c>
      <c r="H143" s="99">
        <f>G143+'23'!H143</f>
        <v>684.72999999999956</v>
      </c>
      <c r="I143" s="140"/>
      <c r="J143" s="328">
        <f>H143/DAY(B2)</f>
        <v>28.53041666666665</v>
      </c>
    </row>
    <row r="144" spans="1:15" ht="25.5">
      <c r="A144" s="905" t="s">
        <v>90</v>
      </c>
      <c r="B144" s="905"/>
      <c r="C144" s="905"/>
      <c r="D144" s="151" t="s">
        <v>183</v>
      </c>
      <c r="E144" s="95">
        <f>'23'!F144</f>
        <v>910626</v>
      </c>
      <c r="F144" s="149">
        <v>910857</v>
      </c>
      <c r="G144" s="112">
        <f t="shared" si="11"/>
        <v>231</v>
      </c>
      <c r="H144" s="99">
        <f>G144+'23'!H144</f>
        <v>5804</v>
      </c>
      <c r="I144" s="140"/>
      <c r="J144" s="328">
        <f>H144/DAY(B2)</f>
        <v>241.83333333333334</v>
      </c>
    </row>
    <row r="145" spans="1:10" ht="25.5">
      <c r="A145" s="901" t="s">
        <v>190</v>
      </c>
      <c r="B145" s="901"/>
      <c r="C145" s="901"/>
      <c r="D145" s="152" t="s">
        <v>183</v>
      </c>
      <c r="E145" s="95">
        <f>'23'!F145</f>
        <v>5665.31</v>
      </c>
      <c r="F145" s="149">
        <v>5665.31</v>
      </c>
      <c r="G145" s="112">
        <f t="shared" si="11"/>
        <v>0</v>
      </c>
      <c r="H145" s="99">
        <f>G145+'23'!H145</f>
        <v>1.3100000000004002</v>
      </c>
      <c r="I145" s="140"/>
      <c r="J145" s="328">
        <f>H145/DAY(B2)</f>
        <v>5.4583333333350005E-2</v>
      </c>
    </row>
    <row r="146" spans="1:10" ht="25.5">
      <c r="A146" s="902" t="s">
        <v>191</v>
      </c>
      <c r="B146" s="903"/>
      <c r="C146" s="904"/>
      <c r="D146" s="152" t="s">
        <v>183</v>
      </c>
      <c r="E146" s="95">
        <f>'23'!F146</f>
        <v>779015</v>
      </c>
      <c r="F146" s="148">
        <v>779065</v>
      </c>
      <c r="G146" s="112">
        <f t="shared" si="11"/>
        <v>50</v>
      </c>
      <c r="H146" s="99">
        <f>G146+'23'!H146</f>
        <v>1197</v>
      </c>
      <c r="I146" s="140"/>
      <c r="J146" s="328">
        <f>H146/DAY(B2)</f>
        <v>49.875</v>
      </c>
    </row>
    <row r="147" spans="1:10" ht="25.5">
      <c r="A147" s="905" t="s">
        <v>192</v>
      </c>
      <c r="B147" s="905"/>
      <c r="C147" s="905"/>
      <c r="D147" s="152" t="s">
        <v>183</v>
      </c>
      <c r="E147" s="95">
        <f>'23'!F147</f>
        <v>684789</v>
      </c>
      <c r="F147" s="148">
        <v>685159.28</v>
      </c>
      <c r="G147" s="112">
        <f t="shared" si="11"/>
        <v>370.28000000002794</v>
      </c>
      <c r="H147" s="99">
        <f>G147+'23'!H147</f>
        <v>9311.2800000000279</v>
      </c>
      <c r="I147" s="140"/>
      <c r="J147" s="328">
        <f>H147/DAY(B2)</f>
        <v>387.97000000000116</v>
      </c>
    </row>
    <row r="148" spans="1:10" ht="25.5">
      <c r="A148" s="897" t="s">
        <v>193</v>
      </c>
      <c r="B148" s="898"/>
      <c r="C148" s="899"/>
      <c r="D148" s="123" t="s">
        <v>130</v>
      </c>
      <c r="E148" s="95">
        <f>'23'!F148</f>
        <v>736878.64</v>
      </c>
      <c r="F148" s="150">
        <v>737141.52</v>
      </c>
      <c r="G148" s="112">
        <f t="shared" si="11"/>
        <v>262.88000000000466</v>
      </c>
      <c r="H148" s="99">
        <f>G148+'23'!H148</f>
        <v>7396.5200000000186</v>
      </c>
      <c r="I148" s="124"/>
      <c r="J148" s="328">
        <f>H148/DAY(B2)</f>
        <v>308.18833333333413</v>
      </c>
    </row>
    <row r="149" spans="1:10" ht="25.5">
      <c r="A149" s="897" t="s">
        <v>336</v>
      </c>
      <c r="B149" s="898"/>
      <c r="C149" s="899"/>
      <c r="D149" s="227" t="s">
        <v>130</v>
      </c>
      <c r="E149" s="95">
        <f>'23'!F149</f>
        <v>113370.66</v>
      </c>
      <c r="F149" s="146">
        <v>113864.68</v>
      </c>
      <c r="G149" s="112">
        <f t="shared" si="11"/>
        <v>494.01999999998952</v>
      </c>
      <c r="H149" s="99">
        <f>G149+'23'!H149</f>
        <v>12969.679999999993</v>
      </c>
      <c r="I149" s="119"/>
      <c r="J149" s="328">
        <f>H149/DAY(B2)</f>
        <v>540.40333333333308</v>
      </c>
    </row>
    <row r="150" spans="1:10" ht="25.5">
      <c r="A150" s="897" t="s">
        <v>337</v>
      </c>
      <c r="B150" s="898"/>
      <c r="C150" s="899"/>
      <c r="D150" s="117" t="s">
        <v>130</v>
      </c>
      <c r="E150" s="95">
        <f>'23'!F150</f>
        <v>42210.78</v>
      </c>
      <c r="F150" s="233">
        <v>42433.81</v>
      </c>
      <c r="G150" s="112">
        <f t="shared" si="11"/>
        <v>223.02999999999884</v>
      </c>
      <c r="H150" s="99">
        <f>G150+'23'!H150</f>
        <v>5217.8099999999977</v>
      </c>
      <c r="I150" s="119"/>
      <c r="J150" s="328">
        <f>H150/DAY(B2)</f>
        <v>217.40874999999991</v>
      </c>
    </row>
    <row r="151" spans="1:10" ht="25.5">
      <c r="A151" s="897" t="s">
        <v>338</v>
      </c>
      <c r="B151" s="898"/>
      <c r="C151" s="899"/>
      <c r="D151" s="117" t="s">
        <v>130</v>
      </c>
      <c r="E151" s="95">
        <f>'23'!F151</f>
        <v>124693</v>
      </c>
      <c r="F151" s="233">
        <v>124947</v>
      </c>
      <c r="G151" s="112">
        <f t="shared" si="11"/>
        <v>254</v>
      </c>
      <c r="H151" s="99">
        <f>G151+'23'!H151</f>
        <v>6810</v>
      </c>
      <c r="I151" s="119"/>
      <c r="J151" s="328">
        <f>H151/DAY(B2)</f>
        <v>283.75</v>
      </c>
    </row>
    <row r="152" spans="1:10" ht="25.5">
      <c r="A152" s="897" t="s">
        <v>339</v>
      </c>
      <c r="B152" s="898"/>
      <c r="C152" s="899"/>
      <c r="D152" s="117" t="s">
        <v>130</v>
      </c>
      <c r="E152" s="95">
        <f>'23'!F152</f>
        <v>18398.14</v>
      </c>
      <c r="F152" s="233">
        <v>18527.150000000001</v>
      </c>
      <c r="G152" s="112">
        <f t="shared" si="11"/>
        <v>129.01000000000204</v>
      </c>
      <c r="H152" s="99">
        <f>G152+'23'!H152</f>
        <v>7371.1500000000015</v>
      </c>
      <c r="I152" s="119"/>
      <c r="J152" s="328">
        <f>H152/DAY(B2)</f>
        <v>307.13125000000008</v>
      </c>
    </row>
    <row r="153" spans="1:10" ht="25.5">
      <c r="A153" s="934" t="s">
        <v>196</v>
      </c>
      <c r="B153" s="935"/>
      <c r="C153" s="365"/>
      <c r="D153" s="358"/>
      <c r="E153" s="360"/>
      <c r="F153" s="361"/>
      <c r="G153" s="362">
        <f>SUM(G138:G152)</f>
        <v>2617.9800000000209</v>
      </c>
      <c r="H153" s="363"/>
      <c r="I153" s="119">
        <f>G153-(G38+G52)</f>
        <v>369.46000000006052</v>
      </c>
      <c r="J153" s="366"/>
    </row>
    <row r="154" spans="1:10" ht="27.75">
      <c r="A154" s="938" t="s">
        <v>344</v>
      </c>
      <c r="B154" s="938"/>
      <c r="C154" s="938"/>
      <c r="D154" s="938"/>
      <c r="E154" s="938"/>
      <c r="F154" s="938"/>
      <c r="G154" s="938"/>
      <c r="H154" s="938"/>
      <c r="I154" s="938"/>
      <c r="J154" s="938"/>
    </row>
    <row r="155" spans="1:10" ht="27.75">
      <c r="A155" s="905" t="s">
        <v>345</v>
      </c>
      <c r="B155" s="905"/>
      <c r="C155" s="905"/>
      <c r="D155" s="117" t="s">
        <v>130</v>
      </c>
      <c r="E155" s="95">
        <f>'23'!F155</f>
        <v>126223.69</v>
      </c>
      <c r="F155" s="757">
        <v>126849</v>
      </c>
      <c r="G155" s="112">
        <f t="shared" ref="G155:G158" si="12">F155-E155</f>
        <v>625.30999999999767</v>
      </c>
      <c r="H155" s="99">
        <f>G155+'23'!H155</f>
        <v>14874</v>
      </c>
      <c r="I155" s="364"/>
      <c r="J155" s="328">
        <f>H155/DAY(B2)</f>
        <v>619.75</v>
      </c>
    </row>
    <row r="156" spans="1:10" ht="25.5">
      <c r="A156" s="905" t="s">
        <v>347</v>
      </c>
      <c r="B156" s="905"/>
      <c r="C156" s="905"/>
      <c r="D156" s="117" t="s">
        <v>130</v>
      </c>
      <c r="E156" s="95">
        <f>'23'!F156</f>
        <v>11522.38</v>
      </c>
      <c r="F156" s="155">
        <v>11606.73</v>
      </c>
      <c r="G156" s="112">
        <f t="shared" si="12"/>
        <v>84.350000000000364</v>
      </c>
      <c r="H156" s="99">
        <f>G156+'23'!H156</f>
        <v>1921.7299999999996</v>
      </c>
      <c r="I156" s="165"/>
      <c r="J156" s="328">
        <f>H156/DAY(B2)</f>
        <v>80.07208333333331</v>
      </c>
    </row>
    <row r="157" spans="1:10" ht="25.5">
      <c r="A157" s="897" t="s">
        <v>360</v>
      </c>
      <c r="B157" s="898"/>
      <c r="C157" s="899"/>
      <c r="D157" s="117" t="s">
        <v>130</v>
      </c>
      <c r="E157" s="95">
        <f>'23'!F157</f>
        <v>22022.66</v>
      </c>
      <c r="F157" s="155">
        <v>22190.99</v>
      </c>
      <c r="G157" s="112">
        <f t="shared" si="12"/>
        <v>168.33000000000175</v>
      </c>
      <c r="H157" s="99">
        <f>G157+'23'!H157</f>
        <v>799.9900000000016</v>
      </c>
      <c r="I157" s="165"/>
      <c r="J157" s="328"/>
    </row>
    <row r="158" spans="1:10" ht="25.5">
      <c r="A158" s="897" t="s">
        <v>361</v>
      </c>
      <c r="B158" s="898"/>
      <c r="C158" s="899"/>
      <c r="D158" s="117" t="s">
        <v>130</v>
      </c>
      <c r="E158" s="95">
        <f>'23'!F158</f>
        <v>191.87</v>
      </c>
      <c r="F158" s="155">
        <v>191.98</v>
      </c>
      <c r="G158" s="112">
        <f t="shared" si="12"/>
        <v>0.10999999999998522</v>
      </c>
      <c r="H158" s="99">
        <f>G158+'23'!H158</f>
        <v>1.9799999999999898</v>
      </c>
      <c r="I158" s="165"/>
      <c r="J158" s="328"/>
    </row>
    <row r="159" spans="1:10" ht="25.5">
      <c r="A159" s="956"/>
      <c r="B159" s="957"/>
      <c r="C159" s="958"/>
      <c r="D159" s="117"/>
      <c r="E159" s="95"/>
      <c r="F159" s="165"/>
      <c r="G159" s="112"/>
      <c r="H159" s="99"/>
      <c r="I159" s="165"/>
      <c r="J159" s="328"/>
    </row>
    <row r="160" spans="1:10" ht="27.75">
      <c r="A160" s="938" t="s">
        <v>326</v>
      </c>
      <c r="B160" s="938"/>
      <c r="C160" s="938"/>
      <c r="D160" s="938"/>
      <c r="E160" s="938"/>
      <c r="F160" s="938"/>
      <c r="G160" s="938"/>
      <c r="H160" s="938"/>
      <c r="I160" s="938"/>
      <c r="J160" s="938"/>
    </row>
    <row r="161" spans="1:10" ht="26.25">
      <c r="A161" s="242" t="s">
        <v>92</v>
      </c>
      <c r="B161" s="243"/>
      <c r="C161" s="243"/>
      <c r="D161" s="244" t="s">
        <v>180</v>
      </c>
      <c r="E161" s="95">
        <f>'23'!F161</f>
        <v>477524.52</v>
      </c>
      <c r="F161" s="235">
        <v>477558.52</v>
      </c>
      <c r="G161" s="238">
        <f t="shared" ref="G161:G165" si="13">F161-E161</f>
        <v>34</v>
      </c>
      <c r="H161" s="99">
        <f>G161+'23'!H161</f>
        <v>892.52000000001863</v>
      </c>
      <c r="I161" s="236"/>
      <c r="J161" s="239">
        <f>H161/DAY(B2)</f>
        <v>37.188333333334107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'23'!F162</f>
        <v>93545.4</v>
      </c>
      <c r="F162" s="235">
        <v>93585.9</v>
      </c>
      <c r="G162" s="238">
        <f t="shared" si="13"/>
        <v>40.5</v>
      </c>
      <c r="H162" s="99">
        <f>G162+'23'!H162</f>
        <v>858.89999999999418</v>
      </c>
      <c r="I162" s="236"/>
      <c r="J162" s="239">
        <f>H162/DAY(B2)</f>
        <v>35.78749999999976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'23'!F163</f>
        <v>883</v>
      </c>
      <c r="F163" s="235">
        <v>1021.8</v>
      </c>
      <c r="G163" s="238">
        <f t="shared" si="13"/>
        <v>138.79999999999995</v>
      </c>
      <c r="H163" s="99">
        <f>G163+'23'!H163</f>
        <v>3881.8</v>
      </c>
      <c r="I163" s="236"/>
      <c r="J163" s="239">
        <f>H163/DAY(B2)</f>
        <v>161.74166666666667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'23'!F164</f>
        <v>5811.9</v>
      </c>
      <c r="F164" s="235">
        <v>5825.4</v>
      </c>
      <c r="G164" s="238">
        <f t="shared" si="13"/>
        <v>13.5</v>
      </c>
      <c r="H164" s="99">
        <f>G164+'23'!H164</f>
        <v>283.39999999999964</v>
      </c>
      <c r="I164" s="236"/>
      <c r="J164" s="239">
        <f>H164/DAY(B2)</f>
        <v>11.808333333333318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'23'!F165</f>
        <v>31267.56</v>
      </c>
      <c r="F165" s="235">
        <v>31278.42</v>
      </c>
      <c r="G165" s="238">
        <f t="shared" si="13"/>
        <v>10.859999999996944</v>
      </c>
      <c r="H165" s="99">
        <f>G165+'23'!H165</f>
        <v>264.41999999999825</v>
      </c>
      <c r="I165" s="236"/>
      <c r="J165" s="239">
        <f>H165/DAY(B2)</f>
        <v>11.017499999999927</v>
      </c>
    </row>
    <row r="166" spans="1:10" ht="26.25">
      <c r="A166" s="937"/>
      <c r="B166" s="937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6.25">
      <c r="A167" s="937"/>
      <c r="B167" s="937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6.25">
      <c r="A168" s="937"/>
      <c r="B168" s="937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947" t="s">
        <v>330</v>
      </c>
      <c r="B171" s="948"/>
      <c r="C171" s="948"/>
      <c r="D171" s="948"/>
      <c r="E171" s="948"/>
      <c r="F171" s="948"/>
      <c r="G171" s="948"/>
      <c r="H171" s="948"/>
      <c r="I171" s="948"/>
      <c r="J171" s="949"/>
    </row>
    <row r="172" spans="1:10" ht="21.75" customHeight="1">
      <c r="A172" s="943"/>
      <c r="B172" s="944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>
      <c r="A173" s="895" t="s">
        <v>209</v>
      </c>
      <c r="B173" s="896"/>
      <c r="C173" s="333"/>
      <c r="D173" s="228" t="s">
        <v>142</v>
      </c>
      <c r="E173" s="95">
        <f>'23'!F173</f>
        <v>8229</v>
      </c>
      <c r="F173" s="155">
        <v>8229</v>
      </c>
      <c r="G173" s="155">
        <f>F173-E173</f>
        <v>0</v>
      </c>
      <c r="H173" s="99">
        <f>G173+'23'!H173</f>
        <v>12</v>
      </c>
      <c r="I173" s="155"/>
      <c r="J173" s="178">
        <f>H173/DAY(B2)</f>
        <v>0.5</v>
      </c>
    </row>
    <row r="174" spans="1:10" ht="27" customHeight="1">
      <c r="A174" s="895" t="s">
        <v>75</v>
      </c>
      <c r="B174" s="896"/>
      <c r="C174" s="333"/>
      <c r="D174" s="228" t="s">
        <v>142</v>
      </c>
      <c r="E174" s="95">
        <f>'23'!F174</f>
        <v>40677</v>
      </c>
      <c r="F174" s="157">
        <v>40692</v>
      </c>
      <c r="G174" s="155">
        <f t="shared" ref="G174:G175" si="14">F174-E174</f>
        <v>15</v>
      </c>
      <c r="H174" s="99">
        <f>G174+'23'!H174</f>
        <v>360</v>
      </c>
      <c r="I174" s="155"/>
      <c r="J174" s="178">
        <f>H174/DAY(B2)</f>
        <v>15</v>
      </c>
    </row>
    <row r="175" spans="1:10" ht="27" customHeight="1">
      <c r="A175" s="895" t="s">
        <v>76</v>
      </c>
      <c r="B175" s="900"/>
      <c r="C175" s="896"/>
      <c r="D175" s="228" t="s">
        <v>142</v>
      </c>
      <c r="E175" s="95">
        <f>'23'!F175</f>
        <v>23574</v>
      </c>
      <c r="F175" s="155">
        <v>23587</v>
      </c>
      <c r="G175" s="155">
        <f t="shared" si="14"/>
        <v>13</v>
      </c>
      <c r="H175" s="99">
        <f>G175+'23'!H175</f>
        <v>329</v>
      </c>
      <c r="I175" s="155"/>
      <c r="J175" s="178">
        <f>H175/DAY(B2)</f>
        <v>13.708333333333334</v>
      </c>
    </row>
    <row r="176" spans="1:10" ht="21.75" customHeight="1">
      <c r="A176" s="934" t="s">
        <v>196</v>
      </c>
      <c r="B176" s="935"/>
      <c r="C176" s="401"/>
      <c r="D176" s="228" t="s">
        <v>142</v>
      </c>
      <c r="E176" s="95"/>
      <c r="F176" s="155"/>
      <c r="G176" s="155">
        <f>SUM(G173:G175)</f>
        <v>28</v>
      </c>
      <c r="H176" s="99">
        <f>G176+'23'!H176</f>
        <v>701</v>
      </c>
      <c r="I176" s="155"/>
      <c r="J176" s="178">
        <f>H176/DAY(B2)</f>
        <v>29.208333333333332</v>
      </c>
    </row>
    <row r="177" spans="1:10" ht="21.75" customHeight="1">
      <c r="A177" s="895" t="s">
        <v>77</v>
      </c>
      <c r="B177" s="896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5.5">
      <c r="A178" s="895" t="s">
        <v>210</v>
      </c>
      <c r="B178" s="896"/>
      <c r="C178" s="333"/>
      <c r="D178" s="228" t="s">
        <v>142</v>
      </c>
      <c r="E178" s="95">
        <f>'23'!F178</f>
        <v>94187</v>
      </c>
      <c r="F178" s="155">
        <v>94273</v>
      </c>
      <c r="G178" s="155">
        <f>F178-E178</f>
        <v>86</v>
      </c>
      <c r="H178" s="99">
        <f>G178+'23'!H178</f>
        <v>2451</v>
      </c>
      <c r="I178" s="155"/>
      <c r="J178" s="178">
        <f>H178/DAY(B2)</f>
        <v>102.125</v>
      </c>
    </row>
    <row r="179" spans="1:10" ht="24" customHeight="1">
      <c r="A179" s="895" t="s">
        <v>211</v>
      </c>
      <c r="B179" s="896"/>
      <c r="C179" s="333"/>
      <c r="D179" s="228" t="s">
        <v>142</v>
      </c>
      <c r="E179" s="95">
        <f>'23'!F179</f>
        <v>36002</v>
      </c>
      <c r="F179" s="155">
        <v>36002</v>
      </c>
      <c r="G179" s="155">
        <f t="shared" ref="G179:G180" si="15">F179-E179</f>
        <v>0</v>
      </c>
      <c r="H179" s="99">
        <f>G179+'23'!H179</f>
        <v>218</v>
      </c>
      <c r="I179" s="155"/>
      <c r="J179" s="178">
        <f>H179/DAY(B2)</f>
        <v>9.0833333333333339</v>
      </c>
    </row>
    <row r="180" spans="1:10" ht="25.5">
      <c r="A180" s="895" t="s">
        <v>212</v>
      </c>
      <c r="B180" s="896"/>
      <c r="C180" s="333"/>
      <c r="D180" s="228" t="s">
        <v>142</v>
      </c>
      <c r="E180" s="95">
        <f>'23'!F180</f>
        <v>6826</v>
      </c>
      <c r="F180" s="155">
        <v>6833</v>
      </c>
      <c r="G180" s="155">
        <f t="shared" si="15"/>
        <v>7</v>
      </c>
      <c r="H180" s="99">
        <f>G180+'23'!H180</f>
        <v>163</v>
      </c>
      <c r="I180" s="155"/>
      <c r="J180" s="178">
        <f>H180/DAY(B2)</f>
        <v>6.791666666666667</v>
      </c>
    </row>
    <row r="181" spans="1:10" ht="25.5">
      <c r="A181" s="941" t="s">
        <v>108</v>
      </c>
      <c r="B181" s="942"/>
      <c r="C181" s="401"/>
      <c r="D181" s="228" t="s">
        <v>142</v>
      </c>
      <c r="E181" s="95"/>
      <c r="F181" s="155"/>
      <c r="G181" s="155">
        <f>SUM(G178:G180)</f>
        <v>93</v>
      </c>
      <c r="H181" s="99">
        <f>G181+'23'!H181</f>
        <v>2832</v>
      </c>
      <c r="I181" s="155"/>
      <c r="J181" s="178">
        <f>H181/DAY(B2)</f>
        <v>118</v>
      </c>
    </row>
    <row r="182" spans="1:10" ht="25.5">
      <c r="A182" s="895" t="s">
        <v>213</v>
      </c>
      <c r="B182" s="896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5.5">
      <c r="A183" s="895" t="s">
        <v>214</v>
      </c>
      <c r="B183" s="896"/>
      <c r="C183" s="334"/>
      <c r="D183" s="228" t="s">
        <v>142</v>
      </c>
      <c r="E183" s="95">
        <f>'23'!F183</f>
        <v>17232</v>
      </c>
      <c r="F183" s="157">
        <v>17237</v>
      </c>
      <c r="G183" s="157">
        <f>F183-E183</f>
        <v>5</v>
      </c>
      <c r="H183" s="99">
        <f>G183+'23'!H183</f>
        <v>282</v>
      </c>
      <c r="I183" s="155"/>
      <c r="J183" s="178">
        <f>H183/DAY(B2)</f>
        <v>11.75</v>
      </c>
    </row>
    <row r="184" spans="1:10" ht="25.5">
      <c r="A184" s="895" t="s">
        <v>215</v>
      </c>
      <c r="B184" s="896"/>
      <c r="C184" s="334"/>
      <c r="D184" s="228" t="s">
        <v>142</v>
      </c>
      <c r="E184" s="95">
        <f>'23'!F184</f>
        <v>11646</v>
      </c>
      <c r="F184" s="157">
        <v>11653</v>
      </c>
      <c r="G184" s="157">
        <f t="shared" ref="G184:G185" si="16">F184-E184</f>
        <v>7</v>
      </c>
      <c r="H184" s="99">
        <f>G184+'23'!H184</f>
        <v>167</v>
      </c>
      <c r="I184" s="155"/>
      <c r="J184" s="178">
        <f>H184/DAY(B2)</f>
        <v>6.958333333333333</v>
      </c>
    </row>
    <row r="185" spans="1:10" ht="26.25" customHeight="1">
      <c r="A185" s="895" t="s">
        <v>216</v>
      </c>
      <c r="B185" s="896"/>
      <c r="C185" s="334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5.5">
      <c r="A186" s="934" t="s">
        <v>196</v>
      </c>
      <c r="B186" s="935"/>
      <c r="C186" s="400"/>
      <c r="D186" s="228" t="s">
        <v>142</v>
      </c>
      <c r="E186" s="95"/>
      <c r="F186" s="157"/>
      <c r="G186" s="157">
        <f>SUM(G183:G185)</f>
        <v>12</v>
      </c>
      <c r="H186" s="99">
        <f>G186+'23'!H186</f>
        <v>449</v>
      </c>
      <c r="I186" s="157"/>
      <c r="J186" s="178">
        <f>H186/DAY(B2)</f>
        <v>18.708333333333332</v>
      </c>
    </row>
    <row r="187" spans="1:10" ht="25.5">
      <c r="A187" s="945" t="s">
        <v>217</v>
      </c>
      <c r="B187" s="946"/>
      <c r="C187" s="333"/>
      <c r="D187" s="230" t="s">
        <v>142</v>
      </c>
      <c r="E187" s="95">
        <f>'23'!F187</f>
        <v>0</v>
      </c>
      <c r="F187" s="159"/>
      <c r="G187" s="378">
        <f>G62+G19</f>
        <v>156</v>
      </c>
      <c r="H187" s="99">
        <f>G187+'23'!H187</f>
        <v>4487</v>
      </c>
      <c r="I187" s="158"/>
      <c r="J187" s="179">
        <f>H187/DAY(B2)</f>
        <v>186.95833333333334</v>
      </c>
    </row>
    <row r="188" spans="1:10" ht="25.5">
      <c r="A188" s="945" t="s">
        <v>218</v>
      </c>
      <c r="B188" s="946"/>
      <c r="C188" s="333"/>
      <c r="D188" s="230" t="s">
        <v>142</v>
      </c>
      <c r="E188" s="95">
        <f>'23'!F188</f>
        <v>0</v>
      </c>
      <c r="F188" s="159"/>
      <c r="G188" s="378">
        <f>G65+G66+G67+G69+G70</f>
        <v>128</v>
      </c>
      <c r="H188" s="99">
        <f>G188+'23'!H188</f>
        <v>1470</v>
      </c>
      <c r="I188" s="158"/>
      <c r="J188" s="179">
        <f>H188/DAY(B2)</f>
        <v>61.25</v>
      </c>
    </row>
    <row r="189" spans="1:10" ht="25.5">
      <c r="A189" s="945" t="s">
        <v>219</v>
      </c>
      <c r="B189" s="946"/>
      <c r="C189" s="333"/>
      <c r="D189" s="230" t="s">
        <v>142</v>
      </c>
      <c r="E189" s="95">
        <f>'23'!F189</f>
        <v>0</v>
      </c>
      <c r="F189" s="157"/>
      <c r="G189" s="377">
        <f>G181</f>
        <v>93</v>
      </c>
      <c r="H189" s="99">
        <f>G189+'23'!H189</f>
        <v>570</v>
      </c>
      <c r="I189" s="158"/>
      <c r="J189" s="179">
        <f>H189/DAY(B2)</f>
        <v>23.75</v>
      </c>
    </row>
    <row r="190" spans="1:10" ht="25.5">
      <c r="A190" s="939"/>
      <c r="B190" s="940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topLeftCell="A115" zoomScale="55" zoomScaleNormal="49" zoomScaleSheetLayoutView="55" workbookViewId="0">
      <selection activeCell="H149" sqref="H149"/>
    </sheetView>
  </sheetViews>
  <sheetFormatPr defaultColWidth="22.33203125" defaultRowHeight="21.95" customHeight="1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6" t="s">
        <v>115</v>
      </c>
      <c r="B1" s="877"/>
      <c r="C1" s="877"/>
      <c r="D1" s="877"/>
      <c r="E1" s="877"/>
      <c r="F1" s="877"/>
      <c r="G1" s="877"/>
      <c r="H1" s="877"/>
      <c r="I1" s="877"/>
      <c r="J1" s="878"/>
    </row>
    <row r="2" spans="1:15" s="57" customFormat="1" ht="23.25">
      <c r="A2" s="191" t="s">
        <v>349</v>
      </c>
      <c r="B2" s="262">
        <v>44737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85" t="s">
        <v>119</v>
      </c>
      <c r="F3" s="886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9" t="s">
        <v>128</v>
      </c>
      <c r="B6" s="880"/>
      <c r="C6" s="88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'24'!F7</f>
        <v>362079.39</v>
      </c>
      <c r="F7" s="95">
        <v>389638</v>
      </c>
      <c r="G7" s="112">
        <f>F7-E7</f>
        <v>27558.609999999986</v>
      </c>
      <c r="H7" s="99">
        <f>G7+'24'!H7</f>
        <v>696811</v>
      </c>
      <c r="I7" s="113">
        <f>'1'!I7</f>
        <v>12000</v>
      </c>
      <c r="J7" s="175">
        <f>H7/DAY(B2)</f>
        <v>27872.44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'24'!F8</f>
        <v>498251.63</v>
      </c>
      <c r="F8" s="114">
        <v>526282</v>
      </c>
      <c r="G8" s="115">
        <f>F8-E8</f>
        <v>28030.369999999995</v>
      </c>
      <c r="H8" s="99">
        <f>G8+'24'!H8</f>
        <v>717623.10000000009</v>
      </c>
      <c r="I8" s="116"/>
      <c r="J8" s="175">
        <f>H8/DAY(B2)</f>
        <v>28704.924000000003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'24'!F9</f>
        <v>2838366.3</v>
      </c>
      <c r="F9" s="469">
        <v>2851604.3</v>
      </c>
      <c r="G9" s="112">
        <f>F9-E9</f>
        <v>13238</v>
      </c>
      <c r="H9" s="99">
        <f>G9+'24'!H9</f>
        <v>401495.59999999963</v>
      </c>
      <c r="I9" s="124">
        <f>I7-J7</f>
        <v>-15872.439999999999</v>
      </c>
      <c r="J9" s="175">
        <f>H9/DAY(B2)</f>
        <v>16059.823999999986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'24'!F10</f>
        <v>1158177.8</v>
      </c>
      <c r="F10" s="353">
        <v>1171828.6000000001</v>
      </c>
      <c r="G10" s="112">
        <f t="shared" ref="G10:G12" si="0">F10-E10</f>
        <v>13650.800000000047</v>
      </c>
      <c r="H10" s="99">
        <f>G10+'24'!H10</f>
        <v>261425.40000000014</v>
      </c>
      <c r="I10" s="282"/>
      <c r="J10" s="175">
        <f>H10/DAY(B2)</f>
        <v>10457.016000000005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'24'!F11</f>
        <v>37560</v>
      </c>
      <c r="F11" s="95">
        <v>37560</v>
      </c>
      <c r="G11" s="112">
        <f t="shared" si="0"/>
        <v>0</v>
      </c>
      <c r="H11" s="99">
        <f>G11+'24'!H11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'24'!F12</f>
        <v>40380</v>
      </c>
      <c r="F12" s="117">
        <v>40380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26888.800000000047</v>
      </c>
      <c r="H13" s="99">
        <f>G13+'24'!H13</f>
        <v>662781.99999999977</v>
      </c>
      <c r="I13" s="120">
        <f>G7-G13</f>
        <v>669.80999999993946</v>
      </c>
      <c r="J13" s="175">
        <f>H13/DAY(B2)</f>
        <v>26511.279999999992</v>
      </c>
      <c r="K13" s="79"/>
      <c r="L13" s="66"/>
      <c r="N13" s="87"/>
      <c r="O13" s="71"/>
    </row>
    <row r="14" spans="1:15" ht="26.25">
      <c r="A14" s="882" t="s">
        <v>137</v>
      </c>
      <c r="B14" s="883"/>
      <c r="C14" s="88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'24'!F15</f>
        <v>2062176.45</v>
      </c>
      <c r="F15" s="469">
        <v>2063183.3</v>
      </c>
      <c r="G15" s="112">
        <f>(F15-E15)</f>
        <v>1006.8500000000931</v>
      </c>
      <c r="H15" s="99">
        <f>G15+'24'!H15</f>
        <v>26066.300000000047</v>
      </c>
      <c r="I15" s="113">
        <f>'1'!I15</f>
        <v>800</v>
      </c>
      <c r="J15" s="175">
        <f>H15/DAY(B2)</f>
        <v>1042.6520000000019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-242.65200000000186</v>
      </c>
      <c r="J16" s="176"/>
      <c r="K16" s="79"/>
      <c r="L16" s="66"/>
      <c r="N16" s="87"/>
      <c r="O16" s="71"/>
    </row>
    <row r="17" spans="1:15" ht="26.25">
      <c r="A17" s="882" t="s">
        <v>140</v>
      </c>
      <c r="B17" s="883"/>
      <c r="C17" s="88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3" t="s">
        <v>141</v>
      </c>
      <c r="B18" s="874"/>
      <c r="C18" s="875"/>
      <c r="D18" s="151" t="s">
        <v>142</v>
      </c>
      <c r="E18" s="95">
        <f>'24'!F18</f>
        <v>18</v>
      </c>
      <c r="F18" s="122">
        <v>21</v>
      </c>
      <c r="G18" s="119">
        <f>F18*10</f>
        <v>210</v>
      </c>
      <c r="H18" s="99">
        <f>G18+'24'!H18</f>
        <v>5350</v>
      </c>
      <c r="I18" s="113">
        <f>'1'!I18</f>
        <v>65</v>
      </c>
      <c r="J18" s="175">
        <f>H18/DAY(B2)</f>
        <v>214</v>
      </c>
      <c r="K18" s="79"/>
      <c r="L18" s="66"/>
      <c r="N18" s="87"/>
      <c r="O18" s="71"/>
    </row>
    <row r="19" spans="1:15" ht="25.5">
      <c r="A19" s="873" t="s">
        <v>69</v>
      </c>
      <c r="B19" s="874"/>
      <c r="C19" s="875"/>
      <c r="D19" s="151" t="s">
        <v>142</v>
      </c>
      <c r="E19" s="764">
        <v>160587</v>
      </c>
      <c r="F19" s="404">
        <v>160587</v>
      </c>
      <c r="G19" s="112">
        <f t="shared" ref="G19" si="1">F19-E19</f>
        <v>0</v>
      </c>
      <c r="H19" s="99">
        <f>G19+'24'!H19</f>
        <v>1246</v>
      </c>
      <c r="I19" s="335"/>
      <c r="J19" s="175">
        <f>H19/DAY(B2)</f>
        <v>49.84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210</v>
      </c>
      <c r="H20" s="99">
        <f>G20+'24'!H20</f>
        <v>6596</v>
      </c>
      <c r="I20" s="336">
        <f>I18-J20</f>
        <v>-198.83999999999997</v>
      </c>
      <c r="J20" s="175">
        <f>H20/DAY(B2)</f>
        <v>263.83999999999997</v>
      </c>
      <c r="K20" s="79"/>
      <c r="L20" s="66"/>
      <c r="N20" s="87"/>
      <c r="O20" s="71"/>
    </row>
    <row r="21" spans="1:15" ht="26.25">
      <c r="A21" s="882" t="s">
        <v>144</v>
      </c>
      <c r="B21" s="883"/>
      <c r="C21" s="88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'24'!F23</f>
        <v>1500</v>
      </c>
      <c r="F23" s="122">
        <v>1500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'24'!F24</f>
        <v>4470</v>
      </c>
      <c r="F24" s="128">
        <v>4470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7" t="s">
        <v>149</v>
      </c>
      <c r="B25" s="888"/>
      <c r="C25" s="88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28030.369999999995</v>
      </c>
      <c r="F27" s="136">
        <v>9</v>
      </c>
      <c r="G27" s="137">
        <f>E27*F27</f>
        <v>252273.32999999996</v>
      </c>
      <c r="H27" s="99">
        <f>G27+'24'!H27</f>
        <v>6458607.9000000004</v>
      </c>
      <c r="I27" s="138"/>
      <c r="J27" s="175">
        <f>H27/DAY(B2)</f>
        <v>258344.31600000002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1006.8500000000931</v>
      </c>
      <c r="F28" s="136">
        <v>52</v>
      </c>
      <c r="G28" s="137">
        <f>E28*F28</f>
        <v>52356.200000004843</v>
      </c>
      <c r="H28" s="99">
        <f>G28+'24'!H28</f>
        <v>1734662.6000000024</v>
      </c>
      <c r="I28" s="140"/>
      <c r="J28" s="175">
        <f>H28/DAY(B2)</f>
        <v>69386.504000000103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0</v>
      </c>
      <c r="F30" s="136">
        <v>146</v>
      </c>
      <c r="G30" s="137">
        <f>E30*F30</f>
        <v>0</v>
      </c>
      <c r="H30" s="99">
        <f>G30+'24'!H30</f>
        <v>187131</v>
      </c>
      <c r="I30" s="140"/>
      <c r="J30" s="175">
        <f>H30/DAY(B2)</f>
        <v>7485.24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G31+'24'!H31</f>
        <v>428000</v>
      </c>
      <c r="I31" s="140"/>
      <c r="J31" s="175">
        <f>H31/DAY(B2)</f>
        <v>17120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321429.5300000048</v>
      </c>
      <c r="H32" s="99">
        <f>G32+'24'!H32</f>
        <v>8808401.5000000037</v>
      </c>
      <c r="I32" s="144"/>
      <c r="J32" s="175">
        <f>H32/DAY(B2)</f>
        <v>352336.06000000017</v>
      </c>
      <c r="K32" s="63"/>
      <c r="L32" s="89"/>
      <c r="N32" s="87"/>
      <c r="O32" s="71"/>
    </row>
    <row r="33" spans="1:15" ht="25.5">
      <c r="A33" s="890" t="s">
        <v>331</v>
      </c>
      <c r="B33" s="891"/>
      <c r="C33" s="89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'24'!F35</f>
        <v>238714</v>
      </c>
      <c r="F35" s="145">
        <v>238713.05</v>
      </c>
      <c r="G35" s="112">
        <f t="shared" ref="G35:G46" si="3">F35-E35</f>
        <v>-0.95000000001164153</v>
      </c>
      <c r="H35" s="99">
        <f>G35+'24'!H35</f>
        <v>-0.95000000001164153</v>
      </c>
      <c r="I35" s="95"/>
      <c r="J35" s="175">
        <f>H35/DAY(B2)</f>
        <v>-3.8000000000465661E-2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'24'!F36</f>
        <v>181742.95</v>
      </c>
      <c r="F36" s="145">
        <v>182724.91</v>
      </c>
      <c r="G36" s="112">
        <f t="shared" si="3"/>
        <v>981.95999999999185</v>
      </c>
      <c r="H36" s="99">
        <f>G36+'24'!H36</f>
        <v>22276.910000000003</v>
      </c>
      <c r="I36" s="95"/>
      <c r="J36" s="175">
        <f>H36/DAY(B2)</f>
        <v>891.07640000000015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'24'!F37</f>
        <v>277054.95</v>
      </c>
      <c r="F37" s="145">
        <v>278655.55</v>
      </c>
      <c r="G37" s="112">
        <f t="shared" si="3"/>
        <v>1600.5999999999767</v>
      </c>
      <c r="H37" s="99">
        <f>G37+'24'!H37</f>
        <v>42876.549999999988</v>
      </c>
      <c r="I37" s="95"/>
      <c r="J37" s="175">
        <f>H37/DAY(B2)</f>
        <v>1715.0619999999994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'24'!F38</f>
        <v>373753.91</v>
      </c>
      <c r="F38" s="108">
        <v>375941.55</v>
      </c>
      <c r="G38" s="112">
        <f t="shared" si="3"/>
        <v>2187.640000000014</v>
      </c>
      <c r="H38" s="99">
        <f>G38+'24'!H38</f>
        <v>57649.549999999988</v>
      </c>
      <c r="I38" s="95"/>
      <c r="J38" s="175">
        <f>H38/DAY(B2)</f>
        <v>2305.9819999999995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'24'!F39</f>
        <v>505659.71</v>
      </c>
      <c r="F39" s="145">
        <v>508619.87</v>
      </c>
      <c r="G39" s="112">
        <f t="shared" si="3"/>
        <v>2960.1599999999744</v>
      </c>
      <c r="H39" s="99">
        <f>G39+'24'!H39</f>
        <v>73289.960000000021</v>
      </c>
      <c r="I39" s="95"/>
      <c r="J39" s="175">
        <f>H39/DAY(B2)</f>
        <v>2931.5984000000008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'24'!F40</f>
        <v>81307.820000000007</v>
      </c>
      <c r="F40" s="145">
        <v>81601.7</v>
      </c>
      <c r="G40" s="112">
        <f t="shared" si="3"/>
        <v>293.8799999999901</v>
      </c>
      <c r="H40" s="99">
        <f>G40+'24'!H40</f>
        <v>8048.6999999999971</v>
      </c>
      <c r="I40" s="95"/>
      <c r="J40" s="175">
        <f>H40/DAY(B2)</f>
        <v>321.94799999999987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'24'!F41</f>
        <v>142818.41</v>
      </c>
      <c r="F41" s="145">
        <v>142818.41</v>
      </c>
      <c r="G41" s="112">
        <f t="shared" si="3"/>
        <v>0</v>
      </c>
      <c r="H41" s="99">
        <f>G41+'24'!H41</f>
        <v>73983.41</v>
      </c>
      <c r="I41" s="95"/>
      <c r="J41" s="175">
        <f>H41/DAY(B2)</f>
        <v>2959.3364000000001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'24'!F42</f>
        <v>662595.55000000005</v>
      </c>
      <c r="F42" s="145">
        <v>666778.06999999995</v>
      </c>
      <c r="G42" s="112">
        <f t="shared" si="3"/>
        <v>4182.5199999999022</v>
      </c>
      <c r="H42" s="99">
        <f>G42+'24'!H42</f>
        <v>103906.06999999995</v>
      </c>
      <c r="I42" s="95"/>
      <c r="J42" s="175">
        <f>H42/DAY(B2)</f>
        <v>4156.2427999999982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'24'!F43</f>
        <v>407028.03</v>
      </c>
      <c r="F43" s="145">
        <v>407028.03</v>
      </c>
      <c r="G43" s="112">
        <f t="shared" si="3"/>
        <v>0</v>
      </c>
      <c r="H43" s="99">
        <f>G43+'24'!H43</f>
        <v>3.0000000027939677E-2</v>
      </c>
      <c r="I43" s="95"/>
      <c r="J43" s="175">
        <f>H43/DAY(B2)</f>
        <v>1.200000001117587E-3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12205.809999999838</v>
      </c>
      <c r="H47" s="99">
        <f>G47+'24'!H47</f>
        <v>382030.22999999992</v>
      </c>
      <c r="I47" s="95"/>
      <c r="J47" s="175">
        <f>H47/DAY(B2)</f>
        <v>15281.209199999998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'24'!F49</f>
        <v>346373.83</v>
      </c>
      <c r="F49" s="145">
        <v>349982.55</v>
      </c>
      <c r="G49" s="112">
        <f t="shared" ref="G49:G58" si="4">F49-E49</f>
        <v>3608.7199999999721</v>
      </c>
      <c r="H49" s="99">
        <f>G49+'24'!H49</f>
        <v>89835.549999999988</v>
      </c>
      <c r="I49" s="95"/>
      <c r="J49" s="175">
        <f>H49/DAY(B2)</f>
        <v>3593.4219999999996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'24'!F50</f>
        <v>236571.91</v>
      </c>
      <c r="F50" s="145">
        <v>237587.47</v>
      </c>
      <c r="G50" s="112">
        <f t="shared" si="4"/>
        <v>1015.5599999999977</v>
      </c>
      <c r="H50" s="99">
        <f>G50+'24'!H50</f>
        <v>28023.47</v>
      </c>
      <c r="I50" s="95"/>
      <c r="J50" s="175">
        <f>H50/DAY(B2)</f>
        <v>1120.9388000000001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'24'!F51</f>
        <v>76</v>
      </c>
      <c r="F51" s="145">
        <v>76</v>
      </c>
      <c r="G51" s="112">
        <f t="shared" si="4"/>
        <v>0</v>
      </c>
      <c r="H51" s="99">
        <f>G51+'24'!H51</f>
        <v>0.31999999999999318</v>
      </c>
      <c r="I51" s="95"/>
      <c r="J51" s="175">
        <f>H51/DAY(B2)</f>
        <v>1.2799999999999727E-2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'24'!F52</f>
        <v>10</v>
      </c>
      <c r="F52" s="145">
        <v>10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'24'!F54</f>
        <v>74910.48</v>
      </c>
      <c r="F54" s="145">
        <v>75257.8</v>
      </c>
      <c r="G54" s="112">
        <f t="shared" si="4"/>
        <v>347.32000000000698</v>
      </c>
      <c r="H54" s="99">
        <f>G54+'24'!H54</f>
        <v>10701.800000000003</v>
      </c>
      <c r="I54" s="95"/>
      <c r="J54" s="175">
        <f>H54/DAY(B2)</f>
        <v>428.07200000000012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'24'!F55</f>
        <v>263552.81</v>
      </c>
      <c r="F55" s="145">
        <v>267317.93</v>
      </c>
      <c r="G55" s="112">
        <f t="shared" si="4"/>
        <v>3765.1199999999953</v>
      </c>
      <c r="H55" s="99">
        <f>G55+'24'!H55</f>
        <v>41844.929999999993</v>
      </c>
      <c r="I55" s="95"/>
      <c r="J55" s="175">
        <f>H55/DAY(B2)</f>
        <v>1673.7971999999997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'24'!F56</f>
        <v>111243.13</v>
      </c>
      <c r="F56" s="145">
        <v>111243.13</v>
      </c>
      <c r="G56" s="112">
        <f t="shared" si="4"/>
        <v>0</v>
      </c>
      <c r="H56" s="99">
        <f>G56+'24'!H56</f>
        <v>3997.1300000000047</v>
      </c>
      <c r="I56" s="95"/>
      <c r="J56" s="175">
        <f>H56/DAY(B2)</f>
        <v>159.8852000000002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'24'!F57</f>
        <v>113016.03</v>
      </c>
      <c r="F57" s="145">
        <v>116350.14</v>
      </c>
      <c r="G57" s="112">
        <f t="shared" si="4"/>
        <v>3334.1100000000006</v>
      </c>
      <c r="H57" s="99">
        <f>G57+'24'!H57</f>
        <v>78747.14</v>
      </c>
      <c r="I57" s="95"/>
      <c r="J57" s="175">
        <f>H57/DAY(B2)</f>
        <v>3149.8856000000001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'24'!F58</f>
        <v>38598.43</v>
      </c>
      <c r="F58" s="145">
        <v>38871.1</v>
      </c>
      <c r="G58" s="112">
        <f t="shared" si="4"/>
        <v>272.66999999999825</v>
      </c>
      <c r="H58" s="99">
        <f>G58+'24'!H58</f>
        <v>5982.0999999999985</v>
      </c>
      <c r="I58" s="95"/>
      <c r="J58" s="175">
        <f>H58/DAY(B2)</f>
        <v>239.28399999999993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12343.499999999971</v>
      </c>
      <c r="H59" s="99">
        <f>G59+'24'!H59</f>
        <v>259132.44</v>
      </c>
      <c r="I59" s="95">
        <f>G7-G60</f>
        <v>3009.3000000001775</v>
      </c>
      <c r="J59" s="175">
        <f>H59/DAY(B2)</f>
        <v>10365.2976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24549.309999999808</v>
      </c>
      <c r="H60" s="99">
        <f>G60+'24'!H60</f>
        <v>641162.66999999993</v>
      </c>
      <c r="I60" s="95">
        <f>G13-G60</f>
        <v>2339.4900000002381</v>
      </c>
      <c r="J60" s="175">
        <f>H60/DAY(B2)</f>
        <v>25646.506799999996</v>
      </c>
      <c r="K60" s="79"/>
      <c r="L60" s="66"/>
      <c r="N60" s="87"/>
      <c r="O60" s="71"/>
    </row>
    <row r="61" spans="1:15" s="68" customFormat="1" ht="26.25">
      <c r="A61" s="892" t="s">
        <v>332</v>
      </c>
      <c r="B61" s="893"/>
      <c r="C61" s="89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3" t="s">
        <v>198</v>
      </c>
      <c r="B62" s="874"/>
      <c r="C62" s="875"/>
      <c r="D62" s="151" t="s">
        <v>142</v>
      </c>
      <c r="E62" s="95">
        <f>'24'!F62</f>
        <v>292141</v>
      </c>
      <c r="F62" s="122">
        <v>292249</v>
      </c>
      <c r="G62" s="112">
        <f t="shared" ref="G62:G63" si="5">F62-E62</f>
        <v>108</v>
      </c>
      <c r="H62" s="99">
        <f>G62+'24'!H62</f>
        <v>3349</v>
      </c>
      <c r="I62" s="118"/>
      <c r="J62" s="175">
        <f>H62/DAY(B2)</f>
        <v>133.96</v>
      </c>
      <c r="K62" s="80"/>
      <c r="L62" s="66"/>
      <c r="N62" s="87"/>
      <c r="O62" s="71"/>
    </row>
    <row r="63" spans="1:15" ht="25.5">
      <c r="A63" s="873" t="s">
        <v>199</v>
      </c>
      <c r="B63" s="874"/>
      <c r="C63" s="875"/>
      <c r="D63" s="151" t="s">
        <v>142</v>
      </c>
      <c r="E63" s="95">
        <f>'24'!F63</f>
        <v>234289</v>
      </c>
      <c r="F63" s="122">
        <v>234403</v>
      </c>
      <c r="G63" s="112">
        <f t="shared" si="5"/>
        <v>114</v>
      </c>
      <c r="H63" s="99">
        <f>G63+'24'!H63</f>
        <v>3241</v>
      </c>
      <c r="I63" s="118"/>
      <c r="J63" s="175">
        <f>H63/DAY(B2)</f>
        <v>129.63999999999999</v>
      </c>
      <c r="K63" s="69"/>
      <c r="L63" s="66"/>
      <c r="N63" s="87"/>
      <c r="O63" s="71"/>
    </row>
    <row r="64" spans="1:15" ht="26.25">
      <c r="A64" s="870" t="s">
        <v>200</v>
      </c>
      <c r="B64" s="871"/>
      <c r="C64" s="872"/>
      <c r="D64" s="151"/>
      <c r="E64" s="95">
        <f>'24'!F64</f>
        <v>0</v>
      </c>
      <c r="F64" s="122"/>
      <c r="G64" s="112">
        <f>G62+G63</f>
        <v>222</v>
      </c>
      <c r="H64" s="99">
        <f>G64+'24'!H64</f>
        <v>6590</v>
      </c>
      <c r="I64" s="118"/>
      <c r="J64" s="175">
        <f>H64/DAY(B2)</f>
        <v>263.60000000000002</v>
      </c>
      <c r="K64" s="69"/>
      <c r="L64" s="66"/>
      <c r="N64" s="87"/>
      <c r="O64" s="71"/>
    </row>
    <row r="65" spans="1:15" ht="25.5">
      <c r="A65" s="873" t="s">
        <v>201</v>
      </c>
      <c r="B65" s="874"/>
      <c r="C65" s="875"/>
      <c r="D65" s="151" t="s">
        <v>142</v>
      </c>
      <c r="E65" s="95">
        <f>'24'!F65</f>
        <v>450817</v>
      </c>
      <c r="F65" s="122">
        <v>450920</v>
      </c>
      <c r="G65" s="112">
        <f t="shared" ref="G65:G70" si="6">F65-E65</f>
        <v>103</v>
      </c>
      <c r="H65" s="99">
        <f>G65+'24'!H65</f>
        <v>2893</v>
      </c>
      <c r="I65" s="118"/>
      <c r="J65" s="175">
        <f>H65/DAY(B2)</f>
        <v>115.72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'24'!F66</f>
        <v>110918</v>
      </c>
      <c r="F66" s="122">
        <v>110934</v>
      </c>
      <c r="G66" s="112">
        <f t="shared" si="6"/>
        <v>16</v>
      </c>
      <c r="H66" s="99">
        <f>G66+'24'!H66</f>
        <v>603</v>
      </c>
      <c r="I66" s="118"/>
      <c r="J66" s="175">
        <f>H66/DAY(B2)</f>
        <v>24.12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'24'!F67</f>
        <v>113681</v>
      </c>
      <c r="F67" s="122">
        <v>113680</v>
      </c>
      <c r="G67" s="112">
        <f t="shared" si="6"/>
        <v>-1</v>
      </c>
      <c r="H67" s="99">
        <f>G67+'24'!H67</f>
        <v>402</v>
      </c>
      <c r="I67" s="118"/>
      <c r="J67" s="175">
        <f>H67/DAY(B2)</f>
        <v>16.079999999999998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'24'!F68</f>
        <v>163317</v>
      </c>
      <c r="F68" s="122">
        <v>163354</v>
      </c>
      <c r="G68" s="112">
        <f t="shared" si="6"/>
        <v>37</v>
      </c>
      <c r="H68" s="99">
        <f>G68+'24'!H68</f>
        <v>860</v>
      </c>
      <c r="I68" s="118"/>
      <c r="J68" s="175">
        <f>H68/DAY(B2)</f>
        <v>34.4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'24'!F69</f>
        <v>12099</v>
      </c>
      <c r="F69" s="122">
        <v>12102</v>
      </c>
      <c r="G69" s="112">
        <f t="shared" si="6"/>
        <v>3</v>
      </c>
      <c r="H69" s="99">
        <f>G69+'24'!H69</f>
        <v>233</v>
      </c>
      <c r="I69" s="118"/>
      <c r="J69" s="175">
        <f>H69/DAY(B2)</f>
        <v>9.32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'24'!F70</f>
        <v>9472</v>
      </c>
      <c r="F70" s="122">
        <v>9479</v>
      </c>
      <c r="G70" s="112">
        <f t="shared" si="6"/>
        <v>7</v>
      </c>
      <c r="H70" s="99">
        <f>G70+'24'!H70</f>
        <v>212</v>
      </c>
      <c r="I70" s="118"/>
      <c r="J70" s="175">
        <f>H70/DAY(B2)</f>
        <v>8.48</v>
      </c>
      <c r="K70" s="69"/>
      <c r="L70" s="66"/>
      <c r="N70" s="87"/>
      <c r="O70" s="71"/>
    </row>
    <row r="71" spans="1:15" ht="26.25">
      <c r="A71" s="870" t="s">
        <v>208</v>
      </c>
      <c r="B71" s="871"/>
      <c r="C71" s="872"/>
      <c r="D71" s="152"/>
      <c r="E71" s="152"/>
      <c r="F71" s="152"/>
      <c r="G71" s="153">
        <f>SUM(G65:G70)</f>
        <v>165</v>
      </c>
      <c r="H71" s="99">
        <f>G71+'24'!H71</f>
        <v>5203</v>
      </c>
      <c r="I71" s="154"/>
      <c r="J71" s="175">
        <f>H71/DAY(B2)</f>
        <v>208.12</v>
      </c>
      <c r="K71" s="69"/>
      <c r="L71" s="66"/>
      <c r="N71" s="87"/>
      <c r="O71" s="71"/>
    </row>
    <row r="72" spans="1:15" s="88" customFormat="1" ht="25.5">
      <c r="A72" s="916"/>
      <c r="B72" s="90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233"/>
      <c r="G73" s="235"/>
      <c r="H73" s="342"/>
      <c r="I73" s="342"/>
      <c r="J73" s="343"/>
      <c r="K73" s="69"/>
      <c r="L73" s="66"/>
      <c r="N73" s="87"/>
      <c r="O73" s="71"/>
    </row>
    <row r="74" spans="1:15" ht="25.5">
      <c r="A74" s="873" t="s">
        <v>220</v>
      </c>
      <c r="B74" s="874"/>
      <c r="C74" s="875"/>
      <c r="D74" s="151" t="s">
        <v>139</v>
      </c>
      <c r="E74" s="95">
        <f>'24'!F74</f>
        <v>946000.38</v>
      </c>
      <c r="F74" s="410">
        <v>946282.7</v>
      </c>
      <c r="G74" s="236">
        <f t="shared" ref="G74:G78" si="7">F74-E74</f>
        <v>282.31999999994878</v>
      </c>
      <c r="H74" s="99">
        <f>G74+'24'!H74</f>
        <v>7612.6999999999534</v>
      </c>
      <c r="I74" s="154"/>
      <c r="J74" s="175">
        <f>H74/DAY(B2)</f>
        <v>304.50799999999816</v>
      </c>
      <c r="K74" s="69"/>
      <c r="L74" s="66"/>
      <c r="N74" s="87"/>
      <c r="O74" s="71"/>
    </row>
    <row r="75" spans="1:15" ht="25.5">
      <c r="A75" s="873" t="s">
        <v>221</v>
      </c>
      <c r="B75" s="874"/>
      <c r="C75" s="875"/>
      <c r="D75" s="151" t="s">
        <v>139</v>
      </c>
      <c r="E75" s="95">
        <f>'24'!F75</f>
        <v>73586.8</v>
      </c>
      <c r="F75" s="410">
        <v>73586.8</v>
      </c>
      <c r="G75" s="236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7" t="s">
        <v>222</v>
      </c>
      <c r="B76" s="903"/>
      <c r="C76" s="904"/>
      <c r="D76" s="151" t="s">
        <v>139</v>
      </c>
      <c r="E76" s="95">
        <f>'24'!F76</f>
        <v>186317.65</v>
      </c>
      <c r="F76" s="410">
        <v>186410</v>
      </c>
      <c r="G76" s="236">
        <f t="shared" si="7"/>
        <v>92.350000000005821</v>
      </c>
      <c r="H76" s="99">
        <f>G76+'24'!H76</f>
        <v>2704</v>
      </c>
      <c r="I76" s="154"/>
      <c r="J76" s="175">
        <f>H76/DAY(B2)</f>
        <v>108.16</v>
      </c>
      <c r="K76" s="69"/>
      <c r="L76" s="66"/>
      <c r="N76" s="87"/>
      <c r="O76" s="71"/>
    </row>
    <row r="77" spans="1:15" ht="25.5">
      <c r="A77" s="917" t="s">
        <v>223</v>
      </c>
      <c r="B77" s="903"/>
      <c r="C77" s="904"/>
      <c r="D77" s="151" t="s">
        <v>139</v>
      </c>
      <c r="E77" s="95">
        <f>'24'!F77</f>
        <v>48466.7</v>
      </c>
      <c r="F77" s="410">
        <v>48507</v>
      </c>
      <c r="G77" s="236">
        <f t="shared" si="7"/>
        <v>40.30000000000291</v>
      </c>
      <c r="H77" s="99">
        <f>G77+'24'!H77</f>
        <v>1162</v>
      </c>
      <c r="I77" s="154"/>
      <c r="J77" s="175">
        <f>H77/DAY(B2)</f>
        <v>46.48</v>
      </c>
      <c r="K77" s="69"/>
      <c r="L77" s="66"/>
      <c r="N77" s="87"/>
      <c r="O77" s="71"/>
    </row>
    <row r="78" spans="1:15" ht="25.5">
      <c r="A78" s="917" t="s">
        <v>224</v>
      </c>
      <c r="B78" s="903"/>
      <c r="C78" s="904"/>
      <c r="D78" s="151" t="s">
        <v>139</v>
      </c>
      <c r="E78" s="95">
        <f>'24'!F78</f>
        <v>9564</v>
      </c>
      <c r="F78" s="410">
        <v>9564</v>
      </c>
      <c r="G78" s="236">
        <f t="shared" si="7"/>
        <v>0</v>
      </c>
      <c r="H78" s="99">
        <f>G78+'24'!H78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7" t="s">
        <v>225</v>
      </c>
      <c r="B79" s="903"/>
      <c r="C79" s="904"/>
      <c r="D79" s="151"/>
      <c r="E79" s="95">
        <f>'24'!F79</f>
        <v>0</v>
      </c>
      <c r="F79" s="117"/>
      <c r="G79" s="112">
        <f>G15-SUM(G74:G78)</f>
        <v>591.88000000013562</v>
      </c>
      <c r="H79" s="99">
        <f>G79+'24'!H79</f>
        <v>14587.600000000093</v>
      </c>
      <c r="I79" s="118"/>
      <c r="J79" s="175"/>
      <c r="K79" s="59"/>
      <c r="L79" s="58"/>
      <c r="N79" s="87"/>
      <c r="O79" s="71"/>
    </row>
    <row r="80" spans="1:15" s="57" customFormat="1" ht="26.25">
      <c r="A80" s="870" t="s">
        <v>329</v>
      </c>
      <c r="B80" s="871"/>
      <c r="C80" s="872"/>
      <c r="D80" s="151"/>
      <c r="E80" s="117"/>
      <c r="F80" s="117"/>
      <c r="G80" s="112">
        <f>SUM(G74:G79)</f>
        <v>1006.8500000000931</v>
      </c>
      <c r="H80" s="99"/>
      <c r="I80" s="118"/>
      <c r="J80" s="175"/>
      <c r="K80" s="59"/>
      <c r="L80" s="58"/>
      <c r="N80" s="87"/>
      <c r="O80" s="71"/>
    </row>
    <row r="81" spans="1:15" ht="25.5">
      <c r="A81" s="909" t="s">
        <v>226</v>
      </c>
      <c r="B81" s="910"/>
      <c r="C81" s="91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406">
        <f>'24'!F84</f>
        <v>42275</v>
      </c>
      <c r="F84" s="164">
        <v>42275</v>
      </c>
      <c r="G84" s="236">
        <f t="shared" si="8"/>
        <v>0</v>
      </c>
      <c r="H84" s="99">
        <f>G84+'24'!H84</f>
        <v>306</v>
      </c>
      <c r="I84" s="573"/>
      <c r="J84" s="175">
        <f>H84/DAY(B2)</f>
        <v>12.24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'24'!F85</f>
        <v>4770.32</v>
      </c>
      <c r="F85" s="164">
        <v>4787</v>
      </c>
      <c r="G85" s="112">
        <f t="shared" si="8"/>
        <v>16.680000000000291</v>
      </c>
      <c r="H85" s="99">
        <f>G85+'24'!H85</f>
        <v>444</v>
      </c>
      <c r="I85" s="573"/>
      <c r="J85" s="175">
        <f>H85/DAY(B2)</f>
        <v>17.760000000000002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'24'!F86</f>
        <v>44718.32</v>
      </c>
      <c r="F86" s="164">
        <v>44742</v>
      </c>
      <c r="G86" s="112">
        <f t="shared" si="8"/>
        <v>23.680000000000291</v>
      </c>
      <c r="H86" s="99">
        <f>G86+'24'!H86</f>
        <v>272</v>
      </c>
      <c r="I86" s="573"/>
      <c r="J86" s="175">
        <f>H86/DAY(B2)</f>
        <v>10.88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'24'!F87</f>
        <v>35358.050000000003</v>
      </c>
      <c r="F87" s="164">
        <v>35358.050000000003</v>
      </c>
      <c r="G87" s="112">
        <f t="shared" si="8"/>
        <v>0</v>
      </c>
      <c r="H87" s="99">
        <f>G87+'24'!H87</f>
        <v>29.05000000000291</v>
      </c>
      <c r="I87" s="573">
        <f>G84+G85+G86+G87</f>
        <v>40.360000000000582</v>
      </c>
      <c r="J87" s="175">
        <f>H87/DAY(B2)</f>
        <v>1.1620000000001165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'24'!F88</f>
        <v>24277.14</v>
      </c>
      <c r="F88" s="164">
        <v>24277.14</v>
      </c>
      <c r="G88" s="112">
        <f t="shared" si="8"/>
        <v>0</v>
      </c>
      <c r="H88" s="99">
        <f>G88+'24'!H88</f>
        <v>49.259999999998399</v>
      </c>
      <c r="I88" s="573"/>
      <c r="J88" s="175">
        <f>H88/DAY(B2)</f>
        <v>1.970399999999936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'24'!F89</f>
        <v>27235.34</v>
      </c>
      <c r="F89" s="164">
        <v>27245.4</v>
      </c>
      <c r="G89" s="112">
        <f t="shared" si="8"/>
        <v>10.06000000000131</v>
      </c>
      <c r="H89" s="99">
        <f>G89+'24'!H89</f>
        <v>251.9900000000016</v>
      </c>
      <c r="I89" s="573">
        <f>G88+G89</f>
        <v>10.06000000000131</v>
      </c>
      <c r="J89" s="175">
        <f>H89/DAY(B2)</f>
        <v>10.079600000000063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'24'!F90</f>
        <v>72271.149999999994</v>
      </c>
      <c r="F90" s="164">
        <v>72281.91</v>
      </c>
      <c r="G90" s="112">
        <f t="shared" si="8"/>
        <v>10.760000000009313</v>
      </c>
      <c r="H90" s="99">
        <f>G90+'24'!H90</f>
        <v>154.79000000000815</v>
      </c>
      <c r="I90" s="573">
        <f>G90</f>
        <v>10.760000000009313</v>
      </c>
      <c r="J90" s="175">
        <f>H90/DAY(B2)</f>
        <v>6.1916000000003262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'24'!F91</f>
        <v>4122</v>
      </c>
      <c r="F91" s="122">
        <v>4122</v>
      </c>
      <c r="G91" s="112">
        <f t="shared" si="8"/>
        <v>0</v>
      </c>
      <c r="H91" s="99">
        <f>G91+'24'!H91</f>
        <v>0.3500000000003638</v>
      </c>
      <c r="I91" s="592"/>
      <c r="J91" s="175">
        <f>H91/DAY(B2)</f>
        <v>1.4000000000014551E-2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'24'!F92</f>
        <v>6472.05</v>
      </c>
      <c r="F92" s="164">
        <v>6483</v>
      </c>
      <c r="G92" s="112">
        <f t="shared" si="8"/>
        <v>10.949999999999818</v>
      </c>
      <c r="H92" s="99">
        <f>G92+'24'!H92</f>
        <v>265.75</v>
      </c>
      <c r="I92" s="598">
        <f>G91+G92</f>
        <v>10.949999999999818</v>
      </c>
      <c r="J92" s="175">
        <f>H92/DAY(B2)</f>
        <v>10.63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3" t="s">
        <v>240</v>
      </c>
      <c r="B94" s="874"/>
      <c r="C94" s="875"/>
      <c r="D94" s="151" t="s">
        <v>130</v>
      </c>
      <c r="E94" s="151"/>
      <c r="F94" s="151"/>
      <c r="G94" s="99">
        <f>G35+G43+G49+G57</f>
        <v>6941.879999999961</v>
      </c>
      <c r="H94" s="99">
        <f>G94+'24'!H94</f>
        <v>168581.76999999996</v>
      </c>
      <c r="I94" s="118"/>
      <c r="J94" s="175">
        <f>H94/DAY(B2)</f>
        <v>6743.2707999999984</v>
      </c>
      <c r="K94" s="69"/>
      <c r="L94" s="66"/>
      <c r="O94" s="71"/>
    </row>
    <row r="95" spans="1:15" ht="25.5">
      <c r="A95" s="873" t="s">
        <v>241</v>
      </c>
      <c r="B95" s="874"/>
      <c r="C95" s="875"/>
      <c r="D95" s="151" t="s">
        <v>23</v>
      </c>
      <c r="E95" s="146"/>
      <c r="F95" s="146"/>
      <c r="G95" s="166">
        <f>G94/G7</f>
        <v>0.25189514275211866</v>
      </c>
      <c r="H95" s="99">
        <f>G95+'24'!H95</f>
        <v>6.0460993174788396</v>
      </c>
      <c r="I95" s="167"/>
      <c r="J95" s="175">
        <f>H95/DAY(B2)</f>
        <v>0.24184397269915359</v>
      </c>
      <c r="K95" s="69"/>
      <c r="L95" s="66"/>
      <c r="O95" s="71"/>
    </row>
    <row r="96" spans="1:15" ht="25.5">
      <c r="A96" s="873" t="s">
        <v>242</v>
      </c>
      <c r="B96" s="874"/>
      <c r="C96" s="875"/>
      <c r="D96" s="151" t="s">
        <v>130</v>
      </c>
      <c r="E96" s="95"/>
      <c r="F96" s="95"/>
      <c r="G96" s="99">
        <f>G41+G42+G55+G56</f>
        <v>7947.6399999998976</v>
      </c>
      <c r="H96" s="99">
        <f>G96+'24'!H96</f>
        <v>223731.53999999995</v>
      </c>
      <c r="I96" s="118"/>
      <c r="J96" s="175">
        <f>H96/DAY(B2)</f>
        <v>8949.261599999998</v>
      </c>
      <c r="K96" s="69"/>
      <c r="L96" s="66"/>
      <c r="O96" s="71"/>
    </row>
    <row r="97" spans="1:15" ht="25.5">
      <c r="A97" s="873" t="s">
        <v>243</v>
      </c>
      <c r="B97" s="874"/>
      <c r="C97" s="875"/>
      <c r="D97" s="151" t="s">
        <v>23</v>
      </c>
      <c r="E97" s="95"/>
      <c r="F97" s="95"/>
      <c r="G97" s="166">
        <f>G96/G7</f>
        <v>0.28839045220350018</v>
      </c>
      <c r="H97" s="99">
        <f>G97+'24'!H97</f>
        <v>7.9692653714134183</v>
      </c>
      <c r="I97" s="167"/>
      <c r="J97" s="175">
        <f>H97/DAY(B2)</f>
        <v>0.31877061485653674</v>
      </c>
      <c r="K97" s="69"/>
      <c r="L97" s="66"/>
      <c r="O97" s="71"/>
    </row>
    <row r="98" spans="1:15" ht="25.5">
      <c r="A98" s="873" t="s">
        <v>244</v>
      </c>
      <c r="B98" s="874"/>
      <c r="C98" s="875"/>
      <c r="D98" s="151" t="s">
        <v>130</v>
      </c>
      <c r="E98" s="95"/>
      <c r="F98" s="95"/>
      <c r="G98" s="99">
        <f>G39+G53</f>
        <v>2960.1599999999744</v>
      </c>
      <c r="H98" s="99">
        <f>G98+'24'!H98</f>
        <v>73289.960000000021</v>
      </c>
      <c r="I98" s="168"/>
      <c r="J98" s="175">
        <f>H98/DAY(B2)</f>
        <v>2931.5984000000008</v>
      </c>
      <c r="K98" s="69"/>
      <c r="L98" s="66"/>
      <c r="O98" s="71"/>
    </row>
    <row r="99" spans="1:15" ht="25.5">
      <c r="A99" s="873" t="s">
        <v>245</v>
      </c>
      <c r="B99" s="874"/>
      <c r="C99" s="875"/>
      <c r="D99" s="151" t="s">
        <v>23</v>
      </c>
      <c r="E99" s="95"/>
      <c r="F99" s="95"/>
      <c r="G99" s="166">
        <f>G98/G7</f>
        <v>0.10741325487751291</v>
      </c>
      <c r="H99" s="99">
        <f>G99+'24'!H99</f>
        <v>2.624093982392917</v>
      </c>
      <c r="I99" s="168"/>
      <c r="J99" s="175">
        <f>H99/DAY(B2)</f>
        <v>0.10496375929571668</v>
      </c>
      <c r="O99" s="71"/>
    </row>
    <row r="100" spans="1:15" ht="26.25">
      <c r="A100" s="873" t="s">
        <v>246</v>
      </c>
      <c r="B100" s="874"/>
      <c r="C100" s="875"/>
      <c r="D100" s="151" t="s">
        <v>180</v>
      </c>
      <c r="E100" s="95"/>
      <c r="F100" s="95"/>
      <c r="G100" s="99">
        <f>G38+G52</f>
        <v>2187.640000000014</v>
      </c>
      <c r="H100" s="99">
        <f>G100+'24'!H100</f>
        <v>57649.549999999988</v>
      </c>
      <c r="I100" s="118"/>
      <c r="J100" s="175">
        <f>H100/DAY(B2)</f>
        <v>2305.9819999999995</v>
      </c>
      <c r="K100" s="70"/>
      <c r="O100" s="71"/>
    </row>
    <row r="101" spans="1:15" ht="25.5">
      <c r="A101" s="873" t="s">
        <v>247</v>
      </c>
      <c r="B101" s="874"/>
      <c r="C101" s="875"/>
      <c r="D101" s="151" t="s">
        <v>23</v>
      </c>
      <c r="E101" s="95"/>
      <c r="F101" s="95"/>
      <c r="G101" s="166">
        <f>G100/G7</f>
        <v>7.9381362122400767E-2</v>
      </c>
      <c r="H101" s="99">
        <f>G101+'24'!H101</f>
        <v>2.0634430160742077</v>
      </c>
      <c r="I101" s="168"/>
      <c r="J101" s="175">
        <f>H101/DAY(B2)</f>
        <v>8.2537720642968312E-2</v>
      </c>
      <c r="O101" s="71"/>
    </row>
    <row r="102" spans="1:15" ht="25.5">
      <c r="A102" s="873" t="s">
        <v>248</v>
      </c>
      <c r="B102" s="874"/>
      <c r="C102" s="875"/>
      <c r="D102" s="151" t="s">
        <v>180</v>
      </c>
      <c r="E102" s="95"/>
      <c r="F102" s="95"/>
      <c r="G102" s="99">
        <f>G36+G50</f>
        <v>1997.5199999999895</v>
      </c>
      <c r="H102" s="99">
        <f>G102+'24'!H102</f>
        <v>50300.380000000005</v>
      </c>
      <c r="I102" s="168"/>
      <c r="J102" s="175">
        <f>H102/DAY(B2)</f>
        <v>2012.0152000000003</v>
      </c>
      <c r="O102" s="71"/>
    </row>
    <row r="103" spans="1:15" ht="25.5">
      <c r="A103" s="873" t="s">
        <v>249</v>
      </c>
      <c r="B103" s="874"/>
      <c r="C103" s="875"/>
      <c r="D103" s="151" t="s">
        <v>23</v>
      </c>
      <c r="E103" s="95"/>
      <c r="F103" s="95"/>
      <c r="G103" s="166">
        <f>G102/G7</f>
        <v>7.2482610697709005E-2</v>
      </c>
      <c r="H103" s="99">
        <f>G103+'24'!H103</f>
        <v>1.7932150438417167</v>
      </c>
      <c r="I103" s="118"/>
      <c r="J103" s="175">
        <f>H103/DAY(B2)</f>
        <v>7.1728601753668672E-2</v>
      </c>
      <c r="O103" s="71"/>
    </row>
    <row r="104" spans="1:15" ht="25.5">
      <c r="A104" s="873" t="s">
        <v>250</v>
      </c>
      <c r="B104" s="874"/>
      <c r="C104" s="875"/>
      <c r="D104" s="151" t="s">
        <v>180</v>
      </c>
      <c r="E104" s="95"/>
      <c r="F104" s="95"/>
      <c r="G104" s="99">
        <f>G37+G51</f>
        <v>1600.5999999999767</v>
      </c>
      <c r="H104" s="99">
        <f>G104+'24'!H104</f>
        <v>42876.869999999988</v>
      </c>
      <c r="I104" s="118"/>
      <c r="J104" s="175">
        <f>H104/DAY(B2)</f>
        <v>1715.0747999999994</v>
      </c>
      <c r="O104" s="71"/>
    </row>
    <row r="105" spans="1:15" ht="26.25" thickBot="1">
      <c r="A105" s="913" t="s">
        <v>251</v>
      </c>
      <c r="B105" s="914"/>
      <c r="C105" s="915"/>
      <c r="D105" s="231" t="s">
        <v>23</v>
      </c>
      <c r="E105" s="185"/>
      <c r="F105" s="185"/>
      <c r="G105" s="186">
        <f>G104/G7</f>
        <v>5.8079852358300273E-2</v>
      </c>
      <c r="H105" s="99">
        <f>G105+'24'!H105</f>
        <v>1.5315469203952938</v>
      </c>
      <c r="I105" s="187"/>
      <c r="J105" s="188">
        <f>H105/DAY(B2)</f>
        <v>6.1261876815811751E-2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7" t="s">
        <v>324</v>
      </c>
      <c r="B108" s="927"/>
      <c r="C108" s="927"/>
      <c r="D108" s="927"/>
      <c r="E108" s="927"/>
      <c r="F108" s="927"/>
      <c r="G108" s="927"/>
      <c r="H108" s="927"/>
      <c r="I108" s="927"/>
      <c r="J108" s="927"/>
    </row>
    <row r="109" spans="1:15" ht="26.25">
      <c r="A109" s="912"/>
      <c r="B109" s="912"/>
    </row>
    <row r="110" spans="1:15" ht="26.25">
      <c r="A110" s="928" t="s">
        <v>165</v>
      </c>
      <c r="B110" s="929"/>
      <c r="C110" s="929"/>
      <c r="D110" s="929"/>
      <c r="E110" s="929"/>
      <c r="F110" s="929"/>
      <c r="G110" s="929"/>
      <c r="H110" s="929"/>
      <c r="I110" s="929"/>
      <c r="J110" s="930"/>
    </row>
    <row r="111" spans="1:15" ht="25.5">
      <c r="A111" s="931"/>
      <c r="B111" s="932"/>
      <c r="C111" s="933"/>
      <c r="D111" s="165"/>
      <c r="E111" s="165"/>
      <c r="F111" s="165"/>
      <c r="G111" s="165"/>
      <c r="H111" s="156"/>
      <c r="I111" s="165"/>
      <c r="J111" s="327"/>
    </row>
    <row r="112" spans="1:15" ht="25.5">
      <c r="A112" s="906" t="s">
        <v>252</v>
      </c>
      <c r="B112" s="907"/>
      <c r="C112" s="908"/>
      <c r="D112" s="146" t="s">
        <v>183</v>
      </c>
      <c r="E112" s="95">
        <f>'24'!F112</f>
        <v>4494.51</v>
      </c>
      <c r="F112" s="237">
        <v>4568.13</v>
      </c>
      <c r="G112" s="112">
        <f t="shared" ref="G112:G123" si="9">F112-E112</f>
        <v>73.619999999999891</v>
      </c>
      <c r="H112" s="99">
        <f>G112+'24'!H112</f>
        <v>1891.13</v>
      </c>
      <c r="I112" s="165"/>
      <c r="J112" s="328">
        <f>H112/DAY(B2)</f>
        <v>75.645200000000003</v>
      </c>
    </row>
    <row r="113" spans="1:18" ht="29.25" customHeight="1">
      <c r="A113" s="906" t="s">
        <v>253</v>
      </c>
      <c r="B113" s="907"/>
      <c r="C113" s="908"/>
      <c r="D113" s="146" t="s">
        <v>183</v>
      </c>
      <c r="E113" s="95">
        <f>'24'!F113</f>
        <v>9778.8799999999992</v>
      </c>
      <c r="F113" s="237">
        <v>9919.6</v>
      </c>
      <c r="G113" s="112">
        <f t="shared" si="9"/>
        <v>140.72000000000116</v>
      </c>
      <c r="H113" s="99">
        <f>G113+'24'!H113</f>
        <v>3528.6000000000004</v>
      </c>
      <c r="I113" s="165"/>
      <c r="J113" s="328">
        <f>H113/DAY(B2)</f>
        <v>141.14400000000001</v>
      </c>
    </row>
    <row r="114" spans="1:18" ht="29.25" customHeight="1">
      <c r="A114" s="906" t="s">
        <v>254</v>
      </c>
      <c r="B114" s="907"/>
      <c r="C114" s="908"/>
      <c r="D114" s="146" t="s">
        <v>183</v>
      </c>
      <c r="E114" s="95">
        <f>'24'!F114</f>
        <v>12849.96</v>
      </c>
      <c r="F114" s="237">
        <v>13075.99</v>
      </c>
      <c r="G114" s="112">
        <f t="shared" si="9"/>
        <v>226.03000000000065</v>
      </c>
      <c r="H114" s="99">
        <f>G114+'24'!H114</f>
        <v>5505.99</v>
      </c>
      <c r="I114" s="165"/>
      <c r="J114" s="328">
        <f>H114/DAY(B2)</f>
        <v>220.2396</v>
      </c>
    </row>
    <row r="115" spans="1:18" ht="29.25" customHeight="1">
      <c r="A115" s="906" t="s">
        <v>255</v>
      </c>
      <c r="B115" s="907"/>
      <c r="C115" s="908"/>
      <c r="D115" s="146" t="s">
        <v>183</v>
      </c>
      <c r="E115" s="95">
        <f>'24'!F115</f>
        <v>8149.36</v>
      </c>
      <c r="F115" s="237">
        <v>8264.26</v>
      </c>
      <c r="G115" s="112">
        <f t="shared" si="9"/>
        <v>114.90000000000055</v>
      </c>
      <c r="H115" s="99">
        <f>G115+'24'!H115</f>
        <v>2133.7800000000007</v>
      </c>
      <c r="I115" s="165"/>
      <c r="J115" s="328">
        <f>H115/DAY(B2)</f>
        <v>85.35120000000002</v>
      </c>
    </row>
    <row r="116" spans="1:18" ht="29.25" customHeight="1">
      <c r="A116" s="924" t="s">
        <v>96</v>
      </c>
      <c r="B116" s="925"/>
      <c r="C116" s="926"/>
      <c r="D116" s="146" t="s">
        <v>183</v>
      </c>
      <c r="E116" s="95">
        <f>'24'!F116</f>
        <v>56496.11</v>
      </c>
      <c r="F116" s="237">
        <v>56932.74</v>
      </c>
      <c r="G116" s="112">
        <f t="shared" si="9"/>
        <v>436.62999999999738</v>
      </c>
      <c r="H116" s="99">
        <f>G116+'24'!H116</f>
        <v>10177.739999999998</v>
      </c>
      <c r="I116" s="165"/>
      <c r="J116" s="328">
        <f>H116/DAY(B2)</f>
        <v>407.10959999999994</v>
      </c>
      <c r="Q116" s="906"/>
      <c r="R116" s="908"/>
    </row>
    <row r="117" spans="1:18" ht="29.25" customHeight="1">
      <c r="A117" s="924" t="s">
        <v>184</v>
      </c>
      <c r="B117" s="925"/>
      <c r="C117" s="926"/>
      <c r="D117" s="146" t="s">
        <v>183</v>
      </c>
      <c r="E117" s="95">
        <f>'24'!F117</f>
        <v>31192.57</v>
      </c>
      <c r="F117" s="237">
        <v>31469.8</v>
      </c>
      <c r="G117" s="112">
        <f t="shared" si="9"/>
        <v>277.22999999999956</v>
      </c>
      <c r="H117" s="99">
        <f>G117+'24'!H117</f>
        <v>6201.7999999999993</v>
      </c>
      <c r="I117" s="165"/>
      <c r="J117" s="328">
        <f>H117/DAY(B2)</f>
        <v>248.07199999999997</v>
      </c>
      <c r="Q117" s="906"/>
      <c r="R117" s="908"/>
    </row>
    <row r="118" spans="1:18" ht="25.5">
      <c r="A118" s="901" t="s">
        <v>97</v>
      </c>
      <c r="B118" s="901"/>
      <c r="C118" s="901"/>
      <c r="D118" s="151" t="s">
        <v>183</v>
      </c>
      <c r="E118" s="95">
        <f>'24'!F118</f>
        <v>41018.79</v>
      </c>
      <c r="F118" s="237">
        <v>41672.81</v>
      </c>
      <c r="G118" s="112">
        <f t="shared" si="9"/>
        <v>654.0199999999968</v>
      </c>
      <c r="H118" s="99">
        <f>G118+'24'!H118</f>
        <v>15447.809999999998</v>
      </c>
      <c r="I118" s="165"/>
      <c r="J118" s="328">
        <f>H118/DAY(B2)</f>
        <v>617.91239999999993</v>
      </c>
      <c r="Q118" s="906"/>
      <c r="R118" s="908"/>
    </row>
    <row r="119" spans="1:18" ht="25.5">
      <c r="A119" s="901" t="s">
        <v>98</v>
      </c>
      <c r="B119" s="901"/>
      <c r="C119" s="901"/>
      <c r="D119" s="151" t="s">
        <v>183</v>
      </c>
      <c r="E119" s="95">
        <f>'24'!F119</f>
        <v>28887.06</v>
      </c>
      <c r="F119" s="237">
        <v>29131.29</v>
      </c>
      <c r="G119" s="112">
        <f t="shared" si="9"/>
        <v>244.22999999999956</v>
      </c>
      <c r="H119" s="99">
        <f>G119+'24'!H119</f>
        <v>10184.290000000001</v>
      </c>
      <c r="I119" s="165"/>
      <c r="J119" s="328">
        <f>H119/DAY(B2)</f>
        <v>407.37160000000006</v>
      </c>
    </row>
    <row r="120" spans="1:18" ht="25.5">
      <c r="A120" s="901" t="s">
        <v>99</v>
      </c>
      <c r="B120" s="901"/>
      <c r="C120" s="901"/>
      <c r="D120" s="151" t="s">
        <v>183</v>
      </c>
      <c r="E120" s="95">
        <f>'24'!F120</f>
        <v>30519.919999999998</v>
      </c>
      <c r="F120" s="237">
        <v>30963.06</v>
      </c>
      <c r="G120" s="112">
        <f t="shared" si="9"/>
        <v>443.14000000000306</v>
      </c>
      <c r="H120" s="99">
        <f>G120+'24'!H120</f>
        <v>10913.060000000001</v>
      </c>
      <c r="I120" s="165"/>
      <c r="J120" s="328">
        <f>H120/DAY(B2)</f>
        <v>436.52240000000006</v>
      </c>
    </row>
    <row r="121" spans="1:18" ht="25.5">
      <c r="A121" s="901" t="s">
        <v>100</v>
      </c>
      <c r="B121" s="901"/>
      <c r="C121" s="901"/>
      <c r="D121" s="151" t="s">
        <v>183</v>
      </c>
      <c r="E121" s="95">
        <f>'24'!F121</f>
        <v>36965.53</v>
      </c>
      <c r="F121" s="237">
        <v>37404.68</v>
      </c>
      <c r="G121" s="112">
        <f t="shared" si="9"/>
        <v>439.15000000000146</v>
      </c>
      <c r="H121" s="99">
        <f>G121+'24'!H121</f>
        <v>11560.68</v>
      </c>
      <c r="I121" s="165"/>
      <c r="J121" s="328">
        <f>H121/DAY(B2)</f>
        <v>462.42720000000003</v>
      </c>
    </row>
    <row r="122" spans="1:18" ht="25.5">
      <c r="A122" s="901" t="s">
        <v>101</v>
      </c>
      <c r="B122" s="901"/>
      <c r="C122" s="901"/>
      <c r="D122" s="151" t="s">
        <v>183</v>
      </c>
      <c r="E122" s="95">
        <f>'24'!F122</f>
        <v>18317.28</v>
      </c>
      <c r="F122" s="237">
        <v>18571.52</v>
      </c>
      <c r="G122" s="112">
        <f t="shared" si="9"/>
        <v>254.2400000000016</v>
      </c>
      <c r="H122" s="99">
        <f>G122+'24'!H122</f>
        <v>7411.52</v>
      </c>
      <c r="I122" s="165"/>
      <c r="J122" s="328">
        <f>H122/DAY(B2)</f>
        <v>296.46080000000001</v>
      </c>
    </row>
    <row r="123" spans="1:18" ht="25.5">
      <c r="A123" s="901" t="s">
        <v>102</v>
      </c>
      <c r="B123" s="901"/>
      <c r="C123" s="901"/>
      <c r="D123" s="151" t="s">
        <v>183</v>
      </c>
      <c r="E123" s="95">
        <f>'24'!F123</f>
        <v>18472.32</v>
      </c>
      <c r="F123" s="237">
        <v>18784.82</v>
      </c>
      <c r="G123" s="112">
        <f t="shared" si="9"/>
        <v>312.5</v>
      </c>
      <c r="H123" s="99">
        <f>G123+'24'!H123</f>
        <v>8275.82</v>
      </c>
      <c r="I123" s="165"/>
      <c r="J123" s="328">
        <f>H123/DAY(B2)</f>
        <v>331.03280000000001</v>
      </c>
    </row>
    <row r="124" spans="1:18" ht="29.25" customHeight="1">
      <c r="A124" s="931"/>
      <c r="B124" s="932"/>
      <c r="C124" s="933"/>
      <c r="D124" s="165"/>
      <c r="E124" s="165"/>
      <c r="F124" s="165"/>
      <c r="G124" s="327"/>
      <c r="H124" s="156"/>
      <c r="I124" s="165"/>
      <c r="J124" s="327"/>
    </row>
    <row r="125" spans="1:18" ht="25.5">
      <c r="A125" s="934" t="s">
        <v>196</v>
      </c>
      <c r="B125" s="935"/>
      <c r="C125" s="245"/>
      <c r="D125" s="307"/>
      <c r="E125" s="308"/>
      <c r="F125" s="308"/>
      <c r="G125" s="309">
        <f>SUM(G112:G124)</f>
        <v>3616.4100000000017</v>
      </c>
      <c r="H125" s="156"/>
      <c r="I125" s="327">
        <f>G125-(G39+G53)</f>
        <v>656.25000000002728</v>
      </c>
      <c r="J125" s="327"/>
    </row>
    <row r="126" spans="1:18" ht="25.5">
      <c r="A126" s="936" t="s">
        <v>317</v>
      </c>
      <c r="B126" s="936"/>
      <c r="C126" s="936"/>
      <c r="D126" s="936"/>
      <c r="E126" s="936"/>
      <c r="F126" s="936"/>
      <c r="G126" s="936"/>
      <c r="H126" s="936"/>
      <c r="I126" s="936"/>
      <c r="J126" s="936"/>
    </row>
    <row r="127" spans="1:18" ht="25.5">
      <c r="A127" s="937"/>
      <c r="B127" s="937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>
      <c r="A128" s="906" t="s">
        <v>318</v>
      </c>
      <c r="B128" s="907"/>
      <c r="C128" s="908"/>
      <c r="D128" s="151" t="s">
        <v>183</v>
      </c>
      <c r="E128" s="95">
        <f>'24'!F128</f>
        <v>108582.65</v>
      </c>
      <c r="F128" s="155">
        <v>109145.44</v>
      </c>
      <c r="G128" s="112">
        <f t="shared" ref="G128:G134" si="10">F128-E128</f>
        <v>562.79000000000815</v>
      </c>
      <c r="H128" s="99">
        <f>G128+'24'!H128</f>
        <v>13430.440000000002</v>
      </c>
      <c r="I128" s="165"/>
      <c r="J128" s="328">
        <f>H128/DAY(B2)</f>
        <v>537.21760000000006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'24'!F129</f>
        <v>65615.91</v>
      </c>
      <c r="F129" s="155">
        <v>65785.759999999995</v>
      </c>
      <c r="G129" s="112">
        <f t="shared" si="10"/>
        <v>169.84999999999127</v>
      </c>
      <c r="H129" s="99">
        <f>G129+'24'!H129</f>
        <v>5492.7599999999948</v>
      </c>
      <c r="I129" s="165"/>
      <c r="J129" s="328">
        <f>H129/DAY(B2)</f>
        <v>219.71039999999979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'24'!F130</f>
        <v>137120.15</v>
      </c>
      <c r="F130" s="155">
        <v>137869.28</v>
      </c>
      <c r="G130" s="112">
        <f t="shared" si="10"/>
        <v>749.13000000000466</v>
      </c>
      <c r="H130" s="99">
        <f>G130+'24'!H130</f>
        <v>16740.28</v>
      </c>
      <c r="I130" s="165"/>
      <c r="J130" s="328">
        <f>H130/DAY(B2)</f>
        <v>669.61119999999994</v>
      </c>
      <c r="N130" s="240"/>
      <c r="O130" s="241"/>
    </row>
    <row r="131" spans="1:15" ht="25.5">
      <c r="A131" s="906" t="s">
        <v>321</v>
      </c>
      <c r="B131" s="907"/>
      <c r="C131" s="908"/>
      <c r="D131" s="151" t="s">
        <v>183</v>
      </c>
      <c r="E131" s="95">
        <f>'24'!F131</f>
        <v>41295.15</v>
      </c>
      <c r="F131" s="155">
        <v>41525.49</v>
      </c>
      <c r="G131" s="112">
        <f t="shared" si="10"/>
        <v>230.33999999999651</v>
      </c>
      <c r="H131" s="99">
        <f>G131+'24'!H131</f>
        <v>5246.489999999998</v>
      </c>
      <c r="I131" s="165"/>
      <c r="J131" s="328">
        <f>H131/DAY(B2)</f>
        <v>209.85959999999992</v>
      </c>
      <c r="N131" s="240"/>
      <c r="O131" s="241"/>
    </row>
    <row r="132" spans="1:15" ht="25.5">
      <c r="A132" s="906" t="s">
        <v>322</v>
      </c>
      <c r="B132" s="907"/>
      <c r="C132" s="908"/>
      <c r="D132" s="151" t="s">
        <v>183</v>
      </c>
      <c r="E132" s="95">
        <f>'24'!F132</f>
        <v>113536.27</v>
      </c>
      <c r="F132" s="155">
        <v>114003.1</v>
      </c>
      <c r="G132" s="112">
        <f t="shared" si="10"/>
        <v>466.83000000000175</v>
      </c>
      <c r="H132" s="99">
        <f>G132+'24'!H132</f>
        <v>10491.100000000006</v>
      </c>
      <c r="I132" s="165"/>
      <c r="J132" s="328">
        <f>H132/DAY(B2)</f>
        <v>419.64400000000023</v>
      </c>
    </row>
    <row r="133" spans="1:15" ht="25.5">
      <c r="A133" s="906" t="s">
        <v>359</v>
      </c>
      <c r="B133" s="907"/>
      <c r="C133" s="908"/>
      <c r="D133" s="151" t="s">
        <v>183</v>
      </c>
      <c r="E133" s="95">
        <f>'24'!F133</f>
        <v>219453.95</v>
      </c>
      <c r="F133" s="155">
        <v>220058.21</v>
      </c>
      <c r="G133" s="112">
        <f t="shared" si="10"/>
        <v>604.25999999998021</v>
      </c>
      <c r="H133" s="99">
        <f>G133+'24'!H133</f>
        <v>18826.209999999992</v>
      </c>
      <c r="I133" s="165"/>
      <c r="J133" s="328">
        <f>H133/DAY(B2)</f>
        <v>753.04839999999967</v>
      </c>
    </row>
    <row r="134" spans="1:15" ht="25.5">
      <c r="A134" s="906" t="s">
        <v>340</v>
      </c>
      <c r="B134" s="907"/>
      <c r="C134" s="908"/>
      <c r="D134" s="151" t="s">
        <v>183</v>
      </c>
      <c r="E134" s="95">
        <f>'24'!F134</f>
        <v>40535.79</v>
      </c>
      <c r="F134" s="157">
        <v>40742.9</v>
      </c>
      <c r="G134" s="112">
        <f t="shared" si="10"/>
        <v>207.11000000000058</v>
      </c>
      <c r="H134" s="99">
        <f>G134+'24'!H134</f>
        <v>5847.9000000000015</v>
      </c>
      <c r="I134" s="165"/>
      <c r="J134" s="328">
        <f>H134/DAY(B2)</f>
        <v>233.91600000000005</v>
      </c>
    </row>
    <row r="135" spans="1:15" ht="25.5">
      <c r="A135" s="934" t="s">
        <v>196</v>
      </c>
      <c r="B135" s="935"/>
      <c r="C135" s="331"/>
      <c r="D135" s="151"/>
      <c r="E135" s="95"/>
      <c r="F135" s="165"/>
      <c r="G135" s="112">
        <f>SUM(G128:G134)</f>
        <v>2990.3099999999831</v>
      </c>
      <c r="H135" s="99">
        <f>G135+'23'!H135</f>
        <v>36268.639999999978</v>
      </c>
      <c r="I135" s="327">
        <f>G135-(G35+G49)</f>
        <v>-617.4599999999773</v>
      </c>
      <c r="J135" s="328"/>
    </row>
    <row r="136" spans="1:15" ht="27.75">
      <c r="A136" s="938" t="s">
        <v>325</v>
      </c>
      <c r="B136" s="938"/>
      <c r="C136" s="938"/>
      <c r="D136" s="938"/>
      <c r="E136" s="938"/>
      <c r="F136" s="938"/>
      <c r="G136" s="938"/>
      <c r="H136" s="938"/>
      <c r="I136" s="938"/>
      <c r="J136" s="938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1" t="s">
        <v>185</v>
      </c>
      <c r="B138" s="901"/>
      <c r="C138" s="901"/>
      <c r="D138" s="151" t="s">
        <v>183</v>
      </c>
      <c r="E138" s="95">
        <f>'24'!F138</f>
        <v>886548</v>
      </c>
      <c r="F138" s="147">
        <v>886673</v>
      </c>
      <c r="G138" s="112">
        <f t="shared" ref="G138:G152" si="11">F138-E138</f>
        <v>125</v>
      </c>
      <c r="H138" s="99">
        <f>G138+'24'!H138</f>
        <v>3395.2999999999993</v>
      </c>
      <c r="I138" s="118"/>
      <c r="J138" s="328">
        <f>H138/DAY(B2)</f>
        <v>135.81199999999998</v>
      </c>
    </row>
    <row r="139" spans="1:15" ht="25.5">
      <c r="A139" s="901" t="s">
        <v>186</v>
      </c>
      <c r="B139" s="901"/>
      <c r="C139" s="901"/>
      <c r="D139" s="151" t="s">
        <v>183</v>
      </c>
      <c r="E139" s="95">
        <f>'24'!F139</f>
        <v>903145</v>
      </c>
      <c r="F139" s="148">
        <v>903293</v>
      </c>
      <c r="G139" s="112">
        <f t="shared" si="11"/>
        <v>148</v>
      </c>
      <c r="H139" s="99">
        <f>G139+'24'!H139</f>
        <v>3838</v>
      </c>
      <c r="I139" s="118"/>
      <c r="J139" s="328">
        <f>H139/DAY(B2)</f>
        <v>153.52000000000001</v>
      </c>
    </row>
    <row r="140" spans="1:15" ht="25.5">
      <c r="A140" s="901" t="s">
        <v>187</v>
      </c>
      <c r="B140" s="901"/>
      <c r="C140" s="901"/>
      <c r="D140" s="151" t="s">
        <v>183</v>
      </c>
      <c r="E140" s="95">
        <f>'24'!F140</f>
        <v>970.7</v>
      </c>
      <c r="F140" s="149">
        <v>987.95</v>
      </c>
      <c r="G140" s="112">
        <f t="shared" si="11"/>
        <v>17.25</v>
      </c>
      <c r="H140" s="99">
        <f>G140+'24'!H140</f>
        <v>339.19000000000005</v>
      </c>
      <c r="I140" s="118"/>
      <c r="J140" s="328">
        <f>H140/DAY(B2)</f>
        <v>13.567600000000002</v>
      </c>
    </row>
    <row r="141" spans="1:15" ht="25.5">
      <c r="A141" s="905" t="s">
        <v>188</v>
      </c>
      <c r="B141" s="905"/>
      <c r="C141" s="905"/>
      <c r="D141" s="151" t="s">
        <v>183</v>
      </c>
      <c r="E141" s="95">
        <f>'24'!F141</f>
        <v>82911.39</v>
      </c>
      <c r="F141" s="149">
        <v>83101.39</v>
      </c>
      <c r="G141" s="112">
        <f t="shared" si="11"/>
        <v>190</v>
      </c>
      <c r="H141" s="99">
        <f>G141+'24'!H141</f>
        <v>5149.3899999999994</v>
      </c>
      <c r="I141" s="118"/>
      <c r="J141" s="328">
        <f>H141/DAY(B2)</f>
        <v>205.97559999999999</v>
      </c>
    </row>
    <row r="142" spans="1:15" ht="25.5">
      <c r="A142" s="905" t="s">
        <v>189</v>
      </c>
      <c r="B142" s="905"/>
      <c r="C142" s="905"/>
      <c r="D142" s="151" t="s">
        <v>183</v>
      </c>
      <c r="E142" s="95">
        <f>'24'!F142</f>
        <v>33928.639999999999</v>
      </c>
      <c r="F142" s="148">
        <v>34003.023000000001</v>
      </c>
      <c r="G142" s="112">
        <f t="shared" si="11"/>
        <v>74.38300000000163</v>
      </c>
      <c r="H142" s="99">
        <f>G142+'24'!H142</f>
        <v>3477.023000000001</v>
      </c>
      <c r="I142" s="140"/>
      <c r="J142" s="328">
        <f>H142/DAY(B2)</f>
        <v>139.08092000000005</v>
      </c>
    </row>
    <row r="143" spans="1:15" ht="25.5">
      <c r="A143" s="901" t="s">
        <v>91</v>
      </c>
      <c r="B143" s="901"/>
      <c r="C143" s="901"/>
      <c r="D143" s="151" t="s">
        <v>183</v>
      </c>
      <c r="E143" s="95">
        <f>'24'!F143</f>
        <v>7990.73</v>
      </c>
      <c r="F143" s="149">
        <v>8017.53</v>
      </c>
      <c r="G143" s="112">
        <f t="shared" si="11"/>
        <v>26.800000000000182</v>
      </c>
      <c r="H143" s="99">
        <f>G143+'24'!H143</f>
        <v>711.52999999999975</v>
      </c>
      <c r="I143" s="140"/>
      <c r="J143" s="328">
        <f>H143/DAY(B2)</f>
        <v>28.461199999999991</v>
      </c>
    </row>
    <row r="144" spans="1:15" ht="25.5">
      <c r="A144" s="905" t="s">
        <v>90</v>
      </c>
      <c r="B144" s="905"/>
      <c r="C144" s="905"/>
      <c r="D144" s="151" t="s">
        <v>183</v>
      </c>
      <c r="E144" s="95">
        <f>'24'!F144</f>
        <v>910857</v>
      </c>
      <c r="F144" s="149">
        <v>911086</v>
      </c>
      <c r="G144" s="112">
        <f t="shared" si="11"/>
        <v>229</v>
      </c>
      <c r="H144" s="99">
        <f>G144+'24'!H144</f>
        <v>6033</v>
      </c>
      <c r="I144" s="140"/>
      <c r="J144" s="328">
        <f>H144/DAY(B2)</f>
        <v>241.32</v>
      </c>
    </row>
    <row r="145" spans="1:10" ht="25.5">
      <c r="A145" s="901" t="s">
        <v>190</v>
      </c>
      <c r="B145" s="901"/>
      <c r="C145" s="901"/>
      <c r="D145" s="152" t="s">
        <v>183</v>
      </c>
      <c r="E145" s="95">
        <f>'24'!F145</f>
        <v>5665.31</v>
      </c>
      <c r="F145" s="149">
        <v>5666.07</v>
      </c>
      <c r="G145" s="112">
        <f t="shared" si="11"/>
        <v>0.75999999999930878</v>
      </c>
      <c r="H145" s="99">
        <f>G145+'24'!H145</f>
        <v>2.069999999999709</v>
      </c>
      <c r="I145" s="140"/>
      <c r="J145" s="328">
        <f>H145/DAY(B2)</f>
        <v>8.2799999999988355E-2</v>
      </c>
    </row>
    <row r="146" spans="1:10" ht="25.5">
      <c r="A146" s="902" t="s">
        <v>191</v>
      </c>
      <c r="B146" s="903"/>
      <c r="C146" s="904"/>
      <c r="D146" s="152" t="s">
        <v>183</v>
      </c>
      <c r="E146" s="95">
        <f>'24'!F146</f>
        <v>779065</v>
      </c>
      <c r="F146" s="148">
        <v>779107</v>
      </c>
      <c r="G146" s="112">
        <f t="shared" si="11"/>
        <v>42</v>
      </c>
      <c r="H146" s="99">
        <f>G146+'24'!H146</f>
        <v>1239</v>
      </c>
      <c r="I146" s="140"/>
      <c r="J146" s="328">
        <f>H146/DAY(B2)</f>
        <v>49.56</v>
      </c>
    </row>
    <row r="147" spans="1:10" ht="25.5">
      <c r="A147" s="905" t="s">
        <v>192</v>
      </c>
      <c r="B147" s="905"/>
      <c r="C147" s="905"/>
      <c r="D147" s="152" t="s">
        <v>183</v>
      </c>
      <c r="E147" s="95">
        <f>'24'!F147</f>
        <v>685159.28</v>
      </c>
      <c r="F147" s="148">
        <v>685552.48</v>
      </c>
      <c r="G147" s="112">
        <f t="shared" si="11"/>
        <v>393.19999999995343</v>
      </c>
      <c r="H147" s="99">
        <f>G147+'24'!H147</f>
        <v>9704.4799999999814</v>
      </c>
      <c r="I147" s="140"/>
      <c r="J147" s="328">
        <f>H147/DAY(B2)</f>
        <v>388.17919999999924</v>
      </c>
    </row>
    <row r="148" spans="1:10" ht="25.5">
      <c r="A148" s="897" t="s">
        <v>193</v>
      </c>
      <c r="B148" s="898"/>
      <c r="C148" s="899"/>
      <c r="D148" s="123" t="s">
        <v>130</v>
      </c>
      <c r="E148" s="95">
        <f>'24'!F148</f>
        <v>737141.52</v>
      </c>
      <c r="F148" s="164">
        <v>737457.04</v>
      </c>
      <c r="G148" s="112">
        <f t="shared" si="11"/>
        <v>315.52000000001863</v>
      </c>
      <c r="H148" s="99">
        <f>G148+'24'!H148</f>
        <v>7712.0400000000373</v>
      </c>
      <c r="I148" s="124"/>
      <c r="J148" s="328">
        <f>H148/DAY(B2)</f>
        <v>308.48160000000149</v>
      </c>
    </row>
    <row r="149" spans="1:10" ht="25.5">
      <c r="A149" s="897" t="s">
        <v>336</v>
      </c>
      <c r="B149" s="898"/>
      <c r="C149" s="899"/>
      <c r="D149" s="227" t="s">
        <v>130</v>
      </c>
      <c r="E149" s="95">
        <f>'24'!F149</f>
        <v>113864.68</v>
      </c>
      <c r="F149" s="146">
        <v>114339.8</v>
      </c>
      <c r="G149" s="112">
        <f t="shared" si="11"/>
        <v>475.1200000000099</v>
      </c>
      <c r="H149" s="99">
        <f>G149+'24'!H149</f>
        <v>13444.800000000003</v>
      </c>
      <c r="I149" s="119"/>
      <c r="J149" s="328">
        <f>H149/DAY(B2)</f>
        <v>537.79200000000014</v>
      </c>
    </row>
    <row r="150" spans="1:10" ht="25.5">
      <c r="A150" s="897" t="s">
        <v>337</v>
      </c>
      <c r="B150" s="898"/>
      <c r="C150" s="899"/>
      <c r="D150" s="117" t="s">
        <v>130</v>
      </c>
      <c r="E150" s="95">
        <f>'24'!F150</f>
        <v>42433.81</v>
      </c>
      <c r="F150" s="233">
        <v>42655.1</v>
      </c>
      <c r="G150" s="112">
        <f t="shared" si="11"/>
        <v>221.29000000000087</v>
      </c>
      <c r="H150" s="99">
        <f>G150+'24'!H150</f>
        <v>5439.0999999999985</v>
      </c>
      <c r="I150" s="119"/>
      <c r="J150" s="328">
        <f>H150/DAY(B2)</f>
        <v>217.56399999999994</v>
      </c>
    </row>
    <row r="151" spans="1:10" ht="25.5">
      <c r="A151" s="897" t="s">
        <v>338</v>
      </c>
      <c r="B151" s="898"/>
      <c r="C151" s="899"/>
      <c r="D151" s="117" t="s">
        <v>130</v>
      </c>
      <c r="E151" s="95">
        <f>'24'!F151</f>
        <v>124947</v>
      </c>
      <c r="F151" s="233">
        <v>125221</v>
      </c>
      <c r="G151" s="112">
        <f t="shared" si="11"/>
        <v>274</v>
      </c>
      <c r="H151" s="99">
        <f>G151+'24'!H151</f>
        <v>7084</v>
      </c>
      <c r="I151" s="119"/>
      <c r="J151" s="328">
        <f>H151/DAY(B2)</f>
        <v>283.36</v>
      </c>
    </row>
    <row r="152" spans="1:10" ht="25.5">
      <c r="A152" s="897" t="s">
        <v>339</v>
      </c>
      <c r="B152" s="898"/>
      <c r="C152" s="899"/>
      <c r="D152" s="117" t="s">
        <v>130</v>
      </c>
      <c r="E152" s="95">
        <f>'24'!F152</f>
        <v>18527.150000000001</v>
      </c>
      <c r="F152" s="233">
        <v>18653.919999999998</v>
      </c>
      <c r="G152" s="112">
        <f t="shared" si="11"/>
        <v>126.7699999999968</v>
      </c>
      <c r="H152" s="99">
        <f>G152+'24'!H152</f>
        <v>7497.9199999999983</v>
      </c>
      <c r="I152" s="119"/>
      <c r="J152" s="328">
        <f>H152/DAY(B2)</f>
        <v>299.91679999999991</v>
      </c>
    </row>
    <row r="153" spans="1:10" ht="25.5">
      <c r="A153" s="934" t="s">
        <v>196</v>
      </c>
      <c r="B153" s="935"/>
      <c r="C153" s="365"/>
      <c r="D153" s="358"/>
      <c r="E153" s="360"/>
      <c r="F153" s="361"/>
      <c r="G153" s="362">
        <f>SUM(G138:G152)</f>
        <v>2659.0929999999807</v>
      </c>
      <c r="H153" s="363"/>
      <c r="I153" s="119">
        <f>G153-(G38+G52)</f>
        <v>471.45299999996678</v>
      </c>
      <c r="J153" s="366"/>
    </row>
    <row r="154" spans="1:10" ht="27.75">
      <c r="A154" s="938" t="s">
        <v>344</v>
      </c>
      <c r="B154" s="938"/>
      <c r="C154" s="938"/>
      <c r="D154" s="938"/>
      <c r="E154" s="938"/>
      <c r="F154" s="938"/>
      <c r="G154" s="938"/>
      <c r="H154" s="938"/>
      <c r="I154" s="938"/>
      <c r="J154" s="938"/>
    </row>
    <row r="155" spans="1:10" ht="27.75">
      <c r="A155" s="905" t="s">
        <v>345</v>
      </c>
      <c r="B155" s="905"/>
      <c r="C155" s="905"/>
      <c r="D155" s="117" t="s">
        <v>130</v>
      </c>
      <c r="E155" s="95">
        <f>'24'!F155</f>
        <v>126849</v>
      </c>
      <c r="F155" s="157">
        <v>127473</v>
      </c>
      <c r="G155" s="112">
        <f t="shared" ref="G155:G158" si="12">F155-E155</f>
        <v>624</v>
      </c>
      <c r="H155" s="99">
        <f>G155+'24'!H155</f>
        <v>15498</v>
      </c>
      <c r="I155" s="364"/>
      <c r="J155" s="328">
        <f>H155/DAY(B2)</f>
        <v>619.91999999999996</v>
      </c>
    </row>
    <row r="156" spans="1:10" ht="25.5">
      <c r="A156" s="905" t="s">
        <v>347</v>
      </c>
      <c r="B156" s="905"/>
      <c r="C156" s="905"/>
      <c r="D156" s="117" t="s">
        <v>130</v>
      </c>
      <c r="E156" s="95">
        <f>'24'!F156</f>
        <v>11606.73</v>
      </c>
      <c r="F156" s="157">
        <v>11688.7</v>
      </c>
      <c r="G156" s="112">
        <f t="shared" si="12"/>
        <v>81.970000000001164</v>
      </c>
      <c r="H156" s="99">
        <f>G156+'24'!H156</f>
        <v>2003.7000000000007</v>
      </c>
      <c r="I156" s="165"/>
      <c r="J156" s="328">
        <f>H156/DAY(B2)</f>
        <v>80.148000000000025</v>
      </c>
    </row>
    <row r="157" spans="1:10" ht="25.5">
      <c r="A157" s="897" t="s">
        <v>360</v>
      </c>
      <c r="B157" s="898"/>
      <c r="C157" s="899"/>
      <c r="D157" s="117" t="s">
        <v>130</v>
      </c>
      <c r="E157" s="95">
        <f>'24'!F157</f>
        <v>22190.99</v>
      </c>
      <c r="F157" s="157">
        <v>22349.5</v>
      </c>
      <c r="G157" s="112">
        <f t="shared" si="12"/>
        <v>158.5099999999984</v>
      </c>
      <c r="H157" s="99">
        <f>G157+'24'!H157</f>
        <v>958.5</v>
      </c>
      <c r="I157" s="165"/>
      <c r="J157" s="328"/>
    </row>
    <row r="158" spans="1:10" ht="25.5">
      <c r="A158" s="897" t="s">
        <v>361</v>
      </c>
      <c r="B158" s="898"/>
      <c r="C158" s="899"/>
      <c r="D158" s="117" t="s">
        <v>130</v>
      </c>
      <c r="E158" s="95">
        <f>'24'!F158</f>
        <v>191.98</v>
      </c>
      <c r="F158" s="157">
        <v>192</v>
      </c>
      <c r="G158" s="112">
        <f t="shared" si="12"/>
        <v>2.0000000000010232E-2</v>
      </c>
      <c r="H158" s="99">
        <f>G158+'24'!H158</f>
        <v>2</v>
      </c>
      <c r="I158" s="165"/>
      <c r="J158" s="328"/>
    </row>
    <row r="159" spans="1:10" ht="25.5">
      <c r="A159" s="956"/>
      <c r="B159" s="957"/>
      <c r="C159" s="958"/>
      <c r="D159" s="117"/>
      <c r="E159" s="95"/>
      <c r="F159" s="158"/>
      <c r="G159" s="112"/>
      <c r="H159" s="99"/>
      <c r="I159" s="165"/>
      <c r="J159" s="328"/>
    </row>
    <row r="160" spans="1:10" ht="27.75">
      <c r="A160" s="938" t="s">
        <v>326</v>
      </c>
      <c r="B160" s="938"/>
      <c r="C160" s="938"/>
      <c r="D160" s="938"/>
      <c r="E160" s="938"/>
      <c r="F160" s="938"/>
      <c r="G160" s="938"/>
      <c r="H160" s="938"/>
      <c r="I160" s="938"/>
      <c r="J160" s="938"/>
    </row>
    <row r="161" spans="1:10" ht="26.25">
      <c r="A161" s="242" t="s">
        <v>92</v>
      </c>
      <c r="B161" s="243"/>
      <c r="C161" s="243"/>
      <c r="D161" s="244" t="s">
        <v>180</v>
      </c>
      <c r="E161" s="95">
        <f>'24'!F161</f>
        <v>477558.52</v>
      </c>
      <c r="F161" s="235">
        <v>477561.16</v>
      </c>
      <c r="G161" s="238">
        <f t="shared" ref="G161:G165" si="13">F161-E161</f>
        <v>2.6399999999557622</v>
      </c>
      <c r="H161" s="99">
        <f>G161+'24'!H161</f>
        <v>895.15999999997439</v>
      </c>
      <c r="I161" s="236"/>
      <c r="J161" s="239">
        <f>H161/DAY(B2)</f>
        <v>35.806399999998973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'24'!F162</f>
        <v>93585.9</v>
      </c>
      <c r="F162" s="235">
        <v>93609.8</v>
      </c>
      <c r="G162" s="238">
        <f t="shared" si="13"/>
        <v>23.900000000008731</v>
      </c>
      <c r="H162" s="99">
        <f>G162+'24'!H162</f>
        <v>882.80000000000291</v>
      </c>
      <c r="I162" s="236"/>
      <c r="J162" s="239">
        <f>H162/DAY(B2)</f>
        <v>35.312000000000118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'24'!F163</f>
        <v>1021.8</v>
      </c>
      <c r="F163" s="235">
        <v>1186.5999999999999</v>
      </c>
      <c r="G163" s="238">
        <f t="shared" si="13"/>
        <v>164.79999999999995</v>
      </c>
      <c r="H163" s="99">
        <f>G163+'24'!H163</f>
        <v>4046.6000000000004</v>
      </c>
      <c r="I163" s="236"/>
      <c r="J163" s="239">
        <f>H163/DAY(B2)</f>
        <v>161.864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'24'!F164</f>
        <v>5825.4</v>
      </c>
      <c r="F164" s="235">
        <v>5838.7</v>
      </c>
      <c r="G164" s="238">
        <f t="shared" si="13"/>
        <v>13.300000000000182</v>
      </c>
      <c r="H164" s="99">
        <f>G164+'24'!H164</f>
        <v>296.69999999999982</v>
      </c>
      <c r="I164" s="236"/>
      <c r="J164" s="239">
        <f>H164/DAY(B2)</f>
        <v>11.867999999999993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'24'!F165</f>
        <v>31278.42</v>
      </c>
      <c r="F165" s="235">
        <v>31288.39</v>
      </c>
      <c r="G165" s="238">
        <f t="shared" si="13"/>
        <v>9.9700000000011642</v>
      </c>
      <c r="H165" s="99">
        <f>G165+'24'!H165</f>
        <v>274.38999999999942</v>
      </c>
      <c r="I165" s="236"/>
      <c r="J165" s="239">
        <f>H165/DAY(B2)</f>
        <v>10.975599999999977</v>
      </c>
    </row>
    <row r="166" spans="1:10" ht="26.25">
      <c r="A166" s="937"/>
      <c r="B166" s="937"/>
      <c r="C166" s="246"/>
      <c r="D166" s="244" t="s">
        <v>180</v>
      </c>
      <c r="E166" s="95">
        <f>'24'!F166</f>
        <v>0</v>
      </c>
      <c r="F166" s="165"/>
      <c r="G166" s="165"/>
      <c r="H166" s="99">
        <f>G166+'24'!H166</f>
        <v>0</v>
      </c>
      <c r="I166" s="165"/>
      <c r="J166" s="239">
        <f>H166/DAY(B2)</f>
        <v>0</v>
      </c>
    </row>
    <row r="167" spans="1:10" ht="26.25">
      <c r="A167" s="937"/>
      <c r="B167" s="937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6.25">
      <c r="A168" s="937"/>
      <c r="B168" s="937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6.2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>
      <c r="A171" s="947" t="s">
        <v>330</v>
      </c>
      <c r="B171" s="948"/>
      <c r="C171" s="948"/>
      <c r="D171" s="948"/>
      <c r="E171" s="948"/>
      <c r="F171" s="948"/>
      <c r="G171" s="948"/>
      <c r="H171" s="948"/>
      <c r="I171" s="948"/>
      <c r="J171" s="949"/>
    </row>
    <row r="172" spans="1:10" ht="21.75" customHeight="1">
      <c r="A172" s="943"/>
      <c r="B172" s="944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>
      <c r="A173" s="895" t="s">
        <v>209</v>
      </c>
      <c r="B173" s="896"/>
      <c r="C173" s="333"/>
      <c r="D173" s="228" t="s">
        <v>142</v>
      </c>
      <c r="E173" s="95">
        <f>'24'!F173</f>
        <v>8229</v>
      </c>
      <c r="F173" s="155">
        <v>8229</v>
      </c>
      <c r="G173" s="155">
        <f>F173-E173</f>
        <v>0</v>
      </c>
      <c r="H173" s="99">
        <f>G173+'24'!H173</f>
        <v>12</v>
      </c>
      <c r="I173" s="155"/>
      <c r="J173" s="178">
        <f>H173/DAY(B2)</f>
        <v>0.48</v>
      </c>
    </row>
    <row r="174" spans="1:10" ht="27.75" customHeight="1">
      <c r="A174" s="895" t="s">
        <v>75</v>
      </c>
      <c r="B174" s="896"/>
      <c r="C174" s="333"/>
      <c r="D174" s="228" t="s">
        <v>142</v>
      </c>
      <c r="E174" s="95">
        <f>'24'!F174</f>
        <v>40692</v>
      </c>
      <c r="F174" s="157">
        <v>40708</v>
      </c>
      <c r="G174" s="155">
        <f t="shared" ref="G174:G175" si="14">F174-E174</f>
        <v>16</v>
      </c>
      <c r="H174" s="99">
        <f>G174+'24'!H174</f>
        <v>376</v>
      </c>
      <c r="I174" s="155"/>
      <c r="J174" s="178">
        <f>H174/DAY(B2)</f>
        <v>15.04</v>
      </c>
    </row>
    <row r="175" spans="1:10" ht="21.75" customHeight="1">
      <c r="A175" s="895" t="s">
        <v>76</v>
      </c>
      <c r="B175" s="900"/>
      <c r="C175" s="896"/>
      <c r="D175" s="228" t="s">
        <v>142</v>
      </c>
      <c r="E175" s="95">
        <f>'24'!F175</f>
        <v>23587</v>
      </c>
      <c r="F175" s="155">
        <v>23598</v>
      </c>
      <c r="G175" s="155">
        <f t="shared" si="14"/>
        <v>11</v>
      </c>
      <c r="H175" s="99">
        <f>G175+'24'!H175</f>
        <v>340</v>
      </c>
      <c r="I175" s="155"/>
      <c r="J175" s="178">
        <f>H175/DAY(B2)</f>
        <v>13.6</v>
      </c>
    </row>
    <row r="176" spans="1:10" ht="23.25" customHeight="1">
      <c r="A176" s="934" t="s">
        <v>196</v>
      </c>
      <c r="B176" s="935"/>
      <c r="C176" s="401"/>
      <c r="D176" s="228" t="s">
        <v>142</v>
      </c>
      <c r="E176" s="95"/>
      <c r="F176" s="155"/>
      <c r="G176" s="155">
        <f>SUM(G173:G175)</f>
        <v>27</v>
      </c>
      <c r="H176" s="99">
        <f>G176+'24'!H176</f>
        <v>728</v>
      </c>
      <c r="I176" s="155"/>
      <c r="J176" s="178">
        <f>H176/DAY(B2)</f>
        <v>29.12</v>
      </c>
    </row>
    <row r="177" spans="1:10" ht="21.75" customHeight="1">
      <c r="A177" s="895" t="s">
        <v>77</v>
      </c>
      <c r="B177" s="896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5.5">
      <c r="A178" s="895" t="s">
        <v>210</v>
      </c>
      <c r="B178" s="896"/>
      <c r="C178" s="333"/>
      <c r="D178" s="228" t="s">
        <v>142</v>
      </c>
      <c r="E178" s="95">
        <f>'24'!F178</f>
        <v>94273</v>
      </c>
      <c r="F178" s="155">
        <v>94377</v>
      </c>
      <c r="G178" s="155">
        <f>F178-E178</f>
        <v>104</v>
      </c>
      <c r="H178" s="99">
        <f>G178+'24'!H178</f>
        <v>2555</v>
      </c>
      <c r="I178" s="155"/>
      <c r="J178" s="178">
        <f>H178/DAY(B2)</f>
        <v>102.2</v>
      </c>
    </row>
    <row r="179" spans="1:10" ht="24" customHeight="1">
      <c r="A179" s="895" t="s">
        <v>211</v>
      </c>
      <c r="B179" s="896"/>
      <c r="C179" s="333"/>
      <c r="D179" s="228" t="s">
        <v>142</v>
      </c>
      <c r="E179" s="95">
        <f>'24'!F179</f>
        <v>36002</v>
      </c>
      <c r="F179" s="155">
        <v>36002</v>
      </c>
      <c r="G179" s="155">
        <f t="shared" ref="G179:G180" si="15">F179-E179</f>
        <v>0</v>
      </c>
      <c r="H179" s="99">
        <f>G179+'24'!H179</f>
        <v>218</v>
      </c>
      <c r="I179" s="155"/>
      <c r="J179" s="178">
        <f>H179/DAY(B2)</f>
        <v>8.7200000000000006</v>
      </c>
    </row>
    <row r="180" spans="1:10" ht="25.5">
      <c r="A180" s="895" t="s">
        <v>212</v>
      </c>
      <c r="B180" s="896"/>
      <c r="C180" s="333"/>
      <c r="D180" s="228" t="s">
        <v>142</v>
      </c>
      <c r="E180" s="95">
        <f>'24'!F180</f>
        <v>6833</v>
      </c>
      <c r="F180" s="155">
        <v>6841</v>
      </c>
      <c r="G180" s="155">
        <f t="shared" si="15"/>
        <v>8</v>
      </c>
      <c r="H180" s="99">
        <f>G180+'24'!H180</f>
        <v>171</v>
      </c>
      <c r="I180" s="155"/>
      <c r="J180" s="178">
        <f>H180/DAY(B2)</f>
        <v>6.84</v>
      </c>
    </row>
    <row r="181" spans="1:10" ht="25.5">
      <c r="A181" s="941" t="s">
        <v>108</v>
      </c>
      <c r="B181" s="942"/>
      <c r="C181" s="401"/>
      <c r="D181" s="228" t="s">
        <v>142</v>
      </c>
      <c r="E181" s="95"/>
      <c r="F181" s="155"/>
      <c r="G181" s="155">
        <f>SUM(G178:G180)</f>
        <v>112</v>
      </c>
      <c r="H181" s="99">
        <f>G181+'24'!H181</f>
        <v>2944</v>
      </c>
      <c r="I181" s="155"/>
      <c r="J181" s="178">
        <f>H181/DAY(B2)</f>
        <v>117.76</v>
      </c>
    </row>
    <row r="182" spans="1:10" ht="25.5">
      <c r="A182" s="895" t="s">
        <v>213</v>
      </c>
      <c r="B182" s="896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5.5">
      <c r="A183" s="895" t="s">
        <v>214</v>
      </c>
      <c r="B183" s="896"/>
      <c r="C183" s="334"/>
      <c r="D183" s="228" t="s">
        <v>142</v>
      </c>
      <c r="E183" s="95">
        <f>'24'!F183</f>
        <v>17237</v>
      </c>
      <c r="F183" s="157">
        <v>17242</v>
      </c>
      <c r="G183" s="157">
        <f>F183-E183</f>
        <v>5</v>
      </c>
      <c r="H183" s="99">
        <f>G183+'24'!H183</f>
        <v>287</v>
      </c>
      <c r="I183" s="155"/>
      <c r="J183" s="178">
        <f>H183/DAY(B2)</f>
        <v>11.48</v>
      </c>
    </row>
    <row r="184" spans="1:10" ht="30.75" customHeight="1">
      <c r="A184" s="895" t="s">
        <v>215</v>
      </c>
      <c r="B184" s="896"/>
      <c r="C184" s="334"/>
      <c r="D184" s="228" t="s">
        <v>142</v>
      </c>
      <c r="E184" s="95">
        <f>'24'!F184</f>
        <v>11653</v>
      </c>
      <c r="F184" s="157">
        <v>11659</v>
      </c>
      <c r="G184" s="157">
        <f t="shared" ref="G184:G185" si="16">F184-E184</f>
        <v>6</v>
      </c>
      <c r="H184" s="99">
        <f>G184+'24'!H184</f>
        <v>173</v>
      </c>
      <c r="I184" s="155"/>
      <c r="J184" s="178">
        <f>H184/DAY(B2)</f>
        <v>6.92</v>
      </c>
    </row>
    <row r="185" spans="1:10" ht="23.25" customHeight="1">
      <c r="A185" s="895" t="s">
        <v>216</v>
      </c>
      <c r="B185" s="896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5.5">
      <c r="A186" s="934" t="s">
        <v>196</v>
      </c>
      <c r="B186" s="935"/>
      <c r="C186" s="400"/>
      <c r="D186" s="228" t="s">
        <v>142</v>
      </c>
      <c r="E186" s="95"/>
      <c r="F186" s="157">
        <v>0</v>
      </c>
      <c r="G186" s="157">
        <f>SUM(G183:G185)</f>
        <v>11</v>
      </c>
      <c r="H186" s="99">
        <f>G186+'24'!H186</f>
        <v>460</v>
      </c>
      <c r="I186" s="157"/>
      <c r="J186" s="178">
        <f>H186/DAY(B2)</f>
        <v>18.399999999999999</v>
      </c>
    </row>
    <row r="187" spans="1:10" ht="25.5">
      <c r="A187" s="945" t="s">
        <v>217</v>
      </c>
      <c r="B187" s="946"/>
      <c r="C187" s="333"/>
      <c r="D187" s="228" t="s">
        <v>142</v>
      </c>
      <c r="E187" s="95">
        <f>'24'!F187</f>
        <v>0</v>
      </c>
      <c r="F187" s="159"/>
      <c r="G187" s="378">
        <f>G62+G19</f>
        <v>108</v>
      </c>
      <c r="H187" s="99">
        <f>G187+'24'!H187</f>
        <v>4595</v>
      </c>
      <c r="I187" s="158"/>
      <c r="J187" s="179">
        <f>H187/DAY(B2)</f>
        <v>183.8</v>
      </c>
    </row>
    <row r="188" spans="1:10" ht="25.5">
      <c r="A188" s="945" t="s">
        <v>218</v>
      </c>
      <c r="B188" s="946"/>
      <c r="C188" s="333"/>
      <c r="D188" s="230" t="s">
        <v>142</v>
      </c>
      <c r="E188" s="95">
        <f>'24'!F188</f>
        <v>0</v>
      </c>
      <c r="F188" s="159"/>
      <c r="G188" s="378">
        <f>G65+G66+G67+G69+G70</f>
        <v>128</v>
      </c>
      <c r="H188" s="99">
        <f>G188+'24'!H188</f>
        <v>1598</v>
      </c>
      <c r="I188" s="158"/>
      <c r="J188" s="179">
        <f>H188/DAY(B2)</f>
        <v>63.92</v>
      </c>
    </row>
    <row r="189" spans="1:10" ht="25.5">
      <c r="A189" s="945" t="s">
        <v>219</v>
      </c>
      <c r="B189" s="946"/>
      <c r="C189" s="333"/>
      <c r="D189" s="230" t="s">
        <v>142</v>
      </c>
      <c r="E189" s="95">
        <f>'24'!F189</f>
        <v>0</v>
      </c>
      <c r="F189" s="157"/>
      <c r="G189" s="377">
        <f>G181</f>
        <v>112</v>
      </c>
      <c r="H189" s="99">
        <f>G189+'24'!H189</f>
        <v>682</v>
      </c>
      <c r="I189" s="158"/>
      <c r="J189" s="179">
        <f>H189/DAY(B2)</f>
        <v>27.28</v>
      </c>
    </row>
    <row r="190" spans="1:10" ht="25.5">
      <c r="A190" s="939"/>
      <c r="B190" s="940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topLeftCell="A142" zoomScale="60" workbookViewId="0">
      <selection activeCell="F147" sqref="F147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451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>
      <c r="A1" s="876" t="s">
        <v>115</v>
      </c>
      <c r="B1" s="877"/>
      <c r="C1" s="877"/>
      <c r="D1" s="877"/>
      <c r="E1" s="877"/>
      <c r="F1" s="877"/>
      <c r="G1" s="877"/>
      <c r="H1" s="877"/>
      <c r="I1" s="877"/>
      <c r="J1" s="878"/>
    </row>
    <row r="2" spans="1:15" s="57" customFormat="1" ht="23.25">
      <c r="A2" s="191" t="s">
        <v>349</v>
      </c>
      <c r="B2" s="262">
        <v>44738</v>
      </c>
      <c r="C2" s="348" t="s">
        <v>67</v>
      </c>
      <c r="D2" s="218">
        <v>1</v>
      </c>
      <c r="E2" s="100"/>
      <c r="F2" s="100"/>
      <c r="G2" s="428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85" t="s">
        <v>119</v>
      </c>
      <c r="F3" s="886"/>
      <c r="G3" s="429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429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30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9" t="s">
        <v>128</v>
      </c>
      <c r="B6" s="880"/>
      <c r="C6" s="881"/>
      <c r="D6" s="110"/>
      <c r="E6" s="110"/>
      <c r="F6" s="110"/>
      <c r="G6" s="431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'25'!F7</f>
        <v>389638</v>
      </c>
      <c r="F7" s="95">
        <v>416538.4</v>
      </c>
      <c r="G7" s="432">
        <f>F7-E7</f>
        <v>26900.400000000023</v>
      </c>
      <c r="H7" s="99">
        <f>G7+'25'!H7</f>
        <v>723711.4</v>
      </c>
      <c r="I7" s="113">
        <f>'1'!I7</f>
        <v>12000</v>
      </c>
      <c r="J7" s="175">
        <f>H7/DAY(B2)</f>
        <v>27835.053846153845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'25'!F8</f>
        <v>526282</v>
      </c>
      <c r="F8" s="114">
        <v>553652</v>
      </c>
      <c r="G8" s="433">
        <f>F8-E8</f>
        <v>27370</v>
      </c>
      <c r="H8" s="99">
        <f>G8+'25'!H8</f>
        <v>744993.10000000009</v>
      </c>
      <c r="I8" s="116"/>
      <c r="J8" s="175">
        <f>H8/DAY(B2)</f>
        <v>28653.580769230772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'25'!F9</f>
        <v>2851604.3</v>
      </c>
      <c r="F9" s="469">
        <v>2865816.5</v>
      </c>
      <c r="G9" s="432">
        <f>F9-E9</f>
        <v>14212.200000000186</v>
      </c>
      <c r="H9" s="99">
        <f>G9+'25'!H9</f>
        <v>415707.79999999981</v>
      </c>
      <c r="I9" s="124">
        <f>I7-J7</f>
        <v>-15835.053846153845</v>
      </c>
      <c r="J9" s="175">
        <f>H9/DAY(B2)</f>
        <v>15988.761538461531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'25'!F10</f>
        <v>1171828.6000000001</v>
      </c>
      <c r="F10" s="353">
        <v>1183807.5</v>
      </c>
      <c r="G10" s="432">
        <f t="shared" ref="G10:G12" si="0">F10-E10</f>
        <v>11978.899999999907</v>
      </c>
      <c r="H10" s="99">
        <f>G10+'25'!H10</f>
        <v>273404.30000000005</v>
      </c>
      <c r="I10" s="282"/>
      <c r="J10" s="175">
        <f>H10/DAY(B2)</f>
        <v>10515.550000000001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'25'!F11</f>
        <v>37560</v>
      </c>
      <c r="F11" s="95">
        <v>37560</v>
      </c>
      <c r="G11" s="432">
        <f t="shared" si="0"/>
        <v>0</v>
      </c>
      <c r="H11" s="99">
        <f>G11+'25'!H11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'25'!F12</f>
        <v>40380</v>
      </c>
      <c r="F12" s="117">
        <v>40380</v>
      </c>
      <c r="G12" s="432">
        <f t="shared" si="0"/>
        <v>0</v>
      </c>
      <c r="H12" s="99">
        <f>G12+'25'!H12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34">
        <f>G9+G10+G11+G12</f>
        <v>26191.100000000093</v>
      </c>
      <c r="H13" s="99">
        <f>G13+'25'!H13</f>
        <v>688973.09999999986</v>
      </c>
      <c r="I13" s="120">
        <f>G7-G13</f>
        <v>709.29999999993015</v>
      </c>
      <c r="J13" s="175">
        <f>H13/DAY(B2)</f>
        <v>26498.965384615378</v>
      </c>
      <c r="K13" s="79"/>
      <c r="L13" s="66"/>
      <c r="N13" s="87"/>
      <c r="O13" s="71"/>
    </row>
    <row r="14" spans="1:15" ht="26.25">
      <c r="A14" s="882" t="s">
        <v>137</v>
      </c>
      <c r="B14" s="883"/>
      <c r="C14" s="884"/>
      <c r="D14" s="111"/>
      <c r="E14" s="111"/>
      <c r="F14" s="111"/>
      <c r="G14" s="435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'25'!F15</f>
        <v>2063183.3</v>
      </c>
      <c r="F15" s="469">
        <f>E15+1100</f>
        <v>2064283.3</v>
      </c>
      <c r="G15" s="432">
        <f>(F15-E15)</f>
        <v>1100</v>
      </c>
      <c r="H15" s="99">
        <f>G15+'25'!H15</f>
        <v>27166.300000000047</v>
      </c>
      <c r="I15" s="113">
        <f>'1'!I15</f>
        <v>800</v>
      </c>
      <c r="J15" s="175">
        <f>H15/DAY(B2)</f>
        <v>1044.8576923076942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32"/>
      <c r="H16" s="124"/>
      <c r="I16" s="120">
        <f>I15-J15</f>
        <v>-244.85769230769415</v>
      </c>
      <c r="J16" s="176"/>
      <c r="K16" s="79"/>
      <c r="L16" s="66"/>
      <c r="N16" s="87"/>
      <c r="O16" s="71"/>
    </row>
    <row r="17" spans="1:15" ht="26.25">
      <c r="A17" s="882" t="s">
        <v>140</v>
      </c>
      <c r="B17" s="883"/>
      <c r="C17" s="884"/>
      <c r="D17" s="111"/>
      <c r="E17" s="111"/>
      <c r="F17" s="111"/>
      <c r="G17" s="435"/>
      <c r="H17" s="111"/>
      <c r="I17" s="111"/>
      <c r="J17" s="174"/>
      <c r="K17" s="79"/>
      <c r="L17" s="66"/>
      <c r="N17" s="87"/>
      <c r="O17" s="71"/>
    </row>
    <row r="18" spans="1:15" ht="25.5">
      <c r="A18" s="873" t="s">
        <v>141</v>
      </c>
      <c r="B18" s="874"/>
      <c r="C18" s="875"/>
      <c r="D18" s="151" t="s">
        <v>142</v>
      </c>
      <c r="E18" s="95">
        <f>'25'!F18</f>
        <v>21</v>
      </c>
      <c r="F18" s="164">
        <v>16</v>
      </c>
      <c r="G18" s="434">
        <f>F18*10</f>
        <v>160</v>
      </c>
      <c r="H18" s="99">
        <f>G18+'25'!H18</f>
        <v>5510</v>
      </c>
      <c r="I18" s="113">
        <f>'1'!I18</f>
        <v>65</v>
      </c>
      <c r="J18" s="175">
        <f>H18/DAY(B2)</f>
        <v>211.92307692307693</v>
      </c>
      <c r="K18" s="79"/>
      <c r="L18" s="66"/>
      <c r="N18" s="87"/>
      <c r="O18" s="71"/>
    </row>
    <row r="19" spans="1:15" ht="25.5">
      <c r="A19" s="873" t="s">
        <v>69</v>
      </c>
      <c r="B19" s="874"/>
      <c r="C19" s="875"/>
      <c r="D19" s="151" t="s">
        <v>142</v>
      </c>
      <c r="E19" s="95">
        <f>'25'!F19</f>
        <v>160587</v>
      </c>
      <c r="F19" s="122">
        <v>160639</v>
      </c>
      <c r="G19" s="432">
        <f t="shared" ref="G19" si="1">F19-E19</f>
        <v>52</v>
      </c>
      <c r="H19" s="99">
        <f>G19+'25'!H19</f>
        <v>1298</v>
      </c>
      <c r="I19" s="335"/>
      <c r="J19" s="175">
        <f>H19/DAY(B2)</f>
        <v>49.92307692307692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36">
        <f>G18+G19</f>
        <v>212</v>
      </c>
      <c r="H20" s="99">
        <f>G20+'25'!H20</f>
        <v>6808</v>
      </c>
      <c r="I20" s="336">
        <f>I18-J20</f>
        <v>-196.84615384615387</v>
      </c>
      <c r="J20" s="175">
        <f>H20/DAY(B2)</f>
        <v>261.84615384615387</v>
      </c>
      <c r="K20" s="79"/>
      <c r="L20" s="66"/>
      <c r="N20" s="87"/>
      <c r="O20" s="71"/>
    </row>
    <row r="21" spans="1:15" ht="26.25">
      <c r="A21" s="882" t="s">
        <v>144</v>
      </c>
      <c r="B21" s="883"/>
      <c r="C21" s="884"/>
      <c r="D21" s="111"/>
      <c r="E21" s="111"/>
      <c r="F21" s="111"/>
      <c r="G21" s="435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434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'25'!F23</f>
        <v>1500</v>
      </c>
      <c r="F23" s="122">
        <v>1500</v>
      </c>
      <c r="G23" s="434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'25'!F24</f>
        <v>4470</v>
      </c>
      <c r="F24" s="128">
        <v>4470</v>
      </c>
      <c r="G24" s="434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7" t="s">
        <v>149</v>
      </c>
      <c r="B25" s="888"/>
      <c r="C25" s="889"/>
      <c r="D25" s="110"/>
      <c r="E25" s="110"/>
      <c r="F25" s="110"/>
      <c r="G25" s="437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38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27370</v>
      </c>
      <c r="F27" s="136">
        <v>9</v>
      </c>
      <c r="G27" s="439">
        <f>E27*F27</f>
        <v>246330</v>
      </c>
      <c r="H27" s="99">
        <f>G27+'25'!H27</f>
        <v>6704937.9000000004</v>
      </c>
      <c r="I27" s="138"/>
      <c r="J27" s="175">
        <f>H27/DAY(B2)</f>
        <v>257882.22692307693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70</v>
      </c>
      <c r="G28" s="439">
        <f>E28*F28</f>
        <v>77000</v>
      </c>
      <c r="H28" s="99">
        <f>G28+'25'!H28</f>
        <v>1811662.6000000024</v>
      </c>
      <c r="I28" s="140"/>
      <c r="J28" s="175">
        <f>H28/DAY(B2)</f>
        <v>69679.330769230859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39">
        <f>E29*F29</f>
        <v>0</v>
      </c>
      <c r="H29" s="99">
        <f>G29+'25'!H29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439">
        <f>E30*F30</f>
        <v>7852</v>
      </c>
      <c r="H30" s="99">
        <f>G30+'25'!H30</f>
        <v>194983</v>
      </c>
      <c r="I30" s="140"/>
      <c r="J30" s="175">
        <f>H30/DAY(B2)</f>
        <v>7499.3461538461543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439">
        <f>E31*F31</f>
        <v>12800</v>
      </c>
      <c r="H31" s="99">
        <f>G31+'25'!H31</f>
        <v>440800</v>
      </c>
      <c r="I31" s="140"/>
      <c r="J31" s="175">
        <f>H31/DAY(B2)</f>
        <v>16953.846153846152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40">
        <f>G27+G28+G29+G30+G31</f>
        <v>343982</v>
      </c>
      <c r="H32" s="99">
        <f>G32+'25'!H32</f>
        <v>9152383.5000000037</v>
      </c>
      <c r="I32" s="144"/>
      <c r="J32" s="175">
        <f>H32/DAY(B2)</f>
        <v>352014.75000000012</v>
      </c>
      <c r="K32" s="63"/>
      <c r="L32" s="89"/>
      <c r="N32" s="87"/>
      <c r="O32" s="71"/>
    </row>
    <row r="33" spans="1:15" ht="25.5">
      <c r="A33" s="890" t="s">
        <v>331</v>
      </c>
      <c r="B33" s="891"/>
      <c r="C33" s="891"/>
      <c r="D33" s="337"/>
      <c r="E33" s="337"/>
      <c r="F33" s="337"/>
      <c r="G33" s="441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42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'25'!F35</f>
        <v>238713.05</v>
      </c>
      <c r="F35" s="145">
        <v>238713.05</v>
      </c>
      <c r="G35" s="432">
        <f t="shared" ref="G35:G46" si="3">F35-E35</f>
        <v>0</v>
      </c>
      <c r="H35" s="99">
        <f>G35+'25'!H35</f>
        <v>-0.95000000001164153</v>
      </c>
      <c r="I35" s="95"/>
      <c r="J35" s="175">
        <f>H35/DAY(B2)</f>
        <v>-3.6538461538909286E-2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'25'!F36</f>
        <v>182724.91</v>
      </c>
      <c r="F36" s="145">
        <v>183452.49</v>
      </c>
      <c r="G36" s="432">
        <f t="shared" si="3"/>
        <v>727.57999999998719</v>
      </c>
      <c r="H36" s="99">
        <f>G36+'25'!H36</f>
        <v>23004.489999999991</v>
      </c>
      <c r="I36" s="95"/>
      <c r="J36" s="175">
        <f>H36/DAY(B2)</f>
        <v>884.78807692307657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'25'!F37</f>
        <v>278655.55</v>
      </c>
      <c r="F37" s="145">
        <v>280176.61</v>
      </c>
      <c r="G37" s="432">
        <f t="shared" si="3"/>
        <v>1521.0599999999977</v>
      </c>
      <c r="H37" s="99">
        <f>G37+'25'!H37</f>
        <v>44397.609999999986</v>
      </c>
      <c r="I37" s="95"/>
      <c r="J37" s="175">
        <f>H37/DAY(B2)</f>
        <v>1707.600384615384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'25'!F38</f>
        <v>375941.55</v>
      </c>
      <c r="F38" s="108">
        <v>378078.43</v>
      </c>
      <c r="G38" s="432">
        <f t="shared" si="3"/>
        <v>2136.8800000000047</v>
      </c>
      <c r="H38" s="99">
        <f>G38+'25'!H38</f>
        <v>59786.429999999993</v>
      </c>
      <c r="I38" s="95"/>
      <c r="J38" s="175">
        <f>H38/DAY(B2)</f>
        <v>2299.4780769230765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'25'!F39</f>
        <v>508619.87</v>
      </c>
      <c r="F39" s="145">
        <v>511647.19</v>
      </c>
      <c r="G39" s="432">
        <f t="shared" si="3"/>
        <v>3027.320000000007</v>
      </c>
      <c r="H39" s="99">
        <f>G39+'25'!H39</f>
        <v>76317.280000000028</v>
      </c>
      <c r="I39" s="95"/>
      <c r="J39" s="175">
        <f>H39/DAY(B2)</f>
        <v>2935.2800000000011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'25'!F40</f>
        <v>81601.7</v>
      </c>
      <c r="F40" s="145">
        <v>81908.5</v>
      </c>
      <c r="G40" s="432">
        <f t="shared" si="3"/>
        <v>306.80000000000291</v>
      </c>
      <c r="H40" s="99">
        <f>G40+'25'!H40</f>
        <v>8355.5</v>
      </c>
      <c r="I40" s="95"/>
      <c r="J40" s="175">
        <f>H40/DAY(B2)</f>
        <v>321.36538461538464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'25'!F41</f>
        <v>142818.41</v>
      </c>
      <c r="F41" s="145">
        <v>142818.41</v>
      </c>
      <c r="G41" s="432">
        <f t="shared" si="3"/>
        <v>0</v>
      </c>
      <c r="H41" s="99">
        <f>G41+'25'!H41</f>
        <v>73983.41</v>
      </c>
      <c r="I41" s="95"/>
      <c r="J41" s="175">
        <f>H41/DAY(B2)</f>
        <v>2845.5157692307694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'25'!F42</f>
        <v>666778.06999999995</v>
      </c>
      <c r="F42" s="145">
        <v>672312.07</v>
      </c>
      <c r="G42" s="432">
        <f t="shared" si="3"/>
        <v>5534</v>
      </c>
      <c r="H42" s="99">
        <f>G42+'25'!H42</f>
        <v>109440.06999999995</v>
      </c>
      <c r="I42" s="95"/>
      <c r="J42" s="175">
        <f>H42/DAY(B2)</f>
        <v>4209.2334615384598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'25'!F43</f>
        <v>407028.03</v>
      </c>
      <c r="F43" s="145">
        <v>407028.03</v>
      </c>
      <c r="G43" s="432">
        <f t="shared" si="3"/>
        <v>0</v>
      </c>
      <c r="H43" s="99">
        <f>G43+'25'!H43</f>
        <v>3.0000000027939677E-2</v>
      </c>
      <c r="I43" s="95"/>
      <c r="J43" s="175">
        <f>H43/DAY(B2)</f>
        <v>1.1538461549207568E-3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43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43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43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34">
        <f>G35+G36+G37+G38+G39+G40+G41+G42+G43+G44+G45+G46</f>
        <v>13253.64</v>
      </c>
      <c r="H47" s="99">
        <f>G47+'25'!H47</f>
        <v>395283.86999999994</v>
      </c>
      <c r="I47" s="95"/>
      <c r="J47" s="175">
        <f>H47/DAY(B2)</f>
        <v>15203.225769230767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42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'25'!F49</f>
        <v>349982.55</v>
      </c>
      <c r="F49" s="145">
        <v>353652.63</v>
      </c>
      <c r="G49" s="432">
        <f t="shared" ref="G49:G58" si="4">F49-E49</f>
        <v>3670.0800000000163</v>
      </c>
      <c r="H49" s="99">
        <f>G49+'25'!H49</f>
        <v>93505.63</v>
      </c>
      <c r="I49" s="95"/>
      <c r="J49" s="175">
        <f>H49/DAY(B2)</f>
        <v>3596.3703846153849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'25'!F50</f>
        <v>237587.47</v>
      </c>
      <c r="F50" s="145">
        <v>238570.11</v>
      </c>
      <c r="G50" s="432">
        <f t="shared" si="4"/>
        <v>982.63999999998487</v>
      </c>
      <c r="H50" s="99">
        <f>G50+'25'!H50</f>
        <v>29006.109999999986</v>
      </c>
      <c r="I50" s="95"/>
      <c r="J50" s="175">
        <f>H50/DAY(B2)</f>
        <v>1115.6196153846149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'25'!F51</f>
        <v>76</v>
      </c>
      <c r="F51" s="145">
        <v>76</v>
      </c>
      <c r="G51" s="432">
        <f t="shared" si="4"/>
        <v>0</v>
      </c>
      <c r="H51" s="99">
        <f>G51+'25'!H51</f>
        <v>0.31999999999999318</v>
      </c>
      <c r="I51" s="95"/>
      <c r="J51" s="175">
        <f>H51/DAY(B2)</f>
        <v>1.2307692307692046E-2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'25'!F52</f>
        <v>10</v>
      </c>
      <c r="F52" s="145">
        <v>10</v>
      </c>
      <c r="G52" s="432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432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'25'!F54</f>
        <v>75257.8</v>
      </c>
      <c r="F54" s="423">
        <v>75611.210000000006</v>
      </c>
      <c r="G54" s="432">
        <f t="shared" si="4"/>
        <v>353.41000000000349</v>
      </c>
      <c r="H54" s="99">
        <f>G54+'25'!H54</f>
        <v>11055.210000000006</v>
      </c>
      <c r="I54" s="95"/>
      <c r="J54" s="175">
        <f>H54/DAY(B2)</f>
        <v>425.20038461538485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'25'!F55</f>
        <v>267317.93</v>
      </c>
      <c r="F55" s="145">
        <v>270106.71000000002</v>
      </c>
      <c r="G55" s="432">
        <f t="shared" si="4"/>
        <v>2788.7800000000279</v>
      </c>
      <c r="H55" s="99">
        <f>G55+'25'!H55</f>
        <v>44633.710000000021</v>
      </c>
      <c r="I55" s="95"/>
      <c r="J55" s="175">
        <f>H55/DAY(B2)</f>
        <v>1716.6811538461548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'25'!F56</f>
        <v>111243.13</v>
      </c>
      <c r="F56" s="145">
        <v>111243.13</v>
      </c>
      <c r="G56" s="432">
        <f t="shared" si="4"/>
        <v>0</v>
      </c>
      <c r="H56" s="99">
        <f>G56+'25'!H56</f>
        <v>3997.1300000000047</v>
      </c>
      <c r="I56" s="95"/>
      <c r="J56" s="175">
        <f>H56/DAY(B2)</f>
        <v>153.73576923076942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'25'!F57</f>
        <v>116350.14</v>
      </c>
      <c r="F57" s="145">
        <v>119597.13</v>
      </c>
      <c r="G57" s="432">
        <f t="shared" si="4"/>
        <v>3246.9900000000052</v>
      </c>
      <c r="H57" s="99">
        <f>G57+'25'!H57</f>
        <v>81994.13</v>
      </c>
      <c r="I57" s="95"/>
      <c r="J57" s="175">
        <f>H57/DAY(B2)</f>
        <v>3153.6203846153849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'25'!F58</f>
        <v>38871.1</v>
      </c>
      <c r="F58" s="145">
        <v>39150.35</v>
      </c>
      <c r="G58" s="432">
        <f t="shared" si="4"/>
        <v>279.25</v>
      </c>
      <c r="H58" s="99">
        <f>G58+'25'!H58</f>
        <v>6261.3499999999985</v>
      </c>
      <c r="I58" s="95"/>
      <c r="J58" s="175">
        <f>H58/DAY(B2)</f>
        <v>240.82115384615378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34">
        <f>G49+G50+G51+G52+G53+G54+G55+G56+G57+G58</f>
        <v>11321.150000000038</v>
      </c>
      <c r="H59" s="99">
        <f>G59+'25'!H59</f>
        <v>270453.59000000003</v>
      </c>
      <c r="I59" s="95">
        <f>G7-G60</f>
        <v>2325.609999999986</v>
      </c>
      <c r="J59" s="175">
        <f>H59/DAY(B2)</f>
        <v>10402.061153846154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34">
        <f>G47+G59</f>
        <v>24574.790000000037</v>
      </c>
      <c r="H60" s="99">
        <f>G60+'25'!H60</f>
        <v>665737.46</v>
      </c>
      <c r="I60" s="95">
        <f>G13-G60</f>
        <v>1616.3100000000559</v>
      </c>
      <c r="J60" s="175">
        <f>H60/DAY(B2)</f>
        <v>25605.286923076921</v>
      </c>
      <c r="K60" s="79"/>
      <c r="L60" s="66"/>
      <c r="N60" s="87"/>
      <c r="O60" s="71"/>
    </row>
    <row r="61" spans="1:15" s="68" customFormat="1" ht="26.25">
      <c r="A61" s="892" t="s">
        <v>332</v>
      </c>
      <c r="B61" s="893"/>
      <c r="C61" s="894"/>
      <c r="D61" s="339"/>
      <c r="E61" s="339"/>
      <c r="F61" s="339"/>
      <c r="G61" s="443"/>
      <c r="H61" s="339"/>
      <c r="I61" s="339"/>
      <c r="J61" s="341"/>
      <c r="K61" s="69"/>
      <c r="L61" s="67"/>
      <c r="N61" s="87"/>
      <c r="O61" s="71"/>
    </row>
    <row r="62" spans="1:15" ht="25.5">
      <c r="A62" s="873" t="s">
        <v>198</v>
      </c>
      <c r="B62" s="874"/>
      <c r="C62" s="875"/>
      <c r="D62" s="151" t="s">
        <v>142</v>
      </c>
      <c r="E62" s="95">
        <f>'25'!F62</f>
        <v>292249</v>
      </c>
      <c r="F62" s="122">
        <v>292331</v>
      </c>
      <c r="G62" s="432">
        <f t="shared" ref="G62:G63" si="5">F62-E62</f>
        <v>82</v>
      </c>
      <c r="H62" s="99">
        <f>G62+'25'!H62</f>
        <v>3431</v>
      </c>
      <c r="I62" s="118"/>
      <c r="J62" s="175">
        <f>H62/DAY(B2)</f>
        <v>131.96153846153845</v>
      </c>
      <c r="K62" s="80"/>
      <c r="L62" s="66"/>
      <c r="N62" s="87"/>
      <c r="O62" s="71"/>
    </row>
    <row r="63" spans="1:15" ht="25.5">
      <c r="A63" s="873" t="s">
        <v>199</v>
      </c>
      <c r="B63" s="874"/>
      <c r="C63" s="875"/>
      <c r="D63" s="151" t="s">
        <v>142</v>
      </c>
      <c r="E63" s="95">
        <f>'25'!F63</f>
        <v>234403</v>
      </c>
      <c r="F63" s="122">
        <v>234552</v>
      </c>
      <c r="G63" s="432">
        <f t="shared" si="5"/>
        <v>149</v>
      </c>
      <c r="H63" s="99">
        <f>G63+'25'!H63</f>
        <v>3390</v>
      </c>
      <c r="I63" s="118"/>
      <c r="J63" s="175">
        <f>H63/DAY(B2)</f>
        <v>130.38461538461539</v>
      </c>
      <c r="K63" s="69"/>
      <c r="L63" s="66"/>
      <c r="N63" s="87"/>
      <c r="O63" s="71"/>
    </row>
    <row r="64" spans="1:15" ht="26.25">
      <c r="A64" s="870" t="s">
        <v>200</v>
      </c>
      <c r="B64" s="871"/>
      <c r="C64" s="872"/>
      <c r="D64" s="151"/>
      <c r="E64" s="95">
        <f>'25'!F64</f>
        <v>0</v>
      </c>
      <c r="F64" s="122"/>
      <c r="G64" s="432">
        <f>G62+G63</f>
        <v>231</v>
      </c>
      <c r="H64" s="99">
        <f>G64+'25'!H64</f>
        <v>6821</v>
      </c>
      <c r="I64" s="118"/>
      <c r="J64" s="175">
        <f>H64/DAY(B2)</f>
        <v>262.34615384615387</v>
      </c>
      <c r="K64" s="69"/>
      <c r="L64" s="66"/>
      <c r="N64" s="87"/>
      <c r="O64" s="71"/>
    </row>
    <row r="65" spans="1:15" ht="25.5">
      <c r="A65" s="873" t="s">
        <v>201</v>
      </c>
      <c r="B65" s="874"/>
      <c r="C65" s="875"/>
      <c r="D65" s="151" t="s">
        <v>142</v>
      </c>
      <c r="E65" s="95">
        <f>'25'!F65</f>
        <v>450920</v>
      </c>
      <c r="F65" s="122">
        <v>451018</v>
      </c>
      <c r="G65" s="432">
        <f t="shared" ref="G65:G70" si="6">F65-E65</f>
        <v>98</v>
      </c>
      <c r="H65" s="99">
        <f>G65+'25'!H65</f>
        <v>2991</v>
      </c>
      <c r="I65" s="118"/>
      <c r="J65" s="175">
        <f>H65/DAY(B2)</f>
        <v>115.03846153846153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'25'!F66</f>
        <v>110934</v>
      </c>
      <c r="F66" s="122">
        <v>110955</v>
      </c>
      <c r="G66" s="432">
        <f t="shared" si="6"/>
        <v>21</v>
      </c>
      <c r="H66" s="99">
        <f>G66+'25'!H66</f>
        <v>624</v>
      </c>
      <c r="I66" s="118"/>
      <c r="J66" s="175">
        <f>H66/DAY(B2)</f>
        <v>24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'25'!F67</f>
        <v>113680</v>
      </c>
      <c r="F67" s="164">
        <v>113680</v>
      </c>
      <c r="G67" s="432">
        <f t="shared" si="6"/>
        <v>0</v>
      </c>
      <c r="H67" s="99">
        <f>G67+'25'!H67</f>
        <v>402</v>
      </c>
      <c r="I67" s="118"/>
      <c r="J67" s="175">
        <f>H67/DAY(B2)</f>
        <v>15.461538461538462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'25'!F68</f>
        <v>163354</v>
      </c>
      <c r="F68" s="122">
        <v>163409</v>
      </c>
      <c r="G68" s="432">
        <f>F68-E68</f>
        <v>55</v>
      </c>
      <c r="H68" s="99">
        <f>G68+'25'!H68</f>
        <v>915</v>
      </c>
      <c r="I68" s="118"/>
      <c r="J68" s="175">
        <f>H68/DAY(B2)</f>
        <v>35.192307692307693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'25'!F69</f>
        <v>12102</v>
      </c>
      <c r="F69" s="122">
        <v>12108</v>
      </c>
      <c r="G69" s="432">
        <f t="shared" si="6"/>
        <v>6</v>
      </c>
      <c r="H69" s="99">
        <f>G69+'25'!H69</f>
        <v>239</v>
      </c>
      <c r="I69" s="118"/>
      <c r="J69" s="175">
        <f>H69/DAY(B2)</f>
        <v>9.1923076923076916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'25'!F70</f>
        <v>9479</v>
      </c>
      <c r="F70" s="122">
        <v>9484</v>
      </c>
      <c r="G70" s="432">
        <f t="shared" si="6"/>
        <v>5</v>
      </c>
      <c r="H70" s="99">
        <f>G70+'25'!H70</f>
        <v>217</v>
      </c>
      <c r="I70" s="118"/>
      <c r="J70" s="175">
        <f>H70/DAY(B2)</f>
        <v>8.3461538461538467</v>
      </c>
      <c r="K70" s="69"/>
      <c r="L70" s="66"/>
      <c r="N70" s="87"/>
      <c r="O70" s="71"/>
    </row>
    <row r="71" spans="1:15" ht="26.25">
      <c r="A71" s="870" t="s">
        <v>208</v>
      </c>
      <c r="B71" s="871"/>
      <c r="C71" s="872"/>
      <c r="D71" s="152"/>
      <c r="E71" s="152"/>
      <c r="F71" s="152"/>
      <c r="G71" s="444">
        <f>SUM(G65:G70)</f>
        <v>185</v>
      </c>
      <c r="H71" s="99">
        <f>G71+'25'!H71</f>
        <v>5388</v>
      </c>
      <c r="I71" s="154"/>
      <c r="J71" s="175">
        <f>H71/DAY(B2)</f>
        <v>207.23076923076923</v>
      </c>
      <c r="K71" s="69"/>
      <c r="L71" s="66"/>
      <c r="N71" s="87"/>
      <c r="O71" s="71"/>
    </row>
    <row r="72" spans="1:15" s="88" customFormat="1" ht="25.5">
      <c r="A72" s="916"/>
      <c r="B72" s="908"/>
      <c r="C72" s="347"/>
      <c r="D72" s="180"/>
      <c r="E72" s="180" t="s">
        <v>207</v>
      </c>
      <c r="F72" s="180"/>
      <c r="G72" s="445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443"/>
      <c r="H73" s="342"/>
      <c r="I73" s="342"/>
      <c r="J73" s="343"/>
      <c r="K73" s="69"/>
      <c r="L73" s="66"/>
      <c r="N73" s="87"/>
      <c r="O73" s="71"/>
    </row>
    <row r="74" spans="1:15" ht="25.5">
      <c r="A74" s="873" t="s">
        <v>220</v>
      </c>
      <c r="B74" s="874"/>
      <c r="C74" s="875"/>
      <c r="D74" s="151" t="s">
        <v>139</v>
      </c>
      <c r="E74" s="95">
        <f>'25'!F74</f>
        <v>946282.7</v>
      </c>
      <c r="F74" s="123">
        <v>946572.64</v>
      </c>
      <c r="G74" s="432">
        <f t="shared" ref="G74:G78" si="7">F74-E74</f>
        <v>289.94000000006054</v>
      </c>
      <c r="H74" s="99">
        <f>G74+'25'!H74</f>
        <v>7902.640000000014</v>
      </c>
      <c r="I74" s="154"/>
      <c r="J74" s="175">
        <f>H74/DAY(B2)</f>
        <v>303.94769230769282</v>
      </c>
      <c r="K74" s="69"/>
      <c r="L74" s="66"/>
      <c r="N74" s="87"/>
      <c r="O74" s="71"/>
    </row>
    <row r="75" spans="1:15" ht="25.5">
      <c r="A75" s="873" t="s">
        <v>221</v>
      </c>
      <c r="B75" s="874"/>
      <c r="C75" s="875"/>
      <c r="D75" s="151" t="s">
        <v>139</v>
      </c>
      <c r="E75" s="95">
        <f>'25'!F75</f>
        <v>73586.8</v>
      </c>
      <c r="F75" s="123">
        <v>73586.8</v>
      </c>
      <c r="G75" s="432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7" t="s">
        <v>222</v>
      </c>
      <c r="B76" s="903"/>
      <c r="C76" s="904"/>
      <c r="D76" s="151" t="s">
        <v>139</v>
      </c>
      <c r="E76" s="95">
        <f>'25'!F76</f>
        <v>186410</v>
      </c>
      <c r="F76" s="123">
        <v>186517</v>
      </c>
      <c r="G76" s="432">
        <f t="shared" si="7"/>
        <v>107</v>
      </c>
      <c r="H76" s="99">
        <f>G76+'25'!H76</f>
        <v>2811</v>
      </c>
      <c r="I76" s="154"/>
      <c r="J76" s="175">
        <f>H76/DAY(B2)</f>
        <v>108.11538461538461</v>
      </c>
      <c r="K76" s="69"/>
      <c r="L76" s="66"/>
      <c r="N76" s="87"/>
      <c r="O76" s="71"/>
    </row>
    <row r="77" spans="1:15" ht="25.5">
      <c r="A77" s="917" t="s">
        <v>223</v>
      </c>
      <c r="B77" s="903"/>
      <c r="C77" s="904"/>
      <c r="D77" s="151" t="s">
        <v>139</v>
      </c>
      <c r="E77" s="95">
        <f>'25'!F77</f>
        <v>48507</v>
      </c>
      <c r="F77" s="123">
        <v>48544</v>
      </c>
      <c r="G77" s="432">
        <f t="shared" si="7"/>
        <v>37</v>
      </c>
      <c r="H77" s="99">
        <f>G77+'25'!H77</f>
        <v>1199</v>
      </c>
      <c r="I77" s="154"/>
      <c r="J77" s="175">
        <f>H77/DAY(B2)</f>
        <v>46.115384615384613</v>
      </c>
      <c r="K77" s="69"/>
      <c r="L77" s="66"/>
      <c r="N77" s="87"/>
      <c r="O77" s="71"/>
    </row>
    <row r="78" spans="1:15" ht="25.5">
      <c r="A78" s="917" t="s">
        <v>224</v>
      </c>
      <c r="B78" s="903"/>
      <c r="C78" s="904"/>
      <c r="D78" s="151" t="s">
        <v>139</v>
      </c>
      <c r="E78" s="95">
        <f>'25'!F78</f>
        <v>9564</v>
      </c>
      <c r="F78" s="123">
        <v>9564</v>
      </c>
      <c r="G78" s="432">
        <f t="shared" si="7"/>
        <v>0</v>
      </c>
      <c r="H78" s="99">
        <f>G78+'25'!H78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7" t="s">
        <v>225</v>
      </c>
      <c r="B79" s="903"/>
      <c r="C79" s="904"/>
      <c r="D79" s="151"/>
      <c r="E79" s="95">
        <f>'25'!F79</f>
        <v>0</v>
      </c>
      <c r="F79" s="117"/>
      <c r="G79" s="432">
        <f>G15-SUM(G74:G78)</f>
        <v>666.05999999993946</v>
      </c>
      <c r="H79" s="99">
        <f>G79+'25'!H79</f>
        <v>15253.660000000033</v>
      </c>
      <c r="I79" s="118"/>
      <c r="J79" s="175"/>
      <c r="K79" s="59"/>
      <c r="L79" s="58"/>
      <c r="N79" s="87"/>
      <c r="O79" s="71"/>
    </row>
    <row r="80" spans="1:15" s="57" customFormat="1" ht="26.25">
      <c r="A80" s="870" t="s">
        <v>329</v>
      </c>
      <c r="B80" s="871"/>
      <c r="C80" s="872"/>
      <c r="D80" s="151"/>
      <c r="E80" s="117"/>
      <c r="F80" s="117"/>
      <c r="G80" s="43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5.5">
      <c r="A81" s="909" t="s">
        <v>226</v>
      </c>
      <c r="B81" s="910"/>
      <c r="C81" s="911"/>
      <c r="D81" s="110"/>
      <c r="E81" s="110"/>
      <c r="F81" s="110"/>
      <c r="G81" s="446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'25'!F82</f>
        <v>0</v>
      </c>
      <c r="F82" s="122">
        <v>0</v>
      </c>
      <c r="G82" s="432">
        <f t="shared" ref="G82:G92" si="8">F82-E82</f>
        <v>0</v>
      </c>
      <c r="H82" s="99">
        <f>G82+'25'!H82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'25'!F83</f>
        <v>0</v>
      </c>
      <c r="F83" s="122">
        <v>0</v>
      </c>
      <c r="G83" s="432">
        <f t="shared" si="8"/>
        <v>0</v>
      </c>
      <c r="H83" s="99">
        <f>G83+'25'!H83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'25'!F84</f>
        <v>42275</v>
      </c>
      <c r="F84" s="164">
        <v>42275</v>
      </c>
      <c r="G84" s="432">
        <f t="shared" si="8"/>
        <v>0</v>
      </c>
      <c r="H84" s="99">
        <f>G84+'25'!H84</f>
        <v>306</v>
      </c>
      <c r="I84" s="573"/>
      <c r="J84" s="175">
        <f>H84/DAY(B2)</f>
        <v>11.76923076923077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'25'!F85</f>
        <v>4787</v>
      </c>
      <c r="F85" s="164">
        <v>4811.3</v>
      </c>
      <c r="G85" s="432">
        <f t="shared" si="8"/>
        <v>24.300000000000182</v>
      </c>
      <c r="H85" s="99">
        <f>G85+'25'!H85</f>
        <v>468.30000000000018</v>
      </c>
      <c r="I85" s="573"/>
      <c r="J85" s="175">
        <f>H85/DAY(B2)</f>
        <v>18.011538461538468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'25'!F86</f>
        <v>44742</v>
      </c>
      <c r="F86" s="164">
        <v>44761.4</v>
      </c>
      <c r="G86" s="432">
        <f t="shared" si="8"/>
        <v>19.400000000001455</v>
      </c>
      <c r="H86" s="99">
        <f>G86+'25'!H86</f>
        <v>291.40000000000146</v>
      </c>
      <c r="I86" s="573"/>
      <c r="J86" s="175">
        <f>H86/DAY(B2)</f>
        <v>11.207692307692364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'25'!F87</f>
        <v>35358.050000000003</v>
      </c>
      <c r="F87" s="164">
        <v>35358.050000000003</v>
      </c>
      <c r="G87" s="432">
        <f t="shared" si="8"/>
        <v>0</v>
      </c>
      <c r="H87" s="99">
        <f>G87+'25'!H87</f>
        <v>29.05000000000291</v>
      </c>
      <c r="I87" s="573">
        <f>G84+G85+G86+G87</f>
        <v>43.700000000001637</v>
      </c>
      <c r="J87" s="175">
        <f>H87/DAY(B2)</f>
        <v>1.1173076923078042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'25'!F88</f>
        <v>24277.14</v>
      </c>
      <c r="F88" s="164">
        <v>24277.14</v>
      </c>
      <c r="G88" s="432">
        <f t="shared" si="8"/>
        <v>0</v>
      </c>
      <c r="H88" s="99">
        <f>G88+'25'!H88</f>
        <v>49.259999999998399</v>
      </c>
      <c r="I88" s="573"/>
      <c r="J88" s="175">
        <f>H88/DAY(B2)</f>
        <v>1.8946153846153231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'25'!F89</f>
        <v>27245.4</v>
      </c>
      <c r="F89" s="164">
        <v>27255.38</v>
      </c>
      <c r="G89" s="432">
        <f t="shared" si="8"/>
        <v>9.9799999999995634</v>
      </c>
      <c r="H89" s="99">
        <f>G89+'25'!H89</f>
        <v>261.97000000000116</v>
      </c>
      <c r="I89" s="573">
        <f>G88+G89</f>
        <v>9.9799999999995634</v>
      </c>
      <c r="J89" s="175">
        <f>H89/DAY(B2)</f>
        <v>10.075769230769275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'25'!F90</f>
        <v>72281.91</v>
      </c>
      <c r="F90" s="164">
        <v>72284.789999999994</v>
      </c>
      <c r="G90" s="432">
        <f t="shared" si="8"/>
        <v>2.8799999999901047</v>
      </c>
      <c r="H90" s="99">
        <f>G90+'25'!H90</f>
        <v>157.66999999999825</v>
      </c>
      <c r="I90" s="573">
        <f>G90</f>
        <v>2.8799999999901047</v>
      </c>
      <c r="J90" s="175">
        <f>H90/DAY(B2)</f>
        <v>6.0642307692307025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'25'!F91</f>
        <v>4122</v>
      </c>
      <c r="F91" s="122">
        <v>4122</v>
      </c>
      <c r="G91" s="432">
        <f t="shared" si="8"/>
        <v>0</v>
      </c>
      <c r="H91" s="99">
        <f>G91+'25'!H91</f>
        <v>0.3500000000003638</v>
      </c>
      <c r="I91" s="592"/>
      <c r="J91" s="175">
        <f>H91/DAY(B2)</f>
        <v>1.3461538461552455E-2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'25'!F92</f>
        <v>6483</v>
      </c>
      <c r="F92" s="122">
        <v>6491.76</v>
      </c>
      <c r="G92" s="432">
        <f t="shared" si="8"/>
        <v>8.7600000000002183</v>
      </c>
      <c r="H92" s="99">
        <f>G92+'25'!H92</f>
        <v>274.51000000000022</v>
      </c>
      <c r="I92" s="598">
        <f>G91+G92</f>
        <v>8.7600000000002183</v>
      </c>
      <c r="J92" s="175">
        <f>H92/DAY(B2)</f>
        <v>10.558076923076932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435"/>
      <c r="H93" s="121"/>
      <c r="I93" s="121"/>
      <c r="J93" s="183"/>
      <c r="K93" s="69"/>
      <c r="L93" s="66"/>
      <c r="O93" s="71"/>
    </row>
    <row r="94" spans="1:15" ht="25.5">
      <c r="A94" s="873" t="s">
        <v>240</v>
      </c>
      <c r="B94" s="874"/>
      <c r="C94" s="875"/>
      <c r="D94" s="151" t="s">
        <v>130</v>
      </c>
      <c r="E94" s="151"/>
      <c r="F94" s="151"/>
      <c r="G94" s="447">
        <f>G35+G43+G49+G57</f>
        <v>6917.0700000000215</v>
      </c>
      <c r="H94" s="99">
        <f>G94+'25'!H94</f>
        <v>175498.83999999997</v>
      </c>
      <c r="I94" s="118"/>
      <c r="J94" s="175">
        <f>H94/DAY(B2)</f>
        <v>6749.9553846153831</v>
      </c>
      <c r="K94" s="69"/>
      <c r="L94" s="66"/>
      <c r="O94" s="71"/>
    </row>
    <row r="95" spans="1:15" ht="25.5">
      <c r="A95" s="873" t="s">
        <v>241</v>
      </c>
      <c r="B95" s="874"/>
      <c r="C95" s="875"/>
      <c r="D95" s="151" t="s">
        <v>23</v>
      </c>
      <c r="E95" s="146"/>
      <c r="F95" s="146"/>
      <c r="G95" s="448">
        <f>G94/G7</f>
        <v>0.25713632511040785</v>
      </c>
      <c r="H95" s="99">
        <f>G95+'25'!H95</f>
        <v>6.3032356425892475</v>
      </c>
      <c r="I95" s="167"/>
      <c r="J95" s="175">
        <f>H95/DAY(B2)</f>
        <v>0.24243214009958644</v>
      </c>
      <c r="K95" s="69"/>
      <c r="L95" s="66"/>
      <c r="O95" s="71"/>
    </row>
    <row r="96" spans="1:15" ht="25.5">
      <c r="A96" s="873" t="s">
        <v>242</v>
      </c>
      <c r="B96" s="874"/>
      <c r="C96" s="875"/>
      <c r="D96" s="151" t="s">
        <v>130</v>
      </c>
      <c r="E96" s="95"/>
      <c r="F96" s="95"/>
      <c r="G96" s="447">
        <f>G41+G42+G55+G56</f>
        <v>8322.7800000000279</v>
      </c>
      <c r="H96" s="99">
        <f>G96+'25'!H96</f>
        <v>232054.31999999998</v>
      </c>
      <c r="I96" s="118"/>
      <c r="J96" s="175">
        <f>H96/DAY(B2)</f>
        <v>8925.1661538461522</v>
      </c>
      <c r="K96" s="69"/>
      <c r="L96" s="66"/>
      <c r="O96" s="71"/>
    </row>
    <row r="97" spans="1:15" ht="25.5">
      <c r="A97" s="873" t="s">
        <v>243</v>
      </c>
      <c r="B97" s="874"/>
      <c r="C97" s="875"/>
      <c r="D97" s="151" t="s">
        <v>23</v>
      </c>
      <c r="E97" s="95"/>
      <c r="F97" s="95"/>
      <c r="G97" s="448">
        <f>G96/G7</f>
        <v>0.30939242539144479</v>
      </c>
      <c r="H97" s="99">
        <f>G97+'25'!H97</f>
        <v>8.2786577968048629</v>
      </c>
      <c r="I97" s="167"/>
      <c r="J97" s="175">
        <f>H97/DAY(B2)</f>
        <v>0.31840991526172552</v>
      </c>
      <c r="K97" s="69"/>
      <c r="L97" s="66"/>
      <c r="O97" s="71"/>
    </row>
    <row r="98" spans="1:15" ht="25.5">
      <c r="A98" s="873" t="s">
        <v>244</v>
      </c>
      <c r="B98" s="874"/>
      <c r="C98" s="875"/>
      <c r="D98" s="151" t="s">
        <v>130</v>
      </c>
      <c r="E98" s="95"/>
      <c r="F98" s="95"/>
      <c r="G98" s="447">
        <f>G39+G53</f>
        <v>3027.320000000007</v>
      </c>
      <c r="H98" s="99">
        <f>G98+'25'!H98</f>
        <v>76317.280000000028</v>
      </c>
      <c r="I98" s="168"/>
      <c r="J98" s="175">
        <f>H98/DAY(B2)</f>
        <v>2935.2800000000011</v>
      </c>
      <c r="K98" s="69"/>
      <c r="L98" s="66"/>
      <c r="O98" s="71"/>
    </row>
    <row r="99" spans="1:15" ht="25.5">
      <c r="A99" s="873" t="s">
        <v>245</v>
      </c>
      <c r="B99" s="874"/>
      <c r="C99" s="875"/>
      <c r="D99" s="151" t="s">
        <v>23</v>
      </c>
      <c r="E99" s="95"/>
      <c r="F99" s="95"/>
      <c r="G99" s="448">
        <f>G98/G7</f>
        <v>0.11253810352262436</v>
      </c>
      <c r="H99" s="99">
        <f>G99+'25'!H99</f>
        <v>2.7366320859155415</v>
      </c>
      <c r="I99" s="168"/>
      <c r="J99" s="175">
        <f>H99/DAY(B2)</f>
        <v>0.10525508022752082</v>
      </c>
      <c r="O99" s="71"/>
    </row>
    <row r="100" spans="1:15" ht="26.25">
      <c r="A100" s="873" t="s">
        <v>246</v>
      </c>
      <c r="B100" s="874"/>
      <c r="C100" s="875"/>
      <c r="D100" s="151" t="s">
        <v>180</v>
      </c>
      <c r="E100" s="95"/>
      <c r="F100" s="95"/>
      <c r="G100" s="447">
        <f>G38+G52</f>
        <v>2136.8800000000047</v>
      </c>
      <c r="H100" s="99">
        <f>G100+'25'!H100</f>
        <v>59786.429999999993</v>
      </c>
      <c r="I100" s="118"/>
      <c r="J100" s="175">
        <f>H100/DAY(B2)</f>
        <v>2299.4780769230765</v>
      </c>
      <c r="K100" s="70"/>
      <c r="O100" s="71"/>
    </row>
    <row r="101" spans="1:15" ht="25.5">
      <c r="A101" s="873" t="s">
        <v>247</v>
      </c>
      <c r="B101" s="874"/>
      <c r="C101" s="875"/>
      <c r="D101" s="151" t="s">
        <v>23</v>
      </c>
      <c r="E101" s="95"/>
      <c r="F101" s="95"/>
      <c r="G101" s="448">
        <f>G100/G7</f>
        <v>7.9436737000193408E-2</v>
      </c>
      <c r="H101" s="99">
        <f>G101+'25'!H101</f>
        <v>2.1428797530744013</v>
      </c>
      <c r="I101" s="168"/>
      <c r="J101" s="175">
        <f>H101/DAY(B2)</f>
        <v>8.2418452041323129E-2</v>
      </c>
      <c r="O101" s="71"/>
    </row>
    <row r="102" spans="1:15" ht="25.5">
      <c r="A102" s="873" t="s">
        <v>248</v>
      </c>
      <c r="B102" s="874"/>
      <c r="C102" s="875"/>
      <c r="D102" s="151" t="s">
        <v>180</v>
      </c>
      <c r="E102" s="95"/>
      <c r="F102" s="95"/>
      <c r="G102" s="447">
        <f>G36+G50</f>
        <v>1710.2199999999721</v>
      </c>
      <c r="H102" s="99">
        <f>G102+'25'!H102</f>
        <v>52010.599999999977</v>
      </c>
      <c r="I102" s="168"/>
      <c r="J102" s="175">
        <f>H102/DAY(B2)</f>
        <v>2000.4076923076914</v>
      </c>
      <c r="O102" s="71"/>
    </row>
    <row r="103" spans="1:15" ht="25.5">
      <c r="A103" s="873" t="s">
        <v>249</v>
      </c>
      <c r="B103" s="874"/>
      <c r="C103" s="875"/>
      <c r="D103" s="151" t="s">
        <v>23</v>
      </c>
      <c r="E103" s="95"/>
      <c r="F103" s="95"/>
      <c r="G103" s="448">
        <f>G102/G7</f>
        <v>6.3576006304737864E-2</v>
      </c>
      <c r="H103" s="99">
        <f>G103+'25'!H103</f>
        <v>1.8567910501464546</v>
      </c>
      <c r="I103" s="118"/>
      <c r="J103" s="175">
        <f>H103/DAY(B2)</f>
        <v>7.1415040390248249E-2</v>
      </c>
      <c r="O103" s="71"/>
    </row>
    <row r="104" spans="1:15" ht="25.5">
      <c r="A104" s="873" t="s">
        <v>250</v>
      </c>
      <c r="B104" s="874"/>
      <c r="C104" s="875"/>
      <c r="D104" s="151" t="s">
        <v>180</v>
      </c>
      <c r="E104" s="95"/>
      <c r="F104" s="95"/>
      <c r="G104" s="447">
        <f>G37+G51</f>
        <v>1521.0599999999977</v>
      </c>
      <c r="H104" s="99">
        <f>G104+'25'!H104</f>
        <v>44397.929999999986</v>
      </c>
      <c r="I104" s="118"/>
      <c r="J104" s="175">
        <f>H104/DAY(B2)</f>
        <v>1707.6126923076918</v>
      </c>
      <c r="O104" s="71"/>
    </row>
    <row r="105" spans="1:15" ht="26.25" thickBot="1">
      <c r="A105" s="913" t="s">
        <v>251</v>
      </c>
      <c r="B105" s="914"/>
      <c r="C105" s="915"/>
      <c r="D105" s="231" t="s">
        <v>23</v>
      </c>
      <c r="E105" s="185"/>
      <c r="F105" s="185"/>
      <c r="G105" s="449">
        <f>G104/G7</f>
        <v>5.6544140607574477E-2</v>
      </c>
      <c r="H105" s="99">
        <f>G105+'25'!H105</f>
        <v>1.5880910610028682</v>
      </c>
      <c r="I105" s="187"/>
      <c r="J105" s="188">
        <f>H105/DAY(B2)</f>
        <v>6.1080425423187243E-2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50"/>
      <c r="H106" s="170"/>
      <c r="I106" s="169"/>
      <c r="J106" s="171"/>
      <c r="O106" s="71"/>
    </row>
    <row r="107" spans="1:15" ht="26.25"/>
    <row r="108" spans="1:15" ht="27.75">
      <c r="A108" s="927" t="s">
        <v>324</v>
      </c>
      <c r="B108" s="927"/>
      <c r="C108" s="927"/>
      <c r="D108" s="927"/>
      <c r="E108" s="927"/>
      <c r="F108" s="927"/>
      <c r="G108" s="927"/>
      <c r="H108" s="927"/>
      <c r="I108" s="927"/>
      <c r="J108" s="927"/>
    </row>
    <row r="109" spans="1:15" ht="26.25">
      <c r="A109" s="912"/>
      <c r="B109" s="912"/>
    </row>
    <row r="110" spans="1:15" ht="26.25">
      <c r="A110" s="928" t="s">
        <v>165</v>
      </c>
      <c r="B110" s="929"/>
      <c r="C110" s="929"/>
      <c r="D110" s="929"/>
      <c r="E110" s="929"/>
      <c r="F110" s="929"/>
      <c r="G110" s="929"/>
      <c r="H110" s="929"/>
      <c r="I110" s="929"/>
      <c r="J110" s="930"/>
    </row>
    <row r="111" spans="1:15" ht="25.5">
      <c r="A111" s="931"/>
      <c r="B111" s="932"/>
      <c r="C111" s="933"/>
      <c r="D111" s="165"/>
      <c r="E111" s="165"/>
      <c r="F111" s="165"/>
      <c r="G111" s="452"/>
      <c r="H111" s="156"/>
      <c r="I111" s="165"/>
      <c r="J111" s="327"/>
    </row>
    <row r="112" spans="1:15" ht="25.5">
      <c r="A112" s="906" t="s">
        <v>252</v>
      </c>
      <c r="B112" s="907"/>
      <c r="C112" s="908"/>
      <c r="D112" s="146" t="s">
        <v>183</v>
      </c>
      <c r="E112" s="95">
        <f>'25'!F112</f>
        <v>4568.13</v>
      </c>
      <c r="F112" s="237">
        <v>4641.3900000000003</v>
      </c>
      <c r="G112" s="432">
        <f t="shared" ref="G112:G123" si="9">F112-E112</f>
        <v>73.260000000000218</v>
      </c>
      <c r="H112" s="99">
        <f>G112+'25'!H112</f>
        <v>1964.3900000000003</v>
      </c>
      <c r="I112" s="165"/>
      <c r="J112" s="328">
        <f>H112/DAY(B2)</f>
        <v>75.553461538461548</v>
      </c>
    </row>
    <row r="113" spans="1:18" ht="25.5">
      <c r="A113" s="906" t="s">
        <v>253</v>
      </c>
      <c r="B113" s="907"/>
      <c r="C113" s="908"/>
      <c r="D113" s="146" t="s">
        <v>183</v>
      </c>
      <c r="E113" s="95">
        <f>'25'!F113</f>
        <v>9919.6</v>
      </c>
      <c r="F113" s="237">
        <v>10064.280000000001</v>
      </c>
      <c r="G113" s="432">
        <f t="shared" si="9"/>
        <v>144.68000000000029</v>
      </c>
      <c r="H113" s="99">
        <f>G113+'25'!H113</f>
        <v>3673.2800000000007</v>
      </c>
      <c r="I113" s="165"/>
      <c r="J113" s="328">
        <f>H113/DAY(B2)</f>
        <v>141.28000000000003</v>
      </c>
    </row>
    <row r="114" spans="1:18" ht="25.5">
      <c r="A114" s="906" t="s">
        <v>254</v>
      </c>
      <c r="B114" s="907"/>
      <c r="C114" s="908"/>
      <c r="D114" s="146" t="s">
        <v>183</v>
      </c>
      <c r="E114" s="95">
        <f>'25'!F114</f>
        <v>13075.99</v>
      </c>
      <c r="F114" s="237">
        <v>13297</v>
      </c>
      <c r="G114" s="432">
        <f t="shared" si="9"/>
        <v>221.01000000000022</v>
      </c>
      <c r="H114" s="99">
        <f>G114+'25'!H114</f>
        <v>5727</v>
      </c>
      <c r="I114" s="165"/>
      <c r="J114" s="328">
        <f>H114/DAY(B2)</f>
        <v>220.26923076923077</v>
      </c>
    </row>
    <row r="115" spans="1:18" ht="25.5">
      <c r="A115" s="906" t="s">
        <v>255</v>
      </c>
      <c r="B115" s="907"/>
      <c r="C115" s="908"/>
      <c r="D115" s="146" t="s">
        <v>183</v>
      </c>
      <c r="E115" s="95">
        <f>'25'!F115</f>
        <v>8264.26</v>
      </c>
      <c r="F115" s="237">
        <v>8381.52</v>
      </c>
      <c r="G115" s="432">
        <f t="shared" si="9"/>
        <v>117.26000000000022</v>
      </c>
      <c r="H115" s="99">
        <f>G115+'25'!H115</f>
        <v>2251.0400000000009</v>
      </c>
      <c r="I115" s="165"/>
      <c r="J115" s="328">
        <f>H115/DAY(B2)</f>
        <v>86.578461538461568</v>
      </c>
    </row>
    <row r="116" spans="1:18" ht="25.5">
      <c r="A116" s="924" t="s">
        <v>96</v>
      </c>
      <c r="B116" s="925"/>
      <c r="C116" s="926"/>
      <c r="D116" s="146" t="s">
        <v>183</v>
      </c>
      <c r="E116" s="95">
        <f>'25'!F116</f>
        <v>56932.74</v>
      </c>
      <c r="F116" s="237">
        <v>57384</v>
      </c>
      <c r="G116" s="432">
        <f t="shared" si="9"/>
        <v>451.26000000000204</v>
      </c>
      <c r="H116" s="99">
        <f>G116+'25'!H116</f>
        <v>10629</v>
      </c>
      <c r="I116" s="165"/>
      <c r="J116" s="328">
        <f>H116/DAY(B2)</f>
        <v>408.80769230769232</v>
      </c>
      <c r="Q116" s="906" t="s">
        <v>311</v>
      </c>
      <c r="R116" s="908"/>
    </row>
    <row r="117" spans="1:18" ht="25.5">
      <c r="A117" s="924" t="s">
        <v>184</v>
      </c>
      <c r="B117" s="925"/>
      <c r="C117" s="926"/>
      <c r="D117" s="146" t="s">
        <v>183</v>
      </c>
      <c r="E117" s="406">
        <f>'25'!F117</f>
        <v>31469.8</v>
      </c>
      <c r="F117" s="417">
        <v>31793</v>
      </c>
      <c r="G117" s="520">
        <f t="shared" si="9"/>
        <v>323.20000000000073</v>
      </c>
      <c r="H117" s="99">
        <f>G117+'25'!H117</f>
        <v>6525</v>
      </c>
      <c r="I117" s="165"/>
      <c r="J117" s="328">
        <f>H117/DAY(B2)</f>
        <v>250.96153846153845</v>
      </c>
      <c r="Q117" s="906" t="s">
        <v>312</v>
      </c>
      <c r="R117" s="908"/>
    </row>
    <row r="118" spans="1:18" ht="25.5">
      <c r="A118" s="901" t="s">
        <v>97</v>
      </c>
      <c r="B118" s="901"/>
      <c r="C118" s="901"/>
      <c r="D118" s="151" t="s">
        <v>183</v>
      </c>
      <c r="E118" s="95">
        <f>'25'!F118</f>
        <v>41672.81</v>
      </c>
      <c r="F118" s="237">
        <v>42317.29</v>
      </c>
      <c r="G118" s="432">
        <f t="shared" si="9"/>
        <v>644.4800000000032</v>
      </c>
      <c r="H118" s="99">
        <f>G118+'25'!H118</f>
        <v>16092.29</v>
      </c>
      <c r="I118" s="165"/>
      <c r="J118" s="328">
        <f>H118/DAY(B2)</f>
        <v>618.93423076923079</v>
      </c>
      <c r="Q118" s="906" t="s">
        <v>311</v>
      </c>
      <c r="R118" s="908"/>
    </row>
    <row r="119" spans="1:18" ht="25.5">
      <c r="A119" s="901" t="s">
        <v>98</v>
      </c>
      <c r="B119" s="901"/>
      <c r="C119" s="901"/>
      <c r="D119" s="151" t="s">
        <v>183</v>
      </c>
      <c r="E119" s="95">
        <f>'25'!F119</f>
        <v>29131.29</v>
      </c>
      <c r="F119" s="237">
        <v>29378.54</v>
      </c>
      <c r="G119" s="432">
        <f t="shared" si="9"/>
        <v>247.25</v>
      </c>
      <c r="H119" s="99">
        <f>G119+'25'!H119</f>
        <v>10431.540000000001</v>
      </c>
      <c r="I119" s="165"/>
      <c r="J119" s="328">
        <f>H119/DAY(B2)</f>
        <v>401.21307692307698</v>
      </c>
    </row>
    <row r="120" spans="1:18" ht="25.5">
      <c r="A120" s="901" t="s">
        <v>99</v>
      </c>
      <c r="B120" s="901"/>
      <c r="C120" s="901"/>
      <c r="D120" s="151" t="s">
        <v>183</v>
      </c>
      <c r="E120" s="95">
        <f>'25'!F120</f>
        <v>30963.06</v>
      </c>
      <c r="F120" s="237">
        <v>31404.7</v>
      </c>
      <c r="G120" s="432">
        <f t="shared" si="9"/>
        <v>441.63999999999942</v>
      </c>
      <c r="H120" s="99">
        <f>G120+'25'!H120</f>
        <v>11354.7</v>
      </c>
      <c r="I120" s="165"/>
      <c r="J120" s="328">
        <f>H120/DAY(B2)</f>
        <v>436.71923076923082</v>
      </c>
    </row>
    <row r="121" spans="1:18" ht="25.5">
      <c r="A121" s="901" t="s">
        <v>100</v>
      </c>
      <c r="B121" s="901"/>
      <c r="C121" s="901"/>
      <c r="D121" s="151" t="s">
        <v>183</v>
      </c>
      <c r="E121" s="95">
        <f>'25'!F121</f>
        <v>37404.68</v>
      </c>
      <c r="F121" s="237">
        <v>37848.230000000003</v>
      </c>
      <c r="G121" s="432">
        <f t="shared" si="9"/>
        <v>443.55000000000291</v>
      </c>
      <c r="H121" s="99">
        <f>G121+'25'!H121</f>
        <v>12004.230000000003</v>
      </c>
      <c r="I121" s="165"/>
      <c r="J121" s="328">
        <f>H121/DAY(B2)</f>
        <v>461.70115384615394</v>
      </c>
    </row>
    <row r="122" spans="1:18" ht="25.5">
      <c r="A122" s="901" t="s">
        <v>101</v>
      </c>
      <c r="B122" s="901"/>
      <c r="C122" s="901"/>
      <c r="D122" s="151" t="s">
        <v>183</v>
      </c>
      <c r="E122" s="95">
        <f>'25'!F122</f>
        <v>18571.52</v>
      </c>
      <c r="F122" s="237">
        <v>18824.38</v>
      </c>
      <c r="G122" s="432">
        <f t="shared" si="9"/>
        <v>252.86000000000058</v>
      </c>
      <c r="H122" s="99">
        <f>G122+'25'!H122</f>
        <v>7664.380000000001</v>
      </c>
      <c r="I122" s="165"/>
      <c r="J122" s="328">
        <f>H122/DAY(B2)</f>
        <v>294.78384615384618</v>
      </c>
    </row>
    <row r="123" spans="1:18" ht="25.5">
      <c r="A123" s="901" t="s">
        <v>102</v>
      </c>
      <c r="B123" s="901"/>
      <c r="C123" s="901"/>
      <c r="D123" s="151" t="s">
        <v>183</v>
      </c>
      <c r="E123" s="95">
        <f>'25'!F123</f>
        <v>18784.82</v>
      </c>
      <c r="F123" s="237">
        <v>19098.97</v>
      </c>
      <c r="G123" s="432">
        <f t="shared" si="9"/>
        <v>314.15000000000146</v>
      </c>
      <c r="H123" s="99">
        <f>G123+'25'!H123</f>
        <v>8589.9700000000012</v>
      </c>
      <c r="I123" s="165"/>
      <c r="J123" s="328">
        <f>H123/DAY(B2)</f>
        <v>330.38346153846157</v>
      </c>
    </row>
    <row r="124" spans="1:18" ht="25.5">
      <c r="A124" s="931"/>
      <c r="B124" s="932"/>
      <c r="C124" s="933"/>
      <c r="D124" s="165"/>
      <c r="E124" s="95">
        <f>'25'!F124</f>
        <v>0</v>
      </c>
      <c r="F124" s="165"/>
      <c r="G124" s="452"/>
      <c r="H124" s="156"/>
      <c r="I124" s="165"/>
      <c r="J124" s="327"/>
    </row>
    <row r="125" spans="1:18" ht="25.5">
      <c r="A125" s="934" t="s">
        <v>196</v>
      </c>
      <c r="B125" s="935"/>
      <c r="C125" s="245"/>
      <c r="D125" s="307"/>
      <c r="E125" s="308"/>
      <c r="F125" s="308"/>
      <c r="G125" s="453">
        <f>SUM(G112:G124)</f>
        <v>3674.6000000000113</v>
      </c>
      <c r="H125" s="156"/>
      <c r="I125" s="327">
        <f>G125-(G39+G53)</f>
        <v>647.28000000000429</v>
      </c>
      <c r="J125" s="327"/>
    </row>
    <row r="126" spans="1:18" ht="25.5">
      <c r="A126" s="936" t="s">
        <v>317</v>
      </c>
      <c r="B126" s="936"/>
      <c r="C126" s="936"/>
      <c r="D126" s="936"/>
      <c r="E126" s="936"/>
      <c r="F126" s="936"/>
      <c r="G126" s="936"/>
      <c r="H126" s="936"/>
      <c r="I126" s="936"/>
      <c r="J126" s="936"/>
    </row>
    <row r="127" spans="1:18" ht="25.5">
      <c r="A127" s="937"/>
      <c r="B127" s="937"/>
      <c r="C127" s="245"/>
      <c r="D127" s="307"/>
      <c r="E127" s="308"/>
      <c r="F127" s="308"/>
      <c r="G127" s="453"/>
      <c r="H127" s="99">
        <f>G127+'25'!H127</f>
        <v>0</v>
      </c>
      <c r="I127" s="165"/>
      <c r="J127" s="328">
        <f>H127/DAY(B2)</f>
        <v>0</v>
      </c>
    </row>
    <row r="128" spans="1:18" ht="25.5">
      <c r="A128" s="906" t="s">
        <v>318</v>
      </c>
      <c r="B128" s="907"/>
      <c r="C128" s="908"/>
      <c r="D128" s="151" t="s">
        <v>183</v>
      </c>
      <c r="E128" s="95">
        <f>'25'!F128</f>
        <v>109145.44</v>
      </c>
      <c r="F128" s="165">
        <v>109696.97</v>
      </c>
      <c r="G128" s="432">
        <f t="shared" ref="G128:G134" si="10">F128-E128</f>
        <v>551.52999999999884</v>
      </c>
      <c r="H128" s="99">
        <f>G128+'25'!H128</f>
        <v>13981.970000000001</v>
      </c>
      <c r="I128" s="165"/>
      <c r="J128" s="328">
        <f>H128/DAY(B2)</f>
        <v>537.76807692307693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'25'!F129</f>
        <v>65785.759999999995</v>
      </c>
      <c r="F129" s="165">
        <v>65969</v>
      </c>
      <c r="G129" s="432">
        <f t="shared" si="10"/>
        <v>183.24000000000524</v>
      </c>
      <c r="H129" s="99">
        <f>G129+'25'!H129</f>
        <v>5676</v>
      </c>
      <c r="I129" s="165"/>
      <c r="J129" s="328">
        <f>H129/DAY(B2)</f>
        <v>218.30769230769232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'25'!F130</f>
        <v>137869.28</v>
      </c>
      <c r="F130" s="165">
        <v>138682.12</v>
      </c>
      <c r="G130" s="432">
        <f t="shared" si="10"/>
        <v>812.83999999999651</v>
      </c>
      <c r="H130" s="99">
        <f>G130+'25'!H130</f>
        <v>17553.119999999995</v>
      </c>
      <c r="I130" s="165"/>
      <c r="J130" s="328">
        <f>H130/DAY(B2)</f>
        <v>675.11999999999978</v>
      </c>
      <c r="N130" s="240"/>
      <c r="O130" s="241"/>
    </row>
    <row r="131" spans="1:15" ht="25.5">
      <c r="A131" s="906" t="s">
        <v>321</v>
      </c>
      <c r="B131" s="907"/>
      <c r="C131" s="908"/>
      <c r="D131" s="151" t="s">
        <v>183</v>
      </c>
      <c r="E131" s="95">
        <f>'25'!F131</f>
        <v>41525.49</v>
      </c>
      <c r="F131" s="165">
        <v>41749.199999999997</v>
      </c>
      <c r="G131" s="432">
        <f t="shared" si="10"/>
        <v>223.70999999999913</v>
      </c>
      <c r="H131" s="99">
        <f>G131+'25'!H131</f>
        <v>5470.1999999999971</v>
      </c>
      <c r="I131" s="165"/>
      <c r="J131" s="328">
        <f>H131/DAY(B2)</f>
        <v>210.39230769230758</v>
      </c>
      <c r="N131" s="240"/>
      <c r="O131" s="241"/>
    </row>
    <row r="132" spans="1:15" ht="25.5">
      <c r="A132" s="906" t="s">
        <v>322</v>
      </c>
      <c r="B132" s="907"/>
      <c r="C132" s="908"/>
      <c r="D132" s="151" t="s">
        <v>183</v>
      </c>
      <c r="E132" s="95">
        <f>'25'!F132</f>
        <v>114003.1</v>
      </c>
      <c r="F132" s="165">
        <v>114475.89</v>
      </c>
      <c r="G132" s="432">
        <f t="shared" si="10"/>
        <v>472.7899999999936</v>
      </c>
      <c r="H132" s="99">
        <f>G132+'25'!H132</f>
        <v>10963.89</v>
      </c>
      <c r="I132" s="165"/>
      <c r="J132" s="328">
        <f>H132/DAY(B2)</f>
        <v>421.68807692307689</v>
      </c>
    </row>
    <row r="133" spans="1:15" ht="25.5">
      <c r="A133" s="906" t="s">
        <v>359</v>
      </c>
      <c r="B133" s="907"/>
      <c r="C133" s="908"/>
      <c r="D133" s="151" t="s">
        <v>183</v>
      </c>
      <c r="E133" s="95">
        <f>'25'!F133</f>
        <v>220058.21</v>
      </c>
      <c r="F133" s="165">
        <v>220668.99</v>
      </c>
      <c r="G133" s="432">
        <f t="shared" si="10"/>
        <v>610.77999999999884</v>
      </c>
      <c r="H133" s="99">
        <f>G133+'25'!H133</f>
        <v>19436.989999999991</v>
      </c>
      <c r="I133" s="165"/>
      <c r="J133" s="328">
        <f>H133/DAY(B2)</f>
        <v>747.57653846153812</v>
      </c>
    </row>
    <row r="134" spans="1:15" ht="25.5">
      <c r="A134" s="906" t="s">
        <v>340</v>
      </c>
      <c r="B134" s="907"/>
      <c r="C134" s="908"/>
      <c r="D134" s="151" t="s">
        <v>183</v>
      </c>
      <c r="E134" s="95">
        <f>'25'!F134</f>
        <v>40742.9</v>
      </c>
      <c r="F134" s="165">
        <v>40956.47</v>
      </c>
      <c r="G134" s="432">
        <f t="shared" si="10"/>
        <v>213.56999999999971</v>
      </c>
      <c r="H134" s="99">
        <f>G134+'25'!H134</f>
        <v>6061.4700000000012</v>
      </c>
      <c r="I134" s="165"/>
      <c r="J134" s="328">
        <f>H134/DAY(B2)</f>
        <v>233.13346153846157</v>
      </c>
    </row>
    <row r="135" spans="1:15" ht="25.5">
      <c r="A135" s="934" t="s">
        <v>196</v>
      </c>
      <c r="B135" s="935"/>
      <c r="C135" s="331"/>
      <c r="D135" s="151"/>
      <c r="E135" s="95"/>
      <c r="F135" s="165"/>
      <c r="G135" s="432">
        <f>SUM(G128:G134)</f>
        <v>3068.4599999999919</v>
      </c>
      <c r="H135" s="99">
        <f>G135+'23'!H135</f>
        <v>36346.789999999986</v>
      </c>
      <c r="I135" s="327">
        <f>G135-(G35+G49)</f>
        <v>-601.62000000002445</v>
      </c>
      <c r="J135" s="328"/>
    </row>
    <row r="136" spans="1:15" ht="27.75">
      <c r="A136" s="938" t="s">
        <v>325</v>
      </c>
      <c r="B136" s="938"/>
      <c r="C136" s="938"/>
      <c r="D136" s="938"/>
      <c r="E136" s="938"/>
      <c r="F136" s="938"/>
      <c r="G136" s="938"/>
      <c r="H136" s="938"/>
      <c r="I136" s="938"/>
      <c r="J136" s="938"/>
    </row>
    <row r="137" spans="1:15" ht="26.25">
      <c r="A137" s="245"/>
      <c r="B137" s="246"/>
      <c r="C137" s="246"/>
      <c r="D137" s="165"/>
      <c r="E137" s="165"/>
      <c r="F137" s="165"/>
      <c r="G137" s="452"/>
      <c r="H137" s="156"/>
      <c r="I137" s="165"/>
      <c r="J137" s="327"/>
    </row>
    <row r="138" spans="1:15" ht="25.5">
      <c r="A138" s="901" t="s">
        <v>185</v>
      </c>
      <c r="B138" s="901"/>
      <c r="C138" s="901"/>
      <c r="D138" s="151" t="s">
        <v>183</v>
      </c>
      <c r="E138" s="95">
        <f>'25'!F138</f>
        <v>886673</v>
      </c>
      <c r="F138" s="147">
        <v>886769</v>
      </c>
      <c r="G138" s="432">
        <f t="shared" ref="G138:G152" si="11">F138-E138</f>
        <v>96</v>
      </c>
      <c r="H138" s="99">
        <f>G138+'25'!H138</f>
        <v>3491.2999999999993</v>
      </c>
      <c r="I138" s="118"/>
      <c r="J138" s="328">
        <f>H138/DAY(B2)</f>
        <v>134.28076923076921</v>
      </c>
    </row>
    <row r="139" spans="1:15" ht="25.5">
      <c r="A139" s="901" t="s">
        <v>186</v>
      </c>
      <c r="B139" s="901"/>
      <c r="C139" s="901"/>
      <c r="D139" s="151" t="s">
        <v>183</v>
      </c>
      <c r="E139" s="95">
        <f>'25'!F139</f>
        <v>903293</v>
      </c>
      <c r="F139" s="148">
        <v>903435</v>
      </c>
      <c r="G139" s="432">
        <f t="shared" si="11"/>
        <v>142</v>
      </c>
      <c r="H139" s="99">
        <f>G139+'25'!H139</f>
        <v>3980</v>
      </c>
      <c r="I139" s="118"/>
      <c r="J139" s="328">
        <f>H139/DAY(B2)</f>
        <v>153.07692307692307</v>
      </c>
    </row>
    <row r="140" spans="1:15" ht="25.5">
      <c r="A140" s="901" t="s">
        <v>187</v>
      </c>
      <c r="B140" s="901"/>
      <c r="C140" s="901"/>
      <c r="D140" s="151" t="s">
        <v>183</v>
      </c>
      <c r="E140" s="95">
        <f>'25'!F140</f>
        <v>987.95</v>
      </c>
      <c r="F140" s="148">
        <v>1003.8</v>
      </c>
      <c r="G140" s="432">
        <f t="shared" si="11"/>
        <v>15.849999999999909</v>
      </c>
      <c r="H140" s="99">
        <f>G140+'25'!H140</f>
        <v>355.03999999999996</v>
      </c>
      <c r="I140" s="118"/>
      <c r="J140" s="328">
        <f>H140/DAY(B2)</f>
        <v>13.655384615384614</v>
      </c>
    </row>
    <row r="141" spans="1:15" ht="25.5">
      <c r="A141" s="905" t="s">
        <v>188</v>
      </c>
      <c r="B141" s="905"/>
      <c r="C141" s="905"/>
      <c r="D141" s="151" t="s">
        <v>183</v>
      </c>
      <c r="E141" s="95">
        <f>'25'!F141</f>
        <v>83101.39</v>
      </c>
      <c r="F141" s="148">
        <v>83291.710000000006</v>
      </c>
      <c r="G141" s="432">
        <f t="shared" si="11"/>
        <v>190.32000000000698</v>
      </c>
      <c r="H141" s="99">
        <f>G141+'25'!H141</f>
        <v>5339.7100000000064</v>
      </c>
      <c r="I141" s="118"/>
      <c r="J141" s="328">
        <f>H141/DAY(B2)</f>
        <v>205.37346153846178</v>
      </c>
    </row>
    <row r="142" spans="1:15" ht="25.5">
      <c r="A142" s="905" t="s">
        <v>189</v>
      </c>
      <c r="B142" s="905"/>
      <c r="C142" s="905"/>
      <c r="D142" s="151" t="s">
        <v>183</v>
      </c>
      <c r="E142" s="95">
        <f>'25'!F142</f>
        <v>34003.023000000001</v>
      </c>
      <c r="F142" s="148">
        <v>34076.699999999997</v>
      </c>
      <c r="G142" s="432">
        <f t="shared" si="11"/>
        <v>73.676999999996042</v>
      </c>
      <c r="H142" s="99">
        <f>G142+'25'!H142</f>
        <v>3550.6999999999971</v>
      </c>
      <c r="I142" s="140"/>
      <c r="J142" s="328">
        <f>H142/DAY(B2)</f>
        <v>136.56538461538452</v>
      </c>
    </row>
    <row r="143" spans="1:15" ht="25.5">
      <c r="A143" s="901" t="s">
        <v>91</v>
      </c>
      <c r="B143" s="901"/>
      <c r="C143" s="901"/>
      <c r="D143" s="151" t="s">
        <v>183</v>
      </c>
      <c r="E143" s="95">
        <f>'25'!F143</f>
        <v>8017.53</v>
      </c>
      <c r="F143" s="148">
        <v>8044.2</v>
      </c>
      <c r="G143" s="432">
        <f t="shared" si="11"/>
        <v>26.670000000000073</v>
      </c>
      <c r="H143" s="99">
        <f>G143+'25'!H143</f>
        <v>738.19999999999982</v>
      </c>
      <c r="I143" s="140"/>
      <c r="J143" s="328">
        <f>H143/DAY(B2)</f>
        <v>28.392307692307686</v>
      </c>
    </row>
    <row r="144" spans="1:15" ht="25.5">
      <c r="A144" s="905" t="s">
        <v>90</v>
      </c>
      <c r="B144" s="905"/>
      <c r="C144" s="905"/>
      <c r="D144" s="151" t="s">
        <v>183</v>
      </c>
      <c r="E144" s="95">
        <f>'25'!F144</f>
        <v>911086</v>
      </c>
      <c r="F144" s="148">
        <v>911321</v>
      </c>
      <c r="G144" s="432">
        <f t="shared" si="11"/>
        <v>235</v>
      </c>
      <c r="H144" s="99">
        <f>G144+'25'!H144</f>
        <v>6268</v>
      </c>
      <c r="I144" s="140"/>
      <c r="J144" s="328">
        <f>H144/DAY(B2)</f>
        <v>241.07692307692307</v>
      </c>
    </row>
    <row r="145" spans="1:10" ht="25.5">
      <c r="A145" s="901" t="s">
        <v>190</v>
      </c>
      <c r="B145" s="901"/>
      <c r="C145" s="901"/>
      <c r="D145" s="152" t="s">
        <v>183</v>
      </c>
      <c r="E145" s="95">
        <f>'25'!F145</f>
        <v>5666.07</v>
      </c>
      <c r="F145" s="148">
        <v>5666.55</v>
      </c>
      <c r="G145" s="432">
        <f t="shared" si="11"/>
        <v>0.48000000000047294</v>
      </c>
      <c r="H145" s="99">
        <f>G145+'25'!H145</f>
        <v>2.5500000000001819</v>
      </c>
      <c r="I145" s="140"/>
      <c r="J145" s="328">
        <f>H145/DAY(B2)</f>
        <v>9.807692307693007E-2</v>
      </c>
    </row>
    <row r="146" spans="1:10" ht="25.5">
      <c r="A146" s="902" t="s">
        <v>191</v>
      </c>
      <c r="B146" s="903"/>
      <c r="C146" s="904"/>
      <c r="D146" s="152" t="s">
        <v>183</v>
      </c>
      <c r="E146" s="95">
        <f>'25'!F146</f>
        <v>779107</v>
      </c>
      <c r="F146" s="148">
        <v>779151</v>
      </c>
      <c r="G146" s="432">
        <f t="shared" si="11"/>
        <v>44</v>
      </c>
      <c r="H146" s="99">
        <f>G146+'25'!H146</f>
        <v>1283</v>
      </c>
      <c r="I146" s="140"/>
      <c r="J146" s="328">
        <f>H146/DAY(B2)</f>
        <v>49.346153846153847</v>
      </c>
    </row>
    <row r="147" spans="1:10" ht="25.5">
      <c r="A147" s="905" t="s">
        <v>192</v>
      </c>
      <c r="B147" s="905"/>
      <c r="C147" s="905"/>
      <c r="D147" s="152" t="s">
        <v>183</v>
      </c>
      <c r="E147" s="95">
        <f>'25'!F147</f>
        <v>685552.48</v>
      </c>
      <c r="F147" s="148">
        <f>685557+368</f>
        <v>685925</v>
      </c>
      <c r="G147" s="432">
        <f t="shared" si="11"/>
        <v>372.52000000001863</v>
      </c>
      <c r="H147" s="99">
        <f>G147+'25'!H147</f>
        <v>10077</v>
      </c>
      <c r="I147" s="140"/>
      <c r="J147" s="328">
        <f>H147/DAY(B2)</f>
        <v>387.57692307692309</v>
      </c>
    </row>
    <row r="148" spans="1:10" ht="25.5">
      <c r="A148" s="897" t="s">
        <v>193</v>
      </c>
      <c r="B148" s="898"/>
      <c r="C148" s="899"/>
      <c r="D148" s="123" t="s">
        <v>130</v>
      </c>
      <c r="E148" s="95">
        <f>'25'!F148</f>
        <v>737457.04</v>
      </c>
      <c r="F148" s="164">
        <v>737763.04</v>
      </c>
      <c r="G148" s="432">
        <f t="shared" si="11"/>
        <v>306</v>
      </c>
      <c r="H148" s="99">
        <f>G148+'25'!H148</f>
        <v>8018.0400000000373</v>
      </c>
      <c r="I148" s="124"/>
      <c r="J148" s="328">
        <f>H148/DAY(B2)</f>
        <v>308.38615384615525</v>
      </c>
    </row>
    <row r="149" spans="1:10" ht="25.5">
      <c r="A149" s="897" t="s">
        <v>336</v>
      </c>
      <c r="B149" s="898"/>
      <c r="C149" s="899"/>
      <c r="D149" s="227" t="s">
        <v>130</v>
      </c>
      <c r="E149" s="95">
        <f>'25'!F149</f>
        <v>114339.8</v>
      </c>
      <c r="F149" s="416">
        <v>114805.65</v>
      </c>
      <c r="G149" s="432">
        <f t="shared" si="11"/>
        <v>465.84999999999127</v>
      </c>
      <c r="H149" s="99">
        <f>G149+'25'!H149</f>
        <v>13910.649999999994</v>
      </c>
      <c r="I149" s="119"/>
      <c r="J149" s="328">
        <f>H149/DAY(B2)</f>
        <v>535.02499999999975</v>
      </c>
    </row>
    <row r="150" spans="1:10" ht="25.5">
      <c r="A150" s="897" t="s">
        <v>337</v>
      </c>
      <c r="B150" s="898"/>
      <c r="C150" s="899"/>
      <c r="D150" s="117" t="s">
        <v>130</v>
      </c>
      <c r="E150" s="95">
        <f>'25'!F150</f>
        <v>42655.1</v>
      </c>
      <c r="F150" s="233">
        <v>42866.9</v>
      </c>
      <c r="G150" s="432">
        <f t="shared" si="11"/>
        <v>211.80000000000291</v>
      </c>
      <c r="H150" s="99">
        <f>G150+'25'!H150</f>
        <v>5650.9000000000015</v>
      </c>
      <c r="I150" s="119"/>
      <c r="J150" s="328">
        <f>H150/DAY(B2)</f>
        <v>217.34230769230774</v>
      </c>
    </row>
    <row r="151" spans="1:10" ht="25.5">
      <c r="A151" s="897" t="s">
        <v>338</v>
      </c>
      <c r="B151" s="898"/>
      <c r="C151" s="899"/>
      <c r="D151" s="117" t="s">
        <v>130</v>
      </c>
      <c r="E151" s="95">
        <f>'25'!F151</f>
        <v>125221</v>
      </c>
      <c r="F151" s="233">
        <v>125511</v>
      </c>
      <c r="G151" s="432">
        <f t="shared" si="11"/>
        <v>290</v>
      </c>
      <c r="H151" s="99">
        <f>G151+'25'!H151</f>
        <v>7374</v>
      </c>
      <c r="I151" s="119"/>
      <c r="J151" s="328">
        <f>H151/DAY(B2)</f>
        <v>283.61538461538464</v>
      </c>
    </row>
    <row r="152" spans="1:10" ht="25.5">
      <c r="A152" s="897" t="s">
        <v>339</v>
      </c>
      <c r="B152" s="898"/>
      <c r="C152" s="899"/>
      <c r="D152" s="117" t="s">
        <v>130</v>
      </c>
      <c r="E152" s="95">
        <f>'25'!F152</f>
        <v>18653.919999999998</v>
      </c>
      <c r="F152" s="233">
        <v>18783.3</v>
      </c>
      <c r="G152" s="432">
        <f t="shared" si="11"/>
        <v>129.38000000000102</v>
      </c>
      <c r="H152" s="99">
        <f>G152+'25'!H152</f>
        <v>7627.2999999999993</v>
      </c>
      <c r="I152" s="119"/>
      <c r="J152" s="328">
        <f>H152/DAY(B2)</f>
        <v>293.35769230769228</v>
      </c>
    </row>
    <row r="153" spans="1:10" ht="25.5">
      <c r="A153" s="934" t="s">
        <v>196</v>
      </c>
      <c r="B153" s="935"/>
      <c r="C153" s="365"/>
      <c r="D153" s="358"/>
      <c r="E153" s="360"/>
      <c r="F153" s="361"/>
      <c r="G153" s="454">
        <f>SUM(G138:G152)</f>
        <v>2599.5470000000173</v>
      </c>
      <c r="H153" s="363"/>
      <c r="I153" s="119">
        <f>G153-(G38+G52)</f>
        <v>462.66700000001265</v>
      </c>
      <c r="J153" s="366"/>
    </row>
    <row r="154" spans="1:10" ht="27.75">
      <c r="A154" s="938" t="s">
        <v>344</v>
      </c>
      <c r="B154" s="938"/>
      <c r="C154" s="938"/>
      <c r="D154" s="938"/>
      <c r="E154" s="938"/>
      <c r="F154" s="938"/>
      <c r="G154" s="938"/>
      <c r="H154" s="938"/>
      <c r="I154" s="938"/>
      <c r="J154" s="938"/>
    </row>
    <row r="155" spans="1:10" ht="27.75">
      <c r="A155" s="905" t="s">
        <v>345</v>
      </c>
      <c r="B155" s="905"/>
      <c r="C155" s="905"/>
      <c r="D155" s="117" t="s">
        <v>130</v>
      </c>
      <c r="E155" s="95">
        <f>'25'!F155</f>
        <v>127473</v>
      </c>
      <c r="F155" s="614">
        <v>127996.4</v>
      </c>
      <c r="G155" s="432">
        <f t="shared" ref="G155:G158" si="12">F155-E155</f>
        <v>523.39999999999418</v>
      </c>
      <c r="H155" s="99">
        <f>G155+'25'!H155</f>
        <v>16021.399999999994</v>
      </c>
      <c r="I155" s="364"/>
      <c r="J155" s="328">
        <f>H155/DAY(B2)</f>
        <v>616.20769230769213</v>
      </c>
    </row>
    <row r="156" spans="1:10" ht="25.5">
      <c r="A156" s="905" t="s">
        <v>347</v>
      </c>
      <c r="B156" s="905"/>
      <c r="C156" s="905"/>
      <c r="D156" s="117" t="s">
        <v>130</v>
      </c>
      <c r="E156" s="95">
        <f>'25'!F156</f>
        <v>11688.7</v>
      </c>
      <c r="F156" s="157">
        <v>11764.33</v>
      </c>
      <c r="G156" s="432">
        <f t="shared" si="12"/>
        <v>75.6299999999992</v>
      </c>
      <c r="H156" s="99">
        <f>G156+'25'!H156</f>
        <v>2079.33</v>
      </c>
      <c r="I156" s="165"/>
      <c r="J156" s="328">
        <f>H156/DAY(B2)</f>
        <v>79.974230769230772</v>
      </c>
    </row>
    <row r="157" spans="1:10" ht="25.5">
      <c r="A157" s="897" t="s">
        <v>360</v>
      </c>
      <c r="B157" s="898"/>
      <c r="C157" s="899"/>
      <c r="D157" s="117" t="s">
        <v>130</v>
      </c>
      <c r="E157" s="95">
        <f>'25'!F157</f>
        <v>22349.5</v>
      </c>
      <c r="F157" s="155">
        <v>22493</v>
      </c>
      <c r="G157" s="432">
        <f t="shared" si="12"/>
        <v>143.5</v>
      </c>
      <c r="H157" s="99">
        <f>G157+'25'!H157</f>
        <v>1102</v>
      </c>
      <c r="I157" s="165"/>
      <c r="J157" s="328">
        <f>H157/DAY(B2)</f>
        <v>42.384615384615387</v>
      </c>
    </row>
    <row r="158" spans="1:10" ht="25.5">
      <c r="A158" s="897" t="s">
        <v>361</v>
      </c>
      <c r="B158" s="898"/>
      <c r="C158" s="899"/>
      <c r="D158" s="117" t="s">
        <v>130</v>
      </c>
      <c r="E158" s="95">
        <f>'25'!F158</f>
        <v>192</v>
      </c>
      <c r="F158" s="155">
        <v>192.23</v>
      </c>
      <c r="G158" s="432">
        <f t="shared" si="12"/>
        <v>0.22999999999998977</v>
      </c>
      <c r="H158" s="99">
        <f>G158+'25'!H158</f>
        <v>2.2299999999999898</v>
      </c>
      <c r="I158" s="165"/>
      <c r="J158" s="328">
        <f>H158/DAY(B2)</f>
        <v>8.5769230769230376E-2</v>
      </c>
    </row>
    <row r="159" spans="1:10" ht="25.5">
      <c r="A159" s="956"/>
      <c r="B159" s="957"/>
      <c r="C159" s="958"/>
      <c r="D159" s="117"/>
      <c r="E159" s="95"/>
      <c r="F159" s="165"/>
      <c r="G159" s="432"/>
      <c r="H159" s="99"/>
      <c r="I159" s="165"/>
      <c r="J159" s="328"/>
    </row>
    <row r="160" spans="1:10" ht="27.75">
      <c r="A160" s="938" t="s">
        <v>326</v>
      </c>
      <c r="B160" s="938"/>
      <c r="C160" s="938"/>
      <c r="D160" s="938"/>
      <c r="E160" s="938"/>
      <c r="F160" s="938"/>
      <c r="G160" s="938"/>
      <c r="H160" s="938"/>
      <c r="I160" s="938"/>
      <c r="J160" s="938"/>
    </row>
    <row r="161" spans="1:10" ht="26.25">
      <c r="A161" s="242" t="s">
        <v>92</v>
      </c>
      <c r="B161" s="243"/>
      <c r="C161" s="243"/>
      <c r="D161" s="244" t="s">
        <v>180</v>
      </c>
      <c r="E161" s="95">
        <f>'25'!F161</f>
        <v>477561.16</v>
      </c>
      <c r="F161" s="235">
        <v>477563.96</v>
      </c>
      <c r="G161" s="455">
        <f t="shared" ref="G161:G165" si="13">F161-E161</f>
        <v>2.8000000000465661</v>
      </c>
      <c r="H161" s="99">
        <f>G161+'25'!H161</f>
        <v>897.96000000002095</v>
      </c>
      <c r="I161" s="236"/>
      <c r="J161" s="239">
        <f>H161/DAY(B2)</f>
        <v>34.536923076923884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'25'!F162</f>
        <v>93609.8</v>
      </c>
      <c r="F162" s="235">
        <v>93646.399999999994</v>
      </c>
      <c r="G162" s="455">
        <f t="shared" si="13"/>
        <v>36.599999999991269</v>
      </c>
      <c r="H162" s="99">
        <f>G162+'25'!H162</f>
        <v>919.39999999999418</v>
      </c>
      <c r="I162" s="236"/>
      <c r="J162" s="239">
        <f>H162/DAY(B2)</f>
        <v>35.361538461538238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'25'!F163</f>
        <v>1186.5999999999999</v>
      </c>
      <c r="F163" s="235">
        <v>1371.6</v>
      </c>
      <c r="G163" s="455">
        <f t="shared" si="13"/>
        <v>185</v>
      </c>
      <c r="H163" s="99">
        <f>G163+'25'!H163</f>
        <v>4231.6000000000004</v>
      </c>
      <c r="I163" s="236"/>
      <c r="J163" s="239">
        <f>H163/DAY(B2)</f>
        <v>162.75384615384615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'25'!F164</f>
        <v>5838.7</v>
      </c>
      <c r="F164" s="235">
        <v>5849.4</v>
      </c>
      <c r="G164" s="455">
        <f t="shared" si="13"/>
        <v>10.699999999999818</v>
      </c>
      <c r="H164" s="99">
        <f>G164+'25'!H164</f>
        <v>307.39999999999964</v>
      </c>
      <c r="I164" s="236"/>
      <c r="J164" s="239">
        <f>H164/DAY(B2)</f>
        <v>11.823076923076909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'25'!F165</f>
        <v>31288.39</v>
      </c>
      <c r="F165" s="235">
        <v>31297.75</v>
      </c>
      <c r="G165" s="455">
        <f t="shared" si="13"/>
        <v>9.3600000000005821</v>
      </c>
      <c r="H165" s="99">
        <f>G165+'25'!H165</f>
        <v>283.75</v>
      </c>
      <c r="I165" s="236"/>
      <c r="J165" s="239">
        <f>H165/DAY(B2)</f>
        <v>10.913461538461538</v>
      </c>
    </row>
    <row r="166" spans="1:10" ht="26.25">
      <c r="A166" s="937"/>
      <c r="B166" s="937"/>
      <c r="C166" s="246"/>
      <c r="D166" s="244" t="s">
        <v>180</v>
      </c>
      <c r="E166" s="95">
        <f>'25'!F166</f>
        <v>0</v>
      </c>
      <c r="F166" s="165"/>
      <c r="G166" s="452"/>
      <c r="H166" s="99">
        <f>G166+'25'!H166</f>
        <v>0</v>
      </c>
      <c r="I166" s="165"/>
      <c r="J166" s="239">
        <f>H166/DAY(B2)</f>
        <v>0</v>
      </c>
    </row>
    <row r="167" spans="1:10" ht="26.25">
      <c r="A167" s="937"/>
      <c r="B167" s="937"/>
      <c r="C167" s="246"/>
      <c r="D167" s="244" t="s">
        <v>180</v>
      </c>
      <c r="E167" s="95">
        <f>'25'!F167</f>
        <v>0</v>
      </c>
      <c r="F167" s="165"/>
      <c r="G167" s="452"/>
      <c r="H167" s="99">
        <f>G167+'25'!H167</f>
        <v>0</v>
      </c>
      <c r="I167" s="165"/>
      <c r="J167" s="239">
        <f>H167/DAY(B2)</f>
        <v>0</v>
      </c>
    </row>
    <row r="168" spans="1:10" ht="26.25">
      <c r="A168" s="937"/>
      <c r="B168" s="937"/>
      <c r="C168" s="246"/>
      <c r="D168" s="244" t="s">
        <v>180</v>
      </c>
      <c r="E168" s="95">
        <f>'25'!F168</f>
        <v>0</v>
      </c>
      <c r="F168" s="165"/>
      <c r="G168" s="452"/>
      <c r="H168" s="99">
        <f>G168+'25'!H168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7" t="s">
        <v>330</v>
      </c>
      <c r="B171" s="948"/>
      <c r="C171" s="948"/>
      <c r="D171" s="948"/>
      <c r="E171" s="948"/>
      <c r="F171" s="948"/>
      <c r="G171" s="948"/>
      <c r="H171" s="948"/>
      <c r="I171" s="948"/>
      <c r="J171" s="949"/>
    </row>
    <row r="172" spans="1:10" ht="25.5">
      <c r="A172" s="943"/>
      <c r="B172" s="944"/>
      <c r="C172" s="332"/>
      <c r="D172" s="228"/>
      <c r="E172" s="155"/>
      <c r="F172" s="155"/>
      <c r="G172" s="456"/>
      <c r="H172" s="156"/>
      <c r="I172" s="155"/>
      <c r="J172" s="178"/>
    </row>
    <row r="173" spans="1:10" ht="25.5">
      <c r="A173" s="895" t="s">
        <v>209</v>
      </c>
      <c r="B173" s="896"/>
      <c r="C173" s="333"/>
      <c r="D173" s="228" t="s">
        <v>142</v>
      </c>
      <c r="E173" s="95">
        <f>'25'!F173</f>
        <v>8229</v>
      </c>
      <c r="F173" s="155">
        <v>8229</v>
      </c>
      <c r="G173" s="456">
        <f>F173-E173</f>
        <v>0</v>
      </c>
      <c r="H173" s="99">
        <f>G173+'25'!H173</f>
        <v>12</v>
      </c>
      <c r="I173" s="155"/>
      <c r="J173" s="178">
        <f>H173/DAY(B2)</f>
        <v>0.46153846153846156</v>
      </c>
    </row>
    <row r="174" spans="1:10" ht="25.5">
      <c r="A174" s="895" t="s">
        <v>75</v>
      </c>
      <c r="B174" s="896"/>
      <c r="C174" s="333"/>
      <c r="D174" s="228" t="s">
        <v>142</v>
      </c>
      <c r="E174" s="95">
        <f>'25'!F174</f>
        <v>40708</v>
      </c>
      <c r="F174" s="157">
        <v>40721</v>
      </c>
      <c r="G174" s="456">
        <f t="shared" ref="G174:G175" si="14">F174-E174</f>
        <v>13</v>
      </c>
      <c r="H174" s="99">
        <f>G174+'25'!H174</f>
        <v>389</v>
      </c>
      <c r="I174" s="155"/>
      <c r="J174" s="178">
        <f>H174/DAY(B2)</f>
        <v>14.961538461538462</v>
      </c>
    </row>
    <row r="175" spans="1:10" ht="25.5">
      <c r="A175" s="895" t="s">
        <v>76</v>
      </c>
      <c r="B175" s="900"/>
      <c r="C175" s="896"/>
      <c r="D175" s="228" t="s">
        <v>142</v>
      </c>
      <c r="E175" s="95">
        <f>'25'!F175</f>
        <v>23598</v>
      </c>
      <c r="F175" s="155">
        <v>23609</v>
      </c>
      <c r="G175" s="456">
        <f t="shared" si="14"/>
        <v>11</v>
      </c>
      <c r="H175" s="99">
        <f>G175+'25'!H175</f>
        <v>351</v>
      </c>
      <c r="I175" s="155"/>
      <c r="J175" s="178">
        <f>H175/DAY(B2)</f>
        <v>13.5</v>
      </c>
    </row>
    <row r="176" spans="1:10" ht="25.5">
      <c r="A176" s="934" t="s">
        <v>196</v>
      </c>
      <c r="B176" s="935"/>
      <c r="C176" s="401"/>
      <c r="D176" s="228" t="s">
        <v>142</v>
      </c>
      <c r="E176" s="95"/>
      <c r="F176" s="155"/>
      <c r="G176" s="456">
        <f>SUM(G173:G175)</f>
        <v>24</v>
      </c>
      <c r="H176" s="99">
        <f>G176+'25'!H176</f>
        <v>752</v>
      </c>
      <c r="I176" s="155"/>
      <c r="J176" s="178">
        <f>H176/DAY(B2)</f>
        <v>28.923076923076923</v>
      </c>
    </row>
    <row r="177" spans="1:10" ht="25.5">
      <c r="A177" s="895" t="s">
        <v>77</v>
      </c>
      <c r="B177" s="896"/>
      <c r="C177" s="333"/>
      <c r="D177" s="228" t="s">
        <v>142</v>
      </c>
      <c r="E177" s="95"/>
      <c r="F177" s="155"/>
      <c r="G177" s="456"/>
      <c r="H177" s="99">
        <f>G177+'25'!H177</f>
        <v>0</v>
      </c>
      <c r="I177" s="155"/>
      <c r="J177" s="178">
        <f>H177/DAY(B2)</f>
        <v>0</v>
      </c>
    </row>
    <row r="178" spans="1:10" ht="25.5">
      <c r="A178" s="895" t="s">
        <v>210</v>
      </c>
      <c r="B178" s="896"/>
      <c r="C178" s="333"/>
      <c r="D178" s="228" t="s">
        <v>142</v>
      </c>
      <c r="E178" s="95">
        <f>'25'!F178</f>
        <v>94377</v>
      </c>
      <c r="F178" s="155">
        <v>94454</v>
      </c>
      <c r="G178" s="456">
        <f>F178-E178</f>
        <v>77</v>
      </c>
      <c r="H178" s="99">
        <f>G178+'25'!H178</f>
        <v>2632</v>
      </c>
      <c r="I178" s="155"/>
      <c r="J178" s="178">
        <f>H178/DAY(B2)</f>
        <v>101.23076923076923</v>
      </c>
    </row>
    <row r="179" spans="1:10" ht="25.5">
      <c r="A179" s="895" t="s">
        <v>211</v>
      </c>
      <c r="B179" s="896"/>
      <c r="C179" s="333"/>
      <c r="D179" s="228" t="s">
        <v>142</v>
      </c>
      <c r="E179" s="95">
        <f>'25'!F179</f>
        <v>36002</v>
      </c>
      <c r="F179" s="155">
        <v>36002</v>
      </c>
      <c r="G179" s="456">
        <f t="shared" ref="G179:G180" si="15">F179-E179</f>
        <v>0</v>
      </c>
      <c r="H179" s="99">
        <f>G179+'25'!H179</f>
        <v>218</v>
      </c>
      <c r="I179" s="155"/>
      <c r="J179" s="178">
        <f>H179/DAY(B2)</f>
        <v>8.384615384615385</v>
      </c>
    </row>
    <row r="180" spans="1:10" ht="25.5">
      <c r="A180" s="895" t="s">
        <v>212</v>
      </c>
      <c r="B180" s="896"/>
      <c r="C180" s="333"/>
      <c r="D180" s="228" t="s">
        <v>142</v>
      </c>
      <c r="E180" s="95">
        <f>'25'!F180</f>
        <v>6841</v>
      </c>
      <c r="F180" s="155">
        <v>6855</v>
      </c>
      <c r="G180" s="456">
        <f t="shared" si="15"/>
        <v>14</v>
      </c>
      <c r="H180" s="99">
        <f>G180+'25'!H180</f>
        <v>185</v>
      </c>
      <c r="I180" s="155"/>
      <c r="J180" s="178">
        <f>H180/DAY(B2)</f>
        <v>7.115384615384615</v>
      </c>
    </row>
    <row r="181" spans="1:10" ht="25.5">
      <c r="A181" s="941" t="s">
        <v>108</v>
      </c>
      <c r="B181" s="942"/>
      <c r="C181" s="401"/>
      <c r="D181" s="228" t="s">
        <v>142</v>
      </c>
      <c r="E181" s="95"/>
      <c r="F181" s="155"/>
      <c r="G181" s="456">
        <f>SUM(G178:G180)</f>
        <v>91</v>
      </c>
      <c r="H181" s="99">
        <f>G181+'25'!H181</f>
        <v>3035</v>
      </c>
      <c r="I181" s="155"/>
      <c r="J181" s="178">
        <f>H181/DAY(B2)</f>
        <v>116.73076923076923</v>
      </c>
    </row>
    <row r="182" spans="1:10" ht="25.5">
      <c r="A182" s="895" t="s">
        <v>213</v>
      </c>
      <c r="B182" s="896"/>
      <c r="C182" s="333"/>
      <c r="D182" s="228" t="s">
        <v>142</v>
      </c>
      <c r="E182" s="95"/>
      <c r="F182" s="155"/>
      <c r="G182" s="456"/>
      <c r="H182" s="99">
        <f>G182+'25'!H182</f>
        <v>0</v>
      </c>
      <c r="I182" s="155"/>
      <c r="J182" s="178">
        <f>H182/DAY(B2)</f>
        <v>0</v>
      </c>
    </row>
    <row r="183" spans="1:10" ht="25.5">
      <c r="A183" s="895" t="s">
        <v>214</v>
      </c>
      <c r="B183" s="896"/>
      <c r="C183" s="334"/>
      <c r="D183" s="228" t="s">
        <v>142</v>
      </c>
      <c r="E183" s="95">
        <f>'25'!F183</f>
        <v>17242</v>
      </c>
      <c r="F183" s="157">
        <v>17248</v>
      </c>
      <c r="G183" s="457">
        <f>F183-E183</f>
        <v>6</v>
      </c>
      <c r="H183" s="99">
        <f>G183+'25'!H183</f>
        <v>293</v>
      </c>
      <c r="I183" s="155"/>
      <c r="J183" s="178">
        <f>H183/DAY(B2)</f>
        <v>11.26923076923077</v>
      </c>
    </row>
    <row r="184" spans="1:10" ht="25.5">
      <c r="A184" s="895" t="s">
        <v>215</v>
      </c>
      <c r="B184" s="896"/>
      <c r="C184" s="334"/>
      <c r="D184" s="228" t="s">
        <v>142</v>
      </c>
      <c r="E184" s="95">
        <f>'25'!F184</f>
        <v>11659</v>
      </c>
      <c r="F184" s="157">
        <v>11663</v>
      </c>
      <c r="G184" s="457">
        <f t="shared" ref="G184:G185" si="16">F184-E184</f>
        <v>4</v>
      </c>
      <c r="H184" s="99">
        <f>G184+'25'!H184</f>
        <v>177</v>
      </c>
      <c r="I184" s="155"/>
      <c r="J184" s="178">
        <f>H184/DAY(B2)</f>
        <v>6.8076923076923075</v>
      </c>
    </row>
    <row r="185" spans="1:10" ht="25.5">
      <c r="A185" s="895" t="s">
        <v>216</v>
      </c>
      <c r="B185" s="896"/>
      <c r="C185" s="334"/>
      <c r="D185" s="228" t="s">
        <v>142</v>
      </c>
      <c r="E185" s="95">
        <f>'25'!F185</f>
        <v>0</v>
      </c>
      <c r="F185" s="157"/>
      <c r="G185" s="457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5.5">
      <c r="A186" s="934" t="s">
        <v>196</v>
      </c>
      <c r="B186" s="935"/>
      <c r="C186" s="400"/>
      <c r="D186" s="228" t="s">
        <v>142</v>
      </c>
      <c r="E186" s="95"/>
      <c r="F186" s="157"/>
      <c r="G186" s="457">
        <f>SUM(G183:G185)</f>
        <v>10</v>
      </c>
      <c r="H186" s="99">
        <f>G186+'25'!H186</f>
        <v>470</v>
      </c>
      <c r="I186" s="157"/>
      <c r="J186" s="178">
        <f>H186/DAY(B2)</f>
        <v>18.076923076923077</v>
      </c>
    </row>
    <row r="187" spans="1:10" ht="25.5">
      <c r="A187" s="945" t="s">
        <v>217</v>
      </c>
      <c r="B187" s="946"/>
      <c r="C187" s="333"/>
      <c r="D187" s="228" t="s">
        <v>142</v>
      </c>
      <c r="E187" s="95">
        <f>'25'!F187</f>
        <v>0</v>
      </c>
      <c r="F187" s="159"/>
      <c r="G187" s="458">
        <f>G62+G19</f>
        <v>134</v>
      </c>
      <c r="H187" s="99">
        <f>G187+'25'!H187</f>
        <v>4729</v>
      </c>
      <c r="I187" s="158"/>
      <c r="J187" s="179">
        <f>H187/DAY(B2)</f>
        <v>181.88461538461539</v>
      </c>
    </row>
    <row r="188" spans="1:10" ht="25.5">
      <c r="A188" s="945" t="s">
        <v>218</v>
      </c>
      <c r="B188" s="946"/>
      <c r="C188" s="333"/>
      <c r="D188" s="228" t="s">
        <v>142</v>
      </c>
      <c r="E188" s="95">
        <f>'25'!F188</f>
        <v>0</v>
      </c>
      <c r="F188" s="159"/>
      <c r="G188" s="458">
        <f>G65+G66+G67+G69+G70</f>
        <v>130</v>
      </c>
      <c r="H188" s="99">
        <f>G188+'25'!H188</f>
        <v>1728</v>
      </c>
      <c r="I188" s="158"/>
      <c r="J188" s="179">
        <f>H188/DAY(B2)</f>
        <v>66.461538461538467</v>
      </c>
    </row>
    <row r="189" spans="1:10" ht="25.5">
      <c r="A189" s="945" t="s">
        <v>219</v>
      </c>
      <c r="B189" s="946"/>
      <c r="C189" s="333"/>
      <c r="D189" s="228" t="s">
        <v>142</v>
      </c>
      <c r="E189" s="95">
        <f>'25'!F189</f>
        <v>0</v>
      </c>
      <c r="F189" s="157"/>
      <c r="G189" s="458">
        <f>G181</f>
        <v>91</v>
      </c>
      <c r="H189" s="99">
        <f>G189+'25'!H189</f>
        <v>773</v>
      </c>
      <c r="I189" s="158"/>
      <c r="J189" s="179">
        <f>H189/DAY(B2)</f>
        <v>29.73076923076923</v>
      </c>
    </row>
    <row r="190" spans="1:10" ht="25.5">
      <c r="A190" s="939"/>
      <c r="B190" s="940"/>
      <c r="C190" s="399"/>
      <c r="D190" s="396"/>
      <c r="E190" s="396" t="s">
        <v>207</v>
      </c>
      <c r="F190" s="396"/>
      <c r="G190" s="613"/>
      <c r="H190" s="397"/>
      <c r="I190" s="396"/>
      <c r="J190" s="398"/>
    </row>
    <row r="191" spans="1:10" ht="26.25">
      <c r="F191" s="160">
        <f>515993-516223</f>
        <v>-230</v>
      </c>
    </row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topLeftCell="A133" zoomScale="55" zoomScaleSheetLayoutView="55" workbookViewId="0">
      <selection activeCell="F148" sqref="F14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6" t="s">
        <v>115</v>
      </c>
      <c r="B1" s="877"/>
      <c r="C1" s="877"/>
      <c r="D1" s="877"/>
      <c r="E1" s="877"/>
      <c r="F1" s="877"/>
      <c r="G1" s="877"/>
      <c r="H1" s="877"/>
      <c r="I1" s="877"/>
      <c r="J1" s="878"/>
    </row>
    <row r="2" spans="1:15" s="57" customFormat="1" ht="23.25">
      <c r="A2" s="191" t="s">
        <v>349</v>
      </c>
      <c r="B2" s="262">
        <v>44739</v>
      </c>
      <c r="C2" s="34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885" t="s">
        <v>119</v>
      </c>
      <c r="F3" s="886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0.76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9" t="s">
        <v>128</v>
      </c>
      <c r="B6" s="880"/>
      <c r="C6" s="88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'26'!F7</f>
        <v>416538.4</v>
      </c>
      <c r="F7" s="95">
        <v>442657.9</v>
      </c>
      <c r="G7" s="112">
        <f>F7-E7</f>
        <v>26119.5</v>
      </c>
      <c r="H7" s="99">
        <f>G7+'26'!H7</f>
        <v>749830.9</v>
      </c>
      <c r="I7" s="113">
        <f>'1'!I7</f>
        <v>12000</v>
      </c>
      <c r="J7" s="175">
        <f>H7/DAY(B2)</f>
        <v>27771.514814814815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'26'!F8</f>
        <v>553652</v>
      </c>
      <c r="F8" s="114">
        <v>580191.69999999995</v>
      </c>
      <c r="G8" s="115">
        <f>F8-E8</f>
        <v>26539.699999999953</v>
      </c>
      <c r="H8" s="99">
        <f>G8+'26'!H8</f>
        <v>771532.80000000005</v>
      </c>
      <c r="I8" s="116"/>
      <c r="J8" s="175">
        <f>H8/DAY(B2)</f>
        <v>28575.288888888892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'26'!F9</f>
        <v>2865816.5</v>
      </c>
      <c r="F9" s="469">
        <v>2877869.1</v>
      </c>
      <c r="G9" s="112">
        <f>F9-E9</f>
        <v>12052.600000000093</v>
      </c>
      <c r="H9" s="99">
        <f>G9+'26'!H9</f>
        <v>427760.39999999991</v>
      </c>
      <c r="I9" s="124">
        <f>I7-J7</f>
        <v>-15771.514814814815</v>
      </c>
      <c r="J9" s="175">
        <f>H9/DAY(B2)</f>
        <v>15842.977777777774</v>
      </c>
      <c r="K9" s="79">
        <f>K8-100</f>
        <v>1715817</v>
      </c>
      <c r="L9" s="66"/>
      <c r="N9" s="87"/>
      <c r="O9" s="71">
        <f>G8-G7</f>
        <v>420.19999999995343</v>
      </c>
    </row>
    <row r="10" spans="1:15" ht="26.25">
      <c r="A10" s="194" t="s">
        <v>133</v>
      </c>
      <c r="B10" s="195"/>
      <c r="C10" s="195"/>
      <c r="D10" s="151" t="s">
        <v>130</v>
      </c>
      <c r="E10" s="95">
        <f>'26'!F10</f>
        <v>1183807.5</v>
      </c>
      <c r="F10" s="353">
        <v>1197214.5</v>
      </c>
      <c r="G10" s="112">
        <f t="shared" ref="G10:G12" si="0">F10-E10</f>
        <v>13407</v>
      </c>
      <c r="H10" s="99">
        <f>G10+'26'!H10</f>
        <v>286811.30000000005</v>
      </c>
      <c r="I10" s="282"/>
      <c r="J10" s="175">
        <f>H10/DAY(B2)</f>
        <v>10622.640740740742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'26'!F11</f>
        <v>37560</v>
      </c>
      <c r="F11" s="95">
        <v>37560</v>
      </c>
      <c r="G11" s="112">
        <f t="shared" si="0"/>
        <v>0</v>
      </c>
      <c r="H11" s="99">
        <f>G11+'26'!H11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'26'!F12</f>
        <v>40380</v>
      </c>
      <c r="F12" s="117">
        <v>40380</v>
      </c>
      <c r="G12" s="112">
        <f t="shared" si="0"/>
        <v>0</v>
      </c>
      <c r="H12" s="99">
        <f>G12+'26'!H12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25459.600000000093</v>
      </c>
      <c r="H13" s="99">
        <f>G13+'26'!H13</f>
        <v>714432.7</v>
      </c>
      <c r="I13" s="120">
        <f>G7-G13</f>
        <v>659.89999999990687</v>
      </c>
      <c r="J13" s="175">
        <f>H13/DAY(B2)</f>
        <v>26460.470370370367</v>
      </c>
      <c r="K13" s="79"/>
      <c r="L13" s="66"/>
      <c r="N13" s="87"/>
      <c r="O13" s="71"/>
    </row>
    <row r="14" spans="1:15" ht="26.25">
      <c r="A14" s="882" t="s">
        <v>137</v>
      </c>
      <c r="B14" s="883"/>
      <c r="C14" s="88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'26'!F15</f>
        <v>2064283.3</v>
      </c>
      <c r="F15" s="352">
        <v>2065131.26</v>
      </c>
      <c r="G15" s="112">
        <f>(F15-E15)</f>
        <v>847.95999999996275</v>
      </c>
      <c r="H15" s="99">
        <f>G15+'26'!H15</f>
        <v>28014.260000000009</v>
      </c>
      <c r="I15" s="113">
        <f>'1'!I15</f>
        <v>800</v>
      </c>
      <c r="J15" s="175">
        <f>H15/DAY(B2)</f>
        <v>1037.5651851851856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-237.56518518518556</v>
      </c>
      <c r="J16" s="176"/>
      <c r="K16" s="79"/>
      <c r="L16" s="66"/>
      <c r="N16" s="87"/>
      <c r="O16" s="71"/>
    </row>
    <row r="17" spans="1:15" ht="26.25">
      <c r="A17" s="882" t="s">
        <v>140</v>
      </c>
      <c r="B17" s="883"/>
      <c r="C17" s="88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3" t="s">
        <v>141</v>
      </c>
      <c r="B18" s="874"/>
      <c r="C18" s="875"/>
      <c r="D18" s="151" t="s">
        <v>142</v>
      </c>
      <c r="E18" s="95">
        <f>'26'!F18</f>
        <v>16</v>
      </c>
      <c r="F18" s="122">
        <v>16</v>
      </c>
      <c r="G18" s="119">
        <f>F18*10</f>
        <v>160</v>
      </c>
      <c r="H18" s="99">
        <f>G18+'26'!H18</f>
        <v>5670</v>
      </c>
      <c r="I18" s="113">
        <f>'1'!I18</f>
        <v>65</v>
      </c>
      <c r="J18" s="175">
        <f>H18/DAY(B2)</f>
        <v>210</v>
      </c>
      <c r="K18" s="79"/>
      <c r="L18" s="66"/>
      <c r="N18" s="87"/>
      <c r="O18" s="71"/>
    </row>
    <row r="19" spans="1:15" ht="25.5">
      <c r="A19" s="873" t="s">
        <v>69</v>
      </c>
      <c r="B19" s="874"/>
      <c r="C19" s="875"/>
      <c r="D19" s="151" t="s">
        <v>142</v>
      </c>
      <c r="E19" s="95">
        <f>'26'!F19</f>
        <v>160639</v>
      </c>
      <c r="F19" s="122">
        <v>160687</v>
      </c>
      <c r="G19" s="112">
        <f t="shared" ref="G19" si="1">F19-E19</f>
        <v>48</v>
      </c>
      <c r="H19" s="99">
        <f>G19+'26'!H19</f>
        <v>1346</v>
      </c>
      <c r="I19" s="335"/>
      <c r="J19" s="175">
        <f>H19/DAY(B2)</f>
        <v>49.851851851851855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208</v>
      </c>
      <c r="H20" s="99">
        <f>G20+'26'!H20</f>
        <v>7016</v>
      </c>
      <c r="I20" s="336">
        <f>I18-J20</f>
        <v>-194.85185185185185</v>
      </c>
      <c r="J20" s="175">
        <f>H20/DAY(B2)</f>
        <v>259.85185185185185</v>
      </c>
      <c r="K20" s="79"/>
      <c r="L20" s="66"/>
      <c r="N20" s="87"/>
      <c r="O20" s="71"/>
    </row>
    <row r="21" spans="1:15" ht="26.25">
      <c r="A21" s="882" t="s">
        <v>144</v>
      </c>
      <c r="B21" s="883"/>
      <c r="C21" s="88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2">
        <f t="shared" ref="G22:G24" si="2">F22-E22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'26'!F23</f>
        <v>1500</v>
      </c>
      <c r="F23" s="122">
        <v>1500</v>
      </c>
      <c r="G23" s="112">
        <f t="shared" si="2"/>
        <v>0</v>
      </c>
      <c r="H23" s="99">
        <f>G23+'26'!H23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'26'!F24</f>
        <v>4470</v>
      </c>
      <c r="F24" s="128">
        <v>4470</v>
      </c>
      <c r="G24" s="112">
        <f t="shared" si="2"/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7" t="s">
        <v>149</v>
      </c>
      <c r="B25" s="888"/>
      <c r="C25" s="88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26539.699999999953</v>
      </c>
      <c r="F27" s="136">
        <v>9</v>
      </c>
      <c r="G27" s="137">
        <f>E27*F27</f>
        <v>238857.29999999958</v>
      </c>
      <c r="H27" s="99">
        <f>G27+'26'!H27</f>
        <v>6943795.2000000002</v>
      </c>
      <c r="I27" s="138"/>
      <c r="J27" s="175">
        <f>H27/DAY(B2)</f>
        <v>257177.60000000001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847.95999999996275</v>
      </c>
      <c r="F28" s="136">
        <v>70</v>
      </c>
      <c r="G28" s="137">
        <f>E28*F28</f>
        <v>59357.199999997392</v>
      </c>
      <c r="H28" s="99">
        <f>G28+'26'!H28</f>
        <v>1871019.7999999998</v>
      </c>
      <c r="I28" s="140"/>
      <c r="J28" s="175">
        <f>H28/DAY(B2)</f>
        <v>69297.029629629629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151</v>
      </c>
      <c r="G30" s="137">
        <f>E30*F30</f>
        <v>7248</v>
      </c>
      <c r="H30" s="99">
        <f>G30+'26'!H30</f>
        <v>202231</v>
      </c>
      <c r="I30" s="140"/>
      <c r="J30" s="175">
        <f>H30/DAY(B2)</f>
        <v>7490.0370370370374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G31+'26'!H31</f>
        <v>453600</v>
      </c>
      <c r="I31" s="140"/>
      <c r="J31" s="175">
        <f>H31/DAY(B2)</f>
        <v>16800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318262.49999999697</v>
      </c>
      <c r="H32" s="99">
        <f>G32+'26'!H32</f>
        <v>9470646</v>
      </c>
      <c r="I32" s="144"/>
      <c r="J32" s="175">
        <f>H32/DAY(B2)</f>
        <v>350764.66666666669</v>
      </c>
      <c r="K32" s="63"/>
      <c r="L32" s="89"/>
      <c r="N32" s="87"/>
      <c r="O32" s="71"/>
    </row>
    <row r="33" spans="1:15" ht="25.5" customHeight="1">
      <c r="A33" s="890" t="s">
        <v>331</v>
      </c>
      <c r="B33" s="891"/>
      <c r="C33" s="89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'26'!F35</f>
        <v>238713.05</v>
      </c>
      <c r="F35" s="145">
        <v>238713.05</v>
      </c>
      <c r="G35" s="112">
        <f t="shared" ref="G35:G46" si="3">F35-E35</f>
        <v>0</v>
      </c>
      <c r="H35" s="99">
        <f>G35+'26'!H35</f>
        <v>-0.95000000001164153</v>
      </c>
      <c r="I35" s="95"/>
      <c r="J35" s="175">
        <f>H35/DAY(B2)</f>
        <v>-3.5185185185616356E-2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'26'!F36</f>
        <v>183452.49</v>
      </c>
      <c r="F36" s="145">
        <v>184111.13</v>
      </c>
      <c r="G36" s="112">
        <f t="shared" si="3"/>
        <v>658.64000000001397</v>
      </c>
      <c r="H36" s="99">
        <f>G36+'26'!H36</f>
        <v>23663.130000000005</v>
      </c>
      <c r="I36" s="95"/>
      <c r="J36" s="175">
        <f>H36/DAY(B2)</f>
        <v>876.41222222222234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'26'!F37</f>
        <v>280176.61</v>
      </c>
      <c r="F37" s="145">
        <v>281719.25</v>
      </c>
      <c r="G37" s="112">
        <f t="shared" si="3"/>
        <v>1542.640000000014</v>
      </c>
      <c r="H37" s="99">
        <f>G37+'26'!H37</f>
        <v>45940.25</v>
      </c>
      <c r="I37" s="95"/>
      <c r="J37" s="175">
        <f>H37/DAY(B2)</f>
        <v>1701.4907407407406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'26'!F38</f>
        <v>378078.43</v>
      </c>
      <c r="F38" s="108">
        <v>380139.35</v>
      </c>
      <c r="G38" s="112">
        <f t="shared" si="3"/>
        <v>2060.9199999999837</v>
      </c>
      <c r="H38" s="99">
        <f>G38+'26'!H38</f>
        <v>61847.349999999977</v>
      </c>
      <c r="I38" s="95"/>
      <c r="J38" s="175">
        <f>H38/DAY(B2)</f>
        <v>2290.6425925925919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'26'!F39</f>
        <v>511647.19</v>
      </c>
      <c r="F39" s="145">
        <v>514583.67</v>
      </c>
      <c r="G39" s="112">
        <f t="shared" si="3"/>
        <v>2936.4799999999814</v>
      </c>
      <c r="H39" s="99">
        <f>G39+'26'!H39</f>
        <v>79253.760000000009</v>
      </c>
      <c r="I39" s="95"/>
      <c r="J39" s="175">
        <f>H39/DAY(B2)</f>
        <v>2935.3244444444449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'26'!F40</f>
        <v>81908.5</v>
      </c>
      <c r="F40" s="145">
        <v>82258.11</v>
      </c>
      <c r="G40" s="112">
        <f t="shared" si="3"/>
        <v>349.61000000000058</v>
      </c>
      <c r="H40" s="99">
        <f>G40+'26'!H40</f>
        <v>8705.11</v>
      </c>
      <c r="I40" s="95"/>
      <c r="J40" s="175">
        <f>H40/DAY(B2)</f>
        <v>322.41148148148153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'26'!F41</f>
        <v>142818.41</v>
      </c>
      <c r="F41" s="145">
        <v>142818.41</v>
      </c>
      <c r="G41" s="112">
        <f t="shared" si="3"/>
        <v>0</v>
      </c>
      <c r="H41" s="99">
        <f>G41+'26'!H41</f>
        <v>73983.41</v>
      </c>
      <c r="I41" s="95"/>
      <c r="J41" s="175">
        <f>H41/DAY(B2)</f>
        <v>2740.1262962962965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'26'!F42</f>
        <v>672312.07</v>
      </c>
      <c r="F42" s="145">
        <v>675831.51</v>
      </c>
      <c r="G42" s="112">
        <f t="shared" si="3"/>
        <v>3519.4400000000605</v>
      </c>
      <c r="H42" s="99">
        <f>G42+'26'!H42</f>
        <v>112959.51000000001</v>
      </c>
      <c r="I42" s="95"/>
      <c r="J42" s="175">
        <f>H42/DAY(B2)</f>
        <v>4183.6855555555558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'26'!F43</f>
        <v>407028.03</v>
      </c>
      <c r="F43" s="145">
        <v>407028.03</v>
      </c>
      <c r="G43" s="112">
        <f t="shared" si="3"/>
        <v>0</v>
      </c>
      <c r="H43" s="99">
        <f>G43+'26'!H43</f>
        <v>3.0000000027939677E-2</v>
      </c>
      <c r="I43" s="95"/>
      <c r="J43" s="175">
        <f>H43/DAY(B2)</f>
        <v>1.111111112145914E-3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11067.730000000054</v>
      </c>
      <c r="H47" s="99">
        <f>G47+'26'!H47</f>
        <v>406351.6</v>
      </c>
      <c r="I47" s="95"/>
      <c r="J47" s="175">
        <f>H47/DAY(B2)</f>
        <v>15050.059259259258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'26'!F49</f>
        <v>353652.63</v>
      </c>
      <c r="F49" s="145">
        <v>357186.19</v>
      </c>
      <c r="G49" s="112">
        <f t="shared" ref="G49:G58" si="4">F49-E49</f>
        <v>3533.5599999999977</v>
      </c>
      <c r="H49" s="99">
        <f>G49+'26'!H49</f>
        <v>97039.19</v>
      </c>
      <c r="I49" s="95"/>
      <c r="J49" s="175">
        <f>H49/DAY(B2)</f>
        <v>3594.0440740740742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'26'!F50</f>
        <v>238570.11</v>
      </c>
      <c r="F50" s="145">
        <v>239547.23</v>
      </c>
      <c r="G50" s="112">
        <f t="shared" si="4"/>
        <v>977.12000000002445</v>
      </c>
      <c r="H50" s="99">
        <f>G50+'26'!H50</f>
        <v>29983.23000000001</v>
      </c>
      <c r="I50" s="95"/>
      <c r="J50" s="175">
        <f>H50/DAY(B2)</f>
        <v>1110.4900000000005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'26'!F51</f>
        <v>76</v>
      </c>
      <c r="F51" s="145">
        <v>76</v>
      </c>
      <c r="G51" s="112">
        <f t="shared" si="4"/>
        <v>0</v>
      </c>
      <c r="H51" s="99">
        <f>G51+'26'!H51</f>
        <v>0.31999999999999318</v>
      </c>
      <c r="I51" s="95"/>
      <c r="J51" s="175">
        <f>H51/DAY(B2)</f>
        <v>1.18518518518516E-2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'26'!F52</f>
        <v>10</v>
      </c>
      <c r="F52" s="145">
        <v>10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'26'!F54</f>
        <v>75611.210000000006</v>
      </c>
      <c r="F54" s="145">
        <v>75960.09</v>
      </c>
      <c r="G54" s="112">
        <f t="shared" si="4"/>
        <v>348.8799999999901</v>
      </c>
      <c r="H54" s="99">
        <f>G54+'26'!H54</f>
        <v>11404.089999999997</v>
      </c>
      <c r="I54" s="95"/>
      <c r="J54" s="175">
        <f>H54/DAY(B2)</f>
        <v>422.3737037037036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'26'!F55</f>
        <v>270106.71000000002</v>
      </c>
      <c r="F55" s="145">
        <v>273922</v>
      </c>
      <c r="G55" s="112">
        <f t="shared" si="4"/>
        <v>3815.289999999979</v>
      </c>
      <c r="H55" s="99">
        <f>G55+'26'!H55</f>
        <v>48449</v>
      </c>
      <c r="I55" s="95"/>
      <c r="J55" s="175">
        <f>H55/DAY(B2)</f>
        <v>1794.4074074074074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'26'!F56</f>
        <v>111243.13</v>
      </c>
      <c r="F56" s="145">
        <v>111243.13</v>
      </c>
      <c r="G56" s="112">
        <f t="shared" si="4"/>
        <v>0</v>
      </c>
      <c r="H56" s="99">
        <f>G56+'26'!H56</f>
        <v>3997.1300000000047</v>
      </c>
      <c r="I56" s="95"/>
      <c r="J56" s="175">
        <f>H56/DAY(B2)</f>
        <v>148.04185185185202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'26'!F57</f>
        <v>119597.13</v>
      </c>
      <c r="F57" s="423">
        <v>122725.4</v>
      </c>
      <c r="G57" s="112">
        <f t="shared" si="4"/>
        <v>3128.2699999999895</v>
      </c>
      <c r="H57" s="99">
        <f>G57+'26'!H57</f>
        <v>85122.4</v>
      </c>
      <c r="I57" s="95"/>
      <c r="J57" s="175">
        <f>H57/DAY(B2)</f>
        <v>3152.6814814814811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'26'!F58</f>
        <v>39150.35</v>
      </c>
      <c r="F58" s="145">
        <v>39438.83</v>
      </c>
      <c r="G58" s="112">
        <f t="shared" si="4"/>
        <v>288.4800000000032</v>
      </c>
      <c r="H58" s="99">
        <f>G58+'26'!H58</f>
        <v>6549.8300000000017</v>
      </c>
      <c r="I58" s="95"/>
      <c r="J58" s="175">
        <f>H58/DAY(B2)</f>
        <v>242.58629629629635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12091.599999999984</v>
      </c>
      <c r="H59" s="99">
        <f>G59+'26'!H59</f>
        <v>282545.19</v>
      </c>
      <c r="I59" s="95">
        <f>G7-G60</f>
        <v>2960.1699999999619</v>
      </c>
      <c r="J59" s="175">
        <f>H59/DAY(B2)</f>
        <v>10464.636666666667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23159.330000000038</v>
      </c>
      <c r="H60" s="99">
        <f>G60+'26'!H60</f>
        <v>688896.79</v>
      </c>
      <c r="I60" s="95">
        <f>G13-G60</f>
        <v>2300.270000000055</v>
      </c>
      <c r="J60" s="175">
        <f>H60/DAY(B2)</f>
        <v>25514.695925925927</v>
      </c>
      <c r="K60" s="79"/>
      <c r="L60" s="66"/>
      <c r="N60" s="87"/>
      <c r="O60" s="71"/>
    </row>
    <row r="61" spans="1:15" s="68" customFormat="1" ht="26.25">
      <c r="A61" s="892" t="s">
        <v>332</v>
      </c>
      <c r="B61" s="893"/>
      <c r="C61" s="89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3" t="s">
        <v>198</v>
      </c>
      <c r="B62" s="874"/>
      <c r="C62" s="875"/>
      <c r="D62" s="151" t="s">
        <v>142</v>
      </c>
      <c r="E62" s="95">
        <f>'26'!F62</f>
        <v>292331</v>
      </c>
      <c r="F62" s="122">
        <v>292418</v>
      </c>
      <c r="G62" s="112">
        <f t="shared" ref="G62:G63" si="5">F62-E62</f>
        <v>87</v>
      </c>
      <c r="H62" s="99">
        <f>G62+'26'!H62</f>
        <v>3518</v>
      </c>
      <c r="I62" s="118"/>
      <c r="J62" s="175">
        <f>H62/DAY(B2)</f>
        <v>130.2962962962963</v>
      </c>
      <c r="K62" s="80"/>
      <c r="L62" s="66"/>
      <c r="N62" s="87"/>
      <c r="O62" s="71"/>
    </row>
    <row r="63" spans="1:15" ht="25.5">
      <c r="A63" s="873" t="s">
        <v>199</v>
      </c>
      <c r="B63" s="874"/>
      <c r="C63" s="875"/>
      <c r="D63" s="151" t="s">
        <v>142</v>
      </c>
      <c r="E63" s="95">
        <f>'26'!F63</f>
        <v>234552</v>
      </c>
      <c r="F63" s="122">
        <v>234683</v>
      </c>
      <c r="G63" s="112">
        <f t="shared" si="5"/>
        <v>131</v>
      </c>
      <c r="H63" s="99">
        <f>G63+'26'!H63</f>
        <v>3521</v>
      </c>
      <c r="I63" s="118"/>
      <c r="J63" s="175">
        <f>H63/DAY(B2)</f>
        <v>130.40740740740742</v>
      </c>
      <c r="K63" s="69"/>
      <c r="L63" s="66"/>
      <c r="N63" s="87"/>
      <c r="O63" s="71"/>
    </row>
    <row r="64" spans="1:15" ht="26.25">
      <c r="A64" s="870" t="s">
        <v>200</v>
      </c>
      <c r="B64" s="871"/>
      <c r="C64" s="872"/>
      <c r="D64" s="151"/>
      <c r="E64" s="95">
        <f>'26'!F64</f>
        <v>0</v>
      </c>
      <c r="F64" s="122"/>
      <c r="G64" s="112">
        <f>G62+G63</f>
        <v>218</v>
      </c>
      <c r="H64" s="99">
        <f>G64+'26'!H64</f>
        <v>7039</v>
      </c>
      <c r="I64" s="118"/>
      <c r="J64" s="175">
        <f>H64/DAY(B2)</f>
        <v>260.7037037037037</v>
      </c>
      <c r="K64" s="69"/>
      <c r="L64" s="66"/>
      <c r="N64" s="87"/>
      <c r="O64" s="71"/>
    </row>
    <row r="65" spans="1:15" ht="25.5">
      <c r="A65" s="873" t="s">
        <v>201</v>
      </c>
      <c r="B65" s="874"/>
      <c r="C65" s="875"/>
      <c r="D65" s="151" t="s">
        <v>142</v>
      </c>
      <c r="E65" s="95">
        <f>'26'!F65</f>
        <v>451018</v>
      </c>
      <c r="F65" s="122">
        <v>451095</v>
      </c>
      <c r="G65" s="112">
        <f t="shared" ref="G65:G70" si="6">F65-E65</f>
        <v>77</v>
      </c>
      <c r="H65" s="99">
        <f>G65+'26'!H65</f>
        <v>3068</v>
      </c>
      <c r="I65" s="118"/>
      <c r="J65" s="175">
        <f>H65/DAY(B2)</f>
        <v>113.62962962962963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'26'!F66</f>
        <v>110955</v>
      </c>
      <c r="F66" s="122">
        <v>110973</v>
      </c>
      <c r="G66" s="112">
        <f t="shared" si="6"/>
        <v>18</v>
      </c>
      <c r="H66" s="99">
        <f>G66+'26'!H66</f>
        <v>642</v>
      </c>
      <c r="I66" s="118"/>
      <c r="J66" s="175">
        <f>H66/DAY(B2)</f>
        <v>23.777777777777779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'26'!F67</f>
        <v>113680</v>
      </c>
      <c r="F67" s="122">
        <v>113680</v>
      </c>
      <c r="G67" s="112">
        <f t="shared" si="6"/>
        <v>0</v>
      </c>
      <c r="H67" s="99">
        <f>G67+'26'!H67</f>
        <v>402</v>
      </c>
      <c r="I67" s="118"/>
      <c r="J67" s="175">
        <f>H67/DAY(B2)</f>
        <v>14.888888888888889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'26'!F68</f>
        <v>163409</v>
      </c>
      <c r="F68" s="122">
        <v>163449</v>
      </c>
      <c r="G68" s="112">
        <f t="shared" si="6"/>
        <v>40</v>
      </c>
      <c r="H68" s="99">
        <f>G68+'26'!H68</f>
        <v>955</v>
      </c>
      <c r="I68" s="118"/>
      <c r="J68" s="175">
        <f>H68/DAY(B2)</f>
        <v>35.370370370370374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'26'!F69</f>
        <v>12108</v>
      </c>
      <c r="F69" s="122">
        <v>12113</v>
      </c>
      <c r="G69" s="112">
        <f t="shared" si="6"/>
        <v>5</v>
      </c>
      <c r="H69" s="99">
        <f>G69+'26'!H69</f>
        <v>244</v>
      </c>
      <c r="I69" s="118"/>
      <c r="J69" s="175">
        <f>H69/DAY(B2)</f>
        <v>9.0370370370370363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'26'!F70</f>
        <v>9484</v>
      </c>
      <c r="F70" s="122">
        <v>9494</v>
      </c>
      <c r="G70" s="112">
        <f t="shared" si="6"/>
        <v>10</v>
      </c>
      <c r="H70" s="99">
        <f>G70+'26'!H70</f>
        <v>227</v>
      </c>
      <c r="I70" s="118"/>
      <c r="J70" s="175">
        <f>H70/DAY(B2)</f>
        <v>8.4074074074074066</v>
      </c>
      <c r="K70" s="69"/>
      <c r="L70" s="66"/>
      <c r="N70" s="87"/>
      <c r="O70" s="71"/>
    </row>
    <row r="71" spans="1:15" ht="26.25">
      <c r="A71" s="870" t="s">
        <v>208</v>
      </c>
      <c r="B71" s="871"/>
      <c r="C71" s="872"/>
      <c r="D71" s="152"/>
      <c r="E71" s="152"/>
      <c r="F71" s="152"/>
      <c r="G71" s="153">
        <f>SUM(G65:G70)</f>
        <v>150</v>
      </c>
      <c r="H71" s="99">
        <f>G71+'26'!H71</f>
        <v>5538</v>
      </c>
      <c r="I71" s="154"/>
      <c r="J71" s="175">
        <f>H71/DAY(B2)</f>
        <v>205.11111111111111</v>
      </c>
      <c r="K71" s="69"/>
      <c r="L71" s="66"/>
      <c r="N71" s="87"/>
      <c r="O71" s="71"/>
    </row>
    <row r="72" spans="1:15" s="88" customFormat="1" ht="25.5">
      <c r="A72" s="916"/>
      <c r="B72" s="90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3" t="s">
        <v>220</v>
      </c>
      <c r="B74" s="874"/>
      <c r="C74" s="875"/>
      <c r="D74" s="151" t="s">
        <v>139</v>
      </c>
      <c r="E74" s="95">
        <f>'26'!F74</f>
        <v>946572.64</v>
      </c>
      <c r="F74" s="117">
        <v>946857.68</v>
      </c>
      <c r="G74" s="112">
        <f t="shared" ref="G74:G78" si="7">F74-E74</f>
        <v>285.04000000003725</v>
      </c>
      <c r="H74" s="99">
        <f>G74+'26'!H74</f>
        <v>8187.6800000000512</v>
      </c>
      <c r="I74" s="154"/>
      <c r="J74" s="175">
        <f>H74/DAY(B2)</f>
        <v>303.2474074074093</v>
      </c>
      <c r="K74" s="69"/>
      <c r="L74" s="66"/>
      <c r="N74" s="87"/>
      <c r="O74" s="71"/>
    </row>
    <row r="75" spans="1:15" ht="25.5">
      <c r="A75" s="873" t="s">
        <v>221</v>
      </c>
      <c r="B75" s="874"/>
      <c r="C75" s="875"/>
      <c r="D75" s="151" t="s">
        <v>139</v>
      </c>
      <c r="E75" s="95">
        <f>'26'!F75</f>
        <v>73586.8</v>
      </c>
      <c r="F75" s="123">
        <v>73586</v>
      </c>
      <c r="G75" s="112">
        <f t="shared" si="7"/>
        <v>-0.80000000000291038</v>
      </c>
      <c r="H75" s="99">
        <f>G75+'26'!H75</f>
        <v>-0.80000000000291038</v>
      </c>
      <c r="I75" s="154"/>
      <c r="J75" s="175">
        <f>H75/DAY(B2)</f>
        <v>-2.9629629629737423E-2</v>
      </c>
      <c r="K75" s="69"/>
      <c r="L75" s="66"/>
      <c r="N75" s="87"/>
      <c r="O75" s="71"/>
    </row>
    <row r="76" spans="1:15" ht="25.5">
      <c r="A76" s="917" t="s">
        <v>222</v>
      </c>
      <c r="B76" s="903"/>
      <c r="C76" s="904"/>
      <c r="D76" s="151" t="s">
        <v>139</v>
      </c>
      <c r="E76" s="95">
        <f>'26'!F76</f>
        <v>186517</v>
      </c>
      <c r="F76" s="123">
        <v>186602</v>
      </c>
      <c r="G76" s="112">
        <f t="shared" si="7"/>
        <v>85</v>
      </c>
      <c r="H76" s="99">
        <f>G76+'26'!H76</f>
        <v>2896</v>
      </c>
      <c r="I76" s="154"/>
      <c r="J76" s="175">
        <f>H76/DAY(B2)</f>
        <v>107.25925925925925</v>
      </c>
      <c r="K76" s="69"/>
      <c r="L76" s="66"/>
      <c r="N76" s="87"/>
      <c r="O76" s="71"/>
    </row>
    <row r="77" spans="1:15" ht="25.5">
      <c r="A77" s="917" t="s">
        <v>223</v>
      </c>
      <c r="B77" s="903"/>
      <c r="C77" s="904"/>
      <c r="D77" s="151" t="s">
        <v>139</v>
      </c>
      <c r="E77" s="95">
        <f>'26'!F77</f>
        <v>48544</v>
      </c>
      <c r="F77" s="123">
        <v>48586</v>
      </c>
      <c r="G77" s="112">
        <f t="shared" si="7"/>
        <v>42</v>
      </c>
      <c r="H77" s="99">
        <f>G77+'26'!H77</f>
        <v>1241</v>
      </c>
      <c r="I77" s="154"/>
      <c r="J77" s="175">
        <f>H77/DAY(B2)</f>
        <v>45.962962962962962</v>
      </c>
      <c r="K77" s="69"/>
      <c r="L77" s="66"/>
      <c r="N77" s="87"/>
      <c r="O77" s="71"/>
    </row>
    <row r="78" spans="1:15" ht="25.5">
      <c r="A78" s="917" t="s">
        <v>224</v>
      </c>
      <c r="B78" s="903"/>
      <c r="C78" s="904"/>
      <c r="D78" s="151" t="s">
        <v>139</v>
      </c>
      <c r="E78" s="95">
        <f>'26'!F78</f>
        <v>9564</v>
      </c>
      <c r="F78" s="123">
        <v>9563</v>
      </c>
      <c r="G78" s="112">
        <f t="shared" si="7"/>
        <v>-1</v>
      </c>
      <c r="H78" s="99">
        <f>G78+'26'!H78</f>
        <v>-1</v>
      </c>
      <c r="I78" s="118"/>
      <c r="J78" s="175">
        <f>H78/DAY(B2)</f>
        <v>-3.7037037037037035E-2</v>
      </c>
      <c r="K78" s="69"/>
      <c r="L78" s="66"/>
      <c r="N78" s="87"/>
      <c r="O78" s="71"/>
    </row>
    <row r="79" spans="1:15" s="57" customFormat="1" ht="25.5">
      <c r="A79" s="917" t="s">
        <v>225</v>
      </c>
      <c r="B79" s="903"/>
      <c r="C79" s="904"/>
      <c r="D79" s="151"/>
      <c r="E79" s="95">
        <f>'26'!F79</f>
        <v>0</v>
      </c>
      <c r="F79" s="123"/>
      <c r="G79" s="112">
        <f>G15-SUM(G74:G78)</f>
        <v>437.7199999999284</v>
      </c>
      <c r="H79" s="99">
        <f>G79+'26'!H79</f>
        <v>15691.379999999961</v>
      </c>
      <c r="I79" s="118"/>
      <c r="J79" s="175"/>
      <c r="K79" s="59"/>
      <c r="L79" s="58"/>
      <c r="N79" s="87"/>
      <c r="O79" s="71"/>
    </row>
    <row r="80" spans="1:15" s="57" customFormat="1" ht="26.25">
      <c r="A80" s="870" t="s">
        <v>329</v>
      </c>
      <c r="B80" s="871"/>
      <c r="C80" s="872"/>
      <c r="D80" s="151"/>
      <c r="E80" s="117"/>
      <c r="F80" s="117"/>
      <c r="G80" s="112">
        <f>SUM(G74:G79)</f>
        <v>847.95999999996275</v>
      </c>
      <c r="H80" s="99"/>
      <c r="I80" s="118"/>
      <c r="J80" s="175"/>
      <c r="K80" s="59"/>
      <c r="L80" s="58"/>
      <c r="N80" s="87"/>
      <c r="O80" s="71"/>
    </row>
    <row r="81" spans="1:15" ht="25.5">
      <c r="A81" s="909" t="s">
        <v>226</v>
      </c>
      <c r="B81" s="910"/>
      <c r="C81" s="91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'26'!F84</f>
        <v>42275</v>
      </c>
      <c r="F84" s="164">
        <v>42275</v>
      </c>
      <c r="G84" s="112">
        <f t="shared" si="8"/>
        <v>0</v>
      </c>
      <c r="H84" s="99">
        <f>G84+'26'!H84</f>
        <v>306</v>
      </c>
      <c r="I84" s="573"/>
      <c r="J84" s="175">
        <f>H84/DAY(B2)</f>
        <v>11.333333333333334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'26'!F85</f>
        <v>4811.3</v>
      </c>
      <c r="F85" s="164">
        <v>4826.28</v>
      </c>
      <c r="G85" s="112">
        <f t="shared" si="8"/>
        <v>14.979999999999563</v>
      </c>
      <c r="H85" s="99">
        <f>G85+'26'!H85</f>
        <v>483.27999999999975</v>
      </c>
      <c r="I85" s="573"/>
      <c r="J85" s="175">
        <f>H85/DAY(B2)</f>
        <v>17.899259259259249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'26'!F86</f>
        <v>44761.4</v>
      </c>
      <c r="F86" s="164">
        <v>44785</v>
      </c>
      <c r="G86" s="112">
        <f t="shared" si="8"/>
        <v>23.599999999998545</v>
      </c>
      <c r="H86" s="99">
        <f>G86+'26'!H86</f>
        <v>315</v>
      </c>
      <c r="I86" s="573"/>
      <c r="J86" s="175">
        <f>H86/DAY(B2)</f>
        <v>11.666666666666666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'26'!F87</f>
        <v>35358.050000000003</v>
      </c>
      <c r="F87" s="164">
        <v>35358.050000000003</v>
      </c>
      <c r="G87" s="112">
        <f t="shared" si="8"/>
        <v>0</v>
      </c>
      <c r="H87" s="99">
        <f>G87+'26'!H87</f>
        <v>29.05000000000291</v>
      </c>
      <c r="I87" s="573">
        <f>G84+G85+G86+G87</f>
        <v>38.579999999998108</v>
      </c>
      <c r="J87" s="175">
        <f>H87/DAY(B2)</f>
        <v>1.0759259259260336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'26'!F88</f>
        <v>24277.14</v>
      </c>
      <c r="F88" s="164">
        <v>24277.14</v>
      </c>
      <c r="G88" s="112">
        <f t="shared" si="8"/>
        <v>0</v>
      </c>
      <c r="H88" s="99">
        <f>G88+'26'!H88</f>
        <v>49.259999999998399</v>
      </c>
      <c r="I88" s="573"/>
      <c r="J88" s="175">
        <f>H88/DAY(B2)</f>
        <v>1.8244444444443852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'26'!F89</f>
        <v>27255.38</v>
      </c>
      <c r="F89" s="164">
        <v>27264.55</v>
      </c>
      <c r="G89" s="112">
        <f t="shared" si="8"/>
        <v>9.1699999999982538</v>
      </c>
      <c r="H89" s="99">
        <f>G89+'26'!H89</f>
        <v>271.13999999999942</v>
      </c>
      <c r="I89" s="573">
        <f>G88+G89</f>
        <v>9.1699999999982538</v>
      </c>
      <c r="J89" s="175">
        <f>H89/DAY(B2)</f>
        <v>10.0422222222222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'26'!F90</f>
        <v>72284.789999999994</v>
      </c>
      <c r="F90" s="164">
        <v>72295.679999999993</v>
      </c>
      <c r="G90" s="112">
        <f t="shared" si="8"/>
        <v>10.889999999999418</v>
      </c>
      <c r="H90" s="99">
        <v>23</v>
      </c>
      <c r="I90" s="573">
        <f>G90</f>
        <v>10.889999999999418</v>
      </c>
      <c r="J90" s="175">
        <f>H90/DAY(B2)</f>
        <v>0.85185185185185186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'26'!F91</f>
        <v>4122</v>
      </c>
      <c r="F91" s="122">
        <v>4122</v>
      </c>
      <c r="G91" s="112">
        <f t="shared" si="8"/>
        <v>0</v>
      </c>
      <c r="H91" s="99">
        <f>G91+'26'!H91</f>
        <v>0.3500000000003638</v>
      </c>
      <c r="I91" s="592"/>
      <c r="J91" s="175">
        <f>H91/DAY(B2)</f>
        <v>1.2962962962976436E-2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'26'!F92</f>
        <v>6491.76</v>
      </c>
      <c r="F92" s="122">
        <v>6501.5</v>
      </c>
      <c r="G92" s="112">
        <f t="shared" si="8"/>
        <v>9.7399999999997817</v>
      </c>
      <c r="H92" s="99">
        <f>G92+'26'!H92</f>
        <v>284.25</v>
      </c>
      <c r="I92" s="598">
        <f>G91+G92</f>
        <v>9.7399999999997817</v>
      </c>
      <c r="J92" s="175">
        <f>H92/DAY(B2)</f>
        <v>10.527777777777779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3" t="s">
        <v>240</v>
      </c>
      <c r="B94" s="874"/>
      <c r="C94" s="875"/>
      <c r="D94" s="151" t="s">
        <v>130</v>
      </c>
      <c r="E94" s="151"/>
      <c r="F94" s="151"/>
      <c r="G94" s="99">
        <f>G35+G43+G49+G57</f>
        <v>6661.8299999999872</v>
      </c>
      <c r="H94" s="99">
        <f>G94+'26'!H94</f>
        <v>182160.66999999995</v>
      </c>
      <c r="I94" s="118"/>
      <c r="J94" s="175">
        <f>H94/DAY(B2)</f>
        <v>6746.69148148148</v>
      </c>
      <c r="K94" s="69"/>
      <c r="L94" s="66"/>
      <c r="O94" s="71"/>
    </row>
    <row r="95" spans="1:15" ht="25.5">
      <c r="A95" s="873" t="s">
        <v>241</v>
      </c>
      <c r="B95" s="874"/>
      <c r="C95" s="875"/>
      <c r="D95" s="151" t="s">
        <v>23</v>
      </c>
      <c r="E95" s="146"/>
      <c r="F95" s="146"/>
      <c r="G95" s="166">
        <f>G94/G7</f>
        <v>0.25505197266410107</v>
      </c>
      <c r="H95" s="99">
        <f>G95+'26'!H95</f>
        <v>6.5582876152533487</v>
      </c>
      <c r="I95" s="167"/>
      <c r="J95" s="175">
        <f>H95/DAY(B2)</f>
        <v>0.24289954130567959</v>
      </c>
      <c r="K95" s="69"/>
      <c r="L95" s="66"/>
      <c r="O95" s="71"/>
    </row>
    <row r="96" spans="1:15" ht="25.5">
      <c r="A96" s="873" t="s">
        <v>242</v>
      </c>
      <c r="B96" s="874"/>
      <c r="C96" s="875"/>
      <c r="D96" s="151" t="s">
        <v>130</v>
      </c>
      <c r="E96" s="95"/>
      <c r="F96" s="95"/>
      <c r="G96" s="99">
        <f>G41+G42+G55+G56</f>
        <v>7334.7300000000396</v>
      </c>
      <c r="H96" s="99">
        <f>G96+'26'!H96</f>
        <v>239389.05000000002</v>
      </c>
      <c r="I96" s="118"/>
      <c r="J96" s="175">
        <f>H96/DAY(B2)</f>
        <v>8866.2611111111109</v>
      </c>
      <c r="K96" s="69"/>
      <c r="L96" s="66"/>
      <c r="O96" s="71"/>
    </row>
    <row r="97" spans="1:15" ht="25.5">
      <c r="A97" s="873" t="s">
        <v>243</v>
      </c>
      <c r="B97" s="874"/>
      <c r="C97" s="875"/>
      <c r="D97" s="151" t="s">
        <v>23</v>
      </c>
      <c r="E97" s="95"/>
      <c r="F97" s="95"/>
      <c r="G97" s="166">
        <f>G96/G7</f>
        <v>0.28081433411818907</v>
      </c>
      <c r="H97" s="99">
        <f>G97+'26'!H97</f>
        <v>8.5594721309230515</v>
      </c>
      <c r="I97" s="167"/>
      <c r="J97" s="175">
        <f>H97/DAY(B2)</f>
        <v>0.31701748633048338</v>
      </c>
      <c r="K97" s="69"/>
      <c r="L97" s="66"/>
      <c r="O97" s="71"/>
    </row>
    <row r="98" spans="1:15" ht="25.5">
      <c r="A98" s="873" t="s">
        <v>244</v>
      </c>
      <c r="B98" s="874"/>
      <c r="C98" s="875"/>
      <c r="D98" s="151" t="s">
        <v>130</v>
      </c>
      <c r="E98" s="95"/>
      <c r="F98" s="95"/>
      <c r="G98" s="99">
        <f>G39+G53</f>
        <v>2936.4799999999814</v>
      </c>
      <c r="H98" s="99">
        <f>G98+'26'!H98</f>
        <v>79253.760000000009</v>
      </c>
      <c r="I98" s="168"/>
      <c r="J98" s="175">
        <f>H98/DAY(B2)</f>
        <v>2935.3244444444449</v>
      </c>
      <c r="K98" s="69"/>
      <c r="L98" s="66"/>
      <c r="O98" s="71"/>
    </row>
    <row r="99" spans="1:15" ht="25.5">
      <c r="A99" s="873" t="s">
        <v>245</v>
      </c>
      <c r="B99" s="874"/>
      <c r="C99" s="875"/>
      <c r="D99" s="151" t="s">
        <v>23</v>
      </c>
      <c r="E99" s="95"/>
      <c r="F99" s="95"/>
      <c r="G99" s="166">
        <f>G98/G7</f>
        <v>0.11242481670782295</v>
      </c>
      <c r="H99" s="99">
        <f>G99+'26'!H99</f>
        <v>2.8490569026233645</v>
      </c>
      <c r="I99" s="168"/>
      <c r="J99" s="175">
        <f>H99/DAY(B2)</f>
        <v>0.10552062602308758</v>
      </c>
      <c r="O99" s="71"/>
    </row>
    <row r="100" spans="1:15" ht="26.25">
      <c r="A100" s="873" t="s">
        <v>246</v>
      </c>
      <c r="B100" s="874"/>
      <c r="C100" s="875"/>
      <c r="D100" s="151" t="s">
        <v>180</v>
      </c>
      <c r="E100" s="95"/>
      <c r="F100" s="95"/>
      <c r="G100" s="99">
        <f>G38+G52</f>
        <v>2060.9199999999837</v>
      </c>
      <c r="H100" s="99">
        <f>G100+'26'!H100</f>
        <v>61847.349999999977</v>
      </c>
      <c r="I100" s="118"/>
      <c r="J100" s="175">
        <f>H100/DAY(B2)</f>
        <v>2290.6425925925919</v>
      </c>
      <c r="K100" s="70"/>
      <c r="O100" s="71"/>
    </row>
    <row r="101" spans="1:15" ht="25.5">
      <c r="A101" s="873" t="s">
        <v>247</v>
      </c>
      <c r="B101" s="874"/>
      <c r="C101" s="875"/>
      <c r="D101" s="151" t="s">
        <v>23</v>
      </c>
      <c r="E101" s="95"/>
      <c r="F101" s="95"/>
      <c r="G101" s="166">
        <f>G100/G7</f>
        <v>7.8903501215566288E-2</v>
      </c>
      <c r="H101" s="99">
        <f>G101+'26'!H101</f>
        <v>2.2217832542899676</v>
      </c>
      <c r="I101" s="168"/>
      <c r="J101" s="175">
        <f>H101/DAY(B2)</f>
        <v>8.2288268677406212E-2</v>
      </c>
      <c r="O101" s="71"/>
    </row>
    <row r="102" spans="1:15" ht="25.5">
      <c r="A102" s="873" t="s">
        <v>248</v>
      </c>
      <c r="B102" s="874"/>
      <c r="C102" s="875"/>
      <c r="D102" s="151" t="s">
        <v>180</v>
      </c>
      <c r="E102" s="95"/>
      <c r="F102" s="95"/>
      <c r="G102" s="99">
        <f>G36+G50</f>
        <v>1635.7600000000384</v>
      </c>
      <c r="H102" s="99">
        <f>G102+'26'!H102</f>
        <v>53646.360000000015</v>
      </c>
      <c r="I102" s="168"/>
      <c r="J102" s="175">
        <f>H102/DAY(B2)</f>
        <v>1986.9022222222227</v>
      </c>
      <c r="O102" s="71"/>
    </row>
    <row r="103" spans="1:15" ht="25.5">
      <c r="A103" s="873" t="s">
        <v>249</v>
      </c>
      <c r="B103" s="874"/>
      <c r="C103" s="875"/>
      <c r="D103" s="151" t="s">
        <v>23</v>
      </c>
      <c r="E103" s="95"/>
      <c r="F103" s="95"/>
      <c r="G103" s="166">
        <f>G102/G7</f>
        <v>6.2626007389116889E-2</v>
      </c>
      <c r="H103" s="99">
        <f>G103+'26'!H103</f>
        <v>1.9194170575355716</v>
      </c>
      <c r="I103" s="118"/>
      <c r="J103" s="175">
        <f>H103/DAY(B2)</f>
        <v>7.108952064946561E-2</v>
      </c>
      <c r="O103" s="71"/>
    </row>
    <row r="104" spans="1:15" ht="25.5">
      <c r="A104" s="873" t="s">
        <v>250</v>
      </c>
      <c r="B104" s="874"/>
      <c r="C104" s="875"/>
      <c r="D104" s="151" t="s">
        <v>180</v>
      </c>
      <c r="E104" s="95"/>
      <c r="F104" s="95"/>
      <c r="G104" s="99">
        <f>G37+G51</f>
        <v>1542.640000000014</v>
      </c>
      <c r="H104" s="99">
        <f>G104+'26'!H104</f>
        <v>45940.57</v>
      </c>
      <c r="I104" s="118"/>
      <c r="J104" s="175">
        <f>H104/DAY(B2)</f>
        <v>1701.5025925925927</v>
      </c>
      <c r="O104" s="71"/>
    </row>
    <row r="105" spans="1:15" ht="26.25" thickBot="1">
      <c r="A105" s="913" t="s">
        <v>251</v>
      </c>
      <c r="B105" s="914"/>
      <c r="C105" s="915"/>
      <c r="D105" s="231" t="s">
        <v>23</v>
      </c>
      <c r="E105" s="185"/>
      <c r="F105" s="185"/>
      <c r="G105" s="186">
        <f>G104/G7</f>
        <v>5.9060854916825133E-2</v>
      </c>
      <c r="H105" s="99">
        <f>G105+'26'!H105</f>
        <v>1.6471519159196935</v>
      </c>
      <c r="I105" s="187"/>
      <c r="J105" s="188">
        <f>H105/DAY(B2)</f>
        <v>6.1005626515544205E-2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7" t="s">
        <v>324</v>
      </c>
      <c r="B108" s="927"/>
      <c r="C108" s="927"/>
      <c r="D108" s="927"/>
      <c r="E108" s="927"/>
      <c r="F108" s="927"/>
      <c r="G108" s="927"/>
      <c r="H108" s="927"/>
      <c r="I108" s="927"/>
      <c r="J108" s="927"/>
    </row>
    <row r="109" spans="1:15" ht="26.25">
      <c r="A109" s="912"/>
      <c r="B109" s="912"/>
    </row>
    <row r="110" spans="1:15" ht="26.25">
      <c r="A110" s="928" t="s">
        <v>165</v>
      </c>
      <c r="B110" s="929"/>
      <c r="C110" s="929"/>
      <c r="D110" s="929"/>
      <c r="E110" s="929"/>
      <c r="F110" s="929"/>
      <c r="G110" s="929"/>
      <c r="H110" s="929"/>
      <c r="I110" s="929"/>
      <c r="J110" s="930"/>
    </row>
    <row r="111" spans="1:15" ht="25.5">
      <c r="A111" s="931"/>
      <c r="B111" s="932"/>
      <c r="C111" s="933"/>
      <c r="D111" s="165"/>
      <c r="E111" s="165"/>
      <c r="F111" s="165"/>
      <c r="G111" s="165"/>
      <c r="H111" s="156"/>
      <c r="I111" s="165"/>
      <c r="J111" s="327"/>
    </row>
    <row r="112" spans="1:15" ht="25.5">
      <c r="A112" s="906" t="s">
        <v>252</v>
      </c>
      <c r="B112" s="907"/>
      <c r="C112" s="908"/>
      <c r="D112" s="146" t="s">
        <v>183</v>
      </c>
      <c r="E112" s="95">
        <f>'26'!F112</f>
        <v>4641.3900000000003</v>
      </c>
      <c r="F112" s="237">
        <v>4714.32</v>
      </c>
      <c r="G112" s="112">
        <f t="shared" ref="G112:G123" si="9">F112-E112</f>
        <v>72.929999999999382</v>
      </c>
      <c r="H112" s="99">
        <f>G112+'26'!H112</f>
        <v>2037.3199999999997</v>
      </c>
      <c r="I112" s="165"/>
      <c r="J112" s="328">
        <f>H112/DAY(B2)</f>
        <v>75.456296296296287</v>
      </c>
    </row>
    <row r="113" spans="1:18" ht="29.25" customHeight="1">
      <c r="A113" s="906" t="s">
        <v>253</v>
      </c>
      <c r="B113" s="907"/>
      <c r="C113" s="908"/>
      <c r="D113" s="146" t="s">
        <v>183</v>
      </c>
      <c r="E113" s="95">
        <f>'26'!F113</f>
        <v>10064.280000000001</v>
      </c>
      <c r="F113" s="237">
        <v>10210.799999999999</v>
      </c>
      <c r="G113" s="112">
        <f t="shared" si="9"/>
        <v>146.51999999999862</v>
      </c>
      <c r="H113" s="99">
        <f>G113+'26'!H113</f>
        <v>3819.7999999999993</v>
      </c>
      <c r="I113" s="165"/>
      <c r="J113" s="328">
        <f>H113/DAY(B2)</f>
        <v>141.47407407407405</v>
      </c>
    </row>
    <row r="114" spans="1:18" ht="29.25" customHeight="1">
      <c r="A114" s="906" t="s">
        <v>254</v>
      </c>
      <c r="B114" s="907"/>
      <c r="C114" s="908"/>
      <c r="D114" s="146" t="s">
        <v>183</v>
      </c>
      <c r="E114" s="95">
        <f>'26'!F114</f>
        <v>13297</v>
      </c>
      <c r="F114" s="237">
        <v>13522.21</v>
      </c>
      <c r="G114" s="112">
        <f t="shared" si="9"/>
        <v>225.20999999999913</v>
      </c>
      <c r="H114" s="99">
        <f>G114+'26'!H114</f>
        <v>5952.2099999999991</v>
      </c>
      <c r="I114" s="165"/>
      <c r="J114" s="328">
        <f>H114/DAY(B2)</f>
        <v>220.45222222222219</v>
      </c>
    </row>
    <row r="115" spans="1:18" ht="29.25" customHeight="1">
      <c r="A115" s="906" t="s">
        <v>255</v>
      </c>
      <c r="B115" s="907"/>
      <c r="C115" s="908"/>
      <c r="D115" s="146" t="s">
        <v>183</v>
      </c>
      <c r="E115" s="95">
        <f>'26'!F115</f>
        <v>8381.52</v>
      </c>
      <c r="F115" s="237">
        <v>8476.4</v>
      </c>
      <c r="G115" s="112">
        <f t="shared" si="9"/>
        <v>94.8799999999992</v>
      </c>
      <c r="H115" s="99">
        <f>G115+'26'!H115</f>
        <v>2345.92</v>
      </c>
      <c r="I115" s="165"/>
      <c r="J115" s="328">
        <f>H115/DAY(B2)</f>
        <v>86.885925925925932</v>
      </c>
    </row>
    <row r="116" spans="1:18" ht="29.25" customHeight="1">
      <c r="A116" s="924" t="s">
        <v>96</v>
      </c>
      <c r="B116" s="925"/>
      <c r="C116" s="926"/>
      <c r="D116" s="146" t="s">
        <v>183</v>
      </c>
      <c r="E116" s="95">
        <f>'26'!F116</f>
        <v>57384</v>
      </c>
      <c r="F116" s="237">
        <v>57754.38</v>
      </c>
      <c r="G116" s="112">
        <f t="shared" si="9"/>
        <v>370.37999999999738</v>
      </c>
      <c r="H116" s="99">
        <f>G116+'26'!H116</f>
        <v>10999.379999999997</v>
      </c>
      <c r="I116" s="165"/>
      <c r="J116" s="328">
        <f>H116/DAY(B2)</f>
        <v>407.38444444444434</v>
      </c>
      <c r="Q116" s="906" t="s">
        <v>311</v>
      </c>
      <c r="R116" s="908"/>
    </row>
    <row r="117" spans="1:18" ht="29.25" customHeight="1">
      <c r="A117" s="924" t="s">
        <v>184</v>
      </c>
      <c r="B117" s="925"/>
      <c r="C117" s="926"/>
      <c r="D117" s="146" t="s">
        <v>183</v>
      </c>
      <c r="E117" s="95">
        <f>'26'!F117</f>
        <v>31793</v>
      </c>
      <c r="F117" s="237">
        <v>32081.41</v>
      </c>
      <c r="G117" s="112">
        <f t="shared" si="9"/>
        <v>288.40999999999985</v>
      </c>
      <c r="H117" s="99">
        <f>G117+'26'!H117</f>
        <v>6813.41</v>
      </c>
      <c r="I117" s="165"/>
      <c r="J117" s="328">
        <f>H117/DAY(B2)</f>
        <v>252.34851851851852</v>
      </c>
      <c r="Q117" s="906" t="s">
        <v>312</v>
      </c>
      <c r="R117" s="908"/>
    </row>
    <row r="118" spans="1:18" ht="25.5">
      <c r="A118" s="901" t="s">
        <v>97</v>
      </c>
      <c r="B118" s="901"/>
      <c r="C118" s="901"/>
      <c r="D118" s="151" t="s">
        <v>183</v>
      </c>
      <c r="E118" s="95">
        <f>'26'!F118</f>
        <v>42317.29</v>
      </c>
      <c r="F118" s="237">
        <v>42971.6</v>
      </c>
      <c r="G118" s="112">
        <f t="shared" si="9"/>
        <v>654.30999999999767</v>
      </c>
      <c r="H118" s="99">
        <f>G118+'26'!H118</f>
        <v>16746.599999999999</v>
      </c>
      <c r="I118" s="165"/>
      <c r="J118" s="328">
        <f>H118/DAY(B2)</f>
        <v>620.24444444444441</v>
      </c>
      <c r="Q118" s="906" t="s">
        <v>311</v>
      </c>
      <c r="R118" s="908"/>
    </row>
    <row r="119" spans="1:18" ht="25.5">
      <c r="A119" s="901" t="s">
        <v>98</v>
      </c>
      <c r="B119" s="901"/>
      <c r="C119" s="901"/>
      <c r="D119" s="151" t="s">
        <v>183</v>
      </c>
      <c r="E119" s="95">
        <f>'26'!F119</f>
        <v>29378.54</v>
      </c>
      <c r="F119" s="237">
        <v>29613</v>
      </c>
      <c r="G119" s="112">
        <f t="shared" si="9"/>
        <v>234.45999999999913</v>
      </c>
      <c r="H119" s="99">
        <f>G119+'26'!H119</f>
        <v>10666</v>
      </c>
      <c r="I119" s="165"/>
      <c r="J119" s="328">
        <f>H119/DAY(B2)</f>
        <v>395.03703703703701</v>
      </c>
    </row>
    <row r="120" spans="1:18" ht="25.5">
      <c r="A120" s="901" t="s">
        <v>99</v>
      </c>
      <c r="B120" s="901"/>
      <c r="C120" s="901"/>
      <c r="D120" s="151" t="s">
        <v>183</v>
      </c>
      <c r="E120" s="95">
        <f>'26'!F120</f>
        <v>31404.7</v>
      </c>
      <c r="F120" s="237">
        <v>31840.48</v>
      </c>
      <c r="G120" s="112">
        <f t="shared" si="9"/>
        <v>435.77999999999884</v>
      </c>
      <c r="H120" s="99">
        <f>G120+'26'!H120</f>
        <v>11790.48</v>
      </c>
      <c r="I120" s="165"/>
      <c r="J120" s="328">
        <f>H120/DAY(B2)</f>
        <v>436.68444444444441</v>
      </c>
    </row>
    <row r="121" spans="1:18" ht="25.5">
      <c r="A121" s="901" t="s">
        <v>100</v>
      </c>
      <c r="B121" s="901"/>
      <c r="C121" s="901"/>
      <c r="D121" s="151" t="s">
        <v>183</v>
      </c>
      <c r="E121" s="95">
        <f>'26'!F121</f>
        <v>37848.230000000003</v>
      </c>
      <c r="F121" s="237">
        <v>38304.6</v>
      </c>
      <c r="G121" s="112">
        <f t="shared" si="9"/>
        <v>456.36999999999534</v>
      </c>
      <c r="H121" s="99">
        <f>G121+'26'!H121</f>
        <v>12460.599999999999</v>
      </c>
      <c r="I121" s="165"/>
      <c r="J121" s="328">
        <f>H121/DAY(B2)</f>
        <v>461.50370370370365</v>
      </c>
    </row>
    <row r="122" spans="1:18" ht="25.5">
      <c r="A122" s="901" t="s">
        <v>101</v>
      </c>
      <c r="B122" s="901"/>
      <c r="C122" s="901"/>
      <c r="D122" s="151" t="s">
        <v>183</v>
      </c>
      <c r="E122" s="95">
        <f>'26'!F122</f>
        <v>18824.38</v>
      </c>
      <c r="F122" s="237">
        <v>19114.12</v>
      </c>
      <c r="G122" s="112">
        <f t="shared" si="9"/>
        <v>289.73999999999796</v>
      </c>
      <c r="H122" s="99">
        <f>G122+'26'!H122</f>
        <v>7954.119999999999</v>
      </c>
      <c r="I122" s="165"/>
      <c r="J122" s="328">
        <f>H122/DAY(B2)</f>
        <v>294.59703703703701</v>
      </c>
    </row>
    <row r="123" spans="1:18" ht="25.5">
      <c r="A123" s="901" t="s">
        <v>102</v>
      </c>
      <c r="B123" s="901"/>
      <c r="C123" s="901"/>
      <c r="D123" s="151" t="s">
        <v>183</v>
      </c>
      <c r="E123" s="95">
        <f>'26'!F123</f>
        <v>19098.97</v>
      </c>
      <c r="F123" s="237">
        <v>19408.7</v>
      </c>
      <c r="G123" s="112">
        <f t="shared" si="9"/>
        <v>309.72999999999956</v>
      </c>
      <c r="H123" s="99">
        <f>G123+'26'!H123</f>
        <v>8899.7000000000007</v>
      </c>
      <c r="I123" s="165"/>
      <c r="J123" s="328">
        <f>H123/DAY(B2)</f>
        <v>329.61851851851856</v>
      </c>
    </row>
    <row r="124" spans="1:18" ht="29.25" customHeight="1">
      <c r="A124" s="931"/>
      <c r="B124" s="932"/>
      <c r="C124" s="933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5.5">
      <c r="A125" s="934" t="s">
        <v>196</v>
      </c>
      <c r="B125" s="935"/>
      <c r="C125" s="245"/>
      <c r="D125" s="307"/>
      <c r="E125" s="308"/>
      <c r="F125" s="308"/>
      <c r="G125" s="309">
        <f>SUM(G112:G124)</f>
        <v>3578.7199999999821</v>
      </c>
      <c r="H125" s="156"/>
      <c r="I125" s="327">
        <f>G125-(G39+G53)</f>
        <v>642.24000000000069</v>
      </c>
      <c r="J125" s="327"/>
    </row>
    <row r="126" spans="1:18" ht="25.5">
      <c r="A126" s="936" t="s">
        <v>317</v>
      </c>
      <c r="B126" s="936"/>
      <c r="C126" s="936"/>
      <c r="D126" s="936"/>
      <c r="E126" s="936"/>
      <c r="F126" s="936"/>
      <c r="G126" s="936"/>
      <c r="H126" s="936"/>
      <c r="I126" s="936"/>
      <c r="J126" s="936"/>
    </row>
    <row r="127" spans="1:18" ht="25.5">
      <c r="A127" s="937"/>
      <c r="B127" s="937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>
      <c r="A128" s="906" t="s">
        <v>318</v>
      </c>
      <c r="B128" s="907"/>
      <c r="C128" s="908"/>
      <c r="D128" s="151" t="s">
        <v>183</v>
      </c>
      <c r="E128" s="95">
        <f>'26'!F128</f>
        <v>109696.97</v>
      </c>
      <c r="F128" s="155">
        <v>110244</v>
      </c>
      <c r="G128" s="112">
        <f t="shared" ref="G128:G134" si="10">F128-E128</f>
        <v>547.02999999999884</v>
      </c>
      <c r="H128" s="99">
        <f>G128+'26'!H128</f>
        <v>14529</v>
      </c>
      <c r="I128" s="165"/>
      <c r="J128" s="328">
        <f>H128/DAY(B2)</f>
        <v>538.11111111111109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'26'!F129</f>
        <v>65969</v>
      </c>
      <c r="F129" s="155">
        <v>66132.87</v>
      </c>
      <c r="G129" s="112">
        <f t="shared" si="10"/>
        <v>163.86999999999534</v>
      </c>
      <c r="H129" s="99">
        <f>G129+'26'!H129</f>
        <v>5839.8699999999953</v>
      </c>
      <c r="I129" s="165"/>
      <c r="J129" s="328">
        <f>H129/DAY(B2)</f>
        <v>216.2914814814813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'26'!F130</f>
        <v>138682.12</v>
      </c>
      <c r="F130" s="155">
        <v>139394.23999999999</v>
      </c>
      <c r="G130" s="112">
        <f t="shared" si="10"/>
        <v>712.11999999999534</v>
      </c>
      <c r="H130" s="99">
        <f>G130+'26'!H130</f>
        <v>18265.239999999991</v>
      </c>
      <c r="I130" s="165"/>
      <c r="J130" s="328">
        <f>H130/DAY(B2)</f>
        <v>676.49037037036999</v>
      </c>
      <c r="N130" s="240"/>
      <c r="O130" s="241"/>
    </row>
    <row r="131" spans="1:15" ht="25.5">
      <c r="A131" s="906" t="s">
        <v>321</v>
      </c>
      <c r="B131" s="907"/>
      <c r="C131" s="908"/>
      <c r="D131" s="151" t="s">
        <v>183</v>
      </c>
      <c r="E131" s="95">
        <f>'26'!F131</f>
        <v>41749.199999999997</v>
      </c>
      <c r="F131" s="155">
        <v>41993.7</v>
      </c>
      <c r="G131" s="112">
        <f t="shared" si="10"/>
        <v>244.5</v>
      </c>
      <c r="H131" s="99">
        <f>G131+'26'!H131</f>
        <v>5714.6999999999971</v>
      </c>
      <c r="I131" s="165"/>
      <c r="J131" s="328">
        <f>H131/DAY(B2)</f>
        <v>211.65555555555545</v>
      </c>
      <c r="N131" s="240"/>
      <c r="O131" s="241"/>
    </row>
    <row r="132" spans="1:15" ht="25.5">
      <c r="A132" s="906" t="s">
        <v>322</v>
      </c>
      <c r="B132" s="907"/>
      <c r="C132" s="908"/>
      <c r="D132" s="151" t="s">
        <v>183</v>
      </c>
      <c r="E132" s="95">
        <f>'26'!F132</f>
        <v>114475.89</v>
      </c>
      <c r="F132" s="155">
        <v>114943.09</v>
      </c>
      <c r="G132" s="112">
        <f t="shared" si="10"/>
        <v>467.19999999999709</v>
      </c>
      <c r="H132" s="99">
        <f>G132+'26'!H132</f>
        <v>11431.089999999997</v>
      </c>
      <c r="I132" s="165"/>
      <c r="J132" s="328">
        <f>H132/DAY(B2)</f>
        <v>423.3737037037036</v>
      </c>
    </row>
    <row r="133" spans="1:15" ht="25.5">
      <c r="A133" s="906" t="s">
        <v>359</v>
      </c>
      <c r="B133" s="907"/>
      <c r="C133" s="908"/>
      <c r="D133" s="151" t="s">
        <v>183</v>
      </c>
      <c r="E133" s="95">
        <f>'26'!F133</f>
        <v>220668.99</v>
      </c>
      <c r="F133" s="155">
        <v>221271.25</v>
      </c>
      <c r="G133" s="112">
        <f t="shared" si="10"/>
        <v>602.26000000000931</v>
      </c>
      <c r="H133" s="99">
        <f>G133+'26'!H133</f>
        <v>20039.25</v>
      </c>
      <c r="I133" s="165"/>
      <c r="J133" s="328">
        <f>H133/DAY(B2)</f>
        <v>742.19444444444446</v>
      </c>
    </row>
    <row r="134" spans="1:15" ht="25.5">
      <c r="A134" s="906" t="s">
        <v>340</v>
      </c>
      <c r="B134" s="907"/>
      <c r="C134" s="908"/>
      <c r="D134" s="151" t="s">
        <v>183</v>
      </c>
      <c r="E134" s="95">
        <f>'26'!F134</f>
        <v>40956.47</v>
      </c>
      <c r="F134" s="155">
        <v>41166.76</v>
      </c>
      <c r="G134" s="112">
        <f t="shared" si="10"/>
        <v>210.29000000000087</v>
      </c>
      <c r="H134" s="99">
        <f>G134+'26'!H134</f>
        <v>6271.760000000002</v>
      </c>
      <c r="I134" s="165"/>
      <c r="J134" s="328">
        <f>H134/DAY(B2)</f>
        <v>232.28740740740747</v>
      </c>
    </row>
    <row r="135" spans="1:15" ht="25.5">
      <c r="A135" s="934" t="s">
        <v>196</v>
      </c>
      <c r="B135" s="935"/>
      <c r="C135" s="331"/>
      <c r="D135" s="151"/>
      <c r="E135" s="95"/>
      <c r="F135" s="165"/>
      <c r="G135" s="112">
        <f>SUM(G128:G134)</f>
        <v>2947.2699999999968</v>
      </c>
      <c r="H135" s="99">
        <f>G135+'23'!H135</f>
        <v>36225.599999999991</v>
      </c>
      <c r="I135" s="327">
        <f>G135-(G35+G49)</f>
        <v>-586.29000000000087</v>
      </c>
      <c r="J135" s="328"/>
    </row>
    <row r="136" spans="1:15" ht="27.75">
      <c r="A136" s="938" t="s">
        <v>325</v>
      </c>
      <c r="B136" s="938"/>
      <c r="C136" s="938"/>
      <c r="D136" s="938"/>
      <c r="E136" s="938"/>
      <c r="F136" s="938"/>
      <c r="G136" s="938"/>
      <c r="H136" s="938"/>
      <c r="I136" s="938"/>
      <c r="J136" s="938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1" t="s">
        <v>185</v>
      </c>
      <c r="B138" s="901"/>
      <c r="C138" s="901"/>
      <c r="D138" s="151" t="s">
        <v>183</v>
      </c>
      <c r="E138" s="95">
        <f>'26'!F138</f>
        <v>886769</v>
      </c>
      <c r="F138" s="147">
        <v>886862</v>
      </c>
      <c r="G138" s="112">
        <f t="shared" ref="G138:G152" si="11">F138-E138</f>
        <v>93</v>
      </c>
      <c r="H138" s="99">
        <f>G138+'26'!H138</f>
        <v>3584.2999999999993</v>
      </c>
      <c r="I138" s="118"/>
      <c r="J138" s="328">
        <f>H138/DAY(B2)</f>
        <v>132.75185185185182</v>
      </c>
    </row>
    <row r="139" spans="1:15" ht="25.5">
      <c r="A139" s="901" t="s">
        <v>186</v>
      </c>
      <c r="B139" s="901"/>
      <c r="C139" s="901"/>
      <c r="D139" s="151" t="s">
        <v>183</v>
      </c>
      <c r="E139" s="95">
        <f>'26'!F139</f>
        <v>903435</v>
      </c>
      <c r="F139" s="148">
        <v>903573</v>
      </c>
      <c r="G139" s="112">
        <f t="shared" si="11"/>
        <v>138</v>
      </c>
      <c r="H139" s="99">
        <f>G139+'26'!H139</f>
        <v>4118</v>
      </c>
      <c r="I139" s="118"/>
      <c r="J139" s="328">
        <f>H139/DAY(B2)</f>
        <v>152.5185185185185</v>
      </c>
    </row>
    <row r="140" spans="1:15" ht="25.5">
      <c r="A140" s="901" t="s">
        <v>187</v>
      </c>
      <c r="B140" s="901"/>
      <c r="C140" s="901"/>
      <c r="D140" s="151" t="s">
        <v>183</v>
      </c>
      <c r="E140" s="95">
        <f>'26'!F140</f>
        <v>1003.8</v>
      </c>
      <c r="F140" s="149">
        <v>1018.77</v>
      </c>
      <c r="G140" s="112">
        <f t="shared" si="11"/>
        <v>14.970000000000027</v>
      </c>
      <c r="H140" s="99">
        <f>G140+'26'!H140</f>
        <v>370.01</v>
      </c>
      <c r="I140" s="118"/>
      <c r="J140" s="328">
        <f>H140/DAY(B2)</f>
        <v>13.704074074074073</v>
      </c>
    </row>
    <row r="141" spans="1:15" ht="25.5">
      <c r="A141" s="905" t="s">
        <v>188</v>
      </c>
      <c r="B141" s="905"/>
      <c r="C141" s="905"/>
      <c r="D141" s="151" t="s">
        <v>183</v>
      </c>
      <c r="E141" s="95">
        <f>'26'!F141</f>
        <v>83291.710000000006</v>
      </c>
      <c r="F141" s="149">
        <v>83480.149999999994</v>
      </c>
      <c r="G141" s="112">
        <f t="shared" si="11"/>
        <v>188.43999999998778</v>
      </c>
      <c r="H141" s="99">
        <f>G141+'26'!H141</f>
        <v>5528.1499999999942</v>
      </c>
      <c r="I141" s="118"/>
      <c r="J141" s="328">
        <f>H141/DAY(B2)</f>
        <v>204.74629629629609</v>
      </c>
    </row>
    <row r="142" spans="1:15" ht="25.5">
      <c r="A142" s="905" t="s">
        <v>189</v>
      </c>
      <c r="B142" s="905"/>
      <c r="C142" s="905"/>
      <c r="D142" s="151" t="s">
        <v>183</v>
      </c>
      <c r="E142" s="95">
        <f>'26'!F142</f>
        <v>34076.699999999997</v>
      </c>
      <c r="F142" s="148">
        <v>34149.279999999999</v>
      </c>
      <c r="G142" s="112">
        <f t="shared" si="11"/>
        <v>72.580000000001746</v>
      </c>
      <c r="H142" s="99">
        <f>G142+'26'!H142</f>
        <v>3623.2799999999988</v>
      </c>
      <c r="I142" s="140"/>
      <c r="J142" s="328">
        <f>H142/DAY(B2)</f>
        <v>134.1955555555555</v>
      </c>
    </row>
    <row r="143" spans="1:15" ht="25.5">
      <c r="A143" s="901" t="s">
        <v>91</v>
      </c>
      <c r="B143" s="901"/>
      <c r="C143" s="901"/>
      <c r="D143" s="151" t="s">
        <v>183</v>
      </c>
      <c r="E143" s="95">
        <f>'26'!F143</f>
        <v>8044.2</v>
      </c>
      <c r="F143" s="149">
        <v>8072.18</v>
      </c>
      <c r="G143" s="112">
        <f t="shared" si="11"/>
        <v>27.980000000000473</v>
      </c>
      <c r="H143" s="99">
        <f>G143+'26'!H143</f>
        <v>766.18000000000029</v>
      </c>
      <c r="I143" s="140"/>
      <c r="J143" s="328">
        <f>H143/DAY(B2)</f>
        <v>28.377037037037049</v>
      </c>
    </row>
    <row r="144" spans="1:15" ht="25.5">
      <c r="A144" s="905" t="s">
        <v>90</v>
      </c>
      <c r="B144" s="905"/>
      <c r="C144" s="905"/>
      <c r="D144" s="151" t="s">
        <v>183</v>
      </c>
      <c r="E144" s="95">
        <f>'26'!F144</f>
        <v>911321</v>
      </c>
      <c r="F144" s="149">
        <v>911555</v>
      </c>
      <c r="G144" s="112">
        <f t="shared" si="11"/>
        <v>234</v>
      </c>
      <c r="H144" s="99">
        <f>G144+'26'!H144</f>
        <v>6502</v>
      </c>
      <c r="I144" s="140"/>
      <c r="J144" s="328">
        <f>H144/DAY(B2)</f>
        <v>240.81481481481481</v>
      </c>
    </row>
    <row r="145" spans="1:10" ht="25.5">
      <c r="A145" s="901" t="s">
        <v>190</v>
      </c>
      <c r="B145" s="901"/>
      <c r="C145" s="901"/>
      <c r="D145" s="152" t="s">
        <v>183</v>
      </c>
      <c r="E145" s="95">
        <f>'26'!F145</f>
        <v>5666.55</v>
      </c>
      <c r="F145" s="148">
        <v>5666.55</v>
      </c>
      <c r="G145" s="112">
        <f t="shared" si="11"/>
        <v>0</v>
      </c>
      <c r="H145" s="99">
        <f>G145+'26'!H145</f>
        <v>2.5500000000001819</v>
      </c>
      <c r="I145" s="140"/>
      <c r="J145" s="328">
        <f>H145/DAY(B2)</f>
        <v>9.4444444444451187E-2</v>
      </c>
    </row>
    <row r="146" spans="1:10" ht="25.5">
      <c r="A146" s="902" t="s">
        <v>191</v>
      </c>
      <c r="B146" s="903"/>
      <c r="C146" s="904"/>
      <c r="D146" s="152" t="s">
        <v>183</v>
      </c>
      <c r="E146" s="95">
        <f>'26'!F146</f>
        <v>779151</v>
      </c>
      <c r="F146" s="148">
        <v>779189</v>
      </c>
      <c r="G146" s="112">
        <f t="shared" si="11"/>
        <v>38</v>
      </c>
      <c r="H146" s="99">
        <f>G146+'26'!H146</f>
        <v>1321</v>
      </c>
      <c r="I146" s="140"/>
      <c r="J146" s="328">
        <f>H146/DAY(B2)</f>
        <v>48.925925925925924</v>
      </c>
    </row>
    <row r="147" spans="1:10" ht="25.5">
      <c r="A147" s="905" t="s">
        <v>192</v>
      </c>
      <c r="B147" s="905"/>
      <c r="C147" s="905"/>
      <c r="D147" s="152" t="s">
        <v>183</v>
      </c>
      <c r="E147" s="95">
        <f>'26'!F147</f>
        <v>685925</v>
      </c>
      <c r="F147" s="148">
        <v>686295</v>
      </c>
      <c r="G147" s="112">
        <f t="shared" si="11"/>
        <v>370</v>
      </c>
      <c r="H147" s="99">
        <f>G147+'26'!H147</f>
        <v>10447</v>
      </c>
      <c r="I147" s="140"/>
      <c r="J147" s="328">
        <f>H147/DAY(B2)</f>
        <v>386.92592592592592</v>
      </c>
    </row>
    <row r="148" spans="1:10" ht="25.5">
      <c r="A148" s="897" t="s">
        <v>193</v>
      </c>
      <c r="B148" s="898"/>
      <c r="C148" s="899"/>
      <c r="D148" s="123" t="s">
        <v>130</v>
      </c>
      <c r="E148" s="95">
        <f>'26'!F148</f>
        <v>737763.04</v>
      </c>
      <c r="F148" s="150">
        <v>737980.56</v>
      </c>
      <c r="G148" s="112">
        <f t="shared" si="11"/>
        <v>217.52000000001863</v>
      </c>
      <c r="H148" s="99">
        <f>G148+'26'!H148</f>
        <v>8235.5600000000559</v>
      </c>
      <c r="I148" s="124"/>
      <c r="J148" s="328">
        <f>H148/DAY(B2)</f>
        <v>305.02074074074284</v>
      </c>
    </row>
    <row r="149" spans="1:10" ht="25.5">
      <c r="A149" s="897" t="s">
        <v>336</v>
      </c>
      <c r="B149" s="898"/>
      <c r="C149" s="899"/>
      <c r="D149" s="227" t="s">
        <v>130</v>
      </c>
      <c r="E149" s="95">
        <f>'26'!F149</f>
        <v>114805.65</v>
      </c>
      <c r="F149" s="146">
        <v>115231.67999999999</v>
      </c>
      <c r="G149" s="112">
        <f t="shared" si="11"/>
        <v>426.02999999999884</v>
      </c>
      <c r="H149" s="99">
        <f>G149+'26'!H149</f>
        <v>14336.679999999993</v>
      </c>
      <c r="I149" s="119"/>
      <c r="J149" s="328">
        <f>H149/DAY(B2)</f>
        <v>530.98814814814784</v>
      </c>
    </row>
    <row r="150" spans="1:10" ht="25.5">
      <c r="A150" s="897" t="s">
        <v>337</v>
      </c>
      <c r="B150" s="898"/>
      <c r="C150" s="899"/>
      <c r="D150" s="117" t="s">
        <v>130</v>
      </c>
      <c r="E150" s="95">
        <f>'26'!F150</f>
        <v>42866.9</v>
      </c>
      <c r="F150" s="233">
        <v>43079.8</v>
      </c>
      <c r="G150" s="112">
        <f t="shared" si="11"/>
        <v>212.90000000000146</v>
      </c>
      <c r="H150" s="99">
        <f>G150+'26'!H150</f>
        <v>5863.8000000000029</v>
      </c>
      <c r="I150" s="119"/>
      <c r="J150" s="328">
        <f>H150/DAY(B2)</f>
        <v>217.17777777777789</v>
      </c>
    </row>
    <row r="151" spans="1:10" ht="25.5">
      <c r="A151" s="897" t="s">
        <v>338</v>
      </c>
      <c r="B151" s="898"/>
      <c r="C151" s="899"/>
      <c r="D151" s="117" t="s">
        <v>130</v>
      </c>
      <c r="E151" s="95">
        <f>'26'!F151</f>
        <v>125511</v>
      </c>
      <c r="F151" s="233">
        <v>125767</v>
      </c>
      <c r="G151" s="112">
        <f t="shared" si="11"/>
        <v>256</v>
      </c>
      <c r="H151" s="99">
        <f>G151+'26'!H151</f>
        <v>7630</v>
      </c>
      <c r="I151" s="119"/>
      <c r="J151" s="328">
        <f>H151/DAY(B2)</f>
        <v>282.59259259259261</v>
      </c>
    </row>
    <row r="152" spans="1:10" ht="25.5">
      <c r="A152" s="897" t="s">
        <v>339</v>
      </c>
      <c r="B152" s="898"/>
      <c r="C152" s="899"/>
      <c r="D152" s="117" t="s">
        <v>130</v>
      </c>
      <c r="E152" s="95">
        <f>'26'!F152</f>
        <v>18783.3</v>
      </c>
      <c r="F152" s="233">
        <v>18911.63</v>
      </c>
      <c r="G152" s="112">
        <f t="shared" si="11"/>
        <v>128.33000000000175</v>
      </c>
      <c r="H152" s="99">
        <f>G152+'26'!H152</f>
        <v>7755.630000000001</v>
      </c>
      <c r="I152" s="119"/>
      <c r="J152" s="328">
        <f>H152/DAY(B2)</f>
        <v>287.2455555555556</v>
      </c>
    </row>
    <row r="153" spans="1:10" ht="25.5">
      <c r="A153" s="934" t="s">
        <v>196</v>
      </c>
      <c r="B153" s="935"/>
      <c r="C153" s="365"/>
      <c r="D153" s="358"/>
      <c r="E153" s="360"/>
      <c r="F153" s="361"/>
      <c r="G153" s="362">
        <f>SUM(G138:G152)</f>
        <v>2417.7500000000109</v>
      </c>
      <c r="H153" s="363"/>
      <c r="I153" s="119">
        <f>G153-(G38+G52)</f>
        <v>356.83000000002721</v>
      </c>
      <c r="J153" s="366"/>
    </row>
    <row r="154" spans="1:10" ht="27.75">
      <c r="A154" s="938" t="s">
        <v>344</v>
      </c>
      <c r="B154" s="938"/>
      <c r="C154" s="938"/>
      <c r="D154" s="938"/>
      <c r="E154" s="938"/>
      <c r="F154" s="938"/>
      <c r="G154" s="938"/>
      <c r="H154" s="938"/>
      <c r="I154" s="938"/>
      <c r="J154" s="938"/>
    </row>
    <row r="155" spans="1:10" ht="27.75">
      <c r="A155" s="905" t="s">
        <v>345</v>
      </c>
      <c r="B155" s="905"/>
      <c r="C155" s="905"/>
      <c r="D155" s="117" t="s">
        <v>130</v>
      </c>
      <c r="E155" s="95">
        <f>'26'!F155</f>
        <v>127996.4</v>
      </c>
      <c r="F155" s="389">
        <v>128621</v>
      </c>
      <c r="G155" s="112">
        <f t="shared" ref="G155:G158" si="12">F155-E155</f>
        <v>624.60000000000582</v>
      </c>
      <c r="H155" s="99">
        <f>G155+'26'!H155</f>
        <v>16646</v>
      </c>
      <c r="I155" s="364"/>
      <c r="J155" s="328">
        <f>H155/DAY(B2)</f>
        <v>616.51851851851848</v>
      </c>
    </row>
    <row r="156" spans="1:10" ht="25.5">
      <c r="A156" s="905" t="s">
        <v>347</v>
      </c>
      <c r="B156" s="905"/>
      <c r="C156" s="905"/>
      <c r="D156" s="117" t="s">
        <v>130</v>
      </c>
      <c r="E156" s="95">
        <f>'26'!F156</f>
        <v>11764.33</v>
      </c>
      <c r="F156" s="155">
        <v>11844</v>
      </c>
      <c r="G156" s="112">
        <f t="shared" si="12"/>
        <v>79.670000000000073</v>
      </c>
      <c r="H156" s="99">
        <f>G156+'26'!H156</f>
        <v>2159</v>
      </c>
      <c r="I156" s="165"/>
      <c r="J156" s="328">
        <f>H156/DAY(B2)</f>
        <v>79.962962962962962</v>
      </c>
    </row>
    <row r="157" spans="1:10" ht="25.5">
      <c r="A157" s="897" t="s">
        <v>360</v>
      </c>
      <c r="B157" s="898"/>
      <c r="C157" s="899"/>
      <c r="D157" s="117" t="s">
        <v>130</v>
      </c>
      <c r="E157" s="95">
        <f>'26'!F157</f>
        <v>22493</v>
      </c>
      <c r="F157" s="155">
        <v>22643.51</v>
      </c>
      <c r="G157" s="112">
        <f t="shared" si="12"/>
        <v>150.5099999999984</v>
      </c>
      <c r="H157" s="99">
        <f>G157+'26'!H157</f>
        <v>1252.5099999999984</v>
      </c>
      <c r="I157" s="165"/>
      <c r="J157" s="328">
        <f>H157/DAY(B2)</f>
        <v>46.389259259259198</v>
      </c>
    </row>
    <row r="158" spans="1:10" ht="25.5">
      <c r="A158" s="897" t="s">
        <v>361</v>
      </c>
      <c r="B158" s="898"/>
      <c r="C158" s="899"/>
      <c r="D158" s="117" t="s">
        <v>130</v>
      </c>
      <c r="E158" s="95">
        <f>'26'!F158</f>
        <v>192.23</v>
      </c>
      <c r="F158" s="155">
        <v>193.3</v>
      </c>
      <c r="G158" s="112">
        <f t="shared" si="12"/>
        <v>1.0700000000000216</v>
      </c>
      <c r="H158" s="99">
        <f>G158+'26'!H158</f>
        <v>3.3000000000000114</v>
      </c>
      <c r="I158" s="165"/>
      <c r="J158" s="328">
        <f>H158/DAY(B2)</f>
        <v>0.12222222222222265</v>
      </c>
    </row>
    <row r="159" spans="1:10" ht="25.5">
      <c r="A159" s="956"/>
      <c r="B159" s="957"/>
      <c r="C159" s="958"/>
      <c r="D159" s="117"/>
      <c r="E159" s="95"/>
      <c r="F159" s="155"/>
      <c r="G159" s="112"/>
      <c r="H159" s="99"/>
      <c r="I159" s="165"/>
      <c r="J159" s="328"/>
    </row>
    <row r="160" spans="1:10" ht="27.75">
      <c r="A160" s="938" t="s">
        <v>326</v>
      </c>
      <c r="B160" s="938"/>
      <c r="C160" s="938"/>
      <c r="D160" s="938"/>
      <c r="E160" s="938"/>
      <c r="F160" s="938"/>
      <c r="G160" s="938"/>
      <c r="H160" s="938"/>
      <c r="I160" s="938"/>
      <c r="J160" s="938"/>
    </row>
    <row r="161" spans="1:10" ht="26.25">
      <c r="A161" s="242" t="s">
        <v>92</v>
      </c>
      <c r="B161" s="243"/>
      <c r="C161" s="243"/>
      <c r="D161" s="244" t="s">
        <v>180</v>
      </c>
      <c r="E161" s="95">
        <f>'26'!F161</f>
        <v>477563.96</v>
      </c>
      <c r="F161" s="235">
        <v>477571.56</v>
      </c>
      <c r="G161" s="238">
        <f t="shared" ref="G161:G165" si="13">F161-E161</f>
        <v>7.5999999999767169</v>
      </c>
      <c r="H161" s="99">
        <f>G161+'26'!H161</f>
        <v>905.55999999999767</v>
      </c>
      <c r="I161" s="236"/>
      <c r="J161" s="239">
        <f>H161/DAY(B2)</f>
        <v>33.539259259259175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'26'!F162</f>
        <v>93646.399999999994</v>
      </c>
      <c r="F162" s="235">
        <v>93673.5</v>
      </c>
      <c r="G162" s="238">
        <f t="shared" si="13"/>
        <v>27.100000000005821</v>
      </c>
      <c r="H162" s="99">
        <f>G162+'26'!H162</f>
        <v>946.5</v>
      </c>
      <c r="I162" s="236"/>
      <c r="J162" s="239">
        <f>H162/DAY(B2)</f>
        <v>35.055555555555557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'26'!F163</f>
        <v>1371.6</v>
      </c>
      <c r="F163" s="235">
        <v>1535.9</v>
      </c>
      <c r="G163" s="238">
        <f t="shared" si="13"/>
        <v>164.30000000000018</v>
      </c>
      <c r="H163" s="99">
        <f>G163+'26'!H163</f>
        <v>4395.9000000000005</v>
      </c>
      <c r="I163" s="236"/>
      <c r="J163" s="239">
        <f>H163/DAY(B2)</f>
        <v>162.81111111111113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'26'!F164</f>
        <v>5849.4</v>
      </c>
      <c r="F164" s="235">
        <v>5860.8</v>
      </c>
      <c r="G164" s="238">
        <f t="shared" si="13"/>
        <v>11.400000000000546</v>
      </c>
      <c r="H164" s="99">
        <f>G164+'26'!H164</f>
        <v>318.80000000000018</v>
      </c>
      <c r="I164" s="236"/>
      <c r="J164" s="239">
        <f>H164/DAY(B2)</f>
        <v>11.807407407407414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'26'!F165</f>
        <v>31297.75</v>
      </c>
      <c r="F165" s="235">
        <v>31310.23</v>
      </c>
      <c r="G165" s="238">
        <f t="shared" si="13"/>
        <v>12.479999999999563</v>
      </c>
      <c r="H165" s="99">
        <f>G165+'26'!H165</f>
        <v>296.22999999999956</v>
      </c>
      <c r="I165" s="236"/>
      <c r="J165" s="239">
        <f>H165/DAY(B2)</f>
        <v>10.971481481481465</v>
      </c>
    </row>
    <row r="166" spans="1:10" ht="26.25">
      <c r="A166" s="937"/>
      <c r="B166" s="937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6.25">
      <c r="A167" s="937"/>
      <c r="B167" s="937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6.25">
      <c r="A168" s="937"/>
      <c r="B168" s="937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7" t="s">
        <v>330</v>
      </c>
      <c r="B171" s="948"/>
      <c r="C171" s="948"/>
      <c r="D171" s="948"/>
      <c r="E171" s="948"/>
      <c r="F171" s="948"/>
      <c r="G171" s="948"/>
      <c r="H171" s="948"/>
      <c r="I171" s="948"/>
      <c r="J171" s="949"/>
    </row>
    <row r="172" spans="1:10" ht="25.5">
      <c r="A172" s="943"/>
      <c r="B172" s="944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5" t="s">
        <v>209</v>
      </c>
      <c r="B173" s="896"/>
      <c r="C173" s="333"/>
      <c r="D173" s="228" t="s">
        <v>142</v>
      </c>
      <c r="E173" s="95">
        <f>'26'!F173</f>
        <v>8229</v>
      </c>
      <c r="F173" s="155">
        <v>8229</v>
      </c>
      <c r="G173" s="155">
        <f>F173-E173</f>
        <v>0</v>
      </c>
      <c r="H173" s="99">
        <f>G173+'26'!H173</f>
        <v>12</v>
      </c>
      <c r="I173" s="155"/>
      <c r="J173" s="178">
        <f>H173/DAY(B2)</f>
        <v>0.44444444444444442</v>
      </c>
    </row>
    <row r="174" spans="1:10" ht="25.5">
      <c r="A174" s="895" t="s">
        <v>75</v>
      </c>
      <c r="B174" s="896"/>
      <c r="C174" s="333"/>
      <c r="D174" s="228" t="s">
        <v>142</v>
      </c>
      <c r="E174" s="95">
        <f>'26'!F174</f>
        <v>40721</v>
      </c>
      <c r="F174" s="157">
        <v>40735</v>
      </c>
      <c r="G174" s="155">
        <f t="shared" ref="G174:G175" si="14">F174-E174</f>
        <v>14</v>
      </c>
      <c r="H174" s="99">
        <f>G174+'26'!H174</f>
        <v>403</v>
      </c>
      <c r="I174" s="155"/>
      <c r="J174" s="178">
        <f>H174/DAY(B2)</f>
        <v>14.925925925925926</v>
      </c>
    </row>
    <row r="175" spans="1:10" ht="25.5">
      <c r="A175" s="895" t="s">
        <v>76</v>
      </c>
      <c r="B175" s="900"/>
      <c r="C175" s="896"/>
      <c r="D175" s="228" t="s">
        <v>142</v>
      </c>
      <c r="E175" s="95">
        <f>'26'!F175</f>
        <v>23609</v>
      </c>
      <c r="F175" s="155">
        <v>23620</v>
      </c>
      <c r="G175" s="155">
        <f t="shared" si="14"/>
        <v>11</v>
      </c>
      <c r="H175" s="99">
        <f>G175+'26'!H175</f>
        <v>362</v>
      </c>
      <c r="I175" s="155"/>
      <c r="J175" s="178">
        <f>H175/DAY(B2)</f>
        <v>13.407407407407407</v>
      </c>
    </row>
    <row r="176" spans="1:10" ht="25.5">
      <c r="A176" s="934" t="s">
        <v>196</v>
      </c>
      <c r="B176" s="935"/>
      <c r="C176" s="401"/>
      <c r="D176" s="228" t="s">
        <v>142</v>
      </c>
      <c r="E176" s="95"/>
      <c r="F176" s="155"/>
      <c r="G176" s="155">
        <f>SUM(G173:G175)</f>
        <v>25</v>
      </c>
      <c r="H176" s="99">
        <f>G176+'26'!H176</f>
        <v>777</v>
      </c>
      <c r="I176" s="155"/>
      <c r="J176" s="178">
        <f>H176/DAY(B2)</f>
        <v>28.777777777777779</v>
      </c>
    </row>
    <row r="177" spans="1:10" ht="25.5">
      <c r="A177" s="895" t="s">
        <v>77</v>
      </c>
      <c r="B177" s="896"/>
      <c r="C177" s="33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5.5">
      <c r="A178" s="895" t="s">
        <v>210</v>
      </c>
      <c r="B178" s="896"/>
      <c r="C178" s="333"/>
      <c r="D178" s="228" t="s">
        <v>142</v>
      </c>
      <c r="E178" s="95">
        <f>'26'!F178</f>
        <v>94454</v>
      </c>
      <c r="F178" s="155">
        <v>94521</v>
      </c>
      <c r="G178" s="155">
        <f>F178-E178</f>
        <v>67</v>
      </c>
      <c r="H178" s="99">
        <f>G178+'26'!H178</f>
        <v>2699</v>
      </c>
      <c r="I178" s="155"/>
      <c r="J178" s="178">
        <f>H178/DAY(B2)</f>
        <v>99.962962962962962</v>
      </c>
    </row>
    <row r="179" spans="1:10" ht="25.5">
      <c r="A179" s="895" t="s">
        <v>211</v>
      </c>
      <c r="B179" s="896"/>
      <c r="C179" s="333"/>
      <c r="D179" s="228" t="s">
        <v>142</v>
      </c>
      <c r="E179" s="95">
        <f>'26'!F179</f>
        <v>36002</v>
      </c>
      <c r="F179" s="155">
        <v>36002</v>
      </c>
      <c r="G179" s="155">
        <f t="shared" ref="G179:G180" si="15">F179-E179</f>
        <v>0</v>
      </c>
      <c r="H179" s="99">
        <f>G179+'26'!H179</f>
        <v>218</v>
      </c>
      <c r="I179" s="155"/>
      <c r="J179" s="178">
        <f>H179/DAY(B2)</f>
        <v>8.0740740740740744</v>
      </c>
    </row>
    <row r="180" spans="1:10" ht="25.5">
      <c r="A180" s="895" t="s">
        <v>212</v>
      </c>
      <c r="B180" s="896"/>
      <c r="C180" s="333"/>
      <c r="D180" s="228" t="s">
        <v>142</v>
      </c>
      <c r="E180" s="95">
        <f>'26'!F180</f>
        <v>6855</v>
      </c>
      <c r="F180" s="155">
        <v>6860</v>
      </c>
      <c r="G180" s="155">
        <f t="shared" si="15"/>
        <v>5</v>
      </c>
      <c r="H180" s="99">
        <f>G180+'26'!H180</f>
        <v>190</v>
      </c>
      <c r="I180" s="155"/>
      <c r="J180" s="178">
        <f>H180/DAY(B2)</f>
        <v>7.0370370370370372</v>
      </c>
    </row>
    <row r="181" spans="1:10" ht="25.5">
      <c r="A181" s="941" t="s">
        <v>108</v>
      </c>
      <c r="B181" s="942"/>
      <c r="C181" s="401"/>
      <c r="D181" s="228" t="s">
        <v>142</v>
      </c>
      <c r="E181" s="95"/>
      <c r="F181" s="155"/>
      <c r="G181" s="155">
        <f>SUM(G178:G180)</f>
        <v>72</v>
      </c>
      <c r="H181" s="99">
        <f>G181+'26'!H181</f>
        <v>3107</v>
      </c>
      <c r="I181" s="155"/>
      <c r="J181" s="178">
        <f>H181/DAY(B2)</f>
        <v>115.07407407407408</v>
      </c>
    </row>
    <row r="182" spans="1:10" ht="25.5">
      <c r="A182" s="895" t="s">
        <v>213</v>
      </c>
      <c r="B182" s="896"/>
      <c r="C182" s="33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5.5">
      <c r="A183" s="895" t="s">
        <v>214</v>
      </c>
      <c r="B183" s="896"/>
      <c r="C183" s="334"/>
      <c r="D183" s="228" t="s">
        <v>142</v>
      </c>
      <c r="E183" s="95">
        <f>'26'!F183</f>
        <v>17248</v>
      </c>
      <c r="F183" s="157">
        <v>17257</v>
      </c>
      <c r="G183" s="157">
        <f>F183-E183</f>
        <v>9</v>
      </c>
      <c r="H183" s="99">
        <f>G183+'26'!H183</f>
        <v>302</v>
      </c>
      <c r="I183" s="155"/>
      <c r="J183" s="178">
        <f>H183/DAY(B2)</f>
        <v>11.185185185185185</v>
      </c>
    </row>
    <row r="184" spans="1:10" ht="25.5">
      <c r="A184" s="895" t="s">
        <v>215</v>
      </c>
      <c r="B184" s="896"/>
      <c r="C184" s="334"/>
      <c r="D184" s="228" t="s">
        <v>142</v>
      </c>
      <c r="E184" s="95">
        <f>'26'!F184</f>
        <v>11663</v>
      </c>
      <c r="F184" s="157">
        <v>11673</v>
      </c>
      <c r="G184" s="157">
        <f t="shared" ref="G184:G185" si="16">F184-E184</f>
        <v>10</v>
      </c>
      <c r="H184" s="99">
        <f>G184+'26'!H184</f>
        <v>187</v>
      </c>
      <c r="I184" s="155"/>
      <c r="J184" s="178">
        <f>H184/DAY(B2)</f>
        <v>6.9259259259259256</v>
      </c>
    </row>
    <row r="185" spans="1:10" ht="25.5" customHeight="1">
      <c r="A185" s="895" t="s">
        <v>216</v>
      </c>
      <c r="B185" s="896"/>
      <c r="C185" s="334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5.5">
      <c r="A186" s="934" t="s">
        <v>196</v>
      </c>
      <c r="B186" s="935"/>
      <c r="C186" s="400"/>
      <c r="D186" s="228" t="s">
        <v>142</v>
      </c>
      <c r="E186" s="95"/>
      <c r="F186" s="157"/>
      <c r="G186" s="157">
        <f>SUM(G183:G185)</f>
        <v>19</v>
      </c>
      <c r="H186" s="99">
        <f>G186+'26'!H186</f>
        <v>489</v>
      </c>
      <c r="I186" s="157"/>
      <c r="J186" s="178">
        <f>H186/DAY(B2)</f>
        <v>18.111111111111111</v>
      </c>
    </row>
    <row r="187" spans="1:10" ht="25.5">
      <c r="A187" s="945" t="s">
        <v>217</v>
      </c>
      <c r="B187" s="946"/>
      <c r="C187" s="333"/>
      <c r="D187" s="228" t="s">
        <v>142</v>
      </c>
      <c r="E187" s="95">
        <f>'26'!F187</f>
        <v>0</v>
      </c>
      <c r="F187" s="159"/>
      <c r="G187" s="378">
        <f>G62+G19</f>
        <v>135</v>
      </c>
      <c r="H187" s="99">
        <f>G187+'26'!H187</f>
        <v>4864</v>
      </c>
      <c r="I187" s="158"/>
      <c r="J187" s="179">
        <f>H187/DAY(B2)</f>
        <v>180.14814814814815</v>
      </c>
    </row>
    <row r="188" spans="1:10" ht="25.5">
      <c r="A188" s="945" t="s">
        <v>218</v>
      </c>
      <c r="B188" s="946"/>
      <c r="C188" s="333"/>
      <c r="D188" s="228" t="s">
        <v>142</v>
      </c>
      <c r="E188" s="95">
        <f>'26'!F188</f>
        <v>0</v>
      </c>
      <c r="F188" s="159"/>
      <c r="G188" s="378">
        <f>G65+G66+G67+G69+G70</f>
        <v>110</v>
      </c>
      <c r="H188" s="99">
        <f>G188+'26'!H188</f>
        <v>1838</v>
      </c>
      <c r="I188" s="158"/>
      <c r="J188" s="179">
        <f>H188/DAY(B2)</f>
        <v>68.074074074074076</v>
      </c>
    </row>
    <row r="189" spans="1:10" ht="25.5">
      <c r="A189" s="945" t="s">
        <v>219</v>
      </c>
      <c r="B189" s="946"/>
      <c r="C189" s="333"/>
      <c r="D189" s="230" t="s">
        <v>142</v>
      </c>
      <c r="E189" s="95">
        <f>'26'!F189</f>
        <v>0</v>
      </c>
      <c r="F189" s="157"/>
      <c r="G189" s="377">
        <f>G181</f>
        <v>72</v>
      </c>
      <c r="H189" s="99">
        <f>G189+'26'!H189</f>
        <v>845</v>
      </c>
      <c r="I189" s="158"/>
      <c r="J189" s="179">
        <f>H189/DAY(B2)</f>
        <v>31.296296296296298</v>
      </c>
    </row>
    <row r="190" spans="1:10" ht="25.5">
      <c r="A190" s="939"/>
      <c r="B190" s="940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33:C33"/>
    <mergeCell ref="A61:C61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topLeftCell="A13" zoomScale="55" zoomScaleNormal="80" zoomScaleSheetLayoutView="55" workbookViewId="0">
      <selection activeCell="G143" sqref="G14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6" t="s">
        <v>115</v>
      </c>
      <c r="B1" s="877"/>
      <c r="C1" s="877"/>
      <c r="D1" s="877"/>
      <c r="E1" s="877"/>
      <c r="F1" s="877"/>
      <c r="G1" s="877"/>
      <c r="H1" s="877"/>
      <c r="I1" s="877"/>
      <c r="J1" s="878"/>
    </row>
    <row r="2" spans="1:15" s="57" customFormat="1" ht="23.25">
      <c r="A2" s="191" t="s">
        <v>354</v>
      </c>
      <c r="B2" s="262">
        <v>44740</v>
      </c>
      <c r="C2" s="34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885" t="s">
        <v>119</v>
      </c>
      <c r="F3" s="886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9" t="s">
        <v>128</v>
      </c>
      <c r="B6" s="880"/>
      <c r="C6" s="88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'27'!F7</f>
        <v>442657.9</v>
      </c>
      <c r="F7" s="95">
        <v>470482.95</v>
      </c>
      <c r="G7" s="112">
        <f>F7-E7</f>
        <v>27825.049999999988</v>
      </c>
      <c r="H7" s="99">
        <f>G7+'27'!H7</f>
        <v>777655.95</v>
      </c>
      <c r="I7" s="113">
        <f>'1'!I7</f>
        <v>12000</v>
      </c>
      <c r="J7" s="175">
        <f>H7/DAY(B2)</f>
        <v>27773.426785714284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'27'!F8</f>
        <v>580191.69999999995</v>
      </c>
      <c r="F8" s="114">
        <v>608513.39</v>
      </c>
      <c r="G8" s="115">
        <f>F8-E8</f>
        <v>28321.690000000061</v>
      </c>
      <c r="H8" s="99">
        <f>G8+'27'!H8</f>
        <v>799854.49000000011</v>
      </c>
      <c r="I8" s="116"/>
      <c r="J8" s="175">
        <f>H8/DAY(B2)</f>
        <v>28566.231785714288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28121.690000000061</v>
      </c>
    </row>
    <row r="9" spans="1:15" ht="26.25">
      <c r="A9" s="199" t="s">
        <v>132</v>
      </c>
      <c r="B9" s="200"/>
      <c r="C9" s="200"/>
      <c r="D9" s="151" t="s">
        <v>130</v>
      </c>
      <c r="E9" s="95">
        <f>'27'!F9</f>
        <v>2877869.1</v>
      </c>
      <c r="F9" s="469">
        <v>2892567.5</v>
      </c>
      <c r="G9" s="112">
        <f>F9-E9</f>
        <v>14698.399999999907</v>
      </c>
      <c r="H9" s="99">
        <f>G9+'27'!H9</f>
        <v>442458.79999999981</v>
      </c>
      <c r="I9" s="124">
        <f>I7-J7</f>
        <v>-15773.426785714284</v>
      </c>
      <c r="J9" s="175">
        <f>H9/DAY(B2)</f>
        <v>15802.099999999993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'27'!F10</f>
        <v>1197214.5</v>
      </c>
      <c r="F10" s="353">
        <v>1209623.5</v>
      </c>
      <c r="G10" s="112">
        <f t="shared" ref="G10:G12" si="0">F10-E10</f>
        <v>12409</v>
      </c>
      <c r="H10" s="99">
        <f>G10+'27'!H10</f>
        <v>299220.30000000005</v>
      </c>
      <c r="I10" s="282"/>
      <c r="J10" s="175">
        <f>H10/DAY(B2)</f>
        <v>10686.439285714287</v>
      </c>
      <c r="K10" s="79"/>
      <c r="L10" s="66"/>
      <c r="N10" s="87"/>
      <c r="O10" s="71">
        <f>F7-O8</f>
        <v>442361.25999999995</v>
      </c>
    </row>
    <row r="11" spans="1:15" ht="26.25">
      <c r="A11" s="194" t="s">
        <v>134</v>
      </c>
      <c r="B11" s="195"/>
      <c r="C11" s="195"/>
      <c r="D11" s="151" t="s">
        <v>130</v>
      </c>
      <c r="E11" s="95">
        <f>'27'!F11</f>
        <v>37560</v>
      </c>
      <c r="F11" s="95">
        <v>37560</v>
      </c>
      <c r="G11" s="112">
        <f t="shared" si="0"/>
        <v>0</v>
      </c>
      <c r="H11" s="99">
        <f>G11+'27'!H11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'27'!F12</f>
        <v>40380</v>
      </c>
      <c r="F12" s="117">
        <v>40380</v>
      </c>
      <c r="G12" s="112">
        <f t="shared" si="0"/>
        <v>0</v>
      </c>
      <c r="H12" s="99">
        <f>G12+'27'!H12</f>
        <v>0</v>
      </c>
      <c r="I12" s="282"/>
      <c r="J12" s="175">
        <f>H12/DAY(B2)</f>
        <v>0</v>
      </c>
      <c r="K12" s="79"/>
      <c r="L12" s="66"/>
      <c r="N12" s="87"/>
      <c r="O12" s="71">
        <f>G7-O8</f>
        <v>-296.64000000007218</v>
      </c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27107.399999999907</v>
      </c>
      <c r="H13" s="99">
        <f>G13+'27'!H13</f>
        <v>741540.09999999986</v>
      </c>
      <c r="I13" s="120">
        <f>G7-G13</f>
        <v>717.65000000008149</v>
      </c>
      <c r="J13" s="175">
        <f>H13/DAY(B2)</f>
        <v>26483.574999999993</v>
      </c>
      <c r="K13" s="79"/>
      <c r="L13" s="66"/>
      <c r="N13" s="87"/>
      <c r="O13" s="71"/>
    </row>
    <row r="14" spans="1:15" ht="26.25">
      <c r="A14" s="882" t="s">
        <v>137</v>
      </c>
      <c r="B14" s="883"/>
      <c r="C14" s="88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'27'!F15</f>
        <v>2065131.26</v>
      </c>
      <c r="F15" s="469">
        <v>2066113.29</v>
      </c>
      <c r="G15" s="112">
        <f>(F15-E15)</f>
        <v>982.03000000002794</v>
      </c>
      <c r="H15" s="99">
        <f>G15+'27'!H15</f>
        <v>28996.290000000037</v>
      </c>
      <c r="I15" s="113">
        <f>'1'!I15</f>
        <v>800</v>
      </c>
      <c r="J15" s="175">
        <f>H15/DAY(B2)</f>
        <v>1035.581785714287</v>
      </c>
      <c r="K15" s="79"/>
      <c r="L15" s="66"/>
      <c r="N15" s="87"/>
      <c r="O15" s="71">
        <f>G8-200</f>
        <v>28121.690000000061</v>
      </c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-235.58178571428698</v>
      </c>
      <c r="J16" s="176"/>
      <c r="K16" s="79"/>
      <c r="L16" s="66"/>
      <c r="N16" s="87"/>
      <c r="O16" s="71"/>
    </row>
    <row r="17" spans="1:16" ht="26.25">
      <c r="A17" s="882" t="s">
        <v>140</v>
      </c>
      <c r="B17" s="883"/>
      <c r="C17" s="88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5.5">
      <c r="A18" s="873" t="s">
        <v>141</v>
      </c>
      <c r="B18" s="874"/>
      <c r="C18" s="875"/>
      <c r="D18" s="151" t="s">
        <v>142</v>
      </c>
      <c r="E18" s="95">
        <f>'27'!F18</f>
        <v>16</v>
      </c>
      <c r="F18" s="122">
        <v>14</v>
      </c>
      <c r="G18" s="119">
        <f>F18*10</f>
        <v>140</v>
      </c>
      <c r="H18" s="99">
        <f>G18+'27'!H18</f>
        <v>5810</v>
      </c>
      <c r="I18" s="113">
        <f>'1'!I18</f>
        <v>65</v>
      </c>
      <c r="J18" s="175">
        <f>H18/DAY(B2)</f>
        <v>207.5</v>
      </c>
      <c r="K18" s="79"/>
      <c r="L18" s="66"/>
      <c r="N18" s="87"/>
      <c r="O18" s="71"/>
    </row>
    <row r="19" spans="1:16" ht="25.5">
      <c r="A19" s="873" t="s">
        <v>69</v>
      </c>
      <c r="B19" s="874"/>
      <c r="C19" s="875"/>
      <c r="D19" s="151" t="s">
        <v>142</v>
      </c>
      <c r="E19" s="95">
        <f>'27'!F19</f>
        <v>160687</v>
      </c>
      <c r="F19" s="122">
        <v>160735</v>
      </c>
      <c r="G19" s="112">
        <f t="shared" ref="G19" si="1">F19-E19</f>
        <v>48</v>
      </c>
      <c r="H19" s="99">
        <f>G19+'27'!H19</f>
        <v>1394</v>
      </c>
      <c r="I19" s="335"/>
      <c r="J19" s="175">
        <f>H19/DAY(B2)</f>
        <v>49.785714285714285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26"/>
      <c r="G20" s="127">
        <f>G18+G19</f>
        <v>188</v>
      </c>
      <c r="H20" s="99">
        <f>G20+'27'!H20</f>
        <v>7204</v>
      </c>
      <c r="I20" s="336">
        <f>I18-J20</f>
        <v>-192.28571428571428</v>
      </c>
      <c r="J20" s="175">
        <f>H20/DAY(B2)</f>
        <v>257.28571428571428</v>
      </c>
      <c r="K20" s="79"/>
      <c r="L20" s="66"/>
      <c r="N20" s="87"/>
      <c r="O20" s="71"/>
    </row>
    <row r="21" spans="1:16" ht="26.25">
      <c r="A21" s="882" t="s">
        <v>144</v>
      </c>
      <c r="B21" s="883"/>
      <c r="C21" s="88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6.25">
      <c r="A22" s="34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G23+'27'!H23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v>4970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887" t="s">
        <v>149</v>
      </c>
      <c r="B25" s="888"/>
      <c r="C25" s="88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5.5">
      <c r="A27" s="208" t="s">
        <v>5</v>
      </c>
      <c r="B27" s="209"/>
      <c r="C27" s="210"/>
      <c r="D27" s="226" t="s">
        <v>24</v>
      </c>
      <c r="E27" s="135">
        <f>G8</f>
        <v>28321.690000000061</v>
      </c>
      <c r="F27" s="136">
        <v>9</v>
      </c>
      <c r="G27" s="137">
        <f>E27*F27</f>
        <v>254895.21000000054</v>
      </c>
      <c r="H27" s="99">
        <f>G27+'27'!H27</f>
        <v>7198690.4100000011</v>
      </c>
      <c r="I27" s="138"/>
      <c r="J27" s="175">
        <f>H27/DAY(B2)</f>
        <v>257096.08607142861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139">
        <f>G15</f>
        <v>982.03000000002794</v>
      </c>
      <c r="F28" s="136">
        <v>70</v>
      </c>
      <c r="G28" s="137">
        <f>E28*F28</f>
        <v>68742.100000001956</v>
      </c>
      <c r="H28" s="99">
        <f>G28+'27'!H28</f>
        <v>1939761.9000000018</v>
      </c>
      <c r="I28" s="140"/>
      <c r="J28" s="175">
        <f>H28/DAY(B2)</f>
        <v>69277.210714285771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151</v>
      </c>
      <c r="G30" s="137">
        <f>E30*F30</f>
        <v>7248</v>
      </c>
      <c r="H30" s="99">
        <f>G30+'27'!H30</f>
        <v>209479</v>
      </c>
      <c r="I30" s="140"/>
      <c r="J30" s="175">
        <f>H30/DAY(B2)</f>
        <v>7481.3928571428569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G31+'27'!H31</f>
        <v>464800</v>
      </c>
      <c r="I31" s="140"/>
      <c r="J31" s="175">
        <f>H31/DAY(B2)</f>
        <v>16600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342085.3100000025</v>
      </c>
      <c r="H32" s="99">
        <f>G32+'27'!H32</f>
        <v>9812731.3100000024</v>
      </c>
      <c r="I32" s="144"/>
      <c r="J32" s="175">
        <f>H32/DAY(B2)</f>
        <v>350454.68964285724</v>
      </c>
      <c r="K32" s="63"/>
      <c r="L32" s="89"/>
      <c r="N32" s="87"/>
      <c r="O32" s="71"/>
    </row>
    <row r="33" spans="1:15" ht="25.5" customHeight="1">
      <c r="A33" s="890" t="s">
        <v>331</v>
      </c>
      <c r="B33" s="891"/>
      <c r="C33" s="89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'27'!F35</f>
        <v>238713.05</v>
      </c>
      <c r="F35" s="145">
        <v>238713.05</v>
      </c>
      <c r="G35" s="112">
        <f t="shared" ref="G35:G46" si="3">F35-E35</f>
        <v>0</v>
      </c>
      <c r="H35" s="99">
        <f>G35+'27'!H35</f>
        <v>-0.95000000001164153</v>
      </c>
      <c r="I35" s="95"/>
      <c r="J35" s="175">
        <f>H35/DAY(B2)</f>
        <v>-3.3928571428987198E-2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'27'!F36</f>
        <v>184111.13</v>
      </c>
      <c r="F36" s="145">
        <v>185001.79</v>
      </c>
      <c r="G36" s="112">
        <f t="shared" si="3"/>
        <v>890.66000000000349</v>
      </c>
      <c r="H36" s="99">
        <f>G36+'27'!H36</f>
        <v>24553.790000000008</v>
      </c>
      <c r="I36" s="95"/>
      <c r="J36" s="175">
        <f>H36/DAY(B2)</f>
        <v>876.92107142857174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'27'!F37</f>
        <v>281719.25</v>
      </c>
      <c r="F37" s="145">
        <v>283306.46999999997</v>
      </c>
      <c r="G37" s="112">
        <f t="shared" si="3"/>
        <v>1587.2199999999721</v>
      </c>
      <c r="H37" s="99">
        <f>G37+'27'!H37</f>
        <v>47527.469999999972</v>
      </c>
      <c r="I37" s="95"/>
      <c r="J37" s="175">
        <f>H37/DAY(B2)</f>
        <v>1697.4096428571418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'27'!F38</f>
        <v>380139.35</v>
      </c>
      <c r="F38" s="108">
        <v>382311.79</v>
      </c>
      <c r="G38" s="112">
        <f t="shared" si="3"/>
        <v>2172.4400000000023</v>
      </c>
      <c r="H38" s="99">
        <f>G38+'27'!H38</f>
        <v>64019.789999999979</v>
      </c>
      <c r="I38" s="95"/>
      <c r="J38" s="175">
        <f>H38/DAY(B2)</f>
        <v>2286.4210714285705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'27'!F39</f>
        <v>514583.67</v>
      </c>
      <c r="F39" s="145">
        <v>517532.79</v>
      </c>
      <c r="G39" s="112">
        <f t="shared" si="3"/>
        <v>2949.1199999999953</v>
      </c>
      <c r="H39" s="99">
        <f>G39+'27'!H39</f>
        <v>82202.880000000005</v>
      </c>
      <c r="I39" s="95"/>
      <c r="J39" s="175">
        <f>H39/DAY(B2)</f>
        <v>2935.8171428571432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'27'!F40</f>
        <v>82258.11</v>
      </c>
      <c r="F40" s="145">
        <v>82652.98</v>
      </c>
      <c r="G40" s="112">
        <f t="shared" si="3"/>
        <v>394.86999999999534</v>
      </c>
      <c r="H40" s="99">
        <f>G40+'27'!H40</f>
        <v>9099.9799999999959</v>
      </c>
      <c r="I40" s="95"/>
      <c r="J40" s="175">
        <f>H40/DAY(B2)</f>
        <v>324.99928571428558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'27'!F41</f>
        <v>142818.41</v>
      </c>
      <c r="F41" s="145">
        <v>142818.41</v>
      </c>
      <c r="G41" s="112">
        <f t="shared" si="3"/>
        <v>0</v>
      </c>
      <c r="H41" s="99">
        <f>G41+'27'!H41</f>
        <v>73983.41</v>
      </c>
      <c r="I41" s="95"/>
      <c r="J41" s="175">
        <f>H41/DAY(B2)</f>
        <v>2642.2646428571429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'27'!F42</f>
        <v>675831.51</v>
      </c>
      <c r="F42" s="145">
        <v>681711.03</v>
      </c>
      <c r="G42" s="112">
        <f t="shared" si="3"/>
        <v>5879.5200000000186</v>
      </c>
      <c r="H42" s="99">
        <f>G42+'27'!H42</f>
        <v>118839.03000000003</v>
      </c>
      <c r="I42" s="95"/>
      <c r="J42" s="175">
        <f>H42/DAY(B2)</f>
        <v>4244.2510714285727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'27'!F43</f>
        <v>407028.03</v>
      </c>
      <c r="F43" s="145">
        <v>407028</v>
      </c>
      <c r="G43" s="112">
        <f t="shared" si="3"/>
        <v>-3.0000000027939677E-2</v>
      </c>
      <c r="H43" s="99">
        <f>G43+'27'!H43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13873.799999999959</v>
      </c>
      <c r="H47" s="99">
        <f>G47+'27'!H47</f>
        <v>420225.39999999991</v>
      </c>
      <c r="I47" s="95"/>
      <c r="J47" s="175">
        <f>H47/DAY(B2)</f>
        <v>15008.049999999997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'27'!F49</f>
        <v>357186.19</v>
      </c>
      <c r="F49" s="423">
        <v>360934.35</v>
      </c>
      <c r="G49" s="112">
        <f t="shared" ref="G49:G58" si="4">F49-E49</f>
        <v>3748.1599999999744</v>
      </c>
      <c r="H49" s="99">
        <f>G49+'27'!H49</f>
        <v>100787.34999999998</v>
      </c>
      <c r="I49" s="95"/>
      <c r="J49" s="175">
        <f>H49/DAY(B2)</f>
        <v>3599.5482142857136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'27'!F50</f>
        <v>239547.23</v>
      </c>
      <c r="F50" s="145">
        <v>240619.11</v>
      </c>
      <c r="G50" s="112">
        <f t="shared" si="4"/>
        <v>1071.8799999999756</v>
      </c>
      <c r="H50" s="99">
        <f>G50+'27'!H50</f>
        <v>31055.109999999986</v>
      </c>
      <c r="I50" s="95"/>
      <c r="J50" s="175">
        <f>H50/DAY(B2)</f>
        <v>1109.111071428571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'27'!F51</f>
        <v>76</v>
      </c>
      <c r="F51" s="145">
        <v>76</v>
      </c>
      <c r="G51" s="112">
        <f t="shared" si="4"/>
        <v>0</v>
      </c>
      <c r="H51" s="99">
        <f>G51+'27'!H51</f>
        <v>0.31999999999999318</v>
      </c>
      <c r="I51" s="95"/>
      <c r="J51" s="175">
        <f>H51/DAY(B2)</f>
        <v>1.1428571428571186E-2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'27'!F52</f>
        <v>10</v>
      </c>
      <c r="F52" s="145">
        <v>10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'27'!F54</f>
        <v>75960.09</v>
      </c>
      <c r="F54" s="145">
        <v>76314.289999999994</v>
      </c>
      <c r="G54" s="112">
        <f t="shared" si="4"/>
        <v>354.19999999999709</v>
      </c>
      <c r="H54" s="99">
        <f>G54+'27'!H54</f>
        <v>11758.289999999994</v>
      </c>
      <c r="I54" s="95"/>
      <c r="J54" s="175">
        <f>H54/DAY(B2)</f>
        <v>419.93892857142833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'27'!F55</f>
        <v>273922</v>
      </c>
      <c r="F55" s="145">
        <v>276839.17</v>
      </c>
      <c r="G55" s="112">
        <f t="shared" si="4"/>
        <v>2917.1699999999837</v>
      </c>
      <c r="H55" s="99">
        <f>G55+'27'!H55</f>
        <v>51366.169999999984</v>
      </c>
      <c r="I55" s="95"/>
      <c r="J55" s="175">
        <f>H55/DAY(B2)</f>
        <v>1834.5060714285707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'27'!F56</f>
        <v>111243.13</v>
      </c>
      <c r="F56" s="145">
        <v>111243.13</v>
      </c>
      <c r="G56" s="112">
        <f t="shared" si="4"/>
        <v>0</v>
      </c>
      <c r="H56" s="99">
        <f>G56+'27'!H56</f>
        <v>3997.1300000000047</v>
      </c>
      <c r="I56" s="95"/>
      <c r="J56" s="175">
        <f>H56/DAY(B2)</f>
        <v>142.75464285714301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'27'!F57</f>
        <v>122725.4</v>
      </c>
      <c r="F57" s="423">
        <v>125882.34</v>
      </c>
      <c r="G57" s="112">
        <f t="shared" si="4"/>
        <v>3156.9400000000023</v>
      </c>
      <c r="H57" s="99">
        <f>G57+'27'!H57</f>
        <v>88279.34</v>
      </c>
      <c r="I57" s="95"/>
      <c r="J57" s="175">
        <f>H57/DAY(B2)</f>
        <v>3152.8335714285713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'27'!F58</f>
        <v>39438.83</v>
      </c>
      <c r="F58" s="145">
        <v>39722.86</v>
      </c>
      <c r="G58" s="112">
        <f t="shared" si="4"/>
        <v>284.02999999999884</v>
      </c>
      <c r="H58" s="99">
        <f>G58+'27'!H58</f>
        <v>6833.8600000000006</v>
      </c>
      <c r="I58" s="95"/>
      <c r="J58" s="175">
        <f>H58/DAY(B2)</f>
        <v>244.06642857142859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11532.379999999932</v>
      </c>
      <c r="H59" s="99">
        <f>G59+'27'!H59</f>
        <v>294077.56999999995</v>
      </c>
      <c r="I59" s="95">
        <f>G7-G60</f>
        <v>2418.8700000000972</v>
      </c>
      <c r="J59" s="175">
        <f>H59/DAY(B2)</f>
        <v>10502.770357142856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25406.179999999891</v>
      </c>
      <c r="H60" s="99">
        <f>G60+'27'!H60</f>
        <v>714302.97</v>
      </c>
      <c r="I60" s="95">
        <f>G13-G60</f>
        <v>1701.2200000000157</v>
      </c>
      <c r="J60" s="175">
        <f>H60/DAY(B2)</f>
        <v>25510.820357142857</v>
      </c>
      <c r="K60" s="79"/>
      <c r="L60" s="66"/>
      <c r="N60" s="87"/>
      <c r="O60" s="71"/>
    </row>
    <row r="61" spans="1:15" s="68" customFormat="1" ht="26.25">
      <c r="A61" s="892" t="s">
        <v>332</v>
      </c>
      <c r="B61" s="893"/>
      <c r="C61" s="89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3" t="s">
        <v>198</v>
      </c>
      <c r="B62" s="874"/>
      <c r="C62" s="875"/>
      <c r="D62" s="151" t="s">
        <v>142</v>
      </c>
      <c r="E62" s="95">
        <f>'27'!F62</f>
        <v>292418</v>
      </c>
      <c r="F62" s="122">
        <v>292505</v>
      </c>
      <c r="G62" s="112">
        <f t="shared" ref="G62:G63" si="5">F62-E62</f>
        <v>87</v>
      </c>
      <c r="H62" s="99">
        <f>G62+'27'!H62</f>
        <v>3605</v>
      </c>
      <c r="I62" s="118"/>
      <c r="J62" s="175">
        <f>H62/DAY(B2)</f>
        <v>128.75</v>
      </c>
      <c r="K62" s="80"/>
      <c r="L62" s="66"/>
      <c r="N62" s="87"/>
      <c r="O62" s="71"/>
    </row>
    <row r="63" spans="1:15" ht="25.5">
      <c r="A63" s="873" t="s">
        <v>199</v>
      </c>
      <c r="B63" s="874"/>
      <c r="C63" s="875"/>
      <c r="D63" s="151" t="s">
        <v>142</v>
      </c>
      <c r="E63" s="95">
        <f>'27'!F63</f>
        <v>234683</v>
      </c>
      <c r="F63" s="122">
        <v>234791</v>
      </c>
      <c r="G63" s="112">
        <f t="shared" si="5"/>
        <v>108</v>
      </c>
      <c r="H63" s="99">
        <f>G63+'27'!H63</f>
        <v>3629</v>
      </c>
      <c r="I63" s="118"/>
      <c r="J63" s="175">
        <f>H63/DAY(B2)</f>
        <v>129.60714285714286</v>
      </c>
      <c r="K63" s="69"/>
      <c r="L63" s="66"/>
      <c r="N63" s="87"/>
      <c r="O63" s="71"/>
    </row>
    <row r="64" spans="1:15" ht="26.25">
      <c r="A64" s="870" t="s">
        <v>200</v>
      </c>
      <c r="B64" s="871"/>
      <c r="C64" s="872"/>
      <c r="D64" s="151"/>
      <c r="E64" s="95">
        <f>'27'!F64</f>
        <v>0</v>
      </c>
      <c r="F64" s="122">
        <v>0</v>
      </c>
      <c r="G64" s="112">
        <f>G62+G63</f>
        <v>195</v>
      </c>
      <c r="H64" s="99">
        <f>G64+'27'!H64</f>
        <v>7234</v>
      </c>
      <c r="I64" s="118"/>
      <c r="J64" s="175">
        <f>H64/DAY(B2)</f>
        <v>258.35714285714283</v>
      </c>
      <c r="K64" s="69"/>
      <c r="L64" s="66"/>
      <c r="N64" s="87"/>
      <c r="O64" s="71"/>
    </row>
    <row r="65" spans="1:15" ht="25.5">
      <c r="A65" s="873" t="s">
        <v>201</v>
      </c>
      <c r="B65" s="874"/>
      <c r="C65" s="875"/>
      <c r="D65" s="151" t="s">
        <v>142</v>
      </c>
      <c r="E65" s="95">
        <f>'27'!F65</f>
        <v>451095</v>
      </c>
      <c r="F65" s="122">
        <v>451186</v>
      </c>
      <c r="G65" s="112">
        <f t="shared" ref="G65:G70" si="6">F65-E65</f>
        <v>91</v>
      </c>
      <c r="H65" s="99">
        <f>G65+'27'!H65</f>
        <v>3159</v>
      </c>
      <c r="I65" s="118"/>
      <c r="J65" s="175">
        <f>H65/DAY(B2)</f>
        <v>112.82142857142857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'27'!F66</f>
        <v>110973</v>
      </c>
      <c r="F66" s="122">
        <v>110989</v>
      </c>
      <c r="G66" s="112">
        <f t="shared" si="6"/>
        <v>16</v>
      </c>
      <c r="H66" s="99">
        <f>G66+'27'!H66</f>
        <v>658</v>
      </c>
      <c r="I66" s="118"/>
      <c r="J66" s="175">
        <f>H66/DAY(B2)</f>
        <v>23.5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'27'!F67</f>
        <v>113680</v>
      </c>
      <c r="F67" s="122">
        <v>113680</v>
      </c>
      <c r="G67" s="112">
        <f t="shared" si="6"/>
        <v>0</v>
      </c>
      <c r="H67" s="99">
        <f>G67+'27'!H67</f>
        <v>402</v>
      </c>
      <c r="I67" s="118"/>
      <c r="J67" s="175">
        <f>H67/DAY(B2)</f>
        <v>14.357142857142858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'27'!F68</f>
        <v>163449</v>
      </c>
      <c r="F68" s="122">
        <v>163488</v>
      </c>
      <c r="G68" s="112">
        <f t="shared" si="6"/>
        <v>39</v>
      </c>
      <c r="H68" s="99">
        <f>G68+'27'!H68</f>
        <v>994</v>
      </c>
      <c r="I68" s="118"/>
      <c r="J68" s="175">
        <f>H68/DAY(B2)</f>
        <v>35.5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'27'!F69</f>
        <v>12113</v>
      </c>
      <c r="F69" s="122">
        <v>12116</v>
      </c>
      <c r="G69" s="112">
        <f t="shared" si="6"/>
        <v>3</v>
      </c>
      <c r="H69" s="99">
        <f>G69+'27'!H69</f>
        <v>247</v>
      </c>
      <c r="I69" s="118"/>
      <c r="J69" s="175">
        <f>H69/DAY(B2)</f>
        <v>8.8214285714285712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'27'!F70</f>
        <v>9494</v>
      </c>
      <c r="F70" s="122">
        <v>9502</v>
      </c>
      <c r="G70" s="112">
        <f t="shared" si="6"/>
        <v>8</v>
      </c>
      <c r="H70" s="99">
        <f>G70+'27'!H70</f>
        <v>235</v>
      </c>
      <c r="I70" s="118"/>
      <c r="J70" s="175">
        <f>H70/DAY(B2)</f>
        <v>8.3928571428571423</v>
      </c>
      <c r="K70" s="69"/>
      <c r="L70" s="66"/>
      <c r="N70" s="87"/>
      <c r="O70" s="71"/>
    </row>
    <row r="71" spans="1:15" ht="26.25">
      <c r="A71" s="870" t="s">
        <v>208</v>
      </c>
      <c r="B71" s="871"/>
      <c r="C71" s="872"/>
      <c r="D71" s="152"/>
      <c r="E71" s="152"/>
      <c r="F71" s="152"/>
      <c r="G71" s="153">
        <f>SUM(G65:G70)</f>
        <v>157</v>
      </c>
      <c r="H71" s="99">
        <f>G71+'27'!H71</f>
        <v>5695</v>
      </c>
      <c r="I71" s="154"/>
      <c r="J71" s="175">
        <f>H71/DAY(B2)</f>
        <v>203.39285714285714</v>
      </c>
      <c r="K71" s="69"/>
      <c r="L71" s="66"/>
      <c r="N71" s="87"/>
      <c r="O71" s="71"/>
    </row>
    <row r="72" spans="1:15" s="88" customFormat="1" ht="25.5">
      <c r="A72" s="916"/>
      <c r="B72" s="90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3" t="s">
        <v>220</v>
      </c>
      <c r="B74" s="874"/>
      <c r="C74" s="875"/>
      <c r="D74" s="151" t="s">
        <v>139</v>
      </c>
      <c r="E74" s="95">
        <f>'27'!F74</f>
        <v>946857.68</v>
      </c>
      <c r="F74" s="117">
        <v>947141.45</v>
      </c>
      <c r="G74" s="112">
        <f t="shared" ref="G74:G78" si="7">F74-E74</f>
        <v>283.76999999990221</v>
      </c>
      <c r="H74" s="99">
        <f>G74+'27'!H74</f>
        <v>8471.4499999999534</v>
      </c>
      <c r="I74" s="154"/>
      <c r="J74" s="175">
        <f>H74/DAY(B2)</f>
        <v>302.55178571428405</v>
      </c>
      <c r="K74" s="69"/>
      <c r="L74" s="66"/>
      <c r="N74" s="87"/>
      <c r="O74" s="71"/>
    </row>
    <row r="75" spans="1:15" ht="25.5">
      <c r="A75" s="873" t="s">
        <v>221</v>
      </c>
      <c r="B75" s="874"/>
      <c r="C75" s="875"/>
      <c r="D75" s="151" t="s">
        <v>139</v>
      </c>
      <c r="E75" s="95">
        <f>'27'!F75</f>
        <v>73586</v>
      </c>
      <c r="F75" s="123">
        <v>73586</v>
      </c>
      <c r="G75" s="112">
        <f t="shared" si="7"/>
        <v>0</v>
      </c>
      <c r="H75" s="99">
        <f>G75+'27'!H75</f>
        <v>-0.80000000000291038</v>
      </c>
      <c r="I75" s="154"/>
      <c r="J75" s="175">
        <f>H75/DAY(B2)</f>
        <v>-2.8571428571532515E-2</v>
      </c>
      <c r="K75" s="69"/>
      <c r="L75" s="66"/>
      <c r="N75" s="87"/>
      <c r="O75" s="71"/>
    </row>
    <row r="76" spans="1:15" ht="25.5">
      <c r="A76" s="917" t="s">
        <v>222</v>
      </c>
      <c r="B76" s="903"/>
      <c r="C76" s="904"/>
      <c r="D76" s="151" t="s">
        <v>139</v>
      </c>
      <c r="E76" s="95">
        <f>'27'!F76</f>
        <v>186602</v>
      </c>
      <c r="F76" s="123">
        <v>186700.33</v>
      </c>
      <c r="G76" s="112">
        <f t="shared" si="7"/>
        <v>98.329999999987194</v>
      </c>
      <c r="H76" s="99">
        <f>G76+'27'!H76</f>
        <v>2994.3299999999872</v>
      </c>
      <c r="I76" s="154"/>
      <c r="J76" s="175">
        <f>H76/DAY(B2)</f>
        <v>106.94035714285668</v>
      </c>
      <c r="K76" s="69"/>
      <c r="L76" s="66"/>
      <c r="N76" s="87"/>
      <c r="O76" s="71"/>
    </row>
    <row r="77" spans="1:15" ht="25.5">
      <c r="A77" s="917" t="s">
        <v>223</v>
      </c>
      <c r="B77" s="903"/>
      <c r="C77" s="904"/>
      <c r="D77" s="151" t="s">
        <v>139</v>
      </c>
      <c r="E77" s="95">
        <f>'27'!F77</f>
        <v>48586</v>
      </c>
      <c r="F77" s="123">
        <v>48628.800000000003</v>
      </c>
      <c r="G77" s="112">
        <f t="shared" si="7"/>
        <v>42.80000000000291</v>
      </c>
      <c r="H77" s="99">
        <f>G77+'27'!H77</f>
        <v>1283.8000000000029</v>
      </c>
      <c r="I77" s="154"/>
      <c r="J77" s="175">
        <f>H77/DAY(B2)</f>
        <v>45.850000000000101</v>
      </c>
      <c r="K77" s="69"/>
      <c r="L77" s="66"/>
      <c r="N77" s="87"/>
      <c r="O77" s="71"/>
    </row>
    <row r="78" spans="1:15" ht="25.5">
      <c r="A78" s="917" t="s">
        <v>224</v>
      </c>
      <c r="B78" s="903"/>
      <c r="C78" s="904"/>
      <c r="D78" s="151" t="s">
        <v>139</v>
      </c>
      <c r="E78" s="95">
        <f>'27'!F78</f>
        <v>9563</v>
      </c>
      <c r="F78" s="123">
        <v>9563</v>
      </c>
      <c r="G78" s="112">
        <f t="shared" si="7"/>
        <v>0</v>
      </c>
      <c r="H78" s="99">
        <f>G78+'27'!H78</f>
        <v>-1</v>
      </c>
      <c r="I78" s="118"/>
      <c r="J78" s="175">
        <f>H78/DAY(B2)</f>
        <v>-3.5714285714285712E-2</v>
      </c>
      <c r="K78" s="69"/>
      <c r="L78" s="66"/>
      <c r="N78" s="87"/>
      <c r="O78" s="71"/>
    </row>
    <row r="79" spans="1:15" s="57" customFormat="1" ht="25.5">
      <c r="A79" s="917" t="s">
        <v>225</v>
      </c>
      <c r="B79" s="903"/>
      <c r="C79" s="904"/>
      <c r="D79" s="151"/>
      <c r="E79" s="95">
        <f>'27'!F79</f>
        <v>0</v>
      </c>
      <c r="F79" s="123"/>
      <c r="G79" s="112">
        <f>G15-SUM(G74:G78)</f>
        <v>557.13000000013562</v>
      </c>
      <c r="H79" s="99">
        <f>G79+'27'!H79</f>
        <v>16248.510000000097</v>
      </c>
      <c r="I79" s="118"/>
      <c r="J79" s="175"/>
      <c r="K79" s="59"/>
      <c r="L79" s="58"/>
      <c r="N79" s="87"/>
      <c r="O79" s="71"/>
    </row>
    <row r="80" spans="1:15" s="57" customFormat="1" ht="26.25">
      <c r="A80" s="870" t="s">
        <v>329</v>
      </c>
      <c r="B80" s="871"/>
      <c r="C80" s="872"/>
      <c r="D80" s="151"/>
      <c r="E80" s="117"/>
      <c r="F80" s="117"/>
      <c r="G80" s="112">
        <f>SUM(G74:G79)</f>
        <v>982.03000000002794</v>
      </c>
      <c r="H80" s="99"/>
      <c r="I80" s="118"/>
      <c r="J80" s="175"/>
      <c r="K80" s="59"/>
      <c r="L80" s="58"/>
      <c r="N80" s="87"/>
      <c r="O80" s="71"/>
    </row>
    <row r="81" spans="1:15" ht="25.5">
      <c r="A81" s="909" t="s">
        <v>226</v>
      </c>
      <c r="B81" s="910"/>
      <c r="C81" s="91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'27'!F84</f>
        <v>42275</v>
      </c>
      <c r="F84" s="164">
        <v>42275</v>
      </c>
      <c r="G84" s="112">
        <f t="shared" si="8"/>
        <v>0</v>
      </c>
      <c r="H84" s="99">
        <f>G84+'27'!H84</f>
        <v>306</v>
      </c>
      <c r="I84" s="573"/>
      <c r="J84" s="175">
        <f>H84/DAY(B2)</f>
        <v>10.928571428571429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406">
        <f>'27'!F85</f>
        <v>4826.28</v>
      </c>
      <c r="F85" s="164">
        <v>4850.53</v>
      </c>
      <c r="G85" s="236">
        <f t="shared" si="8"/>
        <v>24.25</v>
      </c>
      <c r="H85" s="99">
        <f>G85+'27'!H85</f>
        <v>507.52999999999975</v>
      </c>
      <c r="I85" s="573"/>
      <c r="J85" s="175">
        <f>H85/DAY(B2)</f>
        <v>18.126071428571418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'27'!F86</f>
        <v>44785</v>
      </c>
      <c r="F86" s="164">
        <v>44804.56</v>
      </c>
      <c r="G86" s="112">
        <f t="shared" si="8"/>
        <v>19.559999999997672</v>
      </c>
      <c r="H86" s="99">
        <f>G86+'27'!H86</f>
        <v>334.55999999999767</v>
      </c>
      <c r="I86" s="573"/>
      <c r="J86" s="175">
        <f>H86/DAY(B2)</f>
        <v>11.948571428571345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'27'!F87</f>
        <v>35358.050000000003</v>
      </c>
      <c r="F87" s="164">
        <v>35358.050000000003</v>
      </c>
      <c r="G87" s="112">
        <f t="shared" si="8"/>
        <v>0</v>
      </c>
      <c r="H87" s="99">
        <f>G87+'27'!H87</f>
        <v>29.05000000000291</v>
      </c>
      <c r="I87" s="573">
        <f>G84+G85+G86+G87</f>
        <v>43.809999999997672</v>
      </c>
      <c r="J87" s="175">
        <f>H87/DAY(B2)</f>
        <v>1.037500000000104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'27'!F88</f>
        <v>24277.14</v>
      </c>
      <c r="F88" s="164">
        <v>24277.4</v>
      </c>
      <c r="G88" s="112">
        <f t="shared" si="8"/>
        <v>0.26000000000203727</v>
      </c>
      <c r="H88" s="99">
        <f>G88+'27'!H88</f>
        <v>49.520000000000437</v>
      </c>
      <c r="I88" s="573"/>
      <c r="J88" s="175">
        <f>H88/DAY(B2)</f>
        <v>1.7685714285714442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'27'!F89</f>
        <v>27264.55</v>
      </c>
      <c r="F89" s="164">
        <v>27273.8</v>
      </c>
      <c r="G89" s="112">
        <f t="shared" si="8"/>
        <v>9.25</v>
      </c>
      <c r="H89" s="99">
        <f>G89+'27'!H89</f>
        <v>280.38999999999942</v>
      </c>
      <c r="I89" s="573">
        <f>G88+G89</f>
        <v>9.5100000000020373</v>
      </c>
      <c r="J89" s="175">
        <f>H89/DAY(B2)</f>
        <v>10.013928571428551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'27'!F90</f>
        <v>72295.679999999993</v>
      </c>
      <c r="F90" s="164">
        <v>72306.31</v>
      </c>
      <c r="G90" s="112">
        <f t="shared" si="8"/>
        <v>10.630000000004657</v>
      </c>
      <c r="H90" s="99">
        <f>G90+'27'!H90</f>
        <v>33.630000000004657</v>
      </c>
      <c r="I90" s="573">
        <f>G90</f>
        <v>10.630000000004657</v>
      </c>
      <c r="J90" s="175">
        <f>H90/DAY(B2)</f>
        <v>1.2010714285715949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'27'!F91</f>
        <v>4122</v>
      </c>
      <c r="F91" s="122">
        <v>4132.04</v>
      </c>
      <c r="G91" s="112">
        <f t="shared" si="8"/>
        <v>10.039999999999964</v>
      </c>
      <c r="H91" s="99">
        <f>G91+'27'!H91</f>
        <v>10.390000000000327</v>
      </c>
      <c r="I91" s="592"/>
      <c r="J91" s="175">
        <f>H91/DAY(B2)</f>
        <v>0.37107142857144026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'27'!F92</f>
        <v>6501.5</v>
      </c>
      <c r="F92" s="122">
        <v>6501.79</v>
      </c>
      <c r="G92" s="112">
        <f t="shared" si="8"/>
        <v>0.28999999999996362</v>
      </c>
      <c r="H92" s="99">
        <f>G92+'27'!H92</f>
        <v>284.53999999999996</v>
      </c>
      <c r="I92" s="598">
        <f>G91+G92</f>
        <v>10.329999999999927</v>
      </c>
      <c r="J92" s="175">
        <f>H92/DAY(B2)</f>
        <v>10.162142857142856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3" t="s">
        <v>240</v>
      </c>
      <c r="B94" s="874"/>
      <c r="C94" s="875"/>
      <c r="D94" s="151" t="s">
        <v>130</v>
      </c>
      <c r="E94" s="151"/>
      <c r="F94" s="151"/>
      <c r="G94" s="99">
        <f>G35+G43+G49+G57</f>
        <v>6905.0699999999488</v>
      </c>
      <c r="H94" s="99">
        <f>G94+'27'!H94</f>
        <v>189065.7399999999</v>
      </c>
      <c r="I94" s="118"/>
      <c r="J94" s="175">
        <f>H94/DAY(B2)</f>
        <v>6752.3478571428541</v>
      </c>
      <c r="K94" s="69"/>
      <c r="L94" s="66"/>
      <c r="O94" s="71"/>
    </row>
    <row r="95" spans="1:15" ht="25.5">
      <c r="A95" s="873" t="s">
        <v>241</v>
      </c>
      <c r="B95" s="874"/>
      <c r="C95" s="875"/>
      <c r="D95" s="151" t="s">
        <v>23</v>
      </c>
      <c r="E95" s="146"/>
      <c r="F95" s="146"/>
      <c r="G95" s="166">
        <f>G94/G7</f>
        <v>0.24816020096998753</v>
      </c>
      <c r="H95" s="99">
        <f>G95+'27'!H95</f>
        <v>6.8064478162233364</v>
      </c>
      <c r="I95" s="167"/>
      <c r="J95" s="175">
        <f>H95/DAY(B2)</f>
        <v>0.24308742200797631</v>
      </c>
      <c r="K95" s="69"/>
      <c r="L95" s="66"/>
      <c r="O95" s="71"/>
    </row>
    <row r="96" spans="1:15" ht="25.5">
      <c r="A96" s="873" t="s">
        <v>242</v>
      </c>
      <c r="B96" s="874"/>
      <c r="C96" s="875"/>
      <c r="D96" s="151" t="s">
        <v>130</v>
      </c>
      <c r="E96" s="95"/>
      <c r="F96" s="95"/>
      <c r="G96" s="99">
        <f>G41+G42+G55+G56</f>
        <v>8796.6900000000023</v>
      </c>
      <c r="H96" s="99">
        <f>G96+'27'!H96</f>
        <v>248185.74000000002</v>
      </c>
      <c r="I96" s="118"/>
      <c r="J96" s="175">
        <f>H96/DAY(B2)</f>
        <v>8863.7764285714293</v>
      </c>
      <c r="K96" s="69"/>
      <c r="L96" s="66"/>
      <c r="O96" s="71"/>
    </row>
    <row r="97" spans="1:15" ht="25.5">
      <c r="A97" s="873" t="s">
        <v>243</v>
      </c>
      <c r="B97" s="874"/>
      <c r="C97" s="875"/>
      <c r="D97" s="151" t="s">
        <v>23</v>
      </c>
      <c r="E97" s="95"/>
      <c r="F97" s="95"/>
      <c r="G97" s="166">
        <f>G96/G7</f>
        <v>0.31614282813507993</v>
      </c>
      <c r="H97" s="99">
        <f>G97+'27'!H97</f>
        <v>8.8756149590581312</v>
      </c>
      <c r="I97" s="167"/>
      <c r="J97" s="175">
        <f>H97/DAY(B2)</f>
        <v>0.31698624853779039</v>
      </c>
      <c r="K97" s="69"/>
      <c r="L97" s="66"/>
      <c r="O97" s="71"/>
    </row>
    <row r="98" spans="1:15" ht="25.5">
      <c r="A98" s="873" t="s">
        <v>244</v>
      </c>
      <c r="B98" s="874"/>
      <c r="C98" s="875"/>
      <c r="D98" s="151" t="s">
        <v>130</v>
      </c>
      <c r="E98" s="95"/>
      <c r="F98" s="95"/>
      <c r="G98" s="99">
        <f>G39+G53</f>
        <v>2949.1199999999953</v>
      </c>
      <c r="H98" s="99">
        <f>G98+'27'!H98</f>
        <v>82202.880000000005</v>
      </c>
      <c r="I98" s="168"/>
      <c r="J98" s="175">
        <f>H98/DAY(B2)</f>
        <v>2935.8171428571432</v>
      </c>
      <c r="K98" s="69"/>
      <c r="L98" s="66"/>
      <c r="O98" s="71"/>
    </row>
    <row r="99" spans="1:15" ht="25.5">
      <c r="A99" s="873" t="s">
        <v>245</v>
      </c>
      <c r="B99" s="874"/>
      <c r="C99" s="875"/>
      <c r="D99" s="151" t="s">
        <v>23</v>
      </c>
      <c r="E99" s="95"/>
      <c r="F99" s="95"/>
      <c r="G99" s="166">
        <f>G98/G7</f>
        <v>0.10598794970718818</v>
      </c>
      <c r="H99" s="99">
        <f>G99+'27'!H99</f>
        <v>2.9550448523305528</v>
      </c>
      <c r="I99" s="168"/>
      <c r="J99" s="175">
        <f>H99/DAY(B2)</f>
        <v>0.10553731615466259</v>
      </c>
      <c r="O99" s="71"/>
    </row>
    <row r="100" spans="1:15" ht="26.25">
      <c r="A100" s="873" t="s">
        <v>246</v>
      </c>
      <c r="B100" s="874"/>
      <c r="C100" s="875"/>
      <c r="D100" s="151" t="s">
        <v>180</v>
      </c>
      <c r="E100" s="95"/>
      <c r="F100" s="95"/>
      <c r="G100" s="99">
        <f>G38+G52</f>
        <v>2172.4400000000023</v>
      </c>
      <c r="H100" s="99">
        <f>G100+'27'!H100</f>
        <v>64019.789999999979</v>
      </c>
      <c r="I100" s="118"/>
      <c r="J100" s="175">
        <f>H100/DAY(B2)</f>
        <v>2286.4210714285705</v>
      </c>
      <c r="K100" s="70"/>
      <c r="O100" s="71"/>
    </row>
    <row r="101" spans="1:15" ht="25.5">
      <c r="A101" s="873" t="s">
        <v>247</v>
      </c>
      <c r="B101" s="874"/>
      <c r="C101" s="875"/>
      <c r="D101" s="151" t="s">
        <v>23</v>
      </c>
      <c r="E101" s="95"/>
      <c r="F101" s="95"/>
      <c r="G101" s="166">
        <f>G100/G7</f>
        <v>7.8074972012629029E-2</v>
      </c>
      <c r="H101" s="99">
        <f>G101+'27'!H101</f>
        <v>2.2998582263025966</v>
      </c>
      <c r="I101" s="168"/>
      <c r="J101" s="175">
        <f>H101/DAY(B2)</f>
        <v>8.2137793796521308E-2</v>
      </c>
      <c r="O101" s="71"/>
    </row>
    <row r="102" spans="1:15" ht="25.5">
      <c r="A102" s="873" t="s">
        <v>248</v>
      </c>
      <c r="B102" s="874"/>
      <c r="C102" s="875"/>
      <c r="D102" s="151" t="s">
        <v>180</v>
      </c>
      <c r="E102" s="95"/>
      <c r="F102" s="95"/>
      <c r="G102" s="99">
        <f>G36+G50</f>
        <v>1962.539999999979</v>
      </c>
      <c r="H102" s="99">
        <f>G102+'27'!H102</f>
        <v>55608.899999999994</v>
      </c>
      <c r="I102" s="168"/>
      <c r="J102" s="175">
        <f>H102/DAY(B2)</f>
        <v>1986.0321428571426</v>
      </c>
      <c r="O102" s="71"/>
    </row>
    <row r="103" spans="1:15" ht="25.5">
      <c r="A103" s="873" t="s">
        <v>249</v>
      </c>
      <c r="B103" s="874"/>
      <c r="C103" s="875"/>
      <c r="D103" s="151" t="s">
        <v>23</v>
      </c>
      <c r="E103" s="95"/>
      <c r="F103" s="95"/>
      <c r="G103" s="166">
        <f>G102/G7</f>
        <v>7.0531409647061907E-2</v>
      </c>
      <c r="H103" s="99">
        <f>G103+'27'!H103</f>
        <v>1.9899484671826335</v>
      </c>
      <c r="I103" s="118"/>
      <c r="J103" s="175">
        <f>H103/DAY(B2)</f>
        <v>7.1069588113665483E-2</v>
      </c>
      <c r="O103" s="71"/>
    </row>
    <row r="104" spans="1:15" ht="25.5">
      <c r="A104" s="873" t="s">
        <v>250</v>
      </c>
      <c r="B104" s="874"/>
      <c r="C104" s="875"/>
      <c r="D104" s="151" t="s">
        <v>180</v>
      </c>
      <c r="E104" s="95"/>
      <c r="F104" s="95"/>
      <c r="G104" s="99">
        <f>G37+G51</f>
        <v>1587.2199999999721</v>
      </c>
      <c r="H104" s="99">
        <f>G104+'27'!H104</f>
        <v>47527.789999999972</v>
      </c>
      <c r="I104" s="118"/>
      <c r="J104" s="175">
        <f>H104/DAY(B2)</f>
        <v>1697.4210714285705</v>
      </c>
      <c r="O104" s="71"/>
    </row>
    <row r="105" spans="1:15" ht="26.25" thickBot="1">
      <c r="A105" s="913" t="s">
        <v>251</v>
      </c>
      <c r="B105" s="914"/>
      <c r="C105" s="915"/>
      <c r="D105" s="231" t="s">
        <v>23</v>
      </c>
      <c r="E105" s="185"/>
      <c r="F105" s="185"/>
      <c r="G105" s="186">
        <f>G104/G7</f>
        <v>5.7042844487250617E-2</v>
      </c>
      <c r="H105" s="99">
        <f>G105+'27'!H105</f>
        <v>1.7041947604069441</v>
      </c>
      <c r="I105" s="187"/>
      <c r="J105" s="188">
        <f>H105/DAY(B2)</f>
        <v>6.0864098585962291E-2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7" t="s">
        <v>324</v>
      </c>
      <c r="B108" s="927"/>
      <c r="C108" s="927"/>
      <c r="D108" s="927"/>
      <c r="E108" s="927"/>
      <c r="F108" s="927"/>
      <c r="G108" s="927"/>
      <c r="H108" s="927"/>
      <c r="I108" s="927"/>
      <c r="J108" s="927"/>
    </row>
    <row r="109" spans="1:15" ht="26.25">
      <c r="A109" s="912"/>
      <c r="B109" s="912"/>
    </row>
    <row r="110" spans="1:15" ht="26.25">
      <c r="A110" s="928" t="s">
        <v>165</v>
      </c>
      <c r="B110" s="929"/>
      <c r="C110" s="929"/>
      <c r="D110" s="929"/>
      <c r="E110" s="929"/>
      <c r="F110" s="929"/>
      <c r="G110" s="929"/>
      <c r="H110" s="929"/>
      <c r="I110" s="929"/>
      <c r="J110" s="930"/>
    </row>
    <row r="111" spans="1:15" ht="25.5">
      <c r="A111" s="931"/>
      <c r="B111" s="932"/>
      <c r="C111" s="933"/>
      <c r="D111" s="165"/>
      <c r="E111" s="165"/>
      <c r="F111" s="165"/>
      <c r="G111" s="165"/>
      <c r="H111" s="156"/>
      <c r="I111" s="165"/>
      <c r="J111" s="327"/>
    </row>
    <row r="112" spans="1:15" ht="25.5">
      <c r="A112" s="906" t="s">
        <v>252</v>
      </c>
      <c r="B112" s="907"/>
      <c r="C112" s="908"/>
      <c r="D112" s="146" t="s">
        <v>183</v>
      </c>
      <c r="E112" s="95">
        <f>'27'!F112</f>
        <v>4714.32</v>
      </c>
      <c r="F112" s="237">
        <v>4786.4399999999996</v>
      </c>
      <c r="G112" s="112">
        <f t="shared" ref="G112:G123" si="9">F112-E112</f>
        <v>72.119999999999891</v>
      </c>
      <c r="H112" s="99">
        <f>G112+'27'!H112</f>
        <v>2109.4399999999996</v>
      </c>
      <c r="I112" s="165"/>
      <c r="J112" s="328">
        <f>H112/DAY(B2)</f>
        <v>75.337142857142837</v>
      </c>
    </row>
    <row r="113" spans="1:18" ht="29.25" customHeight="1">
      <c r="A113" s="906" t="s">
        <v>253</v>
      </c>
      <c r="B113" s="907"/>
      <c r="C113" s="908"/>
      <c r="D113" s="146" t="s">
        <v>183</v>
      </c>
      <c r="E113" s="95">
        <f>'27'!F113</f>
        <v>10210.799999999999</v>
      </c>
      <c r="F113" s="237">
        <v>10354.89</v>
      </c>
      <c r="G113" s="112">
        <f t="shared" si="9"/>
        <v>144.09000000000015</v>
      </c>
      <c r="H113" s="99">
        <f>G113+'27'!H113</f>
        <v>3963.8899999999994</v>
      </c>
      <c r="I113" s="165"/>
      <c r="J113" s="328">
        <f>H113/DAY(B2)</f>
        <v>141.56749999999997</v>
      </c>
    </row>
    <row r="114" spans="1:18" ht="29.25" customHeight="1">
      <c r="A114" s="906" t="s">
        <v>254</v>
      </c>
      <c r="B114" s="907"/>
      <c r="C114" s="908"/>
      <c r="D114" s="146" t="s">
        <v>183</v>
      </c>
      <c r="E114" s="95">
        <f>'27'!F114</f>
        <v>13522.21</v>
      </c>
      <c r="F114" s="237">
        <v>13752.74</v>
      </c>
      <c r="G114" s="112">
        <f t="shared" si="9"/>
        <v>230.53000000000065</v>
      </c>
      <c r="H114" s="99">
        <f>G114+'27'!H114</f>
        <v>6182.74</v>
      </c>
      <c r="I114" s="165"/>
      <c r="J114" s="328">
        <f>H114/DAY(B2)</f>
        <v>220.81214285714285</v>
      </c>
    </row>
    <row r="115" spans="1:18" ht="29.25" customHeight="1">
      <c r="A115" s="906" t="s">
        <v>255</v>
      </c>
      <c r="B115" s="907"/>
      <c r="C115" s="908"/>
      <c r="D115" s="146" t="s">
        <v>183</v>
      </c>
      <c r="E115" s="95">
        <f>'27'!F115</f>
        <v>8476.4</v>
      </c>
      <c r="F115" s="237">
        <v>8604.2099999999991</v>
      </c>
      <c r="G115" s="112">
        <f t="shared" si="9"/>
        <v>127.80999999999949</v>
      </c>
      <c r="H115" s="99">
        <f>G115+'27'!H115</f>
        <v>2473.7299999999996</v>
      </c>
      <c r="I115" s="165"/>
      <c r="J115" s="328">
        <f>H115/DAY(B2)</f>
        <v>88.347499999999982</v>
      </c>
    </row>
    <row r="116" spans="1:18" ht="29.25" customHeight="1">
      <c r="A116" s="924" t="s">
        <v>96</v>
      </c>
      <c r="B116" s="925"/>
      <c r="C116" s="926"/>
      <c r="D116" s="146" t="s">
        <v>183</v>
      </c>
      <c r="E116" s="95">
        <f>'27'!F116</f>
        <v>57754.38</v>
      </c>
      <c r="F116" s="237">
        <v>58150.8</v>
      </c>
      <c r="G116" s="112">
        <f t="shared" si="9"/>
        <v>396.42000000000553</v>
      </c>
      <c r="H116" s="99">
        <f>G116+'27'!H116</f>
        <v>11395.800000000003</v>
      </c>
      <c r="I116" s="165"/>
      <c r="J116" s="328">
        <f>H116/DAY(B2)</f>
        <v>406.99285714285725</v>
      </c>
      <c r="Q116" s="906"/>
      <c r="R116" s="908"/>
    </row>
    <row r="117" spans="1:18" ht="29.25" customHeight="1">
      <c r="A117" s="924" t="s">
        <v>184</v>
      </c>
      <c r="B117" s="925"/>
      <c r="C117" s="926"/>
      <c r="D117" s="146" t="s">
        <v>183</v>
      </c>
      <c r="E117" s="95">
        <f>'27'!F117</f>
        <v>32081.41</v>
      </c>
      <c r="F117" s="237">
        <v>32377.94</v>
      </c>
      <c r="G117" s="112">
        <f t="shared" si="9"/>
        <v>296.52999999999884</v>
      </c>
      <c r="H117" s="99">
        <f>G117+'27'!H117</f>
        <v>7109.9399999999987</v>
      </c>
      <c r="I117" s="165"/>
      <c r="J117" s="328">
        <f>H117/DAY(B2)</f>
        <v>253.92642857142852</v>
      </c>
      <c r="Q117" s="906"/>
      <c r="R117" s="908"/>
    </row>
    <row r="118" spans="1:18" ht="25.5">
      <c r="A118" s="901" t="s">
        <v>97</v>
      </c>
      <c r="B118" s="901"/>
      <c r="C118" s="901"/>
      <c r="D118" s="151" t="s">
        <v>183</v>
      </c>
      <c r="E118" s="95">
        <f>'27'!F118</f>
        <v>42971.6</v>
      </c>
      <c r="F118" s="237">
        <v>43606.99</v>
      </c>
      <c r="G118" s="112">
        <f t="shared" si="9"/>
        <v>635.38999999999942</v>
      </c>
      <c r="H118" s="99">
        <f>G118+'27'!H118</f>
        <v>17381.989999999998</v>
      </c>
      <c r="I118" s="165"/>
      <c r="J118" s="328">
        <f>H118/DAY(B2)</f>
        <v>620.78535714285704</v>
      </c>
      <c r="Q118" s="906"/>
      <c r="R118" s="908"/>
    </row>
    <row r="119" spans="1:18" ht="25.5">
      <c r="A119" s="901" t="s">
        <v>98</v>
      </c>
      <c r="B119" s="901"/>
      <c r="C119" s="901"/>
      <c r="D119" s="151" t="s">
        <v>183</v>
      </c>
      <c r="E119" s="95">
        <f>'27'!F119</f>
        <v>29613</v>
      </c>
      <c r="F119" s="237">
        <v>29861.01</v>
      </c>
      <c r="G119" s="112">
        <f t="shared" si="9"/>
        <v>248.0099999999984</v>
      </c>
      <c r="H119" s="99">
        <f>G119+'27'!H119</f>
        <v>10914.009999999998</v>
      </c>
      <c r="I119" s="165"/>
      <c r="J119" s="328">
        <f>H119/DAY(B2)</f>
        <v>389.78607142857135</v>
      </c>
    </row>
    <row r="120" spans="1:18" ht="25.5">
      <c r="A120" s="901" t="s">
        <v>99</v>
      </c>
      <c r="B120" s="901"/>
      <c r="C120" s="901"/>
      <c r="D120" s="151" t="s">
        <v>183</v>
      </c>
      <c r="E120" s="95">
        <f>'27'!F120</f>
        <v>31840.48</v>
      </c>
      <c r="F120" s="237">
        <v>32261.13</v>
      </c>
      <c r="G120" s="112">
        <f t="shared" si="9"/>
        <v>420.65000000000146</v>
      </c>
      <c r="H120" s="99">
        <f>G120+'27'!H120</f>
        <v>12211.130000000001</v>
      </c>
      <c r="I120" s="165"/>
      <c r="J120" s="328">
        <f>H120/DAY(B2)</f>
        <v>436.11178571428576</v>
      </c>
    </row>
    <row r="121" spans="1:18" ht="25.5">
      <c r="A121" s="901" t="s">
        <v>100</v>
      </c>
      <c r="B121" s="901"/>
      <c r="C121" s="901"/>
      <c r="D121" s="151" t="s">
        <v>183</v>
      </c>
      <c r="E121" s="95">
        <f>'27'!F121</f>
        <v>38304.6</v>
      </c>
      <c r="F121" s="237">
        <v>38727.129999999997</v>
      </c>
      <c r="G121" s="112">
        <f t="shared" si="9"/>
        <v>422.52999999999884</v>
      </c>
      <c r="H121" s="99">
        <f>G121+'27'!H121</f>
        <v>12883.129999999997</v>
      </c>
      <c r="I121" s="165"/>
      <c r="J121" s="328">
        <f>H121/DAY(B2)</f>
        <v>460.11178571428565</v>
      </c>
    </row>
    <row r="122" spans="1:18" ht="25.5">
      <c r="A122" s="901" t="s">
        <v>101</v>
      </c>
      <c r="B122" s="901"/>
      <c r="C122" s="901"/>
      <c r="D122" s="151" t="s">
        <v>183</v>
      </c>
      <c r="E122" s="95">
        <f>'27'!F122</f>
        <v>19114.12</v>
      </c>
      <c r="F122" s="237">
        <v>19398.75</v>
      </c>
      <c r="G122" s="112">
        <f t="shared" si="9"/>
        <v>284.63000000000102</v>
      </c>
      <c r="H122" s="99">
        <f>G122+'27'!H122</f>
        <v>8238.75</v>
      </c>
      <c r="I122" s="165"/>
      <c r="J122" s="328">
        <f>H122/DAY(B2)</f>
        <v>294.24107142857144</v>
      </c>
    </row>
    <row r="123" spans="1:18" ht="25.5">
      <c r="A123" s="901" t="s">
        <v>102</v>
      </c>
      <c r="B123" s="901"/>
      <c r="C123" s="901"/>
      <c r="D123" s="151" t="s">
        <v>183</v>
      </c>
      <c r="E123" s="95">
        <f>'27'!F123</f>
        <v>19408.7</v>
      </c>
      <c r="F123" s="237">
        <v>19724</v>
      </c>
      <c r="G123" s="112">
        <f t="shared" si="9"/>
        <v>315.29999999999927</v>
      </c>
      <c r="H123" s="99">
        <f>G123+'27'!H123</f>
        <v>9215</v>
      </c>
      <c r="I123" s="165"/>
      <c r="J123" s="328">
        <f>H123/DAY(B2)</f>
        <v>329.10714285714283</v>
      </c>
    </row>
    <row r="124" spans="1:18" ht="29.25" customHeight="1">
      <c r="A124" s="931"/>
      <c r="B124" s="932"/>
      <c r="C124" s="933"/>
      <c r="D124" s="165"/>
      <c r="E124" s="95">
        <f>'27'!F124</f>
        <v>0</v>
      </c>
      <c r="F124" s="165"/>
      <c r="G124" s="327"/>
      <c r="H124" s="99">
        <f>G124+'27'!H124</f>
        <v>0</v>
      </c>
      <c r="I124" s="165"/>
      <c r="J124" s="327"/>
    </row>
    <row r="125" spans="1:18" ht="25.5">
      <c r="A125" s="934" t="s">
        <v>196</v>
      </c>
      <c r="B125" s="935"/>
      <c r="C125" s="245"/>
      <c r="D125" s="307"/>
      <c r="E125" s="308"/>
      <c r="F125" s="308"/>
      <c r="G125" s="309">
        <f>SUM(G112:G124)</f>
        <v>3594.0100000000029</v>
      </c>
      <c r="H125" s="156"/>
      <c r="I125" s="327">
        <f>G125-(G39+G53)</f>
        <v>644.8900000000076</v>
      </c>
      <c r="J125" s="327"/>
    </row>
    <row r="126" spans="1:18" ht="25.5">
      <c r="A126" s="936" t="s">
        <v>317</v>
      </c>
      <c r="B126" s="936"/>
      <c r="C126" s="936"/>
      <c r="D126" s="936"/>
      <c r="E126" s="936"/>
      <c r="F126" s="936"/>
      <c r="G126" s="936"/>
      <c r="H126" s="936"/>
      <c r="I126" s="936"/>
      <c r="J126" s="936"/>
    </row>
    <row r="127" spans="1:18" ht="25.5">
      <c r="A127" s="937"/>
      <c r="B127" s="937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>
      <c r="A128" s="906" t="s">
        <v>318</v>
      </c>
      <c r="B128" s="907"/>
      <c r="C128" s="908"/>
      <c r="D128" s="151" t="s">
        <v>183</v>
      </c>
      <c r="E128" s="95">
        <f>'27'!F128</f>
        <v>110244</v>
      </c>
      <c r="F128" s="165">
        <v>110852.62</v>
      </c>
      <c r="G128" s="112">
        <f t="shared" ref="G128:G134" si="10">F128-E128</f>
        <v>608.61999999999534</v>
      </c>
      <c r="H128" s="99">
        <f>G128+'27'!H128</f>
        <v>15137.619999999995</v>
      </c>
      <c r="I128" s="165"/>
      <c r="J128" s="328">
        <f>H128/DAY(B2)</f>
        <v>540.62928571428552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'27'!F129</f>
        <v>66132.87</v>
      </c>
      <c r="F129" s="165">
        <v>66325.52</v>
      </c>
      <c r="G129" s="112">
        <f t="shared" si="10"/>
        <v>192.65000000000873</v>
      </c>
      <c r="H129" s="99">
        <f>G129+'27'!H129</f>
        <v>6032.5200000000041</v>
      </c>
      <c r="I129" s="165"/>
      <c r="J129" s="328">
        <f>H129/DAY(B2)</f>
        <v>215.44714285714301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'27'!F130</f>
        <v>139394.23999999999</v>
      </c>
      <c r="F130" s="165">
        <v>140198</v>
      </c>
      <c r="G130" s="112">
        <f t="shared" si="10"/>
        <v>803.76000000000931</v>
      </c>
      <c r="H130" s="99">
        <f>G130+'27'!H130</f>
        <v>19069</v>
      </c>
      <c r="I130" s="165"/>
      <c r="J130" s="328">
        <f>H130/DAY(B2)</f>
        <v>681.03571428571433</v>
      </c>
      <c r="N130" s="240"/>
      <c r="O130" s="241"/>
    </row>
    <row r="131" spans="1:15" ht="25.5">
      <c r="A131" s="906" t="s">
        <v>321</v>
      </c>
      <c r="B131" s="907"/>
      <c r="C131" s="908"/>
      <c r="D131" s="151" t="s">
        <v>183</v>
      </c>
      <c r="E131" s="95">
        <f>'27'!F131</f>
        <v>41993.7</v>
      </c>
      <c r="F131" s="165">
        <v>42233</v>
      </c>
      <c r="G131" s="112">
        <f t="shared" si="10"/>
        <v>239.30000000000291</v>
      </c>
      <c r="H131" s="99">
        <f>G131+'27'!H131</f>
        <v>5954</v>
      </c>
      <c r="I131" s="165"/>
      <c r="J131" s="328">
        <f>H131/DAY(B2)</f>
        <v>212.64285714285714</v>
      </c>
      <c r="N131" s="240"/>
      <c r="O131" s="241"/>
    </row>
    <row r="132" spans="1:15" ht="25.5">
      <c r="A132" s="906" t="s">
        <v>322</v>
      </c>
      <c r="B132" s="907"/>
      <c r="C132" s="908"/>
      <c r="D132" s="151" t="s">
        <v>183</v>
      </c>
      <c r="E132" s="95">
        <f>'27'!F132</f>
        <v>114943.09</v>
      </c>
      <c r="F132" s="165">
        <v>115434.29</v>
      </c>
      <c r="G132" s="112">
        <f t="shared" si="10"/>
        <v>491.19999999999709</v>
      </c>
      <c r="H132" s="99">
        <f>G132+'27'!H132</f>
        <v>11922.289999999994</v>
      </c>
      <c r="I132" s="165"/>
      <c r="J132" s="328">
        <f>H132/DAY(B2)</f>
        <v>425.79607142857122</v>
      </c>
    </row>
    <row r="133" spans="1:15" ht="25.5">
      <c r="A133" s="906" t="s">
        <v>359</v>
      </c>
      <c r="B133" s="907"/>
      <c r="C133" s="908"/>
      <c r="D133" s="151" t="s">
        <v>183</v>
      </c>
      <c r="E133" s="95">
        <f>'27'!F133</f>
        <v>221271.25</v>
      </c>
      <c r="F133" s="165">
        <v>221883.71</v>
      </c>
      <c r="G133" s="112">
        <f t="shared" si="10"/>
        <v>612.45999999999185</v>
      </c>
      <c r="H133" s="99">
        <f>G133+'27'!H133</f>
        <v>20651.709999999992</v>
      </c>
      <c r="I133" s="165"/>
      <c r="J133" s="328">
        <f>H133/DAY(B2)</f>
        <v>737.56107142857115</v>
      </c>
    </row>
    <row r="134" spans="1:15" ht="25.5">
      <c r="A134" s="906" t="s">
        <v>340</v>
      </c>
      <c r="B134" s="907"/>
      <c r="C134" s="908"/>
      <c r="D134" s="151" t="s">
        <v>183</v>
      </c>
      <c r="E134" s="95">
        <f>'27'!F134</f>
        <v>41166.76</v>
      </c>
      <c r="F134" s="158">
        <v>41380.449999999997</v>
      </c>
      <c r="G134" s="112">
        <f t="shared" si="10"/>
        <v>213.68999999999505</v>
      </c>
      <c r="H134" s="99">
        <f>G134+'27'!H134</f>
        <v>6485.4499999999971</v>
      </c>
      <c r="I134" s="165"/>
      <c r="J134" s="328">
        <f>H134/DAY(B2)</f>
        <v>231.62321428571417</v>
      </c>
    </row>
    <row r="135" spans="1:15" ht="25.5">
      <c r="A135" s="934" t="s">
        <v>196</v>
      </c>
      <c r="B135" s="935"/>
      <c r="C135" s="331"/>
      <c r="D135" s="151"/>
      <c r="E135" s="95"/>
      <c r="F135" s="165"/>
      <c r="G135" s="112">
        <f>SUM(G128:G134)</f>
        <v>3161.6800000000003</v>
      </c>
      <c r="H135" s="99">
        <f>G135+'23'!H135</f>
        <v>36440.009999999995</v>
      </c>
      <c r="I135" s="327">
        <f>G135-(G35+G49)</f>
        <v>-586.4799999999741</v>
      </c>
      <c r="J135" s="328">
        <f>H135/DAY(B2)</f>
        <v>1301.4289285714283</v>
      </c>
    </row>
    <row r="136" spans="1:15" ht="27.75">
      <c r="A136" s="938" t="s">
        <v>325</v>
      </c>
      <c r="B136" s="938"/>
      <c r="C136" s="938"/>
      <c r="D136" s="938"/>
      <c r="E136" s="938"/>
      <c r="F136" s="938"/>
      <c r="G136" s="938"/>
      <c r="H136" s="938"/>
      <c r="I136" s="938"/>
      <c r="J136" s="938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1" t="s">
        <v>185</v>
      </c>
      <c r="B138" s="901"/>
      <c r="C138" s="901"/>
      <c r="D138" s="151" t="s">
        <v>183</v>
      </c>
      <c r="E138" s="95">
        <f>'27'!F138</f>
        <v>886862</v>
      </c>
      <c r="F138" s="147">
        <v>886943</v>
      </c>
      <c r="G138" s="112">
        <f t="shared" ref="G138:G152" si="11">F138-E138</f>
        <v>81</v>
      </c>
      <c r="H138" s="99">
        <f>G138+'27'!H138</f>
        <v>3665.2999999999993</v>
      </c>
      <c r="I138" s="118"/>
      <c r="J138" s="328">
        <f>H138/DAY(B2)</f>
        <v>130.90357142857141</v>
      </c>
    </row>
    <row r="139" spans="1:15" ht="25.5">
      <c r="A139" s="901" t="s">
        <v>186</v>
      </c>
      <c r="B139" s="901"/>
      <c r="C139" s="901"/>
      <c r="D139" s="151" t="s">
        <v>183</v>
      </c>
      <c r="E139" s="95">
        <f>'27'!F139</f>
        <v>903573</v>
      </c>
      <c r="F139" s="148">
        <v>903699</v>
      </c>
      <c r="G139" s="112">
        <f t="shared" si="11"/>
        <v>126</v>
      </c>
      <c r="H139" s="99">
        <f>G139+'27'!H139</f>
        <v>4244</v>
      </c>
      <c r="I139" s="118"/>
      <c r="J139" s="328">
        <f>H139/DAY(B2)</f>
        <v>151.57142857142858</v>
      </c>
    </row>
    <row r="140" spans="1:15" ht="25.5">
      <c r="A140" s="901" t="s">
        <v>187</v>
      </c>
      <c r="B140" s="901"/>
      <c r="C140" s="901"/>
      <c r="D140" s="151" t="s">
        <v>183</v>
      </c>
      <c r="E140" s="95">
        <f>'27'!F140</f>
        <v>1018.77</v>
      </c>
      <c r="F140" s="149">
        <v>1028</v>
      </c>
      <c r="G140" s="112">
        <f t="shared" si="11"/>
        <v>9.2300000000000182</v>
      </c>
      <c r="H140" s="99">
        <f>G140+'27'!H140</f>
        <v>379.24</v>
      </c>
      <c r="I140" s="118"/>
      <c r="J140" s="328">
        <f>H140/DAY(B2)</f>
        <v>13.544285714285715</v>
      </c>
    </row>
    <row r="141" spans="1:15" ht="25.5">
      <c r="A141" s="905" t="s">
        <v>188</v>
      </c>
      <c r="B141" s="905"/>
      <c r="C141" s="905"/>
      <c r="D141" s="151" t="s">
        <v>183</v>
      </c>
      <c r="E141" s="95">
        <f>'27'!F141</f>
        <v>83480.149999999994</v>
      </c>
      <c r="F141" s="149">
        <v>83688.179999999993</v>
      </c>
      <c r="G141" s="112">
        <f t="shared" si="11"/>
        <v>208.02999999999884</v>
      </c>
      <c r="H141" s="99">
        <f>G141+'27'!H141</f>
        <v>5736.179999999993</v>
      </c>
      <c r="I141" s="118"/>
      <c r="J141" s="328">
        <f>H141/DAY(B2)</f>
        <v>204.86357142857119</v>
      </c>
    </row>
    <row r="142" spans="1:15" ht="25.5">
      <c r="A142" s="905" t="s">
        <v>189</v>
      </c>
      <c r="B142" s="905"/>
      <c r="C142" s="905"/>
      <c r="D142" s="151" t="s">
        <v>183</v>
      </c>
      <c r="E142" s="95">
        <f>'27'!F142</f>
        <v>34149.279999999999</v>
      </c>
      <c r="F142" s="148">
        <v>34236.04</v>
      </c>
      <c r="G142" s="112">
        <f t="shared" si="11"/>
        <v>86.760000000002037</v>
      </c>
      <c r="H142" s="99">
        <f>G142+'27'!H142</f>
        <v>3710.0400000000009</v>
      </c>
      <c r="I142" s="140"/>
      <c r="J142" s="328">
        <f>H142/DAY(B2)</f>
        <v>132.50142857142859</v>
      </c>
    </row>
    <row r="143" spans="1:15" ht="25.5">
      <c r="A143" s="901" t="s">
        <v>91</v>
      </c>
      <c r="B143" s="901"/>
      <c r="C143" s="901"/>
      <c r="D143" s="151" t="s">
        <v>183</v>
      </c>
      <c r="E143" s="95">
        <f>'27'!F143</f>
        <v>8072.18</v>
      </c>
      <c r="F143" s="149">
        <v>8104.43</v>
      </c>
      <c r="G143" s="112">
        <f t="shared" si="11"/>
        <v>32.25</v>
      </c>
      <c r="H143" s="99">
        <f>G143+'27'!H143</f>
        <v>798.43000000000029</v>
      </c>
      <c r="I143" s="140"/>
      <c r="J143" s="328">
        <f>H143/DAY(B2)</f>
        <v>28.515357142857152</v>
      </c>
    </row>
    <row r="144" spans="1:15" ht="25.5">
      <c r="A144" s="905" t="s">
        <v>90</v>
      </c>
      <c r="B144" s="905"/>
      <c r="C144" s="905"/>
      <c r="D144" s="151" t="s">
        <v>183</v>
      </c>
      <c r="E144" s="95">
        <f>'27'!F144</f>
        <v>911555</v>
      </c>
      <c r="F144" s="148">
        <v>911801</v>
      </c>
      <c r="G144" s="112">
        <f t="shared" si="11"/>
        <v>246</v>
      </c>
      <c r="H144" s="99">
        <f>G144+'27'!H144</f>
        <v>6748</v>
      </c>
      <c r="I144" s="140"/>
      <c r="J144" s="328">
        <f>H144/DAY(B2)</f>
        <v>241</v>
      </c>
    </row>
    <row r="145" spans="1:10" ht="25.5">
      <c r="A145" s="901" t="s">
        <v>190</v>
      </c>
      <c r="B145" s="901"/>
      <c r="C145" s="901"/>
      <c r="D145" s="152" t="s">
        <v>183</v>
      </c>
      <c r="E145" s="95">
        <f>'27'!F145</f>
        <v>5666.55</v>
      </c>
      <c r="F145" s="149">
        <v>5666.55</v>
      </c>
      <c r="G145" s="112">
        <f t="shared" si="11"/>
        <v>0</v>
      </c>
      <c r="H145" s="99">
        <f>G145+'27'!H145</f>
        <v>2.5500000000001819</v>
      </c>
      <c r="I145" s="140"/>
      <c r="J145" s="328">
        <f>H145/DAY(B2)</f>
        <v>9.1071428571435062E-2</v>
      </c>
    </row>
    <row r="146" spans="1:10" ht="25.5">
      <c r="A146" s="902" t="s">
        <v>191</v>
      </c>
      <c r="B146" s="903"/>
      <c r="C146" s="904"/>
      <c r="D146" s="152" t="s">
        <v>183</v>
      </c>
      <c r="E146" s="95">
        <f>'27'!F146</f>
        <v>779189</v>
      </c>
      <c r="F146" s="148">
        <v>779234</v>
      </c>
      <c r="G146" s="112">
        <f t="shared" si="11"/>
        <v>45</v>
      </c>
      <c r="H146" s="99">
        <f>G146+'27'!H146</f>
        <v>1366</v>
      </c>
      <c r="I146" s="140"/>
      <c r="J146" s="328">
        <f>H146/DAY(B2)</f>
        <v>48.785714285714285</v>
      </c>
    </row>
    <row r="147" spans="1:10" ht="25.5">
      <c r="A147" s="905" t="s">
        <v>192</v>
      </c>
      <c r="B147" s="905"/>
      <c r="C147" s="905"/>
      <c r="D147" s="152" t="s">
        <v>183</v>
      </c>
      <c r="E147" s="95">
        <f>'27'!F147</f>
        <v>686295</v>
      </c>
      <c r="F147" s="148">
        <v>686807.28</v>
      </c>
      <c r="G147" s="112">
        <f t="shared" si="11"/>
        <v>512.28000000002794</v>
      </c>
      <c r="H147" s="99">
        <f>G147+'27'!H147</f>
        <v>10959.280000000028</v>
      </c>
      <c r="I147" s="140"/>
      <c r="J147" s="328">
        <f>H147/DAY(B2)</f>
        <v>391.40285714285812</v>
      </c>
    </row>
    <row r="148" spans="1:10" ht="25.5">
      <c r="A148" s="897" t="s">
        <v>193</v>
      </c>
      <c r="B148" s="898"/>
      <c r="C148" s="899"/>
      <c r="D148" s="123" t="s">
        <v>130</v>
      </c>
      <c r="E148" s="95">
        <f>'27'!F148</f>
        <v>737980.56</v>
      </c>
      <c r="F148" s="150">
        <v>738348.08</v>
      </c>
      <c r="G148" s="112">
        <f t="shared" si="11"/>
        <v>367.51999999990221</v>
      </c>
      <c r="H148" s="99">
        <f>G148+'27'!H148</f>
        <v>8603.0799999999581</v>
      </c>
      <c r="I148" s="124"/>
      <c r="J148" s="328">
        <f>H148/DAY(B2)</f>
        <v>307.25285714285565</v>
      </c>
    </row>
    <row r="149" spans="1:10" ht="25.5">
      <c r="A149" s="897" t="s">
        <v>336</v>
      </c>
      <c r="B149" s="898"/>
      <c r="C149" s="899"/>
      <c r="D149" s="227" t="s">
        <v>130</v>
      </c>
      <c r="E149" s="95">
        <f>'27'!F149</f>
        <v>115231.67999999999</v>
      </c>
      <c r="F149" s="146">
        <v>115663.74</v>
      </c>
      <c r="G149" s="112">
        <f t="shared" si="11"/>
        <v>432.06000000001222</v>
      </c>
      <c r="H149" s="99">
        <f>G149+'27'!H149</f>
        <v>14768.740000000005</v>
      </c>
      <c r="I149" s="119"/>
      <c r="J149" s="328">
        <f>H149/DAY(B2)</f>
        <v>527.45500000000015</v>
      </c>
    </row>
    <row r="150" spans="1:10" ht="25.5">
      <c r="A150" s="897" t="s">
        <v>337</v>
      </c>
      <c r="B150" s="898"/>
      <c r="C150" s="899"/>
      <c r="D150" s="117" t="s">
        <v>130</v>
      </c>
      <c r="E150" s="95">
        <f>'27'!F150</f>
        <v>43079.8</v>
      </c>
      <c r="F150" s="233">
        <v>43298.69</v>
      </c>
      <c r="G150" s="112">
        <f t="shared" si="11"/>
        <v>218.88999999999942</v>
      </c>
      <c r="H150" s="99">
        <f>G150+'27'!H150</f>
        <v>6082.6900000000023</v>
      </c>
      <c r="I150" s="119"/>
      <c r="J150" s="328">
        <f>H150/DAY(B2)</f>
        <v>217.23892857142866</v>
      </c>
    </row>
    <row r="151" spans="1:10" ht="25.5">
      <c r="A151" s="897" t="s">
        <v>338</v>
      </c>
      <c r="B151" s="898"/>
      <c r="C151" s="899"/>
      <c r="D151" s="117" t="s">
        <v>130</v>
      </c>
      <c r="E151" s="95">
        <f>'27'!F151</f>
        <v>125767</v>
      </c>
      <c r="F151" s="233">
        <v>126047</v>
      </c>
      <c r="G151" s="112">
        <f t="shared" si="11"/>
        <v>280</v>
      </c>
      <c r="H151" s="99">
        <f>G151+'27'!H151</f>
        <v>7910</v>
      </c>
      <c r="I151" s="119"/>
      <c r="J151" s="328">
        <f>H151/DAY(B2)</f>
        <v>282.5</v>
      </c>
    </row>
    <row r="152" spans="1:10" ht="25.5">
      <c r="A152" s="897" t="s">
        <v>339</v>
      </c>
      <c r="B152" s="898"/>
      <c r="C152" s="899"/>
      <c r="D152" s="117" t="s">
        <v>130</v>
      </c>
      <c r="E152" s="95">
        <f>'27'!F152</f>
        <v>18911.63</v>
      </c>
      <c r="F152" s="233">
        <v>19041.580000000002</v>
      </c>
      <c r="G152" s="112">
        <f t="shared" si="11"/>
        <v>129.95000000000073</v>
      </c>
      <c r="H152" s="99">
        <f>G152+'27'!H152</f>
        <v>7885.5800000000017</v>
      </c>
      <c r="I152" s="119"/>
      <c r="J152" s="328">
        <f>H152/DAY(B2)</f>
        <v>281.62785714285718</v>
      </c>
    </row>
    <row r="153" spans="1:10" ht="25.5">
      <c r="A153" s="934" t="s">
        <v>196</v>
      </c>
      <c r="B153" s="935"/>
      <c r="C153" s="365"/>
      <c r="D153" s="358"/>
      <c r="E153" s="360"/>
      <c r="F153" s="361"/>
      <c r="G153" s="362">
        <f>SUM(G138:G152)</f>
        <v>2774.9699999999434</v>
      </c>
      <c r="H153" s="363"/>
      <c r="I153" s="119">
        <f>G153-(G38+G52)</f>
        <v>602.52999999994108</v>
      </c>
      <c r="J153" s="366"/>
    </row>
    <row r="154" spans="1:10" ht="27.75">
      <c r="A154" s="938" t="s">
        <v>344</v>
      </c>
      <c r="B154" s="938"/>
      <c r="C154" s="938"/>
      <c r="D154" s="938"/>
      <c r="E154" s="938"/>
      <c r="F154" s="938"/>
      <c r="G154" s="938"/>
      <c r="H154" s="938"/>
      <c r="I154" s="938"/>
      <c r="J154" s="938"/>
    </row>
    <row r="155" spans="1:10" ht="27.75">
      <c r="A155" s="905" t="s">
        <v>345</v>
      </c>
      <c r="B155" s="905"/>
      <c r="C155" s="905"/>
      <c r="D155" s="117" t="s">
        <v>130</v>
      </c>
      <c r="E155" s="525">
        <f>'27'!F155</f>
        <v>128621</v>
      </c>
      <c r="F155" s="526">
        <v>129077.43</v>
      </c>
      <c r="G155" s="112">
        <f t="shared" ref="G155:G158" si="12">F155-E155</f>
        <v>456.42999999999302</v>
      </c>
      <c r="H155" s="99">
        <f>G155+'27'!H155</f>
        <v>17102.429999999993</v>
      </c>
      <c r="I155" s="364"/>
      <c r="J155" s="328">
        <f>H155/DAY(B2)</f>
        <v>610.80107142857116</v>
      </c>
    </row>
    <row r="156" spans="1:10" ht="25.5">
      <c r="A156" s="905" t="s">
        <v>347</v>
      </c>
      <c r="B156" s="905"/>
      <c r="C156" s="905"/>
      <c r="D156" s="117" t="s">
        <v>130</v>
      </c>
      <c r="E156" s="95">
        <f>'27'!F156</f>
        <v>11844</v>
      </c>
      <c r="F156" s="155">
        <v>11929.39</v>
      </c>
      <c r="G156" s="112">
        <f t="shared" si="12"/>
        <v>85.389999999999418</v>
      </c>
      <c r="H156" s="99">
        <f>G156+'27'!H156</f>
        <v>2244.3899999999994</v>
      </c>
      <c r="I156" s="165"/>
      <c r="J156" s="328">
        <f>H156/DAY(B2)</f>
        <v>80.156785714285689</v>
      </c>
    </row>
    <row r="157" spans="1:10" ht="25.5">
      <c r="A157" s="897" t="s">
        <v>360</v>
      </c>
      <c r="B157" s="898"/>
      <c r="C157" s="899"/>
      <c r="D157" s="117" t="s">
        <v>130</v>
      </c>
      <c r="E157" s="95">
        <f>'27'!F157</f>
        <v>22643.51</v>
      </c>
      <c r="F157" s="157">
        <v>22798.95</v>
      </c>
      <c r="G157" s="112">
        <f t="shared" si="12"/>
        <v>155.44000000000233</v>
      </c>
      <c r="H157" s="99"/>
      <c r="I157" s="165"/>
      <c r="J157" s="328"/>
    </row>
    <row r="158" spans="1:10" ht="25.5">
      <c r="A158" s="897" t="s">
        <v>361</v>
      </c>
      <c r="B158" s="898"/>
      <c r="C158" s="899"/>
      <c r="D158" s="117" t="s">
        <v>130</v>
      </c>
      <c r="E158" s="95">
        <f>'27'!F158</f>
        <v>193.3</v>
      </c>
      <c r="F158" s="155">
        <v>211.43</v>
      </c>
      <c r="G158" s="112">
        <f t="shared" si="12"/>
        <v>18.129999999999995</v>
      </c>
      <c r="H158" s="99"/>
      <c r="I158" s="165"/>
      <c r="J158" s="328"/>
    </row>
    <row r="159" spans="1:10" ht="25.5">
      <c r="A159" s="956"/>
      <c r="B159" s="957"/>
      <c r="C159" s="958"/>
      <c r="D159" s="117"/>
      <c r="E159" s="95"/>
      <c r="F159" s="165"/>
      <c r="G159" s="112"/>
      <c r="H159" s="99"/>
      <c r="I159" s="165"/>
      <c r="J159" s="328"/>
    </row>
    <row r="160" spans="1:10" ht="27.75">
      <c r="A160" s="938" t="s">
        <v>326</v>
      </c>
      <c r="B160" s="938"/>
      <c r="C160" s="938"/>
      <c r="D160" s="938"/>
      <c r="E160" s="938"/>
      <c r="F160" s="938"/>
      <c r="G160" s="938"/>
      <c r="H160" s="938"/>
      <c r="I160" s="938"/>
      <c r="J160" s="938"/>
    </row>
    <row r="161" spans="1:10" ht="26.25">
      <c r="A161" s="242" t="s">
        <v>92</v>
      </c>
      <c r="B161" s="243"/>
      <c r="C161" s="243"/>
      <c r="D161" s="244" t="s">
        <v>180</v>
      </c>
      <c r="E161" s="95">
        <f>'27'!F161</f>
        <v>477571.56</v>
      </c>
      <c r="F161" s="235">
        <v>477577</v>
      </c>
      <c r="G161" s="238">
        <f t="shared" ref="G161:G165" si="13">F161-E161</f>
        <v>5.4400000000023283</v>
      </c>
      <c r="H161" s="99">
        <f>G161+'27'!H161</f>
        <v>911</v>
      </c>
      <c r="I161" s="236"/>
      <c r="J161" s="239">
        <f>H161/DAY(B2)</f>
        <v>32.535714285714285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'27'!F162</f>
        <v>93673.5</v>
      </c>
      <c r="F162" s="235">
        <v>93717.1</v>
      </c>
      <c r="G162" s="238">
        <f t="shared" si="13"/>
        <v>43.600000000005821</v>
      </c>
      <c r="H162" s="99">
        <f>G162+'27'!H162</f>
        <v>990.10000000000582</v>
      </c>
      <c r="I162" s="236"/>
      <c r="J162" s="239">
        <f>H162/DAY(B2)</f>
        <v>35.360714285714494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'27'!F163</f>
        <v>1535.9</v>
      </c>
      <c r="F163" s="235">
        <v>1685.7</v>
      </c>
      <c r="G163" s="238">
        <f t="shared" si="13"/>
        <v>149.79999999999995</v>
      </c>
      <c r="H163" s="99">
        <f>G163+'27'!H163</f>
        <v>4545.7000000000007</v>
      </c>
      <c r="I163" s="236"/>
      <c r="J163" s="239">
        <f>H163/DAY(B2)</f>
        <v>162.34642857142859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'27'!F164</f>
        <v>5860.8</v>
      </c>
      <c r="F164" s="235">
        <v>5872</v>
      </c>
      <c r="G164" s="238">
        <f t="shared" si="13"/>
        <v>11.199999999999818</v>
      </c>
      <c r="H164" s="99">
        <f>G164+'27'!H164</f>
        <v>330</v>
      </c>
      <c r="I164" s="236"/>
      <c r="J164" s="239">
        <f>H164/DAY(B2)</f>
        <v>11.785714285714286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'27'!F165</f>
        <v>31310.23</v>
      </c>
      <c r="F165" s="235">
        <v>31322.05</v>
      </c>
      <c r="G165" s="238">
        <f t="shared" si="13"/>
        <v>11.819999999999709</v>
      </c>
      <c r="H165" s="99">
        <f>G165+'27'!H165</f>
        <v>308.04999999999927</v>
      </c>
      <c r="I165" s="236"/>
      <c r="J165" s="239">
        <f>H165/DAY(B2)</f>
        <v>11.001785714285688</v>
      </c>
    </row>
    <row r="166" spans="1:10" ht="26.25">
      <c r="A166" s="937"/>
      <c r="B166" s="937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6.25">
      <c r="A167" s="937"/>
      <c r="B167" s="937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6.25">
      <c r="A168" s="937"/>
      <c r="B168" s="937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7" t="s">
        <v>330</v>
      </c>
      <c r="B171" s="948"/>
      <c r="C171" s="948"/>
      <c r="D171" s="948"/>
      <c r="E171" s="948"/>
      <c r="F171" s="948"/>
      <c r="G171" s="948"/>
      <c r="H171" s="948"/>
      <c r="I171" s="948"/>
      <c r="J171" s="949"/>
    </row>
    <row r="172" spans="1:10" ht="25.5">
      <c r="A172" s="943"/>
      <c r="B172" s="944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5" t="s">
        <v>209</v>
      </c>
      <c r="B173" s="896"/>
      <c r="C173" s="333"/>
      <c r="D173" s="228" t="s">
        <v>142</v>
      </c>
      <c r="E173" s="95">
        <f>'27'!F173</f>
        <v>8229</v>
      </c>
      <c r="F173" s="155">
        <v>8229</v>
      </c>
      <c r="G173" s="155">
        <f>F173-E173</f>
        <v>0</v>
      </c>
      <c r="H173" s="99">
        <f>G173+'27'!H173</f>
        <v>12</v>
      </c>
      <c r="I173" s="155"/>
      <c r="J173" s="178">
        <f>H173/DAY(B2)</f>
        <v>0.42857142857142855</v>
      </c>
    </row>
    <row r="174" spans="1:10" ht="25.5">
      <c r="A174" s="895" t="s">
        <v>75</v>
      </c>
      <c r="B174" s="896"/>
      <c r="C174" s="333"/>
      <c r="D174" s="228" t="s">
        <v>142</v>
      </c>
      <c r="E174" s="95">
        <f>'27'!F174</f>
        <v>40735</v>
      </c>
      <c r="F174" s="157">
        <v>40751</v>
      </c>
      <c r="G174" s="155">
        <f t="shared" ref="G174:G175" si="14">F174-E174</f>
        <v>16</v>
      </c>
      <c r="H174" s="99">
        <f>G174+'27'!H174</f>
        <v>419</v>
      </c>
      <c r="I174" s="155"/>
      <c r="J174" s="178">
        <f>H174/DAY(B2)</f>
        <v>14.964285714285714</v>
      </c>
    </row>
    <row r="175" spans="1:10" ht="25.5">
      <c r="A175" s="895" t="s">
        <v>76</v>
      </c>
      <c r="B175" s="900"/>
      <c r="C175" s="896"/>
      <c r="D175" s="228" t="s">
        <v>142</v>
      </c>
      <c r="E175" s="95">
        <f>'27'!F175</f>
        <v>23620</v>
      </c>
      <c r="F175" s="155">
        <v>23632</v>
      </c>
      <c r="G175" s="155">
        <f t="shared" si="14"/>
        <v>12</v>
      </c>
      <c r="H175" s="99">
        <f>G175+'27'!H175</f>
        <v>374</v>
      </c>
      <c r="I175" s="155"/>
      <c r="J175" s="178">
        <f>H175/DAY(B2)</f>
        <v>13.357142857142858</v>
      </c>
    </row>
    <row r="176" spans="1:10" ht="25.5">
      <c r="A176" s="934" t="s">
        <v>196</v>
      </c>
      <c r="B176" s="935"/>
      <c r="C176" s="401"/>
      <c r="D176" s="228" t="s">
        <v>142</v>
      </c>
      <c r="E176" s="95"/>
      <c r="F176" s="155"/>
      <c r="G176" s="155">
        <f>SUM(G173:G175)</f>
        <v>28</v>
      </c>
      <c r="H176" s="99">
        <f>G176+'27'!H176</f>
        <v>805</v>
      </c>
      <c r="I176" s="155"/>
      <c r="J176" s="178">
        <f>H176/DAY(B2)</f>
        <v>28.75</v>
      </c>
    </row>
    <row r="177" spans="1:10" ht="25.5">
      <c r="A177" s="895" t="s">
        <v>77</v>
      </c>
      <c r="B177" s="896"/>
      <c r="C177" s="33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5.5">
      <c r="A178" s="895" t="s">
        <v>210</v>
      </c>
      <c r="B178" s="896"/>
      <c r="C178" s="333"/>
      <c r="D178" s="228" t="s">
        <v>142</v>
      </c>
      <c r="E178" s="95">
        <f>'27'!F178</f>
        <v>94521</v>
      </c>
      <c r="F178" s="155">
        <v>94606</v>
      </c>
      <c r="G178" s="155">
        <f>F178-E178</f>
        <v>85</v>
      </c>
      <c r="H178" s="99">
        <f>G178+'27'!H178</f>
        <v>2784</v>
      </c>
      <c r="I178" s="155"/>
      <c r="J178" s="178">
        <f>H178/DAY(B2)</f>
        <v>99.428571428571431</v>
      </c>
    </row>
    <row r="179" spans="1:10" ht="25.5">
      <c r="A179" s="895" t="s">
        <v>211</v>
      </c>
      <c r="B179" s="896"/>
      <c r="C179" s="333"/>
      <c r="D179" s="228" t="s">
        <v>142</v>
      </c>
      <c r="E179" s="95">
        <f>'27'!F179</f>
        <v>36002</v>
      </c>
      <c r="F179" s="155">
        <v>36002</v>
      </c>
      <c r="G179" s="155">
        <f t="shared" ref="G179:G180" si="15">F179-E179</f>
        <v>0</v>
      </c>
      <c r="H179" s="99">
        <f>G179+'27'!H179</f>
        <v>218</v>
      </c>
      <c r="I179" s="155"/>
      <c r="J179" s="178">
        <f>H179/DAY(B2)</f>
        <v>7.7857142857142856</v>
      </c>
    </row>
    <row r="180" spans="1:10" ht="25.5">
      <c r="A180" s="895" t="s">
        <v>212</v>
      </c>
      <c r="B180" s="896"/>
      <c r="C180" s="333"/>
      <c r="D180" s="228" t="s">
        <v>142</v>
      </c>
      <c r="E180" s="95">
        <f>'27'!F180</f>
        <v>6860</v>
      </c>
      <c r="F180" s="155">
        <v>6873</v>
      </c>
      <c r="G180" s="155">
        <f t="shared" si="15"/>
        <v>13</v>
      </c>
      <c r="H180" s="99">
        <f>G180+'27'!H180</f>
        <v>203</v>
      </c>
      <c r="I180" s="155"/>
      <c r="J180" s="178">
        <f>H180/DAY(B2)</f>
        <v>7.25</v>
      </c>
    </row>
    <row r="181" spans="1:10" ht="25.5">
      <c r="A181" s="941" t="s">
        <v>108</v>
      </c>
      <c r="B181" s="942"/>
      <c r="C181" s="401"/>
      <c r="D181" s="228" t="s">
        <v>142</v>
      </c>
      <c r="E181" s="95"/>
      <c r="F181" s="155"/>
      <c r="G181" s="155">
        <f>SUM(G178:G180)</f>
        <v>98</v>
      </c>
      <c r="H181" s="99">
        <f>G181+'27'!H181</f>
        <v>3205</v>
      </c>
      <c r="I181" s="155"/>
      <c r="J181" s="178">
        <f>H181/DAY(B2)</f>
        <v>114.46428571428571</v>
      </c>
    </row>
    <row r="182" spans="1:10" ht="25.5">
      <c r="A182" s="895" t="s">
        <v>213</v>
      </c>
      <c r="B182" s="896"/>
      <c r="C182" s="33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5.5">
      <c r="A183" s="895" t="s">
        <v>214</v>
      </c>
      <c r="B183" s="896"/>
      <c r="C183" s="334"/>
      <c r="D183" s="228" t="s">
        <v>142</v>
      </c>
      <c r="E183" s="95">
        <f>'27'!F183</f>
        <v>17257</v>
      </c>
      <c r="F183" s="157">
        <v>17260</v>
      </c>
      <c r="G183" s="157">
        <f>F183-E183</f>
        <v>3</v>
      </c>
      <c r="H183" s="99">
        <f>G183+'27'!H183</f>
        <v>305</v>
      </c>
      <c r="I183" s="155"/>
      <c r="J183" s="178">
        <f>H183/DAY(B2)</f>
        <v>10.892857142857142</v>
      </c>
    </row>
    <row r="184" spans="1:10" ht="25.5">
      <c r="A184" s="895" t="s">
        <v>215</v>
      </c>
      <c r="B184" s="896"/>
      <c r="C184" s="334"/>
      <c r="D184" s="228" t="s">
        <v>142</v>
      </c>
      <c r="E184" s="95">
        <f>'27'!F184</f>
        <v>11673</v>
      </c>
      <c r="F184" s="157">
        <v>11677</v>
      </c>
      <c r="G184" s="157">
        <f t="shared" ref="G184:G185" si="16">F184-E184</f>
        <v>4</v>
      </c>
      <c r="H184" s="99">
        <f>G184+'27'!H184</f>
        <v>191</v>
      </c>
      <c r="I184" s="155"/>
      <c r="J184" s="178">
        <f>H184/DAY(B2)</f>
        <v>6.8214285714285712</v>
      </c>
    </row>
    <row r="185" spans="1:10" ht="25.5">
      <c r="A185" s="895" t="s">
        <v>216</v>
      </c>
      <c r="B185" s="896"/>
      <c r="C185" s="33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5.5">
      <c r="A186" s="934" t="s">
        <v>196</v>
      </c>
      <c r="B186" s="935"/>
      <c r="C186" s="400"/>
      <c r="D186" s="228" t="s">
        <v>142</v>
      </c>
      <c r="E186" s="95"/>
      <c r="F186" s="157"/>
      <c r="G186" s="157">
        <f>SUM(G183:G185)</f>
        <v>7</v>
      </c>
      <c r="H186" s="99">
        <f>G186+'27'!H186</f>
        <v>496</v>
      </c>
      <c r="I186" s="157"/>
      <c r="J186" s="178">
        <f>H186/DAY(B2)</f>
        <v>17.714285714285715</v>
      </c>
    </row>
    <row r="187" spans="1:10" ht="25.5">
      <c r="A187" s="945" t="s">
        <v>217</v>
      </c>
      <c r="B187" s="946"/>
      <c r="C187" s="333"/>
      <c r="D187" s="230" t="s">
        <v>142</v>
      </c>
      <c r="E187" s="95">
        <f>'27'!F187</f>
        <v>0</v>
      </c>
      <c r="F187" s="159"/>
      <c r="G187" s="378">
        <f>G62+G19</f>
        <v>135</v>
      </c>
      <c r="H187" s="99">
        <f>G187+'27'!H187</f>
        <v>4999</v>
      </c>
      <c r="I187" s="158"/>
      <c r="J187" s="179">
        <f>H187/DAY(B2)</f>
        <v>178.53571428571428</v>
      </c>
    </row>
    <row r="188" spans="1:10" ht="25.5">
      <c r="A188" s="945" t="s">
        <v>218</v>
      </c>
      <c r="B188" s="946"/>
      <c r="C188" s="333"/>
      <c r="D188" s="230" t="s">
        <v>142</v>
      </c>
      <c r="E188" s="95">
        <f>'27'!F188</f>
        <v>0</v>
      </c>
      <c r="F188" s="159"/>
      <c r="G188" s="378">
        <f>G65+G66+G67+G69+G70</f>
        <v>118</v>
      </c>
      <c r="H188" s="99">
        <f>G188+'27'!H188</f>
        <v>1956</v>
      </c>
      <c r="I188" s="158"/>
      <c r="J188" s="179">
        <f>H188/DAY(B2)</f>
        <v>69.857142857142861</v>
      </c>
    </row>
    <row r="189" spans="1:10" ht="25.5">
      <c r="A189" s="945" t="s">
        <v>219</v>
      </c>
      <c r="B189" s="946"/>
      <c r="C189" s="333"/>
      <c r="D189" s="230" t="s">
        <v>142</v>
      </c>
      <c r="E189" s="95">
        <f>'27'!F189</f>
        <v>0</v>
      </c>
      <c r="F189" s="157"/>
      <c r="G189" s="377">
        <f>G181</f>
        <v>98</v>
      </c>
      <c r="H189" s="99">
        <f>G189+'27'!H189</f>
        <v>943</v>
      </c>
      <c r="I189" s="158"/>
      <c r="J189" s="179">
        <f>H189/DAY(B2)</f>
        <v>33.678571428571431</v>
      </c>
    </row>
    <row r="190" spans="1:10" ht="25.5">
      <c r="A190" s="939"/>
      <c r="B190" s="940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topLeftCell="A34" zoomScale="55" zoomScaleNormal="78" zoomScaleSheetLayoutView="55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6" t="s">
        <v>115</v>
      </c>
      <c r="B1" s="877"/>
      <c r="C1" s="877"/>
      <c r="D1" s="877"/>
      <c r="E1" s="877"/>
      <c r="F1" s="877"/>
      <c r="G1" s="877"/>
      <c r="H1" s="877"/>
      <c r="I1" s="877"/>
      <c r="J1" s="878"/>
    </row>
    <row r="2" spans="1:15" s="57" customFormat="1" ht="23.25">
      <c r="A2" s="191" t="s">
        <v>371</v>
      </c>
      <c r="B2" s="262">
        <v>44710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885" t="s">
        <v>119</v>
      </c>
      <c r="F3" s="886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>
      <c r="A6" s="879" t="s">
        <v>128</v>
      </c>
      <c r="B6" s="880"/>
      <c r="C6" s="88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>
      <c r="A7" s="194" t="s">
        <v>129</v>
      </c>
      <c r="B7" s="195"/>
      <c r="C7" s="195"/>
      <c r="D7" s="151" t="s">
        <v>130</v>
      </c>
      <c r="E7" s="95">
        <f>'28'!F7</f>
        <v>470482.95</v>
      </c>
      <c r="F7" s="95">
        <f>E7+28300</f>
        <v>498782.95</v>
      </c>
      <c r="G7" s="112">
        <f>F7-E7</f>
        <v>28300</v>
      </c>
      <c r="H7" s="99">
        <f>G7+'28'!H7</f>
        <v>805955.95</v>
      </c>
      <c r="I7" s="113">
        <f>'1'!I7</f>
        <v>12000</v>
      </c>
      <c r="J7" s="175">
        <f>H7/DAY(B2)</f>
        <v>27791.584482758619</v>
      </c>
      <c r="K7" s="172">
        <v>1375467</v>
      </c>
      <c r="L7" s="66"/>
      <c r="N7" s="87"/>
      <c r="O7" s="71"/>
    </row>
    <row r="8" spans="1:15" ht="21.95" customHeight="1" thickBot="1">
      <c r="A8" s="196" t="s">
        <v>131</v>
      </c>
      <c r="B8" s="197"/>
      <c r="C8" s="198"/>
      <c r="D8" s="224" t="s">
        <v>24</v>
      </c>
      <c r="E8" s="95">
        <f>'28'!F8</f>
        <v>608513.39</v>
      </c>
      <c r="F8" s="114">
        <f>E8+28500</f>
        <v>637013.39</v>
      </c>
      <c r="G8" s="115">
        <f>F8-E8</f>
        <v>28500</v>
      </c>
      <c r="H8" s="99">
        <f>G8+'28'!H8</f>
        <v>828354.49000000011</v>
      </c>
      <c r="I8" s="116"/>
      <c r="J8" s="175">
        <f>H8/DAY(B2)</f>
        <v>28563.947931034487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>
      <c r="A9" s="199" t="s">
        <v>132</v>
      </c>
      <c r="B9" s="200"/>
      <c r="C9" s="200"/>
      <c r="D9" s="151" t="s">
        <v>130</v>
      </c>
      <c r="E9" s="95">
        <f>'28'!F9</f>
        <v>2892567.5</v>
      </c>
      <c r="F9" s="469">
        <v>2407550</v>
      </c>
      <c r="G9" s="112">
        <f>F9-E9</f>
        <v>-485017.5</v>
      </c>
      <c r="H9" s="99">
        <f>G9+'28'!H9</f>
        <v>-42558.700000000186</v>
      </c>
      <c r="I9" s="124">
        <f>I7-J7</f>
        <v>-15791.584482758619</v>
      </c>
      <c r="J9" s="175">
        <f>H9/DAY(B2)</f>
        <v>-1467.5413793103512</v>
      </c>
      <c r="K9" s="79">
        <f>K8-100</f>
        <v>1715817</v>
      </c>
      <c r="L9" s="66"/>
      <c r="N9" s="87"/>
      <c r="O9" s="71"/>
    </row>
    <row r="10" spans="1:15" ht="21.95" customHeight="1">
      <c r="A10" s="194" t="s">
        <v>133</v>
      </c>
      <c r="B10" s="195"/>
      <c r="C10" s="195"/>
      <c r="D10" s="151" t="s">
        <v>130</v>
      </c>
      <c r="E10" s="95">
        <f>'28'!F10</f>
        <v>1209623.5</v>
      </c>
      <c r="F10" s="353">
        <v>876801</v>
      </c>
      <c r="G10" s="112">
        <f t="shared" ref="G10:G12" si="0">F10-E10</f>
        <v>-332822.5</v>
      </c>
      <c r="H10" s="99">
        <f>G10+'28'!H10</f>
        <v>-33602.199999999953</v>
      </c>
      <c r="I10" s="282"/>
      <c r="J10" s="175">
        <f>H10/DAY(B2)</f>
        <v>-1158.6965517241363</v>
      </c>
      <c r="K10" s="79"/>
      <c r="L10" s="66"/>
      <c r="N10" s="87"/>
      <c r="O10" s="71"/>
    </row>
    <row r="11" spans="1:15" ht="21.95" customHeight="1">
      <c r="A11" s="194" t="s">
        <v>134</v>
      </c>
      <c r="B11" s="195"/>
      <c r="C11" s="195"/>
      <c r="D11" s="151" t="s">
        <v>130</v>
      </c>
      <c r="E11" s="95">
        <f>'28'!F11</f>
        <v>37560</v>
      </c>
      <c r="F11" s="95">
        <v>37560</v>
      </c>
      <c r="G11" s="112">
        <f t="shared" si="0"/>
        <v>0</v>
      </c>
      <c r="H11" s="99">
        <f>G11+'28'!H11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>
      <c r="A12" s="194" t="s">
        <v>135</v>
      </c>
      <c r="B12" s="195"/>
      <c r="C12" s="195"/>
      <c r="D12" s="151" t="s">
        <v>130</v>
      </c>
      <c r="E12" s="95">
        <f>'28'!F12</f>
        <v>40380</v>
      </c>
      <c r="F12" s="117">
        <v>40380</v>
      </c>
      <c r="G12" s="112">
        <f t="shared" si="0"/>
        <v>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-817840</v>
      </c>
      <c r="H13" s="99">
        <f>G13+'28'!H13</f>
        <v>-76299.90000000014</v>
      </c>
      <c r="I13" s="120">
        <f>G7-G13</f>
        <v>846140</v>
      </c>
      <c r="J13" s="175">
        <f>H13/DAY(B2)</f>
        <v>-2631.0310344827635</v>
      </c>
      <c r="K13" s="79"/>
      <c r="L13" s="66"/>
      <c r="N13" s="87"/>
      <c r="O13" s="71"/>
    </row>
    <row r="14" spans="1:15" ht="26.25">
      <c r="A14" s="882" t="s">
        <v>137</v>
      </c>
      <c r="B14" s="883"/>
      <c r="C14" s="88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345" t="s">
        <v>138</v>
      </c>
      <c r="B15" s="205"/>
      <c r="C15" s="205"/>
      <c r="D15" s="151" t="s">
        <v>139</v>
      </c>
      <c r="E15" s="95">
        <f>'28'!F15</f>
        <v>2066113.29</v>
      </c>
      <c r="F15" s="469">
        <f>E15+1100</f>
        <v>2067213.29</v>
      </c>
      <c r="G15" s="112">
        <f>(F15-E15)</f>
        <v>1100</v>
      </c>
      <c r="H15" s="99">
        <f>G15+'28'!H15</f>
        <v>30096.290000000037</v>
      </c>
      <c r="I15" s="113">
        <f>'1'!I15</f>
        <v>800</v>
      </c>
      <c r="J15" s="175">
        <f>H15/DAY(B2)</f>
        <v>1037.8031034482772</v>
      </c>
      <c r="K15" s="79"/>
      <c r="L15" s="66"/>
      <c r="N15" s="87"/>
      <c r="O15" s="71"/>
    </row>
    <row r="16" spans="1:15" ht="21.9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-237.80310344827717</v>
      </c>
      <c r="J16" s="176"/>
      <c r="K16" s="79"/>
      <c r="L16" s="66"/>
      <c r="N16" s="87"/>
      <c r="O16" s="71"/>
    </row>
    <row r="17" spans="1:15" ht="26.25">
      <c r="A17" s="882" t="s">
        <v>140</v>
      </c>
      <c r="B17" s="883"/>
      <c r="C17" s="88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3" t="s">
        <v>141</v>
      </c>
      <c r="B18" s="874"/>
      <c r="C18" s="875"/>
      <c r="D18" s="151" t="s">
        <v>142</v>
      </c>
      <c r="E18" s="95">
        <f>'28'!F18</f>
        <v>14</v>
      </c>
      <c r="F18" s="122">
        <v>30</v>
      </c>
      <c r="G18" s="119">
        <f>F18*10</f>
        <v>300</v>
      </c>
      <c r="H18" s="99">
        <f>G18+'28'!H18</f>
        <v>6110</v>
      </c>
      <c r="I18" s="113">
        <f>'1'!I18</f>
        <v>65</v>
      </c>
      <c r="J18" s="175">
        <f>H18/DAY(B2)</f>
        <v>210.68965517241378</v>
      </c>
      <c r="K18" s="79"/>
      <c r="L18" s="66"/>
      <c r="N18" s="87"/>
      <c r="O18" s="71"/>
    </row>
    <row r="19" spans="1:15" ht="25.5">
      <c r="A19" s="873" t="s">
        <v>69</v>
      </c>
      <c r="B19" s="874"/>
      <c r="C19" s="875"/>
      <c r="D19" s="151" t="s">
        <v>142</v>
      </c>
      <c r="E19" s="95">
        <f>'28'!F19</f>
        <v>160735</v>
      </c>
      <c r="F19" s="122">
        <v>160002</v>
      </c>
      <c r="G19" s="112">
        <f t="shared" ref="G19" si="1">F19-E19</f>
        <v>-733</v>
      </c>
      <c r="H19" s="99">
        <f>G19+'28'!H19</f>
        <v>661</v>
      </c>
      <c r="I19" s="335"/>
      <c r="J19" s="175">
        <f>H19/DAY(B2)</f>
        <v>22.793103448275861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-433</v>
      </c>
      <c r="H20" s="99">
        <f>G20+'28'!H20</f>
        <v>6771</v>
      </c>
      <c r="I20" s="336">
        <f>I18-J20</f>
        <v>-168.48275862068965</v>
      </c>
      <c r="J20" s="175">
        <f>H20/DAY(B2)</f>
        <v>233.48275862068965</v>
      </c>
      <c r="K20" s="79"/>
      <c r="L20" s="66"/>
      <c r="N20" s="87"/>
      <c r="O20" s="71"/>
    </row>
    <row r="21" spans="1:15" ht="26.25">
      <c r="A21" s="882" t="s">
        <v>144</v>
      </c>
      <c r="B21" s="883"/>
      <c r="C21" s="88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7" t="s">
        <v>149</v>
      </c>
      <c r="B25" s="888"/>
      <c r="C25" s="88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28500</v>
      </c>
      <c r="F27" s="136">
        <v>9</v>
      </c>
      <c r="G27" s="137">
        <f>E27*F27</f>
        <v>256500</v>
      </c>
      <c r="H27" s="99">
        <f>G27+'28'!H27</f>
        <v>7455190.4100000011</v>
      </c>
      <c r="I27" s="138"/>
      <c r="J27" s="175">
        <f>H27/DAY(B2)</f>
        <v>257075.53137931039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70</v>
      </c>
      <c r="G28" s="137">
        <f>E28*F28</f>
        <v>77000</v>
      </c>
      <c r="H28" s="99">
        <f>G28+'28'!H28</f>
        <v>2016761.9000000018</v>
      </c>
      <c r="I28" s="140"/>
      <c r="J28" s="175">
        <f>H28/DAY(B2)</f>
        <v>69543.513793103513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-733</v>
      </c>
      <c r="F30" s="136">
        <v>151</v>
      </c>
      <c r="G30" s="137">
        <f>E30*F30</f>
        <v>-110683</v>
      </c>
      <c r="H30" s="99">
        <f>G30+'28'!H30</f>
        <v>98796</v>
      </c>
      <c r="I30" s="140"/>
      <c r="J30" s="175">
        <f>H30/DAY(B2)</f>
        <v>3406.7586206896553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300</v>
      </c>
      <c r="F31" s="136">
        <v>80</v>
      </c>
      <c r="G31" s="137">
        <f>E31*F31</f>
        <v>24000</v>
      </c>
      <c r="H31" s="99">
        <f>G31+'28'!H31</f>
        <v>488800</v>
      </c>
      <c r="I31" s="140"/>
      <c r="J31" s="175">
        <f>H31/DAY(B2)</f>
        <v>16855.172413793105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246817</v>
      </c>
      <c r="H32" s="99">
        <f>G32+'28'!H32</f>
        <v>10059548.310000002</v>
      </c>
      <c r="I32" s="144"/>
      <c r="J32" s="175">
        <f>H32/DAY(B2)</f>
        <v>346880.97620689665</v>
      </c>
      <c r="K32" s="63"/>
      <c r="L32" s="89"/>
      <c r="N32" s="87"/>
      <c r="O32" s="71"/>
    </row>
    <row r="33" spans="1:15" ht="25.5" customHeight="1">
      <c r="A33" s="890" t="s">
        <v>331</v>
      </c>
      <c r="B33" s="891"/>
      <c r="C33" s="89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'28'!F35</f>
        <v>238713.05</v>
      </c>
      <c r="F35" s="145">
        <v>238714</v>
      </c>
      <c r="G35" s="112">
        <f t="shared" ref="G35:G46" si="3">F35-E35</f>
        <v>0.95000000001164153</v>
      </c>
      <c r="H35" s="99">
        <f>G35+'28'!H35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'28'!F36</f>
        <v>185001.79</v>
      </c>
      <c r="F36" s="145">
        <v>158726</v>
      </c>
      <c r="G36" s="112">
        <f t="shared" si="3"/>
        <v>-26275.790000000008</v>
      </c>
      <c r="H36" s="99">
        <f>G36+'28'!H36</f>
        <v>-1722</v>
      </c>
      <c r="I36" s="95"/>
      <c r="J36" s="175">
        <f>H36/DAY(B2)</f>
        <v>-59.379310344827587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'28'!F37</f>
        <v>283306.46999999997</v>
      </c>
      <c r="F37" s="145">
        <v>232348</v>
      </c>
      <c r="G37" s="112">
        <f t="shared" si="3"/>
        <v>-50958.469999999972</v>
      </c>
      <c r="H37" s="99">
        <f>G37+'28'!H37</f>
        <v>-3431</v>
      </c>
      <c r="I37" s="95"/>
      <c r="J37" s="175">
        <f>H37/DAY(B2)</f>
        <v>-118.31034482758621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'28'!F38</f>
        <v>382311.79</v>
      </c>
      <c r="F38" s="108">
        <v>311750</v>
      </c>
      <c r="G38" s="112">
        <f t="shared" si="3"/>
        <v>-70561.789999999979</v>
      </c>
      <c r="H38" s="99">
        <f>G38+'28'!H38</f>
        <v>-6542</v>
      </c>
      <c r="I38" s="95"/>
      <c r="J38" s="175">
        <f>H38/DAY(B2)</f>
        <v>-225.58620689655172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'28'!F39</f>
        <v>517532.79</v>
      </c>
      <c r="F39" s="145">
        <v>426132</v>
      </c>
      <c r="G39" s="112">
        <f t="shared" si="3"/>
        <v>-91400.789999999979</v>
      </c>
      <c r="H39" s="99">
        <f>G39+'28'!H39</f>
        <v>-9197.9099999999744</v>
      </c>
      <c r="I39" s="95"/>
      <c r="J39" s="175">
        <f>H39/DAY(B2)</f>
        <v>-317.16931034482673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'28'!F40</f>
        <v>82652.98</v>
      </c>
      <c r="F40" s="145">
        <v>73103.3</v>
      </c>
      <c r="G40" s="112">
        <f t="shared" si="3"/>
        <v>-9549.679999999993</v>
      </c>
      <c r="H40" s="99">
        <f>G40+'28'!H40</f>
        <v>-449.69999999999709</v>
      </c>
      <c r="I40" s="95"/>
      <c r="J40" s="175">
        <f>H40/DAY(B2)</f>
        <v>-15.506896551724038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'28'!F41</f>
        <v>142818.41</v>
      </c>
      <c r="F41" s="145">
        <v>68835</v>
      </c>
      <c r="G41" s="112">
        <f t="shared" si="3"/>
        <v>-73983.41</v>
      </c>
      <c r="H41" s="99">
        <f>G41+'28'!H41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'28'!F42</f>
        <v>681711.03</v>
      </c>
      <c r="F42" s="145">
        <v>548952</v>
      </c>
      <c r="G42" s="112">
        <f t="shared" si="3"/>
        <v>-132759.03000000003</v>
      </c>
      <c r="H42" s="99">
        <f>G42+'28'!H42</f>
        <v>-13920</v>
      </c>
      <c r="I42" s="95"/>
      <c r="J42" s="175">
        <f>H42/DAY(B2)</f>
        <v>-480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'28'!F43</f>
        <v>407028</v>
      </c>
      <c r="F43" s="145">
        <v>407028</v>
      </c>
      <c r="G43" s="112">
        <f t="shared" si="3"/>
        <v>0</v>
      </c>
      <c r="H43" s="99">
        <f>G43+'28'!H43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-455488.00999999995</v>
      </c>
      <c r="H47" s="99">
        <f>G47+'28'!H47</f>
        <v>-35262.610000000044</v>
      </c>
      <c r="I47" s="95"/>
      <c r="J47" s="175">
        <f>H47/DAY(B2)</f>
        <v>-1215.9520689655187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'28'!F49</f>
        <v>360934.35</v>
      </c>
      <c r="F49" s="145">
        <v>249271</v>
      </c>
      <c r="G49" s="112">
        <f t="shared" ref="G49:G58" si="4">F49-E49</f>
        <v>-111663.34999999998</v>
      </c>
      <c r="H49" s="99">
        <f>G49+'28'!H49</f>
        <v>-10876</v>
      </c>
      <c r="I49" s="95"/>
      <c r="J49" s="175">
        <f>H49/DAY(B2)</f>
        <v>-375.0344827586207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'28'!F50</f>
        <v>240619.11</v>
      </c>
      <c r="F50" s="145">
        <v>207398</v>
      </c>
      <c r="G50" s="112">
        <f t="shared" si="4"/>
        <v>-33221.109999999986</v>
      </c>
      <c r="H50" s="99">
        <f>G50+'28'!H50</f>
        <v>-2166</v>
      </c>
      <c r="I50" s="95"/>
      <c r="J50" s="175">
        <f>H50/DAY(B2)</f>
        <v>-74.689655172413794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'28'!F51</f>
        <v>76</v>
      </c>
      <c r="F51" s="145">
        <v>76</v>
      </c>
      <c r="G51" s="112">
        <f t="shared" si="4"/>
        <v>0</v>
      </c>
      <c r="H51" s="99">
        <f>G51+'28'!H51</f>
        <v>0.31999999999999318</v>
      </c>
      <c r="I51" s="95"/>
      <c r="J51" s="175">
        <f>H51/DAY(B2)</f>
        <v>1.1034482758620455E-2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'28'!F52</f>
        <v>10</v>
      </c>
      <c r="F52" s="145">
        <v>10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'28'!F54</f>
        <v>76314.289999999994</v>
      </c>
      <c r="F54" s="145">
        <v>63573.5</v>
      </c>
      <c r="G54" s="112">
        <f t="shared" si="4"/>
        <v>-12740.789999999994</v>
      </c>
      <c r="H54" s="99">
        <f>G54+'28'!H54</f>
        <v>-982.5</v>
      </c>
      <c r="I54" s="95"/>
      <c r="J54" s="175">
        <f>H54/DAY(B2)</f>
        <v>-33.879310344827587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'28'!F55</f>
        <v>276839.17</v>
      </c>
      <c r="F55" s="145">
        <v>219813</v>
      </c>
      <c r="G55" s="112">
        <f t="shared" si="4"/>
        <v>-57026.169999999984</v>
      </c>
      <c r="H55" s="99">
        <f>G55+'28'!H55</f>
        <v>-5660</v>
      </c>
      <c r="I55" s="95"/>
      <c r="J55" s="175">
        <f>H55/DAY(B2)</f>
        <v>-195.17241379310346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'28'!F56</f>
        <v>111243.13</v>
      </c>
      <c r="F56" s="145">
        <v>107246</v>
      </c>
      <c r="G56" s="112">
        <f t="shared" si="4"/>
        <v>-3997.1300000000047</v>
      </c>
      <c r="H56" s="99">
        <f>G56+'28'!H56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'28'!F57</f>
        <v>125882.34</v>
      </c>
      <c r="F57" s="145">
        <v>30745.95</v>
      </c>
      <c r="G57" s="112">
        <f t="shared" si="4"/>
        <v>-95136.39</v>
      </c>
      <c r="H57" s="99">
        <f>G57+'28'!H57</f>
        <v>-6857.0500000000029</v>
      </c>
      <c r="I57" s="95"/>
      <c r="J57" s="175">
        <f>H57/DAY(B2)</f>
        <v>-236.4500000000001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'28'!F58</f>
        <v>39722.86</v>
      </c>
      <c r="F58" s="145">
        <v>32150.3</v>
      </c>
      <c r="G58" s="112">
        <f t="shared" si="4"/>
        <v>-7572.5600000000013</v>
      </c>
      <c r="H58" s="99">
        <f>G58+'28'!H58</f>
        <v>-738.70000000000073</v>
      </c>
      <c r="I58" s="95"/>
      <c r="J58" s="175">
        <f>H58/DAY(B2)</f>
        <v>-25.472413793103474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-321357.49999999994</v>
      </c>
      <c r="H59" s="99">
        <f>G59+'28'!H59</f>
        <v>-27279.929999999993</v>
      </c>
      <c r="I59" s="95">
        <f>G7-G60</f>
        <v>805145.50999999989</v>
      </c>
      <c r="J59" s="175">
        <f>H59/DAY(B2)</f>
        <v>-940.68724137931008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-776845.50999999989</v>
      </c>
      <c r="H60" s="99">
        <f>G60+'28'!H60</f>
        <v>-62542.539999999921</v>
      </c>
      <c r="I60" s="95">
        <f>G13-G60</f>
        <v>-40994.490000000107</v>
      </c>
      <c r="J60" s="175">
        <f>H60/DAY(B2)</f>
        <v>-2156.6393103448249</v>
      </c>
      <c r="K60" s="79"/>
      <c r="L60" s="66"/>
      <c r="N60" s="87"/>
      <c r="O60" s="71"/>
    </row>
    <row r="61" spans="1:15" s="68" customFormat="1" ht="26.25">
      <c r="A61" s="892" t="s">
        <v>332</v>
      </c>
      <c r="B61" s="893"/>
      <c r="C61" s="89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3" t="s">
        <v>198</v>
      </c>
      <c r="B62" s="874"/>
      <c r="C62" s="875"/>
      <c r="D62" s="151" t="s">
        <v>142</v>
      </c>
      <c r="E62" s="95">
        <f>'28'!F62</f>
        <v>292505</v>
      </c>
      <c r="F62" s="122">
        <v>288560</v>
      </c>
      <c r="G62" s="112">
        <f t="shared" ref="G62:G63" si="5">F62-E62</f>
        <v>-3945</v>
      </c>
      <c r="H62" s="99">
        <f>G62+'28'!H62</f>
        <v>-340</v>
      </c>
      <c r="I62" s="118"/>
      <c r="J62" s="175">
        <f>H62/DAY(B2)</f>
        <v>-11.724137931034482</v>
      </c>
      <c r="K62" s="80"/>
      <c r="L62" s="66"/>
      <c r="N62" s="87"/>
      <c r="O62" s="71"/>
    </row>
    <row r="63" spans="1:15" ht="25.5">
      <c r="A63" s="873" t="s">
        <v>199</v>
      </c>
      <c r="B63" s="874"/>
      <c r="C63" s="875"/>
      <c r="D63" s="151" t="s">
        <v>142</v>
      </c>
      <c r="E63" s="95">
        <f>'28'!F63</f>
        <v>234791</v>
      </c>
      <c r="F63" s="122">
        <v>230881</v>
      </c>
      <c r="G63" s="112">
        <f t="shared" si="5"/>
        <v>-3910</v>
      </c>
      <c r="H63" s="99">
        <f>G63+'28'!H63</f>
        <v>-281</v>
      </c>
      <c r="I63" s="118"/>
      <c r="J63" s="175">
        <f>H63/DAY(B2)</f>
        <v>-9.6896551724137936</v>
      </c>
      <c r="K63" s="69"/>
      <c r="L63" s="66"/>
      <c r="N63" s="87"/>
      <c r="O63" s="71"/>
    </row>
    <row r="64" spans="1:15" ht="26.25">
      <c r="A64" s="870" t="s">
        <v>200</v>
      </c>
      <c r="B64" s="871"/>
      <c r="C64" s="872"/>
      <c r="D64" s="151"/>
      <c r="E64" s="95">
        <f>'28'!F64</f>
        <v>0</v>
      </c>
      <c r="F64" s="122"/>
      <c r="G64" s="112">
        <f>G62+G63</f>
        <v>-7855</v>
      </c>
      <c r="H64" s="99">
        <f>G64+'28'!H64</f>
        <v>-621</v>
      </c>
      <c r="I64" s="118"/>
      <c r="J64" s="175">
        <f>H64/DAY(B2)</f>
        <v>-21.413793103448278</v>
      </c>
      <c r="K64" s="69"/>
      <c r="L64" s="66"/>
      <c r="N64" s="87"/>
      <c r="O64" s="71"/>
    </row>
    <row r="65" spans="1:15" ht="25.5">
      <c r="A65" s="873" t="s">
        <v>201</v>
      </c>
      <c r="B65" s="874"/>
      <c r="C65" s="875"/>
      <c r="D65" s="151" t="s">
        <v>142</v>
      </c>
      <c r="E65" s="95">
        <f>'28'!F65</f>
        <v>451186</v>
      </c>
      <c r="F65" s="122">
        <v>447817</v>
      </c>
      <c r="G65" s="112">
        <f t="shared" ref="G65:G70" si="6">F65-E65</f>
        <v>-3369</v>
      </c>
      <c r="H65" s="99">
        <f>G65+'28'!H65</f>
        <v>-210</v>
      </c>
      <c r="I65" s="118"/>
      <c r="J65" s="175">
        <f>H65/DAY(B2)</f>
        <v>-7.2413793103448274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'28'!F66</f>
        <v>110989</v>
      </c>
      <c r="F66" s="122">
        <v>110288</v>
      </c>
      <c r="G66" s="112">
        <f t="shared" si="6"/>
        <v>-701</v>
      </c>
      <c r="H66" s="99">
        <f>G66+'28'!H66</f>
        <v>-43</v>
      </c>
      <c r="I66" s="118"/>
      <c r="J66" s="175">
        <f>H66/DAY(B2)</f>
        <v>-1.4827586206896552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'28'!F67</f>
        <v>113680</v>
      </c>
      <c r="F67" s="122">
        <v>113138</v>
      </c>
      <c r="G67" s="112">
        <f t="shared" si="6"/>
        <v>-542</v>
      </c>
      <c r="H67" s="99">
        <f>G67+'28'!H67</f>
        <v>-140</v>
      </c>
      <c r="I67" s="118"/>
      <c r="J67" s="175">
        <f>H67/DAY(B2)</f>
        <v>-4.8275862068965516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'28'!F68</f>
        <v>163488</v>
      </c>
      <c r="F68" s="122">
        <v>162443</v>
      </c>
      <c r="G68" s="112">
        <f t="shared" si="6"/>
        <v>-1045</v>
      </c>
      <c r="H68" s="99">
        <f>G68+'28'!H68</f>
        <v>-51</v>
      </c>
      <c r="I68" s="118"/>
      <c r="J68" s="175">
        <f>H68/DAY(B2)</f>
        <v>-1.7586206896551724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'28'!F69</f>
        <v>12116</v>
      </c>
      <c r="F69" s="122">
        <v>11851</v>
      </c>
      <c r="G69" s="112">
        <f t="shared" si="6"/>
        <v>-265</v>
      </c>
      <c r="H69" s="99">
        <f>G69+'28'!H69</f>
        <v>-18</v>
      </c>
      <c r="I69" s="118"/>
      <c r="J69" s="175">
        <f>H69/DAY(B2)</f>
        <v>-0.62068965517241381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'28'!F70</f>
        <v>9502</v>
      </c>
      <c r="F70" s="122">
        <v>9225</v>
      </c>
      <c r="G70" s="112">
        <f t="shared" si="6"/>
        <v>-277</v>
      </c>
      <c r="H70" s="99">
        <f>G70+'28'!H70</f>
        <v>-42</v>
      </c>
      <c r="I70" s="118"/>
      <c r="J70" s="175">
        <f>H70/DAY(B2)</f>
        <v>-1.4482758620689655</v>
      </c>
      <c r="K70" s="69"/>
      <c r="L70" s="66"/>
      <c r="N70" s="87"/>
      <c r="O70" s="71"/>
    </row>
    <row r="71" spans="1:15" ht="26.25">
      <c r="A71" s="870" t="s">
        <v>208</v>
      </c>
      <c r="B71" s="871"/>
      <c r="C71" s="872"/>
      <c r="D71" s="152"/>
      <c r="E71" s="95">
        <f>'28'!F71</f>
        <v>0</v>
      </c>
      <c r="F71" s="152"/>
      <c r="G71" s="153">
        <f>SUM(G65:G70)</f>
        <v>-6199</v>
      </c>
      <c r="H71" s="99">
        <f>G71+'28'!H71</f>
        <v>-504</v>
      </c>
      <c r="I71" s="154"/>
      <c r="J71" s="175">
        <f>H71/DAY(B2)</f>
        <v>-17.379310344827587</v>
      </c>
      <c r="K71" s="69"/>
      <c r="L71" s="66"/>
      <c r="N71" s="87"/>
      <c r="O71" s="71"/>
    </row>
    <row r="72" spans="1:15" s="88" customFormat="1" ht="25.5">
      <c r="A72" s="916"/>
      <c r="B72" s="90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3" t="s">
        <v>220</v>
      </c>
      <c r="B74" s="874"/>
      <c r="C74" s="875"/>
      <c r="D74" s="151" t="s">
        <v>139</v>
      </c>
      <c r="E74" s="95">
        <f>'28'!F74</f>
        <v>947141.45</v>
      </c>
      <c r="F74" s="117">
        <v>938017</v>
      </c>
      <c r="G74" s="112">
        <f t="shared" ref="G74:G78" si="7">F74-E74</f>
        <v>-9124.4499999999534</v>
      </c>
      <c r="H74" s="99">
        <f>G74+'28'!H74</f>
        <v>-653</v>
      </c>
      <c r="I74" s="154"/>
      <c r="J74" s="175">
        <f>H74/DAY(B2)</f>
        <v>-22.517241379310345</v>
      </c>
      <c r="K74" s="69"/>
      <c r="L74" s="66"/>
      <c r="N74" s="87"/>
      <c r="O74" s="71"/>
    </row>
    <row r="75" spans="1:15" ht="25.5">
      <c r="A75" s="873" t="s">
        <v>221</v>
      </c>
      <c r="B75" s="874"/>
      <c r="C75" s="875"/>
      <c r="D75" s="151" t="s">
        <v>139</v>
      </c>
      <c r="E75" s="95">
        <f>'28'!F75</f>
        <v>73586</v>
      </c>
      <c r="F75" s="123">
        <v>73586.8</v>
      </c>
      <c r="G75" s="112">
        <f t="shared" si="7"/>
        <v>0.80000000000291038</v>
      </c>
      <c r="H75" s="99">
        <f>G75+'28'!H75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7" t="s">
        <v>222</v>
      </c>
      <c r="B76" s="903"/>
      <c r="C76" s="904"/>
      <c r="D76" s="151" t="s">
        <v>139</v>
      </c>
      <c r="E76" s="95">
        <f>'28'!F76</f>
        <v>186700.33</v>
      </c>
      <c r="F76" s="123">
        <v>183498.49</v>
      </c>
      <c r="G76" s="112">
        <f t="shared" si="7"/>
        <v>-3201.8399999999965</v>
      </c>
      <c r="H76" s="99">
        <f>G76+'28'!H76</f>
        <v>-207.51000000000931</v>
      </c>
      <c r="I76" s="154"/>
      <c r="J76" s="175">
        <f>H76/DAY(B2)</f>
        <v>-7.1555172413796315</v>
      </c>
      <c r="K76" s="69"/>
      <c r="L76" s="66"/>
      <c r="N76" s="87"/>
      <c r="O76" s="71"/>
    </row>
    <row r="77" spans="1:15" ht="25.5">
      <c r="A77" s="917" t="s">
        <v>223</v>
      </c>
      <c r="B77" s="903"/>
      <c r="C77" s="904"/>
      <c r="D77" s="151" t="s">
        <v>139</v>
      </c>
      <c r="E77" s="95">
        <f>'28'!F77</f>
        <v>48628.800000000003</v>
      </c>
      <c r="F77" s="123">
        <v>47250</v>
      </c>
      <c r="G77" s="112">
        <f t="shared" si="7"/>
        <v>-1378.8000000000029</v>
      </c>
      <c r="H77" s="99">
        <f>G77+'28'!H77</f>
        <v>-95</v>
      </c>
      <c r="I77" s="154"/>
      <c r="J77" s="175">
        <f>H77/DAY(B2)</f>
        <v>-3.2758620689655173</v>
      </c>
      <c r="K77" s="69"/>
      <c r="L77" s="66"/>
      <c r="N77" s="87"/>
      <c r="O77" s="71"/>
    </row>
    <row r="78" spans="1:15" ht="25.5">
      <c r="A78" s="917" t="s">
        <v>224</v>
      </c>
      <c r="B78" s="903"/>
      <c r="C78" s="904"/>
      <c r="D78" s="151" t="s">
        <v>139</v>
      </c>
      <c r="E78" s="95">
        <f>'28'!F78</f>
        <v>9563</v>
      </c>
      <c r="F78" s="123">
        <v>9563</v>
      </c>
      <c r="G78" s="112">
        <f t="shared" si="7"/>
        <v>0</v>
      </c>
      <c r="H78" s="99">
        <f>G78+'28'!H78</f>
        <v>-1</v>
      </c>
      <c r="I78" s="118"/>
      <c r="J78" s="175">
        <f>H78/DAY(B2)</f>
        <v>-3.4482758620689655E-2</v>
      </c>
      <c r="K78" s="69"/>
      <c r="L78" s="66"/>
      <c r="N78" s="87"/>
      <c r="O78" s="71"/>
    </row>
    <row r="79" spans="1:15" s="57" customFormat="1" ht="25.5">
      <c r="A79" s="917" t="s">
        <v>225</v>
      </c>
      <c r="B79" s="903"/>
      <c r="C79" s="904"/>
      <c r="D79" s="151"/>
      <c r="E79" s="95">
        <f>'28'!F79</f>
        <v>0</v>
      </c>
      <c r="F79" s="117"/>
      <c r="G79" s="112">
        <f>G15-SUM(G74:G78)</f>
        <v>14804.28999999995</v>
      </c>
      <c r="H79" s="99">
        <f>G79+'28'!H79</f>
        <v>31052.800000000047</v>
      </c>
      <c r="I79" s="118"/>
      <c r="J79" s="175"/>
      <c r="K79" s="59"/>
      <c r="L79" s="58"/>
      <c r="N79" s="87"/>
      <c r="O79" s="71"/>
    </row>
    <row r="80" spans="1:15" s="57" customFormat="1" ht="26.25">
      <c r="A80" s="870" t="s">
        <v>329</v>
      </c>
      <c r="B80" s="871"/>
      <c r="C80" s="872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5.5">
      <c r="A81" s="909" t="s">
        <v>226</v>
      </c>
      <c r="B81" s="910"/>
      <c r="C81" s="91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'28'!F84</f>
        <v>42275</v>
      </c>
      <c r="F84" s="164">
        <v>41969</v>
      </c>
      <c r="G84" s="112">
        <f t="shared" si="8"/>
        <v>-306</v>
      </c>
      <c r="H84" s="99">
        <f>G84+'28'!H84</f>
        <v>0</v>
      </c>
      <c r="I84" s="57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'28'!F85</f>
        <v>4850.53</v>
      </c>
      <c r="F85" s="164">
        <v>4295.34</v>
      </c>
      <c r="G85" s="112">
        <f t="shared" si="8"/>
        <v>-555.1899999999996</v>
      </c>
      <c r="H85" s="99">
        <f>G85+'28'!H85</f>
        <v>-47.659999999999854</v>
      </c>
      <c r="I85" s="573"/>
      <c r="J85" s="175">
        <f>H85/DAY(B2)</f>
        <v>-1.6434482758620639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'28'!F86</f>
        <v>44804.56</v>
      </c>
      <c r="F86" s="164">
        <v>44433.46</v>
      </c>
      <c r="G86" s="112">
        <f t="shared" si="8"/>
        <v>-371.09999999999854</v>
      </c>
      <c r="H86" s="99">
        <f>G86+'28'!H86</f>
        <v>-36.540000000000873</v>
      </c>
      <c r="I86" s="573"/>
      <c r="J86" s="175">
        <f>H86/DAY(B2)</f>
        <v>-1.2600000000000302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'28'!F87</f>
        <v>35358.050000000003</v>
      </c>
      <c r="F87" s="164">
        <v>35329</v>
      </c>
      <c r="G87" s="112">
        <f t="shared" si="8"/>
        <v>-29.05000000000291</v>
      </c>
      <c r="H87" s="99">
        <f>G87+'28'!H87</f>
        <v>0</v>
      </c>
      <c r="I87" s="573">
        <f>G84+G85+G86+G87</f>
        <v>-1261.3400000000011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'28'!F88</f>
        <v>24277.4</v>
      </c>
      <c r="F88" s="164">
        <v>24218.36</v>
      </c>
      <c r="G88" s="112">
        <f t="shared" si="8"/>
        <v>-59.040000000000873</v>
      </c>
      <c r="H88" s="99">
        <f>G88+'28'!H88</f>
        <v>-9.5200000000004366</v>
      </c>
      <c r="I88" s="573"/>
      <c r="J88" s="175">
        <f>H88/DAY(B2)</f>
        <v>-0.32827586206898057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'28'!F89</f>
        <v>27273.8</v>
      </c>
      <c r="F89" s="164">
        <v>26972.45</v>
      </c>
      <c r="G89" s="112">
        <f t="shared" si="8"/>
        <v>-301.34999999999854</v>
      </c>
      <c r="H89" s="99">
        <f>G89+'28'!H89</f>
        <v>-20.959999999999127</v>
      </c>
      <c r="I89" s="573">
        <f>G88+G89</f>
        <v>-360.38999999999942</v>
      </c>
      <c r="J89" s="175">
        <f>H89/DAY(B2)</f>
        <v>-0.72275862068962504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'28'!F90</f>
        <v>72306.31</v>
      </c>
      <c r="F90" s="164">
        <v>72116.45</v>
      </c>
      <c r="G90" s="112">
        <f t="shared" si="8"/>
        <v>-189.86000000000058</v>
      </c>
      <c r="H90" s="99">
        <f>G90+'28'!H90</f>
        <v>-156.22999999999593</v>
      </c>
      <c r="I90" s="573">
        <f>G90</f>
        <v>-189.86000000000058</v>
      </c>
      <c r="J90" s="175">
        <f>H90/DAY(B2)</f>
        <v>-5.3872413793102041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'28'!F91</f>
        <v>4132.04</v>
      </c>
      <c r="F91" s="122">
        <v>4122</v>
      </c>
      <c r="G91" s="112">
        <f t="shared" si="8"/>
        <v>-10.039999999999964</v>
      </c>
      <c r="H91" s="99">
        <f>G91+'28'!H91</f>
        <v>0.3500000000003638</v>
      </c>
      <c r="I91" s="592"/>
      <c r="J91" s="175">
        <f>H91/DAY(B2)</f>
        <v>1.2068965517253925E-2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'28'!F92</f>
        <v>6501.79</v>
      </c>
      <c r="F92" s="122">
        <v>6194.84</v>
      </c>
      <c r="G92" s="112">
        <f t="shared" si="8"/>
        <v>-306.94999999999982</v>
      </c>
      <c r="H92" s="99">
        <f>G92+'28'!H92</f>
        <v>-22.409999999999854</v>
      </c>
      <c r="I92" s="598">
        <f>G91+G92</f>
        <v>-316.98999999999978</v>
      </c>
      <c r="J92" s="175">
        <f>H92/DAY(B2)</f>
        <v>-0.77275862068965018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3" t="s">
        <v>240</v>
      </c>
      <c r="B94" s="874"/>
      <c r="C94" s="875"/>
      <c r="D94" s="151" t="s">
        <v>130</v>
      </c>
      <c r="E94" s="151"/>
      <c r="F94" s="151"/>
      <c r="G94" s="99">
        <f>G35+G43+G49+G57</f>
        <v>-206798.78999999998</v>
      </c>
      <c r="H94" s="99">
        <f>G94+'28'!H94</f>
        <v>-17733.050000000076</v>
      </c>
      <c r="I94" s="118"/>
      <c r="J94" s="175">
        <f>H94/DAY(B2)</f>
        <v>-611.48448275862324</v>
      </c>
      <c r="K94" s="69"/>
      <c r="L94" s="66"/>
      <c r="O94" s="71"/>
    </row>
    <row r="95" spans="1:15" ht="25.5">
      <c r="A95" s="873" t="s">
        <v>241</v>
      </c>
      <c r="B95" s="874"/>
      <c r="C95" s="875"/>
      <c r="D95" s="151" t="s">
        <v>23</v>
      </c>
      <c r="E95" s="146"/>
      <c r="F95" s="146"/>
      <c r="G95" s="166">
        <f>G94/G7</f>
        <v>-7.3073777385159007</v>
      </c>
      <c r="H95" s="99">
        <f>G95+'28'!H95</f>
        <v>-0.50092992229256428</v>
      </c>
      <c r="I95" s="167"/>
      <c r="J95" s="175">
        <f>H95/DAY(B2)</f>
        <v>-1.7273445596295321E-2</v>
      </c>
      <c r="K95" s="69"/>
      <c r="L95" s="66"/>
      <c r="O95" s="71"/>
    </row>
    <row r="96" spans="1:15" ht="25.5">
      <c r="A96" s="873" t="s">
        <v>242</v>
      </c>
      <c r="B96" s="874"/>
      <c r="C96" s="875"/>
      <c r="D96" s="151" t="s">
        <v>130</v>
      </c>
      <c r="E96" s="95"/>
      <c r="F96" s="95"/>
      <c r="G96" s="99">
        <f>G41+G42+G55+G56</f>
        <v>-267765.74</v>
      </c>
      <c r="H96" s="99">
        <f>G96+'28'!H96</f>
        <v>-19579.999999999971</v>
      </c>
      <c r="I96" s="118"/>
      <c r="J96" s="175">
        <f>H96/DAY(B2)</f>
        <v>-675.17241379310246</v>
      </c>
      <c r="K96" s="69"/>
      <c r="L96" s="66"/>
      <c r="O96" s="71"/>
    </row>
    <row r="97" spans="1:15" ht="25.5">
      <c r="A97" s="873" t="s">
        <v>243</v>
      </c>
      <c r="B97" s="874"/>
      <c r="C97" s="875"/>
      <c r="D97" s="151" t="s">
        <v>23</v>
      </c>
      <c r="E97" s="95"/>
      <c r="F97" s="95"/>
      <c r="G97" s="166">
        <f>G96/G7</f>
        <v>-9.4616869257950533</v>
      </c>
      <c r="H97" s="99">
        <f>G97+'28'!H97</f>
        <v>-0.58607196673692208</v>
      </c>
      <c r="I97" s="167"/>
      <c r="J97" s="175">
        <f>H97/DAY(B2)</f>
        <v>-2.0209378163342142E-2</v>
      </c>
      <c r="K97" s="69"/>
      <c r="L97" s="66"/>
      <c r="O97" s="71"/>
    </row>
    <row r="98" spans="1:15" ht="25.5">
      <c r="A98" s="873" t="s">
        <v>244</v>
      </c>
      <c r="B98" s="874"/>
      <c r="C98" s="875"/>
      <c r="D98" s="151" t="s">
        <v>130</v>
      </c>
      <c r="E98" s="95"/>
      <c r="F98" s="95"/>
      <c r="G98" s="99">
        <f>G39+G53</f>
        <v>-91400.789999999979</v>
      </c>
      <c r="H98" s="99">
        <f>G98+'28'!H98</f>
        <v>-9197.9099999999744</v>
      </c>
      <c r="I98" s="168"/>
      <c r="J98" s="175">
        <f>H98/DAY(B2)</f>
        <v>-317.16931034482673</v>
      </c>
      <c r="K98" s="69"/>
      <c r="L98" s="66"/>
      <c r="O98" s="71"/>
    </row>
    <row r="99" spans="1:15" ht="25.5">
      <c r="A99" s="873" t="s">
        <v>245</v>
      </c>
      <c r="B99" s="874"/>
      <c r="C99" s="875"/>
      <c r="D99" s="151" t="s">
        <v>23</v>
      </c>
      <c r="E99" s="95"/>
      <c r="F99" s="95"/>
      <c r="G99" s="166">
        <f>G98/G7</f>
        <v>-3.2297098939929323</v>
      </c>
      <c r="H99" s="99">
        <f>G99+'28'!H99</f>
        <v>-0.27466504166237948</v>
      </c>
      <c r="I99" s="168"/>
      <c r="J99" s="175">
        <f>H99/DAY(B2)</f>
        <v>-9.4712083331855001E-3</v>
      </c>
      <c r="O99" s="71"/>
    </row>
    <row r="100" spans="1:15" ht="26.25">
      <c r="A100" s="873" t="s">
        <v>246</v>
      </c>
      <c r="B100" s="874"/>
      <c r="C100" s="875"/>
      <c r="D100" s="151" t="s">
        <v>180</v>
      </c>
      <c r="E100" s="95"/>
      <c r="F100" s="95"/>
      <c r="G100" s="99">
        <f>G38+G52</f>
        <v>-70561.789999999979</v>
      </c>
      <c r="H100" s="99">
        <f>G100+'28'!H100</f>
        <v>-6542</v>
      </c>
      <c r="I100" s="118"/>
      <c r="J100" s="175">
        <f>H100/DAY(B2)</f>
        <v>-225.58620689655172</v>
      </c>
      <c r="K100" s="70"/>
      <c r="O100" s="71"/>
    </row>
    <row r="101" spans="1:15" ht="25.5">
      <c r="A101" s="873" t="s">
        <v>247</v>
      </c>
      <c r="B101" s="874"/>
      <c r="C101" s="875"/>
      <c r="D101" s="151" t="s">
        <v>23</v>
      </c>
      <c r="E101" s="95"/>
      <c r="F101" s="95"/>
      <c r="G101" s="166">
        <f>G100/G7</f>
        <v>-2.4933494699646634</v>
      </c>
      <c r="H101" s="99">
        <f>G101+'28'!H101</f>
        <v>-0.19349124366206683</v>
      </c>
      <c r="I101" s="168"/>
      <c r="J101" s="175">
        <f>H101/DAY(B2)</f>
        <v>-6.6721118504160975E-3</v>
      </c>
      <c r="O101" s="71"/>
    </row>
    <row r="102" spans="1:15" ht="25.5">
      <c r="A102" s="873" t="s">
        <v>248</v>
      </c>
      <c r="B102" s="874"/>
      <c r="C102" s="875"/>
      <c r="D102" s="151" t="s">
        <v>180</v>
      </c>
      <c r="E102" s="95"/>
      <c r="F102" s="95"/>
      <c r="G102" s="99">
        <f>G36+G50</f>
        <v>-59496.899999999994</v>
      </c>
      <c r="H102" s="99">
        <f>G102+'28'!H102</f>
        <v>-3888</v>
      </c>
      <c r="I102" s="168"/>
      <c r="J102" s="175">
        <f>H102/DAY(B2)</f>
        <v>-134.06896551724137</v>
      </c>
      <c r="O102" s="71"/>
    </row>
    <row r="103" spans="1:15" ht="25.5">
      <c r="A103" s="873" t="s">
        <v>249</v>
      </c>
      <c r="B103" s="874"/>
      <c r="C103" s="875"/>
      <c r="D103" s="151" t="s">
        <v>23</v>
      </c>
      <c r="E103" s="95"/>
      <c r="F103" s="95"/>
      <c r="G103" s="166">
        <f>G102/G7</f>
        <v>-2.1023639575971731</v>
      </c>
      <c r="H103" s="99">
        <f>G103+'28'!H103</f>
        <v>-0.11241549041453958</v>
      </c>
      <c r="I103" s="118"/>
      <c r="J103" s="175">
        <f>H103/DAY(B2)</f>
        <v>-3.8763962211910198E-3</v>
      </c>
      <c r="O103" s="71"/>
    </row>
    <row r="104" spans="1:15" ht="25.5">
      <c r="A104" s="873" t="s">
        <v>250</v>
      </c>
      <c r="B104" s="874"/>
      <c r="C104" s="875"/>
      <c r="D104" s="151" t="s">
        <v>180</v>
      </c>
      <c r="E104" s="95"/>
      <c r="F104" s="95"/>
      <c r="G104" s="99">
        <f>G37+G51</f>
        <v>-50958.469999999972</v>
      </c>
      <c r="H104" s="99">
        <f>G104+'28'!H104</f>
        <v>-3430.6800000000003</v>
      </c>
      <c r="I104" s="118"/>
      <c r="J104" s="175">
        <f>H104/DAY(B2)</f>
        <v>-118.2993103448276</v>
      </c>
      <c r="O104" s="71"/>
    </row>
    <row r="105" spans="1:15" ht="26.25" thickBot="1">
      <c r="A105" s="913" t="s">
        <v>251</v>
      </c>
      <c r="B105" s="914"/>
      <c r="C105" s="915"/>
      <c r="D105" s="231" t="s">
        <v>23</v>
      </c>
      <c r="E105" s="185"/>
      <c r="F105" s="185"/>
      <c r="G105" s="186">
        <f>G104/G7</f>
        <v>-1.8006526501766775</v>
      </c>
      <c r="H105" s="99">
        <f>G105+'28'!H105</f>
        <v>-9.6457889769733463E-2</v>
      </c>
      <c r="I105" s="187"/>
      <c r="J105" s="188">
        <f>H105/DAY(B2)</f>
        <v>-3.326134129990809E-3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7" t="s">
        <v>324</v>
      </c>
      <c r="B108" s="927"/>
      <c r="C108" s="927"/>
      <c r="D108" s="927"/>
      <c r="E108" s="927"/>
      <c r="F108" s="927"/>
      <c r="G108" s="927"/>
      <c r="H108" s="927"/>
      <c r="I108" s="927"/>
      <c r="J108" s="927"/>
    </row>
    <row r="109" spans="1:15" ht="26.25">
      <c r="A109" s="912"/>
      <c r="B109" s="912"/>
    </row>
    <row r="110" spans="1:15" ht="26.25">
      <c r="A110" s="928" t="s">
        <v>165</v>
      </c>
      <c r="B110" s="929"/>
      <c r="C110" s="929"/>
      <c r="D110" s="929"/>
      <c r="E110" s="929"/>
      <c r="F110" s="929"/>
      <c r="G110" s="929"/>
      <c r="H110" s="929"/>
      <c r="I110" s="929"/>
      <c r="J110" s="930"/>
    </row>
    <row r="111" spans="1:15" ht="25.5">
      <c r="A111" s="931"/>
      <c r="B111" s="932"/>
      <c r="C111" s="933"/>
      <c r="D111" s="165"/>
      <c r="E111" s="165"/>
      <c r="F111" s="165"/>
      <c r="G111" s="165"/>
      <c r="H111" s="156"/>
      <c r="I111" s="165"/>
      <c r="J111" s="327"/>
    </row>
    <row r="112" spans="1:15" ht="25.5">
      <c r="A112" s="906" t="s">
        <v>252</v>
      </c>
      <c r="B112" s="907"/>
      <c r="C112" s="908"/>
      <c r="D112" s="146" t="s">
        <v>183</v>
      </c>
      <c r="E112" s="237">
        <f>'28'!F112</f>
        <v>4786.4399999999996</v>
      </c>
      <c r="F112" s="237">
        <v>2523</v>
      </c>
      <c r="G112" s="112">
        <f t="shared" ref="G112" si="9">F112-E112</f>
        <v>-2263.4399999999996</v>
      </c>
      <c r="H112" s="99">
        <f>G112+'28'!H112</f>
        <v>-154</v>
      </c>
      <c r="I112" s="165"/>
      <c r="J112" s="328">
        <f>H112/DAY(B2)</f>
        <v>-5.3103448275862073</v>
      </c>
    </row>
    <row r="113" spans="1:18" ht="25.5">
      <c r="A113" s="906" t="s">
        <v>253</v>
      </c>
      <c r="B113" s="907"/>
      <c r="C113" s="908"/>
      <c r="D113" s="146" t="s">
        <v>183</v>
      </c>
      <c r="E113" s="237">
        <f>'28'!F113</f>
        <v>10354.89</v>
      </c>
      <c r="F113" s="237">
        <v>6027.1</v>
      </c>
      <c r="G113" s="112">
        <f t="shared" ref="G113:G123" si="10">F113-E113</f>
        <v>-4327.7899999999991</v>
      </c>
      <c r="H113" s="99">
        <f>G113+'28'!H113</f>
        <v>-363.89999999999964</v>
      </c>
      <c r="I113" s="165"/>
      <c r="J113" s="328">
        <f>H113/DAY(B2)</f>
        <v>-12.548275862068953</v>
      </c>
    </row>
    <row r="114" spans="1:18" ht="25.5">
      <c r="A114" s="906" t="s">
        <v>254</v>
      </c>
      <c r="B114" s="907"/>
      <c r="C114" s="908"/>
      <c r="D114" s="146" t="s">
        <v>183</v>
      </c>
      <c r="E114" s="237">
        <f>'28'!F114</f>
        <v>13752.74</v>
      </c>
      <c r="F114" s="237">
        <v>7069.67</v>
      </c>
      <c r="G114" s="112">
        <f t="shared" si="10"/>
        <v>-6683.07</v>
      </c>
      <c r="H114" s="99">
        <f>G114+'28'!H114</f>
        <v>-500.32999999999993</v>
      </c>
      <c r="I114" s="165"/>
      <c r="J114" s="328">
        <f>H114/DAY(B2)</f>
        <v>-17.252758620689654</v>
      </c>
    </row>
    <row r="115" spans="1:18" ht="25.5">
      <c r="A115" s="906" t="s">
        <v>255</v>
      </c>
      <c r="B115" s="907"/>
      <c r="C115" s="908"/>
      <c r="D115" s="146" t="s">
        <v>183</v>
      </c>
      <c r="E115" s="237">
        <f>'28'!F115</f>
        <v>8604.2099999999991</v>
      </c>
      <c r="F115" s="237">
        <v>545.48</v>
      </c>
      <c r="G115" s="112">
        <f t="shared" si="10"/>
        <v>-8058.73</v>
      </c>
      <c r="H115" s="99">
        <f>G115+'28'!H115</f>
        <v>-5585</v>
      </c>
      <c r="I115" s="165"/>
      <c r="J115" s="328">
        <f>H115/DAY(B2)</f>
        <v>-192.58620689655172</v>
      </c>
    </row>
    <row r="116" spans="1:18" ht="25.5">
      <c r="A116" s="924" t="s">
        <v>96</v>
      </c>
      <c r="B116" s="925"/>
      <c r="C116" s="926"/>
      <c r="D116" s="146" t="s">
        <v>183</v>
      </c>
      <c r="E116" s="237">
        <f>'28'!F116</f>
        <v>58150.8</v>
      </c>
      <c r="F116" s="237">
        <v>45980.800000000003</v>
      </c>
      <c r="G116" s="112">
        <f t="shared" si="10"/>
        <v>-12170</v>
      </c>
      <c r="H116" s="99">
        <f>G116+'28'!H116</f>
        <v>-774.19999999999709</v>
      </c>
      <c r="I116" s="165"/>
      <c r="J116" s="328">
        <f>H116/DAY(B2)</f>
        <v>-26.69655172413783</v>
      </c>
      <c r="Q116" s="906" t="s">
        <v>311</v>
      </c>
      <c r="R116" s="908"/>
    </row>
    <row r="117" spans="1:18" ht="25.5">
      <c r="A117" s="924" t="s">
        <v>184</v>
      </c>
      <c r="B117" s="925"/>
      <c r="C117" s="926"/>
      <c r="D117" s="146" t="s">
        <v>183</v>
      </c>
      <c r="E117" s="237">
        <f>'28'!F117</f>
        <v>32377.94</v>
      </c>
      <c r="F117" s="237">
        <v>24801.599999999999</v>
      </c>
      <c r="G117" s="112">
        <f t="shared" si="10"/>
        <v>-7576.34</v>
      </c>
      <c r="H117" s="99">
        <f>G117+'28'!H117</f>
        <v>-466.40000000000146</v>
      </c>
      <c r="I117" s="165"/>
      <c r="J117" s="328">
        <f>H117/DAY(B2)</f>
        <v>-16.082758620689706</v>
      </c>
      <c r="Q117" s="906" t="s">
        <v>312</v>
      </c>
      <c r="R117" s="908"/>
    </row>
    <row r="118" spans="1:18" ht="25.5">
      <c r="A118" s="901" t="s">
        <v>97</v>
      </c>
      <c r="B118" s="901"/>
      <c r="C118" s="901"/>
      <c r="D118" s="151" t="s">
        <v>183</v>
      </c>
      <c r="E118" s="237">
        <f>'28'!F118</f>
        <v>43606.99</v>
      </c>
      <c r="F118" s="237">
        <v>25066.1</v>
      </c>
      <c r="G118" s="112">
        <f t="shared" si="10"/>
        <v>-18540.89</v>
      </c>
      <c r="H118" s="99">
        <f>G118+'28'!H118</f>
        <v>-1158.9000000000015</v>
      </c>
      <c r="I118" s="165"/>
      <c r="J118" s="328">
        <f>H118/DAY(B2)</f>
        <v>-39.96206896551729</v>
      </c>
      <c r="Q118" s="906" t="s">
        <v>311</v>
      </c>
      <c r="R118" s="908"/>
    </row>
    <row r="119" spans="1:18" ht="25.5">
      <c r="A119" s="901" t="s">
        <v>98</v>
      </c>
      <c r="B119" s="901"/>
      <c r="C119" s="901"/>
      <c r="D119" s="151" t="s">
        <v>183</v>
      </c>
      <c r="E119" s="237">
        <f>'28'!F119</f>
        <v>29861.01</v>
      </c>
      <c r="F119" s="237">
        <v>18177.400000000001</v>
      </c>
      <c r="G119" s="112">
        <f t="shared" si="10"/>
        <v>-11683.609999999997</v>
      </c>
      <c r="H119" s="99">
        <f>G119+'28'!H119</f>
        <v>-769.59999999999854</v>
      </c>
      <c r="I119" s="165"/>
      <c r="J119" s="328">
        <f>H119/DAY(B2)</f>
        <v>-26.537931034482707</v>
      </c>
    </row>
    <row r="120" spans="1:18" ht="25.5">
      <c r="A120" s="901" t="s">
        <v>99</v>
      </c>
      <c r="B120" s="901"/>
      <c r="C120" s="901"/>
      <c r="D120" s="151" t="s">
        <v>183</v>
      </c>
      <c r="E120" s="237">
        <f>'28'!F120</f>
        <v>32261.13</v>
      </c>
      <c r="F120" s="237">
        <v>19236.400000000001</v>
      </c>
      <c r="G120" s="112">
        <f t="shared" si="10"/>
        <v>-13024.73</v>
      </c>
      <c r="H120" s="99">
        <f>G120+'28'!H120</f>
        <v>-813.59999999999854</v>
      </c>
      <c r="I120" s="165"/>
      <c r="J120" s="328">
        <f>H120/DAY(B2)</f>
        <v>-28.055172413793052</v>
      </c>
    </row>
    <row r="121" spans="1:18" ht="25.5">
      <c r="A121" s="901" t="s">
        <v>100</v>
      </c>
      <c r="B121" s="901"/>
      <c r="C121" s="901"/>
      <c r="D121" s="151" t="s">
        <v>183</v>
      </c>
      <c r="E121" s="237">
        <f>'28'!F121</f>
        <v>38727.129999999997</v>
      </c>
      <c r="F121" s="237">
        <v>24940.6</v>
      </c>
      <c r="G121" s="112">
        <f t="shared" si="10"/>
        <v>-13786.529999999999</v>
      </c>
      <c r="H121" s="99">
        <f>G121+'28'!H121</f>
        <v>-903.40000000000146</v>
      </c>
      <c r="I121" s="165"/>
      <c r="J121" s="328">
        <f>H121/DAY(B2)</f>
        <v>-31.151724137931083</v>
      </c>
    </row>
    <row r="122" spans="1:18" ht="25.5">
      <c r="A122" s="901" t="s">
        <v>101</v>
      </c>
      <c r="B122" s="901"/>
      <c r="C122" s="901"/>
      <c r="D122" s="151" t="s">
        <v>183</v>
      </c>
      <c r="E122" s="237">
        <f>'28'!F122</f>
        <v>19398.75</v>
      </c>
      <c r="F122" s="237">
        <v>10619.7</v>
      </c>
      <c r="G122" s="112">
        <f t="shared" si="10"/>
        <v>-8779.0499999999993</v>
      </c>
      <c r="H122" s="99">
        <f>G122+'28'!H122</f>
        <v>-540.29999999999927</v>
      </c>
      <c r="I122" s="165"/>
      <c r="J122" s="328">
        <f>H122/DAY(B2)</f>
        <v>-18.631034482758597</v>
      </c>
    </row>
    <row r="123" spans="1:18" ht="25.5">
      <c r="A123" s="901" t="s">
        <v>102</v>
      </c>
      <c r="B123" s="901"/>
      <c r="C123" s="901"/>
      <c r="D123" s="151" t="s">
        <v>183</v>
      </c>
      <c r="E123" s="237">
        <f>'28'!F123</f>
        <v>19724</v>
      </c>
      <c r="F123" s="237">
        <v>9883.91</v>
      </c>
      <c r="G123" s="112">
        <f t="shared" si="10"/>
        <v>-9840.09</v>
      </c>
      <c r="H123" s="99">
        <f>G123+'28'!H123</f>
        <v>-625.09000000000015</v>
      </c>
      <c r="I123" s="165"/>
      <c r="J123" s="328">
        <f>H123/DAY(B2)</f>
        <v>-21.554827586206901</v>
      </c>
    </row>
    <row r="124" spans="1:18" ht="25.5">
      <c r="A124" s="931"/>
      <c r="B124" s="932"/>
      <c r="C124" s="933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5.5">
      <c r="A125" s="934" t="s">
        <v>196</v>
      </c>
      <c r="B125" s="935"/>
      <c r="C125" s="245"/>
      <c r="D125" s="307"/>
      <c r="E125" s="308"/>
      <c r="F125" s="308"/>
      <c r="G125" s="309">
        <f>SUM(G112:G124)</f>
        <v>-116734.26999999999</v>
      </c>
      <c r="H125" s="156"/>
      <c r="I125" s="327">
        <f>G125-(G39+G53)</f>
        <v>-25333.48000000001</v>
      </c>
      <c r="J125" s="327"/>
    </row>
    <row r="126" spans="1:18" ht="25.5">
      <c r="A126" s="936" t="s">
        <v>317</v>
      </c>
      <c r="B126" s="936"/>
      <c r="C126" s="936"/>
      <c r="D126" s="936"/>
      <c r="E126" s="936"/>
      <c r="F126" s="936"/>
      <c r="G126" s="936"/>
      <c r="H126" s="936"/>
      <c r="I126" s="936"/>
      <c r="J126" s="936"/>
    </row>
    <row r="127" spans="1:18" ht="25.5">
      <c r="A127" s="937"/>
      <c r="B127" s="937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5.5">
      <c r="A128" s="906" t="s">
        <v>318</v>
      </c>
      <c r="B128" s="907"/>
      <c r="C128" s="908"/>
      <c r="D128" s="151" t="s">
        <v>183</v>
      </c>
      <c r="E128" s="95">
        <f>'28'!F128</f>
        <v>110852.62</v>
      </c>
      <c r="F128" s="165">
        <v>94593.7</v>
      </c>
      <c r="G128" s="112">
        <f t="shared" ref="G128:G134" si="11">F128-E128</f>
        <v>-16258.919999999998</v>
      </c>
      <c r="H128" s="99">
        <f>G128+'28'!H128</f>
        <v>-1121.3000000000029</v>
      </c>
      <c r="I128" s="165"/>
      <c r="J128" s="328">
        <f>H128/DAY(B2)</f>
        <v>-38.665517241379412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'28'!F129</f>
        <v>66325.52</v>
      </c>
      <c r="F129" s="165">
        <v>59668.4</v>
      </c>
      <c r="G129" s="112">
        <f t="shared" si="11"/>
        <v>-6657.1200000000026</v>
      </c>
      <c r="H129" s="99">
        <f>G129+'28'!H129</f>
        <v>-624.59999999999854</v>
      </c>
      <c r="I129" s="165"/>
      <c r="J129" s="328">
        <f>H129/DAY(B2)</f>
        <v>-21.537931034482707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'28'!F130</f>
        <v>140198</v>
      </c>
      <c r="F130" s="615">
        <v>117832</v>
      </c>
      <c r="G130" s="112">
        <f t="shared" si="11"/>
        <v>-22366</v>
      </c>
      <c r="H130" s="99">
        <f>G130+'28'!H130</f>
        <v>-3297</v>
      </c>
      <c r="I130" s="165"/>
      <c r="J130" s="328">
        <f>H130/DAY(B2)</f>
        <v>-113.68965517241379</v>
      </c>
      <c r="N130" s="240"/>
      <c r="O130" s="241"/>
    </row>
    <row r="131" spans="1:15" ht="25.5">
      <c r="A131" s="906" t="s">
        <v>321</v>
      </c>
      <c r="B131" s="907"/>
      <c r="C131" s="908"/>
      <c r="D131" s="151" t="s">
        <v>183</v>
      </c>
      <c r="E131" s="95">
        <f>'28'!F131</f>
        <v>42233</v>
      </c>
      <c r="F131" s="165">
        <v>35855.1</v>
      </c>
      <c r="G131" s="112">
        <f t="shared" si="11"/>
        <v>-6377.9000000000015</v>
      </c>
      <c r="H131" s="99">
        <f>G131+'28'!H131</f>
        <v>-423.90000000000146</v>
      </c>
      <c r="I131" s="165"/>
      <c r="J131" s="328">
        <f>H131/DAY(B2)</f>
        <v>-14.617241379310395</v>
      </c>
      <c r="N131" s="240"/>
      <c r="O131" s="241"/>
    </row>
    <row r="132" spans="1:15" ht="25.5">
      <c r="A132" s="906" t="s">
        <v>322</v>
      </c>
      <c r="B132" s="907"/>
      <c r="C132" s="908"/>
      <c r="D132" s="151" t="s">
        <v>183</v>
      </c>
      <c r="E132" s="95">
        <f>'28'!F132</f>
        <v>115434.29</v>
      </c>
      <c r="F132" s="165">
        <v>102652</v>
      </c>
      <c r="G132" s="112">
        <f t="shared" si="11"/>
        <v>-12782.289999999994</v>
      </c>
      <c r="H132" s="99">
        <f>G132+'28'!H132</f>
        <v>-860</v>
      </c>
      <c r="I132" s="165"/>
      <c r="J132" s="328">
        <f>H132/DAY(B2)</f>
        <v>-29.655172413793103</v>
      </c>
    </row>
    <row r="133" spans="1:15" ht="25.5">
      <c r="A133" s="906" t="s">
        <v>359</v>
      </c>
      <c r="B133" s="907"/>
      <c r="C133" s="908"/>
      <c r="D133" s="151" t="s">
        <v>183</v>
      </c>
      <c r="E133" s="95">
        <f>'28'!F133</f>
        <v>221883.71</v>
      </c>
      <c r="F133" s="165">
        <v>199553</v>
      </c>
      <c r="G133" s="112">
        <f t="shared" si="11"/>
        <v>-22330.709999999992</v>
      </c>
      <c r="H133" s="99">
        <f>G133+'28'!H133</f>
        <v>-1679</v>
      </c>
      <c r="I133" s="165"/>
      <c r="J133" s="328">
        <f>H133/DAY(B2)</f>
        <v>-57.896551724137929</v>
      </c>
    </row>
    <row r="134" spans="1:15" ht="25.5">
      <c r="A134" s="906" t="s">
        <v>340</v>
      </c>
      <c r="B134" s="907"/>
      <c r="C134" s="908"/>
      <c r="D134" s="151" t="s">
        <v>183</v>
      </c>
      <c r="E134" s="95">
        <f>'28'!F134</f>
        <v>41380.449999999997</v>
      </c>
      <c r="F134" s="165">
        <v>34461.800000000003</v>
      </c>
      <c r="G134" s="112">
        <f t="shared" si="11"/>
        <v>-6918.6499999999942</v>
      </c>
      <c r="H134" s="99">
        <f>G134+'28'!H134</f>
        <v>-433.19999999999709</v>
      </c>
      <c r="I134" s="165"/>
      <c r="J134" s="328">
        <f>H134/DAY(B2)</f>
        <v>-14.937931034482657</v>
      </c>
    </row>
    <row r="135" spans="1:15" ht="25.5">
      <c r="A135" s="934" t="s">
        <v>196</v>
      </c>
      <c r="B135" s="935"/>
      <c r="C135" s="331"/>
      <c r="D135" s="151"/>
      <c r="E135" s="95"/>
      <c r="F135" s="165" t="s">
        <v>366</v>
      </c>
      <c r="G135" s="112">
        <f>SUM(G127:G134)</f>
        <v>-93691.589999999982</v>
      </c>
      <c r="H135" s="99">
        <f>G135+'23'!H135</f>
        <v>-60413.259999999987</v>
      </c>
      <c r="I135" s="327">
        <f>G135-(G35+G49)</f>
        <v>17970.809999999983</v>
      </c>
      <c r="J135" s="328"/>
    </row>
    <row r="136" spans="1:15" ht="27.75">
      <c r="A136" s="938" t="s">
        <v>325</v>
      </c>
      <c r="B136" s="938"/>
      <c r="C136" s="938"/>
      <c r="D136" s="938"/>
      <c r="E136" s="938"/>
      <c r="F136" s="938"/>
      <c r="G136" s="938"/>
      <c r="H136" s="938"/>
      <c r="I136" s="938"/>
      <c r="J136" s="938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1" t="s">
        <v>185</v>
      </c>
      <c r="B138" s="901"/>
      <c r="C138" s="901"/>
      <c r="D138" s="151" t="s">
        <v>183</v>
      </c>
      <c r="E138" s="95">
        <f>'28'!F138</f>
        <v>886943</v>
      </c>
      <c r="F138" s="147">
        <v>10272.4</v>
      </c>
      <c r="G138" s="112">
        <f t="shared" ref="G138:G151" si="12">F138-E138</f>
        <v>-876670.6</v>
      </c>
      <c r="H138" s="99">
        <f>G138+'28'!H138</f>
        <v>-873005.29999999993</v>
      </c>
      <c r="I138" s="118"/>
      <c r="J138" s="328">
        <f>H138/DAY(B2)</f>
        <v>-30103.631034482758</v>
      </c>
    </row>
    <row r="139" spans="1:15" ht="25.5">
      <c r="A139" s="901" t="s">
        <v>186</v>
      </c>
      <c r="B139" s="901"/>
      <c r="C139" s="901"/>
      <c r="D139" s="151" t="s">
        <v>183</v>
      </c>
      <c r="E139" s="95">
        <f>'28'!F139</f>
        <v>903699</v>
      </c>
      <c r="F139" s="148">
        <v>899157</v>
      </c>
      <c r="G139" s="112">
        <f t="shared" si="12"/>
        <v>-4542</v>
      </c>
      <c r="H139" s="99">
        <f>G139+'28'!H139</f>
        <v>-298</v>
      </c>
      <c r="I139" s="118"/>
      <c r="J139" s="328">
        <f>H139/DAY(B2)</f>
        <v>-10.275862068965518</v>
      </c>
    </row>
    <row r="140" spans="1:15" ht="25.5">
      <c r="A140" s="901" t="s">
        <v>187</v>
      </c>
      <c r="B140" s="901"/>
      <c r="C140" s="901"/>
      <c r="D140" s="151" t="s">
        <v>183</v>
      </c>
      <c r="E140" s="95">
        <f>'28'!F140</f>
        <v>1028</v>
      </c>
      <c r="F140" s="149">
        <v>566.35</v>
      </c>
      <c r="G140" s="112">
        <f t="shared" si="12"/>
        <v>-461.65</v>
      </c>
      <c r="H140" s="99">
        <f>G140+'28'!H140</f>
        <v>-82.409999999999968</v>
      </c>
      <c r="I140" s="118"/>
      <c r="J140" s="328">
        <f>H140/DAY(B2)</f>
        <v>-2.8417241379310334</v>
      </c>
    </row>
    <row r="141" spans="1:15" ht="25.5">
      <c r="A141" s="905" t="s">
        <v>188</v>
      </c>
      <c r="B141" s="905"/>
      <c r="C141" s="905"/>
      <c r="D141" s="151" t="s">
        <v>183</v>
      </c>
      <c r="E141" s="95">
        <f>'28'!F141</f>
        <v>83688.179999999993</v>
      </c>
      <c r="F141" s="149">
        <v>77562.8</v>
      </c>
      <c r="G141" s="112">
        <f t="shared" si="12"/>
        <v>-6125.3799999999901</v>
      </c>
      <c r="H141" s="99">
        <f>G141+'28'!H141</f>
        <v>-389.19999999999709</v>
      </c>
      <c r="I141" s="118"/>
      <c r="J141" s="328">
        <f>H141/DAY(B2)</f>
        <v>-13.420689655172314</v>
      </c>
    </row>
    <row r="142" spans="1:15" ht="25.5">
      <c r="A142" s="905" t="s">
        <v>189</v>
      </c>
      <c r="B142" s="905"/>
      <c r="C142" s="905"/>
      <c r="D142" s="151" t="s">
        <v>183</v>
      </c>
      <c r="E142" s="95">
        <f>'28'!F142</f>
        <v>34236.04</v>
      </c>
      <c r="F142" s="148">
        <v>30258.799999999999</v>
      </c>
      <c r="G142" s="112">
        <f t="shared" si="12"/>
        <v>-3977.2400000000016</v>
      </c>
      <c r="H142" s="99">
        <f>G142+'28'!H142</f>
        <v>-267.20000000000073</v>
      </c>
      <c r="I142" s="140"/>
      <c r="J142" s="328">
        <f>H142/DAY(B2)</f>
        <v>-9.2137931034483014</v>
      </c>
    </row>
    <row r="143" spans="1:15" ht="25.5">
      <c r="A143" s="901" t="s">
        <v>91</v>
      </c>
      <c r="B143" s="901"/>
      <c r="C143" s="901"/>
      <c r="D143" s="151" t="s">
        <v>183</v>
      </c>
      <c r="E143" s="95">
        <f>'28'!F143</f>
        <v>8104.43</v>
      </c>
      <c r="F143" s="149">
        <v>7250.83</v>
      </c>
      <c r="G143" s="112">
        <f t="shared" si="12"/>
        <v>-853.60000000000036</v>
      </c>
      <c r="H143" s="99">
        <f>G143+'28'!H143</f>
        <v>-55.170000000000073</v>
      </c>
      <c r="I143" s="140"/>
      <c r="J143" s="328">
        <f>H143/DAY(B2)</f>
        <v>-1.9024137931034508</v>
      </c>
    </row>
    <row r="144" spans="1:15" ht="25.5">
      <c r="A144" s="905" t="s">
        <v>90</v>
      </c>
      <c r="B144" s="905"/>
      <c r="C144" s="905"/>
      <c r="D144" s="151" t="s">
        <v>183</v>
      </c>
      <c r="E144" s="95">
        <f>'28'!F144</f>
        <v>911801</v>
      </c>
      <c r="F144" s="149">
        <v>904561</v>
      </c>
      <c r="G144" s="112">
        <f t="shared" si="12"/>
        <v>-7240</v>
      </c>
      <c r="H144" s="99">
        <f>G144+'28'!H144</f>
        <v>-492</v>
      </c>
      <c r="I144" s="140"/>
      <c r="J144" s="328">
        <f>H144/DAY(B2)</f>
        <v>-16.96551724137931</v>
      </c>
    </row>
    <row r="145" spans="1:10" ht="25.5">
      <c r="A145" s="901" t="s">
        <v>190</v>
      </c>
      <c r="B145" s="901"/>
      <c r="C145" s="901"/>
      <c r="D145" s="152" t="s">
        <v>183</v>
      </c>
      <c r="E145" s="95">
        <f>'28'!F145</f>
        <v>5666.55</v>
      </c>
      <c r="F145" s="149">
        <v>5663.91</v>
      </c>
      <c r="G145" s="112">
        <f t="shared" si="12"/>
        <v>-2.6400000000003274</v>
      </c>
      <c r="H145" s="99">
        <f>G145+'28'!H145</f>
        <v>-9.0000000000145519E-2</v>
      </c>
      <c r="I145" s="140"/>
      <c r="J145" s="328">
        <f>H145/DAY(B2)</f>
        <v>-3.103448275867087E-3</v>
      </c>
    </row>
    <row r="146" spans="1:10" ht="25.5">
      <c r="A146" s="902" t="s">
        <v>191</v>
      </c>
      <c r="B146" s="903"/>
      <c r="C146" s="904"/>
      <c r="D146" s="152" t="s">
        <v>183</v>
      </c>
      <c r="E146" s="95">
        <f>'28'!F146</f>
        <v>779234</v>
      </c>
      <c r="F146" s="148">
        <v>777795</v>
      </c>
      <c r="G146" s="112">
        <f t="shared" si="12"/>
        <v>-1439</v>
      </c>
      <c r="H146" s="99">
        <f>G146+'28'!H146</f>
        <v>-73</v>
      </c>
      <c r="I146" s="140"/>
      <c r="J146" s="328">
        <f>H146/DAY(B2)</f>
        <v>-2.5172413793103448</v>
      </c>
    </row>
    <row r="147" spans="1:10" ht="25.5">
      <c r="A147" s="905" t="s">
        <v>192</v>
      </c>
      <c r="B147" s="905"/>
      <c r="C147" s="905"/>
      <c r="D147" s="152" t="s">
        <v>183</v>
      </c>
      <c r="E147" s="95">
        <f>'28'!F147</f>
        <v>686807.28</v>
      </c>
      <c r="F147" s="148">
        <v>675083.44</v>
      </c>
      <c r="G147" s="112">
        <f t="shared" si="12"/>
        <v>-11723.840000000084</v>
      </c>
      <c r="H147" s="99">
        <f>G147+'28'!H147</f>
        <v>-764.56000000005588</v>
      </c>
      <c r="I147" s="140"/>
      <c r="J147" s="328">
        <f>H147/DAY(B2)</f>
        <v>-26.36413793103641</v>
      </c>
    </row>
    <row r="148" spans="1:10" ht="25.5">
      <c r="A148" s="897" t="s">
        <v>193</v>
      </c>
      <c r="B148" s="898"/>
      <c r="C148" s="899"/>
      <c r="D148" s="123" t="s">
        <v>130</v>
      </c>
      <c r="E148" s="95">
        <f>'28'!F148</f>
        <v>738348.08</v>
      </c>
      <c r="F148" s="150">
        <v>729145.04</v>
      </c>
      <c r="G148" s="112">
        <f t="shared" si="12"/>
        <v>-9203.0399999999208</v>
      </c>
      <c r="H148" s="99">
        <f>G148+'28'!H148</f>
        <v>-599.95999999996275</v>
      </c>
      <c r="I148" s="124"/>
      <c r="J148" s="328">
        <f>H148/DAY(B2)</f>
        <v>-20.68827586206768</v>
      </c>
    </row>
    <row r="149" spans="1:10" ht="25.5">
      <c r="A149" s="897" t="s">
        <v>336</v>
      </c>
      <c r="B149" s="898"/>
      <c r="C149" s="899"/>
      <c r="D149" s="227" t="s">
        <v>130</v>
      </c>
      <c r="E149" s="95">
        <f>'28'!F149</f>
        <v>115663.74</v>
      </c>
      <c r="F149" s="146">
        <v>99729.31</v>
      </c>
      <c r="G149" s="112">
        <f t="shared" si="12"/>
        <v>-15934.430000000008</v>
      </c>
      <c r="H149" s="99">
        <f>G149+'28'!H149</f>
        <v>-1165.6900000000023</v>
      </c>
      <c r="I149" s="119"/>
      <c r="J149" s="328">
        <f>H149/DAY(B2)</f>
        <v>-40.196206896551807</v>
      </c>
    </row>
    <row r="150" spans="1:10" ht="25.5">
      <c r="A150" s="897" t="s">
        <v>337</v>
      </c>
      <c r="B150" s="898"/>
      <c r="C150" s="899"/>
      <c r="D150" s="117" t="s">
        <v>130</v>
      </c>
      <c r="E150" s="95">
        <f>'28'!F150</f>
        <v>43298.69</v>
      </c>
      <c r="F150" s="233">
        <v>36787.9</v>
      </c>
      <c r="G150" s="112">
        <f t="shared" si="12"/>
        <v>-6510.7900000000009</v>
      </c>
      <c r="H150" s="99">
        <f>G150+'28'!H150</f>
        <v>-428.09999999999854</v>
      </c>
      <c r="I150" s="119"/>
      <c r="J150" s="328">
        <f>H150/DAY(B2)</f>
        <v>-14.762068965517191</v>
      </c>
    </row>
    <row r="151" spans="1:10" ht="25.5">
      <c r="A151" s="897" t="s">
        <v>338</v>
      </c>
      <c r="B151" s="898"/>
      <c r="C151" s="899"/>
      <c r="D151" s="117" t="s">
        <v>130</v>
      </c>
      <c r="E151" s="95">
        <f>'28'!F151</f>
        <v>126047</v>
      </c>
      <c r="F151" s="233">
        <v>117589</v>
      </c>
      <c r="G151" s="112">
        <f t="shared" si="12"/>
        <v>-8458</v>
      </c>
      <c r="H151" s="99">
        <f>G151+'28'!H151</f>
        <v>-548</v>
      </c>
      <c r="I151" s="119"/>
      <c r="J151" s="328">
        <f>H151/DAY(B2)</f>
        <v>-18.896551724137932</v>
      </c>
    </row>
    <row r="152" spans="1:10" ht="25.5">
      <c r="A152" s="897" t="s">
        <v>339</v>
      </c>
      <c r="B152" s="898"/>
      <c r="C152" s="899"/>
      <c r="D152" s="117" t="s">
        <v>130</v>
      </c>
      <c r="E152" s="95">
        <f>'28'!F152</f>
        <v>19041.580000000002</v>
      </c>
      <c r="F152" s="233">
        <v>15083.2</v>
      </c>
      <c r="G152" s="112">
        <f>F152-E152</f>
        <v>-3958.380000000001</v>
      </c>
      <c r="H152" s="99">
        <f>G152+'28'!H152</f>
        <v>3927.2000000000007</v>
      </c>
      <c r="I152" s="119"/>
      <c r="J152" s="328">
        <f>H152/DAY(B2)</f>
        <v>135.42068965517245</v>
      </c>
    </row>
    <row r="153" spans="1:10" ht="25.5">
      <c r="A153" s="934" t="s">
        <v>196</v>
      </c>
      <c r="B153" s="935"/>
      <c r="C153" s="365"/>
      <c r="D153" s="358"/>
      <c r="E153" s="360"/>
      <c r="F153" s="361"/>
      <c r="G153" s="362">
        <f>SUM(G138:G152)</f>
        <v>-957100.59000000008</v>
      </c>
      <c r="H153" s="363"/>
      <c r="I153" s="119">
        <f>G153-(G38+G52)</f>
        <v>-886538.8</v>
      </c>
      <c r="J153" s="366"/>
    </row>
    <row r="154" spans="1:10" ht="27.75">
      <c r="A154" s="938" t="s">
        <v>344</v>
      </c>
      <c r="B154" s="938"/>
      <c r="C154" s="938"/>
      <c r="D154" s="938"/>
      <c r="E154" s="938"/>
      <c r="F154" s="938"/>
      <c r="G154" s="938"/>
      <c r="H154" s="938"/>
      <c r="I154" s="938"/>
      <c r="J154" s="938"/>
    </row>
    <row r="155" spans="1:10" ht="27.75">
      <c r="A155" s="905" t="s">
        <v>345</v>
      </c>
      <c r="B155" s="905"/>
      <c r="C155" s="905"/>
      <c r="D155" s="117" t="s">
        <v>130</v>
      </c>
      <c r="E155" s="95">
        <f>'28'!F155</f>
        <v>129077.43</v>
      </c>
      <c r="F155" s="389">
        <v>110744.37</v>
      </c>
      <c r="G155" s="112">
        <f t="shared" ref="G155:G158" si="13">F155-E155</f>
        <v>-18333.059999999998</v>
      </c>
      <c r="H155" s="99">
        <f>G155+'28'!H155</f>
        <v>-1230.6300000000047</v>
      </c>
      <c r="I155" s="364"/>
      <c r="J155" s="328">
        <f>H155/DAY(B2)</f>
        <v>-42.435517241379472</v>
      </c>
    </row>
    <row r="156" spans="1:10" ht="25.5">
      <c r="A156" s="905" t="s">
        <v>347</v>
      </c>
      <c r="B156" s="905"/>
      <c r="C156" s="905"/>
      <c r="D156" s="117" t="s">
        <v>130</v>
      </c>
      <c r="E156" s="95">
        <f>'28'!F156</f>
        <v>11929.39</v>
      </c>
      <c r="F156" s="155">
        <v>9544.19</v>
      </c>
      <c r="G156" s="112">
        <f t="shared" si="13"/>
        <v>-2385.1999999999989</v>
      </c>
      <c r="H156" s="99">
        <f>G156+'28'!H156</f>
        <v>-140.80999999999949</v>
      </c>
      <c r="I156" s="165"/>
      <c r="J156" s="328">
        <f>H156/DAY(B2)</f>
        <v>-4.8555172413792924</v>
      </c>
    </row>
    <row r="157" spans="1:10" ht="25.5">
      <c r="A157" s="897" t="s">
        <v>360</v>
      </c>
      <c r="B157" s="898"/>
      <c r="C157" s="899"/>
      <c r="D157" s="117" t="s">
        <v>130</v>
      </c>
      <c r="E157" s="95">
        <f>'28'!F157</f>
        <v>22798.95</v>
      </c>
      <c r="F157" s="155">
        <v>17893.41</v>
      </c>
      <c r="G157" s="112">
        <f t="shared" si="13"/>
        <v>-4905.5400000000009</v>
      </c>
      <c r="H157" s="99">
        <f>G157+'28'!H157</f>
        <v>-4905.5400000000009</v>
      </c>
      <c r="I157" s="165"/>
      <c r="J157" s="328">
        <f>H157/DAY(B2)</f>
        <v>-169.15655172413796</v>
      </c>
    </row>
    <row r="158" spans="1:10" ht="25.5">
      <c r="A158" s="897" t="s">
        <v>361</v>
      </c>
      <c r="B158" s="898"/>
      <c r="C158" s="899"/>
      <c r="D158" s="117" t="s">
        <v>130</v>
      </c>
      <c r="E158" s="95">
        <f>'28'!F158</f>
        <v>211.43</v>
      </c>
      <c r="F158" s="155">
        <v>158.57</v>
      </c>
      <c r="G158" s="112">
        <f t="shared" si="13"/>
        <v>-52.860000000000014</v>
      </c>
      <c r="H158" s="99">
        <f>G158+'28'!H158</f>
        <v>-52.860000000000014</v>
      </c>
      <c r="I158" s="165"/>
      <c r="J158" s="328">
        <f>H158/DAY(B2)</f>
        <v>-1.8227586206896556</v>
      </c>
    </row>
    <row r="159" spans="1:10" ht="25.5">
      <c r="A159" s="956"/>
      <c r="B159" s="957"/>
      <c r="C159" s="958"/>
      <c r="D159" s="117"/>
      <c r="E159" s="95"/>
      <c r="F159" s="165"/>
      <c r="G159" s="112"/>
      <c r="H159" s="99"/>
      <c r="I159" s="165"/>
      <c r="J159" s="328"/>
    </row>
    <row r="160" spans="1:10" ht="27.75">
      <c r="A160" s="938" t="s">
        <v>326</v>
      </c>
      <c r="B160" s="938"/>
      <c r="C160" s="938"/>
      <c r="D160" s="938"/>
      <c r="E160" s="938"/>
      <c r="F160" s="938"/>
      <c r="G160" s="938"/>
      <c r="H160" s="938"/>
      <c r="I160" s="938"/>
      <c r="J160" s="938"/>
    </row>
    <row r="161" spans="1:10" ht="26.25">
      <c r="A161" s="242" t="s">
        <v>92</v>
      </c>
      <c r="B161" s="243"/>
      <c r="C161" s="243"/>
      <c r="D161" s="244" t="s">
        <v>180</v>
      </c>
      <c r="E161" s="95">
        <f>'28'!F161</f>
        <v>477577</v>
      </c>
      <c r="F161" s="235">
        <v>475417.72</v>
      </c>
      <c r="G161" s="238">
        <f t="shared" ref="G161:G165" si="14">F161-E161</f>
        <v>-2159.2800000000279</v>
      </c>
      <c r="H161" s="99">
        <f>G161+'28'!H161</f>
        <v>-1248.2800000000279</v>
      </c>
      <c r="I161" s="236"/>
      <c r="J161" s="239">
        <f>H161/DAY(B2)</f>
        <v>-43.044137931035444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'28'!F162</f>
        <v>93717.1</v>
      </c>
      <c r="F162" s="235">
        <v>92640.8</v>
      </c>
      <c r="G162" s="238">
        <f t="shared" si="14"/>
        <v>-1076.3000000000029</v>
      </c>
      <c r="H162" s="99">
        <f>G162+'28'!H162</f>
        <v>-86.19999999999709</v>
      </c>
      <c r="I162" s="236"/>
      <c r="J162" s="239">
        <f>H162/DAY(B2)</f>
        <v>-2.9724137931033479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'28'!F163</f>
        <v>1685.7</v>
      </c>
      <c r="F163" s="235">
        <v>96768.9</v>
      </c>
      <c r="G163" s="238">
        <f t="shared" si="14"/>
        <v>95083.199999999997</v>
      </c>
      <c r="H163" s="99">
        <f>G163+'28'!H163</f>
        <v>99628.9</v>
      </c>
      <c r="I163" s="236"/>
      <c r="J163" s="239">
        <f>H163/DAY(B2)</f>
        <v>3435.4793103448274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'28'!F164</f>
        <v>5872</v>
      </c>
      <c r="F164" s="235">
        <v>5518.6</v>
      </c>
      <c r="G164" s="238">
        <f t="shared" si="14"/>
        <v>-353.39999999999964</v>
      </c>
      <c r="H164" s="99">
        <f>G164+'28'!H164</f>
        <v>-23.399999999999636</v>
      </c>
      <c r="I164" s="236"/>
      <c r="J164" s="239">
        <f>H164/DAY(B2)</f>
        <v>-0.80689655172412533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'28'!F165</f>
        <v>31322.05</v>
      </c>
      <c r="F165" s="235">
        <v>30988.73</v>
      </c>
      <c r="G165" s="238">
        <f t="shared" si="14"/>
        <v>-333.31999999999971</v>
      </c>
      <c r="H165" s="99">
        <f>G165+'28'!H165</f>
        <v>-25.270000000000437</v>
      </c>
      <c r="I165" s="236"/>
      <c r="J165" s="239">
        <f>H165/DAY(B2)</f>
        <v>-0.87137931034484262</v>
      </c>
    </row>
    <row r="166" spans="1:10" ht="26.25">
      <c r="A166" s="937"/>
      <c r="B166" s="937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6.25">
      <c r="A167" s="937"/>
      <c r="B167" s="937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6.25">
      <c r="A168" s="937"/>
      <c r="B168" s="937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7" t="s">
        <v>330</v>
      </c>
      <c r="B171" s="948"/>
      <c r="C171" s="948"/>
      <c r="D171" s="948"/>
      <c r="E171" s="948"/>
      <c r="F171" s="948"/>
      <c r="G171" s="948"/>
      <c r="H171" s="948"/>
      <c r="I171" s="948"/>
      <c r="J171" s="949"/>
    </row>
    <row r="172" spans="1:10" ht="25.5">
      <c r="A172" s="943"/>
      <c r="B172" s="944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5" t="s">
        <v>209</v>
      </c>
      <c r="B173" s="896"/>
      <c r="C173" s="333"/>
      <c r="D173" s="228" t="s">
        <v>142</v>
      </c>
      <c r="E173" s="95">
        <f>'28'!F173</f>
        <v>8229</v>
      </c>
      <c r="F173" s="155">
        <v>8248</v>
      </c>
      <c r="G173" s="155">
        <f>F173-E173</f>
        <v>19</v>
      </c>
      <c r="H173" s="99">
        <f>G173+'28'!H173</f>
        <v>31</v>
      </c>
      <c r="I173" s="155"/>
      <c r="J173" s="178">
        <f>H173/DAY(B2)</f>
        <v>1.0689655172413792</v>
      </c>
    </row>
    <row r="174" spans="1:10" ht="25.5">
      <c r="A174" s="895" t="s">
        <v>75</v>
      </c>
      <c r="B174" s="896"/>
      <c r="C174" s="333"/>
      <c r="D174" s="228" t="s">
        <v>142</v>
      </c>
      <c r="E174" s="95">
        <f>'28'!F174</f>
        <v>40751</v>
      </c>
      <c r="F174" s="157">
        <v>40303</v>
      </c>
      <c r="G174" s="155">
        <f t="shared" ref="G174:G175" si="15">F174-E174</f>
        <v>-448</v>
      </c>
      <c r="H174" s="99">
        <f>G174+'28'!H174</f>
        <v>-29</v>
      </c>
      <c r="I174" s="155"/>
      <c r="J174" s="178">
        <f>H174/DAY(B2)</f>
        <v>-1</v>
      </c>
    </row>
    <row r="175" spans="1:10" ht="25.5">
      <c r="A175" s="895" t="s">
        <v>76</v>
      </c>
      <c r="B175" s="900"/>
      <c r="C175" s="896"/>
      <c r="D175" s="228" t="s">
        <v>142</v>
      </c>
      <c r="E175" s="95">
        <f>'28'!F175</f>
        <v>23632</v>
      </c>
      <c r="F175" s="155">
        <v>23229</v>
      </c>
      <c r="G175" s="155">
        <f t="shared" si="15"/>
        <v>-403</v>
      </c>
      <c r="H175" s="99">
        <f>G175+'28'!H175</f>
        <v>-29</v>
      </c>
      <c r="I175" s="155"/>
      <c r="J175" s="178">
        <f>H175/DAY(B2)</f>
        <v>-1</v>
      </c>
    </row>
    <row r="176" spans="1:10" ht="25.5">
      <c r="A176" s="934" t="s">
        <v>196</v>
      </c>
      <c r="B176" s="935"/>
      <c r="C176" s="401"/>
      <c r="D176" s="228"/>
      <c r="E176" s="95"/>
      <c r="F176" s="155"/>
      <c r="G176" s="155">
        <f>SUM(G173:G175)</f>
        <v>-832</v>
      </c>
      <c r="H176" s="99">
        <f>G176+'28'!H176</f>
        <v>-27</v>
      </c>
      <c r="I176" s="155"/>
      <c r="J176" s="178">
        <f>H176/DAY(B2)</f>
        <v>-0.93103448275862066</v>
      </c>
    </row>
    <row r="177" spans="1:10" ht="25.5">
      <c r="A177" s="895" t="s">
        <v>77</v>
      </c>
      <c r="B177" s="896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5.5">
      <c r="A178" s="895" t="s">
        <v>210</v>
      </c>
      <c r="B178" s="896"/>
      <c r="C178" s="333"/>
      <c r="D178" s="228" t="s">
        <v>142</v>
      </c>
      <c r="E178" s="95">
        <f>'28'!F178</f>
        <v>94606</v>
      </c>
      <c r="F178" s="155">
        <v>91614</v>
      </c>
      <c r="G178" s="155">
        <f>F178-E178</f>
        <v>-2992</v>
      </c>
      <c r="H178" s="99">
        <f>G178+'28'!H178</f>
        <v>-208</v>
      </c>
      <c r="I178" s="155"/>
      <c r="J178" s="178">
        <f>H178/DAY(B2)</f>
        <v>-7.1724137931034484</v>
      </c>
    </row>
    <row r="179" spans="1:10" ht="25.5">
      <c r="A179" s="895" t="s">
        <v>211</v>
      </c>
      <c r="B179" s="896"/>
      <c r="C179" s="333"/>
      <c r="D179" s="228" t="s">
        <v>142</v>
      </c>
      <c r="E179" s="95">
        <f>'28'!F179</f>
        <v>36002</v>
      </c>
      <c r="F179" s="155">
        <v>35775</v>
      </c>
      <c r="G179" s="155">
        <f t="shared" ref="G179:G180" si="16">F179-E179</f>
        <v>-227</v>
      </c>
      <c r="H179" s="99">
        <f>G179+'28'!H179</f>
        <v>-9</v>
      </c>
      <c r="I179" s="155"/>
      <c r="J179" s="178">
        <f>H179/DAY(B2)</f>
        <v>-0.31034482758620691</v>
      </c>
    </row>
    <row r="180" spans="1:10" ht="25.5">
      <c r="A180" s="895" t="s">
        <v>212</v>
      </c>
      <c r="B180" s="896"/>
      <c r="C180" s="333"/>
      <c r="D180" s="228" t="s">
        <v>142</v>
      </c>
      <c r="E180" s="95">
        <f>'28'!F180</f>
        <v>6873</v>
      </c>
      <c r="F180" s="155">
        <v>6649</v>
      </c>
      <c r="G180" s="155">
        <f t="shared" si="16"/>
        <v>-224</v>
      </c>
      <c r="H180" s="99">
        <f>G180+'28'!H180</f>
        <v>-21</v>
      </c>
      <c r="I180" s="155"/>
      <c r="J180" s="178">
        <f>H180/DAY(B2)</f>
        <v>-0.72413793103448276</v>
      </c>
    </row>
    <row r="181" spans="1:10" ht="25.5">
      <c r="A181" s="941" t="s">
        <v>108</v>
      </c>
      <c r="B181" s="942"/>
      <c r="C181" s="401"/>
      <c r="D181" s="228"/>
      <c r="E181" s="95"/>
      <c r="F181" s="155"/>
      <c r="G181" s="155">
        <f>SUM(G178:G180)</f>
        <v>-3443</v>
      </c>
      <c r="H181" s="99">
        <f>G181+'28'!H181</f>
        <v>-238</v>
      </c>
      <c r="I181" s="155"/>
      <c r="J181" s="178">
        <f>H181/DAY(B2)</f>
        <v>-8.2068965517241388</v>
      </c>
    </row>
    <row r="182" spans="1:10" ht="25.5">
      <c r="A182" s="895" t="s">
        <v>213</v>
      </c>
      <c r="B182" s="896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5.5">
      <c r="A183" s="895" t="s">
        <v>214</v>
      </c>
      <c r="B183" s="896"/>
      <c r="C183" s="334"/>
      <c r="D183" s="228" t="s">
        <v>142</v>
      </c>
      <c r="E183" s="95">
        <f>'28'!F183</f>
        <v>17260</v>
      </c>
      <c r="F183" s="157">
        <v>16933</v>
      </c>
      <c r="G183" s="157">
        <f>F183-E183</f>
        <v>-327</v>
      </c>
      <c r="H183" s="99">
        <f>G183+'28'!H183</f>
        <v>-22</v>
      </c>
      <c r="I183" s="155"/>
      <c r="J183" s="178">
        <f>H183/DAY(B2)</f>
        <v>-0.75862068965517238</v>
      </c>
    </row>
    <row r="184" spans="1:10" ht="25.5">
      <c r="A184" s="895" t="s">
        <v>215</v>
      </c>
      <c r="B184" s="896"/>
      <c r="C184" s="334"/>
      <c r="D184" s="228" t="s">
        <v>142</v>
      </c>
      <c r="E184" s="95">
        <f>'28'!F184</f>
        <v>11677</v>
      </c>
      <c r="F184" s="157">
        <v>11451</v>
      </c>
      <c r="G184" s="157">
        <f t="shared" ref="G184:G185" si="17">F184-E184</f>
        <v>-226</v>
      </c>
      <c r="H184" s="99">
        <f>G184+'28'!H184</f>
        <v>-35</v>
      </c>
      <c r="I184" s="155"/>
      <c r="J184" s="178">
        <f>H184/DAY(B2)</f>
        <v>-1.2068965517241379</v>
      </c>
    </row>
    <row r="185" spans="1:10" ht="25.5">
      <c r="A185" s="895" t="s">
        <v>216</v>
      </c>
      <c r="B185" s="896"/>
      <c r="C185" s="334"/>
      <c r="D185" s="228" t="s">
        <v>142</v>
      </c>
      <c r="E185" s="95">
        <f>'28'!F185</f>
        <v>0</v>
      </c>
      <c r="F185" s="157"/>
      <c r="G185" s="157">
        <f t="shared" si="17"/>
        <v>0</v>
      </c>
      <c r="H185" s="99">
        <f>G185+'28'!H185</f>
        <v>0</v>
      </c>
      <c r="I185" s="155"/>
      <c r="J185" s="178">
        <f>H185/DAY(B2)</f>
        <v>0</v>
      </c>
    </row>
    <row r="186" spans="1:10" ht="25.5">
      <c r="A186" s="934" t="s">
        <v>196</v>
      </c>
      <c r="B186" s="935"/>
      <c r="C186" s="400"/>
      <c r="D186" s="229"/>
      <c r="E186" s="95"/>
      <c r="F186" s="157"/>
      <c r="G186" s="157">
        <f>SUM(G183:G185)</f>
        <v>-553</v>
      </c>
      <c r="H186" s="99">
        <f>G186+'28'!H186</f>
        <v>-57</v>
      </c>
      <c r="I186" s="157"/>
      <c r="J186" s="178">
        <f>H186/DAY(B2)</f>
        <v>-1.9655172413793103</v>
      </c>
    </row>
    <row r="187" spans="1:10" ht="25.5">
      <c r="A187" s="945" t="s">
        <v>217</v>
      </c>
      <c r="B187" s="946"/>
      <c r="C187" s="333"/>
      <c r="D187" s="230" t="s">
        <v>142</v>
      </c>
      <c r="E187" s="95">
        <f>'28'!F187</f>
        <v>0</v>
      </c>
      <c r="F187" s="159"/>
      <c r="G187" s="466">
        <f>G62+G19</f>
        <v>-4678</v>
      </c>
      <c r="H187" s="99">
        <f>G187+'28'!H187</f>
        <v>321</v>
      </c>
      <c r="I187" s="158"/>
      <c r="J187" s="179">
        <f>H187/DAY(B2)</f>
        <v>11.068965517241379</v>
      </c>
    </row>
    <row r="188" spans="1:10" ht="25.5">
      <c r="A188" s="945" t="s">
        <v>218</v>
      </c>
      <c r="B188" s="946"/>
      <c r="C188" s="333"/>
      <c r="D188" s="230" t="s">
        <v>142</v>
      </c>
      <c r="E188" s="95">
        <f>'28'!F188</f>
        <v>0</v>
      </c>
      <c r="F188" s="159"/>
      <c r="G188" s="466">
        <f>G65+G66+G67+G69+G70</f>
        <v>-5154</v>
      </c>
      <c r="H188" s="99">
        <f>G188+'28'!H188</f>
        <v>-3198</v>
      </c>
      <c r="I188" s="158"/>
      <c r="J188" s="179">
        <f>H188/DAY(B2)</f>
        <v>-110.27586206896552</v>
      </c>
    </row>
    <row r="189" spans="1:10" ht="25.5">
      <c r="A189" s="945" t="s">
        <v>219</v>
      </c>
      <c r="B189" s="946"/>
      <c r="C189" s="333"/>
      <c r="D189" s="230" t="s">
        <v>142</v>
      </c>
      <c r="E189" s="95">
        <f>'28'!F189</f>
        <v>0</v>
      </c>
      <c r="F189" s="157"/>
      <c r="G189" s="417">
        <f>G181</f>
        <v>-3443</v>
      </c>
      <c r="H189" s="99">
        <f>G189+'28'!H189</f>
        <v>-2500</v>
      </c>
      <c r="I189" s="158"/>
      <c r="J189" s="179">
        <f>H189/DAY(B2)</f>
        <v>-86.206896551724142</v>
      </c>
    </row>
    <row r="190" spans="1:10" ht="25.5">
      <c r="A190" s="939"/>
      <c r="B190" s="940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topLeftCell="A40" zoomScale="55" zoomScaleNormal="55" zoomScaleSheetLayoutView="55" workbookViewId="0">
      <selection activeCell="F15" sqref="F15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876" t="s">
        <v>115</v>
      </c>
      <c r="B1" s="877"/>
      <c r="C1" s="877"/>
      <c r="D1" s="877"/>
      <c r="E1" s="877"/>
      <c r="F1" s="877"/>
      <c r="G1" s="877"/>
      <c r="H1" s="877"/>
      <c r="I1" s="877"/>
      <c r="J1" s="878"/>
    </row>
    <row r="2" spans="1:15" s="57" customFormat="1" ht="30.75" customHeight="1">
      <c r="A2" s="191" t="s">
        <v>303</v>
      </c>
      <c r="B2" s="262">
        <v>44711</v>
      </c>
      <c r="C2" s="348" t="s">
        <v>67</v>
      </c>
      <c r="D2" s="218">
        <v>0.73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31</v>
      </c>
      <c r="E3" s="885" t="s">
        <v>119</v>
      </c>
      <c r="F3" s="886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879" t="s">
        <v>128</v>
      </c>
      <c r="B6" s="880"/>
      <c r="C6" s="88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'29'!F7</f>
        <v>498782.95</v>
      </c>
      <c r="F7" s="95">
        <f>E7+28300</f>
        <v>527082.94999999995</v>
      </c>
      <c r="G7" s="112">
        <f>F7-E7</f>
        <v>28299.999999999942</v>
      </c>
      <c r="H7" s="99">
        <f>G7+'29'!H7</f>
        <v>834255.95</v>
      </c>
      <c r="I7" s="113">
        <f>'1'!I7</f>
        <v>12000</v>
      </c>
      <c r="J7" s="175">
        <f>H7/DAY(B2)</f>
        <v>27808.531666666666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114">
        <v>743677.67</v>
      </c>
      <c r="F8" s="114">
        <f>E8+28500</f>
        <v>772177.67</v>
      </c>
      <c r="G8" s="112">
        <f>F8-E8</f>
        <v>28500</v>
      </c>
      <c r="H8" s="99">
        <f>G8+'29'!H8</f>
        <v>856854.49000000011</v>
      </c>
      <c r="I8" s="116"/>
      <c r="J8" s="175">
        <f>H8/DAY(B2)</f>
        <v>28561.816333333336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'29'!F9</f>
        <v>2407550</v>
      </c>
      <c r="F9" s="469">
        <v>2422360</v>
      </c>
      <c r="G9" s="357">
        <f>F9-E9</f>
        <v>14810</v>
      </c>
      <c r="H9" s="99">
        <f>G9+'29'!H9</f>
        <v>-27748.700000000186</v>
      </c>
      <c r="I9" s="124">
        <f>I7-J7</f>
        <v>-15808.531666666666</v>
      </c>
      <c r="J9" s="175">
        <f>H9/DAY(B2)</f>
        <v>-924.95666666667285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'29'!F10</f>
        <v>876801</v>
      </c>
      <c r="F10" s="353">
        <v>889027</v>
      </c>
      <c r="G10" s="112">
        <f t="shared" ref="G10:G12" si="0">F10-E10</f>
        <v>12226</v>
      </c>
      <c r="H10" s="99">
        <f>G10+'29'!H10</f>
        <v>-21376.199999999953</v>
      </c>
      <c r="I10" s="282"/>
      <c r="J10" s="175">
        <f>H10/DAY(B2)</f>
        <v>-712.53999999999849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'29'!F11</f>
        <v>37560</v>
      </c>
      <c r="F11" s="95">
        <v>37560</v>
      </c>
      <c r="G11" s="112">
        <f t="shared" si="0"/>
        <v>0</v>
      </c>
      <c r="H11" s="99">
        <f>G11+'29'!H11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'29'!F12</f>
        <v>40380</v>
      </c>
      <c r="F12" s="117">
        <v>40380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27036</v>
      </c>
      <c r="H13" s="99">
        <f>G13+'29'!H13</f>
        <v>-49263.90000000014</v>
      </c>
      <c r="I13" s="120">
        <f>G7-G13</f>
        <v>1263.9999999999418</v>
      </c>
      <c r="J13" s="175">
        <f>H13/DAY(B2)</f>
        <v>-1642.1300000000047</v>
      </c>
      <c r="K13" s="79"/>
      <c r="L13" s="66"/>
      <c r="N13" s="87"/>
      <c r="O13" s="71" t="s">
        <v>372</v>
      </c>
    </row>
    <row r="14" spans="1:15" ht="30.75" customHeight="1">
      <c r="A14" s="882" t="s">
        <v>137</v>
      </c>
      <c r="B14" s="883"/>
      <c r="C14" s="88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469">
        <v>2034939.14</v>
      </c>
      <c r="F15" s="469">
        <f>E15+1100</f>
        <v>2036039.14</v>
      </c>
      <c r="G15" s="112">
        <f>(F15-E15)</f>
        <v>1100</v>
      </c>
      <c r="H15" s="99">
        <f>G15+'29'!H15</f>
        <v>31196.290000000037</v>
      </c>
      <c r="I15" s="113">
        <f>'1'!I15</f>
        <v>800</v>
      </c>
      <c r="J15" s="175">
        <f>H15/DAY(B2)</f>
        <v>1039.8763333333345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-239.87633333333451</v>
      </c>
      <c r="J16" s="176"/>
      <c r="K16" s="79"/>
      <c r="L16" s="66"/>
      <c r="N16" s="87"/>
      <c r="O16" s="71"/>
    </row>
    <row r="17" spans="1:15" ht="30.75" customHeight="1">
      <c r="A17" s="882" t="s">
        <v>140</v>
      </c>
      <c r="B17" s="883"/>
      <c r="C17" s="88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73" t="s">
        <v>141</v>
      </c>
      <c r="B18" s="874"/>
      <c r="C18" s="875"/>
      <c r="D18" s="151" t="s">
        <v>142</v>
      </c>
      <c r="E18" s="95">
        <f>'29'!F18</f>
        <v>30</v>
      </c>
      <c r="F18" s="122">
        <v>23</v>
      </c>
      <c r="G18" s="119">
        <f>F18*10</f>
        <v>230</v>
      </c>
      <c r="H18" s="99">
        <f>G18+'29'!H18</f>
        <v>6340</v>
      </c>
      <c r="I18" s="113">
        <f>'1'!I18</f>
        <v>65</v>
      </c>
      <c r="J18" s="175">
        <f>H18/DAY(B2)</f>
        <v>211.33333333333334</v>
      </c>
      <c r="K18" s="79"/>
      <c r="L18" s="66"/>
      <c r="N18" s="87"/>
      <c r="O18" s="71"/>
    </row>
    <row r="19" spans="1:15" ht="30.75" customHeight="1">
      <c r="A19" s="873" t="s">
        <v>69</v>
      </c>
      <c r="B19" s="874"/>
      <c r="C19" s="875"/>
      <c r="D19" s="151" t="s">
        <v>142</v>
      </c>
      <c r="E19" s="95">
        <f>'29'!F19</f>
        <v>160002</v>
      </c>
      <c r="F19" s="122">
        <v>160057</v>
      </c>
      <c r="G19" s="112">
        <f t="shared" ref="G19" si="1">F19-E19</f>
        <v>55</v>
      </c>
      <c r="H19" s="99">
        <f>G19+'29'!H19</f>
        <v>716</v>
      </c>
      <c r="I19" s="335"/>
      <c r="J19" s="175">
        <f>H19/DAY(B2)</f>
        <v>23.866666666666667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285</v>
      </c>
      <c r="H20" s="99">
        <f>G20+'29'!H20</f>
        <v>7056</v>
      </c>
      <c r="I20" s="336">
        <f>I18-J20</f>
        <v>-170.2</v>
      </c>
      <c r="J20" s="175">
        <f>H20/DAY(B2)</f>
        <v>235.2</v>
      </c>
      <c r="K20" s="79"/>
      <c r="L20" s="66"/>
      <c r="N20" s="87"/>
      <c r="O20" s="71"/>
    </row>
    <row r="21" spans="1:15" ht="30.75" customHeight="1">
      <c r="A21" s="882" t="s">
        <v>144</v>
      </c>
      <c r="B21" s="883"/>
      <c r="C21" s="88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87" t="s">
        <v>149</v>
      </c>
      <c r="B25" s="888"/>
      <c r="C25" s="88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28500</v>
      </c>
      <c r="F27" s="136">
        <v>9</v>
      </c>
      <c r="G27" s="137">
        <f>E27*F27</f>
        <v>256500</v>
      </c>
      <c r="H27" s="99">
        <f>G27+'29'!H27</f>
        <v>7711690.4100000011</v>
      </c>
      <c r="I27" s="138"/>
      <c r="J27" s="175">
        <f>H27/DAY(B2)</f>
        <v>257056.34700000004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70</v>
      </c>
      <c r="G28" s="137">
        <f>E28*F28</f>
        <v>77000</v>
      </c>
      <c r="H28" s="99">
        <f>G28+'29'!H28</f>
        <v>2093761.9000000018</v>
      </c>
      <c r="I28" s="140"/>
      <c r="J28" s="175">
        <f>H28/DAY(B2)</f>
        <v>69792.063333333397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G30+'29'!H30</f>
        <v>107101</v>
      </c>
      <c r="I30" s="140"/>
      <c r="J30" s="175">
        <f>H30/DAY(B2)</f>
        <v>3570.0333333333333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137">
        <f>E31*F31</f>
        <v>18400</v>
      </c>
      <c r="H31" s="99">
        <f>G31+'29'!H31</f>
        <v>507200</v>
      </c>
      <c r="I31" s="140"/>
      <c r="J31" s="175">
        <f>H31/DAY(B2)</f>
        <v>16906.666666666668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360205</v>
      </c>
      <c r="H32" s="99">
        <f>G32+'29'!H32</f>
        <v>10419753.310000002</v>
      </c>
      <c r="I32" s="144"/>
      <c r="J32" s="175">
        <f>H32/DAY(B2)</f>
        <v>347325.11033333343</v>
      </c>
      <c r="K32" s="63"/>
      <c r="L32" s="89"/>
      <c r="N32" s="87"/>
      <c r="O32" s="71"/>
    </row>
    <row r="33" spans="1:15" ht="30.75" customHeight="1">
      <c r="A33" s="890" t="s">
        <v>331</v>
      </c>
      <c r="B33" s="891"/>
      <c r="C33" s="89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'29'!F35</f>
        <v>238714</v>
      </c>
      <c r="F35" s="145">
        <v>238714</v>
      </c>
      <c r="G35" s="112">
        <f t="shared" ref="G35:G46" si="3">F35-E35</f>
        <v>0</v>
      </c>
      <c r="H35" s="99">
        <f>G35+'29'!H35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'29'!F36</f>
        <v>158726</v>
      </c>
      <c r="F36" s="145">
        <v>159651</v>
      </c>
      <c r="G36" s="112">
        <f t="shared" si="3"/>
        <v>925</v>
      </c>
      <c r="H36" s="99">
        <f>G36+'29'!H36</f>
        <v>-797</v>
      </c>
      <c r="I36" s="95"/>
      <c r="J36" s="175">
        <f>H36/DAY(B2)</f>
        <v>-26.566666666666666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'29'!F37</f>
        <v>232348</v>
      </c>
      <c r="F37" s="145">
        <v>233989</v>
      </c>
      <c r="G37" s="112">
        <f t="shared" si="3"/>
        <v>1641</v>
      </c>
      <c r="H37" s="99">
        <f>G37+'29'!H37</f>
        <v>-1790</v>
      </c>
      <c r="I37" s="95"/>
      <c r="J37" s="175">
        <f>H37/DAY(B2)</f>
        <v>-59.666666666666664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'29'!F38</f>
        <v>311750</v>
      </c>
      <c r="F38" s="108">
        <v>314008</v>
      </c>
      <c r="G38" s="112">
        <f t="shared" si="3"/>
        <v>2258</v>
      </c>
      <c r="H38" s="99">
        <f>G38+'29'!H38</f>
        <v>-4284</v>
      </c>
      <c r="I38" s="95"/>
      <c r="J38" s="175">
        <f>H38/DAY(B2)</f>
        <v>-142.80000000000001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'29'!F39</f>
        <v>426132</v>
      </c>
      <c r="F39" s="145">
        <v>429068</v>
      </c>
      <c r="G39" s="112">
        <f t="shared" si="3"/>
        <v>2936</v>
      </c>
      <c r="H39" s="99">
        <f>G39+'29'!H39</f>
        <v>-6261.9099999999744</v>
      </c>
      <c r="I39" s="95"/>
      <c r="J39" s="175">
        <f>H39/DAY(B2)</f>
        <v>-208.73033333333248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'29'!F40</f>
        <v>73103.3</v>
      </c>
      <c r="F40" s="145">
        <v>73273</v>
      </c>
      <c r="G40" s="112">
        <f t="shared" si="3"/>
        <v>169.69999999999709</v>
      </c>
      <c r="H40" s="99">
        <f>G40+'29'!H40</f>
        <v>-280</v>
      </c>
      <c r="I40" s="95"/>
      <c r="J40" s="175">
        <f>H40/DAY(B2)</f>
        <v>-9.3333333333333339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'29'!F41</f>
        <v>68835</v>
      </c>
      <c r="F41" s="145">
        <v>68835</v>
      </c>
      <c r="G41" s="112">
        <f t="shared" si="3"/>
        <v>0</v>
      </c>
      <c r="H41" s="99">
        <f>G41+'29'!H41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'29'!F42</f>
        <v>548952</v>
      </c>
      <c r="F42" s="145">
        <v>554715</v>
      </c>
      <c r="G42" s="112">
        <f t="shared" si="3"/>
        <v>5763</v>
      </c>
      <c r="H42" s="99">
        <f>G42+'29'!H42</f>
        <v>-8157</v>
      </c>
      <c r="I42" s="95"/>
      <c r="J42" s="175">
        <f>H42/DAY(B2)</f>
        <v>-271.89999999999998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'29'!F43</f>
        <v>407028</v>
      </c>
      <c r="F43" s="145">
        <v>407028</v>
      </c>
      <c r="G43" s="112">
        <f t="shared" si="3"/>
        <v>0</v>
      </c>
      <c r="H43" s="99">
        <f>G43+'29'!H43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13692.699999999997</v>
      </c>
      <c r="H47" s="99">
        <f>G47+'29'!H47</f>
        <v>-21569.910000000047</v>
      </c>
      <c r="I47" s="95"/>
      <c r="J47" s="175">
        <f>H47/DAY(B2)</f>
        <v>-718.99700000000155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'29'!F49</f>
        <v>249271</v>
      </c>
      <c r="F49" s="145">
        <v>253417</v>
      </c>
      <c r="G49" s="112">
        <f t="shared" ref="G49:G58" si="4">F49-E49</f>
        <v>4146</v>
      </c>
      <c r="H49" s="99">
        <f>G49+'29'!H49</f>
        <v>-6730</v>
      </c>
      <c r="I49" s="95"/>
      <c r="J49" s="175">
        <f>H49/DAY(B2)</f>
        <v>-224.33333333333334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'29'!F50</f>
        <v>207398</v>
      </c>
      <c r="F50" s="145">
        <v>208631</v>
      </c>
      <c r="G50" s="112">
        <f t="shared" si="4"/>
        <v>1233</v>
      </c>
      <c r="H50" s="99">
        <f>G50+'29'!H50</f>
        <v>-933</v>
      </c>
      <c r="I50" s="95"/>
      <c r="J50" s="175">
        <f>H50/DAY(B2)</f>
        <v>-31.1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'29'!F51</f>
        <v>76</v>
      </c>
      <c r="F51" s="145">
        <v>75.680000000000007</v>
      </c>
      <c r="G51" s="112">
        <f t="shared" si="4"/>
        <v>-0.31999999999999318</v>
      </c>
      <c r="H51" s="99">
        <f>G51+'29'!H51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'29'!F52</f>
        <v>10</v>
      </c>
      <c r="F52" s="145">
        <v>10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'29'!F53</f>
        <v>0</v>
      </c>
      <c r="F53" s="418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'29'!F54</f>
        <v>63573.5</v>
      </c>
      <c r="F54" s="418">
        <v>64071.6</v>
      </c>
      <c r="G54" s="112">
        <f t="shared" si="4"/>
        <v>498.09999999999854</v>
      </c>
      <c r="H54" s="99">
        <f>G54+'29'!H54</f>
        <v>-484.40000000000146</v>
      </c>
      <c r="I54" s="95"/>
      <c r="J54" s="175">
        <f>H54/DAY(B2)</f>
        <v>-16.146666666666714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'29'!F55</f>
        <v>219813</v>
      </c>
      <c r="F55" s="418">
        <v>222542</v>
      </c>
      <c r="G55" s="112">
        <f t="shared" si="4"/>
        <v>2729</v>
      </c>
      <c r="H55" s="99">
        <f>G55+'29'!H55</f>
        <v>-2931</v>
      </c>
      <c r="I55" s="95"/>
      <c r="J55" s="175">
        <f>H55/DAY(B2)</f>
        <v>-97.7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'29'!F56</f>
        <v>107246</v>
      </c>
      <c r="F56" s="418">
        <v>107246</v>
      </c>
      <c r="G56" s="112">
        <f t="shared" si="4"/>
        <v>0</v>
      </c>
      <c r="H56" s="99">
        <f>G56+'29'!H56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'29'!F57</f>
        <v>30745.95</v>
      </c>
      <c r="F57" s="418">
        <v>33265</v>
      </c>
      <c r="G57" s="112">
        <f t="shared" si="4"/>
        <v>2519.0499999999993</v>
      </c>
      <c r="H57" s="99">
        <f>G57+'29'!H57</f>
        <v>-4338.0000000000036</v>
      </c>
      <c r="I57" s="95"/>
      <c r="J57" s="175">
        <f>H57/DAY(B2)</f>
        <v>-144.60000000000011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'29'!F58</f>
        <v>32150.3</v>
      </c>
      <c r="F58" s="418">
        <v>32402.080000000002</v>
      </c>
      <c r="G58" s="112">
        <f t="shared" si="4"/>
        <v>251.78000000000247</v>
      </c>
      <c r="H58" s="99">
        <f>G58+'29'!H58</f>
        <v>-486.91999999999825</v>
      </c>
      <c r="I58" s="95"/>
      <c r="J58" s="175">
        <f>H58/DAY(B2)</f>
        <v>-16.230666666666608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227"/>
      <c r="G59" s="119">
        <f>G49+G50+G51+G52+G53+G54+G55+G56+G57+G58</f>
        <v>11376.61</v>
      </c>
      <c r="H59" s="99">
        <f>G59+'29'!H59</f>
        <v>-15903.319999999992</v>
      </c>
      <c r="I59" s="95">
        <f>G7-G60</f>
        <v>3230.6899999999441</v>
      </c>
      <c r="J59" s="175">
        <f>H59/DAY(B2)</f>
        <v>-530.11066666666636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227"/>
      <c r="G60" s="119">
        <f>G47+G59</f>
        <v>25069.309999999998</v>
      </c>
      <c r="H60" s="99">
        <f>G60+'29'!H60</f>
        <v>-37473.229999999923</v>
      </c>
      <c r="I60" s="95">
        <f>G13-G60</f>
        <v>1966.6900000000023</v>
      </c>
      <c r="J60" s="175">
        <f>H60/DAY(B2)</f>
        <v>-1249.107666666664</v>
      </c>
      <c r="K60" s="79"/>
      <c r="L60" s="66"/>
      <c r="N60" s="87"/>
      <c r="O60" s="71"/>
    </row>
    <row r="61" spans="1:15" s="68" customFormat="1" ht="30.75" customHeight="1">
      <c r="A61" s="892" t="s">
        <v>332</v>
      </c>
      <c r="B61" s="893"/>
      <c r="C61" s="894"/>
      <c r="D61" s="339"/>
      <c r="E61" s="339"/>
      <c r="F61" s="340"/>
      <c r="G61" s="340" t="s">
        <v>207</v>
      </c>
      <c r="H61" s="339"/>
      <c r="I61" s="339"/>
      <c r="J61" s="341"/>
      <c r="K61" s="69"/>
      <c r="L61" s="67"/>
      <c r="N61" s="87"/>
      <c r="O61" s="71"/>
    </row>
    <row r="62" spans="1:15" ht="30.75" customHeight="1">
      <c r="A62" s="873" t="s">
        <v>198</v>
      </c>
      <c r="B62" s="874"/>
      <c r="C62" s="875"/>
      <c r="D62" s="151" t="s">
        <v>142</v>
      </c>
      <c r="E62" s="95">
        <f>'29'!F62</f>
        <v>288560</v>
      </c>
      <c r="F62" s="150">
        <v>288750</v>
      </c>
      <c r="G62" s="112">
        <f t="shared" ref="G62:G63" si="5">F62-E62</f>
        <v>190</v>
      </c>
      <c r="H62" s="99">
        <f>G62+'29'!H62</f>
        <v>-150</v>
      </c>
      <c r="I62" s="118"/>
      <c r="J62" s="175">
        <f>H62/DAY(B2)</f>
        <v>-5</v>
      </c>
      <c r="K62" s="80"/>
      <c r="L62" s="66"/>
      <c r="N62" s="87"/>
      <c r="O62" s="71"/>
    </row>
    <row r="63" spans="1:15" ht="30.75" customHeight="1">
      <c r="A63" s="873" t="s">
        <v>199</v>
      </c>
      <c r="B63" s="874"/>
      <c r="C63" s="875"/>
      <c r="D63" s="151" t="s">
        <v>142</v>
      </c>
      <c r="E63" s="95">
        <f>'29'!F63</f>
        <v>230881</v>
      </c>
      <c r="F63" s="150">
        <v>231045</v>
      </c>
      <c r="G63" s="112">
        <f t="shared" si="5"/>
        <v>164</v>
      </c>
      <c r="H63" s="99">
        <f>G63+'29'!H63</f>
        <v>-117</v>
      </c>
      <c r="I63" s="118"/>
      <c r="J63" s="175">
        <f>H63/DAY(B2)</f>
        <v>-3.9</v>
      </c>
      <c r="K63" s="69"/>
      <c r="L63" s="66"/>
      <c r="N63" s="87"/>
      <c r="O63" s="71"/>
    </row>
    <row r="64" spans="1:15" ht="30.75" customHeight="1">
      <c r="A64" s="870" t="s">
        <v>200</v>
      </c>
      <c r="B64" s="871"/>
      <c r="C64" s="872"/>
      <c r="D64" s="151"/>
      <c r="E64" s="95">
        <f>'29'!F64</f>
        <v>0</v>
      </c>
      <c r="F64" s="150"/>
      <c r="G64" s="112">
        <f>G62+G63</f>
        <v>354</v>
      </c>
      <c r="H64" s="99">
        <f>G64+'29'!H64</f>
        <v>-267</v>
      </c>
      <c r="I64" s="118"/>
      <c r="J64" s="175">
        <f>H64/DAY(B2)</f>
        <v>-8.9</v>
      </c>
      <c r="K64" s="69"/>
      <c r="L64" s="66"/>
      <c r="N64" s="87"/>
      <c r="O64" s="71"/>
    </row>
    <row r="65" spans="1:15" ht="30.75" customHeight="1">
      <c r="A65" s="873" t="s">
        <v>201</v>
      </c>
      <c r="B65" s="874"/>
      <c r="C65" s="875"/>
      <c r="D65" s="151" t="s">
        <v>142</v>
      </c>
      <c r="E65" s="95">
        <f>'29'!F65</f>
        <v>447817</v>
      </c>
      <c r="F65" s="150">
        <v>447922</v>
      </c>
      <c r="G65" s="112">
        <f t="shared" ref="G65:G70" si="6">F65-E65</f>
        <v>105</v>
      </c>
      <c r="H65" s="99">
        <f>G65+'29'!H65</f>
        <v>-105</v>
      </c>
      <c r="I65" s="118"/>
      <c r="J65" s="175">
        <f>H65/DAY(B2)</f>
        <v>-3.5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'29'!F66</f>
        <v>110288</v>
      </c>
      <c r="F66" s="150">
        <v>110309</v>
      </c>
      <c r="G66" s="112">
        <f t="shared" si="6"/>
        <v>21</v>
      </c>
      <c r="H66" s="99">
        <f>G66+'29'!H66</f>
        <v>-22</v>
      </c>
      <c r="I66" s="118"/>
      <c r="J66" s="175">
        <f>H66/DAY(B2)</f>
        <v>-0.73333333333333328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'29'!F67</f>
        <v>113138</v>
      </c>
      <c r="F67" s="150">
        <v>113209</v>
      </c>
      <c r="G67" s="112">
        <f t="shared" si="6"/>
        <v>71</v>
      </c>
      <c r="H67" s="99">
        <f>G67+'29'!H67</f>
        <v>-69</v>
      </c>
      <c r="I67" s="118"/>
      <c r="J67" s="175">
        <f>H67/DAY(B2)</f>
        <v>-2.2999999999999998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'29'!F68</f>
        <v>162443</v>
      </c>
      <c r="F68" s="150">
        <v>162465</v>
      </c>
      <c r="G68" s="112">
        <f t="shared" si="6"/>
        <v>22</v>
      </c>
      <c r="H68" s="99">
        <f>G68+'29'!H68</f>
        <v>-29</v>
      </c>
      <c r="I68" s="118"/>
      <c r="J68" s="175">
        <f>H68/DAY(B2)</f>
        <v>-0.96666666666666667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'29'!F69</f>
        <v>11851</v>
      </c>
      <c r="F69" s="150">
        <v>11860</v>
      </c>
      <c r="G69" s="112">
        <f t="shared" si="6"/>
        <v>9</v>
      </c>
      <c r="H69" s="99">
        <f>G69+'29'!H69</f>
        <v>-9</v>
      </c>
      <c r="I69" s="118"/>
      <c r="J69" s="175">
        <f>H69/DAY(B2)</f>
        <v>-0.3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'29'!F70</f>
        <v>9225</v>
      </c>
      <c r="F70" s="150">
        <v>9244</v>
      </c>
      <c r="G70" s="112">
        <f t="shared" si="6"/>
        <v>19</v>
      </c>
      <c r="H70" s="99">
        <f>G70+'29'!H70</f>
        <v>-23</v>
      </c>
      <c r="I70" s="118"/>
      <c r="J70" s="175">
        <f>H70/DAY(B2)</f>
        <v>-0.76666666666666672</v>
      </c>
      <c r="K70" s="69"/>
      <c r="L70" s="66"/>
      <c r="N70" s="87"/>
      <c r="O70" s="71"/>
    </row>
    <row r="71" spans="1:15" ht="30.75" customHeight="1">
      <c r="A71" s="870" t="s">
        <v>208</v>
      </c>
      <c r="B71" s="871"/>
      <c r="C71" s="872"/>
      <c r="D71" s="152"/>
      <c r="E71" s="152"/>
      <c r="F71" s="152"/>
      <c r="G71" s="153">
        <f>SUM(G65:G70)</f>
        <v>247</v>
      </c>
      <c r="H71" s="99">
        <f>G71+'29'!H71</f>
        <v>-257</v>
      </c>
      <c r="I71" s="154"/>
      <c r="J71" s="175">
        <f>H71/DAY(B2)</f>
        <v>-8.5666666666666664</v>
      </c>
      <c r="K71" s="69"/>
      <c r="L71" s="66"/>
      <c r="N71" s="87"/>
      <c r="O71" s="71"/>
    </row>
    <row r="72" spans="1:15" s="88" customFormat="1" ht="30.75" customHeight="1">
      <c r="A72" s="916"/>
      <c r="B72" s="90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73" t="s">
        <v>220</v>
      </c>
      <c r="B74" s="874"/>
      <c r="C74" s="875"/>
      <c r="D74" s="151" t="s">
        <v>139</v>
      </c>
      <c r="E74" s="95">
        <f>'29'!F74</f>
        <v>938017</v>
      </c>
      <c r="F74" s="123">
        <v>938346</v>
      </c>
      <c r="G74" s="112">
        <f t="shared" ref="G74:G78" si="7">F74-E74</f>
        <v>329</v>
      </c>
      <c r="H74" s="99">
        <f>G74+'29'!H74</f>
        <v>-324</v>
      </c>
      <c r="I74" s="154"/>
      <c r="J74" s="175">
        <f>H74/DAY(B2)</f>
        <v>-10.8</v>
      </c>
      <c r="K74" s="69"/>
      <c r="L74" s="66"/>
      <c r="N74" s="87"/>
      <c r="O74" s="71"/>
    </row>
    <row r="75" spans="1:15" ht="30.75" customHeight="1">
      <c r="A75" s="873" t="s">
        <v>221</v>
      </c>
      <c r="B75" s="874"/>
      <c r="C75" s="875"/>
      <c r="D75" s="151" t="s">
        <v>139</v>
      </c>
      <c r="E75" s="95">
        <f>'29'!F75</f>
        <v>73586.8</v>
      </c>
      <c r="F75" s="123">
        <v>73586.8</v>
      </c>
      <c r="G75" s="112">
        <f t="shared" si="7"/>
        <v>0</v>
      </c>
      <c r="H75" s="99">
        <f>G75+'29'!H75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917" t="s">
        <v>222</v>
      </c>
      <c r="B76" s="903"/>
      <c r="C76" s="904"/>
      <c r="D76" s="151" t="s">
        <v>139</v>
      </c>
      <c r="E76" s="95">
        <f>'29'!F76</f>
        <v>183498.49</v>
      </c>
      <c r="F76" s="123">
        <v>183607</v>
      </c>
      <c r="G76" s="112">
        <f t="shared" si="7"/>
        <v>108.51000000000931</v>
      </c>
      <c r="H76" s="99">
        <f>G76+'29'!H76</f>
        <v>-99</v>
      </c>
      <c r="I76" s="154"/>
      <c r="J76" s="175">
        <f>H76/DAY(B2)</f>
        <v>-3.3</v>
      </c>
      <c r="K76" s="69"/>
      <c r="L76" s="66"/>
      <c r="N76" s="87"/>
      <c r="O76" s="71"/>
    </row>
    <row r="77" spans="1:15" ht="30.75" customHeight="1">
      <c r="A77" s="917" t="s">
        <v>223</v>
      </c>
      <c r="B77" s="903"/>
      <c r="C77" s="904"/>
      <c r="D77" s="151" t="s">
        <v>139</v>
      </c>
      <c r="E77" s="95">
        <f>'29'!F77</f>
        <v>47250</v>
      </c>
      <c r="F77" s="123">
        <v>47298</v>
      </c>
      <c r="G77" s="112">
        <f t="shared" si="7"/>
        <v>48</v>
      </c>
      <c r="H77" s="99">
        <f>G77+'29'!H77</f>
        <v>-47</v>
      </c>
      <c r="I77" s="154"/>
      <c r="J77" s="175">
        <f>H77/DAY(B2)</f>
        <v>-1.5666666666666667</v>
      </c>
      <c r="K77" s="69"/>
      <c r="L77" s="66"/>
      <c r="N77" s="87"/>
      <c r="O77" s="71"/>
    </row>
    <row r="78" spans="1:15" ht="30.75" customHeight="1">
      <c r="A78" s="917" t="s">
        <v>224</v>
      </c>
      <c r="B78" s="903"/>
      <c r="C78" s="904"/>
      <c r="D78" s="151" t="s">
        <v>139</v>
      </c>
      <c r="E78" s="95">
        <f>'29'!F78</f>
        <v>9563</v>
      </c>
      <c r="F78" s="123">
        <v>9563.4</v>
      </c>
      <c r="G78" s="112">
        <f t="shared" si="7"/>
        <v>0.3999999999996362</v>
      </c>
      <c r="H78" s="99">
        <f>G78+'29'!H78</f>
        <v>-0.6000000000003638</v>
      </c>
      <c r="I78" s="118"/>
      <c r="J78" s="175">
        <f>H78/DAY(B2)</f>
        <v>-2.0000000000012126E-2</v>
      </c>
      <c r="K78" s="69"/>
      <c r="L78" s="66"/>
      <c r="N78" s="87"/>
      <c r="O78" s="71"/>
    </row>
    <row r="79" spans="1:15" s="57" customFormat="1" ht="30.75" customHeight="1">
      <c r="A79" s="917" t="s">
        <v>225</v>
      </c>
      <c r="B79" s="903"/>
      <c r="C79" s="904"/>
      <c r="D79" s="151"/>
      <c r="E79" s="95">
        <f>'29'!F79</f>
        <v>0</v>
      </c>
      <c r="F79" s="117"/>
      <c r="G79" s="112">
        <f>G15-SUM(G74:G78)</f>
        <v>614.08999999999105</v>
      </c>
      <c r="H79" s="99">
        <f>G79+'29'!H79</f>
        <v>31666.890000000036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70" t="s">
        <v>329</v>
      </c>
      <c r="B80" s="871"/>
      <c r="C80" s="872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09" t="s">
        <v>226</v>
      </c>
      <c r="B81" s="910"/>
      <c r="C81" s="911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573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573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'29'!F84</f>
        <v>41969</v>
      </c>
      <c r="F84" s="164">
        <v>41969</v>
      </c>
      <c r="G84" s="112">
        <f t="shared" si="8"/>
        <v>0</v>
      </c>
      <c r="H84" s="99">
        <f>G84+'29'!H84</f>
        <v>0</v>
      </c>
      <c r="I84" s="573"/>
      <c r="J84" s="175">
        <f>H84/DAY(B2)</f>
        <v>0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120">
        <f>'29'!F85</f>
        <v>4295.34</v>
      </c>
      <c r="F85" s="150">
        <v>4319</v>
      </c>
      <c r="G85" s="112">
        <f t="shared" si="8"/>
        <v>23.659999999999854</v>
      </c>
      <c r="H85" s="99">
        <f>G85+'29'!H85</f>
        <v>-24</v>
      </c>
      <c r="I85" s="573"/>
      <c r="J85" s="175">
        <f>H85/DAY(B2)</f>
        <v>-0.8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'29'!F86</f>
        <v>44433.46</v>
      </c>
      <c r="F86" s="164">
        <v>44452</v>
      </c>
      <c r="G86" s="112">
        <f t="shared" si="8"/>
        <v>18.540000000000873</v>
      </c>
      <c r="H86" s="99">
        <f>G86+'29'!H86</f>
        <v>-18</v>
      </c>
      <c r="I86" s="573"/>
      <c r="J86" s="175">
        <f>H86/DAY(B2)</f>
        <v>-0.6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'29'!F87</f>
        <v>35329</v>
      </c>
      <c r="F87" s="164">
        <v>35329</v>
      </c>
      <c r="G87" s="112">
        <f t="shared" si="8"/>
        <v>0</v>
      </c>
      <c r="H87" s="99">
        <f>G87+'29'!H87</f>
        <v>0</v>
      </c>
      <c r="I87" s="555">
        <f>G84+G85+G86+G87</f>
        <v>42.200000000000728</v>
      </c>
      <c r="J87" s="175">
        <f>H87/DAY(B2)</f>
        <v>0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'29'!F88</f>
        <v>24218.36</v>
      </c>
      <c r="F88" s="164">
        <v>24218.36</v>
      </c>
      <c r="G88" s="112">
        <f t="shared" si="8"/>
        <v>0</v>
      </c>
      <c r="H88" s="99">
        <f>G88+'29'!H88</f>
        <v>-9.5200000000004366</v>
      </c>
      <c r="I88" s="555"/>
      <c r="J88" s="175">
        <f>H88/DAY(B2)</f>
        <v>-0.3173333333333479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'29'!F89</f>
        <v>26972.45</v>
      </c>
      <c r="F89" s="164">
        <v>26982.02</v>
      </c>
      <c r="G89" s="112">
        <f t="shared" si="8"/>
        <v>9.569999999999709</v>
      </c>
      <c r="H89" s="99">
        <f>G89+'29'!H89</f>
        <v>-11.389999999999418</v>
      </c>
      <c r="I89" s="555">
        <f>G88+G89</f>
        <v>9.569999999999709</v>
      </c>
      <c r="J89" s="175">
        <f>H89/DAY(B2)</f>
        <v>-0.37966666666664728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'29'!F90</f>
        <v>72116.45</v>
      </c>
      <c r="F90" s="164">
        <v>72127.12</v>
      </c>
      <c r="G90" s="112">
        <f t="shared" si="8"/>
        <v>10.669999999998254</v>
      </c>
      <c r="H90" s="99">
        <f>G90+'29'!H90</f>
        <v>-145.55999999999767</v>
      </c>
      <c r="I90" s="555">
        <f>G90</f>
        <v>10.669999999998254</v>
      </c>
      <c r="J90" s="175">
        <f>H90/DAY(B2)</f>
        <v>-4.8519999999999222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'29'!F91</f>
        <v>4122</v>
      </c>
      <c r="F91" s="122">
        <v>4121.6499999999996</v>
      </c>
      <c r="G91" s="112">
        <f t="shared" si="8"/>
        <v>-0.3500000000003638</v>
      </c>
      <c r="H91" s="99">
        <f>G91+'29'!H91</f>
        <v>0</v>
      </c>
      <c r="I91" s="616"/>
      <c r="J91" s="175">
        <f>H91/DAY(B2)</f>
        <v>0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'29'!F92</f>
        <v>6194.84</v>
      </c>
      <c r="F92" s="122">
        <v>6206.1</v>
      </c>
      <c r="G92" s="112">
        <f t="shared" si="8"/>
        <v>11.260000000000218</v>
      </c>
      <c r="H92" s="99">
        <f>G92+'29'!H92</f>
        <v>-11.149999999999636</v>
      </c>
      <c r="I92" s="617">
        <f>G91+G92</f>
        <v>10.909999999999854</v>
      </c>
      <c r="J92" s="175">
        <f>H92/DAY(B2)</f>
        <v>-0.37166666666665454</v>
      </c>
      <c r="O92" s="71"/>
    </row>
    <row r="93" spans="1:15" ht="30.75" customHeight="1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73" t="s">
        <v>240</v>
      </c>
      <c r="B94" s="874"/>
      <c r="C94" s="875"/>
      <c r="D94" s="151" t="s">
        <v>130</v>
      </c>
      <c r="E94" s="151"/>
      <c r="F94" s="151"/>
      <c r="G94" s="99">
        <f>G35+G43+G49+G57</f>
        <v>6665.0499999999993</v>
      </c>
      <c r="H94" s="99">
        <f>G94+'29'!H94</f>
        <v>-11068.000000000076</v>
      </c>
      <c r="I94" s="118"/>
      <c r="J94" s="175">
        <f>H94/DAY(B2)</f>
        <v>-368.9333333333359</v>
      </c>
      <c r="K94" s="69"/>
      <c r="L94" s="66"/>
      <c r="O94" s="71"/>
    </row>
    <row r="95" spans="1:15" ht="30.75" customHeight="1">
      <c r="A95" s="873" t="s">
        <v>241</v>
      </c>
      <c r="B95" s="874"/>
      <c r="C95" s="875"/>
      <c r="D95" s="151" t="s">
        <v>23</v>
      </c>
      <c r="E95" s="146"/>
      <c r="F95" s="146"/>
      <c r="G95" s="166">
        <f>G94/G7</f>
        <v>0.23551413427561882</v>
      </c>
      <c r="H95" s="99">
        <f>G95+'29'!H95</f>
        <v>-0.26541578801694543</v>
      </c>
      <c r="I95" s="167"/>
      <c r="J95" s="175">
        <f>H95/DAY(B2)</f>
        <v>-8.8471929338981813E-3</v>
      </c>
      <c r="K95" s="69"/>
      <c r="L95" s="66"/>
      <c r="O95" s="71"/>
    </row>
    <row r="96" spans="1:15" ht="30.75" customHeight="1">
      <c r="A96" s="873" t="s">
        <v>242</v>
      </c>
      <c r="B96" s="874"/>
      <c r="C96" s="875"/>
      <c r="D96" s="151" t="s">
        <v>130</v>
      </c>
      <c r="E96" s="95"/>
      <c r="F96" s="95"/>
      <c r="G96" s="99">
        <f>G41+G42+G55+G56</f>
        <v>8492</v>
      </c>
      <c r="H96" s="99">
        <f>G96+'29'!H96</f>
        <v>-11087.999999999971</v>
      </c>
      <c r="I96" s="118"/>
      <c r="J96" s="175">
        <f>H96/DAY(B2)</f>
        <v>-369.59999999999906</v>
      </c>
      <c r="K96" s="69"/>
      <c r="L96" s="66"/>
      <c r="O96" s="71"/>
    </row>
    <row r="97" spans="1:15" ht="30.75" customHeight="1">
      <c r="A97" s="873" t="s">
        <v>243</v>
      </c>
      <c r="B97" s="874"/>
      <c r="C97" s="875"/>
      <c r="D97" s="151" t="s">
        <v>23</v>
      </c>
      <c r="E97" s="95"/>
      <c r="F97" s="95"/>
      <c r="G97" s="166">
        <f>G96/G7</f>
        <v>0.30007067137809251</v>
      </c>
      <c r="H97" s="99">
        <f>G97+'29'!H97</f>
        <v>-0.28600129535882957</v>
      </c>
      <c r="I97" s="167"/>
      <c r="J97" s="175">
        <f>H97/DAY(B2)</f>
        <v>-9.5333765119609854E-3</v>
      </c>
      <c r="K97" s="69"/>
      <c r="L97" s="66"/>
      <c r="O97" s="71"/>
    </row>
    <row r="98" spans="1:15" ht="30.75" customHeight="1">
      <c r="A98" s="873" t="s">
        <v>244</v>
      </c>
      <c r="B98" s="874"/>
      <c r="C98" s="875"/>
      <c r="D98" s="151" t="s">
        <v>130</v>
      </c>
      <c r="E98" s="95"/>
      <c r="F98" s="95"/>
      <c r="G98" s="99">
        <f>G39+G53</f>
        <v>2936</v>
      </c>
      <c r="H98" s="99">
        <f>G98+'29'!H98</f>
        <v>-6261.9099999999744</v>
      </c>
      <c r="I98" s="168"/>
      <c r="J98" s="175">
        <f>H98/DAY(B2)</f>
        <v>-208.73033333333248</v>
      </c>
      <c r="K98" s="69"/>
      <c r="L98" s="66"/>
      <c r="O98" s="71"/>
    </row>
    <row r="99" spans="1:15" ht="30.75" customHeight="1">
      <c r="A99" s="873" t="s">
        <v>245</v>
      </c>
      <c r="B99" s="874"/>
      <c r="C99" s="875"/>
      <c r="D99" s="151" t="s">
        <v>23</v>
      </c>
      <c r="E99" s="95"/>
      <c r="F99" s="95"/>
      <c r="G99" s="166">
        <f>G98/G7</f>
        <v>0.10374558303886947</v>
      </c>
      <c r="H99" s="99">
        <f>G99+'29'!H99</f>
        <v>-0.17091945862351002</v>
      </c>
      <c r="I99" s="168"/>
      <c r="J99" s="175">
        <f>H99/DAY(B2)</f>
        <v>-5.697315287450334E-3</v>
      </c>
      <c r="O99" s="71"/>
    </row>
    <row r="100" spans="1:15" ht="30.75" customHeight="1">
      <c r="A100" s="873" t="s">
        <v>246</v>
      </c>
      <c r="B100" s="874"/>
      <c r="C100" s="875"/>
      <c r="D100" s="151" t="s">
        <v>180</v>
      </c>
      <c r="E100" s="95"/>
      <c r="F100" s="95"/>
      <c r="G100" s="99">
        <f>G38+G52</f>
        <v>2258</v>
      </c>
      <c r="H100" s="99">
        <f>G100+'29'!H100</f>
        <v>-4284</v>
      </c>
      <c r="I100" s="118"/>
      <c r="J100" s="175">
        <f>H100/DAY(B2)</f>
        <v>-142.80000000000001</v>
      </c>
      <c r="K100" s="70"/>
      <c r="O100" s="71"/>
    </row>
    <row r="101" spans="1:15" ht="30.75" customHeight="1">
      <c r="A101" s="873" t="s">
        <v>247</v>
      </c>
      <c r="B101" s="874"/>
      <c r="C101" s="875"/>
      <c r="D101" s="151" t="s">
        <v>23</v>
      </c>
      <c r="E101" s="95"/>
      <c r="F101" s="95"/>
      <c r="G101" s="166">
        <f>G100/G7</f>
        <v>7.9787985865724539E-2</v>
      </c>
      <c r="H101" s="99">
        <f>G101+'29'!H101</f>
        <v>-0.11370325779634229</v>
      </c>
      <c r="I101" s="168"/>
      <c r="J101" s="175">
        <f>H101/DAY(B2)</f>
        <v>-3.7901085932114096E-3</v>
      </c>
      <c r="O101" s="71"/>
    </row>
    <row r="102" spans="1:15" ht="30.75" customHeight="1">
      <c r="A102" s="873" t="s">
        <v>248</v>
      </c>
      <c r="B102" s="874"/>
      <c r="C102" s="875"/>
      <c r="D102" s="151" t="s">
        <v>180</v>
      </c>
      <c r="E102" s="95"/>
      <c r="F102" s="95"/>
      <c r="G102" s="99">
        <f>G36+G50</f>
        <v>2158</v>
      </c>
      <c r="H102" s="99">
        <f>G102+'29'!H102</f>
        <v>-1730</v>
      </c>
      <c r="I102" s="168"/>
      <c r="J102" s="175">
        <f>H102/DAY(B2)</f>
        <v>-57.666666666666664</v>
      </c>
      <c r="O102" s="71"/>
    </row>
    <row r="103" spans="1:15" ht="30.75" customHeight="1">
      <c r="A103" s="873" t="s">
        <v>249</v>
      </c>
      <c r="B103" s="874"/>
      <c r="C103" s="875"/>
      <c r="D103" s="151" t="s">
        <v>23</v>
      </c>
      <c r="E103" s="95"/>
      <c r="F103" s="95"/>
      <c r="G103" s="166">
        <f>G102/G7</f>
        <v>7.6254416961130903E-2</v>
      </c>
      <c r="H103" s="99">
        <f>G103+'29'!H103</f>
        <v>-3.6161073453408674E-2</v>
      </c>
      <c r="I103" s="118"/>
      <c r="J103" s="175">
        <f>H103/DAY(B2)</f>
        <v>-1.2053691151136224E-3</v>
      </c>
      <c r="O103" s="71"/>
    </row>
    <row r="104" spans="1:15" ht="30.75" customHeight="1">
      <c r="A104" s="873" t="s">
        <v>250</v>
      </c>
      <c r="B104" s="874"/>
      <c r="C104" s="875"/>
      <c r="D104" s="151" t="s">
        <v>180</v>
      </c>
      <c r="E104" s="95"/>
      <c r="F104" s="95"/>
      <c r="G104" s="99">
        <f>G37+G51</f>
        <v>1640.68</v>
      </c>
      <c r="H104" s="99">
        <f>G104+'29'!H104</f>
        <v>-1790.0000000000002</v>
      </c>
      <c r="I104" s="118"/>
      <c r="J104" s="175">
        <f>H104/DAY(B2)</f>
        <v>-59.666666666666671</v>
      </c>
      <c r="O104" s="71"/>
    </row>
    <row r="105" spans="1:15" ht="30.75" customHeight="1" thickBot="1">
      <c r="A105" s="913" t="s">
        <v>251</v>
      </c>
      <c r="B105" s="914"/>
      <c r="C105" s="915"/>
      <c r="D105" s="231" t="s">
        <v>23</v>
      </c>
      <c r="E105" s="185"/>
      <c r="F105" s="185"/>
      <c r="G105" s="186">
        <f>G104/G7</f>
        <v>5.797455830388705E-2</v>
      </c>
      <c r="H105" s="99">
        <f>G105+'29'!H105</f>
        <v>-3.8483331465846413E-2</v>
      </c>
      <c r="I105" s="187"/>
      <c r="J105" s="188">
        <f>H105/DAY(B2)</f>
        <v>-1.2827777155282139E-3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27" t="s">
        <v>324</v>
      </c>
      <c r="B108" s="927"/>
      <c r="C108" s="927"/>
      <c r="D108" s="927"/>
      <c r="E108" s="927"/>
      <c r="F108" s="927"/>
      <c r="G108" s="927"/>
      <c r="H108" s="927"/>
      <c r="I108" s="927"/>
      <c r="J108" s="927"/>
    </row>
    <row r="109" spans="1:15" ht="30.75" customHeight="1">
      <c r="A109" s="912"/>
      <c r="B109" s="912"/>
    </row>
    <row r="110" spans="1:15" ht="30.75" customHeight="1">
      <c r="A110" s="928" t="s">
        <v>165</v>
      </c>
      <c r="B110" s="929"/>
      <c r="C110" s="929"/>
      <c r="D110" s="929"/>
      <c r="E110" s="929"/>
      <c r="F110" s="929"/>
      <c r="G110" s="929"/>
      <c r="H110" s="929"/>
      <c r="I110" s="929"/>
      <c r="J110" s="930"/>
    </row>
    <row r="111" spans="1:15" ht="30.75" customHeight="1">
      <c r="A111" s="931"/>
      <c r="B111" s="932"/>
      <c r="C111" s="933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906" t="s">
        <v>252</v>
      </c>
      <c r="B112" s="907"/>
      <c r="C112" s="908"/>
      <c r="D112" s="146" t="s">
        <v>183</v>
      </c>
      <c r="E112" s="95">
        <f>'29'!F112</f>
        <v>2523</v>
      </c>
      <c r="F112" s="237">
        <v>2596</v>
      </c>
      <c r="G112" s="112">
        <f t="shared" ref="G112:G123" si="9">F112-E112</f>
        <v>73</v>
      </c>
      <c r="H112" s="99">
        <f>G112+'29'!H112</f>
        <v>-81</v>
      </c>
      <c r="I112" s="165"/>
      <c r="J112" s="328">
        <f>H112/DAY(B2)</f>
        <v>-2.7</v>
      </c>
    </row>
    <row r="113" spans="1:18" ht="30.75" customHeight="1">
      <c r="A113" s="906" t="s">
        <v>253</v>
      </c>
      <c r="B113" s="907"/>
      <c r="C113" s="908"/>
      <c r="D113" s="146" t="s">
        <v>183</v>
      </c>
      <c r="E113" s="95">
        <f>'29'!F113</f>
        <v>6027.1</v>
      </c>
      <c r="F113" s="237">
        <v>6205</v>
      </c>
      <c r="G113" s="112">
        <f t="shared" si="9"/>
        <v>177.89999999999964</v>
      </c>
      <c r="H113" s="99">
        <f>G113+'29'!H113</f>
        <v>-186</v>
      </c>
      <c r="I113" s="165"/>
      <c r="J113" s="328">
        <f>H113/DAY(B2)</f>
        <v>-6.2</v>
      </c>
    </row>
    <row r="114" spans="1:18" ht="30.75" customHeight="1">
      <c r="A114" s="906" t="s">
        <v>254</v>
      </c>
      <c r="B114" s="907"/>
      <c r="C114" s="908"/>
      <c r="D114" s="146" t="s">
        <v>183</v>
      </c>
      <c r="E114" s="95">
        <f>'29'!F114</f>
        <v>7069.67</v>
      </c>
      <c r="F114" s="237">
        <v>7313</v>
      </c>
      <c r="G114" s="112">
        <f t="shared" si="9"/>
        <v>243.32999999999993</v>
      </c>
      <c r="H114" s="99">
        <f>G114+'29'!H114</f>
        <v>-257</v>
      </c>
      <c r="I114" s="165"/>
      <c r="J114" s="328">
        <f>H114/DAY(B2)</f>
        <v>-8.5666666666666664</v>
      </c>
    </row>
    <row r="115" spans="1:18" ht="30.75" customHeight="1">
      <c r="A115" s="906" t="s">
        <v>255</v>
      </c>
      <c r="B115" s="907"/>
      <c r="C115" s="908"/>
      <c r="D115" s="146" t="s">
        <v>183</v>
      </c>
      <c r="E115" s="95">
        <f>'29'!F115</f>
        <v>545.48</v>
      </c>
      <c r="F115" s="237">
        <v>555</v>
      </c>
      <c r="G115" s="112">
        <f t="shared" si="9"/>
        <v>9.5199999999999818</v>
      </c>
      <c r="H115" s="99">
        <f>G115+'29'!H115</f>
        <v>-5575.48</v>
      </c>
      <c r="I115" s="165"/>
      <c r="J115" s="328">
        <f>H115/DAY(B2)</f>
        <v>-185.84933333333331</v>
      </c>
    </row>
    <row r="116" spans="1:18" ht="30.75" customHeight="1">
      <c r="A116" s="924" t="s">
        <v>96</v>
      </c>
      <c r="B116" s="925"/>
      <c r="C116" s="926"/>
      <c r="D116" s="146" t="s">
        <v>183</v>
      </c>
      <c r="E116" s="95">
        <f>'29'!F116</f>
        <v>45980.800000000003</v>
      </c>
      <c r="F116" s="237">
        <v>46373</v>
      </c>
      <c r="G116" s="112">
        <f t="shared" si="9"/>
        <v>392.19999999999709</v>
      </c>
      <c r="H116" s="99">
        <f>G116+'29'!H116</f>
        <v>-382</v>
      </c>
      <c r="I116" s="165"/>
      <c r="J116" s="328">
        <f>H116/DAY(B2)</f>
        <v>-12.733333333333333</v>
      </c>
      <c r="Q116" s="906" t="s">
        <v>311</v>
      </c>
      <c r="R116" s="908"/>
    </row>
    <row r="117" spans="1:18" ht="30.75" customHeight="1">
      <c r="A117" s="924" t="s">
        <v>184</v>
      </c>
      <c r="B117" s="925"/>
      <c r="C117" s="926"/>
      <c r="D117" s="146" t="s">
        <v>183</v>
      </c>
      <c r="E117" s="95">
        <f>'29'!F117</f>
        <v>24801.599999999999</v>
      </c>
      <c r="F117" s="237">
        <v>25028</v>
      </c>
      <c r="G117" s="112">
        <f t="shared" si="9"/>
        <v>226.40000000000146</v>
      </c>
      <c r="H117" s="99">
        <f>G117+'29'!H117</f>
        <v>-240</v>
      </c>
      <c r="I117" s="165"/>
      <c r="J117" s="328">
        <f>H117/DAY(B2)</f>
        <v>-8</v>
      </c>
      <c r="Q117" s="906" t="s">
        <v>312</v>
      </c>
      <c r="R117" s="908"/>
    </row>
    <row r="118" spans="1:18" ht="30.75" customHeight="1">
      <c r="A118" s="901" t="s">
        <v>97</v>
      </c>
      <c r="B118" s="901"/>
      <c r="C118" s="901"/>
      <c r="D118" s="151" t="s">
        <v>183</v>
      </c>
      <c r="E118" s="95">
        <f>'29'!F118</f>
        <v>25066.1</v>
      </c>
      <c r="F118" s="237">
        <v>25614</v>
      </c>
      <c r="G118" s="112">
        <f t="shared" si="9"/>
        <v>547.90000000000146</v>
      </c>
      <c r="H118" s="99">
        <f>G118+'29'!H118</f>
        <v>-611</v>
      </c>
      <c r="I118" s="165"/>
      <c r="J118" s="328">
        <f>H118/DAY(B2)</f>
        <v>-20.366666666666667</v>
      </c>
      <c r="Q118" s="906" t="s">
        <v>311</v>
      </c>
      <c r="R118" s="908"/>
    </row>
    <row r="119" spans="1:18" ht="30.75" customHeight="1">
      <c r="A119" s="901" t="s">
        <v>98</v>
      </c>
      <c r="B119" s="901"/>
      <c r="C119" s="901"/>
      <c r="D119" s="151" t="s">
        <v>183</v>
      </c>
      <c r="E119" s="95">
        <f>'29'!F119</f>
        <v>18177.400000000001</v>
      </c>
      <c r="F119" s="237">
        <v>18559</v>
      </c>
      <c r="G119" s="112">
        <f t="shared" si="9"/>
        <v>381.59999999999854</v>
      </c>
      <c r="H119" s="99">
        <f>G119+'29'!H119</f>
        <v>-388</v>
      </c>
      <c r="I119" s="165"/>
      <c r="J119" s="328">
        <f>H119/DAY(B2)</f>
        <v>-12.933333333333334</v>
      </c>
    </row>
    <row r="120" spans="1:18" ht="30.75" customHeight="1">
      <c r="A120" s="901" t="s">
        <v>99</v>
      </c>
      <c r="B120" s="901"/>
      <c r="C120" s="901"/>
      <c r="D120" s="151" t="s">
        <v>183</v>
      </c>
      <c r="E120" s="95">
        <f>'29'!F120</f>
        <v>19236.400000000001</v>
      </c>
      <c r="F120" s="237">
        <v>19645</v>
      </c>
      <c r="G120" s="112">
        <f t="shared" si="9"/>
        <v>408.59999999999854</v>
      </c>
      <c r="H120" s="99">
        <f>G120+'29'!H120</f>
        <v>-405</v>
      </c>
      <c r="I120" s="165"/>
      <c r="J120" s="328">
        <f>H120/DAY(B2)</f>
        <v>-13.5</v>
      </c>
    </row>
    <row r="121" spans="1:18" ht="30.75" customHeight="1">
      <c r="A121" s="901" t="s">
        <v>100</v>
      </c>
      <c r="B121" s="901"/>
      <c r="C121" s="901"/>
      <c r="D121" s="151" t="s">
        <v>183</v>
      </c>
      <c r="E121" s="95">
        <f>'29'!F121</f>
        <v>24940.6</v>
      </c>
      <c r="F121" s="237">
        <v>25401</v>
      </c>
      <c r="G121" s="112">
        <f t="shared" si="9"/>
        <v>460.40000000000146</v>
      </c>
      <c r="H121" s="99">
        <f>G121+'29'!H121</f>
        <v>-443</v>
      </c>
      <c r="I121" s="165"/>
      <c r="J121" s="328">
        <f>H121/DAY(B2)</f>
        <v>-14.766666666666667</v>
      </c>
    </row>
    <row r="122" spans="1:18" ht="30.75" customHeight="1">
      <c r="A122" s="901" t="s">
        <v>101</v>
      </c>
      <c r="B122" s="901"/>
      <c r="C122" s="901"/>
      <c r="D122" s="151" t="s">
        <v>183</v>
      </c>
      <c r="E122" s="95">
        <f>'29'!F122</f>
        <v>10619.7</v>
      </c>
      <c r="F122" s="237">
        <v>10891</v>
      </c>
      <c r="G122" s="112">
        <f t="shared" si="9"/>
        <v>271.29999999999927</v>
      </c>
      <c r="H122" s="99">
        <f>G122+'29'!H122</f>
        <v>-269</v>
      </c>
      <c r="I122" s="165"/>
      <c r="J122" s="328">
        <f>H122/DAY(B2)</f>
        <v>-8.9666666666666668</v>
      </c>
    </row>
    <row r="123" spans="1:18" ht="30.75" customHeight="1">
      <c r="A123" s="901" t="s">
        <v>102</v>
      </c>
      <c r="B123" s="901"/>
      <c r="C123" s="901"/>
      <c r="D123" s="151" t="s">
        <v>183</v>
      </c>
      <c r="E123" s="95">
        <f>'29'!F123</f>
        <v>9883.91</v>
      </c>
      <c r="F123" s="237">
        <v>10178</v>
      </c>
      <c r="G123" s="112">
        <f t="shared" si="9"/>
        <v>294.09000000000015</v>
      </c>
      <c r="H123" s="99">
        <f>G123+'29'!H123</f>
        <v>-331</v>
      </c>
      <c r="I123" s="165"/>
      <c r="J123" s="328">
        <f>H123/DAY(B2)</f>
        <v>-11.033333333333333</v>
      </c>
    </row>
    <row r="124" spans="1:18" ht="30.75" customHeight="1">
      <c r="A124" s="931"/>
      <c r="B124" s="932"/>
      <c r="C124" s="933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>
      <c r="A125" s="934" t="s">
        <v>196</v>
      </c>
      <c r="B125" s="935"/>
      <c r="C125" s="245"/>
      <c r="D125" s="307"/>
      <c r="E125" s="308"/>
      <c r="F125" s="308"/>
      <c r="G125" s="309">
        <f>SUM(G112:G124)</f>
        <v>3486.2399999999975</v>
      </c>
      <c r="H125" s="156"/>
      <c r="I125" s="327">
        <f>G125-(G39+G53)</f>
        <v>550.23999999999751</v>
      </c>
      <c r="J125" s="327"/>
    </row>
    <row r="126" spans="1:18" ht="30.75" customHeight="1">
      <c r="A126" s="936" t="s">
        <v>317</v>
      </c>
      <c r="B126" s="936"/>
      <c r="C126" s="936"/>
      <c r="D126" s="936"/>
      <c r="E126" s="936"/>
      <c r="F126" s="936"/>
      <c r="G126" s="936"/>
      <c r="H126" s="936"/>
      <c r="I126" s="936"/>
      <c r="J126" s="936"/>
    </row>
    <row r="127" spans="1:18" ht="30.75" customHeight="1">
      <c r="A127" s="937"/>
      <c r="B127" s="937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>
      <c r="A128" s="906" t="s">
        <v>318</v>
      </c>
      <c r="B128" s="907"/>
      <c r="C128" s="908"/>
      <c r="D128" s="151" t="s">
        <v>183</v>
      </c>
      <c r="E128" s="95">
        <f>'29'!F128</f>
        <v>94593.7</v>
      </c>
      <c r="F128" s="165">
        <v>95163</v>
      </c>
      <c r="G128" s="112">
        <f t="shared" ref="G128:G134" si="10">F128-E128</f>
        <v>569.30000000000291</v>
      </c>
      <c r="H128" s="99">
        <f>G128+'29'!H128</f>
        <v>-552</v>
      </c>
      <c r="I128" s="165"/>
      <c r="J128" s="328">
        <f>H128/DAY(B2)</f>
        <v>-18.399999999999999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'29'!F129</f>
        <v>59668.4</v>
      </c>
      <c r="F129" s="165">
        <v>59998</v>
      </c>
      <c r="G129" s="112">
        <f t="shared" si="10"/>
        <v>329.59999999999854</v>
      </c>
      <c r="H129" s="99">
        <f>G129+'29'!H129</f>
        <v>-295</v>
      </c>
      <c r="I129" s="165"/>
      <c r="J129" s="328">
        <f>H129/DAY(B2)</f>
        <v>-9.8333333333333339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'29'!F130</f>
        <v>117832</v>
      </c>
      <c r="F130" s="165">
        <v>118547</v>
      </c>
      <c r="G130" s="112">
        <f t="shared" si="10"/>
        <v>715</v>
      </c>
      <c r="H130" s="99">
        <f>G130+'29'!H130</f>
        <v>-2582</v>
      </c>
      <c r="I130" s="165"/>
      <c r="J130" s="328">
        <f>H130/DAY(B2)</f>
        <v>-86.066666666666663</v>
      </c>
      <c r="N130" s="240"/>
      <c r="O130" s="241"/>
    </row>
    <row r="131" spans="1:15" ht="30.75" customHeight="1">
      <c r="A131" s="906" t="s">
        <v>321</v>
      </c>
      <c r="B131" s="907"/>
      <c r="C131" s="908"/>
      <c r="D131" s="151" t="s">
        <v>183</v>
      </c>
      <c r="E131" s="95">
        <f>'29'!F131</f>
        <v>35855.1</v>
      </c>
      <c r="F131" s="165">
        <v>36087</v>
      </c>
      <c r="G131" s="112">
        <f t="shared" si="10"/>
        <v>231.90000000000146</v>
      </c>
      <c r="H131" s="99">
        <f>G131+'29'!H131</f>
        <v>-192</v>
      </c>
      <c r="I131" s="165"/>
      <c r="J131" s="328">
        <f>H131/DAY(B2)</f>
        <v>-6.4</v>
      </c>
      <c r="N131" s="240"/>
      <c r="O131" s="241"/>
    </row>
    <row r="132" spans="1:15" ht="30.75" customHeight="1">
      <c r="A132" s="906" t="s">
        <v>322</v>
      </c>
      <c r="B132" s="907"/>
      <c r="C132" s="908"/>
      <c r="D132" s="151" t="s">
        <v>183</v>
      </c>
      <c r="E132" s="120">
        <f>'29'!F132</f>
        <v>102652</v>
      </c>
      <c r="F132" s="465">
        <v>103078</v>
      </c>
      <c r="G132" s="112">
        <f t="shared" si="10"/>
        <v>426</v>
      </c>
      <c r="H132" s="99">
        <f>G132+'29'!H132</f>
        <v>-434</v>
      </c>
      <c r="I132" s="165"/>
      <c r="J132" s="328">
        <f>H132/DAY(B2)</f>
        <v>-14.466666666666667</v>
      </c>
    </row>
    <row r="133" spans="1:15" ht="30.75" customHeight="1">
      <c r="A133" s="906" t="s">
        <v>359</v>
      </c>
      <c r="B133" s="907"/>
      <c r="C133" s="908"/>
      <c r="D133" s="151" t="s">
        <v>183</v>
      </c>
      <c r="E133" s="95">
        <f>'29'!F133</f>
        <v>199553</v>
      </c>
      <c r="F133" s="165">
        <v>200383</v>
      </c>
      <c r="G133" s="112">
        <f t="shared" si="10"/>
        <v>830</v>
      </c>
      <c r="H133" s="99">
        <f>G133+'29'!H133</f>
        <v>-849</v>
      </c>
      <c r="I133" s="165"/>
      <c r="J133" s="328">
        <f>H133/DAY(B2)</f>
        <v>-28.3</v>
      </c>
    </row>
    <row r="134" spans="1:15" ht="30.75" customHeight="1">
      <c r="A134" s="906" t="s">
        <v>340</v>
      </c>
      <c r="B134" s="907"/>
      <c r="C134" s="908"/>
      <c r="D134" s="151" t="s">
        <v>183</v>
      </c>
      <c r="E134" s="95">
        <f>'29'!F134</f>
        <v>34461.800000000003</v>
      </c>
      <c r="F134" s="467">
        <v>34670</v>
      </c>
      <c r="G134" s="112">
        <f t="shared" si="10"/>
        <v>208.19999999999709</v>
      </c>
      <c r="H134" s="99">
        <f>G134+'29'!H134</f>
        <v>-225</v>
      </c>
      <c r="I134" s="165"/>
      <c r="J134" s="328">
        <f>H134/DAY(B2)</f>
        <v>-7.5</v>
      </c>
    </row>
    <row r="135" spans="1:15" ht="30.75" customHeight="1">
      <c r="A135" s="934" t="s">
        <v>196</v>
      </c>
      <c r="B135" s="935"/>
      <c r="C135" s="331"/>
      <c r="D135" s="151"/>
      <c r="E135" s="95"/>
      <c r="F135" s="165"/>
      <c r="G135" s="112">
        <f>SUM(G128:G134)</f>
        <v>3310</v>
      </c>
      <c r="H135" s="99">
        <f>G135+'23'!H135</f>
        <v>36588.329999999994</v>
      </c>
      <c r="I135" s="327">
        <f>G135-(G35+G49)</f>
        <v>-836</v>
      </c>
      <c r="J135" s="328">
        <f>H135/DAY(B2)</f>
        <v>1219.6109999999999</v>
      </c>
    </row>
    <row r="136" spans="1:15" ht="30.75" customHeight="1">
      <c r="A136" s="938" t="s">
        <v>325</v>
      </c>
      <c r="B136" s="938"/>
      <c r="C136" s="938"/>
      <c r="D136" s="938"/>
      <c r="E136" s="938"/>
      <c r="F136" s="938"/>
      <c r="G136" s="938"/>
      <c r="H136" s="938"/>
      <c r="I136" s="938"/>
      <c r="J136" s="938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901" t="s">
        <v>185</v>
      </c>
      <c r="B138" s="901"/>
      <c r="C138" s="901"/>
      <c r="D138" s="151" t="s">
        <v>183</v>
      </c>
      <c r="E138" s="95">
        <f>'29'!F138</f>
        <v>10272.4</v>
      </c>
      <c r="F138" s="147">
        <v>10398</v>
      </c>
      <c r="G138" s="112">
        <f t="shared" ref="G138:G152" si="11">F138-E138</f>
        <v>125.60000000000036</v>
      </c>
      <c r="H138" s="99">
        <f>G138+'29'!H138</f>
        <v>-872879.7</v>
      </c>
      <c r="I138" s="118"/>
      <c r="J138" s="328">
        <f>H138/DAY(B2)</f>
        <v>-29095.989999999998</v>
      </c>
    </row>
    <row r="139" spans="1:15" ht="30.75" customHeight="1">
      <c r="A139" s="901" t="s">
        <v>186</v>
      </c>
      <c r="B139" s="901"/>
      <c r="C139" s="901"/>
      <c r="D139" s="151" t="s">
        <v>183</v>
      </c>
      <c r="E139" s="95">
        <f>'29'!F139</f>
        <v>899157</v>
      </c>
      <c r="F139" s="148">
        <v>899314</v>
      </c>
      <c r="G139" s="112">
        <f t="shared" si="11"/>
        <v>157</v>
      </c>
      <c r="H139" s="99">
        <f>G139+'29'!H139</f>
        <v>-141</v>
      </c>
      <c r="I139" s="118"/>
      <c r="J139" s="328">
        <f>H139/DAY(B2)</f>
        <v>-4.7</v>
      </c>
    </row>
    <row r="140" spans="1:15" ht="30.75" customHeight="1">
      <c r="A140" s="901" t="s">
        <v>187</v>
      </c>
      <c r="B140" s="901"/>
      <c r="C140" s="901"/>
      <c r="D140" s="151" t="s">
        <v>183</v>
      </c>
      <c r="E140" s="95">
        <f>'29'!F140</f>
        <v>566.35</v>
      </c>
      <c r="F140" s="149">
        <v>576</v>
      </c>
      <c r="G140" s="112">
        <f t="shared" si="11"/>
        <v>9.6499999999999773</v>
      </c>
      <c r="H140" s="99">
        <f>G140+'29'!H140</f>
        <v>-72.759999999999991</v>
      </c>
      <c r="I140" s="118"/>
      <c r="J140" s="328">
        <f>H140/DAY(B2)</f>
        <v>-2.4253333333333331</v>
      </c>
    </row>
    <row r="141" spans="1:15" ht="30.75" customHeight="1">
      <c r="A141" s="905" t="s">
        <v>188</v>
      </c>
      <c r="B141" s="905"/>
      <c r="C141" s="905"/>
      <c r="D141" s="151" t="s">
        <v>183</v>
      </c>
      <c r="E141" s="95">
        <f>'29'!F141</f>
        <v>77562.8</v>
      </c>
      <c r="F141" s="149">
        <v>77762</v>
      </c>
      <c r="G141" s="112">
        <f t="shared" si="11"/>
        <v>199.19999999999709</v>
      </c>
      <c r="H141" s="99">
        <f>G141+'29'!H141</f>
        <v>-190</v>
      </c>
      <c r="I141" s="118"/>
      <c r="J141" s="328">
        <f>H141/DAY(B2)</f>
        <v>-6.333333333333333</v>
      </c>
    </row>
    <row r="142" spans="1:15" ht="30.75" customHeight="1">
      <c r="A142" s="905" t="s">
        <v>189</v>
      </c>
      <c r="B142" s="905"/>
      <c r="C142" s="905"/>
      <c r="D142" s="151" t="s">
        <v>183</v>
      </c>
      <c r="E142" s="95">
        <f>'29'!F142</f>
        <v>30258.799999999999</v>
      </c>
      <c r="F142" s="148">
        <v>30388</v>
      </c>
      <c r="G142" s="112">
        <f t="shared" si="11"/>
        <v>129.20000000000073</v>
      </c>
      <c r="H142" s="99">
        <f>G142+'29'!H142</f>
        <v>-138</v>
      </c>
      <c r="I142" s="140"/>
      <c r="J142" s="328">
        <f>H142/DAY(B2)</f>
        <v>-4.5999999999999996</v>
      </c>
    </row>
    <row r="143" spans="1:15" ht="30.75" customHeight="1">
      <c r="A143" s="901" t="s">
        <v>91</v>
      </c>
      <c r="B143" s="901"/>
      <c r="C143" s="901"/>
      <c r="D143" s="151" t="s">
        <v>183</v>
      </c>
      <c r="E143" s="95">
        <f>'29'!F143</f>
        <v>7250.83</v>
      </c>
      <c r="F143" s="149">
        <v>7275</v>
      </c>
      <c r="G143" s="112">
        <f t="shared" si="11"/>
        <v>24.170000000000073</v>
      </c>
      <c r="H143" s="99">
        <f>G143+'29'!H143</f>
        <v>-31</v>
      </c>
      <c r="I143" s="140"/>
      <c r="J143" s="328">
        <f>H143/DAY(B2)</f>
        <v>-1.0333333333333334</v>
      </c>
    </row>
    <row r="144" spans="1:15" ht="30.75" customHeight="1">
      <c r="A144" s="905" t="s">
        <v>90</v>
      </c>
      <c r="B144" s="905"/>
      <c r="C144" s="905"/>
      <c r="D144" s="151" t="s">
        <v>183</v>
      </c>
      <c r="E144" s="95">
        <f>'29'!F144</f>
        <v>904561</v>
      </c>
      <c r="F144" s="149">
        <v>904801</v>
      </c>
      <c r="G144" s="112">
        <f t="shared" si="11"/>
        <v>240</v>
      </c>
      <c r="H144" s="99">
        <f>G144+'29'!H144</f>
        <v>-252</v>
      </c>
      <c r="I144" s="140"/>
      <c r="J144" s="328">
        <f>H144/DAY(B2)</f>
        <v>-8.4</v>
      </c>
    </row>
    <row r="145" spans="1:10" ht="30.75" customHeight="1">
      <c r="A145" s="901" t="s">
        <v>190</v>
      </c>
      <c r="B145" s="901"/>
      <c r="C145" s="901"/>
      <c r="D145" s="152" t="s">
        <v>183</v>
      </c>
      <c r="E145" s="95">
        <f>'29'!F145</f>
        <v>5663.91</v>
      </c>
      <c r="F145" s="149">
        <v>5664</v>
      </c>
      <c r="G145" s="112">
        <f t="shared" si="11"/>
        <v>9.0000000000145519E-2</v>
      </c>
      <c r="H145" s="99">
        <f>G145+'29'!H145</f>
        <v>0</v>
      </c>
      <c r="I145" s="140"/>
      <c r="J145" s="328">
        <f>H145/DAY(B2)</f>
        <v>0</v>
      </c>
    </row>
    <row r="146" spans="1:10" ht="30.75" customHeight="1">
      <c r="A146" s="902" t="s">
        <v>191</v>
      </c>
      <c r="B146" s="903"/>
      <c r="C146" s="904"/>
      <c r="D146" s="152" t="s">
        <v>183</v>
      </c>
      <c r="E146" s="95">
        <f>'29'!F146</f>
        <v>777795</v>
      </c>
      <c r="F146" s="148">
        <v>777832</v>
      </c>
      <c r="G146" s="112">
        <f t="shared" si="11"/>
        <v>37</v>
      </c>
      <c r="H146" s="99">
        <f>G146+'29'!H146</f>
        <v>-36</v>
      </c>
      <c r="I146" s="140"/>
      <c r="J146" s="328">
        <f>H146/DAY(B2)</f>
        <v>-1.2</v>
      </c>
    </row>
    <row r="147" spans="1:10" ht="30.75" customHeight="1">
      <c r="A147" s="905" t="s">
        <v>192</v>
      </c>
      <c r="B147" s="905"/>
      <c r="C147" s="905"/>
      <c r="D147" s="152" t="s">
        <v>183</v>
      </c>
      <c r="E147" s="95">
        <f>'29'!F147</f>
        <v>675083.44</v>
      </c>
      <c r="F147" s="148">
        <v>675474</v>
      </c>
      <c r="G147" s="112">
        <f t="shared" si="11"/>
        <v>390.56000000005588</v>
      </c>
      <c r="H147" s="99">
        <f>G147+'29'!H147</f>
        <v>-374</v>
      </c>
      <c r="I147" s="140"/>
      <c r="J147" s="328">
        <f>H147/DAY(B2)</f>
        <v>-12.466666666666667</v>
      </c>
    </row>
    <row r="148" spans="1:10" ht="30.75" customHeight="1">
      <c r="A148" s="897" t="s">
        <v>193</v>
      </c>
      <c r="B148" s="898"/>
      <c r="C148" s="899"/>
      <c r="D148" s="123" t="s">
        <v>130</v>
      </c>
      <c r="E148" s="95">
        <f>'29'!F148</f>
        <v>729145.04</v>
      </c>
      <c r="F148" s="150">
        <v>729452</v>
      </c>
      <c r="G148" s="112">
        <f t="shared" si="11"/>
        <v>306.95999999996275</v>
      </c>
      <c r="H148" s="99">
        <f>G148+'29'!H148</f>
        <v>-293</v>
      </c>
      <c r="I148" s="124"/>
      <c r="J148" s="328">
        <f>H148/DAY(B2)</f>
        <v>-9.7666666666666675</v>
      </c>
    </row>
    <row r="149" spans="1:10" ht="30.75" customHeight="1">
      <c r="A149" s="897" t="s">
        <v>336</v>
      </c>
      <c r="B149" s="898"/>
      <c r="C149" s="899"/>
      <c r="D149" s="227" t="s">
        <v>130</v>
      </c>
      <c r="E149" s="146">
        <v>99729.31</v>
      </c>
      <c r="F149" s="146">
        <v>100305</v>
      </c>
      <c r="G149" s="112">
        <f t="shared" si="11"/>
        <v>575.69000000000233</v>
      </c>
      <c r="H149" s="99">
        <f>G149+'29'!H149</f>
        <v>-590</v>
      </c>
      <c r="I149" s="119"/>
      <c r="J149" s="328">
        <f>H149/DAY(B2)</f>
        <v>-19.666666666666668</v>
      </c>
    </row>
    <row r="150" spans="1:10" ht="30.75" customHeight="1">
      <c r="A150" s="897" t="s">
        <v>337</v>
      </c>
      <c r="B150" s="898"/>
      <c r="C150" s="899"/>
      <c r="D150" s="117" t="s">
        <v>130</v>
      </c>
      <c r="E150" s="95">
        <f>'29'!F150</f>
        <v>36787.9</v>
      </c>
      <c r="F150" s="233">
        <v>36988.5</v>
      </c>
      <c r="G150" s="112">
        <f t="shared" si="11"/>
        <v>200.59999999999854</v>
      </c>
      <c r="H150" s="99">
        <f>G150+'29'!H150</f>
        <v>-227.5</v>
      </c>
      <c r="I150" s="119"/>
      <c r="J150" s="328">
        <f>H150/DAY(B2)</f>
        <v>-7.583333333333333</v>
      </c>
    </row>
    <row r="151" spans="1:10" ht="30.75" customHeight="1">
      <c r="A151" s="897" t="s">
        <v>338</v>
      </c>
      <c r="B151" s="898"/>
      <c r="C151" s="899"/>
      <c r="D151" s="117" t="s">
        <v>130</v>
      </c>
      <c r="E151" s="95">
        <f>'29'!F151</f>
        <v>117589</v>
      </c>
      <c r="F151" s="233">
        <v>117849</v>
      </c>
      <c r="G151" s="112">
        <f t="shared" si="11"/>
        <v>260</v>
      </c>
      <c r="H151" s="99">
        <f>G151+'29'!H151</f>
        <v>-288</v>
      </c>
      <c r="I151" s="119"/>
      <c r="J151" s="328">
        <f>H151/DAY(B2)</f>
        <v>-9.6</v>
      </c>
    </row>
    <row r="152" spans="1:10" ht="30.75" customHeight="1">
      <c r="A152" s="897" t="s">
        <v>339</v>
      </c>
      <c r="B152" s="898"/>
      <c r="C152" s="899"/>
      <c r="D152" s="117" t="s">
        <v>130</v>
      </c>
      <c r="E152" s="95">
        <f>'29'!F152</f>
        <v>15083.2</v>
      </c>
      <c r="F152" s="233">
        <v>15228.5</v>
      </c>
      <c r="G152" s="112">
        <f t="shared" si="11"/>
        <v>145.29999999999927</v>
      </c>
      <c r="H152" s="99">
        <f>G152+'29'!H152</f>
        <v>4072.5</v>
      </c>
      <c r="I152" s="119"/>
      <c r="J152" s="328">
        <f>H152/DAY(B2)</f>
        <v>135.75</v>
      </c>
    </row>
    <row r="153" spans="1:10" ht="30.75" customHeight="1">
      <c r="A153" s="934" t="s">
        <v>196</v>
      </c>
      <c r="B153" s="935"/>
      <c r="C153" s="365"/>
      <c r="D153" s="358"/>
      <c r="E153" s="360"/>
      <c r="F153" s="361"/>
      <c r="G153" s="362">
        <f>SUM(G138:G152)</f>
        <v>2801.0200000000173</v>
      </c>
      <c r="H153" s="363"/>
      <c r="I153" s="119">
        <f>G153-(G38+G52)</f>
        <v>543.02000000001726</v>
      </c>
      <c r="J153" s="366"/>
    </row>
    <row r="154" spans="1:10" ht="30.75" customHeight="1">
      <c r="A154" s="938" t="s">
        <v>344</v>
      </c>
      <c r="B154" s="938"/>
      <c r="C154" s="938"/>
      <c r="D154" s="938"/>
      <c r="E154" s="938"/>
      <c r="F154" s="938"/>
      <c r="G154" s="938"/>
      <c r="H154" s="938"/>
      <c r="I154" s="938"/>
      <c r="J154" s="938"/>
    </row>
    <row r="155" spans="1:10" ht="30.75" customHeight="1">
      <c r="A155" s="905" t="s">
        <v>345</v>
      </c>
      <c r="B155" s="905"/>
      <c r="C155" s="905"/>
      <c r="D155" s="117" t="s">
        <v>130</v>
      </c>
      <c r="E155" s="95">
        <f>'29'!F155</f>
        <v>110744.37</v>
      </c>
      <c r="F155" s="374">
        <v>111355</v>
      </c>
      <c r="G155" s="112">
        <f t="shared" ref="G155:G158" si="12">F155-E155</f>
        <v>610.63000000000466</v>
      </c>
      <c r="H155" s="99">
        <f>G155+'29'!H155</f>
        <v>-620</v>
      </c>
      <c r="I155" s="364"/>
      <c r="J155" s="328">
        <f>H155/DAY(B2)</f>
        <v>-20.666666666666668</v>
      </c>
    </row>
    <row r="156" spans="1:10" ht="30.75" customHeight="1">
      <c r="A156" s="905" t="s">
        <v>347</v>
      </c>
      <c r="B156" s="905"/>
      <c r="C156" s="905"/>
      <c r="D156" s="117" t="s">
        <v>130</v>
      </c>
      <c r="E156" s="95">
        <f>'29'!F156</f>
        <v>9544.19</v>
      </c>
      <c r="F156" s="155">
        <v>9614</v>
      </c>
      <c r="G156" s="112">
        <f t="shared" si="12"/>
        <v>69.809999999999491</v>
      </c>
      <c r="H156" s="99">
        <f>G156+'29'!H156</f>
        <v>-71</v>
      </c>
      <c r="I156" s="165"/>
      <c r="J156" s="328">
        <f>H156/DAY(B2)</f>
        <v>-2.3666666666666667</v>
      </c>
    </row>
    <row r="157" spans="1:10" ht="30.75" customHeight="1">
      <c r="A157" s="897" t="s">
        <v>360</v>
      </c>
      <c r="B157" s="898"/>
      <c r="C157" s="899"/>
      <c r="D157" s="117" t="s">
        <v>130</v>
      </c>
      <c r="E157" s="95">
        <f>'29'!F157</f>
        <v>17893.41</v>
      </c>
      <c r="F157" s="155">
        <v>18058</v>
      </c>
      <c r="G157" s="112">
        <f t="shared" si="12"/>
        <v>164.59000000000015</v>
      </c>
      <c r="H157" s="99">
        <f>G157+'29'!H157</f>
        <v>-4740.9500000000007</v>
      </c>
      <c r="I157" s="165"/>
      <c r="J157" s="328">
        <f>H157/DAY(B2)</f>
        <v>-158.03166666666669</v>
      </c>
    </row>
    <row r="158" spans="1:10" ht="30.75" customHeight="1">
      <c r="A158" s="897" t="s">
        <v>361</v>
      </c>
      <c r="B158" s="898"/>
      <c r="C158" s="899"/>
      <c r="D158" s="117" t="s">
        <v>130</v>
      </c>
      <c r="E158" s="95">
        <f>'29'!F158</f>
        <v>158.57</v>
      </c>
      <c r="F158" s="155">
        <v>159</v>
      </c>
      <c r="G158" s="112">
        <f t="shared" si="12"/>
        <v>0.43000000000000682</v>
      </c>
      <c r="H158" s="99">
        <f>G158+'29'!H158</f>
        <v>-52.430000000000007</v>
      </c>
      <c r="I158" s="165"/>
      <c r="J158" s="328">
        <f>H158/DAY(B2)</f>
        <v>-1.7476666666666669</v>
      </c>
    </row>
    <row r="159" spans="1:10" ht="30.75" customHeight="1">
      <c r="A159" s="956"/>
      <c r="B159" s="957"/>
      <c r="C159" s="958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938"/>
      <c r="B160" s="938"/>
      <c r="C160" s="938"/>
      <c r="D160" s="938"/>
      <c r="E160" s="938"/>
      <c r="F160" s="938"/>
      <c r="G160" s="938"/>
      <c r="H160" s="938"/>
      <c r="I160" s="938"/>
      <c r="J160" s="938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'29'!F161</f>
        <v>475417.72</v>
      </c>
      <c r="F161" s="235">
        <v>475417.72</v>
      </c>
      <c r="G161" s="238">
        <f t="shared" ref="G161:G165" si="13">F161-E161</f>
        <v>0</v>
      </c>
      <c r="H161" s="99">
        <f>G161+'29'!H161</f>
        <v>-1248.2800000000279</v>
      </c>
      <c r="I161" s="236"/>
      <c r="J161" s="239">
        <f>H161/DAY(B2)</f>
        <v>-41.609333333334263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'29'!F162</f>
        <v>92640.8</v>
      </c>
      <c r="F162" s="235">
        <v>92685</v>
      </c>
      <c r="G162" s="238">
        <f t="shared" si="13"/>
        <v>44.19999999999709</v>
      </c>
      <c r="H162" s="99">
        <f>G162+'29'!H162</f>
        <v>-42</v>
      </c>
      <c r="I162" s="236"/>
      <c r="J162" s="239">
        <f>H162/DAY(B2)</f>
        <v>-1.4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'29'!F163</f>
        <v>96768.9</v>
      </c>
      <c r="F163" s="235">
        <v>96954</v>
      </c>
      <c r="G163" s="238">
        <f t="shared" si="13"/>
        <v>185.10000000000582</v>
      </c>
      <c r="H163" s="99">
        <f>G163+'29'!H163</f>
        <v>99814</v>
      </c>
      <c r="I163" s="236"/>
      <c r="J163" s="239">
        <f>H163/DAY(B2)</f>
        <v>3327.1333333333332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'29'!F164</f>
        <v>5518.6</v>
      </c>
      <c r="F164" s="235">
        <v>5531</v>
      </c>
      <c r="G164" s="238">
        <f t="shared" si="13"/>
        <v>12.399999999999636</v>
      </c>
      <c r="H164" s="99">
        <f>G164+'29'!H164</f>
        <v>-11</v>
      </c>
      <c r="I164" s="236"/>
      <c r="J164" s="239">
        <f>H164/DAY(B2)</f>
        <v>-0.36666666666666664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'29'!F165</f>
        <v>30988.73</v>
      </c>
      <c r="F165" s="235">
        <v>31001</v>
      </c>
      <c r="G165" s="238">
        <f t="shared" si="13"/>
        <v>12.270000000000437</v>
      </c>
      <c r="H165" s="99">
        <f>G165+'29'!H165</f>
        <v>-13</v>
      </c>
      <c r="I165" s="236"/>
      <c r="J165" s="239">
        <f>H165/DAY(B2)</f>
        <v>-0.43333333333333335</v>
      </c>
    </row>
    <row r="166" spans="1:10" ht="30.75" customHeight="1">
      <c r="A166" s="937"/>
      <c r="B166" s="937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>
      <c r="A167" s="937"/>
      <c r="B167" s="937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>
      <c r="A168" s="937"/>
      <c r="B168" s="937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>
      <c r="A171" s="947" t="s">
        <v>330</v>
      </c>
      <c r="B171" s="948"/>
      <c r="C171" s="948"/>
      <c r="D171" s="948"/>
      <c r="E171" s="948"/>
      <c r="F171" s="948"/>
      <c r="G171" s="948"/>
      <c r="H171" s="948"/>
      <c r="I171" s="948"/>
      <c r="J171" s="949"/>
    </row>
    <row r="172" spans="1:10" ht="30.75" customHeight="1">
      <c r="A172" s="943"/>
      <c r="B172" s="944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95" t="s">
        <v>209</v>
      </c>
      <c r="B173" s="896"/>
      <c r="C173" s="333"/>
      <c r="D173" s="228" t="s">
        <v>142</v>
      </c>
      <c r="E173" s="95">
        <f>'29'!F173</f>
        <v>8248</v>
      </c>
      <c r="F173" s="155">
        <v>8248</v>
      </c>
      <c r="G173" s="155">
        <f>F173-E173</f>
        <v>0</v>
      </c>
      <c r="H173" s="99">
        <f>G173+'29'!H173</f>
        <v>31</v>
      </c>
      <c r="I173" s="155"/>
      <c r="J173" s="178">
        <f>H173/DAY(B2)</f>
        <v>1.0333333333333334</v>
      </c>
    </row>
    <row r="174" spans="1:10" ht="30.75" customHeight="1">
      <c r="A174" s="895" t="s">
        <v>75</v>
      </c>
      <c r="B174" s="896"/>
      <c r="C174" s="333"/>
      <c r="D174" s="228" t="s">
        <v>142</v>
      </c>
      <c r="E174" s="95">
        <f>'29'!F174</f>
        <v>40303</v>
      </c>
      <c r="F174" s="157">
        <v>40318</v>
      </c>
      <c r="G174" s="155">
        <f t="shared" ref="G174:G175" si="14">F174-E174</f>
        <v>15</v>
      </c>
      <c r="H174" s="99">
        <f>G174+'29'!H174</f>
        <v>-14</v>
      </c>
      <c r="I174" s="155"/>
      <c r="J174" s="178">
        <f>H174/DAY(B2)</f>
        <v>-0.46666666666666667</v>
      </c>
    </row>
    <row r="175" spans="1:10" ht="30.75" customHeight="1">
      <c r="A175" s="895" t="s">
        <v>76</v>
      </c>
      <c r="B175" s="900"/>
      <c r="C175" s="896"/>
      <c r="D175" s="228" t="s">
        <v>142</v>
      </c>
      <c r="E175" s="95">
        <f>'29'!F175</f>
        <v>23229</v>
      </c>
      <c r="F175" s="155">
        <v>23241</v>
      </c>
      <c r="G175" s="155">
        <f t="shared" si="14"/>
        <v>12</v>
      </c>
      <c r="H175" s="99">
        <f>G175+'29'!H175</f>
        <v>-17</v>
      </c>
      <c r="I175" s="155"/>
      <c r="J175" s="178">
        <f>H175/DAY(B2)</f>
        <v>-0.56666666666666665</v>
      </c>
    </row>
    <row r="176" spans="1:10" ht="30.75" customHeight="1">
      <c r="A176" s="934" t="s">
        <v>196</v>
      </c>
      <c r="B176" s="935"/>
      <c r="C176" s="401"/>
      <c r="D176" s="228" t="s">
        <v>142</v>
      </c>
      <c r="E176" s="95"/>
      <c r="F176" s="155"/>
      <c r="G176" s="155">
        <f>SUM(G173:G175)</f>
        <v>27</v>
      </c>
      <c r="H176" s="99">
        <f>G176+'29'!H176</f>
        <v>0</v>
      </c>
      <c r="I176" s="155"/>
      <c r="J176" s="178">
        <f>H176/DAY(B2)</f>
        <v>0</v>
      </c>
    </row>
    <row r="177" spans="1:10" ht="30.75" customHeight="1">
      <c r="A177" s="895" t="s">
        <v>77</v>
      </c>
      <c r="B177" s="896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>
      <c r="A178" s="895" t="s">
        <v>210</v>
      </c>
      <c r="B178" s="896"/>
      <c r="C178" s="333"/>
      <c r="D178" s="228" t="s">
        <v>142</v>
      </c>
      <c r="E178" s="95">
        <f>'29'!F178</f>
        <v>91614</v>
      </c>
      <c r="F178" s="155">
        <v>91717</v>
      </c>
      <c r="G178" s="155">
        <f>F178-E178</f>
        <v>103</v>
      </c>
      <c r="H178" s="99">
        <f>G178+'29'!H178</f>
        <v>-105</v>
      </c>
      <c r="I178" s="155"/>
      <c r="J178" s="178">
        <f>H178/DAY(B2)</f>
        <v>-3.5</v>
      </c>
    </row>
    <row r="179" spans="1:10" ht="30.75" customHeight="1">
      <c r="A179" s="895" t="s">
        <v>211</v>
      </c>
      <c r="B179" s="896"/>
      <c r="C179" s="333"/>
      <c r="D179" s="228" t="s">
        <v>142</v>
      </c>
      <c r="E179" s="95">
        <f>'29'!F179</f>
        <v>35775</v>
      </c>
      <c r="F179" s="155">
        <v>35775</v>
      </c>
      <c r="G179" s="155">
        <f t="shared" ref="G179:G180" si="15">F179-E179</f>
        <v>0</v>
      </c>
      <c r="H179" s="99">
        <f>G179+'29'!H179</f>
        <v>-9</v>
      </c>
      <c r="I179" s="155"/>
      <c r="J179" s="178">
        <f>H179/DAY(B2)</f>
        <v>-0.3</v>
      </c>
    </row>
    <row r="180" spans="1:10" ht="30.75" customHeight="1">
      <c r="A180" s="895" t="s">
        <v>212</v>
      </c>
      <c r="B180" s="896"/>
      <c r="C180" s="333"/>
      <c r="D180" s="228" t="s">
        <v>142</v>
      </c>
      <c r="E180" s="95">
        <f>'29'!F180</f>
        <v>6649</v>
      </c>
      <c r="F180" s="155">
        <v>6663</v>
      </c>
      <c r="G180" s="155">
        <f t="shared" si="15"/>
        <v>14</v>
      </c>
      <c r="H180" s="99">
        <f>G180+'29'!H180</f>
        <v>-7</v>
      </c>
      <c r="I180" s="155"/>
      <c r="J180" s="178">
        <f>H180/DAY(B2)</f>
        <v>-0.23333333333333334</v>
      </c>
    </row>
    <row r="181" spans="1:10" ht="30.75" customHeight="1">
      <c r="A181" s="941" t="s">
        <v>108</v>
      </c>
      <c r="B181" s="942"/>
      <c r="C181" s="401"/>
      <c r="D181" s="228" t="s">
        <v>142</v>
      </c>
      <c r="E181" s="95"/>
      <c r="F181" s="155"/>
      <c r="G181" s="155">
        <f>SUM(G178:G180)</f>
        <v>117</v>
      </c>
      <c r="H181" s="99">
        <f>G181+'29'!H181</f>
        <v>-121</v>
      </c>
      <c r="I181" s="155"/>
      <c r="J181" s="178">
        <f>H181/DAY(B2)</f>
        <v>-4.0333333333333332</v>
      </c>
    </row>
    <row r="182" spans="1:10" ht="30.75" customHeight="1">
      <c r="A182" s="895" t="s">
        <v>213</v>
      </c>
      <c r="B182" s="896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>
      <c r="A183" s="895" t="s">
        <v>214</v>
      </c>
      <c r="B183" s="896"/>
      <c r="C183" s="334"/>
      <c r="D183" s="228" t="s">
        <v>142</v>
      </c>
      <c r="E183" s="95">
        <f>'29'!F183</f>
        <v>16933</v>
      </c>
      <c r="F183" s="157">
        <v>16944</v>
      </c>
      <c r="G183" s="157">
        <f>F183-E183</f>
        <v>11</v>
      </c>
      <c r="H183" s="99">
        <f>G183+'29'!H183</f>
        <v>-11</v>
      </c>
      <c r="I183" s="155"/>
      <c r="J183" s="178">
        <f>H183/DAY(B2)</f>
        <v>-0.36666666666666664</v>
      </c>
    </row>
    <row r="184" spans="1:10" ht="30.75" customHeight="1">
      <c r="A184" s="895" t="s">
        <v>215</v>
      </c>
      <c r="B184" s="896"/>
      <c r="C184" s="334"/>
      <c r="D184" s="228" t="s">
        <v>142</v>
      </c>
      <c r="E184" s="95">
        <f>'29'!F184</f>
        <v>11451</v>
      </c>
      <c r="F184" s="157">
        <v>11466</v>
      </c>
      <c r="G184" s="157">
        <f t="shared" ref="G184:G185" si="16">F184-E184</f>
        <v>15</v>
      </c>
      <c r="H184" s="99">
        <f>G184+'29'!H184</f>
        <v>-20</v>
      </c>
      <c r="I184" s="155"/>
      <c r="J184" s="178">
        <f>H184/DAY(B2)</f>
        <v>-0.66666666666666663</v>
      </c>
    </row>
    <row r="185" spans="1:10" ht="30.75" customHeight="1">
      <c r="A185" s="895" t="s">
        <v>216</v>
      </c>
      <c r="B185" s="896"/>
      <c r="C185" s="334"/>
      <c r="D185" s="228" t="s">
        <v>142</v>
      </c>
      <c r="E185" s="95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>
      <c r="A186" s="934" t="s">
        <v>196</v>
      </c>
      <c r="B186" s="935"/>
      <c r="C186" s="400"/>
      <c r="D186" s="228" t="s">
        <v>142</v>
      </c>
      <c r="E186" s="95"/>
      <c r="F186" s="157"/>
      <c r="G186" s="157">
        <f>SUM(G183:G185)</f>
        <v>26</v>
      </c>
      <c r="H186" s="99">
        <f>G186+'29'!H186</f>
        <v>-31</v>
      </c>
      <c r="I186" s="157"/>
      <c r="J186" s="178">
        <f>H186/DAY(B2)</f>
        <v>-1.0333333333333334</v>
      </c>
    </row>
    <row r="187" spans="1:10" ht="30.75" customHeight="1">
      <c r="A187" s="945" t="s">
        <v>217</v>
      </c>
      <c r="B187" s="946"/>
      <c r="C187" s="333"/>
      <c r="D187" s="228" t="s">
        <v>142</v>
      </c>
      <c r="E187" s="95"/>
      <c r="F187" s="159"/>
      <c r="G187" s="159">
        <f>G62+G19</f>
        <v>245</v>
      </c>
      <c r="H187" s="99">
        <f>G187+'29'!H187</f>
        <v>566</v>
      </c>
      <c r="I187" s="158"/>
      <c r="J187" s="179">
        <f>H187/DAY(B2)</f>
        <v>18.866666666666667</v>
      </c>
    </row>
    <row r="188" spans="1:10" ht="30.75" customHeight="1">
      <c r="A188" s="945" t="s">
        <v>218</v>
      </c>
      <c r="B188" s="946"/>
      <c r="C188" s="333"/>
      <c r="D188" s="230" t="s">
        <v>142</v>
      </c>
      <c r="E188" s="95"/>
      <c r="F188" s="159"/>
      <c r="G188" s="159">
        <f>G65+G66+G67+G69+G70</f>
        <v>225</v>
      </c>
      <c r="H188" s="99">
        <f>G188+'29'!H188</f>
        <v>-2973</v>
      </c>
      <c r="I188" s="158"/>
      <c r="J188" s="179">
        <f>H188/DAY(B2)</f>
        <v>-99.1</v>
      </c>
    </row>
    <row r="189" spans="1:10" ht="30.75" customHeight="1">
      <c r="A189" s="945" t="s">
        <v>219</v>
      </c>
      <c r="B189" s="946"/>
      <c r="C189" s="333"/>
      <c r="D189" s="230" t="s">
        <v>142</v>
      </c>
      <c r="E189" s="95"/>
      <c r="F189" s="157"/>
      <c r="G189" s="157">
        <f>G181</f>
        <v>117</v>
      </c>
      <c r="H189" s="99">
        <f>G189+'29'!H189</f>
        <v>-2383</v>
      </c>
      <c r="I189" s="158"/>
      <c r="J189" s="179">
        <f>H189/DAY(B2)</f>
        <v>-79.433333333333337</v>
      </c>
    </row>
    <row r="190" spans="1:10" ht="30.75" customHeight="1">
      <c r="A190" s="939"/>
      <c r="B190" s="940"/>
      <c r="C190" s="399"/>
      <c r="D190" s="396"/>
      <c r="E190" s="396"/>
      <c r="F190" s="396"/>
      <c r="G190" s="396"/>
      <c r="H190" s="397"/>
      <c r="I190" s="396"/>
      <c r="J190" s="398"/>
    </row>
  </sheetData>
  <mergeCells count="115"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</mergeCells>
  <pageMargins left="0.23622047244094491" right="0.15748031496062992" top="0.15748031496062992" bottom="0.19685039370078741" header="0.19685039370078741" footer="0.19685039370078741"/>
  <pageSetup paperSize="9" scale="14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topLeftCell="A46" zoomScale="55" zoomScaleNormal="75" zoomScaleSheetLayoutView="55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414" customWidth="1"/>
    <col min="7" max="7" width="28.88671875" style="414" customWidth="1"/>
    <col min="8" max="8" width="29.109375" style="161" customWidth="1"/>
    <col min="9" max="9" width="23.5546875" style="414" customWidth="1"/>
    <col min="10" max="10" width="24" style="161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6" t="s">
        <v>115</v>
      </c>
      <c r="B1" s="877"/>
      <c r="C1" s="877"/>
      <c r="D1" s="877"/>
      <c r="E1" s="877"/>
      <c r="F1" s="877"/>
      <c r="G1" s="877"/>
      <c r="H1" s="877"/>
      <c r="I1" s="877"/>
      <c r="J1" s="878"/>
    </row>
    <row r="2" spans="1:15" s="57" customFormat="1" ht="23.25">
      <c r="A2" s="191" t="s">
        <v>303</v>
      </c>
      <c r="B2" s="262">
        <v>44712</v>
      </c>
      <c r="C2" s="348" t="s">
        <v>67</v>
      </c>
      <c r="D2" s="218">
        <v>0.7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31</v>
      </c>
      <c r="E3" s="885" t="s">
        <v>119</v>
      </c>
      <c r="F3" s="886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9" t="s">
        <v>128</v>
      </c>
      <c r="B6" s="880"/>
      <c r="C6" s="88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6.25" thickBot="1">
      <c r="A7" s="993" t="s">
        <v>129</v>
      </c>
      <c r="B7" s="994"/>
      <c r="C7" s="995"/>
      <c r="D7" s="151" t="s">
        <v>130</v>
      </c>
      <c r="E7" s="95">
        <v>659722</v>
      </c>
      <c r="F7" s="95">
        <f>E7+28300</f>
        <v>688022</v>
      </c>
      <c r="G7" s="112">
        <f>F7-E7</f>
        <v>28300</v>
      </c>
      <c r="H7" s="99">
        <f>G7+'30'!H7</f>
        <v>862555.95</v>
      </c>
      <c r="I7" s="113">
        <f>'1'!I7</f>
        <v>12000</v>
      </c>
      <c r="J7" s="175">
        <f>H7/DAY(B2)</f>
        <v>27824.385483870967</v>
      </c>
      <c r="K7" s="172">
        <v>1375467</v>
      </c>
      <c r="L7" s="66"/>
      <c r="N7" s="87">
        <f>F7-'1'!E7</f>
        <v>1277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114">
        <v>772666</v>
      </c>
      <c r="F8" s="114">
        <f>E8+28500</f>
        <v>801166</v>
      </c>
      <c r="G8" s="115">
        <f>F8-E8</f>
        <v>28500</v>
      </c>
      <c r="H8" s="99">
        <f>G8+'30'!H8</f>
        <v>885354.49000000011</v>
      </c>
      <c r="I8" s="116"/>
      <c r="J8" s="175">
        <f>H8/DAY(B2)</f>
        <v>28559.82225806452</v>
      </c>
      <c r="K8" s="172">
        <v>1715917</v>
      </c>
      <c r="L8" s="76">
        <v>1728480</v>
      </c>
      <c r="M8" s="87">
        <f>L8-K8</f>
        <v>12563</v>
      </c>
      <c r="N8" s="87">
        <f>F8-'1'!E8</f>
        <v>-814</v>
      </c>
      <c r="O8" s="71"/>
    </row>
    <row r="9" spans="1:15" ht="25.5">
      <c r="A9" s="996" t="s">
        <v>132</v>
      </c>
      <c r="B9" s="997"/>
      <c r="C9" s="998"/>
      <c r="D9" s="151" t="s">
        <v>130</v>
      </c>
      <c r="E9" s="469">
        <v>2422360</v>
      </c>
      <c r="F9" s="469">
        <v>2437690</v>
      </c>
      <c r="G9" s="112">
        <f>F9-E9</f>
        <v>15330</v>
      </c>
      <c r="H9" s="99">
        <f>G9+'30'!H9</f>
        <v>-12418.700000000186</v>
      </c>
      <c r="I9" s="124">
        <f>I7-J7</f>
        <v>-15824.385483870967</v>
      </c>
      <c r="J9" s="175">
        <f>H9/DAY(B2)</f>
        <v>-400.6032258064576</v>
      </c>
      <c r="K9" s="79">
        <f>K8-100</f>
        <v>1715817</v>
      </c>
      <c r="L9" s="66"/>
      <c r="N9" s="87"/>
      <c r="O9" s="71"/>
    </row>
    <row r="10" spans="1:15" ht="25.5">
      <c r="A10" s="993" t="s">
        <v>133</v>
      </c>
      <c r="B10" s="994"/>
      <c r="C10" s="995"/>
      <c r="D10" s="151" t="s">
        <v>130</v>
      </c>
      <c r="E10" s="353">
        <v>889027</v>
      </c>
      <c r="F10" s="353">
        <v>901404</v>
      </c>
      <c r="G10" s="112">
        <f t="shared" ref="G10:G12" si="0">F10-E10</f>
        <v>12377</v>
      </c>
      <c r="H10" s="99">
        <f>G10+'30'!H10</f>
        <v>-8999.1999999999534</v>
      </c>
      <c r="I10" s="120"/>
      <c r="J10" s="175">
        <f>H10/DAY(B2)</f>
        <v>-290.29677419354687</v>
      </c>
      <c r="K10" s="79"/>
      <c r="L10" s="66"/>
      <c r="N10" s="87"/>
      <c r="O10" s="71"/>
    </row>
    <row r="11" spans="1:15" ht="25.5">
      <c r="A11" s="993" t="s">
        <v>134</v>
      </c>
      <c r="B11" s="994"/>
      <c r="C11" s="995"/>
      <c r="D11" s="151" t="s">
        <v>130</v>
      </c>
      <c r="E11" s="95">
        <v>37560</v>
      </c>
      <c r="F11" s="95">
        <v>37560</v>
      </c>
      <c r="G11" s="112">
        <f t="shared" si="0"/>
        <v>0</v>
      </c>
      <c r="H11" s="99">
        <f>G11+'30'!H11</f>
        <v>0</v>
      </c>
      <c r="I11" s="120"/>
      <c r="J11" s="175">
        <f>H11/DAY(B2)</f>
        <v>0</v>
      </c>
      <c r="K11" s="79"/>
      <c r="L11" s="66"/>
      <c r="N11" s="87"/>
      <c r="O11" s="71"/>
    </row>
    <row r="12" spans="1:15" ht="25.5">
      <c r="A12" s="993" t="s">
        <v>135</v>
      </c>
      <c r="B12" s="994"/>
      <c r="C12" s="995"/>
      <c r="D12" s="151" t="s">
        <v>130</v>
      </c>
      <c r="E12" s="117">
        <v>40380</v>
      </c>
      <c r="F12" s="117">
        <v>40380</v>
      </c>
      <c r="G12" s="112">
        <f t="shared" si="0"/>
        <v>0</v>
      </c>
      <c r="H12" s="99">
        <f>G12+'30'!H12</f>
        <v>0</v>
      </c>
      <c r="I12" s="120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27707</v>
      </c>
      <c r="H13" s="99">
        <f>G13+'30'!H13</f>
        <v>-21556.90000000014</v>
      </c>
      <c r="I13" s="120">
        <f>G7-G13</f>
        <v>593</v>
      </c>
      <c r="J13" s="175">
        <f>H13/DAY(B2)</f>
        <v>-695.38387096774647</v>
      </c>
      <c r="K13" s="79"/>
      <c r="L13" s="66"/>
      <c r="N13" s="87"/>
      <c r="O13" s="71"/>
    </row>
    <row r="14" spans="1:15" ht="26.25">
      <c r="A14" s="882" t="s">
        <v>137</v>
      </c>
      <c r="B14" s="883"/>
      <c r="C14" s="88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873" t="s">
        <v>138</v>
      </c>
      <c r="B15" s="874"/>
      <c r="C15" s="875"/>
      <c r="D15" s="151" t="s">
        <v>139</v>
      </c>
      <c r="E15" s="469">
        <v>2036021</v>
      </c>
      <c r="F15" s="469">
        <f>E15+1100</f>
        <v>2037121</v>
      </c>
      <c r="G15" s="112">
        <f>(F15-E15)</f>
        <v>1100</v>
      </c>
      <c r="H15" s="99">
        <f>G15+'30'!H15</f>
        <v>32296.290000000037</v>
      </c>
      <c r="I15" s="113">
        <f>'1'!I15</f>
        <v>800</v>
      </c>
      <c r="J15" s="175">
        <f>H15/DAY(B2)</f>
        <v>1041.8158064516142</v>
      </c>
      <c r="K15" s="79"/>
      <c r="L15" s="66"/>
      <c r="N15" s="87">
        <f>F15-'1'!E15</f>
        <v>4</v>
      </c>
      <c r="O15" s="71"/>
    </row>
    <row r="16" spans="1:15" ht="21.95" customHeight="1">
      <c r="A16" s="990"/>
      <c r="B16" s="991"/>
      <c r="C16" s="992"/>
      <c r="D16" s="152"/>
      <c r="E16" s="123"/>
      <c r="F16" s="123"/>
      <c r="G16" s="112"/>
      <c r="H16" s="124"/>
      <c r="I16" s="113">
        <f>'1'!I16</f>
        <v>-298</v>
      </c>
      <c r="J16" s="758">
        <f>H16/DAY(B2)</f>
        <v>0</v>
      </c>
      <c r="K16" s="79"/>
      <c r="L16" s="66"/>
      <c r="N16" s="87"/>
      <c r="O16" s="71"/>
    </row>
    <row r="17" spans="1:15" ht="26.25">
      <c r="A17" s="882" t="s">
        <v>140</v>
      </c>
      <c r="B17" s="883"/>
      <c r="C17" s="88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3" t="s">
        <v>141</v>
      </c>
      <c r="B18" s="874"/>
      <c r="C18" s="875"/>
      <c r="D18" s="151" t="s">
        <v>142</v>
      </c>
      <c r="E18" s="122">
        <v>23</v>
      </c>
      <c r="F18" s="164">
        <v>30</v>
      </c>
      <c r="G18" s="119">
        <f>F18*10</f>
        <v>300</v>
      </c>
      <c r="H18" s="99">
        <f>G18+'30'!H18</f>
        <v>6640</v>
      </c>
      <c r="I18" s="113">
        <f>'1'!I18</f>
        <v>65</v>
      </c>
      <c r="J18" s="175">
        <f>H18/DAY(B2)</f>
        <v>214.19354838709677</v>
      </c>
      <c r="K18" s="79"/>
      <c r="L18" s="66"/>
      <c r="N18" s="87"/>
      <c r="O18" s="71"/>
    </row>
    <row r="19" spans="1:15" ht="25.5">
      <c r="A19" s="873" t="s">
        <v>69</v>
      </c>
      <c r="B19" s="874"/>
      <c r="C19" s="875"/>
      <c r="D19" s="151" t="s">
        <v>142</v>
      </c>
      <c r="E19" s="122">
        <v>160057</v>
      </c>
      <c r="F19" s="122">
        <v>160107</v>
      </c>
      <c r="G19" s="112">
        <f t="shared" ref="G19" si="1">F19-E19</f>
        <v>50</v>
      </c>
      <c r="H19" s="99">
        <f>G19+'30'!H19</f>
        <v>766</v>
      </c>
      <c r="I19" s="123"/>
      <c r="J19" s="175">
        <f>H19/DAY(B2)</f>
        <v>24.70967741935484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350</v>
      </c>
      <c r="H20" s="99">
        <f>G20+'30'!H20</f>
        <v>7406</v>
      </c>
      <c r="I20" s="336">
        <f>I18-J20</f>
        <v>-173.90322580645162</v>
      </c>
      <c r="J20" s="175">
        <f>H20/DAY(B2)</f>
        <v>238.90322580645162</v>
      </c>
      <c r="K20" s="79"/>
      <c r="L20" s="66"/>
      <c r="N20" s="87"/>
      <c r="O20" s="71"/>
    </row>
    <row r="21" spans="1:15" ht="26.25">
      <c r="A21" s="882" t="s">
        <v>144</v>
      </c>
      <c r="B21" s="883"/>
      <c r="C21" s="88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122"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95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122">
        <v>2000</v>
      </c>
      <c r="F23" s="122">
        <v>2000</v>
      </c>
      <c r="G23" s="119">
        <v>0</v>
      </c>
      <c r="H23" s="99">
        <f>G23+'30'!H23</f>
        <v>0</v>
      </c>
      <c r="I23" s="95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128">
        <v>4970</v>
      </c>
      <c r="F24" s="128">
        <v>4970</v>
      </c>
      <c r="G24" s="119">
        <v>0</v>
      </c>
      <c r="H24" s="99">
        <f>G24+'30'!H24</f>
        <v>0</v>
      </c>
      <c r="I24" s="95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7" t="s">
        <v>149</v>
      </c>
      <c r="B25" s="888"/>
      <c r="C25" s="88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28500</v>
      </c>
      <c r="F27" s="136">
        <v>9</v>
      </c>
      <c r="G27" s="137">
        <f>E27*F27</f>
        <v>256500</v>
      </c>
      <c r="H27" s="99">
        <f>G27+'30'!H27</f>
        <v>7968190.4100000011</v>
      </c>
      <c r="I27" s="138"/>
      <c r="J27" s="175">
        <f>H27/DAY(B2)</f>
        <v>257038.40032258068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G28+'30'!H28</f>
        <v>2150961.9000000018</v>
      </c>
      <c r="I28" s="528"/>
      <c r="J28" s="175">
        <f>H28/DAY(B2)</f>
        <v>69385.867741935537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528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G30+'30'!H30</f>
        <v>114401</v>
      </c>
      <c r="I30" s="528"/>
      <c r="J30" s="175">
        <f>H30/DAY(B2)</f>
        <v>3690.3548387096776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300</v>
      </c>
      <c r="F31" s="136">
        <v>80</v>
      </c>
      <c r="G31" s="137">
        <f>E31*F31</f>
        <v>24000</v>
      </c>
      <c r="H31" s="99">
        <f>G31+'30'!H31</f>
        <v>531200</v>
      </c>
      <c r="I31" s="528"/>
      <c r="J31" s="175">
        <f>H31/DAY(B2)</f>
        <v>17135.483870967742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345000</v>
      </c>
      <c r="H32" s="99">
        <f>G32+'30'!H32</f>
        <v>10764753.310000002</v>
      </c>
      <c r="I32" s="144"/>
      <c r="J32" s="175">
        <f>H32/DAY(B2)</f>
        <v>347250.10677419364</v>
      </c>
      <c r="K32" s="63"/>
      <c r="L32" s="89"/>
      <c r="N32" s="87"/>
      <c r="O32" s="71"/>
    </row>
    <row r="33" spans="1:15" ht="25.5" customHeight="1">
      <c r="A33" s="890" t="s">
        <v>331</v>
      </c>
      <c r="B33" s="891"/>
      <c r="C33" s="891"/>
      <c r="D33" s="337"/>
      <c r="E33" s="529"/>
      <c r="F33" s="529"/>
      <c r="G33" s="529"/>
      <c r="H33" s="529"/>
      <c r="I33" s="529"/>
      <c r="J33" s="530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145">
        <v>238714</v>
      </c>
      <c r="F35" s="145">
        <v>238714</v>
      </c>
      <c r="G35" s="112">
        <f t="shared" ref="G35:G46" si="3">F35-E35</f>
        <v>0</v>
      </c>
      <c r="H35" s="99">
        <f>G35+'30'!H35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145">
        <v>159651</v>
      </c>
      <c r="F36" s="145">
        <v>160448</v>
      </c>
      <c r="G36" s="112">
        <f t="shared" si="3"/>
        <v>797</v>
      </c>
      <c r="H36" s="99">
        <f>G36+'30'!H36</f>
        <v>0</v>
      </c>
      <c r="I36" s="95"/>
      <c r="J36" s="175">
        <f>H36/DAY(B2)</f>
        <v>0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145">
        <v>233989</v>
      </c>
      <c r="F37" s="145">
        <v>235779</v>
      </c>
      <c r="G37" s="112">
        <f t="shared" si="3"/>
        <v>1790</v>
      </c>
      <c r="H37" s="99">
        <f>G37+'30'!H37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108">
        <v>314008</v>
      </c>
      <c r="F38" s="108">
        <v>316292</v>
      </c>
      <c r="G38" s="112">
        <f t="shared" si="3"/>
        <v>2284</v>
      </c>
      <c r="H38" s="99">
        <f>G38+'30'!H38</f>
        <v>-2000</v>
      </c>
      <c r="I38" s="95"/>
      <c r="J38" s="175">
        <f>H38/DAY(B2)</f>
        <v>-64.516129032258064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145">
        <v>429068</v>
      </c>
      <c r="F39" s="145">
        <v>432285</v>
      </c>
      <c r="G39" s="112">
        <f t="shared" si="3"/>
        <v>3217</v>
      </c>
      <c r="H39" s="99">
        <f>G39+'30'!H39</f>
        <v>-3044.9099999999744</v>
      </c>
      <c r="I39" s="95"/>
      <c r="J39" s="175">
        <f>H39/DAY(B2)</f>
        <v>-98.222903225805624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145">
        <v>73273</v>
      </c>
      <c r="F40" s="145">
        <v>73553</v>
      </c>
      <c r="G40" s="112">
        <f t="shared" si="3"/>
        <v>280</v>
      </c>
      <c r="H40" s="99">
        <f>G40+'30'!H40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145">
        <v>68835</v>
      </c>
      <c r="F41" s="145">
        <v>68835</v>
      </c>
      <c r="G41" s="112">
        <f t="shared" si="3"/>
        <v>0</v>
      </c>
      <c r="H41" s="99">
        <f>G41+'30'!H41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145">
        <v>554715</v>
      </c>
      <c r="F42" s="145">
        <v>559872</v>
      </c>
      <c r="G42" s="112">
        <f t="shared" si="3"/>
        <v>5157</v>
      </c>
      <c r="H42" s="99">
        <f>G42+'30'!H42</f>
        <v>-3000</v>
      </c>
      <c r="I42" s="95"/>
      <c r="J42" s="175">
        <f>H42/DAY(B2)</f>
        <v>-96.774193548387103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145">
        <v>407028</v>
      </c>
      <c r="F43" s="145">
        <v>407028</v>
      </c>
      <c r="G43" s="112">
        <f t="shared" si="3"/>
        <v>0</v>
      </c>
      <c r="H43" s="99">
        <f>G43+'30'!H43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145"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13525</v>
      </c>
      <c r="H47" s="99">
        <f>G47+'30'!H47</f>
        <v>-8044.9100000000471</v>
      </c>
      <c r="I47" s="95"/>
      <c r="J47" s="175">
        <f>H47/DAY(B2)</f>
        <v>-259.51322580645314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145">
        <v>253417</v>
      </c>
      <c r="F49" s="145">
        <v>257147</v>
      </c>
      <c r="G49" s="112">
        <f t="shared" ref="G49:G58" si="4">F49-E49</f>
        <v>3730</v>
      </c>
      <c r="H49" s="99">
        <f>G49+'30'!H49</f>
        <v>-3000</v>
      </c>
      <c r="I49" s="95"/>
      <c r="J49" s="175">
        <f>H49/DAY(B2)</f>
        <v>-96.774193548387103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v>208631</v>
      </c>
      <c r="F50" s="145">
        <v>209564</v>
      </c>
      <c r="G50" s="112">
        <f t="shared" si="4"/>
        <v>933</v>
      </c>
      <c r="H50" s="99">
        <f>G50+'30'!H50</f>
        <v>0</v>
      </c>
      <c r="I50" s="95"/>
      <c r="J50" s="175">
        <f>H50/DAY(B2)</f>
        <v>0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145">
        <v>75.680000000000007</v>
      </c>
      <c r="F51" s="145">
        <v>75.680000000000007</v>
      </c>
      <c r="G51" s="112">
        <f t="shared" si="4"/>
        <v>0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145">
        <v>10</v>
      </c>
      <c r="F52" s="145">
        <v>10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418"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418">
        <v>64071.6</v>
      </c>
      <c r="F54" s="145">
        <v>64556</v>
      </c>
      <c r="G54" s="112">
        <f t="shared" si="4"/>
        <v>484.40000000000146</v>
      </c>
      <c r="H54" s="99">
        <f>G54+'30'!H54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418">
        <v>222542</v>
      </c>
      <c r="F55" s="145">
        <v>225473</v>
      </c>
      <c r="G55" s="112">
        <f t="shared" si="4"/>
        <v>2931</v>
      </c>
      <c r="H55" s="99">
        <f>G55+'30'!H55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418">
        <v>107246</v>
      </c>
      <c r="F56" s="145">
        <v>107246</v>
      </c>
      <c r="G56" s="112">
        <f t="shared" si="4"/>
        <v>0</v>
      </c>
      <c r="H56" s="99">
        <f>G56+'30'!H56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418">
        <v>33265</v>
      </c>
      <c r="F57" s="145">
        <v>35789</v>
      </c>
      <c r="G57" s="112">
        <f t="shared" si="4"/>
        <v>2524</v>
      </c>
      <c r="H57" s="99">
        <f>G57+'30'!H57</f>
        <v>-1814.0000000000036</v>
      </c>
      <c r="I57" s="95"/>
      <c r="J57" s="175">
        <f>H57/DAY(B2)</f>
        <v>-58.516129032258185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418">
        <v>32402.080000000002</v>
      </c>
      <c r="F58" s="145">
        <v>32659</v>
      </c>
      <c r="G58" s="112">
        <f t="shared" si="4"/>
        <v>256.91999999999825</v>
      </c>
      <c r="H58" s="99">
        <f>G58+'30'!H58</f>
        <v>-230</v>
      </c>
      <c r="I58" s="95"/>
      <c r="J58" s="175">
        <f>H58/DAY(B2)</f>
        <v>-7.419354838709677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227"/>
      <c r="F59" s="146"/>
      <c r="G59" s="119">
        <f>G49+G50+G51+G52+G53+G54+G55+G56+G57+G58</f>
        <v>10859.32</v>
      </c>
      <c r="H59" s="99">
        <f>G59+'30'!H59</f>
        <v>-5043.9999999999927</v>
      </c>
      <c r="I59" s="95">
        <f>G7-G60</f>
        <v>3915.6800000000003</v>
      </c>
      <c r="J59" s="175">
        <f>H59/DAY(B2)</f>
        <v>-162.70967741935459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227"/>
      <c r="F60" s="146"/>
      <c r="G60" s="119">
        <f>G47+G59</f>
        <v>24384.32</v>
      </c>
      <c r="H60" s="99">
        <f>G60+'30'!H60</f>
        <v>-13088.909999999923</v>
      </c>
      <c r="I60" s="95">
        <f>G13-G60</f>
        <v>3322.6800000000003</v>
      </c>
      <c r="J60" s="175">
        <f>H60/DAY(B2)</f>
        <v>-422.22290322580398</v>
      </c>
      <c r="K60" s="79"/>
      <c r="L60" s="66"/>
      <c r="N60" s="87"/>
      <c r="O60" s="71"/>
    </row>
    <row r="61" spans="1:15" s="68" customFormat="1" ht="26.25">
      <c r="A61" s="892" t="s">
        <v>332</v>
      </c>
      <c r="B61" s="893"/>
      <c r="C61" s="89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3" t="s">
        <v>198</v>
      </c>
      <c r="B62" s="874"/>
      <c r="C62" s="875"/>
      <c r="D62" s="151" t="s">
        <v>142</v>
      </c>
      <c r="E62" s="150">
        <v>288750</v>
      </c>
      <c r="F62" s="122">
        <v>288900</v>
      </c>
      <c r="G62" s="112">
        <f t="shared" ref="G62:G63" si="5">F62-E62</f>
        <v>150</v>
      </c>
      <c r="H62" s="99">
        <f>G62+'30'!H62</f>
        <v>0</v>
      </c>
      <c r="I62" s="95"/>
      <c r="J62" s="175">
        <f>H62/DAY(B2)</f>
        <v>0</v>
      </c>
      <c r="K62" s="80"/>
      <c r="L62" s="66"/>
      <c r="N62" s="87"/>
      <c r="O62" s="71"/>
    </row>
    <row r="63" spans="1:15" ht="25.5">
      <c r="A63" s="873" t="s">
        <v>199</v>
      </c>
      <c r="B63" s="874"/>
      <c r="C63" s="875"/>
      <c r="D63" s="151" t="s">
        <v>142</v>
      </c>
      <c r="E63" s="150">
        <v>231045</v>
      </c>
      <c r="F63" s="164">
        <v>231162</v>
      </c>
      <c r="G63" s="112">
        <f t="shared" si="5"/>
        <v>117</v>
      </c>
      <c r="H63" s="99">
        <f>G63+'30'!H63</f>
        <v>0</v>
      </c>
      <c r="I63" s="95"/>
      <c r="J63" s="175">
        <f>H63/DAY(B2)</f>
        <v>0</v>
      </c>
      <c r="K63" s="69"/>
      <c r="L63" s="66"/>
      <c r="N63" s="87"/>
      <c r="O63" s="71"/>
    </row>
    <row r="64" spans="1:15" ht="26.25">
      <c r="A64" s="870" t="s">
        <v>200</v>
      </c>
      <c r="B64" s="871"/>
      <c r="C64" s="872"/>
      <c r="D64" s="151"/>
      <c r="E64" s="150"/>
      <c r="F64" s="122"/>
      <c r="G64" s="112">
        <f>G62+G63</f>
        <v>267</v>
      </c>
      <c r="H64" s="99">
        <f>G64+'30'!H64</f>
        <v>0</v>
      </c>
      <c r="I64" s="95"/>
      <c r="J64" s="175">
        <f>H64/DAY(B2)</f>
        <v>0</v>
      </c>
      <c r="K64" s="69"/>
      <c r="L64" s="66"/>
      <c r="N64" s="87"/>
      <c r="O64" s="71"/>
    </row>
    <row r="65" spans="1:15" ht="25.5">
      <c r="A65" s="873" t="s">
        <v>201</v>
      </c>
      <c r="B65" s="874"/>
      <c r="C65" s="875"/>
      <c r="D65" s="151" t="s">
        <v>142</v>
      </c>
      <c r="E65" s="150">
        <v>447922</v>
      </c>
      <c r="F65" s="122">
        <v>448027</v>
      </c>
      <c r="G65" s="112">
        <f t="shared" ref="G65:G70" si="6">F65-E65</f>
        <v>105</v>
      </c>
      <c r="H65" s="99">
        <f>G65+'30'!H65</f>
        <v>0</v>
      </c>
      <c r="I65" s="95"/>
      <c r="J65" s="175">
        <f>H65/DAY(B2)</f>
        <v>0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150">
        <v>110309</v>
      </c>
      <c r="F66" s="122">
        <v>110331</v>
      </c>
      <c r="G66" s="112">
        <f t="shared" si="6"/>
        <v>22</v>
      </c>
      <c r="H66" s="99">
        <f>G66+'30'!H66</f>
        <v>0</v>
      </c>
      <c r="I66" s="95"/>
      <c r="J66" s="175">
        <f>H66/DAY(B2)</f>
        <v>0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150">
        <v>113209</v>
      </c>
      <c r="F67" s="122">
        <v>113278</v>
      </c>
      <c r="G67" s="112">
        <f t="shared" si="6"/>
        <v>69</v>
      </c>
      <c r="H67" s="99">
        <f>G67+'30'!H67</f>
        <v>0</v>
      </c>
      <c r="I67" s="95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150">
        <v>162465</v>
      </c>
      <c r="F68" s="122">
        <v>162494</v>
      </c>
      <c r="G68" s="112">
        <f t="shared" si="6"/>
        <v>29</v>
      </c>
      <c r="H68" s="99">
        <f>G68+'30'!H68</f>
        <v>0</v>
      </c>
      <c r="I68" s="95"/>
      <c r="J68" s="175">
        <f>H68/DAY(B2)</f>
        <v>0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150">
        <v>11860</v>
      </c>
      <c r="F69" s="122">
        <v>11869</v>
      </c>
      <c r="G69" s="112">
        <f t="shared" si="6"/>
        <v>9</v>
      </c>
      <c r="H69" s="99">
        <f>G69+'30'!H69</f>
        <v>0</v>
      </c>
      <c r="I69" s="95"/>
      <c r="J69" s="175">
        <f>H69/DAY(B2)</f>
        <v>0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150">
        <v>9244</v>
      </c>
      <c r="F70" s="122">
        <v>9267</v>
      </c>
      <c r="G70" s="112">
        <f t="shared" si="6"/>
        <v>23</v>
      </c>
      <c r="H70" s="99">
        <f>G70+'30'!H70</f>
        <v>0</v>
      </c>
      <c r="I70" s="95"/>
      <c r="J70" s="175">
        <f>H70/DAY(B2)</f>
        <v>0</v>
      </c>
      <c r="K70" s="69"/>
      <c r="L70" s="66"/>
      <c r="N70" s="87"/>
      <c r="O70" s="71"/>
    </row>
    <row r="71" spans="1:15" ht="26.25">
      <c r="A71" s="870" t="s">
        <v>208</v>
      </c>
      <c r="B71" s="871"/>
      <c r="C71" s="872"/>
      <c r="D71" s="152"/>
      <c r="E71" s="152"/>
      <c r="F71" s="152"/>
      <c r="G71" s="153">
        <f>SUM(G65:G70)</f>
        <v>257</v>
      </c>
      <c r="H71" s="99">
        <f>G71+'30'!H71</f>
        <v>0</v>
      </c>
      <c r="I71" s="531"/>
      <c r="J71" s="175">
        <f>H71/DAY(B2)</f>
        <v>0</v>
      </c>
      <c r="K71" s="69"/>
      <c r="L71" s="66"/>
      <c r="N71" s="87"/>
      <c r="O71" s="71"/>
    </row>
    <row r="72" spans="1:15" s="88" customFormat="1" ht="25.5">
      <c r="A72" s="916"/>
      <c r="B72" s="908"/>
      <c r="C72" s="347"/>
      <c r="D72" s="180"/>
      <c r="E72" s="180"/>
      <c r="F72" s="412"/>
      <c r="G72" s="412"/>
      <c r="H72" s="181"/>
      <c r="I72" s="412"/>
      <c r="J72" s="53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3" t="s">
        <v>220</v>
      </c>
      <c r="B74" s="874"/>
      <c r="C74" s="875"/>
      <c r="D74" s="151" t="s">
        <v>139</v>
      </c>
      <c r="E74" s="123">
        <v>938346</v>
      </c>
      <c r="F74" s="123">
        <v>938670</v>
      </c>
      <c r="G74" s="112">
        <f t="shared" ref="G74:G78" si="7">F74-E74</f>
        <v>324</v>
      </c>
      <c r="H74" s="99">
        <f>G74+'30'!H74</f>
        <v>0</v>
      </c>
      <c r="I74" s="531"/>
      <c r="J74" s="175">
        <f>H74/DAY(B2)</f>
        <v>0</v>
      </c>
      <c r="K74" s="69"/>
      <c r="L74" s="66"/>
      <c r="N74" s="87"/>
      <c r="O74" s="71"/>
    </row>
    <row r="75" spans="1:15" ht="25.5">
      <c r="A75" s="873" t="s">
        <v>221</v>
      </c>
      <c r="B75" s="874"/>
      <c r="C75" s="875"/>
      <c r="D75" s="151" t="s">
        <v>139</v>
      </c>
      <c r="E75" s="123">
        <v>73586.8</v>
      </c>
      <c r="F75" s="123">
        <v>73586.8</v>
      </c>
      <c r="G75" s="112">
        <f t="shared" si="7"/>
        <v>0</v>
      </c>
      <c r="H75" s="99">
        <f>G75+'30'!H75</f>
        <v>0</v>
      </c>
      <c r="I75" s="531"/>
      <c r="J75" s="175">
        <f>H75/DAY(B2)</f>
        <v>0</v>
      </c>
      <c r="K75" s="69"/>
      <c r="L75" s="66"/>
      <c r="N75" s="87"/>
      <c r="O75" s="71"/>
    </row>
    <row r="76" spans="1:15" ht="25.5">
      <c r="A76" s="917" t="s">
        <v>222</v>
      </c>
      <c r="B76" s="903"/>
      <c r="C76" s="904"/>
      <c r="D76" s="151" t="s">
        <v>139</v>
      </c>
      <c r="E76" s="123">
        <v>183607</v>
      </c>
      <c r="F76" s="123">
        <v>183706</v>
      </c>
      <c r="G76" s="112">
        <f t="shared" si="7"/>
        <v>99</v>
      </c>
      <c r="H76" s="99">
        <f>G76+'30'!H76</f>
        <v>0</v>
      </c>
      <c r="I76" s="531"/>
      <c r="J76" s="175">
        <f>H76/DAY(B2)</f>
        <v>0</v>
      </c>
      <c r="K76" s="69"/>
      <c r="L76" s="66"/>
      <c r="N76" s="87"/>
      <c r="O76" s="71"/>
    </row>
    <row r="77" spans="1:15" ht="25.5">
      <c r="A77" s="917" t="s">
        <v>223</v>
      </c>
      <c r="B77" s="903"/>
      <c r="C77" s="904"/>
      <c r="D77" s="151" t="s">
        <v>139</v>
      </c>
      <c r="E77" s="123">
        <v>47298</v>
      </c>
      <c r="F77" s="410">
        <v>47345</v>
      </c>
      <c r="G77" s="112">
        <f t="shared" si="7"/>
        <v>47</v>
      </c>
      <c r="H77" s="99">
        <f>G77+'30'!H77</f>
        <v>0</v>
      </c>
      <c r="I77" s="531"/>
      <c r="J77" s="175">
        <f>H77/DAY(B2)</f>
        <v>0</v>
      </c>
      <c r="K77" s="69"/>
      <c r="L77" s="66"/>
      <c r="N77" s="87"/>
      <c r="O77" s="71"/>
    </row>
    <row r="78" spans="1:15" ht="25.5">
      <c r="A78" s="917" t="s">
        <v>224</v>
      </c>
      <c r="B78" s="903"/>
      <c r="C78" s="904"/>
      <c r="D78" s="151" t="s">
        <v>139</v>
      </c>
      <c r="E78" s="123">
        <v>9563.4</v>
      </c>
      <c r="F78" s="410">
        <v>9563</v>
      </c>
      <c r="G78" s="112">
        <f t="shared" si="7"/>
        <v>-0.3999999999996362</v>
      </c>
      <c r="H78" s="99">
        <f>G78+'30'!H78</f>
        <v>-1</v>
      </c>
      <c r="I78" s="95"/>
      <c r="J78" s="175">
        <f>H78/DAY(B2)</f>
        <v>-3.2258064516129031E-2</v>
      </c>
      <c r="K78" s="69"/>
      <c r="L78" s="66"/>
      <c r="N78" s="87"/>
      <c r="O78" s="71"/>
    </row>
    <row r="79" spans="1:15" s="57" customFormat="1" ht="25.5">
      <c r="A79" s="917" t="s">
        <v>225</v>
      </c>
      <c r="B79" s="903"/>
      <c r="C79" s="904"/>
      <c r="D79" s="151"/>
      <c r="E79" s="117"/>
      <c r="F79" s="123"/>
      <c r="G79" s="112">
        <f>G15-SUM(G74:G78)</f>
        <v>630.39999999999964</v>
      </c>
      <c r="H79" s="99">
        <f>G79+'30'!H79</f>
        <v>32297.290000000037</v>
      </c>
      <c r="I79" s="95"/>
      <c r="J79" s="175"/>
      <c r="K79" s="59"/>
      <c r="L79" s="58"/>
      <c r="N79" s="87"/>
      <c r="O79" s="71"/>
    </row>
    <row r="80" spans="1:15" s="57" customFormat="1" ht="26.25">
      <c r="A80" s="870" t="s">
        <v>329</v>
      </c>
      <c r="B80" s="871"/>
      <c r="C80" s="872"/>
      <c r="D80" s="151"/>
      <c r="E80" s="117"/>
      <c r="F80" s="117"/>
      <c r="G80" s="112">
        <f>SUM(G74:G79)</f>
        <v>1100</v>
      </c>
      <c r="H80" s="99"/>
      <c r="I80" s="95"/>
      <c r="J80" s="175"/>
      <c r="K80" s="59"/>
      <c r="L80" s="58"/>
      <c r="N80" s="87"/>
      <c r="O80" s="71"/>
    </row>
    <row r="81" spans="1:15" ht="25.5">
      <c r="A81" s="909" t="s">
        <v>226</v>
      </c>
      <c r="B81" s="910"/>
      <c r="C81" s="91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122">
        <v>0</v>
      </c>
      <c r="F82" s="122">
        <v>0</v>
      </c>
      <c r="G82" s="112">
        <f t="shared" ref="G82:G92" si="8">F82-E82</f>
        <v>0</v>
      </c>
      <c r="H82" s="99">
        <f>G82+'30'!H131</f>
        <v>-192</v>
      </c>
      <c r="I82" s="573"/>
      <c r="J82" s="175">
        <f>H82/DAY(B2)</f>
        <v>-6.193548387096774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122">
        <v>0</v>
      </c>
      <c r="F83" s="122">
        <v>0</v>
      </c>
      <c r="G83" s="112">
        <f t="shared" si="8"/>
        <v>0</v>
      </c>
      <c r="H83" s="99">
        <f>G83+'30'!H83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164">
        <v>41969</v>
      </c>
      <c r="F84" s="164">
        <v>41969</v>
      </c>
      <c r="G84" s="112">
        <f t="shared" si="8"/>
        <v>0</v>
      </c>
      <c r="H84" s="99">
        <f>G84+'30'!H84</f>
        <v>0</v>
      </c>
      <c r="I84" s="57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150">
        <v>4319</v>
      </c>
      <c r="F85" s="164">
        <v>4343</v>
      </c>
      <c r="G85" s="112">
        <f t="shared" si="8"/>
        <v>24</v>
      </c>
      <c r="H85" s="99">
        <f>G85+'30'!H85</f>
        <v>0</v>
      </c>
      <c r="I85" s="573"/>
      <c r="J85" s="175">
        <f>H85/DAY(B2)</f>
        <v>0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164">
        <v>44452</v>
      </c>
      <c r="F86" s="164">
        <v>44470</v>
      </c>
      <c r="G86" s="112">
        <f t="shared" si="8"/>
        <v>18</v>
      </c>
      <c r="H86" s="99">
        <f>G86+'30'!H86</f>
        <v>0</v>
      </c>
      <c r="I86" s="573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164">
        <v>35329</v>
      </c>
      <c r="F87" s="164">
        <v>35329</v>
      </c>
      <c r="G87" s="112">
        <f t="shared" si="8"/>
        <v>0</v>
      </c>
      <c r="H87" s="99">
        <f>G87+'30'!H87</f>
        <v>0</v>
      </c>
      <c r="I87" s="573">
        <f>G84+G85+G86+G87</f>
        <v>42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164">
        <v>24218.36</v>
      </c>
      <c r="F88" s="164">
        <v>24227.88</v>
      </c>
      <c r="G88" s="112">
        <f t="shared" si="8"/>
        <v>9.5200000000004366</v>
      </c>
      <c r="H88" s="99">
        <f>G88+'30'!H88</f>
        <v>0</v>
      </c>
      <c r="I88" s="573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164">
        <v>26982.02</v>
      </c>
      <c r="F89" s="164">
        <v>26993.41</v>
      </c>
      <c r="G89" s="112">
        <f t="shared" si="8"/>
        <v>11.389999999999418</v>
      </c>
      <c r="H89" s="99">
        <f>G89+'30'!H89</f>
        <v>0</v>
      </c>
      <c r="I89" s="573">
        <f>G88+G89</f>
        <v>20.909999999999854</v>
      </c>
      <c r="J89" s="175">
        <f>H89/DAY(B2)</f>
        <v>0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164">
        <v>72127.12</v>
      </c>
      <c r="F90" s="164">
        <v>72127.12</v>
      </c>
      <c r="G90" s="112">
        <f>F90-E90</f>
        <v>0</v>
      </c>
      <c r="H90" s="99">
        <f>G90+'30'!H90</f>
        <v>-145.55999999999767</v>
      </c>
      <c r="I90" s="573">
        <f>G90</f>
        <v>0</v>
      </c>
      <c r="J90" s="175">
        <f>H90/DAY(B2)</f>
        <v>-4.6954838709676672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122">
        <v>4121.6499999999996</v>
      </c>
      <c r="F91" s="122">
        <v>4121.6499999999996</v>
      </c>
      <c r="G91" s="112">
        <f t="shared" si="8"/>
        <v>0</v>
      </c>
      <c r="H91" s="99">
        <f>G91+'30'!H91</f>
        <v>0</v>
      </c>
      <c r="I91" s="592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122">
        <v>6206.1</v>
      </c>
      <c r="F92" s="122">
        <v>6217.25</v>
      </c>
      <c r="G92" s="112">
        <f t="shared" si="8"/>
        <v>11.149999999999636</v>
      </c>
      <c r="H92" s="99">
        <f>G92+'30'!H92</f>
        <v>0</v>
      </c>
      <c r="I92" s="598">
        <f>G91+G92</f>
        <v>11.149999999999636</v>
      </c>
      <c r="J92" s="175">
        <f>H92/DAY(B2)</f>
        <v>0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3" t="s">
        <v>240</v>
      </c>
      <c r="B94" s="874"/>
      <c r="C94" s="875"/>
      <c r="D94" s="151" t="s">
        <v>130</v>
      </c>
      <c r="E94" s="151"/>
      <c r="F94" s="151"/>
      <c r="G94" s="99">
        <f>G35+G43+G49+G57</f>
        <v>6254</v>
      </c>
      <c r="H94" s="99">
        <f>G94+'30'!H94</f>
        <v>-4814.0000000000764</v>
      </c>
      <c r="I94" s="95"/>
      <c r="J94" s="175">
        <f>H94/DAY(B2)</f>
        <v>-155.29032258064763</v>
      </c>
      <c r="K94" s="69"/>
      <c r="L94" s="66"/>
      <c r="O94" s="71"/>
    </row>
    <row r="95" spans="1:15" ht="25.5">
      <c r="A95" s="873" t="s">
        <v>241</v>
      </c>
      <c r="B95" s="874"/>
      <c r="C95" s="875"/>
      <c r="D95" s="151" t="s">
        <v>23</v>
      </c>
      <c r="E95" s="146"/>
      <c r="F95" s="146"/>
      <c r="G95" s="166">
        <f>G94/G7</f>
        <v>0.22098939929328623</v>
      </c>
      <c r="H95" s="99">
        <f>G95+'30'!H95</f>
        <v>-4.4426388723659199E-2</v>
      </c>
      <c r="I95" s="533"/>
      <c r="J95" s="175">
        <f>H95/DAY(B2)</f>
        <v>-1.4331093136664259E-3</v>
      </c>
      <c r="K95" s="69"/>
      <c r="L95" s="66"/>
      <c r="O95" s="71"/>
    </row>
    <row r="96" spans="1:15" ht="25.5">
      <c r="A96" s="873" t="s">
        <v>242</v>
      </c>
      <c r="B96" s="874"/>
      <c r="C96" s="875"/>
      <c r="D96" s="151" t="s">
        <v>130</v>
      </c>
      <c r="E96" s="95"/>
      <c r="F96" s="95"/>
      <c r="G96" s="99">
        <f>G41+G42+G55+G56</f>
        <v>8088</v>
      </c>
      <c r="H96" s="99">
        <f>G96+'30'!H96</f>
        <v>-2999.9999999999709</v>
      </c>
      <c r="I96" s="95"/>
      <c r="J96" s="175">
        <f>H96/DAY(B2)</f>
        <v>-96.774193548386151</v>
      </c>
      <c r="K96" s="69"/>
      <c r="L96" s="66"/>
      <c r="O96" s="71"/>
    </row>
    <row r="97" spans="1:15" ht="25.5">
      <c r="A97" s="873" t="s">
        <v>243</v>
      </c>
      <c r="B97" s="874"/>
      <c r="C97" s="875"/>
      <c r="D97" s="151" t="s">
        <v>23</v>
      </c>
      <c r="E97" s="95"/>
      <c r="F97" s="95"/>
      <c r="G97" s="166">
        <f>G96/G7</f>
        <v>0.28579505300353358</v>
      </c>
      <c r="H97" s="99">
        <f>G97+'30'!H97</f>
        <v>-2.0624235529598245E-4</v>
      </c>
      <c r="I97" s="533"/>
      <c r="J97" s="175">
        <f>H97/DAY(B2)</f>
        <v>-6.6529792030962083E-6</v>
      </c>
      <c r="K97" s="69"/>
      <c r="L97" s="66"/>
      <c r="O97" s="71"/>
    </row>
    <row r="98" spans="1:15" ht="25.5">
      <c r="A98" s="873" t="s">
        <v>244</v>
      </c>
      <c r="B98" s="874"/>
      <c r="C98" s="875"/>
      <c r="D98" s="151" t="s">
        <v>130</v>
      </c>
      <c r="E98" s="95"/>
      <c r="F98" s="95"/>
      <c r="G98" s="99">
        <f>G39+G53</f>
        <v>3217</v>
      </c>
      <c r="H98" s="99">
        <f>G98+'30'!H98</f>
        <v>-3044.9099999999744</v>
      </c>
      <c r="I98" s="513"/>
      <c r="J98" s="175">
        <f>H98/DAY(B2)</f>
        <v>-98.222903225805624</v>
      </c>
      <c r="K98" s="69"/>
      <c r="L98" s="66"/>
      <c r="O98" s="71"/>
    </row>
    <row r="99" spans="1:15" ht="25.5">
      <c r="A99" s="873" t="s">
        <v>245</v>
      </c>
      <c r="B99" s="874"/>
      <c r="C99" s="875"/>
      <c r="D99" s="151" t="s">
        <v>23</v>
      </c>
      <c r="E99" s="95"/>
      <c r="F99" s="95"/>
      <c r="G99" s="166">
        <f>G98/G7</f>
        <v>0.11367491166077738</v>
      </c>
      <c r="H99" s="99">
        <f>G99+'30'!H99</f>
        <v>-5.7244546962732637E-2</v>
      </c>
      <c r="I99" s="513"/>
      <c r="J99" s="175">
        <f>H99/DAY(B2)</f>
        <v>-1.8465982891204076E-3</v>
      </c>
      <c r="O99" s="71"/>
    </row>
    <row r="100" spans="1:15" ht="26.25">
      <c r="A100" s="873" t="s">
        <v>246</v>
      </c>
      <c r="B100" s="874"/>
      <c r="C100" s="875"/>
      <c r="D100" s="151" t="s">
        <v>180</v>
      </c>
      <c r="E100" s="95"/>
      <c r="F100" s="95"/>
      <c r="G100" s="99">
        <f>G38+G52</f>
        <v>2284</v>
      </c>
      <c r="H100" s="99">
        <f>G100+'30'!H100</f>
        <v>-2000</v>
      </c>
      <c r="I100" s="95"/>
      <c r="J100" s="175">
        <f>H100/DAY(B2)</f>
        <v>-64.516129032258064</v>
      </c>
      <c r="K100" s="70"/>
      <c r="O100" s="71"/>
    </row>
    <row r="101" spans="1:15" ht="25.5">
      <c r="A101" s="873" t="s">
        <v>247</v>
      </c>
      <c r="B101" s="874"/>
      <c r="C101" s="875"/>
      <c r="D101" s="151" t="s">
        <v>23</v>
      </c>
      <c r="E101" s="95"/>
      <c r="F101" s="95"/>
      <c r="G101" s="166">
        <f>G100/G7</f>
        <v>8.0706713780918732E-2</v>
      </c>
      <c r="H101" s="99">
        <f>G101+'30'!H101</f>
        <v>-3.2996544015423554E-2</v>
      </c>
      <c r="I101" s="513"/>
      <c r="J101" s="175">
        <f>H101/DAY(B2)</f>
        <v>-1.0644046456588243E-3</v>
      </c>
      <c r="O101" s="71"/>
    </row>
    <row r="102" spans="1:15" ht="25.5">
      <c r="A102" s="873" t="s">
        <v>248</v>
      </c>
      <c r="B102" s="874"/>
      <c r="C102" s="875"/>
      <c r="D102" s="151" t="s">
        <v>180</v>
      </c>
      <c r="E102" s="95"/>
      <c r="F102" s="95"/>
      <c r="G102" s="99">
        <f>G36+G50</f>
        <v>1730</v>
      </c>
      <c r="H102" s="99">
        <f>G102+'30'!H102</f>
        <v>0</v>
      </c>
      <c r="I102" s="513"/>
      <c r="J102" s="175">
        <f>H102/DAY(B2)</f>
        <v>0</v>
      </c>
      <c r="O102" s="71"/>
    </row>
    <row r="103" spans="1:15" ht="25.5">
      <c r="A103" s="873" t="s">
        <v>249</v>
      </c>
      <c r="B103" s="874"/>
      <c r="C103" s="875"/>
      <c r="D103" s="151" t="s">
        <v>23</v>
      </c>
      <c r="E103" s="95"/>
      <c r="F103" s="95"/>
      <c r="G103" s="166">
        <f>G102/G7</f>
        <v>6.1130742049469965E-2</v>
      </c>
      <c r="H103" s="99">
        <f>G103+'30'!H103</f>
        <v>2.4969668596061291E-2</v>
      </c>
      <c r="I103" s="95"/>
      <c r="J103" s="175">
        <f>H103/DAY(B2)</f>
        <v>8.0547318051810612E-4</v>
      </c>
      <c r="O103" s="71"/>
    </row>
    <row r="104" spans="1:15" ht="25.5">
      <c r="A104" s="873" t="s">
        <v>250</v>
      </c>
      <c r="B104" s="874"/>
      <c r="C104" s="875"/>
      <c r="D104" s="151" t="s">
        <v>180</v>
      </c>
      <c r="E104" s="95"/>
      <c r="F104" s="95"/>
      <c r="G104" s="99">
        <f>G37+G51</f>
        <v>1790</v>
      </c>
      <c r="H104" s="99">
        <f>G104+'30'!H104</f>
        <v>0</v>
      </c>
      <c r="I104" s="95"/>
      <c r="J104" s="175">
        <f>H104/DAY(B2)</f>
        <v>0</v>
      </c>
      <c r="O104" s="71"/>
    </row>
    <row r="105" spans="1:15" ht="26.25" thickBot="1">
      <c r="A105" s="913" t="s">
        <v>251</v>
      </c>
      <c r="B105" s="914"/>
      <c r="C105" s="915"/>
      <c r="D105" s="231" t="s">
        <v>23</v>
      </c>
      <c r="E105" s="185"/>
      <c r="F105" s="185"/>
      <c r="G105" s="186">
        <f>G104/G7</f>
        <v>6.3250883392226148E-2</v>
      </c>
      <c r="H105" s="99">
        <f>G105+'30'!H105</f>
        <v>2.4767551926379736E-2</v>
      </c>
      <c r="I105" s="185"/>
      <c r="J105" s="188">
        <f>H105/DAY(B2)</f>
        <v>7.989532879477334E-4</v>
      </c>
      <c r="O105" s="71"/>
    </row>
    <row r="106" spans="1:15" ht="25.5">
      <c r="A106" s="105"/>
      <c r="B106" s="96"/>
      <c r="C106" s="96"/>
      <c r="D106" s="169"/>
      <c r="E106" s="413"/>
      <c r="F106" s="413"/>
      <c r="G106" s="413"/>
      <c r="H106" s="170"/>
      <c r="I106" s="413"/>
      <c r="J106" s="170"/>
      <c r="O106" s="71"/>
    </row>
    <row r="107" spans="1:15" ht="26.25"/>
    <row r="108" spans="1:15" ht="27.75">
      <c r="A108" s="927" t="s">
        <v>324</v>
      </c>
      <c r="B108" s="927"/>
      <c r="C108" s="927"/>
      <c r="D108" s="927"/>
      <c r="E108" s="927"/>
      <c r="F108" s="927"/>
      <c r="G108" s="927"/>
      <c r="H108" s="927"/>
      <c r="I108" s="927"/>
      <c r="J108" s="927"/>
    </row>
    <row r="109" spans="1:15" ht="26.25">
      <c r="A109" s="912"/>
      <c r="B109" s="912"/>
    </row>
    <row r="110" spans="1:15" ht="26.25">
      <c r="A110" s="928" t="s">
        <v>165</v>
      </c>
      <c r="B110" s="929"/>
      <c r="C110" s="929"/>
      <c r="D110" s="929"/>
      <c r="E110" s="929"/>
      <c r="F110" s="929"/>
      <c r="G110" s="929"/>
      <c r="H110" s="929"/>
      <c r="I110" s="929"/>
      <c r="J110" s="930"/>
    </row>
    <row r="111" spans="1:15" ht="25.5">
      <c r="A111" s="931"/>
      <c r="B111" s="932"/>
      <c r="C111" s="933"/>
      <c r="D111" s="165"/>
      <c r="E111" s="155"/>
      <c r="F111" s="155"/>
      <c r="G111" s="155"/>
      <c r="H111" s="156"/>
      <c r="I111" s="155"/>
      <c r="J111" s="156"/>
    </row>
    <row r="112" spans="1:15" ht="25.5">
      <c r="A112" s="906" t="s">
        <v>252</v>
      </c>
      <c r="B112" s="907"/>
      <c r="C112" s="908"/>
      <c r="D112" s="146" t="s">
        <v>183</v>
      </c>
      <c r="E112" s="237">
        <v>2596</v>
      </c>
      <c r="F112" s="237">
        <v>2677</v>
      </c>
      <c r="G112" s="112">
        <f t="shared" ref="G112:G123" si="9">F112-E112</f>
        <v>81</v>
      </c>
      <c r="H112" s="99">
        <f>G112+'30'!H112</f>
        <v>0</v>
      </c>
      <c r="I112" s="155"/>
      <c r="J112" s="328">
        <f>H112/DAY(B2)</f>
        <v>0</v>
      </c>
    </row>
    <row r="113" spans="1:18" ht="25.5">
      <c r="A113" s="906" t="s">
        <v>253</v>
      </c>
      <c r="B113" s="907"/>
      <c r="C113" s="908"/>
      <c r="D113" s="146" t="s">
        <v>183</v>
      </c>
      <c r="E113" s="237">
        <v>6205</v>
      </c>
      <c r="F113" s="237">
        <v>6391</v>
      </c>
      <c r="G113" s="112">
        <f t="shared" si="9"/>
        <v>186</v>
      </c>
      <c r="H113" s="99">
        <f>G113+'30'!H113</f>
        <v>0</v>
      </c>
      <c r="I113" s="155"/>
      <c r="J113" s="328">
        <f>H113/DAY(B2)</f>
        <v>0</v>
      </c>
    </row>
    <row r="114" spans="1:18" ht="25.5">
      <c r="A114" s="906" t="s">
        <v>254</v>
      </c>
      <c r="B114" s="907"/>
      <c r="C114" s="908"/>
      <c r="D114" s="146" t="s">
        <v>183</v>
      </c>
      <c r="E114" s="237">
        <v>7313</v>
      </c>
      <c r="F114" s="237">
        <v>7570</v>
      </c>
      <c r="G114" s="112">
        <f t="shared" si="9"/>
        <v>257</v>
      </c>
      <c r="H114" s="99">
        <f>G114+'30'!H114</f>
        <v>0</v>
      </c>
      <c r="I114" s="155"/>
      <c r="J114" s="328">
        <f>H114/DAY(B2)</f>
        <v>0</v>
      </c>
    </row>
    <row r="115" spans="1:18" ht="25.5">
      <c r="A115" s="906" t="s">
        <v>255</v>
      </c>
      <c r="B115" s="907"/>
      <c r="C115" s="908"/>
      <c r="D115" s="146" t="s">
        <v>183</v>
      </c>
      <c r="E115" s="237">
        <v>555</v>
      </c>
      <c r="F115" s="237">
        <v>561</v>
      </c>
      <c r="G115" s="112">
        <f t="shared" si="9"/>
        <v>6</v>
      </c>
      <c r="H115" s="99">
        <f>G115+'30'!H115</f>
        <v>-5569.48</v>
      </c>
      <c r="I115" s="155"/>
      <c r="J115" s="328">
        <f>H115/DAY(B2)</f>
        <v>-179.66064516129032</v>
      </c>
    </row>
    <row r="116" spans="1:18" ht="25.5">
      <c r="A116" s="924" t="s">
        <v>96</v>
      </c>
      <c r="B116" s="925"/>
      <c r="C116" s="926"/>
      <c r="D116" s="146" t="s">
        <v>183</v>
      </c>
      <c r="E116" s="237">
        <v>46373</v>
      </c>
      <c r="F116" s="237">
        <v>46755</v>
      </c>
      <c r="G116" s="112">
        <f t="shared" si="9"/>
        <v>382</v>
      </c>
      <c r="H116" s="99">
        <f>G116+'30'!H116</f>
        <v>0</v>
      </c>
      <c r="I116" s="155"/>
      <c r="J116" s="328">
        <f>H116/DAY(B2)</f>
        <v>0</v>
      </c>
      <c r="Q116" s="906"/>
      <c r="R116" s="908"/>
    </row>
    <row r="117" spans="1:18" ht="25.5">
      <c r="A117" s="924" t="s">
        <v>184</v>
      </c>
      <c r="B117" s="925"/>
      <c r="C117" s="926"/>
      <c r="D117" s="146" t="s">
        <v>183</v>
      </c>
      <c r="E117" s="237">
        <v>25028</v>
      </c>
      <c r="F117" s="237">
        <v>25268</v>
      </c>
      <c r="G117" s="112">
        <f t="shared" si="9"/>
        <v>240</v>
      </c>
      <c r="H117" s="99">
        <f>G117+'30'!H117</f>
        <v>0</v>
      </c>
      <c r="I117" s="155"/>
      <c r="J117" s="328">
        <f>H117/DAY(B2)</f>
        <v>0</v>
      </c>
      <c r="Q117" s="906"/>
      <c r="R117" s="908"/>
    </row>
    <row r="118" spans="1:18" ht="25.5">
      <c r="A118" s="901" t="s">
        <v>97</v>
      </c>
      <c r="B118" s="901"/>
      <c r="C118" s="901"/>
      <c r="D118" s="151" t="s">
        <v>183</v>
      </c>
      <c r="E118" s="237">
        <v>25614</v>
      </c>
      <c r="F118" s="237">
        <v>26225</v>
      </c>
      <c r="G118" s="112">
        <f t="shared" si="9"/>
        <v>611</v>
      </c>
      <c r="H118" s="99">
        <f>G118+'30'!H118</f>
        <v>0</v>
      </c>
      <c r="I118" s="155"/>
      <c r="J118" s="328">
        <f>H118/DAY(B2)</f>
        <v>0</v>
      </c>
      <c r="Q118" s="906"/>
      <c r="R118" s="908"/>
    </row>
    <row r="119" spans="1:18" ht="25.5">
      <c r="A119" s="901" t="s">
        <v>98</v>
      </c>
      <c r="B119" s="901"/>
      <c r="C119" s="901"/>
      <c r="D119" s="151" t="s">
        <v>183</v>
      </c>
      <c r="E119" s="237">
        <v>18559</v>
      </c>
      <c r="F119" s="237">
        <v>18947</v>
      </c>
      <c r="G119" s="112">
        <f t="shared" si="9"/>
        <v>388</v>
      </c>
      <c r="H119" s="99">
        <f>G119+'30'!H119</f>
        <v>0</v>
      </c>
      <c r="I119" s="155"/>
      <c r="J119" s="328">
        <f>H119/DAY(B2)</f>
        <v>0</v>
      </c>
    </row>
    <row r="120" spans="1:18" ht="25.5">
      <c r="A120" s="901" t="s">
        <v>99</v>
      </c>
      <c r="B120" s="901"/>
      <c r="C120" s="901"/>
      <c r="D120" s="151" t="s">
        <v>183</v>
      </c>
      <c r="E120" s="237">
        <v>19645</v>
      </c>
      <c r="F120" s="237">
        <v>20050</v>
      </c>
      <c r="G120" s="112">
        <f t="shared" si="9"/>
        <v>405</v>
      </c>
      <c r="H120" s="99">
        <f>G120+'30'!H120</f>
        <v>0</v>
      </c>
      <c r="I120" s="155"/>
      <c r="J120" s="328">
        <f>H120/DAY(B2)</f>
        <v>0</v>
      </c>
    </row>
    <row r="121" spans="1:18" ht="25.5">
      <c r="A121" s="901" t="s">
        <v>100</v>
      </c>
      <c r="B121" s="901"/>
      <c r="C121" s="901"/>
      <c r="D121" s="151" t="s">
        <v>183</v>
      </c>
      <c r="E121" s="237">
        <v>25401</v>
      </c>
      <c r="F121" s="237">
        <v>25844</v>
      </c>
      <c r="G121" s="112">
        <f t="shared" si="9"/>
        <v>443</v>
      </c>
      <c r="H121" s="99">
        <f>G121+'30'!H121</f>
        <v>0</v>
      </c>
      <c r="I121" s="155"/>
      <c r="J121" s="328">
        <f>H121/DAY(B2)</f>
        <v>0</v>
      </c>
    </row>
    <row r="122" spans="1:18" ht="25.5">
      <c r="A122" s="901" t="s">
        <v>101</v>
      </c>
      <c r="B122" s="901"/>
      <c r="C122" s="901"/>
      <c r="D122" s="151" t="s">
        <v>183</v>
      </c>
      <c r="E122" s="237">
        <v>10891</v>
      </c>
      <c r="F122" s="237">
        <v>11160</v>
      </c>
      <c r="G122" s="112">
        <f t="shared" si="9"/>
        <v>269</v>
      </c>
      <c r="H122" s="99">
        <f>G122+'30'!H122</f>
        <v>0</v>
      </c>
      <c r="I122" s="155"/>
      <c r="J122" s="328">
        <f>H122/DAY(B2)</f>
        <v>0</v>
      </c>
    </row>
    <row r="123" spans="1:18" ht="25.5">
      <c r="A123" s="901" t="s">
        <v>348</v>
      </c>
      <c r="B123" s="901"/>
      <c r="C123" s="901"/>
      <c r="D123" s="151" t="s">
        <v>183</v>
      </c>
      <c r="E123" s="237">
        <v>10178</v>
      </c>
      <c r="F123" s="237">
        <v>10509</v>
      </c>
      <c r="G123" s="112">
        <f t="shared" si="9"/>
        <v>331</v>
      </c>
      <c r="H123" s="99">
        <f>G123+'30'!H123</f>
        <v>0</v>
      </c>
      <c r="I123" s="155"/>
      <c r="J123" s="328">
        <f>H123/DAY(B2)</f>
        <v>0</v>
      </c>
    </row>
    <row r="124" spans="1:18" ht="25.5">
      <c r="A124" s="931"/>
      <c r="B124" s="932"/>
      <c r="C124" s="933"/>
      <c r="D124" s="165"/>
      <c r="E124" s="165"/>
      <c r="F124" s="155"/>
      <c r="G124" s="156"/>
      <c r="H124" s="99">
        <f>G124+'30'!H124</f>
        <v>0</v>
      </c>
      <c r="I124" s="155"/>
      <c r="J124" s="156"/>
    </row>
    <row r="125" spans="1:18" ht="25.5">
      <c r="A125" s="934" t="s">
        <v>196</v>
      </c>
      <c r="B125" s="999"/>
      <c r="C125" s="935"/>
      <c r="D125" s="307"/>
      <c r="E125" s="308"/>
      <c r="F125" s="308"/>
      <c r="G125" s="309">
        <f>SUM(G112:G124)</f>
        <v>3599</v>
      </c>
      <c r="H125" s="156"/>
      <c r="I125" s="156">
        <f>G125-(G39+G53)</f>
        <v>382</v>
      </c>
      <c r="J125" s="156"/>
    </row>
    <row r="126" spans="1:18" ht="25.5">
      <c r="A126" s="936" t="s">
        <v>317</v>
      </c>
      <c r="B126" s="936"/>
      <c r="C126" s="936"/>
      <c r="D126" s="936"/>
      <c r="E126" s="936"/>
      <c r="F126" s="936"/>
      <c r="G126" s="936"/>
      <c r="H126" s="936"/>
      <c r="I126" s="936"/>
      <c r="J126" s="936"/>
    </row>
    <row r="127" spans="1:18" ht="25.5">
      <c r="A127" s="937"/>
      <c r="B127" s="937"/>
      <c r="C127" s="245"/>
      <c r="D127" s="307"/>
      <c r="E127" s="308"/>
      <c r="F127" s="308"/>
      <c r="G127" s="309"/>
      <c r="H127" s="99">
        <f>G127+'30'!H127</f>
        <v>0</v>
      </c>
      <c r="I127" s="155"/>
      <c r="J127" s="328">
        <f>H127/DAY(B2)</f>
        <v>0</v>
      </c>
    </row>
    <row r="128" spans="1:18" ht="25.5">
      <c r="A128" s="906" t="s">
        <v>318</v>
      </c>
      <c r="B128" s="907"/>
      <c r="C128" s="908"/>
      <c r="D128" s="151" t="s">
        <v>183</v>
      </c>
      <c r="E128" s="165">
        <v>95163</v>
      </c>
      <c r="F128" s="155">
        <v>95715</v>
      </c>
      <c r="G128" s="112">
        <f t="shared" ref="G128:G134" si="10">F128-E128</f>
        <v>552</v>
      </c>
      <c r="H128" s="99">
        <f>G128+'30'!H128</f>
        <v>0</v>
      </c>
      <c r="I128" s="155"/>
      <c r="J128" s="328">
        <f>H128/DAY(B2)</f>
        <v>0</v>
      </c>
    </row>
    <row r="129" spans="1:15" ht="25.5">
      <c r="A129" s="329" t="s">
        <v>319</v>
      </c>
      <c r="B129" s="330"/>
      <c r="C129" s="331"/>
      <c r="D129" s="151" t="s">
        <v>183</v>
      </c>
      <c r="E129" s="165">
        <v>59998</v>
      </c>
      <c r="F129" s="155">
        <v>60293</v>
      </c>
      <c r="G129" s="112">
        <f t="shared" si="10"/>
        <v>295</v>
      </c>
      <c r="H129" s="99">
        <f>G129+'30'!H129</f>
        <v>0</v>
      </c>
      <c r="I129" s="155"/>
      <c r="J129" s="328">
        <f>H129/DAY(B2)</f>
        <v>0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165">
        <v>118547</v>
      </c>
      <c r="F130" s="425">
        <v>119113</v>
      </c>
      <c r="G130" s="611">
        <f t="shared" si="10"/>
        <v>566</v>
      </c>
      <c r="H130" s="99">
        <f>G130+'30'!H130</f>
        <v>-2016</v>
      </c>
      <c r="I130" s="155"/>
      <c r="J130" s="328">
        <f>H130/DAY(B2)</f>
        <v>-65.032258064516128</v>
      </c>
      <c r="N130" s="240"/>
      <c r="O130" s="241"/>
    </row>
    <row r="131" spans="1:15" ht="25.5">
      <c r="A131" s="906" t="s">
        <v>321</v>
      </c>
      <c r="B131" s="907"/>
      <c r="C131" s="908"/>
      <c r="D131" s="151" t="s">
        <v>183</v>
      </c>
      <c r="E131" s="165">
        <v>36087</v>
      </c>
      <c r="F131" s="155">
        <v>36279</v>
      </c>
      <c r="G131" s="112">
        <f t="shared" si="10"/>
        <v>192</v>
      </c>
      <c r="H131" s="99">
        <f>G131+'30'!H131</f>
        <v>0</v>
      </c>
      <c r="I131" s="155"/>
      <c r="J131" s="328">
        <f>H131/DAY(B2)</f>
        <v>0</v>
      </c>
      <c r="N131" s="240"/>
      <c r="O131" s="241"/>
    </row>
    <row r="132" spans="1:15" ht="25.5">
      <c r="A132" s="906" t="s">
        <v>322</v>
      </c>
      <c r="B132" s="907"/>
      <c r="C132" s="908"/>
      <c r="D132" s="151" t="s">
        <v>183</v>
      </c>
      <c r="E132" s="465">
        <v>103078</v>
      </c>
      <c r="F132" s="155">
        <v>103512</v>
      </c>
      <c r="G132" s="112">
        <f t="shared" si="10"/>
        <v>434</v>
      </c>
      <c r="H132" s="99">
        <f>G132+'30'!H132</f>
        <v>0</v>
      </c>
      <c r="I132" s="155"/>
      <c r="J132" s="328">
        <f>H132/DAY(B2)</f>
        <v>0</v>
      </c>
    </row>
    <row r="133" spans="1:15" ht="25.5">
      <c r="A133" s="906" t="s">
        <v>359</v>
      </c>
      <c r="B133" s="907"/>
      <c r="C133" s="908"/>
      <c r="D133" s="151" t="s">
        <v>183</v>
      </c>
      <c r="E133" s="165">
        <v>200383</v>
      </c>
      <c r="F133" s="155">
        <v>201232</v>
      </c>
      <c r="G133" s="112">
        <f t="shared" si="10"/>
        <v>849</v>
      </c>
      <c r="H133" s="99">
        <f>G133+'30'!H133</f>
        <v>0</v>
      </c>
      <c r="I133" s="155"/>
      <c r="J133" s="328">
        <f>H133/DAY(B2)</f>
        <v>0</v>
      </c>
    </row>
    <row r="134" spans="1:15" ht="25.5">
      <c r="A134" s="906" t="s">
        <v>340</v>
      </c>
      <c r="B134" s="907"/>
      <c r="C134" s="908"/>
      <c r="D134" s="151" t="s">
        <v>183</v>
      </c>
      <c r="E134" s="467">
        <v>34670</v>
      </c>
      <c r="F134" s="155">
        <v>34895</v>
      </c>
      <c r="G134" s="112">
        <f t="shared" si="10"/>
        <v>225</v>
      </c>
      <c r="H134" s="99">
        <f>G134+'30'!H134</f>
        <v>0</v>
      </c>
      <c r="I134" s="155"/>
      <c r="J134" s="328">
        <f>H134/DAY(B2)</f>
        <v>0</v>
      </c>
    </row>
    <row r="135" spans="1:15" ht="25.5">
      <c r="A135" s="934" t="s">
        <v>196</v>
      </c>
      <c r="B135" s="999"/>
      <c r="C135" s="935"/>
      <c r="D135" s="151"/>
      <c r="E135" s="165"/>
      <c r="F135" s="155"/>
      <c r="G135" s="112">
        <f>SUM(G128:G134)</f>
        <v>3113</v>
      </c>
      <c r="H135" s="99">
        <f>G135+'23'!H135</f>
        <v>36391.329999999994</v>
      </c>
      <c r="I135" s="156">
        <f>G135-(G35+G49)</f>
        <v>-617</v>
      </c>
      <c r="J135" s="328"/>
    </row>
    <row r="136" spans="1:15" ht="27.75">
      <c r="A136" s="938" t="s">
        <v>325</v>
      </c>
      <c r="B136" s="938"/>
      <c r="C136" s="938"/>
      <c r="D136" s="938"/>
      <c r="E136" s="938"/>
      <c r="F136" s="938"/>
      <c r="G136" s="938"/>
      <c r="H136" s="938"/>
      <c r="I136" s="938"/>
      <c r="J136" s="938"/>
    </row>
    <row r="137" spans="1:15" ht="26.25">
      <c r="A137" s="245"/>
      <c r="B137" s="246"/>
      <c r="C137" s="246"/>
      <c r="D137" s="165"/>
      <c r="E137" s="155"/>
      <c r="F137" s="155"/>
      <c r="G137" s="155"/>
      <c r="H137" s="156"/>
      <c r="I137" s="155"/>
      <c r="J137" s="156"/>
    </row>
    <row r="138" spans="1:15" ht="25.5">
      <c r="A138" s="901" t="s">
        <v>185</v>
      </c>
      <c r="B138" s="901"/>
      <c r="C138" s="901"/>
      <c r="D138" s="151" t="s">
        <v>183</v>
      </c>
      <c r="E138" s="147">
        <v>10398</v>
      </c>
      <c r="F138" s="147">
        <v>10510</v>
      </c>
      <c r="G138" s="112">
        <f t="shared" ref="G138:G152" si="11">F138-E138</f>
        <v>112</v>
      </c>
      <c r="H138" s="99">
        <f>G138+'30'!H138</f>
        <v>-872767.7</v>
      </c>
      <c r="I138" s="95"/>
      <c r="J138" s="328">
        <f>H138/DAY(B2)</f>
        <v>-28153.796774193546</v>
      </c>
    </row>
    <row r="139" spans="1:15" ht="25.5">
      <c r="A139" s="901" t="s">
        <v>186</v>
      </c>
      <c r="B139" s="901"/>
      <c r="C139" s="901"/>
      <c r="D139" s="151" t="s">
        <v>183</v>
      </c>
      <c r="E139" s="148">
        <v>899314</v>
      </c>
      <c r="F139" s="148">
        <v>899455</v>
      </c>
      <c r="G139" s="112">
        <f t="shared" si="11"/>
        <v>141</v>
      </c>
      <c r="H139" s="99">
        <f>G139+'30'!H139</f>
        <v>0</v>
      </c>
      <c r="I139" s="95"/>
      <c r="J139" s="328">
        <f>H139/DAY(B2)</f>
        <v>0</v>
      </c>
    </row>
    <row r="140" spans="1:15" ht="25.5">
      <c r="A140" s="901" t="s">
        <v>187</v>
      </c>
      <c r="B140" s="901"/>
      <c r="C140" s="901"/>
      <c r="D140" s="151" t="s">
        <v>183</v>
      </c>
      <c r="E140" s="149">
        <v>576</v>
      </c>
      <c r="F140" s="149">
        <v>588</v>
      </c>
      <c r="G140" s="112">
        <f t="shared" si="11"/>
        <v>12</v>
      </c>
      <c r="H140" s="99">
        <f>G140+'30'!H140</f>
        <v>-60.759999999999991</v>
      </c>
      <c r="I140" s="95"/>
      <c r="J140" s="328">
        <f>H140/DAY(B2)</f>
        <v>-1.9599999999999997</v>
      </c>
    </row>
    <row r="141" spans="1:15" ht="25.5">
      <c r="A141" s="905" t="s">
        <v>188</v>
      </c>
      <c r="B141" s="905"/>
      <c r="C141" s="905"/>
      <c r="D141" s="151" t="s">
        <v>183</v>
      </c>
      <c r="E141" s="149">
        <v>77762</v>
      </c>
      <c r="F141" s="149">
        <v>77952</v>
      </c>
      <c r="G141" s="112">
        <f t="shared" si="11"/>
        <v>190</v>
      </c>
      <c r="H141" s="99">
        <f>G141+'30'!H141</f>
        <v>0</v>
      </c>
      <c r="I141" s="95"/>
      <c r="J141" s="328">
        <f>H141/DAY(B2)</f>
        <v>0</v>
      </c>
    </row>
    <row r="142" spans="1:15" ht="25.5">
      <c r="A142" s="905" t="s">
        <v>189</v>
      </c>
      <c r="B142" s="905"/>
      <c r="C142" s="905"/>
      <c r="D142" s="151" t="s">
        <v>183</v>
      </c>
      <c r="E142" s="148">
        <v>30388</v>
      </c>
      <c r="F142" s="148">
        <v>30526</v>
      </c>
      <c r="G142" s="112">
        <f t="shared" si="11"/>
        <v>138</v>
      </c>
      <c r="H142" s="99">
        <f>G142+'30'!H142</f>
        <v>0</v>
      </c>
      <c r="I142" s="528"/>
      <c r="J142" s="328">
        <f>H142/DAY(B2)</f>
        <v>0</v>
      </c>
    </row>
    <row r="143" spans="1:15" ht="25.5">
      <c r="A143" s="901" t="s">
        <v>91</v>
      </c>
      <c r="B143" s="901"/>
      <c r="C143" s="901"/>
      <c r="D143" s="151" t="s">
        <v>183</v>
      </c>
      <c r="E143" s="149">
        <v>7275</v>
      </c>
      <c r="F143" s="149">
        <v>7306</v>
      </c>
      <c r="G143" s="112">
        <f t="shared" si="11"/>
        <v>31</v>
      </c>
      <c r="H143" s="99">
        <f>G143+'30'!H143</f>
        <v>0</v>
      </c>
      <c r="I143" s="528"/>
      <c r="J143" s="328">
        <f>H143/DAY(B2)</f>
        <v>0</v>
      </c>
    </row>
    <row r="144" spans="1:15" ht="25.5">
      <c r="A144" s="905" t="s">
        <v>90</v>
      </c>
      <c r="B144" s="905"/>
      <c r="C144" s="905"/>
      <c r="D144" s="151" t="s">
        <v>183</v>
      </c>
      <c r="E144" s="149">
        <v>904801</v>
      </c>
      <c r="F144" s="149">
        <v>905053</v>
      </c>
      <c r="G144" s="112">
        <f t="shared" si="11"/>
        <v>252</v>
      </c>
      <c r="H144" s="99">
        <f>G144+'30'!H144</f>
        <v>0</v>
      </c>
      <c r="I144" s="528"/>
      <c r="J144" s="328">
        <f>H144/DAY(B2)</f>
        <v>0</v>
      </c>
    </row>
    <row r="145" spans="1:11" ht="25.5">
      <c r="A145" s="901" t="s">
        <v>190</v>
      </c>
      <c r="B145" s="901"/>
      <c r="C145" s="901"/>
      <c r="D145" s="152" t="s">
        <v>183</v>
      </c>
      <c r="E145" s="149">
        <v>5664</v>
      </c>
      <c r="F145" s="149">
        <v>5664</v>
      </c>
      <c r="G145" s="112">
        <f t="shared" si="11"/>
        <v>0</v>
      </c>
      <c r="H145" s="99">
        <f>G145+'30'!H145</f>
        <v>0</v>
      </c>
      <c r="I145" s="528"/>
      <c r="J145" s="328">
        <f>H145/DAY(B2)</f>
        <v>0</v>
      </c>
    </row>
    <row r="146" spans="1:11" ht="25.5">
      <c r="A146" s="902" t="s">
        <v>191</v>
      </c>
      <c r="B146" s="903"/>
      <c r="C146" s="904"/>
      <c r="D146" s="152" t="s">
        <v>183</v>
      </c>
      <c r="E146" s="148">
        <v>777832</v>
      </c>
      <c r="F146" s="148">
        <v>777868</v>
      </c>
      <c r="G146" s="112">
        <f t="shared" si="11"/>
        <v>36</v>
      </c>
      <c r="H146" s="99">
        <f>G146+'30'!H146</f>
        <v>0</v>
      </c>
      <c r="I146" s="528"/>
      <c r="J146" s="328">
        <f>H146/DAY(B2)</f>
        <v>0</v>
      </c>
    </row>
    <row r="147" spans="1:11" ht="25.5">
      <c r="A147" s="905" t="s">
        <v>192</v>
      </c>
      <c r="B147" s="905"/>
      <c r="C147" s="905"/>
      <c r="D147" s="152" t="s">
        <v>183</v>
      </c>
      <c r="E147" s="148">
        <v>675474</v>
      </c>
      <c r="F147" s="148">
        <v>675848</v>
      </c>
      <c r="G147" s="112">
        <f t="shared" si="11"/>
        <v>374</v>
      </c>
      <c r="H147" s="99">
        <f>G147+'30'!H147</f>
        <v>0</v>
      </c>
      <c r="I147" s="528"/>
      <c r="J147" s="328">
        <f>H147/DAY(B2)</f>
        <v>0</v>
      </c>
    </row>
    <row r="148" spans="1:11" ht="25.5">
      <c r="A148" s="897" t="s">
        <v>193</v>
      </c>
      <c r="B148" s="898"/>
      <c r="C148" s="899"/>
      <c r="D148" s="123" t="s">
        <v>130</v>
      </c>
      <c r="E148" s="150">
        <v>729452</v>
      </c>
      <c r="F148" s="150">
        <v>729745</v>
      </c>
      <c r="G148" s="112">
        <f t="shared" si="11"/>
        <v>293</v>
      </c>
      <c r="H148" s="99">
        <f>G148+'30'!H148</f>
        <v>0</v>
      </c>
      <c r="I148" s="124"/>
      <c r="J148" s="328">
        <f>H148/DAY(B2)</f>
        <v>0</v>
      </c>
    </row>
    <row r="149" spans="1:11" ht="25.5">
      <c r="A149" s="897" t="s">
        <v>336</v>
      </c>
      <c r="B149" s="898"/>
      <c r="C149" s="899"/>
      <c r="D149" s="227" t="s">
        <v>130</v>
      </c>
      <c r="E149" s="146">
        <v>100305</v>
      </c>
      <c r="F149" s="146">
        <v>100895</v>
      </c>
      <c r="G149" s="112">
        <f t="shared" si="11"/>
        <v>590</v>
      </c>
      <c r="H149" s="99">
        <f>G149+'30'!H149</f>
        <v>0</v>
      </c>
      <c r="I149" s="119"/>
      <c r="J149" s="328">
        <f>H149/DAY(B2)</f>
        <v>0</v>
      </c>
    </row>
    <row r="150" spans="1:11" ht="25.5">
      <c r="A150" s="897" t="s">
        <v>337</v>
      </c>
      <c r="B150" s="898"/>
      <c r="C150" s="899"/>
      <c r="D150" s="117" t="s">
        <v>130</v>
      </c>
      <c r="E150" s="233">
        <v>36988.5</v>
      </c>
      <c r="F150" s="233">
        <v>37216</v>
      </c>
      <c r="G150" s="112">
        <f t="shared" si="11"/>
        <v>227.5</v>
      </c>
      <c r="H150" s="99">
        <f>G150+'30'!H150</f>
        <v>0</v>
      </c>
      <c r="I150" s="119"/>
      <c r="J150" s="328">
        <f>H150/DAY(B2)</f>
        <v>0</v>
      </c>
    </row>
    <row r="151" spans="1:11" ht="25.5">
      <c r="A151" s="897" t="s">
        <v>338</v>
      </c>
      <c r="B151" s="898"/>
      <c r="C151" s="899"/>
      <c r="D151" s="117" t="s">
        <v>130</v>
      </c>
      <c r="E151" s="233">
        <v>117849</v>
      </c>
      <c r="F151" s="233">
        <v>118137</v>
      </c>
      <c r="G151" s="112">
        <f t="shared" si="11"/>
        <v>288</v>
      </c>
      <c r="H151" s="99">
        <f>G151+'30'!H151</f>
        <v>0</v>
      </c>
      <c r="I151" s="119"/>
      <c r="J151" s="328">
        <f>H151/DAY(B2)</f>
        <v>0</v>
      </c>
    </row>
    <row r="152" spans="1:11" ht="25.5">
      <c r="A152" s="897" t="s">
        <v>339</v>
      </c>
      <c r="B152" s="898"/>
      <c r="C152" s="899"/>
      <c r="D152" s="117" t="s">
        <v>130</v>
      </c>
      <c r="E152" s="233">
        <v>15228.5</v>
      </c>
      <c r="F152" s="233">
        <v>15361</v>
      </c>
      <c r="G152" s="112">
        <f t="shared" si="11"/>
        <v>132.5</v>
      </c>
      <c r="H152" s="99">
        <f>G152+'30'!H152</f>
        <v>4205</v>
      </c>
      <c r="I152" s="119"/>
      <c r="J152" s="328">
        <f>H152/DAY(B2)</f>
        <v>135.64516129032259</v>
      </c>
    </row>
    <row r="153" spans="1:11" ht="25.5">
      <c r="A153" s="934" t="s">
        <v>196</v>
      </c>
      <c r="B153" s="999"/>
      <c r="C153" s="935"/>
      <c r="D153" s="358"/>
      <c r="E153" s="361"/>
      <c r="F153" s="361"/>
      <c r="G153" s="362">
        <f>SUM(G138:G152)</f>
        <v>2817</v>
      </c>
      <c r="H153" s="363"/>
      <c r="I153" s="119">
        <f>G153-(G38+G52)</f>
        <v>533</v>
      </c>
      <c r="J153" s="366"/>
    </row>
    <row r="154" spans="1:11" ht="27.75">
      <c r="A154" s="938" t="s">
        <v>344</v>
      </c>
      <c r="B154" s="938"/>
      <c r="C154" s="938"/>
      <c r="D154" s="938"/>
      <c r="E154" s="938"/>
      <c r="F154" s="938"/>
      <c r="G154" s="938"/>
      <c r="H154" s="938"/>
      <c r="I154" s="938"/>
      <c r="J154" s="938"/>
    </row>
    <row r="155" spans="1:11" ht="27.75">
      <c r="A155" s="905" t="s">
        <v>345</v>
      </c>
      <c r="B155" s="905"/>
      <c r="C155" s="905"/>
      <c r="D155" s="117" t="s">
        <v>130</v>
      </c>
      <c r="E155" s="374">
        <v>111355</v>
      </c>
      <c r="F155" s="389">
        <v>111975</v>
      </c>
      <c r="G155" s="112">
        <f t="shared" ref="G155:G158" si="12">F155-E155</f>
        <v>620</v>
      </c>
      <c r="H155" s="99">
        <f>G155+'30'!H155</f>
        <v>0</v>
      </c>
      <c r="I155" s="364"/>
      <c r="J155" s="328">
        <f>H155/DAY(B2)</f>
        <v>0</v>
      </c>
    </row>
    <row r="156" spans="1:11" ht="25.5">
      <c r="A156" s="905" t="s">
        <v>347</v>
      </c>
      <c r="B156" s="905"/>
      <c r="C156" s="905"/>
      <c r="D156" s="117" t="s">
        <v>130</v>
      </c>
      <c r="E156" s="155">
        <v>9614</v>
      </c>
      <c r="F156" s="155">
        <v>9685</v>
      </c>
      <c r="G156" s="112">
        <f t="shared" si="12"/>
        <v>71</v>
      </c>
      <c r="H156" s="99">
        <f>G156+'30'!H156</f>
        <v>0</v>
      </c>
      <c r="I156" s="155"/>
      <c r="J156" s="328">
        <f>H156/DAY(B2)</f>
        <v>0</v>
      </c>
    </row>
    <row r="157" spans="1:11" ht="25.5">
      <c r="A157" s="897" t="s">
        <v>360</v>
      </c>
      <c r="B157" s="898"/>
      <c r="C157" s="899"/>
      <c r="D157" s="117" t="s">
        <v>130</v>
      </c>
      <c r="E157" s="155">
        <v>18058</v>
      </c>
      <c r="F157" s="95">
        <v>18200</v>
      </c>
      <c r="G157" s="112">
        <f t="shared" si="12"/>
        <v>142</v>
      </c>
      <c r="H157" s="99">
        <f>G157+'30'!H157</f>
        <v>-4598.9500000000007</v>
      </c>
      <c r="I157" s="99"/>
      <c r="J157" s="155"/>
      <c r="K157" s="328"/>
    </row>
    <row r="158" spans="1:11" ht="25.5">
      <c r="A158" s="897" t="s">
        <v>361</v>
      </c>
      <c r="B158" s="898"/>
      <c r="C158" s="899"/>
      <c r="D158" s="117" t="s">
        <v>130</v>
      </c>
      <c r="E158" s="155">
        <v>159</v>
      </c>
      <c r="F158" s="155">
        <v>160</v>
      </c>
      <c r="G158" s="112">
        <f t="shared" si="12"/>
        <v>1</v>
      </c>
      <c r="H158" s="99">
        <f>G158+'30'!H158</f>
        <v>-51.430000000000007</v>
      </c>
      <c r="I158" s="155"/>
      <c r="J158" s="328"/>
    </row>
    <row r="159" spans="1:11" ht="25.5">
      <c r="A159" s="956"/>
      <c r="B159" s="957"/>
      <c r="C159" s="958"/>
      <c r="D159" s="117"/>
      <c r="E159" s="165"/>
      <c r="F159" s="155"/>
      <c r="G159" s="112"/>
      <c r="H159" s="99"/>
      <c r="I159" s="155"/>
      <c r="J159" s="328"/>
    </row>
    <row r="160" spans="1:11" ht="27.75">
      <c r="A160" s="938" t="s">
        <v>326</v>
      </c>
      <c r="B160" s="938"/>
      <c r="C160" s="938"/>
      <c r="D160" s="938"/>
      <c r="E160" s="938"/>
      <c r="F160" s="938"/>
      <c r="G160" s="938"/>
      <c r="H160" s="938"/>
      <c r="I160" s="938"/>
      <c r="J160" s="938"/>
    </row>
    <row r="161" spans="1:10" ht="26.25">
      <c r="A161" s="242" t="s">
        <v>92</v>
      </c>
      <c r="B161" s="243"/>
      <c r="C161" s="243"/>
      <c r="D161" s="244" t="s">
        <v>180</v>
      </c>
      <c r="E161" s="235">
        <v>475417.72</v>
      </c>
      <c r="F161" s="235">
        <v>475421</v>
      </c>
      <c r="G161" s="238">
        <f t="shared" ref="G161:G165" si="13">F161-E161</f>
        <v>3.2800000000279397</v>
      </c>
      <c r="H161" s="99">
        <f>G161+'30'!H161</f>
        <v>-1245</v>
      </c>
      <c r="I161" s="236"/>
      <c r="J161" s="239">
        <f>H161/DAY(B2)</f>
        <v>-40.161290322580648</v>
      </c>
    </row>
    <row r="162" spans="1:10" ht="26.25">
      <c r="A162" s="242" t="s">
        <v>93</v>
      </c>
      <c r="B162" s="243"/>
      <c r="C162" s="243"/>
      <c r="D162" s="244" t="s">
        <v>180</v>
      </c>
      <c r="E162" s="235">
        <v>92685</v>
      </c>
      <c r="F162" s="235">
        <v>92727</v>
      </c>
      <c r="G162" s="238">
        <f t="shared" si="13"/>
        <v>42</v>
      </c>
      <c r="H162" s="99">
        <f>G162+'30'!H162</f>
        <v>0</v>
      </c>
      <c r="I162" s="236"/>
      <c r="J162" s="239">
        <f>H162/DAY(B2)</f>
        <v>0</v>
      </c>
    </row>
    <row r="163" spans="1:10" ht="26.25">
      <c r="A163" s="242" t="s">
        <v>197</v>
      </c>
      <c r="B163" s="243"/>
      <c r="C163" s="243"/>
      <c r="D163" s="244" t="s">
        <v>180</v>
      </c>
      <c r="E163" s="235">
        <v>96954</v>
      </c>
      <c r="F163" s="235">
        <v>97135</v>
      </c>
      <c r="G163" s="238">
        <f t="shared" si="13"/>
        <v>181</v>
      </c>
      <c r="H163" s="99">
        <f>G163+'30'!H163</f>
        <v>99995</v>
      </c>
      <c r="I163" s="236"/>
      <c r="J163" s="239">
        <f>H163/DAY(B2)</f>
        <v>3225.6451612903224</v>
      </c>
    </row>
    <row r="164" spans="1:10" ht="26.25">
      <c r="A164" s="242" t="s">
        <v>197</v>
      </c>
      <c r="B164" s="243"/>
      <c r="C164" s="243"/>
      <c r="D164" s="244" t="s">
        <v>180</v>
      </c>
      <c r="E164" s="235">
        <v>5531</v>
      </c>
      <c r="F164" s="235">
        <v>5542</v>
      </c>
      <c r="G164" s="238">
        <f t="shared" si="13"/>
        <v>11</v>
      </c>
      <c r="H164" s="99">
        <f>G164+'30'!H164</f>
        <v>0</v>
      </c>
      <c r="I164" s="236"/>
      <c r="J164" s="239">
        <f>H164/DAY(B2)</f>
        <v>0</v>
      </c>
    </row>
    <row r="165" spans="1:10" ht="26.25">
      <c r="A165" s="242" t="s">
        <v>309</v>
      </c>
      <c r="B165" s="243"/>
      <c r="C165" s="243"/>
      <c r="D165" s="244" t="s">
        <v>180</v>
      </c>
      <c r="E165" s="235">
        <v>31001</v>
      </c>
      <c r="F165" s="235">
        <v>31014</v>
      </c>
      <c r="G165" s="238">
        <f t="shared" si="13"/>
        <v>13</v>
      </c>
      <c r="H165" s="99">
        <f>G165+'30'!H165</f>
        <v>0</v>
      </c>
      <c r="I165" s="236"/>
      <c r="J165" s="239">
        <f>H165/DAY(B2)</f>
        <v>0</v>
      </c>
    </row>
    <row r="166" spans="1:10" ht="26.25">
      <c r="A166" s="937"/>
      <c r="B166" s="937"/>
      <c r="C166" s="246"/>
      <c r="D166" s="244" t="s">
        <v>180</v>
      </c>
      <c r="E166" s="165"/>
      <c r="F166" s="155"/>
      <c r="G166" s="155"/>
      <c r="H166" s="99">
        <f>G166+'30'!H166</f>
        <v>0</v>
      </c>
      <c r="I166" s="155"/>
      <c r="J166" s="239">
        <f>H166/DAY(B2)</f>
        <v>0</v>
      </c>
    </row>
    <row r="167" spans="1:10" ht="26.25">
      <c r="A167" s="937"/>
      <c r="B167" s="937"/>
      <c r="C167" s="246"/>
      <c r="D167" s="244" t="s">
        <v>180</v>
      </c>
      <c r="E167" s="165"/>
      <c r="F167" s="155"/>
      <c r="G167" s="155"/>
      <c r="H167" s="99">
        <f>G167+'30'!H167</f>
        <v>0</v>
      </c>
      <c r="I167" s="155"/>
      <c r="J167" s="239">
        <f>H167/DAY(B2)</f>
        <v>0</v>
      </c>
    </row>
    <row r="168" spans="1:10" ht="26.25">
      <c r="A168" s="937"/>
      <c r="B168" s="937"/>
      <c r="C168" s="246"/>
      <c r="D168" s="244" t="s">
        <v>180</v>
      </c>
      <c r="E168" s="165"/>
      <c r="F168" s="155"/>
      <c r="G168" s="155"/>
      <c r="H168" s="99">
        <f>G168+'30'!H168</f>
        <v>0</v>
      </c>
      <c r="I168" s="155"/>
      <c r="J168" s="239">
        <f>H168/DAY(B2)</f>
        <v>0</v>
      </c>
    </row>
    <row r="169" spans="1:10" ht="26.25"/>
    <row r="170" spans="1:10" ht="26.25"/>
    <row r="171" spans="1:10" ht="27.75">
      <c r="A171" s="947" t="s">
        <v>330</v>
      </c>
      <c r="B171" s="948"/>
      <c r="C171" s="948"/>
      <c r="D171" s="948"/>
      <c r="E171" s="948"/>
      <c r="F171" s="948"/>
      <c r="G171" s="948"/>
      <c r="H171" s="948"/>
      <c r="I171" s="948"/>
      <c r="J171" s="949"/>
    </row>
    <row r="172" spans="1:10" ht="25.5">
      <c r="A172" s="943"/>
      <c r="B172" s="944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5" t="s">
        <v>209</v>
      </c>
      <c r="B173" s="896"/>
      <c r="C173" s="333"/>
      <c r="D173" s="228" t="s">
        <v>142</v>
      </c>
      <c r="E173" s="155">
        <v>8248</v>
      </c>
      <c r="F173" s="425">
        <v>8264</v>
      </c>
      <c r="G173" s="155">
        <f>F173-E173</f>
        <v>16</v>
      </c>
      <c r="H173" s="99">
        <f>G173+'30'!H173</f>
        <v>47</v>
      </c>
      <c r="I173" s="155"/>
      <c r="J173" s="178">
        <f>H173/DAY(B2)</f>
        <v>1.5161290322580645</v>
      </c>
    </row>
    <row r="174" spans="1:10" ht="25.5">
      <c r="A174" s="895" t="s">
        <v>75</v>
      </c>
      <c r="B174" s="896"/>
      <c r="C174" s="333"/>
      <c r="D174" s="228" t="s">
        <v>142</v>
      </c>
      <c r="E174" s="157">
        <v>40318</v>
      </c>
      <c r="F174" s="157">
        <v>40332</v>
      </c>
      <c r="G174" s="155">
        <f t="shared" ref="G174:G175" si="14">F174-E174</f>
        <v>14</v>
      </c>
      <c r="H174" s="99">
        <f>G174+'30'!H174</f>
        <v>0</v>
      </c>
      <c r="I174" s="155"/>
      <c r="J174" s="178">
        <f>H174/DAY(B2)</f>
        <v>0</v>
      </c>
    </row>
    <row r="175" spans="1:10" ht="25.5">
      <c r="A175" s="895" t="s">
        <v>76</v>
      </c>
      <c r="B175" s="900"/>
      <c r="C175" s="896"/>
      <c r="D175" s="228" t="s">
        <v>142</v>
      </c>
      <c r="E175" s="155">
        <v>23241</v>
      </c>
      <c r="F175" s="155">
        <v>23258</v>
      </c>
      <c r="G175" s="155">
        <f t="shared" si="14"/>
        <v>17</v>
      </c>
      <c r="H175" s="99">
        <f>G175+'30'!H175</f>
        <v>0</v>
      </c>
      <c r="I175" s="155"/>
      <c r="J175" s="178">
        <f>H175/DAY(B2)</f>
        <v>0</v>
      </c>
    </row>
    <row r="176" spans="1:10" ht="25.5">
      <c r="A176" s="934" t="s">
        <v>196</v>
      </c>
      <c r="B176" s="999"/>
      <c r="C176" s="935"/>
      <c r="D176" s="228" t="s">
        <v>142</v>
      </c>
      <c r="E176" s="155"/>
      <c r="F176" s="155"/>
      <c r="G176" s="155">
        <f>SUM(G173:G175)</f>
        <v>47</v>
      </c>
      <c r="H176" s="99">
        <f>G176+'30'!H176</f>
        <v>47</v>
      </c>
      <c r="I176" s="155"/>
      <c r="J176" s="178">
        <f>H176/DAY(B2)</f>
        <v>1.5161290322580645</v>
      </c>
    </row>
    <row r="177" spans="1:10" ht="25.5">
      <c r="A177" s="895" t="s">
        <v>77</v>
      </c>
      <c r="B177" s="896"/>
      <c r="C177" s="333"/>
      <c r="D177" s="228" t="s">
        <v>142</v>
      </c>
      <c r="E177" s="15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5.5">
      <c r="A178" s="895" t="s">
        <v>210</v>
      </c>
      <c r="B178" s="896"/>
      <c r="C178" s="333"/>
      <c r="D178" s="228" t="s">
        <v>142</v>
      </c>
      <c r="E178" s="155">
        <v>91717</v>
      </c>
      <c r="F178" s="155">
        <v>91822</v>
      </c>
      <c r="G178" s="155">
        <f>F178-E178</f>
        <v>105</v>
      </c>
      <c r="H178" s="99">
        <f>G178+'30'!H178</f>
        <v>0</v>
      </c>
      <c r="I178" s="155"/>
      <c r="J178" s="178">
        <f>H178/DAY(B2)</f>
        <v>0</v>
      </c>
    </row>
    <row r="179" spans="1:10" ht="25.5">
      <c r="A179" s="895" t="s">
        <v>211</v>
      </c>
      <c r="B179" s="896"/>
      <c r="C179" s="333"/>
      <c r="D179" s="228" t="s">
        <v>142</v>
      </c>
      <c r="E179" s="155">
        <v>35775</v>
      </c>
      <c r="F179" s="157">
        <v>35784</v>
      </c>
      <c r="G179" s="155">
        <f t="shared" ref="G179:G180" si="15">F179-E179</f>
        <v>9</v>
      </c>
      <c r="H179" s="99">
        <f>G179+'30'!H179</f>
        <v>0</v>
      </c>
      <c r="I179" s="155"/>
      <c r="J179" s="178">
        <f>H179/DAY(B2)</f>
        <v>0</v>
      </c>
    </row>
    <row r="180" spans="1:10" ht="25.5">
      <c r="A180" s="895" t="s">
        <v>212</v>
      </c>
      <c r="B180" s="896"/>
      <c r="C180" s="333"/>
      <c r="D180" s="228" t="s">
        <v>142</v>
      </c>
      <c r="E180" s="155">
        <v>6663</v>
      </c>
      <c r="F180" s="157">
        <v>6670</v>
      </c>
      <c r="G180" s="155">
        <f t="shared" si="15"/>
        <v>7</v>
      </c>
      <c r="H180" s="99">
        <f>G180+'30'!H180</f>
        <v>0</v>
      </c>
      <c r="I180" s="155"/>
      <c r="J180" s="178">
        <f>H180/DAY(B2)</f>
        <v>0</v>
      </c>
    </row>
    <row r="181" spans="1:10" ht="25.5">
      <c r="A181" s="941" t="s">
        <v>108</v>
      </c>
      <c r="B181" s="942"/>
      <c r="C181" s="401"/>
      <c r="D181" s="228" t="s">
        <v>142</v>
      </c>
      <c r="E181" s="155"/>
      <c r="F181" s="157"/>
      <c r="G181" s="155">
        <f>SUM(G178:G180)</f>
        <v>121</v>
      </c>
      <c r="H181" s="99">
        <f>G181+'30'!H181</f>
        <v>0</v>
      </c>
      <c r="I181" s="155"/>
      <c r="J181" s="178">
        <f>H181/DAY(B2)</f>
        <v>0</v>
      </c>
    </row>
    <row r="182" spans="1:10" ht="25.5">
      <c r="A182" s="895" t="s">
        <v>213</v>
      </c>
      <c r="B182" s="896"/>
      <c r="C182" s="333"/>
      <c r="D182" s="228" t="s">
        <v>142</v>
      </c>
      <c r="E182" s="15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5.5">
      <c r="A183" s="895" t="s">
        <v>214</v>
      </c>
      <c r="B183" s="896"/>
      <c r="C183" s="334"/>
      <c r="D183" s="228" t="s">
        <v>142</v>
      </c>
      <c r="E183" s="157">
        <v>16944</v>
      </c>
      <c r="F183" s="157">
        <v>16955</v>
      </c>
      <c r="G183" s="157">
        <f>F183-E183</f>
        <v>11</v>
      </c>
      <c r="H183" s="99">
        <f>G183+'30'!H183</f>
        <v>0</v>
      </c>
      <c r="I183" s="155"/>
      <c r="J183" s="178">
        <f>H183/DAY(B2)</f>
        <v>0</v>
      </c>
    </row>
    <row r="184" spans="1:10" ht="25.5">
      <c r="A184" s="895" t="s">
        <v>215</v>
      </c>
      <c r="B184" s="896"/>
      <c r="C184" s="334"/>
      <c r="D184" s="228" t="s">
        <v>142</v>
      </c>
      <c r="E184" s="157">
        <v>11466</v>
      </c>
      <c r="F184" s="157">
        <v>11486</v>
      </c>
      <c r="G184" s="157">
        <f t="shared" ref="G184:G185" si="16">F184-E184</f>
        <v>20</v>
      </c>
      <c r="H184" s="99">
        <f>G184+'30'!H184</f>
        <v>0</v>
      </c>
      <c r="I184" s="155"/>
      <c r="J184" s="178">
        <f>H184/DAY(B2)</f>
        <v>0</v>
      </c>
    </row>
    <row r="185" spans="1:10" ht="25.5">
      <c r="A185" s="895" t="s">
        <v>216</v>
      </c>
      <c r="B185" s="896"/>
      <c r="C185" s="334"/>
      <c r="D185" s="228" t="s">
        <v>142</v>
      </c>
      <c r="E185" s="157"/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5.5">
      <c r="A186" s="934" t="s">
        <v>196</v>
      </c>
      <c r="B186" s="935"/>
      <c r="C186" s="400"/>
      <c r="D186" s="228" t="s">
        <v>142</v>
      </c>
      <c r="E186" s="157"/>
      <c r="F186" s="157"/>
      <c r="G186" s="157">
        <f>SUM(G183:G185)</f>
        <v>31</v>
      </c>
      <c r="H186" s="99">
        <f>G186+'30'!H186</f>
        <v>0</v>
      </c>
      <c r="I186" s="157"/>
      <c r="J186" s="178">
        <f>H186/DAY(B2)</f>
        <v>0</v>
      </c>
    </row>
    <row r="187" spans="1:10" ht="25.5">
      <c r="A187" s="945" t="s">
        <v>217</v>
      </c>
      <c r="B187" s="946"/>
      <c r="C187" s="333"/>
      <c r="D187" s="230" t="s">
        <v>142</v>
      </c>
      <c r="E187" s="159"/>
      <c r="F187" s="159"/>
      <c r="G187" s="378">
        <f>G62+G19</f>
        <v>200</v>
      </c>
      <c r="H187" s="99">
        <f>G187+'30'!H187</f>
        <v>766</v>
      </c>
      <c r="I187" s="157"/>
      <c r="J187" s="179">
        <f>H187/DAY(B2)</f>
        <v>24.70967741935484</v>
      </c>
    </row>
    <row r="188" spans="1:10" ht="25.5">
      <c r="A188" s="945" t="s">
        <v>218</v>
      </c>
      <c r="B188" s="946"/>
      <c r="C188" s="333"/>
      <c r="D188" s="230" t="s">
        <v>142</v>
      </c>
      <c r="E188" s="159"/>
      <c r="F188" s="159"/>
      <c r="G188" s="378">
        <f>G65+G66+G67+G69+G70</f>
        <v>228</v>
      </c>
      <c r="H188" s="99">
        <f>G188+'30'!H188</f>
        <v>-2745</v>
      </c>
      <c r="I188" s="157"/>
      <c r="J188" s="179">
        <f>H188/DAY(B2)</f>
        <v>-88.548387096774192</v>
      </c>
    </row>
    <row r="189" spans="1:10" ht="25.5">
      <c r="A189" s="945" t="s">
        <v>219</v>
      </c>
      <c r="B189" s="946"/>
      <c r="C189" s="333"/>
      <c r="D189" s="230" t="s">
        <v>142</v>
      </c>
      <c r="E189" s="157"/>
      <c r="F189" s="157"/>
      <c r="G189" s="527">
        <f>G181</f>
        <v>121</v>
      </c>
      <c r="H189" s="99">
        <f>G189+'30'!H189</f>
        <v>-2262</v>
      </c>
      <c r="I189" s="157"/>
      <c r="J189" s="179">
        <f>H189/DAY(B2)</f>
        <v>-72.967741935483872</v>
      </c>
    </row>
    <row r="190" spans="1:10" ht="25.5">
      <c r="A190" s="939"/>
      <c r="B190" s="940"/>
      <c r="C190" s="399"/>
      <c r="D190" s="396"/>
      <c r="E190" s="415"/>
      <c r="F190" s="415"/>
      <c r="G190" s="415"/>
      <c r="H190" s="397"/>
      <c r="I190" s="415"/>
      <c r="J190" s="534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271" ht="26.25"/>
    <row r="272" ht="26.25"/>
    <row r="273" ht="26.25"/>
    <row r="274" ht="26.25"/>
    <row r="275" ht="26.25"/>
    <row r="276" ht="26.25"/>
    <row r="277" ht="26.25"/>
    <row r="278" ht="26.25"/>
    <row r="279" ht="26.25"/>
    <row r="280" ht="26.25"/>
    <row r="281" ht="26.25"/>
    <row r="282" ht="26.25"/>
    <row r="283" ht="26.25"/>
    <row r="284" ht="26.25"/>
    <row r="285" ht="26.25"/>
    <row r="286" ht="26.25"/>
    <row r="287" ht="26.25"/>
    <row r="288" ht="26.25"/>
    <row r="289" ht="26.25"/>
    <row r="290" ht="26.25"/>
    <row r="291" ht="26.25"/>
    <row r="292" ht="26.25"/>
    <row r="293" ht="26.25"/>
    <row r="294" ht="26.25"/>
    <row r="295" ht="26.25"/>
    <row r="296" ht="26.25"/>
    <row r="297" ht="26.25"/>
    <row r="298" ht="26.25"/>
    <row r="299" ht="26.25"/>
    <row r="300" ht="26.25"/>
    <row r="301" ht="26.25"/>
    <row r="302" ht="26.25"/>
    <row r="303" ht="26.25"/>
    <row r="304" ht="26.25"/>
    <row r="305" ht="26.25"/>
    <row r="306" ht="26.25"/>
    <row r="307" ht="26.25"/>
    <row r="308" ht="26.25"/>
    <row r="309" ht="26.25"/>
    <row r="310" ht="26.25"/>
    <row r="311" ht="26.25"/>
    <row r="312" ht="26.25"/>
    <row r="313" ht="26.25"/>
    <row r="314" ht="26.25"/>
    <row r="315" ht="26.25"/>
    <row r="316" ht="26.25"/>
    <row r="317" ht="26.25"/>
    <row r="318" ht="26.25"/>
    <row r="319" ht="26.25"/>
    <row r="320" ht="26.25"/>
  </sheetData>
  <mergeCells count="122"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765"/>
      <c r="B1" s="765"/>
      <c r="C1" s="765"/>
      <c r="D1" s="765"/>
      <c r="E1" s="765"/>
      <c r="F1" s="765"/>
      <c r="G1" s="765"/>
      <c r="H1" s="765"/>
      <c r="I1" s="765"/>
      <c r="J1" s="765"/>
      <c r="K1" s="765"/>
      <c r="L1" s="765"/>
      <c r="M1" s="765"/>
      <c r="N1" s="765"/>
      <c r="O1" s="765"/>
    </row>
    <row r="2" spans="1:15" ht="28.5" customHeight="1">
      <c r="A2" s="1" t="s">
        <v>0</v>
      </c>
      <c r="B2" s="1" t="s">
        <v>0</v>
      </c>
      <c r="C2" s="264" t="s">
        <v>1</v>
      </c>
      <c r="D2" s="4" t="s">
        <v>4</v>
      </c>
      <c r="E2" s="767" t="s">
        <v>6</v>
      </c>
      <c r="F2" s="767"/>
      <c r="G2" s="767"/>
      <c r="H2" s="773" t="s">
        <v>14</v>
      </c>
      <c r="I2" s="773"/>
      <c r="J2" s="773"/>
      <c r="K2" s="264" t="s">
        <v>15</v>
      </c>
      <c r="L2" s="773" t="s">
        <v>16</v>
      </c>
      <c r="M2" s="773"/>
      <c r="N2" s="773"/>
      <c r="O2" s="264" t="s">
        <v>17</v>
      </c>
    </row>
    <row r="3" spans="1:15" s="15" customFormat="1" ht="38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>
      <c r="A4" s="16">
        <v>1</v>
      </c>
      <c r="B4" s="17">
        <v>1</v>
      </c>
      <c r="C4" s="18"/>
      <c r="D4" s="19">
        <f>'1'!F8</f>
        <v>830039</v>
      </c>
      <c r="E4" s="19">
        <f>'1'!G97</f>
        <v>0.29640435297601436</v>
      </c>
      <c r="F4" s="19">
        <f>'1'!F142</f>
        <v>30700</v>
      </c>
      <c r="G4" s="21">
        <f>E4*F4</f>
        <v>9099.6136363636415</v>
      </c>
      <c r="H4" s="19">
        <f>'1'!G68</f>
        <v>15</v>
      </c>
      <c r="I4" s="19">
        <f>'1'!G69</f>
        <v>5</v>
      </c>
      <c r="J4" s="19">
        <f>'1'!G70</f>
        <v>24</v>
      </c>
      <c r="K4" s="23">
        <f>H4+I4</f>
        <v>20</v>
      </c>
      <c r="L4" s="19">
        <f>'1'!G71</f>
        <v>245</v>
      </c>
      <c r="M4" s="19">
        <f>'1'!G72</f>
        <v>0</v>
      </c>
      <c r="N4" s="19">
        <v>0</v>
      </c>
      <c r="O4" s="23">
        <f>L4+M4+N4</f>
        <v>245</v>
      </c>
    </row>
    <row r="5" spans="1:15">
      <c r="A5" s="16">
        <v>2</v>
      </c>
      <c r="B5" s="26">
        <v>2</v>
      </c>
      <c r="C5" s="26"/>
      <c r="D5" s="19">
        <f>'2'!F8</f>
        <v>858615</v>
      </c>
      <c r="E5" s="19">
        <f>'2'!G96</f>
        <v>8374</v>
      </c>
      <c r="F5" s="19">
        <f>'2'!F123</f>
        <v>11542</v>
      </c>
      <c r="G5" s="21">
        <f t="shared" ref="G5:G18" si="0">E5*F5</f>
        <v>96652708</v>
      </c>
      <c r="H5" s="19">
        <f>'2'!G68</f>
        <v>17</v>
      </c>
      <c r="I5" s="19">
        <f>'2'!G69</f>
        <v>10</v>
      </c>
      <c r="J5" s="19">
        <f>'2'!G70</f>
        <v>8</v>
      </c>
      <c r="K5" s="23">
        <f t="shared" ref="K5:K18" si="1">H5+I5</f>
        <v>27</v>
      </c>
      <c r="L5" s="19">
        <f>'2'!G71</f>
        <v>233</v>
      </c>
      <c r="M5" s="19">
        <f>'2'!G72</f>
        <v>0</v>
      </c>
      <c r="N5" s="19">
        <v>0</v>
      </c>
      <c r="O5" s="23">
        <f t="shared" ref="O5:O18" si="2">L5+M5+N5</f>
        <v>233</v>
      </c>
    </row>
    <row r="6" spans="1:15">
      <c r="A6" s="16">
        <v>3</v>
      </c>
      <c r="B6" s="26">
        <v>3</v>
      </c>
      <c r="C6" s="26"/>
      <c r="D6" s="19">
        <f>'4'!F8</f>
        <v>915840</v>
      </c>
      <c r="E6" s="19">
        <f>'3'!G96</f>
        <v>8347</v>
      </c>
      <c r="F6" s="19">
        <f>'3'!F123</f>
        <v>11869</v>
      </c>
      <c r="G6" s="21">
        <f t="shared" si="0"/>
        <v>99070543</v>
      </c>
      <c r="H6" s="19">
        <f>'4'!G68</f>
        <v>29</v>
      </c>
      <c r="I6" s="19">
        <f>'4'!G69</f>
        <v>28</v>
      </c>
      <c r="J6" s="19">
        <f>'4'!G70</f>
        <v>7</v>
      </c>
      <c r="K6" s="23">
        <f t="shared" si="1"/>
        <v>57</v>
      </c>
      <c r="L6" s="19">
        <f>'4'!G71</f>
        <v>302</v>
      </c>
      <c r="M6" s="19">
        <f>'4'!G72</f>
        <v>0</v>
      </c>
      <c r="N6" s="19">
        <v>0</v>
      </c>
      <c r="O6" s="23">
        <f t="shared" si="2"/>
        <v>302</v>
      </c>
    </row>
    <row r="7" spans="1:15">
      <c r="A7" s="16">
        <v>4</v>
      </c>
      <c r="B7" s="27">
        <v>4</v>
      </c>
      <c r="C7" s="27"/>
      <c r="D7" s="19">
        <f>'3'!F8</f>
        <v>887428</v>
      </c>
      <c r="E7" s="19">
        <f>'4'!G96</f>
        <v>7679</v>
      </c>
      <c r="F7" s="19">
        <f>'1'!F142</f>
        <v>30700</v>
      </c>
      <c r="G7" s="21">
        <f t="shared" si="0"/>
        <v>235745300</v>
      </c>
      <c r="H7" s="19">
        <f>'3'!G68</f>
        <v>15</v>
      </c>
      <c r="I7" s="19">
        <f>'3'!G69</f>
        <v>6</v>
      </c>
      <c r="J7" s="19">
        <f>'3'!G70</f>
        <v>8</v>
      </c>
      <c r="K7" s="23">
        <f t="shared" si="1"/>
        <v>21</v>
      </c>
      <c r="L7" s="19">
        <f>'3'!G71</f>
        <v>249</v>
      </c>
      <c r="M7" s="19">
        <f>'3'!G72</f>
        <v>0</v>
      </c>
      <c r="N7" s="19">
        <v>0</v>
      </c>
      <c r="O7" s="23">
        <f t="shared" si="2"/>
        <v>249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30700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974275</v>
      </c>
      <c r="E9" s="19">
        <f>'6'!G96</f>
        <v>9008</v>
      </c>
      <c r="F9" s="19">
        <f>'1'!F142</f>
        <v>30700</v>
      </c>
      <c r="G9" s="21">
        <f t="shared" si="0"/>
        <v>276545600</v>
      </c>
      <c r="H9" s="19">
        <f>'6'!G68</f>
        <v>17</v>
      </c>
      <c r="I9" s="19">
        <f>'6'!G69</f>
        <v>12</v>
      </c>
      <c r="J9" s="19">
        <f>'6'!G70</f>
        <v>4</v>
      </c>
      <c r="K9" s="23">
        <f t="shared" si="1"/>
        <v>29</v>
      </c>
      <c r="L9" s="19">
        <f>'6'!G71</f>
        <v>176</v>
      </c>
      <c r="M9" s="19">
        <f>'6'!G72</f>
        <v>0</v>
      </c>
      <c r="N9" s="19">
        <v>0</v>
      </c>
      <c r="O9" s="23">
        <f t="shared" si="2"/>
        <v>176</v>
      </c>
    </row>
    <row r="10" spans="1:15">
      <c r="A10" s="16">
        <v>7</v>
      </c>
      <c r="B10" s="26">
        <v>7</v>
      </c>
      <c r="C10" s="27"/>
      <c r="D10" s="19">
        <f>'7'!F8</f>
        <v>1002795</v>
      </c>
      <c r="E10" s="19">
        <f>'7'!G96</f>
        <v>8056.1999999999971</v>
      </c>
      <c r="F10" s="19">
        <f>'1'!F142</f>
        <v>30700</v>
      </c>
      <c r="G10" s="21">
        <f t="shared" si="0"/>
        <v>247325339.99999991</v>
      </c>
      <c r="H10" s="19">
        <f>'7'!G68</f>
        <v>21</v>
      </c>
      <c r="I10" s="19">
        <f>'7'!G69</f>
        <v>25</v>
      </c>
      <c r="J10" s="19">
        <f>'7'!G70</f>
        <v>6</v>
      </c>
      <c r="K10" s="23">
        <f t="shared" si="1"/>
        <v>46</v>
      </c>
      <c r="L10" s="19">
        <f>'7'!G71</f>
        <v>256</v>
      </c>
      <c r="M10" s="19">
        <f>'7'!G72</f>
        <v>0</v>
      </c>
      <c r="N10" s="19">
        <v>0</v>
      </c>
      <c r="O10" s="23">
        <f t="shared" si="2"/>
        <v>256</v>
      </c>
    </row>
    <row r="11" spans="1:15">
      <c r="A11" s="16">
        <v>8</v>
      </c>
      <c r="B11" s="26">
        <v>8</v>
      </c>
      <c r="C11" s="18"/>
      <c r="D11" s="19">
        <f>'8'!F8</f>
        <v>1028046.66</v>
      </c>
      <c r="E11" s="19">
        <f>'8'!G96</f>
        <v>2008</v>
      </c>
      <c r="F11" s="19">
        <f>'1'!F142</f>
        <v>30700</v>
      </c>
      <c r="G11" s="21">
        <f t="shared" si="0"/>
        <v>61645600</v>
      </c>
      <c r="H11" s="19">
        <f>'8'!G68</f>
        <v>31</v>
      </c>
      <c r="I11" s="19">
        <f>'8'!G69</f>
        <v>8</v>
      </c>
      <c r="J11" s="19">
        <f>'8'!G70</f>
        <v>6</v>
      </c>
      <c r="K11" s="23">
        <f t="shared" si="1"/>
        <v>39</v>
      </c>
      <c r="L11" s="19">
        <f>'8'!G71</f>
        <v>175</v>
      </c>
      <c r="M11" s="19">
        <f>'8'!G72</f>
        <v>0</v>
      </c>
      <c r="N11" s="19">
        <v>0</v>
      </c>
      <c r="O11" s="23">
        <f t="shared" si="2"/>
        <v>175</v>
      </c>
    </row>
    <row r="12" spans="1:15">
      <c r="A12" s="16">
        <v>9</v>
      </c>
      <c r="B12" s="27">
        <v>9</v>
      </c>
      <c r="C12" s="26"/>
      <c r="D12" s="19">
        <f>'9 taken physical reading &amp; Adj'!F8</f>
        <v>65526</v>
      </c>
      <c r="E12" s="19">
        <f>'9 taken physical reading &amp; Adj'!G96</f>
        <v>13570.419999999984</v>
      </c>
      <c r="F12" s="19">
        <f>'1'!F142</f>
        <v>30700</v>
      </c>
      <c r="G12" s="21">
        <f t="shared" si="0"/>
        <v>416611893.99999952</v>
      </c>
      <c r="H12" s="19">
        <f>'9 taken physical reading &amp; Adj'!G68</f>
        <v>40</v>
      </c>
      <c r="I12" s="19">
        <f>'9 taken physical reading &amp; Adj'!G69</f>
        <v>8</v>
      </c>
      <c r="J12" s="19">
        <f>'9 taken physical reading &amp; Adj'!G70</f>
        <v>9</v>
      </c>
      <c r="K12" s="23">
        <f t="shared" si="1"/>
        <v>48</v>
      </c>
      <c r="L12" s="19">
        <f>'9 taken physical reading &amp; Adj'!G71</f>
        <v>222</v>
      </c>
      <c r="M12" s="19">
        <f>'9 taken physical reading &amp; Adj'!G72</f>
        <v>0</v>
      </c>
      <c r="N12" s="19">
        <v>0</v>
      </c>
      <c r="O12" s="23">
        <f t="shared" si="2"/>
        <v>222</v>
      </c>
    </row>
    <row r="13" spans="1:15">
      <c r="A13" s="16">
        <v>10</v>
      </c>
      <c r="B13" s="27">
        <v>10</v>
      </c>
      <c r="C13" s="26"/>
      <c r="D13" s="19">
        <f>'10'!F8</f>
        <v>96536</v>
      </c>
      <c r="E13" s="19">
        <f>'10'!G96</f>
        <v>10623.720000000045</v>
      </c>
      <c r="F13" s="19">
        <f>'1'!F142</f>
        <v>30700</v>
      </c>
      <c r="G13" s="21">
        <f t="shared" si="0"/>
        <v>326148204.00000137</v>
      </c>
      <c r="H13" s="19">
        <f>'10'!G68</f>
        <v>31</v>
      </c>
      <c r="I13" s="19">
        <f>'10'!G69</f>
        <v>10</v>
      </c>
      <c r="J13" s="19">
        <f>'10'!G70</f>
        <v>15</v>
      </c>
      <c r="K13" s="23">
        <f t="shared" si="1"/>
        <v>41</v>
      </c>
      <c r="L13" s="19">
        <f>'10'!G71</f>
        <v>197</v>
      </c>
      <c r="M13" s="19">
        <f>'10'!G72</f>
        <v>0</v>
      </c>
      <c r="N13" s="19">
        <v>0</v>
      </c>
      <c r="O13" s="23">
        <f t="shared" si="2"/>
        <v>197</v>
      </c>
    </row>
    <row r="14" spans="1:15">
      <c r="A14" s="16">
        <v>11</v>
      </c>
      <c r="B14" s="17">
        <v>11</v>
      </c>
      <c r="C14" s="27"/>
      <c r="D14" s="19">
        <f>'11'!F8</f>
        <v>125287</v>
      </c>
      <c r="E14" s="19">
        <f>'11'!G96</f>
        <v>9978.8499999999331</v>
      </c>
      <c r="F14" s="19">
        <f>'1'!F142</f>
        <v>30700</v>
      </c>
      <c r="G14" s="21">
        <f t="shared" si="0"/>
        <v>306350694.99999797</v>
      </c>
      <c r="H14" s="19">
        <f>'11'!G68</f>
        <v>36</v>
      </c>
      <c r="I14" s="19">
        <f>'11'!G69</f>
        <v>8</v>
      </c>
      <c r="J14" s="19">
        <f>'11'!G70</f>
        <v>8</v>
      </c>
      <c r="K14" s="23">
        <f t="shared" si="1"/>
        <v>44</v>
      </c>
      <c r="L14" s="19">
        <f>'11'!G71</f>
        <v>214</v>
      </c>
      <c r="M14" s="19">
        <f>'11'!G72</f>
        <v>0</v>
      </c>
      <c r="N14" s="19">
        <v>0</v>
      </c>
      <c r="O14" s="23">
        <f t="shared" si="2"/>
        <v>214</v>
      </c>
    </row>
    <row r="15" spans="1:15">
      <c r="A15" s="16">
        <v>12</v>
      </c>
      <c r="B15" s="26">
        <v>12</v>
      </c>
      <c r="C15" s="27"/>
      <c r="D15" s="19">
        <f>'12'!F8</f>
        <v>155363</v>
      </c>
      <c r="E15" s="19">
        <f>'12'!G96</f>
        <v>10292.750000000044</v>
      </c>
      <c r="F15" s="19">
        <f>'1'!F142</f>
        <v>30700</v>
      </c>
      <c r="G15" s="20">
        <f t="shared" si="0"/>
        <v>315987425.00000131</v>
      </c>
      <c r="H15" s="19">
        <f>'12'!G68</f>
        <v>37</v>
      </c>
      <c r="I15" s="19">
        <f>'12'!G69</f>
        <v>8</v>
      </c>
      <c r="J15" s="19">
        <f>'12'!G70</f>
        <v>7</v>
      </c>
      <c r="K15" s="23">
        <f t="shared" si="1"/>
        <v>45</v>
      </c>
      <c r="L15" s="19">
        <f>'12'!G71</f>
        <v>190</v>
      </c>
      <c r="M15" s="19">
        <f>'12'!G72</f>
        <v>0</v>
      </c>
      <c r="N15" s="19">
        <v>0</v>
      </c>
      <c r="O15" s="23">
        <f t="shared" si="2"/>
        <v>190</v>
      </c>
    </row>
    <row r="16" spans="1:15">
      <c r="A16" s="16">
        <v>13</v>
      </c>
      <c r="B16" s="26">
        <v>13</v>
      </c>
      <c r="C16" s="26"/>
      <c r="D16" s="19">
        <f>'13'!F8</f>
        <v>184096</v>
      </c>
      <c r="E16" s="19">
        <f>'13'!G96</f>
        <v>9751</v>
      </c>
      <c r="F16" s="19">
        <f>'1'!F142</f>
        <v>30700</v>
      </c>
      <c r="G16" s="20">
        <f t="shared" si="0"/>
        <v>299355700</v>
      </c>
      <c r="H16" s="19">
        <f>'13'!G68</f>
        <v>38</v>
      </c>
      <c r="I16" s="19">
        <f>'13'!G69</f>
        <v>7</v>
      </c>
      <c r="J16" s="19">
        <f>'13'!G70</f>
        <v>8</v>
      </c>
      <c r="K16" s="23">
        <f t="shared" si="1"/>
        <v>45</v>
      </c>
      <c r="L16" s="19">
        <f>'13'!G71</f>
        <v>212</v>
      </c>
      <c r="M16" s="19">
        <f>'13'!G72</f>
        <v>0</v>
      </c>
      <c r="N16" s="19">
        <v>0</v>
      </c>
      <c r="O16" s="23">
        <f t="shared" si="2"/>
        <v>212</v>
      </c>
    </row>
    <row r="17" spans="1:15">
      <c r="A17" s="16">
        <v>14</v>
      </c>
      <c r="B17" s="17">
        <v>14</v>
      </c>
      <c r="C17" s="27"/>
      <c r="D17" s="19">
        <f>'14'!F8</f>
        <v>213347</v>
      </c>
      <c r="E17" s="19">
        <f>'14'!G96</f>
        <v>9169.3999999999942</v>
      </c>
      <c r="F17" s="19">
        <f>'1'!F142</f>
        <v>30700</v>
      </c>
      <c r="G17" s="20">
        <f t="shared" si="0"/>
        <v>281500579.99999982</v>
      </c>
      <c r="H17" s="19">
        <f>'14'!G68</f>
        <v>40</v>
      </c>
      <c r="I17" s="19">
        <f>'14'!G69</f>
        <v>7</v>
      </c>
      <c r="J17" s="19">
        <f>'14'!G71</f>
        <v>214</v>
      </c>
      <c r="K17" s="23">
        <f t="shared" si="1"/>
        <v>47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>
      <c r="A18" s="16">
        <v>15</v>
      </c>
      <c r="B18" s="26">
        <v>15</v>
      </c>
      <c r="C18" s="18"/>
      <c r="D18" s="19">
        <f>'15'!F8</f>
        <v>242008</v>
      </c>
      <c r="E18" s="19">
        <f>'15'!G96</f>
        <v>9511</v>
      </c>
      <c r="F18" s="19">
        <f>'1'!F142</f>
        <v>30700</v>
      </c>
      <c r="G18" s="20">
        <f t="shared" si="0"/>
        <v>291987700</v>
      </c>
      <c r="H18" s="19">
        <f>'15'!G68</f>
        <v>33</v>
      </c>
      <c r="I18" s="19">
        <f>'15'!G69</f>
        <v>22</v>
      </c>
      <c r="J18" s="19">
        <f>'15'!G71</f>
        <v>186</v>
      </c>
      <c r="K18" s="23">
        <f t="shared" si="1"/>
        <v>55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183"/>
  <sheetViews>
    <sheetView topLeftCell="A91" zoomScale="50" zoomScaleNormal="50" workbookViewId="0">
      <selection activeCell="Q117" sqref="Q117:R120"/>
    </sheetView>
  </sheetViews>
  <sheetFormatPr defaultColWidth="22.33203125" defaultRowHeight="33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>
      <c r="A1" s="876" t="s">
        <v>115</v>
      </c>
      <c r="B1" s="877"/>
      <c r="C1" s="877"/>
      <c r="D1" s="877"/>
      <c r="E1" s="877"/>
      <c r="F1" s="877"/>
      <c r="G1" s="877"/>
      <c r="H1" s="877"/>
      <c r="I1" s="877"/>
      <c r="J1" s="878"/>
    </row>
    <row r="2" spans="1:17" s="57" customFormat="1" ht="33" customHeight="1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>
      <c r="A3" s="189"/>
      <c r="B3" s="221"/>
      <c r="C3" s="324" t="s">
        <v>118</v>
      </c>
      <c r="D3" s="219">
        <v>28</v>
      </c>
      <c r="E3" s="885" t="s">
        <v>119</v>
      </c>
      <c r="F3" s="886"/>
      <c r="G3" s="101"/>
      <c r="H3" s="102"/>
      <c r="I3" s="102"/>
      <c r="J3" s="222"/>
      <c r="K3" s="61"/>
      <c r="L3" s="58"/>
    </row>
    <row r="4" spans="1:17" s="57" customFormat="1" ht="33" customHeight="1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>
      <c r="A6" s="879" t="s">
        <v>128</v>
      </c>
      <c r="B6" s="880"/>
      <c r="C6" s="881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834255.95</v>
      </c>
      <c r="I7" s="113">
        <f>'1'!I7</f>
        <v>12000</v>
      </c>
      <c r="J7" s="175">
        <f>H7/DAY(B2)</f>
        <v>26911.482258064516</v>
      </c>
      <c r="K7" s="172">
        <v>1375467</v>
      </c>
      <c r="L7" s="66"/>
      <c r="N7" s="87"/>
      <c r="O7" s="71"/>
    </row>
    <row r="8" spans="1:17" ht="33" customHeight="1" thickBot="1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856854.49000000011</v>
      </c>
      <c r="I8" s="116"/>
      <c r="J8" s="175">
        <f>H8/DAY(B2)</f>
        <v>27640.467419354842</v>
      </c>
      <c r="K8" s="172">
        <v>1715917</v>
      </c>
      <c r="L8" s="76">
        <v>1728480</v>
      </c>
      <c r="M8" s="87">
        <f>L8-K8</f>
        <v>12563</v>
      </c>
      <c r="N8" s="87"/>
      <c r="O8" s="71"/>
      <c r="Q8" s="523"/>
    </row>
    <row r="9" spans="1:17" ht="33" customHeight="1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-27748.700000000186</v>
      </c>
      <c r="I9" s="124"/>
      <c r="J9" s="175">
        <f>H9/DAY(B2)</f>
        <v>-895.11935483871571</v>
      </c>
      <c r="K9" s="79">
        <f>K8-100</f>
        <v>1715817</v>
      </c>
      <c r="L9" s="66"/>
      <c r="N9" s="87"/>
      <c r="O9" s="71"/>
      <c r="Q9" s="524"/>
    </row>
    <row r="10" spans="1:17" ht="33" customHeight="1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-21376.199999999953</v>
      </c>
      <c r="I10" s="282"/>
      <c r="J10" s="175"/>
      <c r="K10" s="79"/>
      <c r="L10" s="66"/>
      <c r="N10" s="87"/>
      <c r="O10" s="71"/>
      <c r="Q10" s="66"/>
    </row>
    <row r="11" spans="1:17" ht="33" customHeight="1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0</v>
      </c>
      <c r="I11" s="282"/>
      <c r="J11" s="175"/>
      <c r="K11" s="79"/>
      <c r="L11" s="66"/>
      <c r="N11" s="87"/>
      <c r="O11" s="71"/>
    </row>
    <row r="12" spans="1:17" ht="33" customHeight="1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0</v>
      </c>
      <c r="I12" s="282"/>
      <c r="J12" s="175"/>
      <c r="K12" s="79"/>
      <c r="L12" s="66"/>
      <c r="N12" s="87"/>
      <c r="O12" s="71"/>
    </row>
    <row r="13" spans="1:17" ht="33" customHeight="1">
      <c r="A13" s="194" t="s">
        <v>133</v>
      </c>
      <c r="B13" s="195"/>
      <c r="C13" s="195"/>
      <c r="D13" s="151"/>
      <c r="E13" s="95"/>
      <c r="F13" s="117"/>
      <c r="G13" s="112"/>
      <c r="H13" s="99"/>
      <c r="I13" s="282"/>
      <c r="J13" s="175"/>
      <c r="K13" s="79"/>
      <c r="L13" s="66"/>
      <c r="N13" s="87"/>
      <c r="O13" s="71"/>
    </row>
    <row r="14" spans="1:17" ht="33" customHeight="1">
      <c r="A14" s="201" t="s">
        <v>136</v>
      </c>
      <c r="B14" s="522"/>
      <c r="C14" s="522"/>
      <c r="D14" s="151"/>
      <c r="E14" s="95"/>
      <c r="F14" s="95"/>
      <c r="G14" s="119">
        <f>G9+G10+G11+G12</f>
        <v>0</v>
      </c>
      <c r="H14" s="99">
        <f>G14+'30'!H13</f>
        <v>-49263.90000000014</v>
      </c>
      <c r="I14" s="120">
        <f>G7-G14</f>
        <v>0</v>
      </c>
      <c r="J14" s="175">
        <f>H14/DAY(B2)</f>
        <v>-1589.1580645161334</v>
      </c>
      <c r="K14" s="79"/>
      <c r="L14" s="66"/>
      <c r="N14" s="87"/>
      <c r="O14" s="71"/>
    </row>
    <row r="15" spans="1:17" ht="33" customHeight="1">
      <c r="A15" s="882" t="s">
        <v>137</v>
      </c>
      <c r="B15" s="883"/>
      <c r="C15" s="884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>
      <c r="A16" s="322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>
        <f>G16+'30'!H15</f>
        <v>31945.290000000037</v>
      </c>
      <c r="I16" s="113">
        <f>'1'!I15</f>
        <v>800</v>
      </c>
      <c r="J16" s="175">
        <f>H16/DAY(B2)</f>
        <v>1030.4932258064528</v>
      </c>
      <c r="K16" s="79"/>
      <c r="L16" s="66"/>
      <c r="N16" s="87"/>
      <c r="O16" s="71"/>
    </row>
    <row r="17" spans="1:15" ht="33" customHeight="1">
      <c r="A17" s="203"/>
      <c r="B17" s="204"/>
      <c r="C17" s="204"/>
      <c r="D17" s="152"/>
      <c r="E17" s="123"/>
      <c r="F17" s="123"/>
      <c r="G17" s="112"/>
      <c r="H17" s="124"/>
      <c r="I17" s="120">
        <f>I16-J16</f>
        <v>-230.49322580645276</v>
      </c>
      <c r="J17" s="176"/>
      <c r="K17" s="79"/>
      <c r="L17" s="66"/>
      <c r="N17" s="87"/>
      <c r="O17" s="71"/>
    </row>
    <row r="18" spans="1:15" ht="33" customHeight="1">
      <c r="A18" s="882" t="s">
        <v>140</v>
      </c>
      <c r="B18" s="883"/>
      <c r="C18" s="884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>
      <c r="A19" s="873" t="s">
        <v>141</v>
      </c>
      <c r="B19" s="874"/>
      <c r="C19" s="875"/>
      <c r="D19" s="151" t="s">
        <v>142</v>
      </c>
      <c r="E19" s="95">
        <f>'30'!F18</f>
        <v>23</v>
      </c>
      <c r="F19" s="122">
        <v>14</v>
      </c>
      <c r="G19" s="119">
        <f>F19*10</f>
        <v>140</v>
      </c>
      <c r="H19" s="99">
        <f>G19+'30'!H18</f>
        <v>6480</v>
      </c>
      <c r="I19" s="113">
        <f>'1'!I18</f>
        <v>65</v>
      </c>
      <c r="J19" s="175">
        <f>H19/DAY(B2)</f>
        <v>209.03225806451613</v>
      </c>
      <c r="K19" s="79"/>
      <c r="L19" s="66"/>
      <c r="N19" s="87"/>
      <c r="O19" s="71"/>
    </row>
    <row r="20" spans="1:15" ht="33" customHeight="1">
      <c r="A20" s="873" t="s">
        <v>69</v>
      </c>
      <c r="B20" s="874"/>
      <c r="C20" s="875"/>
      <c r="D20" s="151" t="s">
        <v>142</v>
      </c>
      <c r="E20" s="95">
        <f>'30'!F19</f>
        <v>160057</v>
      </c>
      <c r="F20" s="122">
        <v>145338</v>
      </c>
      <c r="G20" s="112">
        <f t="shared" ref="G20" si="0">F20-E20</f>
        <v>-14719</v>
      </c>
      <c r="H20" s="99">
        <f>G20+'30'!H19</f>
        <v>-14003</v>
      </c>
      <c r="I20" s="335"/>
      <c r="J20" s="175">
        <f>H20/DAY(B2)</f>
        <v>-451.70967741935482</v>
      </c>
      <c r="K20" s="79"/>
      <c r="L20" s="66"/>
      <c r="N20" s="87"/>
      <c r="O20" s="71"/>
    </row>
    <row r="21" spans="1:15" ht="33" customHeight="1">
      <c r="A21" s="201" t="s">
        <v>143</v>
      </c>
      <c r="B21" s="202"/>
      <c r="C21" s="202"/>
      <c r="D21" s="126"/>
      <c r="E21" s="126"/>
      <c r="F21" s="126"/>
      <c r="G21" s="127">
        <f>G19+G20</f>
        <v>-14579</v>
      </c>
      <c r="H21" s="99">
        <f>G21+'30'!H20</f>
        <v>-7523</v>
      </c>
      <c r="I21" s="336">
        <f>I19-J21</f>
        <v>307.67741935483872</v>
      </c>
      <c r="J21" s="175">
        <f>H21/DAY(B2)</f>
        <v>-242.67741935483872</v>
      </c>
      <c r="K21" s="79"/>
      <c r="L21" s="66"/>
      <c r="N21" s="87"/>
      <c r="O21" s="71"/>
    </row>
    <row r="22" spans="1:15" ht="33" customHeight="1">
      <c r="A22" s="882" t="s">
        <v>144</v>
      </c>
      <c r="B22" s="883"/>
      <c r="C22" s="884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>
      <c r="A23" s="322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>
      <c r="A24" s="322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ht="33" customHeight="1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0</v>
      </c>
      <c r="I25" s="118"/>
      <c r="J25" s="175">
        <f>H25/DAY(B2)</f>
        <v>0</v>
      </c>
      <c r="K25" s="79"/>
      <c r="L25" s="66"/>
      <c r="N25" s="87"/>
      <c r="O25" s="71"/>
    </row>
    <row r="26" spans="1:15" s="88" customFormat="1" ht="33" customHeight="1">
      <c r="A26" s="887" t="s">
        <v>149</v>
      </c>
      <c r="B26" s="888"/>
      <c r="C26" s="889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7711690.4100000011</v>
      </c>
      <c r="I28" s="138"/>
      <c r="J28" s="175">
        <f>H28/DAY(B2)</f>
        <v>248764.20677419359</v>
      </c>
      <c r="K28" s="63"/>
      <c r="L28" s="89"/>
      <c r="N28" s="87"/>
      <c r="O28" s="71"/>
    </row>
    <row r="29" spans="1:15" s="88" customFormat="1" ht="33" customHeight="1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>
        <f>G29+'30'!H28</f>
        <v>2132709.9000000018</v>
      </c>
      <c r="I29" s="140"/>
      <c r="J29" s="175">
        <f>H29/DAY(B2)</f>
        <v>68797.093548387158</v>
      </c>
      <c r="K29" s="63"/>
      <c r="L29" s="89"/>
      <c r="N29" s="87"/>
      <c r="O29" s="71"/>
    </row>
    <row r="30" spans="1:15" s="88" customFormat="1" ht="33" customHeight="1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0</v>
      </c>
      <c r="I30" s="140"/>
      <c r="J30" s="175">
        <f>H30/DAY(B2)</f>
        <v>0</v>
      </c>
      <c r="K30" s="63"/>
      <c r="L30" s="89"/>
      <c r="N30" s="87"/>
      <c r="O30" s="71"/>
    </row>
    <row r="31" spans="1:15" s="88" customFormat="1" ht="33" customHeight="1">
      <c r="A31" s="208" t="s">
        <v>156</v>
      </c>
      <c r="B31" s="209"/>
      <c r="C31" s="210"/>
      <c r="D31" s="226" t="s">
        <v>157</v>
      </c>
      <c r="E31" s="141">
        <f>G20</f>
        <v>-14719</v>
      </c>
      <c r="F31" s="136">
        <v>146</v>
      </c>
      <c r="G31" s="137">
        <f>E31*F31</f>
        <v>-2148974</v>
      </c>
      <c r="H31" s="99">
        <f>G31+'30'!H30</f>
        <v>-2041873</v>
      </c>
      <c r="I31" s="140"/>
      <c r="J31" s="175">
        <f>H31/DAY(B2)</f>
        <v>-65866.870967741939</v>
      </c>
      <c r="K31" s="63"/>
      <c r="L31" s="89"/>
      <c r="N31" s="87"/>
      <c r="O31" s="71"/>
    </row>
    <row r="32" spans="1:15" s="88" customFormat="1" ht="33" customHeight="1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518400</v>
      </c>
      <c r="I32" s="140"/>
      <c r="J32" s="175">
        <f>H32/DAY(B2)</f>
        <v>16722.580645161292</v>
      </c>
      <c r="K32" s="63"/>
      <c r="L32" s="89"/>
      <c r="N32" s="87"/>
      <c r="O32" s="71"/>
    </row>
    <row r="33" spans="1:15" s="88" customFormat="1" ht="33" customHeight="1">
      <c r="A33" s="211" t="s">
        <v>159</v>
      </c>
      <c r="B33" s="212"/>
      <c r="C33" s="213"/>
      <c r="D33" s="142"/>
      <c r="E33" s="142"/>
      <c r="F33" s="142"/>
      <c r="G33" s="143">
        <f>G28+G29+G30+G31+G32</f>
        <v>-2098826</v>
      </c>
      <c r="H33" s="99">
        <f>G33+'30'!H32</f>
        <v>8320927.3100000024</v>
      </c>
      <c r="I33" s="144"/>
      <c r="J33" s="175">
        <f>H33/DAY(B2)</f>
        <v>268417.01000000007</v>
      </c>
      <c r="K33" s="63"/>
      <c r="L33" s="89"/>
      <c r="N33" s="87"/>
      <c r="O33" s="71"/>
    </row>
    <row r="34" spans="1:15" ht="33" customHeight="1">
      <c r="A34" s="890" t="s">
        <v>331</v>
      </c>
      <c r="B34" s="891"/>
      <c r="C34" s="891"/>
      <c r="D34" s="337"/>
      <c r="E34" s="337"/>
      <c r="F34" s="337"/>
      <c r="G34" s="337"/>
      <c r="H34" s="337"/>
      <c r="I34" s="337"/>
      <c r="J34" s="338"/>
      <c r="K34" s="79"/>
      <c r="L34" s="66"/>
      <c r="N34" s="87"/>
      <c r="O34" s="71"/>
    </row>
    <row r="35" spans="1:15" ht="33" customHeight="1">
      <c r="A35" s="214" t="s">
        <v>160</v>
      </c>
      <c r="B35" s="326"/>
      <c r="C35" s="326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0</v>
      </c>
      <c r="I36" s="95"/>
      <c r="J36" s="175">
        <f>H36/DAY(B2)</f>
        <v>0</v>
      </c>
      <c r="K36" s="79"/>
      <c r="L36" s="66"/>
      <c r="N36" s="87"/>
      <c r="O36" s="71"/>
    </row>
    <row r="37" spans="1:15" ht="33" customHeight="1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-129</v>
      </c>
      <c r="I37" s="95"/>
      <c r="J37" s="175">
        <f>H37/DAY(B2)</f>
        <v>-4.161290322580645</v>
      </c>
      <c r="K37" s="79"/>
      <c r="L37" s="66"/>
      <c r="N37" s="87"/>
      <c r="O37" s="344"/>
    </row>
    <row r="38" spans="1:15" ht="33" customHeight="1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-627</v>
      </c>
      <c r="I38" s="95"/>
      <c r="J38" s="175">
        <f>H38/DAY(B2)</f>
        <v>-20.225806451612904</v>
      </c>
      <c r="K38" s="79"/>
      <c r="L38" s="66"/>
      <c r="N38" s="87"/>
      <c r="O38" s="234"/>
    </row>
    <row r="39" spans="1:15" ht="33" customHeight="1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-2616</v>
      </c>
      <c r="I39" s="95"/>
      <c r="J39" s="175">
        <f>H39/DAY(B2)</f>
        <v>-84.387096774193552</v>
      </c>
      <c r="K39" s="79"/>
      <c r="L39" s="66"/>
      <c r="N39" s="87"/>
      <c r="O39" s="71"/>
    </row>
    <row r="40" spans="1:15" ht="33" customHeight="1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-2375.9099999999744</v>
      </c>
      <c r="I40" s="95"/>
      <c r="J40" s="175">
        <f>H40/DAY(B2)</f>
        <v>-76.642258064515303</v>
      </c>
      <c r="K40" s="79"/>
      <c r="L40" s="66"/>
      <c r="N40" s="87"/>
      <c r="O40" s="71"/>
    </row>
    <row r="41" spans="1:15" ht="33" customHeight="1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98</v>
      </c>
      <c r="I41" s="95"/>
      <c r="J41" s="175">
        <f>H41/DAY(B2)</f>
        <v>3.161290322580645</v>
      </c>
      <c r="K41" s="80"/>
      <c r="L41" s="66"/>
      <c r="N41" s="87"/>
      <c r="O41" s="71"/>
    </row>
    <row r="42" spans="1:15" ht="33" customHeight="1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33" customHeight="1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-3552</v>
      </c>
      <c r="I43" s="95"/>
      <c r="J43" s="175">
        <f>H43/DAY(B2)</f>
        <v>-114.58064516129032</v>
      </c>
      <c r="K43" s="79"/>
      <c r="L43" s="66"/>
      <c r="N43" s="87"/>
      <c r="O43" s="71"/>
    </row>
    <row r="44" spans="1:15" ht="33" customHeight="1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2495</v>
      </c>
      <c r="I44" s="95"/>
      <c r="J44" s="175">
        <f>H44/DAY(B2)</f>
        <v>80.483870967741936</v>
      </c>
      <c r="K44" s="79"/>
      <c r="L44" s="66"/>
      <c r="N44" s="87"/>
      <c r="O44" s="71"/>
    </row>
    <row r="45" spans="1:15" ht="33" customHeight="1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-6706.9100000000471</v>
      </c>
      <c r="I48" s="95"/>
      <c r="J48" s="175">
        <f>H48/DAY(B2)</f>
        <v>-216.3519354838725</v>
      </c>
      <c r="K48" s="79"/>
      <c r="L48" s="66"/>
      <c r="N48" s="87"/>
      <c r="O48" s="71"/>
    </row>
    <row r="49" spans="1:15" ht="33" customHeight="1">
      <c r="A49" s="214" t="s">
        <v>174</v>
      </c>
      <c r="B49" s="326"/>
      <c r="C49" s="326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>
      <c r="A50" s="194" t="s">
        <v>161</v>
      </c>
      <c r="B50" s="217"/>
      <c r="C50" s="217"/>
      <c r="D50" s="151" t="s">
        <v>130</v>
      </c>
      <c r="E50" s="95">
        <f>'30'!F49</f>
        <v>253417</v>
      </c>
      <c r="F50" s="145">
        <v>419822</v>
      </c>
      <c r="G50" s="112">
        <f t="shared" ref="G50:G59" si="3">F50-E50</f>
        <v>166405</v>
      </c>
      <c r="H50" s="99">
        <f>G50+'30'!H49</f>
        <v>159675</v>
      </c>
      <c r="I50" s="95"/>
      <c r="J50" s="175">
        <f>H50/DAY(B2)</f>
        <v>5150.8064516129034</v>
      </c>
      <c r="K50" s="79"/>
      <c r="L50" s="66"/>
      <c r="N50" s="87"/>
      <c r="O50" s="71"/>
    </row>
    <row r="51" spans="1:15" ht="33" customHeight="1">
      <c r="A51" s="194" t="s">
        <v>175</v>
      </c>
      <c r="B51" s="217"/>
      <c r="C51" s="217"/>
      <c r="D51" s="151" t="s">
        <v>130</v>
      </c>
      <c r="E51" s="95">
        <f>'30'!F50</f>
        <v>208631</v>
      </c>
      <c r="F51" s="145">
        <v>607298</v>
      </c>
      <c r="G51" s="112">
        <f t="shared" si="3"/>
        <v>398667</v>
      </c>
      <c r="H51" s="99">
        <f>G51+'30'!H50</f>
        <v>397734</v>
      </c>
      <c r="I51" s="95"/>
      <c r="J51" s="175">
        <f>H51/DAY(B2)</f>
        <v>12830.129032258064</v>
      </c>
      <c r="K51" s="79"/>
      <c r="L51" s="66"/>
      <c r="N51" s="87"/>
      <c r="O51" s="71"/>
    </row>
    <row r="52" spans="1:15" ht="33" customHeight="1">
      <c r="A52" s="194" t="s">
        <v>163</v>
      </c>
      <c r="B52" s="217"/>
      <c r="C52" s="217"/>
      <c r="D52" s="151" t="s">
        <v>130</v>
      </c>
      <c r="E52" s="95">
        <f>'30'!F51</f>
        <v>75.680000000000007</v>
      </c>
      <c r="F52" s="145">
        <v>144640</v>
      </c>
      <c r="G52" s="112">
        <f t="shared" si="3"/>
        <v>144564.32</v>
      </c>
      <c r="H52" s="99">
        <f>G52+'30'!H51</f>
        <v>144564.32</v>
      </c>
      <c r="I52" s="95"/>
      <c r="J52" s="175">
        <f>H52/DAY(B2)</f>
        <v>4663.3651612903232</v>
      </c>
      <c r="K52" s="79"/>
      <c r="L52" s="66"/>
      <c r="N52" s="87"/>
      <c r="O52" s="71"/>
    </row>
    <row r="53" spans="1:15" ht="33" customHeight="1">
      <c r="A53" s="194" t="s">
        <v>176</v>
      </c>
      <c r="B53" s="217"/>
      <c r="C53" s="217"/>
      <c r="D53" s="151" t="s">
        <v>130</v>
      </c>
      <c r="E53" s="95">
        <f>'30'!F52</f>
        <v>10</v>
      </c>
      <c r="F53" s="145">
        <v>539606</v>
      </c>
      <c r="G53" s="112">
        <f t="shared" si="3"/>
        <v>539596</v>
      </c>
      <c r="H53" s="99">
        <f>G53+'30'!H52</f>
        <v>539596</v>
      </c>
      <c r="I53" s="95"/>
      <c r="J53" s="175">
        <f>H53/DAY(B2)</f>
        <v>17406.322580645163</v>
      </c>
      <c r="K53" s="79"/>
      <c r="L53" s="66"/>
      <c r="N53" s="87"/>
      <c r="O53" s="71"/>
    </row>
    <row r="54" spans="1:15" ht="33" customHeight="1">
      <c r="A54" s="194" t="s">
        <v>165</v>
      </c>
      <c r="B54" s="217"/>
      <c r="C54" s="217"/>
      <c r="D54" s="151" t="s">
        <v>130</v>
      </c>
      <c r="E54" s="95">
        <f>'30'!F53</f>
        <v>0</v>
      </c>
      <c r="F54" s="145">
        <v>434232</v>
      </c>
      <c r="G54" s="112">
        <f t="shared" si="3"/>
        <v>434232</v>
      </c>
      <c r="H54" s="99">
        <f>G54+'30'!H53</f>
        <v>434232</v>
      </c>
      <c r="I54" s="95"/>
      <c r="J54" s="175">
        <f>H54/DAY(B2)</f>
        <v>14007.483870967742</v>
      </c>
      <c r="K54" s="79"/>
      <c r="L54" s="66"/>
      <c r="N54" s="87"/>
      <c r="O54" s="71"/>
    </row>
    <row r="55" spans="1:15" ht="33" customHeight="1">
      <c r="A55" s="194" t="s">
        <v>177</v>
      </c>
      <c r="B55" s="217"/>
      <c r="C55" s="217"/>
      <c r="D55" s="151" t="s">
        <v>130</v>
      </c>
      <c r="E55" s="95">
        <f>'30'!F54</f>
        <v>64071.6</v>
      </c>
      <c r="F55" s="145">
        <v>14967</v>
      </c>
      <c r="G55" s="112">
        <f t="shared" si="3"/>
        <v>-49104.6</v>
      </c>
      <c r="H55" s="99">
        <f>G55+'30'!H54</f>
        <v>-49589</v>
      </c>
      <c r="I55" s="95"/>
      <c r="J55" s="175">
        <f>H55/DAY(B2)</f>
        <v>-1599.6451612903227</v>
      </c>
      <c r="K55" s="79"/>
      <c r="L55" s="66"/>
      <c r="N55" s="87"/>
      <c r="O55" s="71"/>
    </row>
    <row r="56" spans="1:15" ht="33" customHeight="1">
      <c r="A56" s="194" t="s">
        <v>178</v>
      </c>
      <c r="B56" s="217"/>
      <c r="C56" s="217"/>
      <c r="D56" s="151" t="s">
        <v>130</v>
      </c>
      <c r="E56" s="95">
        <f>'30'!F55</f>
        <v>222542</v>
      </c>
      <c r="F56" s="145">
        <v>306268.99</v>
      </c>
      <c r="G56" s="112">
        <f t="shared" si="3"/>
        <v>83726.989999999991</v>
      </c>
      <c r="H56" s="99">
        <f>G56+'30'!H55</f>
        <v>80795.989999999991</v>
      </c>
      <c r="I56" s="95"/>
      <c r="J56" s="175">
        <f>H56/DAY(B2)</f>
        <v>2606.3222580645156</v>
      </c>
      <c r="K56" s="79"/>
      <c r="L56" s="66"/>
      <c r="N56" s="87"/>
      <c r="O56" s="71"/>
    </row>
    <row r="57" spans="1:15" ht="33" customHeight="1">
      <c r="A57" s="194" t="s">
        <v>179</v>
      </c>
      <c r="B57" s="217"/>
      <c r="C57" s="217"/>
      <c r="D57" s="151" t="s">
        <v>180</v>
      </c>
      <c r="E57" s="95">
        <f>'30'!F56</f>
        <v>107246</v>
      </c>
      <c r="F57" s="145">
        <v>661019</v>
      </c>
      <c r="G57" s="112">
        <f t="shared" si="3"/>
        <v>553773</v>
      </c>
      <c r="H57" s="99">
        <f>G57+'30'!H56</f>
        <v>553773</v>
      </c>
      <c r="I57" s="95"/>
      <c r="J57" s="175">
        <f>H57/DAY(B2)</f>
        <v>17863.645161290322</v>
      </c>
      <c r="K57" s="78"/>
      <c r="L57" s="66"/>
      <c r="N57" s="87"/>
      <c r="O57" s="71"/>
    </row>
    <row r="58" spans="1:15" ht="33" customHeight="1">
      <c r="A58" s="194" t="s">
        <v>169</v>
      </c>
      <c r="B58" s="217"/>
      <c r="C58" s="217"/>
      <c r="D58" s="151" t="s">
        <v>130</v>
      </c>
      <c r="E58" s="95">
        <f>'30'!F57</f>
        <v>33265</v>
      </c>
      <c r="F58" s="145">
        <v>7711</v>
      </c>
      <c r="G58" s="112">
        <f t="shared" si="3"/>
        <v>-25554</v>
      </c>
      <c r="H58" s="99">
        <f>G58+'30'!H57</f>
        <v>-29892.000000000004</v>
      </c>
      <c r="I58" s="95"/>
      <c r="J58" s="175">
        <f>H58/DAY(B2)</f>
        <v>-964.25806451612914</v>
      </c>
      <c r="K58" s="79"/>
      <c r="L58" s="66"/>
      <c r="N58" s="87"/>
      <c r="O58" s="71"/>
    </row>
    <row r="59" spans="1:15" ht="33" customHeight="1">
      <c r="A59" s="194" t="s">
        <v>181</v>
      </c>
      <c r="B59" s="217"/>
      <c r="C59" s="217"/>
      <c r="D59" s="151" t="s">
        <v>130</v>
      </c>
      <c r="E59" s="95">
        <f>'30'!F58</f>
        <v>32402.080000000002</v>
      </c>
      <c r="F59" s="145">
        <v>66014</v>
      </c>
      <c r="G59" s="112">
        <f t="shared" si="3"/>
        <v>33611.919999999998</v>
      </c>
      <c r="H59" s="99">
        <f>G59+'30'!H58</f>
        <v>33125</v>
      </c>
      <c r="I59" s="95"/>
      <c r="J59" s="175">
        <f>H59/DAY(B2)</f>
        <v>1068.5483870967741</v>
      </c>
      <c r="K59" s="79"/>
      <c r="L59" s="66"/>
      <c r="N59" s="87"/>
      <c r="O59" s="71"/>
    </row>
    <row r="60" spans="1:15" ht="33" customHeight="1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2279917.63</v>
      </c>
      <c r="H60" s="99">
        <f>G60+'30'!H59</f>
        <v>2264014.31</v>
      </c>
      <c r="I60" s="95">
        <f>G7-G61</f>
        <v>-2294780.63</v>
      </c>
      <c r="J60" s="175">
        <f>H60/DAY(B2)</f>
        <v>73032.719677419358</v>
      </c>
      <c r="K60" s="79"/>
      <c r="L60" s="66"/>
      <c r="N60" s="87"/>
      <c r="O60" s="71"/>
    </row>
    <row r="61" spans="1:15" ht="33" customHeight="1">
      <c r="A61" s="194"/>
      <c r="B61" s="195"/>
      <c r="C61" s="195"/>
      <c r="D61" s="146" t="s">
        <v>182</v>
      </c>
      <c r="E61" s="146"/>
      <c r="F61" s="146"/>
      <c r="G61" s="119">
        <f>G48+G60</f>
        <v>2294780.63</v>
      </c>
      <c r="H61" s="99">
        <f>G61+'30'!H60</f>
        <v>2257307.4</v>
      </c>
      <c r="I61" s="95">
        <f>G14-G61</f>
        <v>-2294780.63</v>
      </c>
      <c r="J61" s="175">
        <f>H61/DAY(B2)</f>
        <v>72816.367741935479</v>
      </c>
      <c r="K61" s="79"/>
      <c r="L61" s="66"/>
      <c r="N61" s="87"/>
      <c r="O61" s="71"/>
    </row>
    <row r="62" spans="1:15" s="68" customFormat="1" ht="33" customHeight="1">
      <c r="A62" s="892" t="s">
        <v>332</v>
      </c>
      <c r="B62" s="893"/>
      <c r="C62" s="894"/>
      <c r="D62" s="339"/>
      <c r="E62" s="339"/>
      <c r="F62" s="339"/>
      <c r="G62" s="340"/>
      <c r="H62" s="339"/>
      <c r="I62" s="339"/>
      <c r="J62" s="341"/>
      <c r="K62" s="69"/>
      <c r="L62" s="67"/>
      <c r="N62" s="87"/>
      <c r="O62" s="71"/>
    </row>
    <row r="63" spans="1:15" ht="33" customHeight="1">
      <c r="A63" s="873" t="s">
        <v>198</v>
      </c>
      <c r="B63" s="874"/>
      <c r="C63" s="875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>
      <c r="A64" s="873" t="s">
        <v>199</v>
      </c>
      <c r="B64" s="874"/>
      <c r="C64" s="875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186590.99999999991</v>
      </c>
      <c r="I64" s="118"/>
      <c r="J64" s="175">
        <f>H64/DAY(B2)</f>
        <v>6019.0645161290295</v>
      </c>
      <c r="K64" s="69"/>
      <c r="L64" s="66"/>
      <c r="N64" s="87"/>
      <c r="O64" s="71"/>
    </row>
    <row r="65" spans="1:15" ht="33" customHeight="1">
      <c r="A65" s="870" t="s">
        <v>200</v>
      </c>
      <c r="B65" s="871"/>
      <c r="C65" s="872"/>
      <c r="D65" s="151"/>
      <c r="E65" s="122"/>
      <c r="F65" s="122"/>
      <c r="G65" s="112">
        <f>G63+G64</f>
        <v>451111</v>
      </c>
      <c r="H65" s="99">
        <f>G65+'30'!H95</f>
        <v>451110.73458421201</v>
      </c>
      <c r="I65" s="118"/>
      <c r="J65" s="175">
        <f>H65/DAY(B2)</f>
        <v>14551.959180135871</v>
      </c>
      <c r="K65" s="69"/>
      <c r="L65" s="66"/>
      <c r="N65" s="87"/>
      <c r="O65" s="71"/>
    </row>
    <row r="66" spans="1:15" ht="33" customHeight="1">
      <c r="A66" s="873" t="s">
        <v>201</v>
      </c>
      <c r="B66" s="874"/>
      <c r="C66" s="875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409931</v>
      </c>
      <c r="I66" s="118"/>
      <c r="J66" s="175">
        <f>H66/DAY(B2)</f>
        <v>13223.58064516129</v>
      </c>
      <c r="K66" s="69"/>
      <c r="L66" s="66"/>
      <c r="N66" s="87"/>
      <c r="O66" s="71"/>
    </row>
    <row r="67" spans="1:15" ht="33" customHeight="1">
      <c r="A67" s="322" t="s">
        <v>202</v>
      </c>
      <c r="B67" s="323"/>
      <c r="C67" s="323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104635.71399870464</v>
      </c>
      <c r="I67" s="118"/>
      <c r="J67" s="175">
        <f>H67/DAY(B2)</f>
        <v>3375.3456128614398</v>
      </c>
      <c r="K67" s="78"/>
      <c r="L67" s="66"/>
      <c r="N67" s="87"/>
      <c r="O67" s="71"/>
    </row>
    <row r="68" spans="1:15" ht="33" customHeight="1">
      <c r="A68" s="322" t="s">
        <v>203</v>
      </c>
      <c r="B68" s="323"/>
      <c r="C68" s="323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94108.090000000026</v>
      </c>
      <c r="I68" s="118"/>
      <c r="J68" s="175">
        <f>H68/DAY(B2)</f>
        <v>3035.7448387096783</v>
      </c>
      <c r="K68" s="81"/>
      <c r="L68" s="66"/>
      <c r="N68" s="87"/>
      <c r="O68" s="71"/>
    </row>
    <row r="69" spans="1:15" ht="33" customHeight="1">
      <c r="A69" s="322" t="s">
        <v>204</v>
      </c>
      <c r="B69" s="323"/>
      <c r="C69" s="323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>
        <f>G69+'30'!H99</f>
        <v>152134.82908054139</v>
      </c>
      <c r="I69" s="118"/>
      <c r="J69" s="175">
        <f>H69/DAY(B2)</f>
        <v>4907.5751316303677</v>
      </c>
      <c r="K69" s="69"/>
      <c r="L69" s="66"/>
      <c r="N69" s="87"/>
      <c r="O69" s="71"/>
    </row>
    <row r="70" spans="1:15" ht="33" customHeight="1">
      <c r="A70" s="322" t="s">
        <v>205</v>
      </c>
      <c r="B70" s="323"/>
      <c r="C70" s="323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4361</v>
      </c>
      <c r="I70" s="118"/>
      <c r="J70" s="175">
        <f>H70/DAY(B2)</f>
        <v>140.67741935483872</v>
      </c>
      <c r="K70" s="69"/>
      <c r="L70" s="66"/>
      <c r="N70" s="87"/>
      <c r="O70" s="71"/>
    </row>
    <row r="71" spans="1:15" ht="33" customHeight="1">
      <c r="A71" s="322" t="s">
        <v>206</v>
      </c>
      <c r="B71" s="323"/>
      <c r="C71" s="323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6372.8862967422037</v>
      </c>
      <c r="I71" s="118"/>
      <c r="J71" s="175">
        <f>H71/DAY(B2)</f>
        <v>205.57697731426464</v>
      </c>
      <c r="K71" s="69"/>
      <c r="L71" s="66"/>
      <c r="N71" s="87"/>
      <c r="O71" s="71"/>
    </row>
    <row r="72" spans="1:15" ht="33" customHeight="1">
      <c r="A72" s="870" t="s">
        <v>208</v>
      </c>
      <c r="B72" s="871"/>
      <c r="C72" s="872"/>
      <c r="D72" s="152"/>
      <c r="E72" s="152"/>
      <c r="F72" s="152"/>
      <c r="G72" s="153">
        <f>SUM(G66:G71)</f>
        <v>793178</v>
      </c>
      <c r="H72" s="99">
        <f>G72+'30'!H102</f>
        <v>791448</v>
      </c>
      <c r="I72" s="154"/>
      <c r="J72" s="175">
        <f>H72/DAY(B2)</f>
        <v>25530.580645161292</v>
      </c>
      <c r="K72" s="69"/>
      <c r="L72" s="66"/>
      <c r="N72" s="87"/>
      <c r="O72" s="71"/>
    </row>
    <row r="73" spans="1:15" s="88" customFormat="1" ht="33" customHeight="1">
      <c r="A73" s="916"/>
      <c r="B73" s="908"/>
      <c r="C73" s="321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>
      <c r="A74" s="921" t="s">
        <v>333</v>
      </c>
      <c r="B74" s="922"/>
      <c r="C74" s="923"/>
      <c r="D74" s="339"/>
      <c r="E74" s="339"/>
      <c r="F74" s="339"/>
      <c r="G74" s="342"/>
      <c r="H74" s="342"/>
      <c r="I74" s="342"/>
      <c r="J74" s="343"/>
      <c r="K74" s="69"/>
      <c r="L74" s="66"/>
      <c r="N74" s="87"/>
      <c r="O74" s="71"/>
    </row>
    <row r="75" spans="1:15" ht="33" customHeight="1">
      <c r="A75" s="873" t="s">
        <v>220</v>
      </c>
      <c r="B75" s="874"/>
      <c r="C75" s="875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>
      <c r="A76" s="873" t="s">
        <v>221</v>
      </c>
      <c r="B76" s="874"/>
      <c r="C76" s="875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>
      <c r="A77" s="917" t="s">
        <v>222</v>
      </c>
      <c r="B77" s="903"/>
      <c r="C77" s="904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>
      <c r="A78" s="917" t="s">
        <v>223</v>
      </c>
      <c r="B78" s="903"/>
      <c r="C78" s="904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>
      <c r="A79" s="917" t="s">
        <v>224</v>
      </c>
      <c r="B79" s="903"/>
      <c r="C79" s="904"/>
      <c r="D79" s="151" t="s">
        <v>139</v>
      </c>
      <c r="E79" s="95">
        <f>'30'!F128</f>
        <v>95163</v>
      </c>
      <c r="F79" s="232">
        <v>9180</v>
      </c>
      <c r="G79" s="112">
        <f t="shared" si="6"/>
        <v>-85983</v>
      </c>
      <c r="H79" s="99">
        <f>G79+'30'!H128</f>
        <v>-86535</v>
      </c>
      <c r="I79" s="118"/>
      <c r="J79" s="175">
        <f>H79/DAY(B2)</f>
        <v>-2791.4516129032259</v>
      </c>
      <c r="K79" s="69"/>
      <c r="L79" s="66"/>
      <c r="N79" s="87"/>
      <c r="O79" s="71"/>
    </row>
    <row r="80" spans="1:15" s="57" customFormat="1" ht="33" customHeight="1">
      <c r="A80" s="917" t="s">
        <v>225</v>
      </c>
      <c r="B80" s="903"/>
      <c r="C80" s="904"/>
      <c r="D80" s="151"/>
      <c r="E80" s="117"/>
      <c r="F80" s="117"/>
      <c r="G80" s="112">
        <f>G16-SUM(G75:G79)</f>
        <v>-1031909.3999999999</v>
      </c>
      <c r="H80" s="99">
        <f>G80+'30'!H129</f>
        <v>-1032204.3999999999</v>
      </c>
      <c r="I80" s="118"/>
      <c r="J80" s="175"/>
      <c r="K80" s="59"/>
      <c r="L80" s="58"/>
      <c r="N80" s="87"/>
      <c r="O80" s="71"/>
    </row>
    <row r="81" spans="1:15" s="57" customFormat="1" ht="33" customHeight="1">
      <c r="A81" s="870" t="s">
        <v>329</v>
      </c>
      <c r="B81" s="871"/>
      <c r="C81" s="872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>
      <c r="A82" s="909" t="s">
        <v>226</v>
      </c>
      <c r="B82" s="910"/>
      <c r="C82" s="911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>
      <c r="A83" s="322" t="s">
        <v>227</v>
      </c>
      <c r="B83" s="323"/>
      <c r="C83" s="323"/>
      <c r="D83" s="151" t="s">
        <v>228</v>
      </c>
      <c r="E83" s="95">
        <f>'30'!F131</f>
        <v>36087</v>
      </c>
      <c r="F83" s="122"/>
      <c r="G83" s="112">
        <f t="shared" ref="G83:G93" si="7">F83-E83</f>
        <v>-36087</v>
      </c>
      <c r="H83" s="99">
        <f>G83+'30'!H131</f>
        <v>-36279</v>
      </c>
      <c r="I83" s="118"/>
      <c r="J83" s="175">
        <f>H83/DAY(B2)</f>
        <v>-1170.2903225806451</v>
      </c>
      <c r="O83" s="71"/>
    </row>
    <row r="84" spans="1:15" ht="33" customHeight="1">
      <c r="A84" s="322" t="s">
        <v>229</v>
      </c>
      <c r="B84" s="323"/>
      <c r="C84" s="323"/>
      <c r="D84" s="151" t="s">
        <v>228</v>
      </c>
      <c r="E84" s="95">
        <f>'30'!F132</f>
        <v>103078</v>
      </c>
      <c r="F84" s="122"/>
      <c r="G84" s="112">
        <f t="shared" si="7"/>
        <v>-103078</v>
      </c>
      <c r="H84" s="99">
        <f>G84+'30'!H132</f>
        <v>-103512</v>
      </c>
      <c r="I84" s="118"/>
      <c r="J84" s="175">
        <f>H84/DAY(B2)</f>
        <v>-3339.0967741935483</v>
      </c>
      <c r="O84" s="71"/>
    </row>
    <row r="85" spans="1:15" ht="33" customHeight="1">
      <c r="A85" s="322" t="s">
        <v>230</v>
      </c>
      <c r="B85" s="323"/>
      <c r="C85" s="323"/>
      <c r="D85" s="151" t="s">
        <v>228</v>
      </c>
      <c r="E85" s="95">
        <f>'30'!F133</f>
        <v>200383</v>
      </c>
      <c r="F85" s="164">
        <v>40922</v>
      </c>
      <c r="G85" s="112">
        <f t="shared" si="7"/>
        <v>-159461</v>
      </c>
      <c r="H85" s="99">
        <f>G85+'30'!H133</f>
        <v>-160310</v>
      </c>
      <c r="I85" s="118"/>
      <c r="J85" s="175">
        <f>H85/DAY(B2)</f>
        <v>-5171.2903225806449</v>
      </c>
      <c r="O85" s="71"/>
    </row>
    <row r="86" spans="1:15" ht="33" customHeight="1">
      <c r="A86" s="322" t="s">
        <v>231</v>
      </c>
      <c r="B86" s="323"/>
      <c r="C86" s="323"/>
      <c r="D86" s="151" t="s">
        <v>228</v>
      </c>
      <c r="E86" s="95">
        <f>'30'!F134</f>
        <v>34670</v>
      </c>
      <c r="F86" s="164">
        <v>856</v>
      </c>
      <c r="G86" s="112">
        <f t="shared" si="7"/>
        <v>-33814</v>
      </c>
      <c r="H86" s="99">
        <f>G86+'30'!H134</f>
        <v>-34039</v>
      </c>
      <c r="I86" s="118">
        <f>G83+G84+G85+G86</f>
        <v>-332440</v>
      </c>
      <c r="J86" s="175">
        <f>H86/DAY(B2)</f>
        <v>-1098.0322580645161</v>
      </c>
      <c r="O86" s="71"/>
    </row>
    <row r="87" spans="1:15" ht="33" customHeight="1">
      <c r="A87" s="322" t="s">
        <v>232</v>
      </c>
      <c r="B87" s="323"/>
      <c r="C87" s="323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79410.329999999987</v>
      </c>
      <c r="I87" s="118"/>
      <c r="J87" s="175">
        <f>H87/DAY(B2)</f>
        <v>2561.6235483870964</v>
      </c>
      <c r="O87" s="71"/>
    </row>
    <row r="88" spans="1:15" ht="33" customHeight="1">
      <c r="A88" s="322" t="s">
        <v>233</v>
      </c>
      <c r="B88" s="323"/>
      <c r="C88" s="323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>
      <c r="A89" s="322" t="s">
        <v>234</v>
      </c>
      <c r="B89" s="323"/>
      <c r="C89" s="323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>
      <c r="A90" s="322" t="s">
        <v>235</v>
      </c>
      <c r="B90" s="323"/>
      <c r="C90" s="323"/>
      <c r="D90" s="151" t="s">
        <v>228</v>
      </c>
      <c r="E90" s="95">
        <f>'30'!F138</f>
        <v>10398</v>
      </c>
      <c r="F90" s="164">
        <v>25132.959999999999</v>
      </c>
      <c r="G90" s="112">
        <f t="shared" si="7"/>
        <v>14734.96</v>
      </c>
      <c r="H90" s="99">
        <f>G90+'30'!H138</f>
        <v>-858144.74</v>
      </c>
      <c r="I90" s="118"/>
      <c r="J90" s="175">
        <f>H90/DAY(B2)</f>
        <v>-27682.088387096774</v>
      </c>
      <c r="O90" s="71"/>
    </row>
    <row r="91" spans="1:15" ht="33" customHeight="1">
      <c r="A91" s="322" t="s">
        <v>236</v>
      </c>
      <c r="B91" s="323"/>
      <c r="C91" s="323"/>
      <c r="D91" s="151" t="s">
        <v>228</v>
      </c>
      <c r="E91" s="95">
        <f>'30'!F139</f>
        <v>899314</v>
      </c>
      <c r="F91" s="164">
        <v>70524.55</v>
      </c>
      <c r="G91" s="112">
        <f t="shared" si="7"/>
        <v>-828789.45</v>
      </c>
      <c r="H91" s="99">
        <f>G91+'30'!H139</f>
        <v>-828930.45</v>
      </c>
      <c r="I91" s="118">
        <f>G90+G91</f>
        <v>-814054.49</v>
      </c>
      <c r="J91" s="175">
        <f>H91/DAY(B2)</f>
        <v>-26739.691935483868</v>
      </c>
      <c r="O91" s="71"/>
    </row>
    <row r="92" spans="1:15" ht="33" customHeight="1">
      <c r="A92" s="322" t="s">
        <v>237</v>
      </c>
      <c r="B92" s="323"/>
      <c r="C92" s="323"/>
      <c r="D92" s="151" t="s">
        <v>228</v>
      </c>
      <c r="E92" s="95">
        <f>'30'!F140</f>
        <v>576</v>
      </c>
      <c r="F92" s="122">
        <v>2627.98</v>
      </c>
      <c r="G92" s="112">
        <f t="shared" si="7"/>
        <v>2051.98</v>
      </c>
      <c r="H92" s="99">
        <f>G92+'30'!H140</f>
        <v>1979.22</v>
      </c>
      <c r="I92" s="165"/>
      <c r="J92" s="175">
        <f>H92/DAY(B2)</f>
        <v>63.845806451612901</v>
      </c>
      <c r="O92" s="71"/>
    </row>
    <row r="93" spans="1:15" ht="33" customHeight="1">
      <c r="A93" s="322" t="s">
        <v>238</v>
      </c>
      <c r="B93" s="323"/>
      <c r="C93" s="323"/>
      <c r="D93" s="151" t="s">
        <v>228</v>
      </c>
      <c r="E93" s="95">
        <f>'30'!F141</f>
        <v>77762</v>
      </c>
      <c r="F93" s="122">
        <v>4754</v>
      </c>
      <c r="G93" s="112">
        <f t="shared" si="7"/>
        <v>-73008</v>
      </c>
      <c r="H93" s="99">
        <f>G93+'30'!H141</f>
        <v>-73198</v>
      </c>
      <c r="I93" s="165"/>
      <c r="J93" s="175">
        <f>H93/DAY(B2)</f>
        <v>-2361.2258064516127</v>
      </c>
      <c r="O93" s="71"/>
    </row>
    <row r="94" spans="1:15" ht="33" customHeight="1">
      <c r="A94" s="918" t="s">
        <v>239</v>
      </c>
      <c r="B94" s="919"/>
      <c r="C94" s="920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>
      <c r="A95" s="873" t="s">
        <v>240</v>
      </c>
      <c r="B95" s="874"/>
      <c r="C95" s="875"/>
      <c r="D95" s="151" t="s">
        <v>130</v>
      </c>
      <c r="E95" s="151"/>
      <c r="F95" s="151"/>
      <c r="G95" s="99">
        <f>G36+G44+G50+G58</f>
        <v>143346</v>
      </c>
      <c r="H95" s="99">
        <f>G95+'30'!H143</f>
        <v>143315</v>
      </c>
      <c r="I95" s="118"/>
      <c r="J95" s="175">
        <f>H95/DAY(B2)</f>
        <v>4623.0645161290322</v>
      </c>
      <c r="K95" s="69"/>
      <c r="L95" s="66"/>
      <c r="O95" s="71"/>
    </row>
    <row r="96" spans="1:15" ht="33" customHeight="1">
      <c r="A96" s="873" t="s">
        <v>241</v>
      </c>
      <c r="B96" s="874"/>
      <c r="C96" s="875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>
      <c r="A97" s="873" t="s">
        <v>242</v>
      </c>
      <c r="B97" s="874"/>
      <c r="C97" s="875"/>
      <c r="D97" s="151" t="s">
        <v>130</v>
      </c>
      <c r="E97" s="95"/>
      <c r="F97" s="95"/>
      <c r="G97" s="99">
        <f>G42+G43+G56+G57</f>
        <v>642104.99</v>
      </c>
      <c r="H97" s="99">
        <f>G97+'30'!H145</f>
        <v>642104.99</v>
      </c>
      <c r="I97" s="118"/>
      <c r="J97" s="175">
        <f>H97/DAY(B2)</f>
        <v>20713.064193548387</v>
      </c>
      <c r="K97" s="69"/>
      <c r="L97" s="66"/>
      <c r="O97" s="71"/>
    </row>
    <row r="98" spans="1:15" ht="33" customHeight="1">
      <c r="A98" s="873" t="s">
        <v>243</v>
      </c>
      <c r="B98" s="874"/>
      <c r="C98" s="875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>
      <c r="A99" s="873" t="s">
        <v>244</v>
      </c>
      <c r="B99" s="874"/>
      <c r="C99" s="875"/>
      <c r="D99" s="151" t="s">
        <v>130</v>
      </c>
      <c r="E99" s="95"/>
      <c r="F99" s="95"/>
      <c r="G99" s="99">
        <f>G40+G54</f>
        <v>438118</v>
      </c>
      <c r="H99" s="99">
        <f>G99+'30'!H147</f>
        <v>437744</v>
      </c>
      <c r="I99" s="168"/>
      <c r="J99" s="175">
        <f>H99/DAY(B2)</f>
        <v>14120.774193548386</v>
      </c>
      <c r="K99" s="69"/>
      <c r="L99" s="66"/>
      <c r="O99" s="71"/>
    </row>
    <row r="100" spans="1:15" ht="33" customHeight="1">
      <c r="A100" s="873" t="s">
        <v>245</v>
      </c>
      <c r="B100" s="874"/>
      <c r="C100" s="875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>
      <c r="A101" s="873" t="s">
        <v>246</v>
      </c>
      <c r="B101" s="874"/>
      <c r="C101" s="875"/>
      <c r="D101" s="151" t="s">
        <v>180</v>
      </c>
      <c r="E101" s="95"/>
      <c r="F101" s="95"/>
      <c r="G101" s="99">
        <f>G39+G53</f>
        <v>541264</v>
      </c>
      <c r="H101" s="99">
        <f>G101+'30'!H149</f>
        <v>540674</v>
      </c>
      <c r="I101" s="118"/>
      <c r="J101" s="175">
        <f>H101/DAY(B2)</f>
        <v>17441.096774193549</v>
      </c>
      <c r="K101" s="70"/>
      <c r="O101" s="71"/>
    </row>
    <row r="102" spans="1:15" ht="33" customHeight="1">
      <c r="A102" s="873" t="s">
        <v>247</v>
      </c>
      <c r="B102" s="874"/>
      <c r="C102" s="875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>
      <c r="A103" s="873" t="s">
        <v>248</v>
      </c>
      <c r="B103" s="874"/>
      <c r="C103" s="875"/>
      <c r="D103" s="151" t="s">
        <v>180</v>
      </c>
      <c r="E103" s="95"/>
      <c r="F103" s="95"/>
      <c r="G103" s="99">
        <f>G37+G51</f>
        <v>399335</v>
      </c>
      <c r="H103" s="99">
        <f>G103+'30'!H156</f>
        <v>399264</v>
      </c>
      <c r="I103" s="168"/>
      <c r="J103" s="175">
        <f>H103/DAY(B2)</f>
        <v>12879.483870967742</v>
      </c>
      <c r="O103" s="71"/>
    </row>
    <row r="104" spans="1:15" ht="33" customHeight="1">
      <c r="A104" s="873" t="s">
        <v>249</v>
      </c>
      <c r="B104" s="874"/>
      <c r="C104" s="875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>
      <c r="A105" s="873" t="s">
        <v>250</v>
      </c>
      <c r="B105" s="874"/>
      <c r="C105" s="875"/>
      <c r="D105" s="151" t="s">
        <v>180</v>
      </c>
      <c r="E105" s="95"/>
      <c r="F105" s="95"/>
      <c r="G105" s="99">
        <f>G38+G52</f>
        <v>145727.32</v>
      </c>
      <c r="H105" s="99">
        <f>G105+'30'!H161</f>
        <v>144479.03999999998</v>
      </c>
      <c r="I105" s="118"/>
      <c r="J105" s="175">
        <f>H105/DAY(B2)</f>
        <v>4660.6141935483865</v>
      </c>
      <c r="O105" s="71"/>
    </row>
    <row r="106" spans="1:15" ht="33" customHeight="1" thickBot="1">
      <c r="A106" s="913" t="s">
        <v>251</v>
      </c>
      <c r="B106" s="914"/>
      <c r="C106" s="915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>
      <c r="A109" s="927" t="s">
        <v>324</v>
      </c>
      <c r="B109" s="927"/>
      <c r="C109" s="927"/>
      <c r="D109" s="927"/>
      <c r="E109" s="927"/>
      <c r="F109" s="927"/>
      <c r="G109" s="927"/>
      <c r="H109" s="927"/>
      <c r="I109" s="927"/>
      <c r="J109" s="927"/>
    </row>
    <row r="110" spans="1:15" ht="33" customHeight="1">
      <c r="A110" s="912"/>
      <c r="B110" s="912"/>
    </row>
    <row r="111" spans="1:15" ht="33" customHeight="1">
      <c r="A111" s="928" t="s">
        <v>165</v>
      </c>
      <c r="B111" s="929"/>
      <c r="C111" s="929"/>
      <c r="D111" s="929"/>
      <c r="E111" s="929"/>
      <c r="F111" s="929"/>
      <c r="G111" s="929"/>
      <c r="H111" s="929"/>
      <c r="I111" s="929"/>
      <c r="J111" s="930"/>
    </row>
    <row r="112" spans="1:15" ht="33" customHeight="1">
      <c r="A112" s="931"/>
      <c r="B112" s="932"/>
      <c r="C112" s="933"/>
      <c r="D112" s="165"/>
      <c r="E112" s="165"/>
      <c r="F112" s="165"/>
      <c r="G112" s="165"/>
      <c r="H112" s="156"/>
      <c r="I112" s="165"/>
      <c r="J112" s="327"/>
    </row>
    <row r="113" spans="1:18" ht="33" customHeight="1">
      <c r="A113" s="906" t="s">
        <v>252</v>
      </c>
      <c r="B113" s="907"/>
      <c r="C113" s="908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8" t="e">
        <f t="shared" ref="J113:J124" si="9">H113/DAY(B32)</f>
        <v>#DIV/0!</v>
      </c>
    </row>
    <row r="114" spans="1:18" ht="33" customHeight="1">
      <c r="A114" s="906" t="s">
        <v>253</v>
      </c>
      <c r="B114" s="907"/>
      <c r="C114" s="908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8" t="e">
        <f t="shared" si="9"/>
        <v>#DIV/0!</v>
      </c>
    </row>
    <row r="115" spans="1:18" ht="33" customHeight="1">
      <c r="A115" s="906" t="s">
        <v>254</v>
      </c>
      <c r="B115" s="907"/>
      <c r="C115" s="908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8" t="e">
        <f t="shared" si="9"/>
        <v>#DIV/0!</v>
      </c>
    </row>
    <row r="116" spans="1:18" ht="33" customHeight="1">
      <c r="A116" s="906" t="s">
        <v>255</v>
      </c>
      <c r="B116" s="907"/>
      <c r="C116" s="908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8" t="e">
        <f t="shared" si="9"/>
        <v>#DIV/0!</v>
      </c>
    </row>
    <row r="117" spans="1:18" ht="33" customHeight="1">
      <c r="A117" s="924" t="s">
        <v>96</v>
      </c>
      <c r="B117" s="925"/>
      <c r="C117" s="926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44964</v>
      </c>
      <c r="I117" s="165"/>
      <c r="J117" s="328" t="e">
        <f t="shared" si="9"/>
        <v>#DIV/0!</v>
      </c>
      <c r="Q117" s="906"/>
      <c r="R117" s="908"/>
    </row>
    <row r="118" spans="1:18" ht="33" customHeight="1">
      <c r="A118" s="924" t="s">
        <v>184</v>
      </c>
      <c r="B118" s="925"/>
      <c r="C118" s="926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44919</v>
      </c>
      <c r="I118" s="165"/>
      <c r="J118" s="328" t="e">
        <f t="shared" si="9"/>
        <v>#DIV/0!</v>
      </c>
      <c r="Q118" s="906"/>
      <c r="R118" s="908"/>
    </row>
    <row r="119" spans="1:18" ht="33" customHeight="1">
      <c r="A119" s="901" t="s">
        <v>97</v>
      </c>
      <c r="B119" s="901"/>
      <c r="C119" s="901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44916</v>
      </c>
      <c r="I119" s="165"/>
      <c r="J119" s="328" t="e">
        <f t="shared" si="9"/>
        <v>#DIV/0!</v>
      </c>
      <c r="Q119" s="906"/>
      <c r="R119" s="908"/>
    </row>
    <row r="120" spans="1:18" ht="33" customHeight="1">
      <c r="A120" s="901" t="s">
        <v>98</v>
      </c>
      <c r="B120" s="901"/>
      <c r="C120" s="901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44933</v>
      </c>
      <c r="I120" s="165"/>
      <c r="J120" s="328" t="e">
        <f t="shared" si="9"/>
        <v>#DIV/0!</v>
      </c>
    </row>
    <row r="121" spans="1:18" ht="33" customHeight="1">
      <c r="A121" s="901" t="s">
        <v>99</v>
      </c>
      <c r="B121" s="901"/>
      <c r="C121" s="901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8" t="e">
        <f t="shared" si="9"/>
        <v>#DIV/0!</v>
      </c>
    </row>
    <row r="122" spans="1:18" ht="33" customHeight="1">
      <c r="A122" s="901" t="s">
        <v>100</v>
      </c>
      <c r="B122" s="901"/>
      <c r="C122" s="901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44828</v>
      </c>
      <c r="I122" s="165"/>
      <c r="J122" s="328" t="e">
        <f t="shared" si="9"/>
        <v>#DIV/0!</v>
      </c>
    </row>
    <row r="123" spans="1:18" ht="33" customHeight="1">
      <c r="A123" s="901" t="s">
        <v>101</v>
      </c>
      <c r="B123" s="901"/>
      <c r="C123" s="901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44924</v>
      </c>
      <c r="I123" s="165"/>
      <c r="J123" s="328" t="e">
        <f t="shared" si="9"/>
        <v>#DIV/0!</v>
      </c>
    </row>
    <row r="124" spans="1:18" ht="33" customHeight="1">
      <c r="A124" s="901" t="s">
        <v>102</v>
      </c>
      <c r="B124" s="901"/>
      <c r="C124" s="901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44926</v>
      </c>
      <c r="I124" s="165"/>
      <c r="J124" s="328" t="e">
        <f t="shared" si="9"/>
        <v>#DIV/0!</v>
      </c>
    </row>
    <row r="125" spans="1:18" ht="33" customHeight="1">
      <c r="A125" s="931"/>
      <c r="B125" s="932"/>
      <c r="C125" s="933"/>
      <c r="D125" s="165"/>
      <c r="E125" s="165"/>
      <c r="F125" s="165"/>
      <c r="G125" s="327"/>
      <c r="H125" s="156"/>
      <c r="I125" s="165"/>
      <c r="J125" s="327"/>
    </row>
    <row r="126" spans="1:18" ht="33" customHeight="1">
      <c r="A126" s="937"/>
      <c r="B126" s="937"/>
      <c r="C126" s="245"/>
      <c r="D126" s="307"/>
      <c r="E126" s="308"/>
      <c r="F126" s="308"/>
      <c r="G126" s="309"/>
      <c r="H126" s="156"/>
      <c r="I126" s="165"/>
      <c r="J126" s="327"/>
    </row>
    <row r="127" spans="1:18" ht="33" customHeight="1">
      <c r="A127" s="936" t="s">
        <v>317</v>
      </c>
      <c r="B127" s="936"/>
      <c r="C127" s="936"/>
      <c r="D127" s="936"/>
      <c r="E127" s="936"/>
      <c r="F127" s="936"/>
      <c r="G127" s="936"/>
      <c r="H127" s="936"/>
      <c r="I127" s="936"/>
      <c r="J127" s="936"/>
    </row>
    <row r="128" spans="1:18" ht="33" customHeight="1">
      <c r="A128" s="937"/>
      <c r="B128" s="937"/>
      <c r="C128" s="245"/>
      <c r="D128" s="307"/>
      <c r="E128" s="308"/>
      <c r="F128" s="308"/>
      <c r="G128" s="309"/>
      <c r="H128" s="99">
        <f>G128+'30'!H184</f>
        <v>-20</v>
      </c>
      <c r="I128" s="165"/>
      <c r="J128" s="328" t="e">
        <f t="shared" ref="J128:J136" si="10">H128/DAY(B47)</f>
        <v>#DIV/0!</v>
      </c>
    </row>
    <row r="129" spans="1:15" ht="33" customHeight="1">
      <c r="A129" s="906" t="s">
        <v>318</v>
      </c>
      <c r="B129" s="907"/>
      <c r="C129" s="908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>
        <f>G129+'30'!H185</f>
        <v>0</v>
      </c>
      <c r="I129" s="165"/>
      <c r="J129" s="328" t="e">
        <f t="shared" si="10"/>
        <v>#DIV/0!</v>
      </c>
    </row>
    <row r="130" spans="1:15" ht="33" customHeight="1">
      <c r="A130" s="329" t="s">
        <v>319</v>
      </c>
      <c r="B130" s="330"/>
      <c r="C130" s="331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>
        <f>G130+'30'!H186</f>
        <v>-31</v>
      </c>
      <c r="I130" s="165"/>
      <c r="J130" s="328" t="e">
        <f t="shared" si="10"/>
        <v>#DIV/0!</v>
      </c>
      <c r="N130" s="240"/>
      <c r="O130" s="241"/>
    </row>
    <row r="131" spans="1:15" ht="33" customHeight="1">
      <c r="A131" s="329" t="s">
        <v>320</v>
      </c>
      <c r="B131" s="330"/>
      <c r="C131" s="331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566</v>
      </c>
      <c r="I131" s="165"/>
      <c r="J131" s="328" t="e">
        <f t="shared" si="10"/>
        <v>#DIV/0!</v>
      </c>
      <c r="N131" s="240"/>
      <c r="O131" s="241"/>
    </row>
    <row r="132" spans="1:15" ht="33" customHeight="1">
      <c r="A132" s="906" t="s">
        <v>321</v>
      </c>
      <c r="B132" s="907"/>
      <c r="C132" s="908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-2973</v>
      </c>
      <c r="I132" s="165"/>
      <c r="J132" s="328" t="e">
        <f t="shared" si="10"/>
        <v>#DIV/0!</v>
      </c>
      <c r="N132" s="240"/>
      <c r="O132" s="241"/>
    </row>
    <row r="133" spans="1:15" ht="33" customHeight="1">
      <c r="A133" s="906" t="s">
        <v>322</v>
      </c>
      <c r="B133" s="907"/>
      <c r="C133" s="908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-2383</v>
      </c>
      <c r="I133" s="165"/>
      <c r="J133" s="328" t="e">
        <f t="shared" si="10"/>
        <v>#DIV/0!</v>
      </c>
    </row>
    <row r="134" spans="1:15" ht="33" customHeight="1">
      <c r="A134" s="906" t="s">
        <v>323</v>
      </c>
      <c r="B134" s="907"/>
      <c r="C134" s="908"/>
      <c r="D134" s="151" t="s">
        <v>183</v>
      </c>
      <c r="E134" s="95">
        <f>'30'!F190</f>
        <v>0</v>
      </c>
      <c r="F134" s="165"/>
      <c r="G134" s="112">
        <f t="shared" si="11"/>
        <v>0</v>
      </c>
      <c r="H134" s="99">
        <f>G134+'30'!H190</f>
        <v>0</v>
      </c>
      <c r="I134" s="165"/>
      <c r="J134" s="328" t="e">
        <f t="shared" si="10"/>
        <v>#DIV/0!</v>
      </c>
    </row>
    <row r="135" spans="1:15" ht="33" customHeight="1">
      <c r="A135" s="931"/>
      <c r="B135" s="932"/>
      <c r="C135" s="933"/>
      <c r="D135" s="151"/>
      <c r="E135" s="95"/>
      <c r="F135" s="165"/>
      <c r="G135" s="112"/>
      <c r="H135" s="99">
        <f>G135+'30'!H191</f>
        <v>0</v>
      </c>
      <c r="I135" s="165"/>
      <c r="J135" s="328" t="e">
        <f t="shared" si="10"/>
        <v>#DIV/0!</v>
      </c>
    </row>
    <row r="136" spans="1:15" ht="33" customHeight="1">
      <c r="A136" s="931"/>
      <c r="B136" s="932"/>
      <c r="C136" s="933"/>
      <c r="D136" s="151"/>
      <c r="E136" s="95"/>
      <c r="F136" s="165"/>
      <c r="G136" s="112"/>
      <c r="H136" s="99">
        <f>G136+'30'!H192</f>
        <v>0</v>
      </c>
      <c r="I136" s="165"/>
      <c r="J136" s="328" t="e">
        <f t="shared" si="10"/>
        <v>#DIV/0!</v>
      </c>
    </row>
    <row r="137" spans="1:15" ht="33" customHeight="1">
      <c r="A137" s="938" t="s">
        <v>325</v>
      </c>
      <c r="B137" s="938"/>
      <c r="C137" s="938"/>
      <c r="D137" s="938"/>
      <c r="E137" s="938"/>
      <c r="F137" s="938"/>
      <c r="G137" s="938"/>
      <c r="H137" s="938"/>
      <c r="I137" s="938"/>
      <c r="J137" s="938"/>
    </row>
    <row r="138" spans="1:15" ht="33" customHeight="1">
      <c r="A138" s="245"/>
      <c r="B138" s="246"/>
      <c r="C138" s="246"/>
      <c r="D138" s="165"/>
      <c r="E138" s="165"/>
      <c r="F138" s="165"/>
      <c r="G138" s="165"/>
      <c r="H138" s="156"/>
      <c r="I138" s="165"/>
      <c r="J138" s="327"/>
    </row>
    <row r="139" spans="1:15" ht="33" customHeight="1">
      <c r="A139" s="901" t="s">
        <v>185</v>
      </c>
      <c r="B139" s="901"/>
      <c r="C139" s="901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8" t="e">
        <f>H139/DAY(B78)</f>
        <v>#DIV/0!</v>
      </c>
    </row>
    <row r="140" spans="1:15" ht="33" customHeight="1">
      <c r="A140" s="901" t="s">
        <v>186</v>
      </c>
      <c r="B140" s="901"/>
      <c r="C140" s="901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8" t="e">
        <f>H140/DAY(B78)</f>
        <v>#DIV/0!</v>
      </c>
    </row>
    <row r="141" spans="1:15" ht="33" customHeight="1">
      <c r="A141" s="901" t="s">
        <v>187</v>
      </c>
      <c r="B141" s="901"/>
      <c r="C141" s="901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8" t="e">
        <f>H141/DAY(B78)</f>
        <v>#DIV/0!</v>
      </c>
    </row>
    <row r="142" spans="1:15" ht="33" customHeight="1">
      <c r="A142" s="905" t="s">
        <v>188</v>
      </c>
      <c r="B142" s="905"/>
      <c r="C142" s="905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8" t="e">
        <f>H142/DAY(B78)</f>
        <v>#DIV/0!</v>
      </c>
    </row>
    <row r="143" spans="1:15" ht="33" customHeight="1">
      <c r="A143" s="905" t="s">
        <v>189</v>
      </c>
      <c r="B143" s="905"/>
      <c r="C143" s="905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8" t="e">
        <f>H143/DAY(B78)</f>
        <v>#DIV/0!</v>
      </c>
    </row>
    <row r="144" spans="1:15" ht="33" customHeight="1">
      <c r="A144" s="901" t="s">
        <v>190</v>
      </c>
      <c r="B144" s="901"/>
      <c r="C144" s="901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8" t="e">
        <f>H144/DAY(B78)</f>
        <v>#DIV/0!</v>
      </c>
    </row>
    <row r="145" spans="1:10" ht="33" customHeight="1">
      <c r="A145" s="902" t="s">
        <v>191</v>
      </c>
      <c r="B145" s="903"/>
      <c r="C145" s="904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8" t="e">
        <f>H145/DAY(B78)</f>
        <v>#DIV/0!</v>
      </c>
    </row>
    <row r="146" spans="1:10" ht="33" customHeight="1">
      <c r="A146" s="905" t="s">
        <v>90</v>
      </c>
      <c r="B146" s="905"/>
      <c r="C146" s="905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8" t="e">
        <f>H146/DAY(B78)</f>
        <v>#DIV/0!</v>
      </c>
    </row>
    <row r="147" spans="1:10" ht="33" customHeight="1">
      <c r="A147" s="905" t="s">
        <v>192</v>
      </c>
      <c r="B147" s="905"/>
      <c r="C147" s="905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8" t="e">
        <f>H147/DAY(B78)</f>
        <v>#DIV/0!</v>
      </c>
    </row>
    <row r="148" spans="1:10" ht="33" customHeight="1">
      <c r="A148" s="905" t="s">
        <v>193</v>
      </c>
      <c r="B148" s="905"/>
      <c r="C148" s="905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8" t="e">
        <f>H148/DAY(B78)</f>
        <v>#DIV/0!</v>
      </c>
    </row>
    <row r="149" spans="1:10" ht="33" customHeight="1">
      <c r="A149" s="905" t="s">
        <v>91</v>
      </c>
      <c r="B149" s="905"/>
      <c r="C149" s="905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8" t="e">
        <f>H149/DAY(B78)</f>
        <v>#DIV/0!</v>
      </c>
    </row>
    <row r="150" spans="1:10" ht="33" customHeight="1">
      <c r="A150" s="905" t="s">
        <v>194</v>
      </c>
      <c r="B150" s="905"/>
      <c r="C150" s="905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8" t="e">
        <f>H150/DAY(B78)</f>
        <v>#DIV/0!</v>
      </c>
    </row>
    <row r="151" spans="1:10" ht="33" customHeight="1">
      <c r="A151" s="325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8" t="e">
        <f>H151/DAY(B78)</f>
        <v>#DIV/0!</v>
      </c>
    </row>
    <row r="153" spans="1:10" ht="33" customHeight="1">
      <c r="A153" s="938" t="s">
        <v>326</v>
      </c>
      <c r="B153" s="938"/>
      <c r="C153" s="938"/>
      <c r="D153" s="938"/>
      <c r="E153" s="938"/>
      <c r="F153" s="938"/>
      <c r="G153" s="938"/>
      <c r="H153" s="938"/>
      <c r="I153" s="938"/>
      <c r="J153" s="938"/>
    </row>
    <row r="154" spans="1:10" ht="33" customHeight="1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>
      <c r="A159" s="937" t="s">
        <v>328</v>
      </c>
      <c r="B159" s="937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33" customHeight="1">
      <c r="A160" s="937" t="s">
        <v>327</v>
      </c>
      <c r="B160" s="937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33" customHeight="1">
      <c r="A161" s="937" t="s">
        <v>328</v>
      </c>
      <c r="B161" s="937"/>
      <c r="C161" s="246"/>
      <c r="D161" s="244" t="s">
        <v>180</v>
      </c>
      <c r="E161" s="165"/>
      <c r="F161" s="165"/>
      <c r="G161" s="165"/>
      <c r="H161" s="156"/>
      <c r="I161" s="165"/>
      <c r="J161" s="327"/>
    </row>
    <row r="164" spans="1:10" ht="33" customHeight="1">
      <c r="A164" s="947" t="s">
        <v>330</v>
      </c>
      <c r="B164" s="948"/>
      <c r="C164" s="948"/>
      <c r="D164" s="948"/>
      <c r="E164" s="948"/>
      <c r="F164" s="948"/>
      <c r="G164" s="948"/>
      <c r="H164" s="948"/>
      <c r="I164" s="948"/>
      <c r="J164" s="949"/>
    </row>
    <row r="165" spans="1:10" ht="33" customHeight="1">
      <c r="A165" s="943"/>
      <c r="B165" s="944"/>
      <c r="C165" s="332"/>
      <c r="D165" s="228"/>
      <c r="E165" s="155"/>
      <c r="F165" s="155"/>
      <c r="G165" s="155"/>
      <c r="H165" s="156"/>
      <c r="I165" s="155"/>
      <c r="J165" s="178"/>
    </row>
    <row r="166" spans="1:10" ht="33" customHeight="1">
      <c r="A166" s="895" t="s">
        <v>209</v>
      </c>
      <c r="B166" s="896"/>
      <c r="C166" s="333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>
      <c r="A167" s="895" t="s">
        <v>75</v>
      </c>
      <c r="B167" s="896"/>
      <c r="C167" s="333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>
      <c r="A168" s="895" t="s">
        <v>76</v>
      </c>
      <c r="B168" s="900"/>
      <c r="C168" s="896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>
      <c r="A169" s="895" t="s">
        <v>196</v>
      </c>
      <c r="B169" s="896"/>
      <c r="C169" s="333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>
      <c r="A170" s="895" t="s">
        <v>77</v>
      </c>
      <c r="B170" s="896"/>
      <c r="C170" s="333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>
      <c r="A171" s="895" t="s">
        <v>210</v>
      </c>
      <c r="B171" s="896"/>
      <c r="C171" s="333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>
      <c r="A172" s="895" t="s">
        <v>211</v>
      </c>
      <c r="B172" s="896"/>
      <c r="C172" s="333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>
      <c r="A173" s="895" t="s">
        <v>212</v>
      </c>
      <c r="B173" s="896"/>
      <c r="C173" s="333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>
      <c r="A174" s="945" t="s">
        <v>108</v>
      </c>
      <c r="B174" s="946"/>
      <c r="C174" s="333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>
      <c r="A175" s="895" t="s">
        <v>213</v>
      </c>
      <c r="B175" s="896"/>
      <c r="C175" s="333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>
      <c r="A176" s="895" t="s">
        <v>214</v>
      </c>
      <c r="B176" s="896"/>
      <c r="C176" s="334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>
      <c r="A177" s="895" t="s">
        <v>215</v>
      </c>
      <c r="B177" s="896"/>
      <c r="C177" s="334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>
      <c r="A178" s="895" t="s">
        <v>216</v>
      </c>
      <c r="B178" s="896"/>
      <c r="C178" s="334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>
      <c r="A179" s="895" t="s">
        <v>196</v>
      </c>
      <c r="B179" s="896"/>
      <c r="C179" s="334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>
      <c r="A180" s="945" t="s">
        <v>217</v>
      </c>
      <c r="B180" s="946"/>
      <c r="C180" s="333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>
      <c r="A181" s="945" t="s">
        <v>218</v>
      </c>
      <c r="B181" s="946"/>
      <c r="C181" s="333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>
      <c r="A182" s="945" t="s">
        <v>219</v>
      </c>
      <c r="B182" s="946"/>
      <c r="C182" s="333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>
      <c r="A183" s="945"/>
      <c r="B183" s="946"/>
      <c r="C183" s="333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</mergeCells>
  <pageMargins left="0.7" right="0.7" top="0.75" bottom="0.75" header="0.3" footer="0.3"/>
  <pageSetup orientation="portrait" horizontalDpi="4294967295" verticalDpi="4294967295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28</vt:i4>
      </vt:variant>
    </vt:vector>
  </HeadingPairs>
  <TitlesOfParts>
    <vt:vector size="70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 taken physical reading &amp; Adj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Sheet4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 taken physical reading &amp; Adj'!Print_Area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 Appa</cp:lastModifiedBy>
  <cp:revision/>
  <cp:lastPrinted>2022-05-15T06:01:40Z</cp:lastPrinted>
  <dcterms:created xsi:type="dcterms:W3CDTF">2013-11-14T06:06:34Z</dcterms:created>
  <dcterms:modified xsi:type="dcterms:W3CDTF">2022-06-29T07:38:49Z</dcterms:modified>
</cp:coreProperties>
</file>