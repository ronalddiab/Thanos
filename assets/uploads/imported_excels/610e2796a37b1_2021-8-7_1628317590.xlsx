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6"/>
  <workbookPr filterPrivacy="1" defaultThemeVersion="124226"/>
  <xr:revisionPtr revIDLastSave="0" documentId="13_ncr:1_{A8519A63-9106-41DB-AFC7-C82217E58E8B}" xr6:coauthVersionLast="36" xr6:coauthVersionMax="47" xr10:uidLastSave="{00000000-0000-0000-0000-000000000000}"/>
  <bookViews>
    <workbookView xWindow="0" yWindow="0" windowWidth="2880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 calcOnSave="0" concurrentCalc="0"/>
</workbook>
</file>

<file path=xl/calcChain.xml><?xml version="1.0" encoding="utf-8"?>
<calcChain xmlns="http://schemas.openxmlformats.org/spreadsheetml/2006/main">
  <c r="B32" i="8" l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V8" i="2"/>
  <c r="O17" i="8"/>
  <c r="C17" i="2"/>
  <c r="C18" i="2"/>
  <c r="C19" i="2"/>
  <c r="G17" i="8"/>
  <c r="B8" i="8"/>
  <c r="B10" i="8"/>
  <c r="S27" i="2"/>
  <c r="B20" i="4"/>
  <c r="B3" i="4"/>
  <c r="H21" i="2"/>
  <c r="C21" i="2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/>
  <c r="B35" i="8"/>
  <c r="O33" i="6"/>
  <c r="N33" i="6"/>
  <c r="M33" i="6"/>
  <c r="E33" i="6"/>
  <c r="B36" i="4"/>
  <c r="D5" i="2"/>
  <c r="D4" i="4"/>
  <c r="D6" i="2"/>
  <c r="D5" i="4"/>
  <c r="D7" i="2"/>
  <c r="D6" i="4"/>
  <c r="D7" i="4"/>
  <c r="D8" i="4"/>
  <c r="D10" i="2"/>
  <c r="D9" i="4"/>
  <c r="D11" i="2"/>
  <c r="D10" i="4"/>
  <c r="D12" i="2"/>
  <c r="D11" i="4"/>
  <c r="D13" i="2"/>
  <c r="D12" i="4"/>
  <c r="D14" i="2"/>
  <c r="D13" i="4"/>
  <c r="D15" i="2"/>
  <c r="D14" i="4"/>
  <c r="D16" i="2"/>
  <c r="D15" i="4"/>
  <c r="D17" i="2"/>
  <c r="D16" i="4"/>
  <c r="D18" i="2"/>
  <c r="D17" i="4"/>
  <c r="D19" i="2"/>
  <c r="D18" i="4"/>
  <c r="D20" i="2"/>
  <c r="D19" i="4"/>
  <c r="D21" i="2"/>
  <c r="D20" i="4"/>
  <c r="D22" i="2"/>
  <c r="D21" i="4"/>
  <c r="D22" i="4"/>
  <c r="D24" i="2"/>
  <c r="D23" i="4"/>
  <c r="D25" i="2"/>
  <c r="D24" i="4"/>
  <c r="D26" i="2"/>
  <c r="D25" i="4"/>
  <c r="D27" i="2"/>
  <c r="D26" i="4"/>
  <c r="D28" i="2"/>
  <c r="D27" i="4"/>
  <c r="D29" i="2"/>
  <c r="D28" i="4"/>
  <c r="D30" i="2"/>
  <c r="D29" i="4"/>
  <c r="D31" i="2"/>
  <c r="D30" i="4"/>
  <c r="D32" i="2"/>
  <c r="D31" i="4"/>
  <c r="D33" i="2"/>
  <c r="D32" i="4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/>
  <c r="D3" i="4"/>
  <c r="D33" i="4"/>
  <c r="C33" i="3"/>
  <c r="D33" i="3"/>
  <c r="E33" i="3"/>
  <c r="J33" i="3"/>
  <c r="K33" i="3"/>
  <c r="L33" i="3"/>
  <c r="D34" i="4"/>
  <c r="D36" i="4"/>
  <c r="I33" i="3"/>
  <c r="I34" i="2"/>
  <c r="H33" i="3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F33" i="3"/>
  <c r="V34" i="2"/>
  <c r="M33" i="3"/>
  <c r="G33" i="3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/>
  <c r="C34" i="8"/>
  <c r="V33" i="8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/>
  <c r="Z33" i="8"/>
  <c r="A34" i="8"/>
  <c r="C33" i="4"/>
  <c r="E33" i="4"/>
  <c r="K33" i="4"/>
  <c r="A33" i="4"/>
  <c r="A33" i="3"/>
  <c r="B35" i="2"/>
  <c r="A34" i="2"/>
  <c r="G33" i="4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/>
  <c r="Y6" i="8"/>
  <c r="Z6" i="8"/>
  <c r="Y7" i="8"/>
  <c r="Z7" i="8"/>
  <c r="Y8" i="8"/>
  <c r="Z8" i="8"/>
  <c r="Y9" i="8"/>
  <c r="Z9" i="8"/>
  <c r="Y10" i="8"/>
  <c r="Z10" i="8"/>
  <c r="Y11" i="8"/>
  <c r="Z11" i="8"/>
  <c r="Y16" i="8"/>
  <c r="Z16" i="8"/>
  <c r="Y17" i="8"/>
  <c r="Z17" i="8"/>
  <c r="Y18" i="8"/>
  <c r="Z18" i="8"/>
  <c r="Y19" i="8"/>
  <c r="Z19" i="8"/>
  <c r="Y20" i="8"/>
  <c r="Y21" i="8"/>
  <c r="Z21" i="8"/>
  <c r="Y22" i="8"/>
  <c r="Z22" i="8"/>
  <c r="Y23" i="8"/>
  <c r="Z23" i="8"/>
  <c r="Y25" i="8"/>
  <c r="Z25" i="8"/>
  <c r="Y26" i="8"/>
  <c r="Z26" i="8"/>
  <c r="Y27" i="8"/>
  <c r="Z27" i="8"/>
  <c r="Y28" i="8"/>
  <c r="Z28" i="8"/>
  <c r="Y29" i="8"/>
  <c r="Z29" i="8"/>
  <c r="Y30" i="8"/>
  <c r="Z30" i="8"/>
  <c r="Y31" i="8"/>
  <c r="Z31" i="8"/>
  <c r="Y32" i="8"/>
  <c r="Z32" i="8"/>
  <c r="Y12" i="8"/>
  <c r="Z12" i="8"/>
  <c r="Y13" i="8"/>
  <c r="Z13" i="8"/>
  <c r="Y14" i="8"/>
  <c r="Z14" i="8"/>
  <c r="Y15" i="8"/>
  <c r="Z15" i="8"/>
  <c r="Y24" i="8"/>
  <c r="Z24" i="8"/>
  <c r="Y4" i="8"/>
  <c r="F35" i="8"/>
  <c r="H35" i="8"/>
  <c r="Z20" i="8"/>
  <c r="Y35" i="8"/>
  <c r="Z35" i="8"/>
  <c r="Z4" i="8"/>
  <c r="D35" i="8"/>
  <c r="I33" i="6"/>
  <c r="J35" i="8"/>
  <c r="T35" i="8"/>
  <c r="L35" i="8"/>
  <c r="R35" i="8"/>
  <c r="X35" i="8"/>
  <c r="P35" i="8"/>
  <c r="V35" i="8"/>
  <c r="N35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O18" i="2"/>
  <c r="U5" i="2"/>
  <c r="K4" i="4"/>
  <c r="A30" i="3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/>
  <c r="C5" i="2"/>
  <c r="C4" i="2"/>
  <c r="H32" i="4"/>
  <c r="T20" i="2"/>
  <c r="J7" i="2"/>
  <c r="U7" i="2"/>
  <c r="N17" i="2"/>
  <c r="H15" i="2"/>
  <c r="I12" i="2"/>
  <c r="G11" i="2"/>
  <c r="F11" i="2"/>
  <c r="C11" i="2"/>
  <c r="C10" i="4"/>
  <c r="C10" i="3"/>
  <c r="C9" i="3"/>
  <c r="C8" i="3"/>
  <c r="C7" i="3"/>
  <c r="C6" i="3"/>
  <c r="L10" i="2"/>
  <c r="U10" i="2"/>
  <c r="L9" i="3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/>
  <c r="L6" i="3"/>
  <c r="L7" i="3"/>
  <c r="U11" i="2"/>
  <c r="K10" i="4"/>
  <c r="U12" i="2"/>
  <c r="K11" i="4"/>
  <c r="U13" i="2"/>
  <c r="K12" i="4"/>
  <c r="U14" i="2"/>
  <c r="K13" i="4"/>
  <c r="U15" i="2"/>
  <c r="L14" i="3"/>
  <c r="U16" i="2"/>
  <c r="K15" i="4"/>
  <c r="U17" i="2"/>
  <c r="L16" i="3"/>
  <c r="U18" i="2"/>
  <c r="L17" i="3"/>
  <c r="U19" i="2"/>
  <c r="L18" i="3"/>
  <c r="U20" i="2"/>
  <c r="L19" i="3"/>
  <c r="U21" i="2"/>
  <c r="K20" i="4"/>
  <c r="U22" i="2"/>
  <c r="K21" i="4"/>
  <c r="L22" i="3"/>
  <c r="U24" i="2"/>
  <c r="K23" i="4"/>
  <c r="U25" i="2"/>
  <c r="K24" i="4"/>
  <c r="U26" i="2"/>
  <c r="K25" i="4"/>
  <c r="U27" i="2"/>
  <c r="K26" i="4"/>
  <c r="U28" i="2"/>
  <c r="L27" i="3"/>
  <c r="U29" i="2"/>
  <c r="K28" i="4"/>
  <c r="U30" i="2"/>
  <c r="K29" i="4"/>
  <c r="U31" i="2"/>
  <c r="K30" i="4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/>
  <c r="E7" i="2"/>
  <c r="E6" i="4"/>
  <c r="E7" i="4"/>
  <c r="E11" i="2"/>
  <c r="F10" i="3"/>
  <c r="E12" i="2"/>
  <c r="E13" i="2"/>
  <c r="E12" i="4"/>
  <c r="E14" i="2"/>
  <c r="F13" i="3"/>
  <c r="E15" i="2"/>
  <c r="E14" i="4"/>
  <c r="E16" i="2"/>
  <c r="E17" i="2"/>
  <c r="E16" i="4"/>
  <c r="E18" i="2"/>
  <c r="E19" i="2"/>
  <c r="F18" i="3"/>
  <c r="E20" i="2"/>
  <c r="F19" i="3"/>
  <c r="E21" i="2"/>
  <c r="F20" i="3"/>
  <c r="E22" i="2"/>
  <c r="E21" i="4"/>
  <c r="F22" i="3"/>
  <c r="E24" i="2"/>
  <c r="F23" i="3"/>
  <c r="E25" i="2"/>
  <c r="F24" i="3"/>
  <c r="E26" i="2"/>
  <c r="E27" i="2"/>
  <c r="F26" i="3"/>
  <c r="E28" i="2"/>
  <c r="E27" i="4"/>
  <c r="E29" i="2"/>
  <c r="E28" i="4"/>
  <c r="E30" i="2"/>
  <c r="F29" i="3"/>
  <c r="E31" i="2"/>
  <c r="F30" i="3"/>
  <c r="E32" i="2"/>
  <c r="F31" i="3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/>
  <c r="M4" i="3"/>
  <c r="V6" i="2"/>
  <c r="M5" i="3"/>
  <c r="V7" i="2"/>
  <c r="M6" i="3"/>
  <c r="V20" i="2"/>
  <c r="T35" i="2"/>
  <c r="K35" i="2"/>
  <c r="P35" i="2"/>
  <c r="F35" i="2"/>
  <c r="O35" i="2"/>
  <c r="V32" i="2"/>
  <c r="V24" i="2"/>
  <c r="V16" i="2"/>
  <c r="M15" i="3"/>
  <c r="F4" i="3"/>
  <c r="M35" i="2"/>
  <c r="V31" i="2"/>
  <c r="V23" i="2"/>
  <c r="M22" i="3"/>
  <c r="V15" i="2"/>
  <c r="M14" i="3"/>
  <c r="I35" i="2"/>
  <c r="S35" i="2"/>
  <c r="R35" i="2"/>
  <c r="E3" i="4"/>
  <c r="E35" i="2"/>
  <c r="V4" i="2"/>
  <c r="M3" i="3"/>
  <c r="F17" i="3"/>
  <c r="V18" i="2"/>
  <c r="M17" i="3"/>
  <c r="L35" i="2"/>
  <c r="H35" i="2"/>
  <c r="V30" i="2"/>
  <c r="V26" i="2"/>
  <c r="M25" i="3"/>
  <c r="D21" i="3"/>
  <c r="V22" i="2"/>
  <c r="M21" i="3"/>
  <c r="V14" i="2"/>
  <c r="M13" i="3"/>
  <c r="J35" i="2"/>
  <c r="V10" i="2"/>
  <c r="M9" i="3"/>
  <c r="V11" i="2"/>
  <c r="M10" i="3"/>
  <c r="V28" i="2"/>
  <c r="M27" i="3"/>
  <c r="C11" i="4"/>
  <c r="V12" i="2"/>
  <c r="M11" i="3"/>
  <c r="G35" i="2"/>
  <c r="V27" i="2"/>
  <c r="V19" i="2"/>
  <c r="M7" i="3"/>
  <c r="Q35" i="2"/>
  <c r="K3" i="4"/>
  <c r="U35" i="2"/>
  <c r="V29" i="2"/>
  <c r="M28" i="3"/>
  <c r="V25" i="2"/>
  <c r="C20" i="4"/>
  <c r="V21" i="2"/>
  <c r="M20" i="3"/>
  <c r="V17" i="2"/>
  <c r="C12" i="4"/>
  <c r="V13" i="2"/>
  <c r="M12" i="3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/>
  <c r="D34" i="3"/>
  <c r="E34" i="4"/>
  <c r="E36" i="4"/>
  <c r="K34" i="4"/>
  <c r="K36" i="4"/>
  <c r="J34" i="3"/>
  <c r="I34" i="3"/>
  <c r="L34" i="3"/>
  <c r="F34" i="3"/>
  <c r="G34" i="3"/>
  <c r="H34" i="3"/>
  <c r="E34" i="3"/>
  <c r="K34" i="3"/>
  <c r="F34" i="4"/>
  <c r="F36" i="4"/>
  <c r="G34" i="4"/>
  <c r="G36" i="4"/>
  <c r="I34" i="4"/>
  <c r="I36" i="4"/>
  <c r="C34" i="4"/>
  <c r="C36" i="4"/>
  <c r="H34" i="4"/>
  <c r="H36" i="4"/>
  <c r="J34" i="4"/>
  <c r="J36" i="4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/>
  <c r="N34" i="3"/>
  <c r="L34" i="4"/>
  <c r="M34" i="4"/>
  <c r="L36" i="4"/>
  <c r="M36" i="4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<sst xmlns="http://schemas.openxmlformats.org/spreadsheetml/2006/main" count="201" uniqueCount="128">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</sst>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-434940</c:v>
                </c:pt>
                <c:pt idx="1">
                  <c:v>-2456000</c:v>
                </c:pt>
                <c:pt idx="2">
                  <c:v>-237010</c:v>
                </c:pt>
                <c:pt idx="3">
                  <c:v>-913880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-54328</c:v>
                </c:pt>
                <c:pt idx="1">
                  <c:v>0.17577667484162368</c:v>
                </c:pt>
                <c:pt idx="2" formatCode="_(* #,##0.00_);_(* \(#,##0.00\);_(* &quot;-&quot;??_);_(@_)">
                  <c:v>-206664</c:v>
                </c:pt>
                <c:pt idx="3">
                  <c:v>0.66865540291321823</c:v>
                </c:pt>
                <c:pt idx="4" formatCode="0.00">
                  <c:v>-27288</c:v>
                </c:pt>
                <c:pt idx="5">
                  <c:v>8.8289535839313565E-2</c:v>
                </c:pt>
                <c:pt idx="6" formatCode="0.00">
                  <c:v>-37152</c:v>
                </c:pt>
                <c:pt idx="7">
                  <c:v>0.12020422293690185</c:v>
                </c:pt>
                <c:pt idx="8" formatCode="0.00">
                  <c:v>-6394</c:v>
                </c:pt>
                <c:pt idx="9">
                  <c:v>2.0687602321774072E-2</c:v>
                </c:pt>
                <c:pt idx="10" formatCode="0.00">
                  <c:v>-775</c:v>
                </c:pt>
                <c:pt idx="11">
                  <c:v>2.5074901156357378E-3</c:v>
                </c:pt>
                <c:pt idx="12" formatCode="0.00">
                  <c:v>-66956</c:v>
                </c:pt>
                <c:pt idx="13">
                  <c:v>0.21663420410645995</c:v>
                </c:pt>
                <c:pt idx="14" formatCode="_(* #,##0.00_);_(* \(#,##0.00\);_(* &quot;-&quot;??_);_(@_)">
                  <c:v>-249696</c:v>
                </c:pt>
                <c:pt idx="15">
                  <c:v>0.80788419601778216</c:v>
                </c:pt>
                <c:pt idx="16" formatCode="0.00">
                  <c:v>-112190</c:v>
                </c:pt>
                <c:pt idx="17">
                  <c:v>0.36298750461054635</c:v>
                </c:pt>
                <c:pt idx="18" formatCode="0.00">
                  <c:v>-20665</c:v>
                </c:pt>
                <c:pt idx="19">
                  <c:v>6.6861010631758089E-2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-782108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7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8</v>
      </c>
      <c r="D2" s="46">
        <v>2021</v>
      </c>
      <c r="E2" s="107">
        <v>21469.999999999345</v>
      </c>
      <c r="F2" s="48">
        <v>0.14000000000000001</v>
      </c>
      <c r="G2" s="107">
        <v>5872</v>
      </c>
      <c r="H2" s="48">
        <v>0.45</v>
      </c>
      <c r="I2" s="65">
        <v>320</v>
      </c>
      <c r="J2" s="76">
        <v>0.4</v>
      </c>
      <c r="K2" s="108"/>
      <c r="L2" s="76"/>
      <c r="M2" s="72">
        <v>20</v>
      </c>
      <c r="N2" s="72">
        <v>42</v>
      </c>
      <c r="O2" s="72">
        <v>125</v>
      </c>
    </row>
    <row r="3" spans="1:15" ht="15" x14ac:dyDescent="0.25">
      <c r="A3" s="45" t="s">
        <v>9</v>
      </c>
      <c r="B3" s="46">
        <f>B2+1</f>
        <v>2</v>
      </c>
      <c r="C3" s="47">
        <v>8</v>
      </c>
      <c r="D3" s="46">
        <v>2021</v>
      </c>
      <c r="E3" s="107">
        <v>20730.000000000018</v>
      </c>
      <c r="F3" s="48">
        <v>0.14000000000000001</v>
      </c>
      <c r="G3" s="107">
        <v>5616</v>
      </c>
      <c r="H3" s="48">
        <v>0.45</v>
      </c>
      <c r="I3" s="65">
        <v>269</v>
      </c>
      <c r="J3" s="76">
        <v>0.4</v>
      </c>
      <c r="K3" s="108"/>
      <c r="L3" s="76"/>
      <c r="M3" s="72">
        <v>23</v>
      </c>
      <c r="N3" s="72">
        <v>49</v>
      </c>
      <c r="O3" s="72">
        <v>152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8</v>
      </c>
      <c r="D4" s="46">
        <v>2021</v>
      </c>
      <c r="E4" s="107">
        <v>22650.000000000771</v>
      </c>
      <c r="F4" s="48">
        <v>0.14000000000000001</v>
      </c>
      <c r="G4" s="107">
        <v>6176</v>
      </c>
      <c r="H4" s="48">
        <v>0.45</v>
      </c>
      <c r="I4" s="65">
        <v>435</v>
      </c>
      <c r="J4" s="76">
        <v>0.4</v>
      </c>
      <c r="K4" s="108"/>
      <c r="L4" s="76"/>
      <c r="M4" s="72">
        <v>29</v>
      </c>
      <c r="N4" s="72">
        <v>73</v>
      </c>
      <c r="O4" s="72">
        <v>192</v>
      </c>
    </row>
    <row r="5" spans="1:15" ht="15" x14ac:dyDescent="0.25">
      <c r="A5" s="45" t="s">
        <v>9</v>
      </c>
      <c r="B5" s="46">
        <f t="shared" si="0"/>
        <v>4</v>
      </c>
      <c r="C5" s="47">
        <v>8</v>
      </c>
      <c r="D5" s="46">
        <v>2021</v>
      </c>
      <c r="E5" s="107">
        <v>23439.999999999825</v>
      </c>
      <c r="F5" s="48">
        <v>0.14000000000000001</v>
      </c>
      <c r="G5" s="107">
        <v>6476</v>
      </c>
      <c r="H5" s="48">
        <v>0.45</v>
      </c>
      <c r="I5" s="65">
        <v>400</v>
      </c>
      <c r="J5" s="76">
        <v>0.4</v>
      </c>
      <c r="K5" s="108"/>
      <c r="L5" s="76"/>
      <c r="M5" s="72">
        <v>27</v>
      </c>
      <c r="N5" s="72">
        <v>71</v>
      </c>
      <c r="O5" s="72">
        <v>218</v>
      </c>
    </row>
    <row r="6" spans="1:15" ht="15" x14ac:dyDescent="0.25">
      <c r="A6" s="45" t="s">
        <v>9</v>
      </c>
      <c r="B6" s="46">
        <f t="shared" si="0"/>
        <v>5</v>
      </c>
      <c r="C6" s="47">
        <v>8</v>
      </c>
      <c r="D6" s="46">
        <v>2021</v>
      </c>
      <c r="E6" s="107">
        <v>16619.999999999891</v>
      </c>
      <c r="F6" s="48">
        <v>0.14000000000000001</v>
      </c>
      <c r="G6" s="107">
        <v>6218</v>
      </c>
      <c r="H6" s="48">
        <v>0.45</v>
      </c>
      <c r="I6" s="65">
        <v>371</v>
      </c>
      <c r="J6" s="76">
        <v>0.4</v>
      </c>
      <c r="K6" s="108"/>
      <c r="L6" s="76"/>
      <c r="M6" s="72">
        <v>34</v>
      </c>
      <c r="N6" s="72">
        <v>89</v>
      </c>
      <c r="O6" s="72">
        <v>226</v>
      </c>
    </row>
    <row r="7" spans="1:15" ht="15" x14ac:dyDescent="0.25">
      <c r="A7" s="45" t="s">
        <v>9</v>
      </c>
      <c r="B7" s="46">
        <f t="shared" si="0"/>
        <v>6</v>
      </c>
      <c r="C7" s="47">
        <v>8</v>
      </c>
      <c r="D7" s="46">
        <v>2021</v>
      </c>
      <c r="E7" s="107">
        <v>27349.999999999909</v>
      </c>
      <c r="F7" s="48">
        <v>0.14000000000000001</v>
      </c>
      <c r="G7" s="107">
        <v>5743</v>
      </c>
      <c r="H7" s="48">
        <v>0.45</v>
      </c>
      <c r="I7" s="65">
        <v>256</v>
      </c>
      <c r="J7" s="76">
        <v>0.4</v>
      </c>
      <c r="K7" s="108"/>
      <c r="L7" s="76"/>
      <c r="M7" s="72">
        <v>25</v>
      </c>
      <c r="N7" s="72">
        <v>78</v>
      </c>
      <c r="O7" s="72">
        <v>189</v>
      </c>
    </row>
    <row r="8" spans="1:15" ht="15" x14ac:dyDescent="0.25">
      <c r="A8" s="45" t="s">
        <v>9</v>
      </c>
      <c r="B8" s="46">
        <f t="shared" si="0"/>
        <v>7</v>
      </c>
      <c r="C8" s="47">
        <v>8</v>
      </c>
      <c r="D8" s="46">
        <v>2021</v>
      </c>
      <c r="E8" s="107"/>
      <c r="F8" s="48">
        <v>0.14000000000000001</v>
      </c>
      <c r="G8" s="107"/>
      <c r="H8" s="48">
        <v>0.45</v>
      </c>
      <c r="I8" s="65"/>
      <c r="J8" s="76">
        <v>0.4</v>
      </c>
      <c r="K8" s="108"/>
      <c r="L8" s="76"/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8</v>
      </c>
      <c r="D9" s="46">
        <v>2021</v>
      </c>
      <c r="E9" s="107"/>
      <c r="F9" s="48">
        <v>0.14000000000000001</v>
      </c>
      <c r="G9" s="107"/>
      <c r="H9" s="48">
        <v>0.45</v>
      </c>
      <c r="I9" s="65"/>
      <c r="J9" s="76">
        <v>0.4</v>
      </c>
      <c r="K9" s="108"/>
      <c r="L9" s="76"/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8</v>
      </c>
      <c r="D10" s="46">
        <v>2021</v>
      </c>
      <c r="E10" s="107"/>
      <c r="F10" s="48">
        <v>0.14000000000000001</v>
      </c>
      <c r="G10" s="107"/>
      <c r="H10" s="48">
        <v>0.45</v>
      </c>
      <c r="I10" s="65"/>
      <c r="J10" s="76">
        <v>0.4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8</v>
      </c>
      <c r="D11" s="46">
        <v>2021</v>
      </c>
      <c r="E11" s="107"/>
      <c r="F11" s="48">
        <v>0.14000000000000001</v>
      </c>
      <c r="G11" s="107"/>
      <c r="H11" s="48">
        <v>0.45</v>
      </c>
      <c r="I11" s="65"/>
      <c r="J11" s="76">
        <v>0.4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8</v>
      </c>
      <c r="D12" s="46">
        <v>2021</v>
      </c>
      <c r="E12" s="107"/>
      <c r="F12" s="48">
        <v>0.14000000000000001</v>
      </c>
      <c r="G12" s="107"/>
      <c r="H12" s="48">
        <v>0.45</v>
      </c>
      <c r="I12" s="65"/>
      <c r="J12" s="76">
        <v>0.4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8</v>
      </c>
      <c r="D13" s="46">
        <v>2021</v>
      </c>
      <c r="E13" s="107"/>
      <c r="F13" s="48">
        <v>0.14000000000000001</v>
      </c>
      <c r="G13" s="107"/>
      <c r="H13" s="48">
        <v>0.45</v>
      </c>
      <c r="I13" s="65"/>
      <c r="J13" s="76">
        <v>0.4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8</v>
      </c>
      <c r="D14" s="46">
        <v>2021</v>
      </c>
      <c r="E14" s="107"/>
      <c r="F14" s="48">
        <v>0.14000000000000001</v>
      </c>
      <c r="G14" s="107"/>
      <c r="H14" s="48">
        <v>0.45</v>
      </c>
      <c r="I14" s="65"/>
      <c r="J14" s="76">
        <v>0.4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8</v>
      </c>
      <c r="D15" s="46">
        <v>2021</v>
      </c>
      <c r="E15" s="107"/>
      <c r="F15" s="48">
        <v>0.14000000000000001</v>
      </c>
      <c r="G15" s="107"/>
      <c r="H15" s="48">
        <v>0.45</v>
      </c>
      <c r="I15" s="65"/>
      <c r="J15" s="76">
        <v>0.4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8</v>
      </c>
      <c r="D16" s="46">
        <v>2021</v>
      </c>
      <c r="E16" s="107"/>
      <c r="F16" s="48">
        <v>0.14000000000000001</v>
      </c>
      <c r="G16" s="107"/>
      <c r="H16" s="48">
        <v>0.45</v>
      </c>
      <c r="I16" s="65"/>
      <c r="J16" s="76">
        <v>0.4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8</v>
      </c>
      <c r="D17" s="46">
        <v>2021</v>
      </c>
      <c r="E17" s="107"/>
      <c r="F17" s="48">
        <v>0.14000000000000001</v>
      </c>
      <c r="G17" s="107"/>
      <c r="H17" s="48">
        <v>0.45</v>
      </c>
      <c r="I17" s="65"/>
      <c r="J17" s="76">
        <v>0.4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8</v>
      </c>
      <c r="D18" s="46">
        <v>2021</v>
      </c>
      <c r="E18" s="107"/>
      <c r="F18" s="48">
        <v>0.14000000000000001</v>
      </c>
      <c r="G18" s="107"/>
      <c r="H18" s="48">
        <v>0.45</v>
      </c>
      <c r="I18" s="65"/>
      <c r="J18" s="76">
        <v>0.4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8</v>
      </c>
      <c r="D19" s="46">
        <v>2021</v>
      </c>
      <c r="E19" s="107"/>
      <c r="F19" s="48">
        <v>0.14000000000000001</v>
      </c>
      <c r="G19" s="107"/>
      <c r="H19" s="48">
        <v>0.45</v>
      </c>
      <c r="I19" s="65"/>
      <c r="J19" s="76">
        <v>0.4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8</v>
      </c>
      <c r="D20" s="46">
        <v>2021</v>
      </c>
      <c r="E20" s="107"/>
      <c r="F20" s="48">
        <v>0.14000000000000001</v>
      </c>
      <c r="G20" s="107"/>
      <c r="H20" s="48">
        <v>0.45</v>
      </c>
      <c r="I20" s="65"/>
      <c r="J20" s="76">
        <v>0.4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8</v>
      </c>
      <c r="D21" s="46">
        <v>2021</v>
      </c>
      <c r="E21" s="107"/>
      <c r="F21" s="48">
        <v>0.14000000000000001</v>
      </c>
      <c r="G21" s="107"/>
      <c r="H21" s="48">
        <v>0.45</v>
      </c>
      <c r="I21" s="65"/>
      <c r="J21" s="76">
        <v>0.4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8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8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8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8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8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8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8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8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8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8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8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132259.99999999977</v>
      </c>
      <c r="F33" s="104">
        <v>0</v>
      </c>
      <c r="G33" s="101">
        <f>SUM(G2:G32)</f>
        <v>36101</v>
      </c>
      <c r="H33" s="102">
        <v>0</v>
      </c>
      <c r="I33" s="103">
        <f>SUM(I2:I32)</f>
        <v>2051</v>
      </c>
      <c r="J33" s="104">
        <v>0</v>
      </c>
      <c r="K33" s="105">
        <v>0</v>
      </c>
      <c r="L33" s="102">
        <v>0</v>
      </c>
      <c r="M33" s="106">
        <f t="shared" ref="M33:O33" si="1">SUM(M2:M32)</f>
        <v>158</v>
      </c>
      <c r="N33" s="106">
        <f t="shared" si="1"/>
        <v>402</v>
      </c>
      <c r="O33" s="106">
        <f t="shared" si="1"/>
        <v>1102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44409</v>
      </c>
      <c r="B4" s="1">
        <v>1023.1</v>
      </c>
      <c r="C4" s="1">
        <v>237.01</v>
      </c>
      <c r="D4" s="1">
        <v>7554935.0599999996</v>
      </c>
      <c r="E4" s="1">
        <v>8284704.04</v>
      </c>
      <c r="F4" s="1">
        <v>2.456</v>
      </c>
      <c r="G4" s="1">
        <v>771.87</v>
      </c>
      <c r="H4" s="1">
        <v>635.87</v>
      </c>
      <c r="I4" s="1">
        <v>246.18</v>
      </c>
      <c r="J4" s="1">
        <v>324.2</v>
      </c>
      <c r="K4" s="1">
        <v>349.56</v>
      </c>
      <c r="L4" s="1">
        <v>240.12</v>
      </c>
      <c r="M4" s="1">
        <v>542.35</v>
      </c>
      <c r="N4" s="1">
        <v>494.99</v>
      </c>
      <c r="O4" s="1">
        <v>158.49</v>
      </c>
      <c r="P4" s="1">
        <v>651.11</v>
      </c>
      <c r="Q4" s="1">
        <v>483.18</v>
      </c>
      <c r="R4" s="1">
        <v>166.73</v>
      </c>
      <c r="S4" s="1">
        <v>119.01</v>
      </c>
      <c r="T4" s="1">
        <v>434.94</v>
      </c>
      <c r="V4" s="71">
        <v>20</v>
      </c>
      <c r="W4" s="71">
        <v>42</v>
      </c>
      <c r="X4" s="71">
        <v>125</v>
      </c>
      <c r="Y4" s="17"/>
    </row>
    <row r="5" spans="1:25" ht="21" customHeight="1" x14ac:dyDescent="0.25">
      <c r="A5" s="8">
        <v>44410</v>
      </c>
      <c r="B5" s="1">
        <v>1024.5</v>
      </c>
      <c r="C5" s="1">
        <v>237.25</v>
      </c>
      <c r="D5" s="1">
        <v>7557399.5899999999</v>
      </c>
      <c r="E5" s="1">
        <v>8287643.3399999999</v>
      </c>
      <c r="F5" s="1">
        <v>2.4584999999999999</v>
      </c>
      <c r="G5" s="1">
        <v>772.79</v>
      </c>
      <c r="H5" s="1">
        <v>636.23</v>
      </c>
      <c r="I5" s="1">
        <v>246.53</v>
      </c>
      <c r="J5" s="1">
        <v>324.5</v>
      </c>
      <c r="K5" s="1">
        <v>349.9</v>
      </c>
      <c r="L5" s="1">
        <v>240.33</v>
      </c>
      <c r="M5" s="1">
        <v>543.1</v>
      </c>
      <c r="N5" s="1">
        <v>495.48</v>
      </c>
      <c r="O5" s="1">
        <v>158.69999999999999</v>
      </c>
      <c r="P5" s="1">
        <v>652.04</v>
      </c>
      <c r="Q5" s="1">
        <v>483.92</v>
      </c>
      <c r="R5" s="1">
        <v>166.94</v>
      </c>
      <c r="S5" s="1">
        <v>119.14</v>
      </c>
      <c r="T5" s="1">
        <v>435.39</v>
      </c>
      <c r="V5" s="71">
        <v>23</v>
      </c>
      <c r="W5" s="71">
        <v>49</v>
      </c>
      <c r="X5" s="71">
        <v>152</v>
      </c>
      <c r="Y5" s="17"/>
    </row>
    <row r="6" spans="1:25" ht="21" customHeight="1" x14ac:dyDescent="0.25">
      <c r="A6" s="8">
        <v>44411</v>
      </c>
      <c r="B6" s="1">
        <v>1025.9000000000001</v>
      </c>
      <c r="C6" s="1">
        <v>237.5</v>
      </c>
      <c r="D6" s="1">
        <v>7559464.7300000004</v>
      </c>
      <c r="E6" s="1">
        <v>8290369.9900000002</v>
      </c>
      <c r="F6" s="1">
        <v>2.4609000000000001</v>
      </c>
      <c r="G6" s="1">
        <v>773.67</v>
      </c>
      <c r="H6" s="1">
        <v>636.62</v>
      </c>
      <c r="I6" s="1">
        <v>246.85</v>
      </c>
      <c r="J6" s="1">
        <v>324.68</v>
      </c>
      <c r="K6" s="1">
        <v>350.14</v>
      </c>
      <c r="L6" s="1">
        <v>240.51</v>
      </c>
      <c r="M6" s="1">
        <v>543.77</v>
      </c>
      <c r="N6" s="1">
        <v>496.11</v>
      </c>
      <c r="O6" s="1">
        <v>158.94999999999999</v>
      </c>
      <c r="P6" s="1">
        <v>652.86</v>
      </c>
      <c r="Q6" s="1">
        <v>484.61</v>
      </c>
      <c r="R6" s="1">
        <v>167.13</v>
      </c>
      <c r="S6" s="1">
        <v>119.24</v>
      </c>
      <c r="T6" s="1">
        <v>435.85</v>
      </c>
      <c r="V6" s="71">
        <v>29</v>
      </c>
      <c r="W6" s="71">
        <v>73</v>
      </c>
      <c r="X6" s="71">
        <v>192</v>
      </c>
      <c r="Y6" s="17"/>
    </row>
    <row r="7" spans="1:25" ht="21" customHeight="1" x14ac:dyDescent="0.25">
      <c r="A7" s="8">
        <v>44412</v>
      </c>
      <c r="B7" s="1">
        <v>1027.4000000000001</v>
      </c>
      <c r="C7" s="1">
        <v>237.77</v>
      </c>
      <c r="D7" s="109">
        <v>7561611.0999999996</v>
      </c>
      <c r="E7" s="1">
        <v>8293057.79</v>
      </c>
      <c r="F7" s="1">
        <v>2.4632000000000001</v>
      </c>
      <c r="G7" s="1">
        <v>774.59</v>
      </c>
      <c r="H7" s="1">
        <v>637.03</v>
      </c>
      <c r="I7" s="1">
        <v>247.17</v>
      </c>
      <c r="J7" s="1">
        <v>324.93</v>
      </c>
      <c r="K7" s="1">
        <v>350.37</v>
      </c>
      <c r="L7" s="1">
        <v>240.67</v>
      </c>
      <c r="M7" s="1">
        <v>544.41999999999996</v>
      </c>
      <c r="N7" s="1">
        <v>496.83</v>
      </c>
      <c r="O7" s="1">
        <v>159.15</v>
      </c>
      <c r="P7" s="1">
        <v>653.73</v>
      </c>
      <c r="Q7" s="1">
        <v>485.32</v>
      </c>
      <c r="R7" s="1">
        <v>167.31</v>
      </c>
      <c r="S7" s="1">
        <v>119.36</v>
      </c>
      <c r="T7" s="1">
        <v>436.34</v>
      </c>
      <c r="V7" s="71">
        <v>27</v>
      </c>
      <c r="W7" s="71">
        <v>71</v>
      </c>
      <c r="X7" s="71">
        <v>218</v>
      </c>
      <c r="Y7" s="17"/>
    </row>
    <row r="8" spans="1:25" ht="21" customHeight="1" x14ac:dyDescent="0.25">
      <c r="A8" s="8">
        <v>44413</v>
      </c>
      <c r="B8" s="1">
        <v>1028.9000000000001</v>
      </c>
      <c r="C8" s="1">
        <v>237.99</v>
      </c>
      <c r="D8" s="1">
        <v>7564005.6799999997</v>
      </c>
      <c r="E8" s="1">
        <v>8295948.1299999999</v>
      </c>
      <c r="F8" s="1">
        <v>2.4657</v>
      </c>
      <c r="G8" s="1">
        <v>775.52</v>
      </c>
      <c r="H8" s="1">
        <v>637.55999999999995</v>
      </c>
      <c r="I8" s="1">
        <v>247.5</v>
      </c>
      <c r="J8" s="1">
        <v>325.2</v>
      </c>
      <c r="K8" s="1">
        <v>350.65</v>
      </c>
      <c r="L8" s="1">
        <v>240.85</v>
      </c>
      <c r="M8" s="1">
        <v>545.11</v>
      </c>
      <c r="N8" s="1">
        <v>497.58</v>
      </c>
      <c r="O8" s="1">
        <v>159.4</v>
      </c>
      <c r="P8" s="1">
        <v>654.69000000000005</v>
      </c>
      <c r="Q8" s="1">
        <v>486.07</v>
      </c>
      <c r="R8" s="1">
        <v>167.48</v>
      </c>
      <c r="S8" s="1">
        <v>119.48</v>
      </c>
      <c r="T8" s="1">
        <v>436.86</v>
      </c>
      <c r="V8" s="71">
        <v>34</v>
      </c>
      <c r="W8" s="71">
        <v>89</v>
      </c>
      <c r="X8" s="71">
        <v>226</v>
      </c>
      <c r="Y8" s="17"/>
    </row>
    <row r="9" spans="1:25" ht="21" customHeight="1" x14ac:dyDescent="0.25">
      <c r="A9" s="8">
        <v>44414</v>
      </c>
      <c r="B9" s="111">
        <v>1030.3</v>
      </c>
      <c r="C9" s="15">
        <v>238.23</v>
      </c>
      <c r="D9" s="111">
        <v>7566321.5999999996</v>
      </c>
      <c r="E9" s="111">
        <v>8298966.5999999996</v>
      </c>
      <c r="F9" s="15">
        <v>2.4681999999999999</v>
      </c>
      <c r="G9" s="111">
        <v>776.47</v>
      </c>
      <c r="H9" s="111">
        <v>638.12</v>
      </c>
      <c r="I9" s="111">
        <v>247.83</v>
      </c>
      <c r="J9" s="1">
        <v>325.49</v>
      </c>
      <c r="K9" s="1">
        <v>350.93</v>
      </c>
      <c r="L9" s="1">
        <v>241.04</v>
      </c>
      <c r="M9" s="1">
        <v>545.79999999999995</v>
      </c>
      <c r="N9" s="1">
        <v>498.29</v>
      </c>
      <c r="O9" s="1">
        <v>159.66</v>
      </c>
      <c r="P9" s="1">
        <v>655.6</v>
      </c>
      <c r="Q9" s="1">
        <v>486.72</v>
      </c>
      <c r="R9" s="1">
        <v>167.68</v>
      </c>
      <c r="S9" s="1">
        <v>119.6</v>
      </c>
      <c r="T9" s="1">
        <v>437.37</v>
      </c>
      <c r="V9" s="71">
        <v>25</v>
      </c>
      <c r="W9" s="71">
        <v>78</v>
      </c>
      <c r="X9" s="71">
        <v>189</v>
      </c>
      <c r="Y9" s="17"/>
    </row>
    <row r="10" spans="1:25" ht="21" customHeight="1" x14ac:dyDescent="0.25">
      <c r="A10" s="8">
        <v>44415</v>
      </c>
      <c r="B10" s="1">
        <v>1031.5</v>
      </c>
      <c r="C10" s="1">
        <v>238.5</v>
      </c>
      <c r="D10" s="1">
        <v>7568582.9900000002</v>
      </c>
      <c r="E10" s="1">
        <v>8302063.6799999997</v>
      </c>
      <c r="F10" s="1">
        <v>2.4708999999999999</v>
      </c>
      <c r="G10" s="1">
        <v>777.34</v>
      </c>
      <c r="H10" s="1">
        <v>638.66999999999996</v>
      </c>
      <c r="I10" s="1">
        <v>248.16</v>
      </c>
      <c r="J10" s="1">
        <v>325.83999999999997</v>
      </c>
      <c r="K10" s="1">
        <v>351.25</v>
      </c>
      <c r="L10" s="1">
        <v>241.28</v>
      </c>
      <c r="M10" s="1">
        <v>546.44000000000005</v>
      </c>
      <c r="N10" s="1">
        <v>498.94</v>
      </c>
      <c r="O10" s="1">
        <v>159.96</v>
      </c>
      <c r="P10" s="1">
        <v>655.65</v>
      </c>
      <c r="Q10" s="1">
        <v>487.36</v>
      </c>
      <c r="R10" s="1">
        <v>167.87</v>
      </c>
      <c r="S10" s="1">
        <v>119.73</v>
      </c>
      <c r="T10" s="1">
        <v>437.63</v>
      </c>
      <c r="V10" s="71"/>
      <c r="W10" s="71"/>
      <c r="X10" s="71"/>
      <c r="Y10" s="17"/>
    </row>
    <row r="11" spans="1:25" ht="21" customHeight="1" x14ac:dyDescent="0.25">
      <c r="A11" s="8">
        <v>44416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44417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44418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44419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44420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44421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44422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44423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44424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44426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44428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44430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44433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44434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44435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44436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44437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44438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44439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44440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158</v>
      </c>
      <c r="W35" s="78">
        <f>SUM(W4:W34)</f>
        <v>402</v>
      </c>
      <c r="X35" s="78">
        <f>SUM(X4:X34)</f>
        <v>1102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22" sqref="U22:U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44409</v>
      </c>
      <c r="B4" s="26">
        <v>25520</v>
      </c>
      <c r="C4" s="4">
        <f>('Kwh Reading'!T5-'Kwh Reading'!T4)*1000</f>
        <v>449.99999999998863</v>
      </c>
      <c r="D4" s="2">
        <f>('Kwh Reading'!F5-'Kwh Reading'!F4)*1000000</f>
        <v>2499.9999999999468</v>
      </c>
      <c r="E4" s="2">
        <f>('Kwh Reading'!C5-'Kwh Reading'!C4)*1000</f>
        <v>240.00000000000909</v>
      </c>
      <c r="F4" s="2">
        <f>('Kwh Reading'!J5-'Kwh Reading'!J4)*1000</f>
        <v>300.00000000001137</v>
      </c>
      <c r="G4" s="2">
        <f>('Kwh Reading'!K5-'Kwh Reading'!K4)*1000</f>
        <v>339.99999999997499</v>
      </c>
      <c r="H4" s="2">
        <f>('Kwh Reading'!L5-'Kwh Reading'!L4)*1000</f>
        <v>210.00000000000796</v>
      </c>
      <c r="I4" s="2">
        <f>('Kwh Reading'!R5-'Kwh Reading'!R4)*1000</f>
        <v>210.00000000000796</v>
      </c>
      <c r="J4" s="2">
        <f>('Kwh Reading'!S5-'Kwh Reading'!S4)*1000</f>
        <v>129.99999999999545</v>
      </c>
      <c r="K4" s="2">
        <f>('Kwh Reading'!I5-'Kwh Reading'!I4)*1000</f>
        <v>349.99999999999432</v>
      </c>
      <c r="L4" s="2">
        <f>('Kwh Reading'!B5-'Kwh Reading'!B4)*1000</f>
        <v>1399.9999999999773</v>
      </c>
      <c r="M4" s="2">
        <f>('Kwh Reading'!M5-'Kwh Reading'!M4)*1000</f>
        <v>750</v>
      </c>
      <c r="N4" s="2">
        <f>('Kwh Reading'!H5-'Kwh Reading'!H4)*1000</f>
        <v>360.00000000001364</v>
      </c>
      <c r="O4" s="2">
        <f>('Kwh Reading'!P5-'Kwh Reading'!P4)*1000</f>
        <v>929.99999999994998</v>
      </c>
      <c r="P4" s="2">
        <f>('Kwh Reading'!G5-'Kwh Reading'!G4)*1000</f>
        <v>919.99999999995907</v>
      </c>
      <c r="Q4" s="2">
        <f>('Kwh Reading'!Q5-'Kwh Reading'!Q4)*1000</f>
        <v>740.00000000000909</v>
      </c>
      <c r="R4" s="2">
        <f>('Kwh Reading'!N5-'Kwh Reading'!N4)*1000</f>
        <v>490.00000000000909</v>
      </c>
      <c r="S4" s="2">
        <f>'Kwh Reading'!E5-'Kwh Reading'!E4</f>
        <v>2939.2999999998137</v>
      </c>
      <c r="T4" s="2">
        <f>'Kwh Reading'!D5-'Kwh Reading'!D4</f>
        <v>2464.5300000002608</v>
      </c>
      <c r="U4" s="27">
        <f>('Kwh Reading'!O5-'Kwh Reading'!O4)*1000</f>
        <v>209.99999999997954</v>
      </c>
      <c r="V4" s="16">
        <f>B4-(SUM(C4:U4))</f>
        <v>9586.170000000091</v>
      </c>
    </row>
    <row r="5" spans="1:22" x14ac:dyDescent="0.25">
      <c r="A5" s="3">
        <f>'Kwh Reading'!A5</f>
        <v>44410</v>
      </c>
      <c r="B5" s="26">
        <f>TOTAL!E3</f>
        <v>20730.000000000018</v>
      </c>
      <c r="C5" s="4">
        <f>('Kwh Reading'!T6-'Kwh Reading'!T5)*1000</f>
        <v>460.00000000003638</v>
      </c>
      <c r="D5" s="2">
        <f>('Kwh Reading'!F6-'Kwh Reading'!F5)*1000000</f>
        <v>2400.0000000001796</v>
      </c>
      <c r="E5" s="2">
        <f>('Kwh Reading'!C6-'Kwh Reading'!C5)*1000</f>
        <v>250</v>
      </c>
      <c r="F5" s="2">
        <f>('Kwh Reading'!J6-'Kwh Reading'!J5)*1000</f>
        <v>180.00000000000682</v>
      </c>
      <c r="G5" s="2">
        <f>('Kwh Reading'!K6-'Kwh Reading'!K5)*1000</f>
        <v>240.00000000000909</v>
      </c>
      <c r="H5" s="2">
        <f>('Kwh Reading'!L6-'Kwh Reading'!L5)*1000</f>
        <v>179.9999999999784</v>
      </c>
      <c r="I5" s="2">
        <f>('Kwh Reading'!R6-'Kwh Reading'!R5)*1000</f>
        <v>189.99999999999773</v>
      </c>
      <c r="J5" s="2">
        <f>('Kwh Reading'!S6-'Kwh Reading'!S5)*1000</f>
        <v>99.999999999994316</v>
      </c>
      <c r="K5" s="2">
        <f>('Kwh Reading'!I6-'Kwh Reading'!I5)*1000</f>
        <v>319.99999999999318</v>
      </c>
      <c r="L5" s="2">
        <f>('Kwh Reading'!B6-'Kwh Reading'!B5)*1000</f>
        <v>1400.0000000000909</v>
      </c>
      <c r="M5" s="2">
        <f>('Kwh Reading'!M6-'Kwh Reading'!M5)*1000</f>
        <v>669.99999999995907</v>
      </c>
      <c r="N5" s="2">
        <f>('Kwh Reading'!H6-'Kwh Reading'!H5)*1000</f>
        <v>389.99999999998636</v>
      </c>
      <c r="O5" s="2">
        <f>('Kwh Reading'!P6-'Kwh Reading'!P5)*1000</f>
        <v>820.00000000005002</v>
      </c>
      <c r="P5" s="2">
        <f>('Kwh Reading'!G6-'Kwh Reading'!G5)*1000</f>
        <v>879.99999999999545</v>
      </c>
      <c r="Q5" s="2">
        <f>('Kwh Reading'!Q6-'Kwh Reading'!Q5)*1000</f>
        <v>689.99999999999773</v>
      </c>
      <c r="R5" s="2">
        <f>('Kwh Reading'!N6-'Kwh Reading'!N5)*1000</f>
        <v>629.99999999999545</v>
      </c>
      <c r="S5" s="2">
        <f>'Kwh Reading'!E6-'Kwh Reading'!E5</f>
        <v>2726.6500000003725</v>
      </c>
      <c r="T5" s="2">
        <f>'Kwh Reading'!D6-'Kwh Reading'!D5</f>
        <v>2065.140000000596</v>
      </c>
      <c r="U5" s="27">
        <f>('Kwh Reading'!O6-'Kwh Reading'!O5)*1000</f>
        <v>250</v>
      </c>
      <c r="V5" s="16">
        <f t="shared" ref="V5:V9" si="0">B5-(SUM(C5:U5))</f>
        <v>5888.2099999987804</v>
      </c>
    </row>
    <row r="6" spans="1:22" x14ac:dyDescent="0.25">
      <c r="A6" s="3">
        <f>'Kwh Reading'!A6</f>
        <v>44411</v>
      </c>
      <c r="B6" s="26">
        <f>TOTAL!E4</f>
        <v>22650.000000000771</v>
      </c>
      <c r="C6" s="4">
        <f>('Kwh Reading'!T7-'Kwh Reading'!T6)*1000</f>
        <v>489.99999999995225</v>
      </c>
      <c r="D6" s="2">
        <f>('Kwh Reading'!F7-'Kwh Reading'!F6)*1000000</f>
        <v>2299.9999999999686</v>
      </c>
      <c r="E6" s="2">
        <f>('Kwh Reading'!C7-'Kwh Reading'!C6)*1000</f>
        <v>270.00000000001023</v>
      </c>
      <c r="F6" s="2">
        <f>('Kwh Reading'!J7-'Kwh Reading'!J6)*1000</f>
        <v>250</v>
      </c>
      <c r="G6" s="2">
        <f>('Kwh Reading'!K7-'Kwh Reading'!K6)*1000</f>
        <v>230.00000000001819</v>
      </c>
      <c r="H6" s="2">
        <f>('Kwh Reading'!L7-'Kwh Reading'!L6)*1000</f>
        <v>159.99999999999659</v>
      </c>
      <c r="I6" s="2">
        <f>('Kwh Reading'!R7-'Kwh Reading'!R6)*1000</f>
        <v>180.00000000000682</v>
      </c>
      <c r="J6" s="2">
        <f>('Kwh Reading'!S7-'Kwh Reading'!S6)*1000</f>
        <v>120.00000000000455</v>
      </c>
      <c r="K6" s="2">
        <f>('Kwh Reading'!I7-'Kwh Reading'!I6)*1000</f>
        <v>319.99999999999318</v>
      </c>
      <c r="L6" s="2">
        <f>('Kwh Reading'!B7-'Kwh Reading'!B6)*1000</f>
        <v>1500</v>
      </c>
      <c r="M6" s="2">
        <f>('Kwh Reading'!M7-'Kwh Reading'!M6)*1000</f>
        <v>649.99999999997726</v>
      </c>
      <c r="N6" s="2">
        <f>('Kwh Reading'!H7-'Kwh Reading'!H6)*1000</f>
        <v>409.99999999996817</v>
      </c>
      <c r="O6" s="2">
        <f>('Kwh Reading'!P7-'Kwh Reading'!P6)*1000</f>
        <v>870.00000000000455</v>
      </c>
      <c r="P6" s="2">
        <f>('Kwh Reading'!G7-'Kwh Reading'!G6)*1000</f>
        <v>920.00000000007276</v>
      </c>
      <c r="Q6" s="2">
        <f>('Kwh Reading'!Q7-'Kwh Reading'!Q6)*1000</f>
        <v>709.99999999997954</v>
      </c>
      <c r="R6" s="2">
        <f>('Kwh Reading'!N7-'Kwh Reading'!N6)*1000</f>
        <v>719.99999999997044</v>
      </c>
      <c r="S6" s="2">
        <f>'Kwh Reading'!E7-'Kwh Reading'!E6</f>
        <v>2687.7999999998137</v>
      </c>
      <c r="T6" s="2">
        <f>'Kwh Reading'!D7-'Kwh Reading'!D6</f>
        <v>2146.3699999991804</v>
      </c>
      <c r="U6" s="27">
        <f>('Kwh Reading'!O7-'Kwh Reading'!O6)*1000</f>
        <v>200.00000000001705</v>
      </c>
      <c r="V6" s="16">
        <f t="shared" si="0"/>
        <v>7515.8300000018371</v>
      </c>
    </row>
    <row r="7" spans="1:22" x14ac:dyDescent="0.25">
      <c r="A7" s="3">
        <f>'Kwh Reading'!A7</f>
        <v>44412</v>
      </c>
      <c r="B7" s="26">
        <f>TOTAL!E5</f>
        <v>23439.999999999825</v>
      </c>
      <c r="C7" s="4">
        <f>('Kwh Reading'!T8-'Kwh Reading'!T7)*1000</f>
        <v>520.00000000003865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269.99999999998181</v>
      </c>
      <c r="G7" s="2">
        <f>('Kwh Reading'!K8-'Kwh Reading'!K7)*1000</f>
        <v>279.99999999997272</v>
      </c>
      <c r="H7" s="2">
        <f>('Kwh Reading'!L8-'Kwh Reading'!L7)*1000</f>
        <v>180.00000000000682</v>
      </c>
      <c r="I7" s="2">
        <f>('Kwh Reading'!R8-'Kwh Reading'!R7)*1000</f>
        <v>169.99999999998749</v>
      </c>
      <c r="J7" s="2">
        <f>('Kwh Reading'!S8-'Kwh Reading'!S7)*1000</f>
        <v>120.00000000000455</v>
      </c>
      <c r="K7" s="2">
        <f>('Kwh Reading'!I8-'Kwh Reading'!I7)*1000</f>
        <v>330.00000000001251</v>
      </c>
      <c r="L7" s="2">
        <f>('Kwh Reading'!B8-'Kwh Reading'!B7)*1000</f>
        <v>1500</v>
      </c>
      <c r="M7" s="2">
        <f>('Kwh Reading'!M8-'Kwh Reading'!M7)*1000</f>
        <v>690.00000000005457</v>
      </c>
      <c r="N7" s="2">
        <f>('Kwh Reading'!H8-'Kwh Reading'!H7)*1000</f>
        <v>529.99999999997272</v>
      </c>
      <c r="O7" s="2">
        <f>('Kwh Reading'!P8-'Kwh Reading'!P7)*1000</f>
        <v>960.00000000003638</v>
      </c>
      <c r="P7" s="2">
        <f>('Kwh Reading'!G8-'Kwh Reading'!G7)*1000</f>
        <v>929.99999999994998</v>
      </c>
      <c r="Q7" s="2">
        <f>('Kwh Reading'!Q8-'Kwh Reading'!Q7)*1000</f>
        <v>750</v>
      </c>
      <c r="R7" s="2">
        <f>('Kwh Reading'!N8-'Kwh Reading'!N7)*1000</f>
        <v>750</v>
      </c>
      <c r="S7" s="2">
        <f>'Kwh Reading'!E8-'Kwh Reading'!E7</f>
        <v>2890.339999999851</v>
      </c>
      <c r="T7" s="2">
        <f>'Kwh Reading'!D8-'Kwh Reading'!D7</f>
        <v>2394.5800000000745</v>
      </c>
      <c r="U7" s="27">
        <f>('Kwh Reading'!O8-'Kwh Reading'!O7)*1000</f>
        <v>250</v>
      </c>
      <c r="V7" s="16">
        <f t="shared" si="0"/>
        <v>7205.0799999999363</v>
      </c>
    </row>
    <row r="8" spans="1:22" x14ac:dyDescent="0.25">
      <c r="A8" s="3">
        <f>'Kwh Reading'!A8</f>
        <v>44413</v>
      </c>
      <c r="B8" s="26">
        <f>TOTAL!E6</f>
        <v>16619.999999999891</v>
      </c>
      <c r="C8" s="4">
        <f>('Kwh Reading'!T9-'Kwh Reading'!T8)*1000</f>
        <v>509.99999999999091</v>
      </c>
      <c r="D8" s="2">
        <f>('Kwh Reading'!F9-'Kwh Reading'!F8)*1000000</f>
        <v>2499.9999999999468</v>
      </c>
      <c r="E8" s="2">
        <f>('Kwh Reading'!C9-'Kwh Reading'!C8)*1000</f>
        <v>239.99999999998067</v>
      </c>
      <c r="F8" s="2">
        <f>('Kwh Reading'!J9-'Kwh Reading'!J8)*1000</f>
        <v>290.00000000002046</v>
      </c>
      <c r="G8" s="2">
        <f>('Kwh Reading'!K9-'Kwh Reading'!K8)*1000</f>
        <v>280.00000000002956</v>
      </c>
      <c r="H8" s="2">
        <f>('Kwh Reading'!L9-'Kwh Reading'!L8)*1000</f>
        <v>189.99999999999773</v>
      </c>
      <c r="I8" s="2">
        <f>('Kwh Reading'!R9-'Kwh Reading'!R8)*1000</f>
        <v>200.00000000001705</v>
      </c>
      <c r="J8" s="2">
        <f>('Kwh Reading'!S9-'Kwh Reading'!S8)*1000</f>
        <v>119.99999999999034</v>
      </c>
      <c r="K8" s="2">
        <f>('Kwh Reading'!I9-'Kwh Reading'!I8)*1000</f>
        <v>330.00000000001251</v>
      </c>
      <c r="L8" s="2">
        <f>('Kwh Reading'!B9-'Kwh Reading'!B8)*1000</f>
        <v>1399.9999999998636</v>
      </c>
      <c r="M8" s="2">
        <f>('Kwh Reading'!M9-'Kwh Reading'!M8)*1000</f>
        <v>689.99999999994088</v>
      </c>
      <c r="N8" s="2">
        <f>('Kwh Reading'!H9-'Kwh Reading'!H8)*1000</f>
        <v>560.00000000005912</v>
      </c>
      <c r="O8" s="2">
        <f>('Kwh Reading'!P9-'Kwh Reading'!P8)*1000</f>
        <v>909.99999999996817</v>
      </c>
      <c r="P8" s="2">
        <f>('Kwh Reading'!G9-'Kwh Reading'!G8)*1000</f>
        <v>950.00000000004547</v>
      </c>
      <c r="Q8" s="2">
        <f>('Kwh Reading'!Q9-'Kwh Reading'!Q8)*1000</f>
        <v>650.00000000003411</v>
      </c>
      <c r="R8" s="2">
        <f>('Kwh Reading'!N9-'Kwh Reading'!N8)*1000</f>
        <v>710.00000000003638</v>
      </c>
      <c r="S8" s="2">
        <f>'Kwh Reading'!E9-'Kwh Reading'!E8</f>
        <v>3018.4699999997392</v>
      </c>
      <c r="T8" s="2">
        <f>'Kwh Reading'!D9-'Kwh Reading'!D8</f>
        <v>2315.9199999999255</v>
      </c>
      <c r="U8" s="27">
        <f>('Kwh Reading'!O9-'Kwh Reading'!O8)*1000</f>
        <v>259.99999999999091</v>
      </c>
      <c r="V8" s="16">
        <f t="shared" si="0"/>
        <v>495.61000000030072</v>
      </c>
    </row>
    <row r="9" spans="1:22" x14ac:dyDescent="0.25">
      <c r="A9" s="3">
        <f>'Kwh Reading'!A9</f>
        <v>44414</v>
      </c>
      <c r="B9" s="26">
        <f>TOTAL!E7</f>
        <v>27349.999999999909</v>
      </c>
      <c r="C9" s="4">
        <f>('Kwh Reading'!T10-'Kwh Reading'!T9)*1000</f>
        <v>259.99999999999091</v>
      </c>
      <c r="D9" s="2">
        <f>('Kwh Reading'!F10-'Kwh Reading'!F9)*1000000</f>
        <v>2699.9999999999245</v>
      </c>
      <c r="E9" s="2">
        <f>('Kwh Reading'!C10-'Kwh Reading'!C9)*1000</f>
        <v>270.00000000001023</v>
      </c>
      <c r="F9" s="2">
        <f>('Kwh Reading'!J10-'Kwh Reading'!J9)*1000</f>
        <v>349.99999999996589</v>
      </c>
      <c r="G9" s="2">
        <f>('Kwh Reading'!K10-'Kwh Reading'!K9)*1000</f>
        <v>319.99999999999318</v>
      </c>
      <c r="H9" s="2">
        <f>('Kwh Reading'!L10-'Kwh Reading'!L9)*1000</f>
        <v>240.00000000000909</v>
      </c>
      <c r="I9" s="2">
        <f>('Kwh Reading'!R10-'Kwh Reading'!R9)*1000</f>
        <v>189.99999999999773</v>
      </c>
      <c r="J9" s="2">
        <f>('Kwh Reading'!S10-'Kwh Reading'!S9)*1000</f>
        <v>130.00000000000966</v>
      </c>
      <c r="K9" s="2">
        <f>('Kwh Reading'!I10-'Kwh Reading'!I9)*1000</f>
        <v>329.99999999998408</v>
      </c>
      <c r="L9" s="2">
        <f>('Kwh Reading'!B10-'Kwh Reading'!B9)*1000</f>
        <v>1200.0000000000455</v>
      </c>
      <c r="M9" s="2">
        <f>('Kwh Reading'!M10-'Kwh Reading'!M9)*1000</f>
        <v>640.00000000010004</v>
      </c>
      <c r="N9" s="2">
        <f>('Kwh Reading'!H10-'Kwh Reading'!H9)*1000</f>
        <v>549.99999999995453</v>
      </c>
      <c r="O9" s="2">
        <f>('Kwh Reading'!P10-'Kwh Reading'!P9)*1000</f>
        <v>49.999999999954525</v>
      </c>
      <c r="P9" s="2">
        <f>('Kwh Reading'!G10-'Kwh Reading'!G9)*1000</f>
        <v>870.00000000000455</v>
      </c>
      <c r="Q9" s="2">
        <f>('Kwh Reading'!Q10-'Kwh Reading'!Q9)*1000</f>
        <v>639.99999999998636</v>
      </c>
      <c r="R9" s="2">
        <f>('Kwh Reading'!N10-'Kwh Reading'!N9)*1000</f>
        <v>649.99999999997726</v>
      </c>
      <c r="S9" s="2">
        <f>'Kwh Reading'!E10-'Kwh Reading'!E9</f>
        <v>3097.0800000000745</v>
      </c>
      <c r="T9" s="2">
        <f>'Kwh Reading'!D10-'Kwh Reading'!D9</f>
        <v>2261.390000000596</v>
      </c>
      <c r="U9" s="27">
        <f>('Kwh Reading'!O10-'Kwh Reading'!O9)*1000</f>
        <v>300.00000000001137</v>
      </c>
      <c r="V9" s="16">
        <f t="shared" si="0"/>
        <v>12301.529999999319</v>
      </c>
    </row>
    <row r="10" spans="1:22" x14ac:dyDescent="0.25">
      <c r="A10" s="3">
        <f>'Kwh Reading'!A10</f>
        <v>44415</v>
      </c>
      <c r="B10" s="26">
        <f>TOTAL!E8</f>
        <v>0</v>
      </c>
      <c r="C10" s="4">
        <f>('Kwh Reading'!T11-'Kwh Reading'!T10)*1000</f>
        <v>-437630</v>
      </c>
      <c r="D10" s="2">
        <f>('Kwh Reading'!F11-'Kwh Reading'!F10)*1000000</f>
        <v>-2470900</v>
      </c>
      <c r="E10" s="2">
        <f>('Kwh Reading'!C11-'Kwh Reading'!C10)*1000</f>
        <v>-238500</v>
      </c>
      <c r="F10" s="2">
        <f>('Kwh Reading'!J11-'Kwh Reading'!J10)*1000</f>
        <v>-325840</v>
      </c>
      <c r="G10" s="2">
        <f>('Kwh Reading'!K11-'Kwh Reading'!K10)*1000</f>
        <v>-351250</v>
      </c>
      <c r="H10" s="2">
        <f>('Kwh Reading'!L11-'Kwh Reading'!L10)*1000</f>
        <v>-241280</v>
      </c>
      <c r="I10" s="2">
        <f>('Kwh Reading'!R11-'Kwh Reading'!R10)*1000</f>
        <v>-167870</v>
      </c>
      <c r="J10" s="2">
        <f>('Kwh Reading'!S11-'Kwh Reading'!S10)*1000</f>
        <v>-119730</v>
      </c>
      <c r="K10" s="2">
        <f>('Kwh Reading'!I11-'Kwh Reading'!I10)*1000</f>
        <v>-248160</v>
      </c>
      <c r="L10" s="2">
        <f>('Kwh Reading'!B11-'Kwh Reading'!B10)*1000</f>
        <v>-1031500</v>
      </c>
      <c r="M10" s="2">
        <f>('Kwh Reading'!M11-'Kwh Reading'!M10)*1000</f>
        <v>-546440</v>
      </c>
      <c r="N10" s="2">
        <f>('Kwh Reading'!H11-'Kwh Reading'!H10)*1000</f>
        <v>-638670</v>
      </c>
      <c r="O10" s="2">
        <f>('Kwh Reading'!P11-'Kwh Reading'!P10)*1000</f>
        <v>-655650</v>
      </c>
      <c r="P10" s="2">
        <f>('Kwh Reading'!G11-'Kwh Reading'!G10)*1000</f>
        <v>-777340</v>
      </c>
      <c r="Q10" s="2">
        <f>('Kwh Reading'!Q11-'Kwh Reading'!Q10)*1000</f>
        <v>-487360</v>
      </c>
      <c r="R10" s="2">
        <f>('Kwh Reading'!N11-'Kwh Reading'!N10)*1000</f>
        <v>-498940</v>
      </c>
      <c r="S10" s="34">
        <f>'Kwh Reading'!E11-'Kwh Reading'!E10</f>
        <v>-8302063.6799999997</v>
      </c>
      <c r="T10" s="34">
        <f>'Kwh Reading'!D11-'Kwh Reading'!D10</f>
        <v>-7568582.9900000002</v>
      </c>
      <c r="U10" s="27">
        <f>('Kwh Reading'!O11-'Kwh Reading'!O10)*1000</f>
        <v>-159960</v>
      </c>
      <c r="V10" s="16">
        <f t="shared" ref="V10:V34" si="1">B10-(SUM(C10:U10))</f>
        <v>25267666.670000002</v>
      </c>
    </row>
    <row r="11" spans="1:22" x14ac:dyDescent="0.25">
      <c r="A11" s="3">
        <f>'Kwh Reading'!A11</f>
        <v>44416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1"/>
        <v>0</v>
      </c>
    </row>
    <row r="12" spans="1:22" x14ac:dyDescent="0.25">
      <c r="A12" s="3">
        <f>'Kwh Reading'!A12</f>
        <v>44417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44418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44419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44420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44421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44422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44423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44424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44425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44426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44427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44428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44429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44430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44431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44432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44433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44434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44435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44436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44437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44438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44439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136310.00000000041</v>
      </c>
      <c r="C35" s="75">
        <f t="shared" ref="C35" si="2">SUM(C4:C34)</f>
        <v>-434940</v>
      </c>
      <c r="D35" s="75">
        <f t="shared" ref="D35" si="3">SUM(D4:D34)</f>
        <v>-2456000</v>
      </c>
      <c r="E35" s="75">
        <f t="shared" ref="E35" si="4">SUM(E4:E34)</f>
        <v>-237010</v>
      </c>
      <c r="F35" s="75">
        <f t="shared" ref="F35" si="5">SUM(F4:F34)</f>
        <v>-324200</v>
      </c>
      <c r="G35" s="75">
        <f t="shared" ref="G35:U35" si="6">SUM(G4:G34)</f>
        <v>-349560</v>
      </c>
      <c r="H35" s="75">
        <f t="shared" si="6"/>
        <v>-240120</v>
      </c>
      <c r="I35" s="75">
        <f t="shared" si="6"/>
        <v>-166729.99999999997</v>
      </c>
      <c r="J35" s="75">
        <f t="shared" si="6"/>
        <v>-119010</v>
      </c>
      <c r="K35" s="75">
        <f t="shared" si="6"/>
        <v>-246180</v>
      </c>
      <c r="L35" s="75">
        <f t="shared" si="6"/>
        <v>-1023100</v>
      </c>
      <c r="M35" s="75">
        <f t="shared" si="6"/>
        <v>-542350</v>
      </c>
      <c r="N35" s="75">
        <f t="shared" si="6"/>
        <v>-635870</v>
      </c>
      <c r="O35" s="75">
        <f t="shared" si="6"/>
        <v>-651110</v>
      </c>
      <c r="P35" s="75">
        <f t="shared" si="6"/>
        <v>-771870</v>
      </c>
      <c r="Q35" s="75">
        <f t="shared" si="6"/>
        <v>-483180</v>
      </c>
      <c r="R35" s="75">
        <f t="shared" si="6"/>
        <v>-494990</v>
      </c>
      <c r="S35" s="75">
        <f t="shared" si="6"/>
        <v>-8284704.04</v>
      </c>
      <c r="T35" s="75">
        <f t="shared" si="6"/>
        <v>-7554935.0599999996</v>
      </c>
      <c r="U35" s="75">
        <f t="shared" si="6"/>
        <v>-158490</v>
      </c>
      <c r="V35" s="75">
        <f>SUM(V4:V34)</f>
        <v>25310659.100000001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6" sqref="N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44409</v>
      </c>
      <c r="B3" s="83">
        <f>TOTAL!E2</f>
        <v>21469.999999999345</v>
      </c>
      <c r="C3" s="1">
        <f>'Kwh Consumption'!C4</f>
        <v>449.99999999998863</v>
      </c>
      <c r="D3" s="1">
        <f>'Kwh Consumption'!D4</f>
        <v>2499.9999999999468</v>
      </c>
      <c r="E3" s="1">
        <f>'Kwh Consumption'!E4</f>
        <v>240.00000000000909</v>
      </c>
      <c r="F3" s="1">
        <f>('Kwh Consumption'!F4+'Kwh Consumption'!G4+'Kwh Consumption'!H4)</f>
        <v>849.99999999999432</v>
      </c>
      <c r="G3" s="16">
        <f>('Kwh Consumption'!I4+'Kwh Consumption'!J4)</f>
        <v>340.00000000000341</v>
      </c>
      <c r="H3" s="1">
        <f>('Kwh Consumption'!K4+'Kwh Consumption'!L4)</f>
        <v>1749.9999999999716</v>
      </c>
      <c r="I3" s="1">
        <f>('Kwh Consumption'!M4+'Kwh Consumption'!N4+'Kwh Consumption'!O4+'Kwh Consumption'!P4+'Kwh Consumption'!Q4+'Kwh Consumption'!R4)</f>
        <v>4189.9999999999409</v>
      </c>
      <c r="J3" s="1">
        <f>('Kwh Consumption'!S4+'Kwh Consumption'!T4)</f>
        <v>5403.8300000000745</v>
      </c>
      <c r="K3" s="1">
        <f>'Kwh Consumption'!U4</f>
        <v>209.99999999997954</v>
      </c>
      <c r="L3" s="32">
        <f t="shared" ref="L3:L33" si="0">B3-C3-D3-E3-F3-G3-H3-I3-J3-K3</f>
        <v>5536.1699999994398</v>
      </c>
    </row>
    <row r="4" spans="1:12" x14ac:dyDescent="0.25">
      <c r="A4" s="14">
        <f>'Kwh Reading'!A5</f>
        <v>44410</v>
      </c>
      <c r="B4" s="83">
        <f>TOTAL!E3</f>
        <v>20730.000000000018</v>
      </c>
      <c r="C4" s="1">
        <f>'Kwh Consumption'!C5</f>
        <v>460.00000000003638</v>
      </c>
      <c r="D4" s="1">
        <f>'Kwh Consumption'!D5</f>
        <v>2400.0000000001796</v>
      </c>
      <c r="E4" s="1">
        <f>'Kwh Consumption'!E5</f>
        <v>250</v>
      </c>
      <c r="F4" s="1">
        <f>('Kwh Consumption'!F5+'Kwh Consumption'!G5+'Kwh Consumption'!H5)</f>
        <v>599.99999999999432</v>
      </c>
      <c r="G4" s="16">
        <f>('Kwh Consumption'!I5+'Kwh Consumption'!J5)</f>
        <v>289.99999999999204</v>
      </c>
      <c r="H4" s="1">
        <f>('Kwh Consumption'!K5+'Kwh Consumption'!L5)</f>
        <v>1720.0000000000841</v>
      </c>
      <c r="I4" s="1">
        <f>('Kwh Consumption'!M5+'Kwh Consumption'!N5+'Kwh Consumption'!O5+'Kwh Consumption'!P5+'Kwh Consumption'!Q5+'Kwh Consumption'!R5)</f>
        <v>4079.9999999999841</v>
      </c>
      <c r="J4" s="1">
        <f>('Kwh Consumption'!S5+'Kwh Consumption'!T5)</f>
        <v>4791.7900000009686</v>
      </c>
      <c r="K4" s="1">
        <f>'Kwh Consumption'!U5</f>
        <v>250</v>
      </c>
      <c r="L4" s="32">
        <f t="shared" si="0"/>
        <v>5888.2099999987822</v>
      </c>
    </row>
    <row r="5" spans="1:12" x14ac:dyDescent="0.25">
      <c r="A5" s="14">
        <f>'Kwh Reading'!A6</f>
        <v>44411</v>
      </c>
      <c r="B5" s="83">
        <f>TOTAL!E4</f>
        <v>22650.000000000771</v>
      </c>
      <c r="C5" s="1">
        <f>'Kwh Consumption'!C6</f>
        <v>489.99999999995225</v>
      </c>
      <c r="D5" s="1">
        <f>'Kwh Consumption'!D6</f>
        <v>2299.9999999999686</v>
      </c>
      <c r="E5" s="1">
        <f>'Kwh Consumption'!E6</f>
        <v>270.00000000001023</v>
      </c>
      <c r="F5" s="1">
        <f>('Kwh Consumption'!F6+'Kwh Consumption'!G6+'Kwh Consumption'!H6)</f>
        <v>640.00000000001478</v>
      </c>
      <c r="G5" s="16">
        <f>('Kwh Consumption'!I6+'Kwh Consumption'!J6)</f>
        <v>300.00000000001137</v>
      </c>
      <c r="H5" s="1">
        <f>('Kwh Consumption'!K6+'Kwh Consumption'!L6)</f>
        <v>1819.9999999999932</v>
      </c>
      <c r="I5" s="1">
        <f>('Kwh Consumption'!M6+'Kwh Consumption'!N6+'Kwh Consumption'!O6+'Kwh Consumption'!P6+'Kwh Consumption'!Q6+'Kwh Consumption'!R6)</f>
        <v>4279.9999999999727</v>
      </c>
      <c r="J5" s="1">
        <f>('Kwh Consumption'!S6+'Kwh Consumption'!T6)</f>
        <v>4834.1699999989942</v>
      </c>
      <c r="K5" s="1">
        <f>'Kwh Consumption'!U6</f>
        <v>200.00000000001705</v>
      </c>
      <c r="L5" s="32">
        <f t="shared" si="0"/>
        <v>7515.830000001838</v>
      </c>
    </row>
    <row r="6" spans="1:12" x14ac:dyDescent="0.25">
      <c r="A6" s="14">
        <f>'Kwh Reading'!A7</f>
        <v>44412</v>
      </c>
      <c r="B6" s="83">
        <f>TOTAL!E5</f>
        <v>23439.999999999825</v>
      </c>
      <c r="C6" s="1">
        <f>'Kwh Consumption'!C7</f>
        <v>520.00000000003865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729.99999999996135</v>
      </c>
      <c r="G6" s="16">
        <f>('Kwh Consumption'!I7+'Kwh Consumption'!J7)</f>
        <v>289.99999999999204</v>
      </c>
      <c r="H6" s="1">
        <f>('Kwh Consumption'!K7+'Kwh Consumption'!L7)</f>
        <v>1830.0000000000125</v>
      </c>
      <c r="I6" s="1">
        <f>('Kwh Consumption'!M7+'Kwh Consumption'!N7+'Kwh Consumption'!O7+'Kwh Consumption'!P7+'Kwh Consumption'!Q7+'Kwh Consumption'!R7)</f>
        <v>4610.0000000000136</v>
      </c>
      <c r="J6" s="1">
        <f>('Kwh Consumption'!S7+'Kwh Consumption'!T7)</f>
        <v>5284.9199999999255</v>
      </c>
      <c r="K6" s="1">
        <f>'Kwh Consumption'!U7</f>
        <v>250</v>
      </c>
      <c r="L6" s="32">
        <f t="shared" si="0"/>
        <v>7205.0799999999363</v>
      </c>
    </row>
    <row r="7" spans="1:12" x14ac:dyDescent="0.25">
      <c r="A7" s="14">
        <f>'Kwh Reading'!A8</f>
        <v>44413</v>
      </c>
      <c r="B7" s="83">
        <f>TOTAL!E6</f>
        <v>16619.999999999891</v>
      </c>
      <c r="C7" s="1">
        <f>'Kwh Consumption'!C8</f>
        <v>509.99999999999091</v>
      </c>
      <c r="D7" s="1">
        <f>'Kwh Consumption'!D8</f>
        <v>2499.9999999999468</v>
      </c>
      <c r="E7" s="1">
        <f>'Kwh Consumption'!E8</f>
        <v>239.99999999998067</v>
      </c>
      <c r="F7" s="1">
        <f>('Kwh Consumption'!F8+'Kwh Consumption'!G8+'Kwh Consumption'!H8)</f>
        <v>760.00000000004775</v>
      </c>
      <c r="G7" s="16">
        <f>('Kwh Consumption'!I8+'Kwh Consumption'!J8)</f>
        <v>320.00000000000739</v>
      </c>
      <c r="H7" s="1">
        <f>('Kwh Consumption'!K8+'Kwh Consumption'!L8)</f>
        <v>1729.9999999998761</v>
      </c>
      <c r="I7" s="1">
        <f>('Kwh Consumption'!M8+'Kwh Consumption'!N8+'Kwh Consumption'!O8+'Kwh Consumption'!P8+'Kwh Consumption'!Q8+'Kwh Consumption'!R8)</f>
        <v>4470.0000000000837</v>
      </c>
      <c r="J7" s="1">
        <f>('Kwh Consumption'!S8+'Kwh Consumption'!T8)</f>
        <v>5334.3899999996647</v>
      </c>
      <c r="K7" s="1">
        <f>'Kwh Consumption'!U8</f>
        <v>259.99999999999091</v>
      </c>
      <c r="L7" s="32">
        <f t="shared" si="0"/>
        <v>495.61000000030253</v>
      </c>
    </row>
    <row r="8" spans="1:12" x14ac:dyDescent="0.25">
      <c r="A8" s="14">
        <f>'Kwh Reading'!A9</f>
        <v>44414</v>
      </c>
      <c r="B8" s="83">
        <f>TOTAL!E7</f>
        <v>27349.999999999909</v>
      </c>
      <c r="C8" s="1">
        <f>'Kwh Consumption'!C9</f>
        <v>259.99999999999091</v>
      </c>
      <c r="D8" s="1">
        <f>'Kwh Consumption'!D9</f>
        <v>2699.9999999999245</v>
      </c>
      <c r="E8" s="1">
        <f>'Kwh Consumption'!E9</f>
        <v>270.00000000001023</v>
      </c>
      <c r="F8" s="1">
        <f>('Kwh Consumption'!F9+'Kwh Consumption'!G9+'Kwh Consumption'!H9)</f>
        <v>909.99999999996817</v>
      </c>
      <c r="G8" s="16">
        <f>('Kwh Consumption'!I9+'Kwh Consumption'!J9)</f>
        <v>320.00000000000739</v>
      </c>
      <c r="H8" s="1">
        <f>('Kwh Consumption'!K9+'Kwh Consumption'!L9)</f>
        <v>1530.0000000000296</v>
      </c>
      <c r="I8" s="1">
        <f>('Kwh Consumption'!M9+'Kwh Consumption'!N9+'Kwh Consumption'!O9+'Kwh Consumption'!P9+'Kwh Consumption'!Q9+'Kwh Consumption'!R9)</f>
        <v>3399.9999999999773</v>
      </c>
      <c r="J8" s="1">
        <f>('Kwh Consumption'!S9+'Kwh Consumption'!T9)</f>
        <v>5358.4700000006706</v>
      </c>
      <c r="K8" s="1">
        <f>'Kwh Consumption'!U9</f>
        <v>300.00000000001137</v>
      </c>
      <c r="L8" s="32">
        <f t="shared" si="0"/>
        <v>12301.529999999322</v>
      </c>
    </row>
    <row r="9" spans="1:12" x14ac:dyDescent="0.25">
      <c r="A9" s="14">
        <f>'Kwh Reading'!A10</f>
        <v>44415</v>
      </c>
      <c r="B9" s="83">
        <f>TOTAL!E8</f>
        <v>0</v>
      </c>
      <c r="C9" s="1">
        <f>'Kwh Consumption'!C10</f>
        <v>-437630</v>
      </c>
      <c r="D9" s="1">
        <f>'Kwh Consumption'!D10</f>
        <v>-2470900</v>
      </c>
      <c r="E9" s="1">
        <f>'Kwh Consumption'!E10</f>
        <v>-238500</v>
      </c>
      <c r="F9" s="1">
        <f>('Kwh Consumption'!F10+'Kwh Consumption'!G10+'Kwh Consumption'!H10)</f>
        <v>-918370</v>
      </c>
      <c r="G9" s="16">
        <f>('Kwh Consumption'!I10+'Kwh Consumption'!J10)</f>
        <v>-287600</v>
      </c>
      <c r="H9" s="1">
        <f>('Kwh Consumption'!K10+'Kwh Consumption'!L10)</f>
        <v>-1279660</v>
      </c>
      <c r="I9" s="1">
        <f>('Kwh Consumption'!M10+'Kwh Consumption'!N10+'Kwh Consumption'!O10+'Kwh Consumption'!P10+'Kwh Consumption'!Q10+'Kwh Consumption'!R10)</f>
        <v>-3604400</v>
      </c>
      <c r="J9" s="1">
        <f>('Kwh Consumption'!S10+'Kwh Consumption'!T10)</f>
        <v>-15870646.67</v>
      </c>
      <c r="K9" s="1">
        <f>'Kwh Consumption'!U10</f>
        <v>-159960</v>
      </c>
      <c r="L9" s="32">
        <f t="shared" si="0"/>
        <v>25267666.670000002</v>
      </c>
    </row>
    <row r="10" spans="1:12" x14ac:dyDescent="0.25">
      <c r="A10" s="14">
        <f>'Kwh Reading'!A11</f>
        <v>44416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44417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44418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44419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44420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44421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44422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44423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44424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44425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44426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44427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44428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44429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44430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44431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44432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44433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44434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44435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44436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44437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44438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44439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132259.99999999977</v>
      </c>
      <c r="C34" s="75">
        <f>SUM(C3:C33)</f>
        <v>-434940</v>
      </c>
      <c r="D34" s="75">
        <f t="shared" ref="D34:L34" si="1">SUM(D3:D33)</f>
        <v>-2456000</v>
      </c>
      <c r="E34" s="75">
        <f t="shared" si="1"/>
        <v>-237010</v>
      </c>
      <c r="F34" s="75">
        <f t="shared" si="1"/>
        <v>-913880</v>
      </c>
      <c r="G34" s="75">
        <f t="shared" si="1"/>
        <v>-285740</v>
      </c>
      <c r="H34" s="75">
        <f t="shared" si="1"/>
        <v>-1269280</v>
      </c>
      <c r="I34" s="75">
        <f t="shared" si="1"/>
        <v>-3579370</v>
      </c>
      <c r="J34" s="75">
        <f t="shared" si="1"/>
        <v>-15839639.1</v>
      </c>
      <c r="K34" s="75">
        <f t="shared" si="1"/>
        <v>-158490</v>
      </c>
      <c r="L34" s="75">
        <f t="shared" si="1"/>
        <v>25306609.100000001</v>
      </c>
      <c r="M34" s="84">
        <f>C34+D34+E34+F34+G34+H34+I34+J34+K34+L34</f>
        <v>132260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-60891.600000000006</v>
      </c>
      <c r="D36" s="75">
        <f>D34*B36</f>
        <v>-343840.00000000006</v>
      </c>
      <c r="E36" s="75">
        <f>E34*B36</f>
        <v>-33181.4</v>
      </c>
      <c r="F36" s="75">
        <f>F34*B36</f>
        <v>-127943.20000000001</v>
      </c>
      <c r="G36" s="75">
        <f>G34*B36</f>
        <v>-40003.600000000006</v>
      </c>
      <c r="H36" s="75">
        <f>H34*B36</f>
        <v>-177699.20000000001</v>
      </c>
      <c r="I36" s="75">
        <f>I34*B36</f>
        <v>-501111.80000000005</v>
      </c>
      <c r="J36" s="75">
        <f>J34*B36</f>
        <v>-2217549.4739999999</v>
      </c>
      <c r="K36" s="75">
        <f>K34*B36</f>
        <v>-22188.600000000002</v>
      </c>
      <c r="L36" s="75">
        <f>L34*B36</f>
        <v>3542925.2740000007</v>
      </c>
      <c r="M36" s="84">
        <f>C36+D36+E36+F36+G36+H36+I36+J36+K36+L36</f>
        <v>18516.400000000373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44409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62.999999999998415</v>
      </c>
      <c r="E3" s="1">
        <f>'Kwh Consumption'!D4*' Kwh area wise $ '!B3</f>
        <v>349.99999999999261</v>
      </c>
      <c r="F3" s="1">
        <f>'Kwh Consumption'!E4*' Kwh area wise $ '!B3</f>
        <v>33.600000000001273</v>
      </c>
      <c r="G3" s="1">
        <f>('Kwh Consumption'!F4+'Kwh Consumption'!G4+'Kwh Consumption'!H4)*' Kwh area wise $ '!B3</f>
        <v>118.99999999999922</v>
      </c>
      <c r="H3" s="16">
        <f>('Kwh Consumption'!I4+'Kwh Consumption'!J4)*' Kwh area wise $ '!B3</f>
        <v>47.600000000000485</v>
      </c>
      <c r="I3" s="1">
        <f>('Kwh Consumption'!K4+'Kwh Consumption'!L4)*' Kwh area wise $ '!B3</f>
        <v>244.99999999999605</v>
      </c>
      <c r="J3" s="1">
        <f>('Kwh Consumption'!M4+'Kwh Consumption'!N4+'Kwh Consumption'!O4+'Kwh Consumption'!P4+'Kwh Consumption'!Q4+'Kwh Consumption'!R4)*' Kwh area wise $ '!B3</f>
        <v>586.59999999999172</v>
      </c>
      <c r="K3" s="1">
        <f>('Kwh Consumption'!S4+'Kwh Consumption'!T4)*' Kwh area wise $ '!B3</f>
        <v>756.53620000001047</v>
      </c>
      <c r="L3" s="1">
        <f>'Kwh Consumption'!U4*' Kwh area wise $ '!B3</f>
        <v>29.399999999997139</v>
      </c>
      <c r="M3" s="1">
        <f>'Kwh Consumption'!V4*' Kwh area wise $ '!B3</f>
        <v>1342.0638000000129</v>
      </c>
    </row>
    <row r="4" spans="1:13" x14ac:dyDescent="0.25">
      <c r="A4" s="14">
        <f>'Kwh Reading'!A5</f>
        <v>44410</v>
      </c>
      <c r="B4" s="11">
        <f>TOTAL!F3</f>
        <v>0.14000000000000001</v>
      </c>
      <c r="C4" s="11">
        <f>'Kwh Consumption'!B5*' Kwh area wise $ '!B4</f>
        <v>2902.200000000003</v>
      </c>
      <c r="D4" s="1">
        <f>'Kwh Consumption'!C5*' Kwh area wise $ '!B4</f>
        <v>64.400000000005093</v>
      </c>
      <c r="E4" s="1">
        <f>'Kwh Consumption'!D5*' Kwh area wise $ '!B4</f>
        <v>336.00000000002518</v>
      </c>
      <c r="F4" s="1">
        <f>'Kwh Consumption'!E5*' Kwh area wise $ '!B4</f>
        <v>35</v>
      </c>
      <c r="G4" s="1">
        <f>('Kwh Consumption'!F5+'Kwh Consumption'!G5+'Kwh Consumption'!H5)*' Kwh area wise $ '!B4</f>
        <v>83.999999999999218</v>
      </c>
      <c r="H4" s="16">
        <f>('Kwh Consumption'!I5+'Kwh Consumption'!J5)*' Kwh area wise $ '!B4</f>
        <v>40.599999999998893</v>
      </c>
      <c r="I4" s="1">
        <f>('Kwh Consumption'!K5+'Kwh Consumption'!L5)*' Kwh area wise $ '!B4</f>
        <v>240.80000000001181</v>
      </c>
      <c r="J4" s="1">
        <f>('Kwh Consumption'!M5+'Kwh Consumption'!N5+'Kwh Consumption'!O5+'Kwh Consumption'!P5+'Kwh Consumption'!Q5+'Kwh Consumption'!R5)*' Kwh area wise $ '!B4</f>
        <v>571.19999999999777</v>
      </c>
      <c r="K4" s="1">
        <f>('Kwh Consumption'!S5+'Kwh Consumption'!T5)*' Kwh area wise $ '!B4</f>
        <v>670.85060000013561</v>
      </c>
      <c r="L4" s="1">
        <f>'Kwh Consumption'!U5*' Kwh area wise $ '!B4</f>
        <v>35</v>
      </c>
      <c r="M4" s="1">
        <f>'Kwh Consumption'!V5*' Kwh area wise $ '!B4</f>
        <v>824.3493999998293</v>
      </c>
    </row>
    <row r="5" spans="1:13" x14ac:dyDescent="0.25">
      <c r="A5" s="14">
        <f>'Kwh Reading'!A6</f>
        <v>44411</v>
      </c>
      <c r="B5" s="11">
        <f>TOTAL!F4</f>
        <v>0.14000000000000001</v>
      </c>
      <c r="C5" s="11">
        <f>'Kwh Consumption'!B6*' Kwh area wise $ '!B5</f>
        <v>3171.0000000001082</v>
      </c>
      <c r="D5" s="1">
        <f>'Kwh Consumption'!C6*' Kwh area wise $ '!B5</f>
        <v>68.599999999993315</v>
      </c>
      <c r="E5" s="1">
        <f>'Kwh Consumption'!D6*' Kwh area wise $ '!B5</f>
        <v>321.99999999999562</v>
      </c>
      <c r="F5" s="1">
        <f>'Kwh Consumption'!E6*' Kwh area wise $ '!B5</f>
        <v>37.80000000000144</v>
      </c>
      <c r="G5" s="1">
        <f>('Kwh Consumption'!F6+'Kwh Consumption'!G6+'Kwh Consumption'!H6)*' Kwh area wise $ '!B5</f>
        <v>89.600000000002083</v>
      </c>
      <c r="H5" s="16">
        <f>('Kwh Consumption'!I6+'Kwh Consumption'!J6)*' Kwh area wise $ '!B5</f>
        <v>42.000000000001599</v>
      </c>
      <c r="I5" s="1">
        <f>('Kwh Consumption'!K6+'Kwh Consumption'!L6)*' Kwh area wise $ '!B5</f>
        <v>254.79999999999907</v>
      </c>
      <c r="J5" s="1">
        <f>('Kwh Consumption'!M6+'Kwh Consumption'!N6+'Kwh Consumption'!O6+'Kwh Consumption'!P6+'Kwh Consumption'!Q6+'Kwh Consumption'!R6)*' Kwh area wise $ '!B5</f>
        <v>599.19999999999629</v>
      </c>
      <c r="K5" s="1">
        <f>('Kwh Consumption'!S6+'Kwh Consumption'!T6)*' Kwh area wise $ '!B5</f>
        <v>676.7837999998593</v>
      </c>
      <c r="L5" s="1">
        <f>'Kwh Consumption'!U6*' Kwh area wise $ '!B5</f>
        <v>28.000000000002391</v>
      </c>
      <c r="M5" s="1">
        <f>'Kwh Consumption'!V6*' Kwh area wise $ '!B5</f>
        <v>1052.2162000002572</v>
      </c>
    </row>
    <row r="6" spans="1:13" x14ac:dyDescent="0.25">
      <c r="A6" s="14">
        <f>'Kwh Reading'!A7</f>
        <v>44412</v>
      </c>
      <c r="B6" s="11">
        <f>TOTAL!F5</f>
        <v>0.14000000000000001</v>
      </c>
      <c r="C6" s="11">
        <f>'Kwh Consumption'!B7*' Kwh area wise $ '!B6</f>
        <v>3281.5999999999758</v>
      </c>
      <c r="D6" s="1">
        <f>'Kwh Consumption'!C7*' Kwh area wise $ '!B6</f>
        <v>72.800000000005411</v>
      </c>
      <c r="E6" s="1">
        <f>'Kwh Consumption'!D7*' Kwh area wise $ '!B6</f>
        <v>349.99999999999261</v>
      </c>
      <c r="F6" s="1">
        <f>'Kwh Consumption'!E7*' Kwh area wise $ '!B6</f>
        <v>30.799999999999844</v>
      </c>
      <c r="G6" s="1">
        <f>('Kwh Consumption'!F7+'Kwh Consumption'!G7+'Kwh Consumption'!H7)*' Kwh area wise $ '!B6</f>
        <v>102.1999999999946</v>
      </c>
      <c r="H6" s="16">
        <f>('Kwh Consumption'!I7+'Kwh Consumption'!J7)*' Kwh area wise $ '!B6</f>
        <v>40.599999999998893</v>
      </c>
      <c r="I6" s="1">
        <f>('Kwh Consumption'!K7+'Kwh Consumption'!L7)*' Kwh area wise $ '!B6</f>
        <v>256.20000000000175</v>
      </c>
      <c r="J6" s="1">
        <f>('Kwh Consumption'!M7+'Kwh Consumption'!N7+'Kwh Consumption'!O7+'Kwh Consumption'!P7+'Kwh Consumption'!Q7+'Kwh Consumption'!R7)*' Kwh area wise $ '!B6</f>
        <v>645.40000000000202</v>
      </c>
      <c r="K6" s="1">
        <f>('Kwh Consumption'!S7+'Kwh Consumption'!T7)*' Kwh area wise $ '!B6</f>
        <v>739.8887999999896</v>
      </c>
      <c r="L6" s="1">
        <f>'Kwh Consumption'!U7*' Kwh area wise $ '!B6</f>
        <v>35</v>
      </c>
      <c r="M6" s="1">
        <f>'Kwh Consumption'!V7*' Kwh area wise $ '!B6</f>
        <v>1008.7111999999912</v>
      </c>
    </row>
    <row r="7" spans="1:13" x14ac:dyDescent="0.25">
      <c r="A7" s="14">
        <f>'Kwh Reading'!A8</f>
        <v>44413</v>
      </c>
      <c r="B7" s="11">
        <f>TOTAL!F6</f>
        <v>0.14000000000000001</v>
      </c>
      <c r="C7" s="11">
        <f>'Kwh Consumption'!B8*' Kwh area wise $ '!B7</f>
        <v>2326.7999999999847</v>
      </c>
      <c r="D7" s="1">
        <f>'Kwh Consumption'!C8*' Kwh area wise $ '!B7</f>
        <v>71.399999999998727</v>
      </c>
      <c r="E7" s="1">
        <f>'Kwh Consumption'!D8*' Kwh area wise $ '!B7</f>
        <v>349.99999999999261</v>
      </c>
      <c r="F7" s="1">
        <f>'Kwh Consumption'!E8*' Kwh area wise $ '!B7</f>
        <v>33.599999999997294</v>
      </c>
      <c r="G7" s="1">
        <f>('Kwh Consumption'!F8+'Kwh Consumption'!G8+'Kwh Consumption'!H8)*' Kwh area wise $ '!B7</f>
        <v>106.4000000000067</v>
      </c>
      <c r="H7" s="16">
        <f>('Kwh Consumption'!I8+'Kwh Consumption'!J8)*' Kwh area wise $ '!B7</f>
        <v>44.800000000001042</v>
      </c>
      <c r="I7" s="1">
        <f>('Kwh Consumption'!K8+'Kwh Consumption'!L8)*' Kwh area wise $ '!B7</f>
        <v>242.19999999998268</v>
      </c>
      <c r="J7" s="1">
        <f>('Kwh Consumption'!M8+'Kwh Consumption'!N8+'Kwh Consumption'!O8+'Kwh Consumption'!P8+'Kwh Consumption'!Q8+'Kwh Consumption'!R8)*' Kwh area wise $ '!B7</f>
        <v>625.80000000001178</v>
      </c>
      <c r="K7" s="1">
        <f>('Kwh Consumption'!S8+'Kwh Consumption'!T8)*' Kwh area wise $ '!B7</f>
        <v>746.81459999995309</v>
      </c>
      <c r="L7" s="1">
        <f>'Kwh Consumption'!U8*' Kwh area wise $ '!B7</f>
        <v>36.399999999998727</v>
      </c>
      <c r="M7" s="1">
        <f>'Kwh Consumption'!V8*' Kwh area wise $ '!B7</f>
        <v>69.385400000042111</v>
      </c>
    </row>
    <row r="8" spans="1:13" x14ac:dyDescent="0.25">
      <c r="A8" s="14">
        <f>'Kwh Reading'!A9</f>
        <v>44414</v>
      </c>
      <c r="B8" s="11">
        <f>TOTAL!F7</f>
        <v>0.14000000000000001</v>
      </c>
      <c r="C8" s="11">
        <f>'Kwh Consumption'!B9*' Kwh area wise $ '!B8</f>
        <v>3828.9999999999877</v>
      </c>
      <c r="D8" s="1">
        <f>'Kwh Consumption'!C9*' Kwh area wise $ '!B8</f>
        <v>36.399999999998727</v>
      </c>
      <c r="E8" s="1">
        <f>'Kwh Consumption'!D9*' Kwh area wise $ '!B8</f>
        <v>377.99999999998948</v>
      </c>
      <c r="F8" s="1">
        <f>'Kwh Consumption'!E9*' Kwh area wise $ '!B8</f>
        <v>37.80000000000144</v>
      </c>
      <c r="G8" s="1">
        <f>('Kwh Consumption'!F9+'Kwh Consumption'!G9+'Kwh Consumption'!H9)*' Kwh area wise $ '!B8</f>
        <v>127.39999999999556</v>
      </c>
      <c r="H8" s="16">
        <f>('Kwh Consumption'!I9+'Kwh Consumption'!J9)*' Kwh area wise $ '!B8</f>
        <v>44.800000000001042</v>
      </c>
      <c r="I8" s="1">
        <f>('Kwh Consumption'!K9+'Kwh Consumption'!L9)*' Kwh area wise $ '!B8</f>
        <v>214.20000000000417</v>
      </c>
      <c r="J8" s="1">
        <f>('Kwh Consumption'!M9+'Kwh Consumption'!N9+'Kwh Consumption'!O9+'Kwh Consumption'!P9+'Kwh Consumption'!Q9+'Kwh Consumption'!R9)*' Kwh area wise $ '!B8</f>
        <v>475.99999999999687</v>
      </c>
      <c r="K8" s="1">
        <f>('Kwh Consumption'!S9+'Kwh Consumption'!T9)*' Kwh area wise $ '!B8</f>
        <v>750.18580000009399</v>
      </c>
      <c r="L8" s="1">
        <f>'Kwh Consumption'!U9*' Kwh area wise $ '!B8</f>
        <v>42.000000000001599</v>
      </c>
      <c r="M8" s="1">
        <f>'Kwh Consumption'!V9*' Kwh area wise $ '!B8</f>
        <v>1722.2141999999048</v>
      </c>
    </row>
    <row r="9" spans="1:13" x14ac:dyDescent="0.25">
      <c r="A9" s="14">
        <f>'Kwh Reading'!A10</f>
        <v>44415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-61268.200000000004</v>
      </c>
      <c r="E9" s="1">
        <f>'Kwh Consumption'!D10*' Kwh area wise $ '!B9</f>
        <v>-345926.00000000006</v>
      </c>
      <c r="F9" s="1">
        <f>'Kwh Consumption'!E10*' Kwh area wise $ '!B9</f>
        <v>-33390</v>
      </c>
      <c r="G9" s="1">
        <f>('Kwh Consumption'!F10+'Kwh Consumption'!G10+'Kwh Consumption'!H10)*' Kwh area wise $ '!B9</f>
        <v>-128571.80000000002</v>
      </c>
      <c r="H9" s="16">
        <f>('Kwh Consumption'!I10+'Kwh Consumption'!J10)*' Kwh area wise $ '!B9</f>
        <v>-40264.000000000007</v>
      </c>
      <c r="I9" s="1">
        <f>('Kwh Consumption'!K10+'Kwh Consumption'!L10)*' Kwh area wise $ '!B9</f>
        <v>-179152.40000000002</v>
      </c>
      <c r="J9" s="1">
        <f>('Kwh Consumption'!M10+'Kwh Consumption'!N10+'Kwh Consumption'!O10+'Kwh Consumption'!P10+'Kwh Consumption'!Q10+'Kwh Consumption'!R10)*' Kwh area wise $ '!B9</f>
        <v>-504616.00000000006</v>
      </c>
      <c r="K9" s="1">
        <f>('Kwh Consumption'!S10+'Kwh Consumption'!T10)*' Kwh area wise $ '!B9</f>
        <v>-2221890.5338000003</v>
      </c>
      <c r="L9" s="1">
        <f>'Kwh Consumption'!U10*' Kwh area wise $ '!B9</f>
        <v>-22394.400000000001</v>
      </c>
      <c r="M9" s="1">
        <f>'Kwh Consumption'!V10*' Kwh area wise $ '!B9</f>
        <v>3537473.3338000006</v>
      </c>
    </row>
    <row r="10" spans="1:13" x14ac:dyDescent="0.25">
      <c r="A10" s="14">
        <f>'Kwh Reading'!A11</f>
        <v>44416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44417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44418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44419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44420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44421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44422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44423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44424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44425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44426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44427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44428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44429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44430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44431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44432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44433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44434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44435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44436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44437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44438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44439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19083.400000000063</v>
      </c>
      <c r="D34" s="75">
        <f t="shared" si="0"/>
        <v>-60891.600000000006</v>
      </c>
      <c r="E34" s="75">
        <f t="shared" si="0"/>
        <v>-343840.00000000006</v>
      </c>
      <c r="F34" s="75">
        <f t="shared" si="0"/>
        <v>-33181.4</v>
      </c>
      <c r="G34" s="75">
        <f t="shared" si="0"/>
        <v>-127943.20000000003</v>
      </c>
      <c r="H34" s="75">
        <f t="shared" si="0"/>
        <v>-40003.600000000006</v>
      </c>
      <c r="I34" s="75">
        <f t="shared" si="0"/>
        <v>-177699.20000000004</v>
      </c>
      <c r="J34" s="75">
        <f t="shared" si="0"/>
        <v>-501111.80000000005</v>
      </c>
      <c r="K34" s="75">
        <f t="shared" si="0"/>
        <v>-2217549.4740000004</v>
      </c>
      <c r="L34" s="75">
        <f t="shared" si="0"/>
        <v>-22188.600000000002</v>
      </c>
      <c r="M34" s="75">
        <f>SUM(M3:M33)</f>
        <v>3543492.2740000007</v>
      </c>
      <c r="N34" s="84">
        <f>D34+E34+F34+G34+H34+I34+J34+K34+L34+M34</f>
        <v>19083.399999999907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9" sqref="R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44409</v>
      </c>
      <c r="B3" s="33">
        <v>173617</v>
      </c>
      <c r="C3" s="56">
        <v>135457</v>
      </c>
      <c r="D3" s="33">
        <v>213833</v>
      </c>
      <c r="E3" s="33">
        <v>249696</v>
      </c>
      <c r="F3" s="33">
        <v>66956</v>
      </c>
      <c r="G3" s="33">
        <v>112190</v>
      </c>
      <c r="H3" s="33">
        <v>54328</v>
      </c>
      <c r="I3" s="33">
        <v>64440</v>
      </c>
      <c r="J3" s="33">
        <v>20665</v>
      </c>
      <c r="K3" s="33">
        <v>1024</v>
      </c>
      <c r="L3" s="33">
        <v>17468</v>
      </c>
      <c r="M3" s="33">
        <v>24658</v>
      </c>
      <c r="N3" s="33">
        <v>7431</v>
      </c>
      <c r="O3" s="33">
        <v>1701</v>
      </c>
      <c r="P3" s="33">
        <v>27288</v>
      </c>
      <c r="Q3" s="33">
        <v>775</v>
      </c>
      <c r="R3" s="33">
        <v>6394</v>
      </c>
    </row>
    <row r="4" spans="1:21" x14ac:dyDescent="0.25">
      <c r="A4" s="54">
        <v>44410</v>
      </c>
      <c r="B4" s="56">
        <v>173926</v>
      </c>
      <c r="C4" s="56">
        <v>135692</v>
      </c>
      <c r="D4" s="55">
        <v>214035</v>
      </c>
      <c r="E4" s="55">
        <v>249756</v>
      </c>
      <c r="F4" s="55">
        <v>66957</v>
      </c>
      <c r="G4" s="55">
        <v>112211</v>
      </c>
      <c r="H4" s="33">
        <v>54356</v>
      </c>
      <c r="I4" s="55">
        <v>64466</v>
      </c>
      <c r="J4" s="55">
        <v>20676</v>
      </c>
      <c r="K4" s="55">
        <v>1024</v>
      </c>
      <c r="L4" s="55">
        <v>17476</v>
      </c>
      <c r="M4" s="55">
        <v>24676</v>
      </c>
      <c r="N4" s="55">
        <v>7433</v>
      </c>
      <c r="O4" s="55">
        <v>1703</v>
      </c>
      <c r="P4" s="55">
        <v>27298</v>
      </c>
      <c r="Q4" s="33">
        <v>781</v>
      </c>
      <c r="R4" s="55">
        <v>6401</v>
      </c>
    </row>
    <row r="5" spans="1:21" x14ac:dyDescent="0.25">
      <c r="A5" s="54">
        <v>44411</v>
      </c>
      <c r="B5" s="55">
        <v>174440</v>
      </c>
      <c r="C5" s="33">
        <v>135835</v>
      </c>
      <c r="D5" s="55">
        <v>214208</v>
      </c>
      <c r="E5" s="55">
        <v>249814</v>
      </c>
      <c r="F5" s="55">
        <v>66958</v>
      </c>
      <c r="G5" s="55">
        <v>112227</v>
      </c>
      <c r="H5" s="33">
        <v>54382</v>
      </c>
      <c r="I5" s="55">
        <v>64497</v>
      </c>
      <c r="J5" s="55">
        <v>20687</v>
      </c>
      <c r="K5" s="55">
        <v>1024</v>
      </c>
      <c r="L5" s="55">
        <v>17485</v>
      </c>
      <c r="M5" s="55">
        <v>24689</v>
      </c>
      <c r="N5" s="55">
        <v>7436</v>
      </c>
      <c r="O5" s="55">
        <v>1703</v>
      </c>
      <c r="P5" s="55">
        <v>27312</v>
      </c>
      <c r="Q5" s="33">
        <v>788</v>
      </c>
      <c r="R5" s="55">
        <v>6407</v>
      </c>
    </row>
    <row r="6" spans="1:21" x14ac:dyDescent="0.25">
      <c r="A6" s="54">
        <v>44412</v>
      </c>
      <c r="B6" s="56">
        <v>174637</v>
      </c>
      <c r="C6" s="56">
        <v>136167</v>
      </c>
      <c r="D6" s="55">
        <v>214461</v>
      </c>
      <c r="E6" s="55">
        <v>249867</v>
      </c>
      <c r="F6" s="55">
        <v>66959</v>
      </c>
      <c r="G6" s="55">
        <v>112241</v>
      </c>
      <c r="H6" s="33">
        <v>54403</v>
      </c>
      <c r="I6" s="55">
        <v>64526</v>
      </c>
      <c r="J6" s="55">
        <v>20697</v>
      </c>
      <c r="K6" s="55">
        <v>1024</v>
      </c>
      <c r="L6" s="55">
        <v>17491</v>
      </c>
      <c r="M6" s="55">
        <v>24704</v>
      </c>
      <c r="N6" s="55">
        <v>7438</v>
      </c>
      <c r="O6" s="55">
        <v>1704</v>
      </c>
      <c r="P6" s="55">
        <v>27323</v>
      </c>
      <c r="Q6" s="33">
        <v>793</v>
      </c>
      <c r="R6" s="55">
        <v>6412</v>
      </c>
    </row>
    <row r="7" spans="1:21" x14ac:dyDescent="0.25">
      <c r="A7" s="54">
        <v>44413</v>
      </c>
      <c r="B7" s="56">
        <v>174832</v>
      </c>
      <c r="C7" s="33">
        <v>136408</v>
      </c>
      <c r="D7" s="55">
        <v>214710</v>
      </c>
      <c r="E7" s="55">
        <v>249917</v>
      </c>
      <c r="F7" s="55">
        <v>66959</v>
      </c>
      <c r="G7" s="55">
        <v>112258</v>
      </c>
      <c r="H7" s="33">
        <v>54445</v>
      </c>
      <c r="I7" s="55">
        <v>64545</v>
      </c>
      <c r="J7" s="55">
        <v>20708</v>
      </c>
      <c r="K7" s="55">
        <v>1024</v>
      </c>
      <c r="L7" s="55">
        <v>17498</v>
      </c>
      <c r="M7" s="55">
        <v>24718</v>
      </c>
      <c r="N7" s="55">
        <v>7440</v>
      </c>
      <c r="O7" s="55">
        <v>1704</v>
      </c>
      <c r="P7" s="55">
        <v>27323</v>
      </c>
      <c r="Q7" s="33">
        <v>799</v>
      </c>
      <c r="R7" s="55">
        <v>6423</v>
      </c>
    </row>
    <row r="8" spans="1:21" x14ac:dyDescent="0.25">
      <c r="A8" s="54">
        <v>44414</v>
      </c>
      <c r="B8" s="33">
        <v>175055</v>
      </c>
      <c r="C8" s="56">
        <v>136523</v>
      </c>
      <c r="D8" s="55">
        <v>214910</v>
      </c>
      <c r="E8" s="55">
        <v>249977</v>
      </c>
      <c r="F8" s="55">
        <v>66960</v>
      </c>
      <c r="G8" s="55">
        <v>112275</v>
      </c>
      <c r="H8" s="33">
        <v>54491</v>
      </c>
      <c r="I8" s="55">
        <v>64581</v>
      </c>
      <c r="J8" s="55">
        <v>20720</v>
      </c>
      <c r="K8" s="55">
        <v>1024</v>
      </c>
      <c r="L8" s="55">
        <v>17505</v>
      </c>
      <c r="M8" s="55">
        <v>24736</v>
      </c>
      <c r="N8" s="55">
        <v>7445</v>
      </c>
      <c r="O8" s="55">
        <v>1705</v>
      </c>
      <c r="P8" s="55">
        <v>27339</v>
      </c>
      <c r="Q8" s="33">
        <v>804</v>
      </c>
      <c r="R8" s="55">
        <v>6430</v>
      </c>
    </row>
    <row r="9" spans="1:21" x14ac:dyDescent="0.25">
      <c r="A9" s="54">
        <v>44415</v>
      </c>
      <c r="B9" s="56">
        <v>175231</v>
      </c>
      <c r="C9" s="33">
        <v>136455</v>
      </c>
      <c r="D9" s="55">
        <v>215100</v>
      </c>
      <c r="E9" s="55">
        <v>250037</v>
      </c>
      <c r="F9" s="55">
        <v>66961</v>
      </c>
      <c r="G9" s="55">
        <v>112297</v>
      </c>
      <c r="H9" s="33">
        <v>54530</v>
      </c>
      <c r="I9" s="55">
        <v>64601</v>
      </c>
      <c r="J9" s="55">
        <v>20731</v>
      </c>
      <c r="K9" s="55">
        <v>1024</v>
      </c>
      <c r="L9" s="55">
        <v>17514</v>
      </c>
      <c r="M9" s="55">
        <v>24751</v>
      </c>
      <c r="N9" s="55">
        <v>7449</v>
      </c>
      <c r="O9" s="55">
        <v>1707</v>
      </c>
      <c r="P9" s="55">
        <v>27339</v>
      </c>
      <c r="Q9" s="33">
        <v>806</v>
      </c>
      <c r="R9" s="55">
        <v>6433</v>
      </c>
    </row>
    <row r="10" spans="1:21" x14ac:dyDescent="0.25">
      <c r="A10" s="54">
        <v>44416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44417</v>
      </c>
      <c r="B11" s="56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44418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44419</v>
      </c>
      <c r="B13" s="56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44420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44421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44422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44423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44424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44425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44426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44427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44428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44429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44430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44431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44432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44433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44434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44435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44436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44437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44438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44439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44440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B33" sqref="B33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44409</v>
      </c>
      <c r="B4" s="65">
        <v>469</v>
      </c>
      <c r="C4" s="66">
        <f>('Water Reading'!B4-'Water Reading'!B3)+('Water Reading'!C4-'Water Reading'!C3)</f>
        <v>544</v>
      </c>
      <c r="D4" s="67">
        <f>C4/B4</f>
        <v>1.159914712153518</v>
      </c>
      <c r="E4" s="88">
        <f>'Water Reading'!H4-'Water Reading'!H3</f>
        <v>28</v>
      </c>
      <c r="F4" s="89">
        <f>E4/C4</f>
        <v>5.1470588235294115E-2</v>
      </c>
      <c r="G4" s="93">
        <f>('Water Reading'!D4-'Water Reading'!D3)-('Water Reading'!R4-'Water Reading'!R3)-('Water Reading'!Q4-'Water Reading'!Q3)</f>
        <v>189</v>
      </c>
      <c r="H4" s="89">
        <f>G4/C4</f>
        <v>0.34742647058823528</v>
      </c>
      <c r="I4" s="90">
        <f>'Water Reading'!P4-'Water Reading'!P3</f>
        <v>10</v>
      </c>
      <c r="J4" s="68">
        <f>I4/C4</f>
        <v>1.8382352941176471E-2</v>
      </c>
      <c r="K4" s="91">
        <f>('Water Reading'!I4-'Water Reading'!I3)-('Water Reading'!P4-'Water Reading'!P3)</f>
        <v>16</v>
      </c>
      <c r="L4" s="68">
        <f>K4/C4</f>
        <v>2.9411764705882353E-2</v>
      </c>
      <c r="M4" s="90">
        <f>'Water Reading'!R4-'Water Reading'!R3</f>
        <v>7</v>
      </c>
      <c r="N4" s="92">
        <f>M4/C4</f>
        <v>1.2867647058823529E-2</v>
      </c>
      <c r="O4" s="90">
        <f>'Water Reading'!Q4-'Water Reading'!Q3</f>
        <v>6</v>
      </c>
      <c r="P4" s="99">
        <f>O4/C4</f>
        <v>1.1029411764705883E-2</v>
      </c>
      <c r="Q4" s="91">
        <f>'Water Reading'!F4-'Water Reading'!F3</f>
        <v>1</v>
      </c>
      <c r="R4" s="100">
        <f>Q4/C4</f>
        <v>1.838235294117647E-3</v>
      </c>
      <c r="S4" s="90">
        <f>'Water Reading'!E4-'Water Reading'!E3</f>
        <v>60</v>
      </c>
      <c r="T4" s="100">
        <f>S4/C4</f>
        <v>0.11029411764705882</v>
      </c>
      <c r="U4" s="90">
        <f>'Water Reading'!G4-'Water Reading'!G3</f>
        <v>21</v>
      </c>
      <c r="V4" s="100">
        <f>U4/C4</f>
        <v>3.860294117647059E-2</v>
      </c>
      <c r="W4" s="90">
        <f>'Water Reading'!J4-'Water Reading'!J3</f>
        <v>11</v>
      </c>
      <c r="X4" s="100">
        <f>W4/C4</f>
        <v>2.0220588235294119E-2</v>
      </c>
      <c r="Y4" s="66">
        <f t="shared" ref="Y4:Y34" si="0">E4+I4+K4+M4+O4+G4+Q4+S4+U4+W4</f>
        <v>349</v>
      </c>
      <c r="Z4" s="67">
        <f t="shared" ref="Z4:Z35" si="1">Y4/B4</f>
        <v>0.74413646055437099</v>
      </c>
    </row>
    <row r="5" spans="1:26" x14ac:dyDescent="0.25">
      <c r="A5" s="8">
        <f>'Water Reading'!A4</f>
        <v>44410</v>
      </c>
      <c r="B5" s="65">
        <f>TOTAL!I3</f>
        <v>269</v>
      </c>
      <c r="C5" s="66">
        <f>('Water Reading'!B5-'Water Reading'!B4)+('Water Reading'!C5-'Water Reading'!C4)</f>
        <v>657</v>
      </c>
      <c r="D5" s="67">
        <f t="shared" ref="D5:D34" si="2">C5/B5</f>
        <v>2.442379182156134</v>
      </c>
      <c r="E5" s="88">
        <f>'Water Reading'!H5-'Water Reading'!H4</f>
        <v>26</v>
      </c>
      <c r="F5" s="89">
        <f t="shared" ref="F5:F34" si="3">E5/C5</f>
        <v>3.9573820395738202E-2</v>
      </c>
      <c r="G5" s="93">
        <f>('Water Reading'!D5-'Water Reading'!D4)-('Water Reading'!R5-'Water Reading'!R4)-('Water Reading'!Q5-'Water Reading'!Q4)</f>
        <v>160</v>
      </c>
      <c r="H5" s="89">
        <f t="shared" ref="H5:H34" si="4">G5/C5</f>
        <v>0.24353120243531201</v>
      </c>
      <c r="I5" s="90">
        <f>'Water Reading'!P5-'Water Reading'!P4</f>
        <v>14</v>
      </c>
      <c r="J5" s="68">
        <f t="shared" ref="J5:J34" si="5">I5/C5</f>
        <v>2.1308980213089801E-2</v>
      </c>
      <c r="K5" s="91">
        <f>('Water Reading'!I5-'Water Reading'!I4)-('Water Reading'!P5-'Water Reading'!P4)</f>
        <v>17</v>
      </c>
      <c r="L5" s="68">
        <f t="shared" ref="L5:L34" si="6">K5/C5</f>
        <v>2.5875190258751901E-2</v>
      </c>
      <c r="M5" s="90">
        <f>'Water Reading'!R5-'Water Reading'!R4</f>
        <v>6</v>
      </c>
      <c r="N5" s="92">
        <f t="shared" ref="N5:N34" si="7">M5/C5</f>
        <v>9.1324200913242004E-3</v>
      </c>
      <c r="O5" s="90">
        <f>'Water Reading'!Q5-'Water Reading'!Q4</f>
        <v>7</v>
      </c>
      <c r="P5" s="99">
        <f t="shared" ref="P5:P34" si="8">O5/C5</f>
        <v>1.06544901065449E-2</v>
      </c>
      <c r="Q5" s="91">
        <f>'Water Reading'!F5-'Water Reading'!F4</f>
        <v>1</v>
      </c>
      <c r="R5" s="100">
        <f t="shared" ref="R5:R34" si="9">Q5/C5</f>
        <v>1.5220700152207001E-3</v>
      </c>
      <c r="S5" s="90">
        <f>'Water Reading'!E5-'Water Reading'!E4</f>
        <v>58</v>
      </c>
      <c r="T5" s="100">
        <f t="shared" ref="T5:T34" si="10">S5/C5</f>
        <v>8.8280060882800604E-2</v>
      </c>
      <c r="U5" s="90">
        <f>'Water Reading'!G5-'Water Reading'!G4</f>
        <v>16</v>
      </c>
      <c r="V5" s="100">
        <f t="shared" ref="V5:V34" si="11">U5/C5</f>
        <v>2.4353120243531201E-2</v>
      </c>
      <c r="W5" s="90">
        <f>'Water Reading'!J5-'Water Reading'!J4</f>
        <v>11</v>
      </c>
      <c r="X5" s="100">
        <f t="shared" ref="X5:X34" si="12">W5/C5</f>
        <v>1.6742770167427701E-2</v>
      </c>
      <c r="Y5" s="66">
        <f t="shared" si="0"/>
        <v>316</v>
      </c>
      <c r="Z5" s="67">
        <f t="shared" si="1"/>
        <v>1.1747211895910781</v>
      </c>
    </row>
    <row r="6" spans="1:26" x14ac:dyDescent="0.25">
      <c r="A6" s="8">
        <f>'Water Reading'!A5</f>
        <v>44411</v>
      </c>
      <c r="B6" s="65">
        <f>TOTAL!I4</f>
        <v>435</v>
      </c>
      <c r="C6" s="66">
        <f>('Water Reading'!B6-'Water Reading'!B5)+('Water Reading'!C6-'Water Reading'!C5)</f>
        <v>529</v>
      </c>
      <c r="D6" s="67">
        <f t="shared" si="2"/>
        <v>1.2160919540229884</v>
      </c>
      <c r="E6" s="88">
        <f>'Water Reading'!H6-'Water Reading'!H5</f>
        <v>21</v>
      </c>
      <c r="F6" s="89">
        <f t="shared" si="3"/>
        <v>3.9697542533081283E-2</v>
      </c>
      <c r="G6" s="93">
        <f>('Water Reading'!D6-'Water Reading'!D5)-('Water Reading'!R6-'Water Reading'!R5)-('Water Reading'!Q6-'Water Reading'!Q5)</f>
        <v>243</v>
      </c>
      <c r="H6" s="89">
        <f t="shared" si="4"/>
        <v>0.45935727788279773</v>
      </c>
      <c r="I6" s="90">
        <f>'Water Reading'!P6-'Water Reading'!P5</f>
        <v>11</v>
      </c>
      <c r="J6" s="68">
        <f t="shared" si="5"/>
        <v>2.0793950850661626E-2</v>
      </c>
      <c r="K6" s="91">
        <f>('Water Reading'!I6-'Water Reading'!I5)-('Water Reading'!P6-'Water Reading'!P5)</f>
        <v>18</v>
      </c>
      <c r="L6" s="68">
        <f t="shared" si="6"/>
        <v>3.4026465028355386E-2</v>
      </c>
      <c r="M6" s="90">
        <f>'Water Reading'!R6-'Water Reading'!R5</f>
        <v>5</v>
      </c>
      <c r="N6" s="92">
        <f t="shared" si="7"/>
        <v>9.4517958412098299E-3</v>
      </c>
      <c r="O6" s="90">
        <f>'Water Reading'!Q6-'Water Reading'!Q5</f>
        <v>5</v>
      </c>
      <c r="P6" s="99">
        <f t="shared" si="8"/>
        <v>9.4517958412098299E-3</v>
      </c>
      <c r="Q6" s="91">
        <f>'Water Reading'!F6-'Water Reading'!F5</f>
        <v>1</v>
      </c>
      <c r="R6" s="100">
        <f t="shared" si="9"/>
        <v>1.890359168241966E-3</v>
      </c>
      <c r="S6" s="90">
        <f>'Water Reading'!E6-'Water Reading'!E5</f>
        <v>53</v>
      </c>
      <c r="T6" s="100">
        <f t="shared" si="10"/>
        <v>0.1001890359168242</v>
      </c>
      <c r="U6" s="90">
        <f>'Water Reading'!G6-'Water Reading'!G5</f>
        <v>14</v>
      </c>
      <c r="V6" s="100">
        <f t="shared" si="11"/>
        <v>2.6465028355387523E-2</v>
      </c>
      <c r="W6" s="90">
        <f>'Water Reading'!J6-'Water Reading'!J5</f>
        <v>10</v>
      </c>
      <c r="X6" s="100">
        <f t="shared" si="12"/>
        <v>1.890359168241966E-2</v>
      </c>
      <c r="Y6" s="66">
        <f t="shared" si="0"/>
        <v>381</v>
      </c>
      <c r="Z6" s="67">
        <f t="shared" si="1"/>
        <v>0.87586206896551722</v>
      </c>
    </row>
    <row r="7" spans="1:26" x14ac:dyDescent="0.25">
      <c r="A7" s="8">
        <f>'Water Reading'!A6</f>
        <v>44412</v>
      </c>
      <c r="B7" s="65">
        <f>TOTAL!I5</f>
        <v>400</v>
      </c>
      <c r="C7" s="66">
        <f>('Water Reading'!B7-'Water Reading'!B6)+('Water Reading'!C7-'Water Reading'!C6)</f>
        <v>436</v>
      </c>
      <c r="D7" s="67">
        <f t="shared" si="2"/>
        <v>1.0900000000000001</v>
      </c>
      <c r="E7" s="88">
        <f>'Water Reading'!H7-'Water Reading'!H6</f>
        <v>42</v>
      </c>
      <c r="F7" s="89">
        <f t="shared" si="3"/>
        <v>9.6330275229357804E-2</v>
      </c>
      <c r="G7" s="93">
        <f>('Water Reading'!D7-'Water Reading'!D6)-('Water Reading'!R7-'Water Reading'!R6)-('Water Reading'!Q7-'Water Reading'!Q6)</f>
        <v>232</v>
      </c>
      <c r="H7" s="89">
        <f t="shared" si="4"/>
        <v>0.5321100917431193</v>
      </c>
      <c r="I7" s="90">
        <f>'Water Reading'!P7-'Water Reading'!P6</f>
        <v>0</v>
      </c>
      <c r="J7" s="68">
        <f t="shared" si="5"/>
        <v>0</v>
      </c>
      <c r="K7" s="91">
        <f>('Water Reading'!I7-'Water Reading'!I6)-('Water Reading'!P7-'Water Reading'!P6)</f>
        <v>19</v>
      </c>
      <c r="L7" s="68">
        <f t="shared" si="6"/>
        <v>4.3577981651376149E-2</v>
      </c>
      <c r="M7" s="90">
        <f>'Water Reading'!R7-'Water Reading'!R6</f>
        <v>11</v>
      </c>
      <c r="N7" s="92">
        <f t="shared" si="7"/>
        <v>2.5229357798165139E-2</v>
      </c>
      <c r="O7" s="90">
        <f>'Water Reading'!Q7-'Water Reading'!Q6</f>
        <v>6</v>
      </c>
      <c r="P7" s="99">
        <f t="shared" si="8"/>
        <v>1.3761467889908258E-2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50</v>
      </c>
      <c r="T7" s="100">
        <f t="shared" si="10"/>
        <v>0.11467889908256881</v>
      </c>
      <c r="U7" s="90">
        <f>'Water Reading'!G7-'Water Reading'!G6</f>
        <v>17</v>
      </c>
      <c r="V7" s="100">
        <f t="shared" si="11"/>
        <v>3.8990825688073397E-2</v>
      </c>
      <c r="W7" s="90">
        <f>'Water Reading'!J7-'Water Reading'!J6</f>
        <v>11</v>
      </c>
      <c r="X7" s="100">
        <f t="shared" si="12"/>
        <v>2.5229357798165139E-2</v>
      </c>
      <c r="Y7" s="66">
        <f t="shared" si="0"/>
        <v>388</v>
      </c>
      <c r="Z7" s="67">
        <f t="shared" si="1"/>
        <v>0.97</v>
      </c>
    </row>
    <row r="8" spans="1:26" x14ac:dyDescent="0.25">
      <c r="A8" s="8">
        <f>'Water Reading'!A7</f>
        <v>44413</v>
      </c>
      <c r="B8" s="65">
        <f>TOTAL!I6</f>
        <v>371</v>
      </c>
      <c r="C8" s="66">
        <f>('Water Reading'!B8-'Water Reading'!B7)+('Water Reading'!C8-'Water Reading'!C7)</f>
        <v>338</v>
      </c>
      <c r="D8" s="67">
        <f t="shared" si="2"/>
        <v>0.91105121293800539</v>
      </c>
      <c r="E8" s="88">
        <f>'Water Reading'!H8-'Water Reading'!H7</f>
        <v>46</v>
      </c>
      <c r="F8" s="89">
        <f t="shared" si="3"/>
        <v>0.13609467455621302</v>
      </c>
      <c r="G8" s="93">
        <f>('Water Reading'!D8-'Water Reading'!D7)-('Water Reading'!R8-'Water Reading'!R7)-('Water Reading'!Q8-'Water Reading'!Q7)</f>
        <v>188</v>
      </c>
      <c r="H8" s="89">
        <f t="shared" si="4"/>
        <v>0.55621301775147924</v>
      </c>
      <c r="I8" s="90">
        <f>'Water Reading'!P8-'Water Reading'!P7</f>
        <v>16</v>
      </c>
      <c r="J8" s="68">
        <f t="shared" si="5"/>
        <v>4.7337278106508875E-2</v>
      </c>
      <c r="K8" s="91">
        <f>('Water Reading'!I8-'Water Reading'!I7)-('Water Reading'!P8-'Water Reading'!P7)</f>
        <v>20</v>
      </c>
      <c r="L8" s="68">
        <f t="shared" si="6"/>
        <v>5.9171597633136092E-2</v>
      </c>
      <c r="M8" s="90">
        <f>'Water Reading'!R8-'Water Reading'!R7</f>
        <v>7</v>
      </c>
      <c r="N8" s="92">
        <f t="shared" si="7"/>
        <v>2.0710059171597635E-2</v>
      </c>
      <c r="O8" s="90">
        <f>'Water Reading'!Q8-'Water Reading'!Q7</f>
        <v>5</v>
      </c>
      <c r="P8" s="99">
        <f t="shared" si="8"/>
        <v>1.4792899408284023E-2</v>
      </c>
      <c r="Q8" s="91">
        <f>'Water Reading'!F8-'Water Reading'!F7</f>
        <v>1</v>
      </c>
      <c r="R8" s="100">
        <f t="shared" si="9"/>
        <v>2.9585798816568047E-3</v>
      </c>
      <c r="S8" s="90">
        <f>'Water Reading'!E8-'Water Reading'!E7</f>
        <v>60</v>
      </c>
      <c r="T8" s="100">
        <f t="shared" si="10"/>
        <v>0.17751479289940827</v>
      </c>
      <c r="U8" s="90">
        <f>'Water Reading'!G8-'Water Reading'!G7</f>
        <v>17</v>
      </c>
      <c r="V8" s="100">
        <f t="shared" si="11"/>
        <v>5.0295857988165681E-2</v>
      </c>
      <c r="W8" s="90">
        <f>'Water Reading'!J8-'Water Reading'!J7</f>
        <v>12</v>
      </c>
      <c r="X8" s="100">
        <f t="shared" si="12"/>
        <v>3.5502958579881658E-2</v>
      </c>
      <c r="Y8" s="66">
        <f t="shared" si="0"/>
        <v>372</v>
      </c>
      <c r="Z8" s="67">
        <f t="shared" si="1"/>
        <v>1.0026954177897573</v>
      </c>
    </row>
    <row r="9" spans="1:26" x14ac:dyDescent="0.25">
      <c r="A9" s="8">
        <f>'Water Reading'!A8</f>
        <v>44414</v>
      </c>
      <c r="B9" s="65">
        <f>TOTAL!I7</f>
        <v>256</v>
      </c>
      <c r="C9" s="66">
        <f>('Water Reading'!B9-'Water Reading'!B8)+('Water Reading'!C9-'Water Reading'!C8)</f>
        <v>108</v>
      </c>
      <c r="D9" s="67">
        <f t="shared" si="2"/>
        <v>0.421875</v>
      </c>
      <c r="E9" s="88">
        <f>'Water Reading'!H9-'Water Reading'!H8</f>
        <v>39</v>
      </c>
      <c r="F9" s="89">
        <f t="shared" si="3"/>
        <v>0.3611111111111111</v>
      </c>
      <c r="G9" s="93">
        <f>('Water Reading'!D9-'Water Reading'!D8)-('Water Reading'!R9-'Water Reading'!R8)-('Water Reading'!Q9-'Water Reading'!Q8)</f>
        <v>185</v>
      </c>
      <c r="H9" s="89">
        <f t="shared" si="4"/>
        <v>1.712962962962963</v>
      </c>
      <c r="I9" s="90">
        <f>'Water Reading'!P9-'Water Reading'!P8</f>
        <v>0</v>
      </c>
      <c r="J9" s="68">
        <f t="shared" si="5"/>
        <v>0</v>
      </c>
      <c r="K9" s="91">
        <f>('Water Reading'!I9-'Water Reading'!I8)-('Water Reading'!P9-'Water Reading'!P8)</f>
        <v>20</v>
      </c>
      <c r="L9" s="68">
        <f t="shared" si="6"/>
        <v>0.18518518518518517</v>
      </c>
      <c r="M9" s="90">
        <f>'Water Reading'!R9-'Water Reading'!R8</f>
        <v>3</v>
      </c>
      <c r="N9" s="92">
        <f t="shared" si="7"/>
        <v>2.7777777777777776E-2</v>
      </c>
      <c r="O9" s="90">
        <f>'Water Reading'!Q9-'Water Reading'!Q8</f>
        <v>2</v>
      </c>
      <c r="P9" s="99">
        <f t="shared" si="8"/>
        <v>1.8518518518518517E-2</v>
      </c>
      <c r="Q9" s="91">
        <f>'Water Reading'!F9-'Water Reading'!F8</f>
        <v>1</v>
      </c>
      <c r="R9" s="100">
        <f t="shared" si="9"/>
        <v>9.2592592592592587E-3</v>
      </c>
      <c r="S9" s="90">
        <f>'Water Reading'!E9-'Water Reading'!E8</f>
        <v>60</v>
      </c>
      <c r="T9" s="100">
        <f t="shared" si="10"/>
        <v>0.55555555555555558</v>
      </c>
      <c r="U9" s="90">
        <f>'Water Reading'!G9-'Water Reading'!G8</f>
        <v>22</v>
      </c>
      <c r="V9" s="100">
        <f t="shared" si="11"/>
        <v>0.20370370370370369</v>
      </c>
      <c r="W9" s="90">
        <f>'Water Reading'!J9-'Water Reading'!J8</f>
        <v>11</v>
      </c>
      <c r="X9" s="100">
        <f t="shared" si="12"/>
        <v>0.10185185185185185</v>
      </c>
      <c r="Y9" s="66">
        <f t="shared" si="0"/>
        <v>343</v>
      </c>
      <c r="Z9" s="67">
        <f t="shared" si="1"/>
        <v>1.33984375</v>
      </c>
    </row>
    <row r="10" spans="1:26" x14ac:dyDescent="0.25">
      <c r="A10" s="8">
        <f>'Water Reading'!A9</f>
        <v>44415</v>
      </c>
      <c r="B10" s="65">
        <f>TOTAL!I8</f>
        <v>0</v>
      </c>
      <c r="C10" s="66">
        <f>('Water Reading'!B10-'Water Reading'!B9)+('Water Reading'!C10-'Water Reading'!C9)</f>
        <v>-311686</v>
      </c>
      <c r="D10" s="67" t="e">
        <f t="shared" si="2"/>
        <v>#DIV/0!</v>
      </c>
      <c r="E10" s="88">
        <f>'Water Reading'!H10-'Water Reading'!H9</f>
        <v>-54530</v>
      </c>
      <c r="F10" s="89">
        <f t="shared" si="3"/>
        <v>0.17495171422521383</v>
      </c>
      <c r="G10" s="93">
        <f>('Water Reading'!D10-'Water Reading'!D9)-('Water Reading'!R10-'Water Reading'!R9)-('Water Reading'!Q10-'Water Reading'!Q9)</f>
        <v>-207861</v>
      </c>
      <c r="H10" s="89">
        <f t="shared" si="4"/>
        <v>0.6668923211180483</v>
      </c>
      <c r="I10" s="90">
        <f>'Water Reading'!P10-'Water Reading'!P9</f>
        <v>-27339</v>
      </c>
      <c r="J10" s="68">
        <f t="shared" si="5"/>
        <v>8.7713275540126923E-2</v>
      </c>
      <c r="K10" s="91">
        <f>('Water Reading'!I10-'Water Reading'!I9)-('Water Reading'!P10-'Water Reading'!P9)</f>
        <v>-37262</v>
      </c>
      <c r="L10" s="68">
        <f t="shared" si="6"/>
        <v>0.11954980332770801</v>
      </c>
      <c r="M10" s="90">
        <f>'Water Reading'!R10-'Water Reading'!R9</f>
        <v>-6433</v>
      </c>
      <c r="N10" s="92">
        <f t="shared" si="7"/>
        <v>2.0639361408597113E-2</v>
      </c>
      <c r="O10" s="90">
        <f>'Water Reading'!Q10-'Water Reading'!Q9</f>
        <v>-806</v>
      </c>
      <c r="P10" s="99">
        <f t="shared" si="8"/>
        <v>2.5859358456908556E-3</v>
      </c>
      <c r="Q10" s="91">
        <f>'Water Reading'!F10-'Water Reading'!F9</f>
        <v>-66961</v>
      </c>
      <c r="R10" s="100">
        <f t="shared" si="9"/>
        <v>0.21483480169144586</v>
      </c>
      <c r="S10" s="90">
        <f>'Water Reading'!E10-'Water Reading'!E9</f>
        <v>-250037</v>
      </c>
      <c r="T10" s="100">
        <f t="shared" si="10"/>
        <v>0.80220799137593601</v>
      </c>
      <c r="U10" s="90">
        <f>'Water Reading'!G10-'Water Reading'!G9</f>
        <v>-112297</v>
      </c>
      <c r="V10" s="100">
        <f t="shared" si="11"/>
        <v>0.36028888047586355</v>
      </c>
      <c r="W10" s="90">
        <f>'Water Reading'!J10-'Water Reading'!J9</f>
        <v>-20731</v>
      </c>
      <c r="X10" s="100">
        <f t="shared" si="12"/>
        <v>6.6512451634016284E-2</v>
      </c>
      <c r="Y10" s="66">
        <f t="shared" si="0"/>
        <v>-784257</v>
      </c>
      <c r="Z10" s="67" t="e">
        <f t="shared" si="1"/>
        <v>#DIV/0!</v>
      </c>
    </row>
    <row r="11" spans="1:26" x14ac:dyDescent="0.25">
      <c r="A11" s="8">
        <f>'Water Reading'!A10</f>
        <v>44416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44417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44418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44419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44420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44421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44422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44423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44424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44425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44426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44427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44428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44429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44430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44431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44432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44433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44434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44435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44436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44437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44438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44439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2200</v>
      </c>
      <c r="C35" s="75">
        <f>SUM(C4:C34)</f>
        <v>-309074</v>
      </c>
      <c r="D35" s="96">
        <f>C35/B35</f>
        <v>-140.48818181818183</v>
      </c>
      <c r="E35" s="7">
        <f>SUM(E4:E34)</f>
        <v>-54328</v>
      </c>
      <c r="F35" s="95">
        <f>E35/C35</f>
        <v>0.17577667484162368</v>
      </c>
      <c r="G35" s="75">
        <f>SUM(G4:G34)</f>
        <v>-206664</v>
      </c>
      <c r="H35" s="95">
        <f>G35/C35</f>
        <v>0.66865540291321823</v>
      </c>
      <c r="I35" s="7">
        <f>SUM(I4:I34)</f>
        <v>-27288</v>
      </c>
      <c r="J35" s="95">
        <f>I35/C35</f>
        <v>8.8289535839313565E-2</v>
      </c>
      <c r="K35" s="7">
        <f>SUM(K4:K34)</f>
        <v>-37152</v>
      </c>
      <c r="L35" s="95">
        <f>K35/C35</f>
        <v>0.12020422293690185</v>
      </c>
      <c r="M35" s="7">
        <f>SUM(M4:M34)</f>
        <v>-6394</v>
      </c>
      <c r="N35" s="95">
        <f>M35/C35</f>
        <v>2.0687602321774072E-2</v>
      </c>
      <c r="O35" s="7">
        <f>SUM(O4:O34)</f>
        <v>-775</v>
      </c>
      <c r="P35" s="95">
        <f>O35/C35</f>
        <v>2.5074901156357378E-3</v>
      </c>
      <c r="Q35" s="7">
        <f>SUM(Q4:Q34)</f>
        <v>-66956</v>
      </c>
      <c r="R35" s="95">
        <f>Q35/C35</f>
        <v>0.21663420410645995</v>
      </c>
      <c r="S35" s="75">
        <f>SUM(S4:S34)</f>
        <v>-249696</v>
      </c>
      <c r="T35" s="95">
        <f>S35/C35</f>
        <v>0.80788419601778216</v>
      </c>
      <c r="U35" s="7">
        <f>SUM(U4:U34)</f>
        <v>-112190</v>
      </c>
      <c r="V35" s="95">
        <f>U35/C35</f>
        <v>0.36298750461054635</v>
      </c>
      <c r="W35" s="7">
        <f>SUM(W4:W34)</f>
        <v>-20665</v>
      </c>
      <c r="X35" s="95">
        <f>W35/C35</f>
        <v>6.6861010631758089E-2</v>
      </c>
      <c r="Y35" s="75">
        <f>SUM(Y4:Y34)</f>
        <v>-782108</v>
      </c>
      <c r="Z35" s="95">
        <f t="shared" si="1"/>
        <v>-355.50363636363636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2021-08-07T06:25:53Z</dcterms:modified>
  <cp:category/>
  <cp:contentStatus/>
</cp:coreProperties>
</file>