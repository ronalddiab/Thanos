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"/>
    </mc:Choice>
  </mc:AlternateContent>
  <xr:revisionPtr revIDLastSave="0" documentId="13_ncr:1_{35FB6A3C-BF5A-4EC3-B742-F95BBEBD47CD}" xr6:coauthVersionLast="47" xr6:coauthVersionMax="47" xr10:uidLastSave="{00000000-0000-0000-0000-000000000000}"/>
  <bookViews>
    <workbookView xWindow="28680" yWindow="-120" windowWidth="29040" windowHeight="15720" tabRatio="193" xr2:uid="{00000000-000D-0000-FFFF-FFFF00000000}"/>
  </bookViews>
  <sheets>
    <sheet name="ANASSA - July 2024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L2" i="1" s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14" i="1"/>
  <c r="AK13" i="1"/>
  <c r="AK3" i="1"/>
  <c r="AK4" i="1"/>
  <c r="AK5" i="1"/>
  <c r="AK6" i="1"/>
  <c r="AK7" i="1"/>
  <c r="AK8" i="1"/>
  <c r="AK9" i="1"/>
  <c r="AK10" i="1"/>
  <c r="AK11" i="1"/>
  <c r="AK12" i="1"/>
  <c r="AK2" i="1"/>
  <c r="Z33" i="1"/>
  <c r="AB32" i="1" s="1"/>
  <c r="AB14" i="1"/>
  <c r="AB10" i="1"/>
  <c r="AB9" i="1"/>
  <c r="Z22" i="1"/>
  <c r="AB22" i="1" s="1"/>
  <c r="Z23" i="1"/>
  <c r="Z24" i="1"/>
  <c r="AB24" i="1" s="1"/>
  <c r="Z25" i="1"/>
  <c r="Z26" i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Z3" i="1"/>
  <c r="AB3" i="1" s="1"/>
  <c r="Z4" i="1"/>
  <c r="AB4" i="1" s="1"/>
  <c r="Z5" i="1"/>
  <c r="Z6" i="1"/>
  <c r="AB6" i="1" s="1"/>
  <c r="Z7" i="1"/>
  <c r="Z8" i="1"/>
  <c r="Z9" i="1"/>
  <c r="Z10" i="1"/>
  <c r="Z11" i="1"/>
  <c r="Z12" i="1"/>
  <c r="Z13" i="1"/>
  <c r="AB13" i="1" s="1"/>
  <c r="Z14" i="1"/>
  <c r="Z15" i="1"/>
  <c r="Z16" i="1"/>
  <c r="AB15" i="1" s="1"/>
  <c r="Z17" i="1"/>
  <c r="Z18" i="1"/>
  <c r="AB18" i="1" s="1"/>
  <c r="Z19" i="1"/>
  <c r="Z20" i="1"/>
  <c r="AB19" i="1" s="1"/>
  <c r="Z21" i="1"/>
  <c r="AB21" i="1" s="1"/>
  <c r="AG33" i="1"/>
  <c r="T26" i="1"/>
  <c r="T22" i="1"/>
  <c r="AB16" i="1" l="1"/>
  <c r="AB8" i="1"/>
  <c r="AB7" i="1"/>
  <c r="AB25" i="1"/>
  <c r="AB26" i="1"/>
  <c r="AB17" i="1"/>
  <c r="AB23" i="1"/>
  <c r="AB11" i="1"/>
  <c r="AB5" i="1"/>
  <c r="AB20" i="1"/>
  <c r="AB12" i="1"/>
  <c r="AC3" i="1"/>
  <c r="AG27" i="1"/>
  <c r="AG28" i="1"/>
  <c r="AG29" i="1"/>
  <c r="AG30" i="1"/>
  <c r="AG31" i="1"/>
  <c r="AG32" i="1"/>
  <c r="AH32" i="1" s="1"/>
  <c r="AH5" i="1"/>
  <c r="AH9" i="1"/>
  <c r="AH10" i="1"/>
  <c r="AH11" i="1"/>
  <c r="AG3" i="1"/>
  <c r="AG4" i="1"/>
  <c r="AH4" i="1" s="1"/>
  <c r="AG5" i="1"/>
  <c r="AG6" i="1"/>
  <c r="AG7" i="1"/>
  <c r="AH6" i="1" s="1"/>
  <c r="AG8" i="1"/>
  <c r="AG9" i="1"/>
  <c r="AG10" i="1"/>
  <c r="AG11" i="1"/>
  <c r="AG12" i="1"/>
  <c r="AG13" i="1"/>
  <c r="AG14" i="1"/>
  <c r="AG15" i="1"/>
  <c r="AG16" i="1"/>
  <c r="AG17" i="1"/>
  <c r="AG18" i="1"/>
  <c r="AG19" i="1"/>
  <c r="AH18" i="1" s="1"/>
  <c r="AG20" i="1"/>
  <c r="AG21" i="1"/>
  <c r="AG22" i="1"/>
  <c r="AG23" i="1"/>
  <c r="AG24" i="1"/>
  <c r="AG25" i="1"/>
  <c r="AG26" i="1"/>
  <c r="AG2" i="1"/>
  <c r="AH2" i="1" s="1"/>
  <c r="Z2" i="1"/>
  <c r="AB2" i="1" s="1"/>
  <c r="T4" i="1"/>
  <c r="V4" i="1" s="1"/>
  <c r="AC4" i="1" s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V21" i="1" s="1"/>
  <c r="AC21" i="1" s="1"/>
  <c r="T23" i="1"/>
  <c r="T24" i="1"/>
  <c r="T25" i="1"/>
  <c r="T27" i="1"/>
  <c r="T28" i="1"/>
  <c r="T29" i="1"/>
  <c r="T30" i="1"/>
  <c r="T31" i="1"/>
  <c r="T32" i="1"/>
  <c r="T33" i="1"/>
  <c r="T3" i="1"/>
  <c r="V3" i="1" s="1"/>
  <c r="T2" i="1"/>
  <c r="V2" i="1" s="1"/>
  <c r="AA34" i="1"/>
  <c r="V14" i="1" l="1"/>
  <c r="AC14" i="1" s="1"/>
  <c r="AH30" i="1"/>
  <c r="AH3" i="1"/>
  <c r="V28" i="1"/>
  <c r="AC28" i="1" s="1"/>
  <c r="V26" i="1"/>
  <c r="AC26" i="1" s="1"/>
  <c r="V27" i="1"/>
  <c r="AC27" i="1" s="1"/>
  <c r="V11" i="1"/>
  <c r="AC11" i="1" s="1"/>
  <c r="V10" i="1"/>
  <c r="AC10" i="1" s="1"/>
  <c r="V9" i="1"/>
  <c r="AC9" i="1" s="1"/>
  <c r="V20" i="1"/>
  <c r="AC20" i="1" s="1"/>
  <c r="V19" i="1"/>
  <c r="AC19" i="1" s="1"/>
  <c r="V6" i="1"/>
  <c r="AC6" i="1" s="1"/>
  <c r="V5" i="1"/>
  <c r="AC5" i="1" s="1"/>
  <c r="V18" i="1"/>
  <c r="AC18" i="1" s="1"/>
  <c r="V15" i="1"/>
  <c r="AC15" i="1" s="1"/>
  <c r="V12" i="1"/>
  <c r="AC12" i="1" s="1"/>
  <c r="V13" i="1"/>
  <c r="AC13" i="1" s="1"/>
  <c r="V23" i="1"/>
  <c r="AC23" i="1" s="1"/>
  <c r="V22" i="1"/>
  <c r="AC22" i="1" s="1"/>
  <c r="V32" i="1"/>
  <c r="AC32" i="1" s="1"/>
  <c r="AC2" i="1"/>
  <c r="AH27" i="1"/>
  <c r="V8" i="1"/>
  <c r="AC8" i="1" s="1"/>
  <c r="V7" i="1"/>
  <c r="AC7" i="1" s="1"/>
  <c r="V31" i="1"/>
  <c r="AC31" i="1" s="1"/>
  <c r="V29" i="1"/>
  <c r="AC29" i="1" s="1"/>
  <c r="V30" i="1"/>
  <c r="AC30" i="1" s="1"/>
  <c r="V24" i="1"/>
  <c r="AC24" i="1" s="1"/>
  <c r="V25" i="1"/>
  <c r="AC25" i="1" s="1"/>
  <c r="V16" i="1"/>
  <c r="AC16" i="1" s="1"/>
  <c r="V17" i="1"/>
  <c r="AC17" i="1" s="1"/>
  <c r="AH31" i="1"/>
  <c r="AH29" i="1"/>
  <c r="AH28" i="1"/>
  <c r="AH26" i="1"/>
  <c r="AH25" i="1"/>
  <c r="AH24" i="1"/>
  <c r="AH23" i="1"/>
  <c r="AH22" i="1"/>
  <c r="AH21" i="1"/>
  <c r="AH20" i="1"/>
  <c r="AH19" i="1"/>
  <c r="AH17" i="1"/>
  <c r="AH16" i="1"/>
  <c r="AH15" i="1"/>
  <c r="AH14" i="1"/>
  <c r="AH13" i="1"/>
  <c r="AH12" i="1"/>
  <c r="AH8" i="1"/>
  <c r="AH7" i="1"/>
  <c r="AB34" i="1"/>
  <c r="AC34" i="1" l="1"/>
  <c r="AJ34" i="1"/>
  <c r="U34" i="1"/>
  <c r="AM34" i="1"/>
  <c r="AL34" i="1"/>
  <c r="M2" i="1"/>
  <c r="P2" i="1"/>
  <c r="AK34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" i="1"/>
  <c r="P34" i="1" l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" i="1"/>
  <c r="C2" i="1"/>
  <c r="H8" i="1" l="1"/>
  <c r="I8" i="1" s="1"/>
  <c r="G34" i="1"/>
  <c r="H7" i="1"/>
  <c r="I7" i="1" s="1"/>
  <c r="H32" i="1"/>
  <c r="I32" i="1" s="1"/>
  <c r="H31" i="1"/>
  <c r="I31" i="1" s="1"/>
  <c r="H18" i="1"/>
  <c r="I18" i="1" s="1"/>
  <c r="H6" i="1"/>
  <c r="I6" i="1" s="1"/>
  <c r="H20" i="1"/>
  <c r="I20" i="1" s="1"/>
  <c r="H19" i="1"/>
  <c r="I19" i="1" s="1"/>
  <c r="H30" i="1"/>
  <c r="I30" i="1" s="1"/>
  <c r="H29" i="1"/>
  <c r="I29" i="1" s="1"/>
  <c r="H17" i="1"/>
  <c r="I17" i="1" s="1"/>
  <c r="H5" i="1"/>
  <c r="I5" i="1"/>
  <c r="H16" i="1"/>
  <c r="I16" i="1" s="1"/>
  <c r="AH34" i="1"/>
  <c r="E34" i="1"/>
  <c r="H28" i="1"/>
  <c r="I28" i="1" s="1"/>
  <c r="H27" i="1"/>
  <c r="I27" i="1" s="1"/>
  <c r="H14" i="1"/>
  <c r="I14" i="1" s="1"/>
  <c r="H24" i="1"/>
  <c r="I24" i="1" s="1"/>
  <c r="H12" i="1"/>
  <c r="I12" i="1" s="1"/>
  <c r="H23" i="1"/>
  <c r="I23" i="1" s="1"/>
  <c r="H11" i="1"/>
  <c r="I11" i="1" s="1"/>
  <c r="V34" i="1"/>
  <c r="H4" i="1"/>
  <c r="I4" i="1" s="1"/>
  <c r="H26" i="1"/>
  <c r="I26" i="1" s="1"/>
  <c r="H13" i="1"/>
  <c r="I13" i="1" s="1"/>
  <c r="H10" i="1"/>
  <c r="I10" i="1" s="1"/>
  <c r="H15" i="1"/>
  <c r="I15" i="1" s="1"/>
  <c r="H25" i="1"/>
  <c r="I25" i="1" s="1"/>
  <c r="M34" i="1"/>
  <c r="C34" i="1"/>
  <c r="H2" i="1"/>
  <c r="H22" i="1"/>
  <c r="I22" i="1" s="1"/>
  <c r="H3" i="1"/>
  <c r="I3" i="1" s="1"/>
  <c r="H21" i="1"/>
  <c r="I21" i="1" s="1"/>
  <c r="H9" i="1"/>
  <c r="I9" i="1" s="1"/>
  <c r="I2" i="1" l="1"/>
  <c r="I34" i="1" s="1"/>
  <c r="H34" i="1"/>
</calcChain>
</file>

<file path=xl/sharedStrings.xml><?xml version="1.0" encoding="utf-8"?>
<sst xmlns="http://schemas.openxmlformats.org/spreadsheetml/2006/main" count="39" uniqueCount="30">
  <si>
    <t xml:space="preserve">Room Nights </t>
  </si>
  <si>
    <t>Date</t>
  </si>
  <si>
    <t>Fuel Oil Hot-Water Boilers (Liter)  Reading</t>
  </si>
  <si>
    <t>Consumed</t>
  </si>
  <si>
    <t>PRODUCED</t>
  </si>
  <si>
    <t>SOLD</t>
  </si>
  <si>
    <t>LPG % A</t>
  </si>
  <si>
    <t>LPG % B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</si>
  <si>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</si>
  <si>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</si>
  <si>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</si>
  <si>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</si>
  <si>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</si>
  <si>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</si>
  <si>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</si>
  <si>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</si>
  <si>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</si>
  <si>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</si>
  <si>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Consumed excl. --&gt;</t>
  </si>
  <si>
    <t>HOTEL Electricity (KWh) Consumed incl. --&gt;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</si>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</sst>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dd\ dd/mm/yyyy"/>
  </numFmts>
  <fonts count="23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b/>
      <sz val="10"/>
      <color rgb="FF800080"/>
      <name val="Arial"/>
      <family val="2"/>
      <charset val="161"/>
    </font>
    <font>
      <sz val="7"/>
      <name val="Arial"/>
      <family val="2"/>
      <charset val="161"/>
    </font>
    <font>
      <sz val="8"/>
      <name val="Arial"/>
      <family val="2"/>
    </font>
    <font>
      <sz val="8"/>
      <color rgb="FF7030A0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/>
    </xf>
    <xf numFmtId="1" fontId="4" fillId="4" borderId="2" xfId="0" applyNumberFormat="1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/>
    </xf>
    <xf numFmtId="9" fontId="4" fillId="0" borderId="18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1" fontId="7" fillId="0" borderId="27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3" fontId="2" fillId="0" borderId="28" xfId="0" applyNumberFormat="1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3" fillId="0" borderId="25" xfId="0" applyNumberFormat="1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3" fontId="2" fillId="2" borderId="34" xfId="0" applyNumberFormat="1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3" fontId="2" fillId="0" borderId="33" xfId="0" applyNumberFormat="1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1" fontId="6" fillId="0" borderId="27" xfId="0" applyNumberFormat="1" applyFont="1" applyBorder="1" applyAlignment="1">
      <alignment horizontal="center"/>
    </xf>
    <xf numFmtId="1" fontId="8" fillId="0" borderId="20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/>
    </xf>
    <xf numFmtId="3" fontId="2" fillId="2" borderId="36" xfId="0" applyNumberFormat="1" applyFont="1" applyFill="1" applyBorder="1" applyAlignment="1">
      <alignment horizontal="center"/>
    </xf>
    <xf numFmtId="1" fontId="9" fillId="3" borderId="38" xfId="0" applyNumberFormat="1" applyFont="1" applyFill="1" applyBorder="1" applyAlignment="1">
      <alignment horizontal="center" vertical="center"/>
    </xf>
    <xf numFmtId="1" fontId="9" fillId="3" borderId="39" xfId="0" applyNumberFormat="1" applyFont="1" applyFill="1" applyBorder="1" applyAlignment="1">
      <alignment horizontal="center" vertical="center"/>
    </xf>
    <xf numFmtId="1" fontId="9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9" fillId="0" borderId="32" xfId="0" applyFont="1" applyBorder="1" applyAlignment="1">
      <alignment horizontal="center"/>
    </xf>
    <xf numFmtId="1" fontId="9" fillId="5" borderId="38" xfId="0" applyNumberFormat="1" applyFont="1" applyFill="1" applyBorder="1" applyAlignment="1">
      <alignment horizontal="center" vertical="center"/>
    </xf>
    <xf numFmtId="1" fontId="9" fillId="5" borderId="39" xfId="0" applyNumberFormat="1" applyFont="1" applyFill="1" applyBorder="1" applyAlignment="1">
      <alignment horizontal="center" vertical="center"/>
    </xf>
    <xf numFmtId="1" fontId="9" fillId="5" borderId="40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11" fillId="4" borderId="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3" fontId="13" fillId="2" borderId="9" xfId="0" applyNumberFormat="1" applyFont="1" applyFill="1" applyBorder="1" applyAlignment="1">
      <alignment horizontal="center" vertical="center" textRotation="90" wrapText="1"/>
    </xf>
    <xf numFmtId="0" fontId="12" fillId="0" borderId="9" xfId="0" applyFont="1" applyBorder="1" applyAlignment="1">
      <alignment horizontal="center" vertical="center" wrapText="1"/>
    </xf>
    <xf numFmtId="3" fontId="13" fillId="2" borderId="22" xfId="0" applyNumberFormat="1" applyFont="1" applyFill="1" applyBorder="1" applyAlignment="1">
      <alignment horizontal="center" vertical="center" textRotation="90" wrapText="1"/>
    </xf>
    <xf numFmtId="0" fontId="14" fillId="3" borderId="37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3" fontId="13" fillId="2" borderId="10" xfId="0" applyNumberFormat="1" applyFont="1" applyFill="1" applyBorder="1" applyAlignment="1">
      <alignment horizontal="center" vertical="center" textRotation="90" wrapText="1"/>
    </xf>
    <xf numFmtId="1" fontId="15" fillId="0" borderId="8" xfId="0" applyNumberFormat="1" applyFont="1" applyBorder="1" applyAlignment="1">
      <alignment horizontal="center" vertical="center" wrapText="1"/>
    </xf>
    <xf numFmtId="1" fontId="15" fillId="0" borderId="9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1" fontId="8" fillId="0" borderId="43" xfId="0" applyNumberFormat="1" applyFont="1" applyBorder="1" applyAlignment="1">
      <alignment horizontal="center" vertical="center"/>
    </xf>
    <xf numFmtId="1" fontId="8" fillId="0" borderId="44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1" fontId="4" fillId="4" borderId="18" xfId="0" applyNumberFormat="1" applyFont="1" applyFill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/>
    </xf>
    <xf numFmtId="3" fontId="2" fillId="0" borderId="4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1</xdr:row>
      <xdr:rowOff>0</xdr:rowOff>
    </xdr:from>
    <xdr:to>
      <xdr:col>39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6"/>
  <sheetViews>
    <sheetView tabSelected="1" topLeftCell="K1" zoomScale="115" zoomScaleNormal="115" workbookViewId="0">
      <selection activeCell="T24" sqref="T24"/>
    </sheetView>
  </sheetViews>
  <sheetFormatPr defaultColWidth="11.5703125" defaultRowHeight="12.75" x14ac:dyDescent="0.2"/>
  <cols>
    <col min="1" max="1" width="21.85546875" bestFit="1" customWidth="1"/>
    <col min="2" max="2" width="10.85546875" hidden="1" customWidth="1"/>
    <col min="3" max="3" width="6.5703125" style="15" hidden="1" customWidth="1"/>
    <col min="4" max="4" width="10" style="4" hidden="1" customWidth="1"/>
    <col min="5" max="5" width="6.5703125" style="15" hidden="1" customWidth="1"/>
    <col min="6" max="6" width="10" style="4" hidden="1" customWidth="1"/>
    <col min="7" max="7" width="6.5703125" style="15" hidden="1" customWidth="1"/>
    <col min="8" max="9" width="9.7109375" style="4" hidden="1" customWidth="1"/>
    <col min="10" max="10" width="17.28515625" style="4" bestFit="1" customWidth="1"/>
    <col min="11" max="11" width="8.28515625" style="4" customWidth="1"/>
    <col min="12" max="12" width="9" style="4" bestFit="1" customWidth="1"/>
    <col min="13" max="13" width="6.5703125" style="15" bestFit="1" customWidth="1"/>
    <col min="14" max="14" width="6.7109375" style="3" customWidth="1"/>
    <col min="15" max="15" width="7.5703125" style="3" customWidth="1"/>
    <col min="16" max="16" width="6.5703125" style="15" bestFit="1" customWidth="1"/>
    <col min="17" max="19" width="4.7109375" customWidth="1"/>
    <col min="20" max="20" width="7.85546875" customWidth="1"/>
    <col min="21" max="21" width="7.85546875" style="3" customWidth="1"/>
    <col min="22" max="22" width="6.42578125" style="15" bestFit="1" customWidth="1"/>
    <col min="23" max="25" width="4.7109375" customWidth="1"/>
    <col min="26" max="26" width="7.85546875" customWidth="1"/>
    <col min="27" max="27" width="7.85546875" style="3" customWidth="1"/>
    <col min="28" max="28" width="5.7109375" style="15" bestFit="1" customWidth="1"/>
    <col min="29" max="29" width="5" style="15" bestFit="1" customWidth="1"/>
    <col min="30" max="33" width="8.42578125" customWidth="1"/>
    <col min="34" max="34" width="8.140625" style="15" bestFit="1" customWidth="1"/>
    <col min="35" max="36" width="7.5703125" style="6" customWidth="1"/>
    <col min="37" max="37" width="7.140625" style="15" bestFit="1" customWidth="1"/>
    <col min="38" max="38" width="6.42578125" customWidth="1"/>
    <col min="39" max="39" width="7" customWidth="1"/>
  </cols>
  <sheetData>
    <row r="1" spans="1:39" s="109" customFormat="1" ht="90.75" thickTop="1" x14ac:dyDescent="0.2">
      <c r="A1" s="90" t="s">
        <v>1</v>
      </c>
      <c r="B1" s="91" t="s">
        <v>10</v>
      </c>
      <c r="C1" s="92" t="s">
        <v>8</v>
      </c>
      <c r="D1" s="93" t="s">
        <v>11</v>
      </c>
      <c r="E1" s="92" t="s">
        <v>4</v>
      </c>
      <c r="F1" s="93" t="s">
        <v>12</v>
      </c>
      <c r="G1" s="94" t="s">
        <v>5</v>
      </c>
      <c r="H1" s="95" t="s">
        <v>19</v>
      </c>
      <c r="I1" s="96" t="s">
        <v>18</v>
      </c>
      <c r="J1" s="97" t="s">
        <v>27</v>
      </c>
      <c r="K1" s="97" t="s">
        <v>28</v>
      </c>
      <c r="L1" s="110" t="s">
        <v>20</v>
      </c>
      <c r="M1" s="98" t="s">
        <v>3</v>
      </c>
      <c r="N1" s="99" t="s">
        <v>2</v>
      </c>
      <c r="O1" s="100" t="s">
        <v>14</v>
      </c>
      <c r="P1" s="98" t="s">
        <v>3</v>
      </c>
      <c r="Q1" s="101" t="s">
        <v>6</v>
      </c>
      <c r="R1" s="101" t="s">
        <v>7</v>
      </c>
      <c r="S1" s="102" t="s">
        <v>21</v>
      </c>
      <c r="T1" s="111" t="s">
        <v>15</v>
      </c>
      <c r="U1" s="103" t="s">
        <v>13</v>
      </c>
      <c r="V1" s="98" t="s">
        <v>3</v>
      </c>
      <c r="W1" s="101" t="s">
        <v>6</v>
      </c>
      <c r="X1" s="101" t="s">
        <v>7</v>
      </c>
      <c r="Y1" s="102" t="s">
        <v>21</v>
      </c>
      <c r="Z1" s="111" t="s">
        <v>22</v>
      </c>
      <c r="AA1" s="103" t="s">
        <v>13</v>
      </c>
      <c r="AB1" s="98" t="s">
        <v>3</v>
      </c>
      <c r="AC1" s="98" t="s">
        <v>29</v>
      </c>
      <c r="AD1" s="104" t="s">
        <v>23</v>
      </c>
      <c r="AE1" s="104" t="s">
        <v>24</v>
      </c>
      <c r="AF1" s="104" t="s">
        <v>25</v>
      </c>
      <c r="AG1" s="112" t="s">
        <v>26</v>
      </c>
      <c r="AH1" s="98" t="s">
        <v>3</v>
      </c>
      <c r="AI1" s="105" t="s">
        <v>16</v>
      </c>
      <c r="AJ1" s="106" t="s">
        <v>17</v>
      </c>
      <c r="AK1" s="98" t="s">
        <v>3</v>
      </c>
      <c r="AL1" s="107" t="s">
        <v>0</v>
      </c>
      <c r="AM1" s="108" t="s">
        <v>9</v>
      </c>
    </row>
    <row r="2" spans="1:39" x14ac:dyDescent="0.2">
      <c r="A2" s="20">
        <v>45474</v>
      </c>
      <c r="B2" s="7">
        <v>31484215</v>
      </c>
      <c r="C2" s="13">
        <f>B3-B2</f>
        <v>5533</v>
      </c>
      <c r="D2" s="8">
        <v>719103</v>
      </c>
      <c r="E2" s="13">
        <f>D3-D2</f>
        <v>2766</v>
      </c>
      <c r="F2" s="23">
        <v>110448</v>
      </c>
      <c r="G2" s="65">
        <f>F3-F2</f>
        <v>0</v>
      </c>
      <c r="H2" s="68">
        <f>C2+E2-G2</f>
        <v>8299</v>
      </c>
      <c r="I2" s="73" t="e">
        <f>H2-M2-#REF!-#REF!-#REF!</f>
        <v>#REF!</v>
      </c>
      <c r="J2" s="115">
        <v>13798888</v>
      </c>
      <c r="K2" s="87">
        <f>3773.3+1603796.5+587890+9710+220432+21942</f>
        <v>2447543.7999999998</v>
      </c>
      <c r="L2" s="87">
        <f>J2-K2</f>
        <v>11351344.199999999</v>
      </c>
      <c r="M2" s="28">
        <f t="shared" ref="M2:M32" si="0">J3-J2</f>
        <v>20277</v>
      </c>
      <c r="N2" s="26">
        <v>10556</v>
      </c>
      <c r="O2" s="27">
        <v>0</v>
      </c>
      <c r="P2" s="28">
        <f>N2+O2-N3</f>
        <v>0</v>
      </c>
      <c r="Q2" s="16">
        <v>0.69</v>
      </c>
      <c r="R2" s="16">
        <v>0.71</v>
      </c>
      <c r="S2" s="32">
        <v>0.71</v>
      </c>
      <c r="T2" s="34">
        <f>SUM(Q2:S2)/3*7500</f>
        <v>5274.9999999999991</v>
      </c>
      <c r="U2" s="83">
        <v>0</v>
      </c>
      <c r="V2" s="28">
        <f>T2-T3</f>
        <v>249.99999999999909</v>
      </c>
      <c r="W2" s="16">
        <v>0.75</v>
      </c>
      <c r="X2" s="16">
        <v>0.73</v>
      </c>
      <c r="Y2" s="32">
        <v>0.7</v>
      </c>
      <c r="Z2" s="34">
        <f>SUM(W2:Y2)/3*1500</f>
        <v>1089.9999999999998</v>
      </c>
      <c r="AA2" s="83">
        <v>0</v>
      </c>
      <c r="AB2" s="28">
        <f>Z2-Z3</f>
        <v>159.99999999999977</v>
      </c>
      <c r="AC2" s="113">
        <f>SUM(V2+AB2)</f>
        <v>409.99999999999886</v>
      </c>
      <c r="AD2" s="38">
        <v>597562</v>
      </c>
      <c r="AE2" s="84">
        <v>43141</v>
      </c>
      <c r="AF2" s="84">
        <v>12170</v>
      </c>
      <c r="AG2" s="84">
        <f>SUM(AD2-AE2-AF2)</f>
        <v>542251</v>
      </c>
      <c r="AH2" s="28">
        <f>SUM(AG3-AG2)</f>
        <v>143</v>
      </c>
      <c r="AI2" s="40">
        <v>13500</v>
      </c>
      <c r="AJ2" s="45">
        <v>0</v>
      </c>
      <c r="AK2" s="28">
        <f>AI2-AI3</f>
        <v>441.45000000000073</v>
      </c>
      <c r="AL2" s="11">
        <v>117</v>
      </c>
      <c r="AM2" s="18">
        <v>234</v>
      </c>
    </row>
    <row r="3" spans="1:39" x14ac:dyDescent="0.2">
      <c r="A3" s="21">
        <v>45475</v>
      </c>
      <c r="B3" s="9">
        <v>31489748</v>
      </c>
      <c r="C3" s="42">
        <f>B4-B3</f>
        <v>5610</v>
      </c>
      <c r="D3" s="10">
        <v>721869</v>
      </c>
      <c r="E3" s="14">
        <f>D4-D3</f>
        <v>2750</v>
      </c>
      <c r="F3" s="24">
        <v>110448</v>
      </c>
      <c r="G3" s="66">
        <f>F4-F3</f>
        <v>0</v>
      </c>
      <c r="H3" s="69">
        <f t="shared" ref="H3:H32" si="1">C3+E3-G3</f>
        <v>8360</v>
      </c>
      <c r="I3" s="74" t="e">
        <f>H3-M3-#REF!-#REF!-#REF!</f>
        <v>#REF!</v>
      </c>
      <c r="J3" s="116">
        <v>13819165</v>
      </c>
      <c r="K3" s="88">
        <f>3774.6+1604306.7+587890+9710.4+220549+21163</f>
        <v>2447393.6999999997</v>
      </c>
      <c r="L3" s="88">
        <f t="shared" ref="L3:L32" si="2">J3-K3</f>
        <v>11371771.300000001</v>
      </c>
      <c r="M3" s="31">
        <f t="shared" si="0"/>
        <v>14139</v>
      </c>
      <c r="N3" s="29">
        <v>10556</v>
      </c>
      <c r="O3" s="30">
        <v>0</v>
      </c>
      <c r="P3" s="31">
        <f>N3+O3-N4</f>
        <v>0</v>
      </c>
      <c r="Q3" s="17">
        <v>0.65</v>
      </c>
      <c r="R3" s="17">
        <v>0.68</v>
      </c>
      <c r="S3" s="35">
        <v>0.68</v>
      </c>
      <c r="T3" s="36">
        <f>SUM(Q3:S3)/3*7500</f>
        <v>5025</v>
      </c>
      <c r="U3" s="33">
        <v>0</v>
      </c>
      <c r="V3" s="37">
        <f>T3-T4</f>
        <v>275</v>
      </c>
      <c r="W3" s="17">
        <v>0.66</v>
      </c>
      <c r="X3" s="17">
        <v>0.6</v>
      </c>
      <c r="Y3" s="35">
        <v>0.6</v>
      </c>
      <c r="Z3" s="36">
        <f t="shared" ref="Z3:Z33" si="3">SUM(W3:Y3)/3*1500</f>
        <v>930</v>
      </c>
      <c r="AA3" s="33">
        <v>0</v>
      </c>
      <c r="AB3" s="37">
        <f>Z3-Z4</f>
        <v>115</v>
      </c>
      <c r="AC3" s="114">
        <f t="shared" ref="AC3:AC31" si="4">SUM(V3+AB3)</f>
        <v>390</v>
      </c>
      <c r="AD3" s="39">
        <v>597817</v>
      </c>
      <c r="AE3" s="85">
        <v>43242</v>
      </c>
      <c r="AF3" s="85">
        <v>12181</v>
      </c>
      <c r="AG3" s="85">
        <f t="shared" ref="AG3:AG33" si="5">SUM(AD3-AE3-AF3)</f>
        <v>542394</v>
      </c>
      <c r="AH3" s="37">
        <f t="shared" ref="AH3:AH32" si="6">SUM(AG4-AG3)</f>
        <v>110</v>
      </c>
      <c r="AI3" s="41">
        <v>13058.55</v>
      </c>
      <c r="AJ3" s="46">
        <v>0</v>
      </c>
      <c r="AK3" s="37">
        <f t="shared" ref="AK3:AK12" si="7">AI3-AI4</f>
        <v>441.44999999999891</v>
      </c>
      <c r="AL3" s="12">
        <v>105</v>
      </c>
      <c r="AM3" s="19">
        <v>167</v>
      </c>
    </row>
    <row r="4" spans="1:39" x14ac:dyDescent="0.2">
      <c r="A4" s="21">
        <v>45476</v>
      </c>
      <c r="B4" s="9">
        <v>31495358</v>
      </c>
      <c r="C4" s="14">
        <f t="shared" ref="C4:E32" si="8">B5-B4</f>
        <v>5996</v>
      </c>
      <c r="D4" s="10">
        <v>724619</v>
      </c>
      <c r="E4" s="14">
        <f t="shared" si="8"/>
        <v>2647</v>
      </c>
      <c r="F4" s="24">
        <v>110448</v>
      </c>
      <c r="G4" s="66">
        <f t="shared" ref="G4" si="9">F5-F4</f>
        <v>0</v>
      </c>
      <c r="H4" s="69">
        <f t="shared" si="1"/>
        <v>8643</v>
      </c>
      <c r="I4" s="74" t="e">
        <f>H4-M4-#REF!-#REF!-#REF!</f>
        <v>#REF!</v>
      </c>
      <c r="J4" s="116">
        <v>13833304</v>
      </c>
      <c r="K4" s="88">
        <f>3775.7+1604815.7+587890+9711+220670+21985</f>
        <v>2448847.4</v>
      </c>
      <c r="L4" s="88">
        <f t="shared" si="2"/>
        <v>11384456.6</v>
      </c>
      <c r="M4" s="31">
        <f t="shared" si="0"/>
        <v>24741</v>
      </c>
      <c r="N4" s="29">
        <v>10556</v>
      </c>
      <c r="O4" s="30">
        <v>0</v>
      </c>
      <c r="P4" s="31">
        <f t="shared" ref="P4:P32" si="10">N4+O4-N5</f>
        <v>0</v>
      </c>
      <c r="Q4" s="17">
        <v>0.6</v>
      </c>
      <c r="R4" s="17">
        <v>0.65</v>
      </c>
      <c r="S4" s="35">
        <v>0.65</v>
      </c>
      <c r="T4" s="36">
        <f t="shared" ref="T4:T33" si="11">SUM(Q4:S4)/3*7500</f>
        <v>4750</v>
      </c>
      <c r="U4" s="33">
        <v>0</v>
      </c>
      <c r="V4" s="37">
        <f>T4-T5</f>
        <v>375</v>
      </c>
      <c r="W4" s="17">
        <v>0.57999999999999996</v>
      </c>
      <c r="X4" s="17">
        <v>0.55000000000000004</v>
      </c>
      <c r="Y4" s="35">
        <v>0.5</v>
      </c>
      <c r="Z4" s="36">
        <f t="shared" si="3"/>
        <v>815</v>
      </c>
      <c r="AA4" s="33">
        <v>0</v>
      </c>
      <c r="AB4" s="37">
        <f>Z4-Z5</f>
        <v>114.99999999999989</v>
      </c>
      <c r="AC4" s="114">
        <f t="shared" si="4"/>
        <v>489.99999999999989</v>
      </c>
      <c r="AD4" s="39">
        <v>598051</v>
      </c>
      <c r="AE4" s="85">
        <v>43355</v>
      </c>
      <c r="AF4" s="85">
        <v>12192</v>
      </c>
      <c r="AG4" s="85">
        <f t="shared" si="5"/>
        <v>542504</v>
      </c>
      <c r="AH4" s="37">
        <f t="shared" si="6"/>
        <v>128</v>
      </c>
      <c r="AI4" s="41">
        <v>12617.1</v>
      </c>
      <c r="AJ4" s="46">
        <v>0</v>
      </c>
      <c r="AK4" s="37">
        <f t="shared" si="7"/>
        <v>441.45000000000073</v>
      </c>
      <c r="AL4" s="12">
        <v>88</v>
      </c>
      <c r="AM4" s="19">
        <v>157</v>
      </c>
    </row>
    <row r="5" spans="1:39" x14ac:dyDescent="0.2">
      <c r="A5" s="21">
        <v>45477</v>
      </c>
      <c r="B5" s="9">
        <v>31501354</v>
      </c>
      <c r="C5" s="14">
        <f t="shared" si="8"/>
        <v>5753</v>
      </c>
      <c r="D5" s="10">
        <v>727266</v>
      </c>
      <c r="E5" s="14">
        <f t="shared" si="8"/>
        <v>2619</v>
      </c>
      <c r="F5" s="24">
        <v>110448</v>
      </c>
      <c r="G5" s="66">
        <f t="shared" ref="G5" si="12">F6-F5</f>
        <v>0</v>
      </c>
      <c r="H5" s="69">
        <f t="shared" si="1"/>
        <v>8372</v>
      </c>
      <c r="I5" s="74" t="e">
        <f>H5-M5-#REF!-#REF!-#REF!</f>
        <v>#REF!</v>
      </c>
      <c r="J5" s="116">
        <v>13858045</v>
      </c>
      <c r="K5" s="88">
        <f>3776.8+1605315.2+587890+9711.7+220785+22006</f>
        <v>2449484.7000000002</v>
      </c>
      <c r="L5" s="88">
        <f t="shared" si="2"/>
        <v>11408560.300000001</v>
      </c>
      <c r="M5" s="31">
        <f t="shared" si="0"/>
        <v>20721</v>
      </c>
      <c r="N5" s="29">
        <v>10556</v>
      </c>
      <c r="O5" s="30">
        <v>0</v>
      </c>
      <c r="P5" s="31">
        <f t="shared" si="10"/>
        <v>0</v>
      </c>
      <c r="Q5" s="17">
        <v>0.6</v>
      </c>
      <c r="R5" s="17">
        <v>0.6</v>
      </c>
      <c r="S5" s="35">
        <v>0.55000000000000004</v>
      </c>
      <c r="T5" s="36">
        <f t="shared" si="11"/>
        <v>4375</v>
      </c>
      <c r="U5" s="33">
        <v>1572.1</v>
      </c>
      <c r="V5" s="37">
        <f>T6-U5-T5</f>
        <v>302.89999999999964</v>
      </c>
      <c r="W5" s="17">
        <v>0.55000000000000004</v>
      </c>
      <c r="X5" s="17">
        <v>0.4</v>
      </c>
      <c r="Y5" s="35">
        <v>0.45</v>
      </c>
      <c r="Z5" s="36">
        <f t="shared" si="3"/>
        <v>700.00000000000011</v>
      </c>
      <c r="AA5" s="33">
        <v>551.78</v>
      </c>
      <c r="AB5" s="37">
        <f>Z6-AA5-Z5</f>
        <v>48.219999999999914</v>
      </c>
      <c r="AC5" s="114">
        <f t="shared" si="4"/>
        <v>351.11999999999955</v>
      </c>
      <c r="AD5" s="39">
        <v>598297</v>
      </c>
      <c r="AE5" s="85">
        <v>43462</v>
      </c>
      <c r="AF5" s="85">
        <v>12203</v>
      </c>
      <c r="AG5" s="85">
        <f t="shared" si="5"/>
        <v>542632</v>
      </c>
      <c r="AH5" s="37">
        <f t="shared" si="6"/>
        <v>143</v>
      </c>
      <c r="AI5" s="41">
        <v>12175.65</v>
      </c>
      <c r="AJ5" s="46">
        <v>0</v>
      </c>
      <c r="AK5" s="37">
        <f t="shared" si="7"/>
        <v>441.44999999999891</v>
      </c>
      <c r="AL5" s="12">
        <v>109</v>
      </c>
      <c r="AM5" s="19">
        <v>202</v>
      </c>
    </row>
    <row r="6" spans="1:39" x14ac:dyDescent="0.2">
      <c r="A6" s="21">
        <v>45478</v>
      </c>
      <c r="B6" s="9">
        <v>31507107</v>
      </c>
      <c r="C6" s="14">
        <f t="shared" si="8"/>
        <v>6066</v>
      </c>
      <c r="D6" s="10">
        <v>729885</v>
      </c>
      <c r="E6" s="14">
        <f t="shared" si="8"/>
        <v>2662</v>
      </c>
      <c r="F6" s="24">
        <v>110448</v>
      </c>
      <c r="G6" s="66">
        <f t="shared" ref="G6" si="13">F7-F6</f>
        <v>0</v>
      </c>
      <c r="H6" s="69">
        <f t="shared" si="1"/>
        <v>8728</v>
      </c>
      <c r="I6" s="74" t="e">
        <f>H6-M6-#REF!-#REF!-#REF!</f>
        <v>#REF!</v>
      </c>
      <c r="J6" s="116">
        <v>13878766</v>
      </c>
      <c r="K6" s="88">
        <f>3777.9+1605795.5+587890+9711.9+220896+22027</f>
        <v>2450098.2999999998</v>
      </c>
      <c r="L6" s="88">
        <f t="shared" si="2"/>
        <v>11428667.699999999</v>
      </c>
      <c r="M6" s="31">
        <f t="shared" si="0"/>
        <v>20936</v>
      </c>
      <c r="N6" s="29">
        <v>10556</v>
      </c>
      <c r="O6" s="30">
        <v>0</v>
      </c>
      <c r="P6" s="31">
        <f t="shared" si="10"/>
        <v>0</v>
      </c>
      <c r="Q6" s="17">
        <v>0.85</v>
      </c>
      <c r="R6" s="17">
        <v>0.8</v>
      </c>
      <c r="S6" s="35">
        <v>0.85</v>
      </c>
      <c r="T6" s="36">
        <f t="shared" si="11"/>
        <v>6250</v>
      </c>
      <c r="U6" s="33">
        <v>0</v>
      </c>
      <c r="V6" s="37">
        <f>T6-T7</f>
        <v>225</v>
      </c>
      <c r="W6" s="17">
        <v>0.9</v>
      </c>
      <c r="X6" s="17">
        <v>0.85</v>
      </c>
      <c r="Y6" s="35">
        <v>0.85</v>
      </c>
      <c r="Z6" s="36">
        <f t="shared" si="3"/>
        <v>1300</v>
      </c>
      <c r="AA6" s="33">
        <v>0</v>
      </c>
      <c r="AB6" s="37">
        <f>Z6-Z7</f>
        <v>55</v>
      </c>
      <c r="AC6" s="114">
        <f t="shared" si="4"/>
        <v>280</v>
      </c>
      <c r="AD6" s="39">
        <v>598548</v>
      </c>
      <c r="AE6" s="85">
        <v>43560</v>
      </c>
      <c r="AF6" s="85">
        <v>12213</v>
      </c>
      <c r="AG6" s="85">
        <f t="shared" si="5"/>
        <v>542775</v>
      </c>
      <c r="AH6" s="37">
        <f t="shared" si="6"/>
        <v>137</v>
      </c>
      <c r="AI6" s="41">
        <v>11734.2</v>
      </c>
      <c r="AJ6" s="46">
        <v>0</v>
      </c>
      <c r="AK6" s="37">
        <f t="shared" si="7"/>
        <v>441.45000000000073</v>
      </c>
      <c r="AL6" s="12">
        <v>116</v>
      </c>
      <c r="AM6" s="19">
        <v>215</v>
      </c>
    </row>
    <row r="7" spans="1:39" x14ac:dyDescent="0.2">
      <c r="A7" s="21">
        <v>45479</v>
      </c>
      <c r="B7" s="9">
        <v>31513173</v>
      </c>
      <c r="C7" s="14">
        <f t="shared" si="8"/>
        <v>6407</v>
      </c>
      <c r="D7" s="10">
        <v>732547</v>
      </c>
      <c r="E7" s="14">
        <f t="shared" si="8"/>
        <v>2617</v>
      </c>
      <c r="F7" s="24">
        <v>110448</v>
      </c>
      <c r="G7" s="66">
        <f t="shared" ref="G7" si="14">F8-F7</f>
        <v>0</v>
      </c>
      <c r="H7" s="69">
        <f t="shared" si="1"/>
        <v>9024</v>
      </c>
      <c r="I7" s="74" t="e">
        <f>H7-M7-#REF!-#REF!-#REF!</f>
        <v>#REF!</v>
      </c>
      <c r="J7" s="116">
        <v>13899702</v>
      </c>
      <c r="K7" s="88">
        <f>3778.9+1606284.6+587890+9712.1+221004+22048</f>
        <v>2450717.6</v>
      </c>
      <c r="L7" s="88">
        <f t="shared" si="2"/>
        <v>11448984.4</v>
      </c>
      <c r="M7" s="31">
        <f t="shared" si="0"/>
        <v>22268</v>
      </c>
      <c r="N7" s="29">
        <v>10556</v>
      </c>
      <c r="O7" s="30">
        <v>0</v>
      </c>
      <c r="P7" s="31">
        <f t="shared" si="10"/>
        <v>0</v>
      </c>
      <c r="Q7" s="17">
        <v>0.8</v>
      </c>
      <c r="R7" s="17">
        <v>0.8</v>
      </c>
      <c r="S7" s="35">
        <v>0.81</v>
      </c>
      <c r="T7" s="36">
        <f t="shared" si="11"/>
        <v>6025</v>
      </c>
      <c r="U7" s="33">
        <v>0</v>
      </c>
      <c r="V7" s="37">
        <f t="shared" ref="V7:V32" si="15">T7-T8</f>
        <v>150</v>
      </c>
      <c r="W7" s="17">
        <v>0.85</v>
      </c>
      <c r="X7" s="17">
        <v>0.82</v>
      </c>
      <c r="Y7" s="35">
        <v>0.82</v>
      </c>
      <c r="Z7" s="36">
        <f t="shared" si="3"/>
        <v>1245</v>
      </c>
      <c r="AA7" s="33">
        <v>0</v>
      </c>
      <c r="AB7" s="37">
        <f t="shared" ref="AB7:AB32" si="16">Z7-Z8</f>
        <v>95</v>
      </c>
      <c r="AC7" s="114">
        <f t="shared" si="4"/>
        <v>245</v>
      </c>
      <c r="AD7" s="39">
        <v>598796</v>
      </c>
      <c r="AE7" s="85">
        <v>43659</v>
      </c>
      <c r="AF7" s="85">
        <v>12225</v>
      </c>
      <c r="AG7" s="85">
        <f t="shared" si="5"/>
        <v>542912</v>
      </c>
      <c r="AH7" s="37">
        <f t="shared" si="6"/>
        <v>149</v>
      </c>
      <c r="AI7" s="41">
        <v>11292.75</v>
      </c>
      <c r="AJ7" s="46">
        <v>0</v>
      </c>
      <c r="AK7" s="37">
        <f t="shared" si="7"/>
        <v>441.45000000000073</v>
      </c>
      <c r="AL7" s="12">
        <v>159</v>
      </c>
      <c r="AM7" s="19">
        <v>291</v>
      </c>
    </row>
    <row r="8" spans="1:39" x14ac:dyDescent="0.2">
      <c r="A8" s="21">
        <v>45480</v>
      </c>
      <c r="B8" s="9">
        <v>31519580</v>
      </c>
      <c r="C8" s="14">
        <f t="shared" si="8"/>
        <v>6484</v>
      </c>
      <c r="D8" s="10">
        <v>735164</v>
      </c>
      <c r="E8" s="14">
        <f t="shared" si="8"/>
        <v>2653</v>
      </c>
      <c r="F8" s="24">
        <v>110448</v>
      </c>
      <c r="G8" s="66">
        <f t="shared" ref="G8" si="17">F9-F8</f>
        <v>0</v>
      </c>
      <c r="H8" s="69">
        <f t="shared" si="1"/>
        <v>9137</v>
      </c>
      <c r="I8" s="74" t="e">
        <f>H8-M8-#REF!-#REF!-#REF!</f>
        <v>#REF!</v>
      </c>
      <c r="J8" s="116">
        <v>13921970</v>
      </c>
      <c r="K8" s="88">
        <f>3779.9+1606824.7+587890+9712.3+221130+22071</f>
        <v>2451407.8999999994</v>
      </c>
      <c r="L8" s="88">
        <f t="shared" si="2"/>
        <v>11470562.100000001</v>
      </c>
      <c r="M8" s="31">
        <f t="shared" si="0"/>
        <v>20830</v>
      </c>
      <c r="N8" s="29">
        <v>10556</v>
      </c>
      <c r="O8" s="30">
        <v>0</v>
      </c>
      <c r="P8" s="31">
        <f t="shared" si="10"/>
        <v>0</v>
      </c>
      <c r="Q8" s="17">
        <v>0.8</v>
      </c>
      <c r="R8" s="17">
        <v>0.75</v>
      </c>
      <c r="S8" s="35">
        <v>0.8</v>
      </c>
      <c r="T8" s="36">
        <f t="shared" si="11"/>
        <v>5875</v>
      </c>
      <c r="U8" s="33">
        <v>0</v>
      </c>
      <c r="V8" s="37">
        <f t="shared" si="15"/>
        <v>250</v>
      </c>
      <c r="W8" s="17">
        <v>0.8</v>
      </c>
      <c r="X8" s="17">
        <v>0.75</v>
      </c>
      <c r="Y8" s="35">
        <v>0.75</v>
      </c>
      <c r="Z8" s="36">
        <f t="shared" si="3"/>
        <v>1150</v>
      </c>
      <c r="AA8" s="33">
        <v>0</v>
      </c>
      <c r="AB8" s="37">
        <f t="shared" si="16"/>
        <v>25</v>
      </c>
      <c r="AC8" s="114">
        <f t="shared" si="4"/>
        <v>275</v>
      </c>
      <c r="AD8" s="39">
        <v>599068</v>
      </c>
      <c r="AE8" s="85">
        <v>43771</v>
      </c>
      <c r="AF8" s="85">
        <v>12236</v>
      </c>
      <c r="AG8" s="85">
        <f t="shared" si="5"/>
        <v>543061</v>
      </c>
      <c r="AH8" s="37">
        <f t="shared" si="6"/>
        <v>127</v>
      </c>
      <c r="AI8" s="41">
        <v>10851.3</v>
      </c>
      <c r="AJ8" s="46">
        <v>0</v>
      </c>
      <c r="AK8" s="37">
        <f t="shared" si="7"/>
        <v>441.44999999999891</v>
      </c>
      <c r="AL8" s="12">
        <v>155</v>
      </c>
      <c r="AM8" s="19">
        <v>298</v>
      </c>
    </row>
    <row r="9" spans="1:39" x14ac:dyDescent="0.2">
      <c r="A9" s="21">
        <v>45481</v>
      </c>
      <c r="B9" s="9">
        <v>31526064</v>
      </c>
      <c r="C9" s="14">
        <f t="shared" si="8"/>
        <v>7236</v>
      </c>
      <c r="D9" s="10">
        <v>737817</v>
      </c>
      <c r="E9" s="14">
        <f t="shared" si="8"/>
        <v>2626</v>
      </c>
      <c r="F9" s="24">
        <v>110448</v>
      </c>
      <c r="G9" s="66">
        <f t="shared" ref="G9" si="18">F10-F9</f>
        <v>0</v>
      </c>
      <c r="H9" s="69">
        <f t="shared" si="1"/>
        <v>9862</v>
      </c>
      <c r="I9" s="74" t="e">
        <f>H9-M9-#REF!-#REF!-#REF!</f>
        <v>#REF!</v>
      </c>
      <c r="J9" s="116">
        <v>13942800</v>
      </c>
      <c r="K9" s="88">
        <f>3780.8+1607313.9+587890+9713.1+221243+22092</f>
        <v>2452032.8000000003</v>
      </c>
      <c r="L9" s="88">
        <f t="shared" si="2"/>
        <v>11490767.199999999</v>
      </c>
      <c r="M9" s="31">
        <f t="shared" si="0"/>
        <v>20753</v>
      </c>
      <c r="N9" s="29">
        <v>10556</v>
      </c>
      <c r="O9" s="30">
        <v>0</v>
      </c>
      <c r="P9" s="31">
        <f t="shared" si="10"/>
        <v>0</v>
      </c>
      <c r="Q9" s="17">
        <v>0.75</v>
      </c>
      <c r="R9" s="17">
        <v>0.75</v>
      </c>
      <c r="S9" s="35">
        <v>0.75</v>
      </c>
      <c r="T9" s="36">
        <f t="shared" si="11"/>
        <v>5625</v>
      </c>
      <c r="U9" s="33">
        <v>0</v>
      </c>
      <c r="V9" s="37">
        <f t="shared" si="15"/>
        <v>675</v>
      </c>
      <c r="W9" s="17">
        <v>0.8</v>
      </c>
      <c r="X9" s="17">
        <v>0.7</v>
      </c>
      <c r="Y9" s="35">
        <v>0.75</v>
      </c>
      <c r="Z9" s="36">
        <f t="shared" si="3"/>
        <v>1125</v>
      </c>
      <c r="AA9" s="33">
        <v>0</v>
      </c>
      <c r="AB9" s="37">
        <f t="shared" si="16"/>
        <v>104.99999999999989</v>
      </c>
      <c r="AC9" s="114">
        <f t="shared" si="4"/>
        <v>779.99999999999989</v>
      </c>
      <c r="AD9" s="39">
        <v>599309</v>
      </c>
      <c r="AE9" s="85">
        <v>43873</v>
      </c>
      <c r="AF9" s="85">
        <v>12248</v>
      </c>
      <c r="AG9" s="85">
        <f t="shared" si="5"/>
        <v>543188</v>
      </c>
      <c r="AH9" s="37">
        <f t="shared" si="6"/>
        <v>194</v>
      </c>
      <c r="AI9" s="41">
        <v>10409.85</v>
      </c>
      <c r="AJ9" s="46">
        <v>0</v>
      </c>
      <c r="AK9" s="37">
        <f t="shared" si="7"/>
        <v>441.45000000000073</v>
      </c>
      <c r="AL9" s="12">
        <v>104</v>
      </c>
      <c r="AM9" s="19">
        <v>187</v>
      </c>
    </row>
    <row r="10" spans="1:39" x14ac:dyDescent="0.2">
      <c r="A10" s="21">
        <v>45482</v>
      </c>
      <c r="B10" s="9">
        <v>31533300</v>
      </c>
      <c r="C10" s="14">
        <f t="shared" si="8"/>
        <v>6515</v>
      </c>
      <c r="D10" s="10">
        <v>740443</v>
      </c>
      <c r="E10" s="14">
        <f t="shared" si="8"/>
        <v>2599</v>
      </c>
      <c r="F10" s="24">
        <v>110448</v>
      </c>
      <c r="G10" s="66">
        <f t="shared" ref="G10" si="19">F11-F10</f>
        <v>0</v>
      </c>
      <c r="H10" s="69">
        <f t="shared" si="1"/>
        <v>9114</v>
      </c>
      <c r="I10" s="74" t="e">
        <f>H10-M10-#REF!-#REF!-#REF!</f>
        <v>#REF!</v>
      </c>
      <c r="J10" s="116">
        <v>13963553</v>
      </c>
      <c r="K10" s="88">
        <f>3781.8+1607795.3+587890+9714.8+221353+22111</f>
        <v>2452645.9</v>
      </c>
      <c r="L10" s="88">
        <f t="shared" si="2"/>
        <v>11510907.1</v>
      </c>
      <c r="M10" s="31">
        <f t="shared" si="0"/>
        <v>21247</v>
      </c>
      <c r="N10" s="29">
        <v>10556</v>
      </c>
      <c r="O10" s="30">
        <v>0</v>
      </c>
      <c r="P10" s="31">
        <f t="shared" si="10"/>
        <v>0</v>
      </c>
      <c r="Q10" s="17">
        <v>0.65</v>
      </c>
      <c r="R10" s="17">
        <v>0.65</v>
      </c>
      <c r="S10" s="35">
        <v>0.68</v>
      </c>
      <c r="T10" s="36">
        <f t="shared" si="11"/>
        <v>4950</v>
      </c>
      <c r="U10" s="33">
        <v>0</v>
      </c>
      <c r="V10" s="37">
        <f t="shared" si="15"/>
        <v>75</v>
      </c>
      <c r="W10" s="17">
        <v>0.72</v>
      </c>
      <c r="X10" s="17">
        <v>0.67</v>
      </c>
      <c r="Y10" s="35">
        <v>0.65</v>
      </c>
      <c r="Z10" s="36">
        <f t="shared" si="3"/>
        <v>1020.0000000000001</v>
      </c>
      <c r="AA10" s="33">
        <v>0</v>
      </c>
      <c r="AB10" s="37">
        <f t="shared" si="16"/>
        <v>95.000000000000227</v>
      </c>
      <c r="AC10" s="114">
        <f t="shared" si="4"/>
        <v>170.00000000000023</v>
      </c>
      <c r="AD10" s="39">
        <v>599610</v>
      </c>
      <c r="AE10" s="85">
        <v>43968</v>
      </c>
      <c r="AF10" s="85">
        <v>12260</v>
      </c>
      <c r="AG10" s="85">
        <f t="shared" si="5"/>
        <v>543382</v>
      </c>
      <c r="AH10" s="37">
        <f t="shared" si="6"/>
        <v>119</v>
      </c>
      <c r="AI10" s="41">
        <v>9968.4</v>
      </c>
      <c r="AJ10" s="46">
        <v>0</v>
      </c>
      <c r="AK10" s="37">
        <f t="shared" si="7"/>
        <v>441.44999999999891</v>
      </c>
      <c r="AL10" s="12">
        <v>93</v>
      </c>
      <c r="AM10" s="19">
        <v>231</v>
      </c>
    </row>
    <row r="11" spans="1:39" x14ac:dyDescent="0.2">
      <c r="A11" s="21">
        <v>45483</v>
      </c>
      <c r="B11" s="9">
        <v>31539815</v>
      </c>
      <c r="C11" s="14">
        <f t="shared" si="8"/>
        <v>7076</v>
      </c>
      <c r="D11" s="10">
        <v>743042</v>
      </c>
      <c r="E11" s="14">
        <f t="shared" si="8"/>
        <v>2558</v>
      </c>
      <c r="F11" s="24">
        <v>110448</v>
      </c>
      <c r="G11" s="66">
        <f t="shared" ref="G11" si="20">F12-F11</f>
        <v>0</v>
      </c>
      <c r="H11" s="69">
        <f t="shared" si="1"/>
        <v>9634</v>
      </c>
      <c r="I11" s="74" t="e">
        <f>H11-M11-#REF!-#REF!-#REF!</f>
        <v>#REF!</v>
      </c>
      <c r="J11" s="116">
        <v>13984800</v>
      </c>
      <c r="K11" s="88">
        <f>3784.1+1608817.6+587890+9718.8+221592+22143</f>
        <v>2453945.5</v>
      </c>
      <c r="L11" s="88">
        <f t="shared" si="2"/>
        <v>11530854.5</v>
      </c>
      <c r="M11" s="31">
        <f t="shared" si="0"/>
        <v>18278</v>
      </c>
      <c r="N11" s="29">
        <v>10556</v>
      </c>
      <c r="O11" s="30">
        <v>0</v>
      </c>
      <c r="P11" s="31">
        <f t="shared" si="10"/>
        <v>0</v>
      </c>
      <c r="Q11" s="17">
        <v>0.6</v>
      </c>
      <c r="R11" s="17">
        <v>0.65</v>
      </c>
      <c r="S11" s="35">
        <v>0.7</v>
      </c>
      <c r="T11" s="36">
        <f t="shared" si="11"/>
        <v>4875</v>
      </c>
      <c r="U11" s="33">
        <v>0</v>
      </c>
      <c r="V11" s="37">
        <f t="shared" si="15"/>
        <v>500</v>
      </c>
      <c r="W11" s="17">
        <v>0.55000000000000004</v>
      </c>
      <c r="X11" s="17">
        <v>0.6</v>
      </c>
      <c r="Y11" s="35">
        <v>0.7</v>
      </c>
      <c r="Z11" s="36">
        <f t="shared" si="3"/>
        <v>924.99999999999989</v>
      </c>
      <c r="AA11" s="33">
        <v>0</v>
      </c>
      <c r="AB11" s="37">
        <f t="shared" si="16"/>
        <v>174.99999999999989</v>
      </c>
      <c r="AC11" s="114">
        <f t="shared" si="4"/>
        <v>674.99999999999989</v>
      </c>
      <c r="AD11" s="39">
        <v>599852</v>
      </c>
      <c r="AE11" s="85">
        <v>44080</v>
      </c>
      <c r="AF11" s="85">
        <v>12271</v>
      </c>
      <c r="AG11" s="85">
        <f t="shared" si="5"/>
        <v>543501</v>
      </c>
      <c r="AH11" s="37">
        <f t="shared" si="6"/>
        <v>120</v>
      </c>
      <c r="AI11" s="41">
        <v>9526.9500000000007</v>
      </c>
      <c r="AJ11" s="46">
        <v>0</v>
      </c>
      <c r="AK11" s="37">
        <f t="shared" si="7"/>
        <v>441.45000000000073</v>
      </c>
      <c r="AL11" s="12">
        <v>70</v>
      </c>
      <c r="AM11" s="19">
        <v>142</v>
      </c>
    </row>
    <row r="12" spans="1:39" x14ac:dyDescent="0.2">
      <c r="A12" s="21">
        <v>45484</v>
      </c>
      <c r="B12" s="9">
        <v>31546891</v>
      </c>
      <c r="C12" s="14">
        <f t="shared" si="8"/>
        <v>7667</v>
      </c>
      <c r="D12" s="10">
        <v>745600</v>
      </c>
      <c r="E12" s="14">
        <f t="shared" si="8"/>
        <v>2569</v>
      </c>
      <c r="F12" s="24">
        <v>110448</v>
      </c>
      <c r="G12" s="66">
        <f t="shared" ref="G12" si="21">F13-F12</f>
        <v>0</v>
      </c>
      <c r="H12" s="69">
        <f t="shared" si="1"/>
        <v>10236</v>
      </c>
      <c r="I12" s="74" t="e">
        <f>H12-M12-#REF!-#REF!-#REF!</f>
        <v>#REF!</v>
      </c>
      <c r="J12" s="116">
        <v>14003078</v>
      </c>
      <c r="K12" s="88">
        <f>3783.1+1608337.6+587890+9715.2+221478+22132</f>
        <v>2453335.9000000004</v>
      </c>
      <c r="L12" s="88">
        <f t="shared" si="2"/>
        <v>11549742.1</v>
      </c>
      <c r="M12" s="31">
        <f t="shared" si="0"/>
        <v>21790</v>
      </c>
      <c r="N12" s="29">
        <v>10556</v>
      </c>
      <c r="O12" s="30">
        <v>0</v>
      </c>
      <c r="P12" s="31">
        <f t="shared" si="10"/>
        <v>0</v>
      </c>
      <c r="Q12" s="17">
        <v>0.55000000000000004</v>
      </c>
      <c r="R12" s="17">
        <v>0.55000000000000004</v>
      </c>
      <c r="S12" s="35">
        <v>0.65</v>
      </c>
      <c r="T12" s="36">
        <f t="shared" si="11"/>
        <v>4375</v>
      </c>
      <c r="U12" s="33">
        <v>1441.32</v>
      </c>
      <c r="V12" s="37">
        <f>T13-U12-T12</f>
        <v>308.6800000000012</v>
      </c>
      <c r="W12" s="17">
        <v>0.45</v>
      </c>
      <c r="X12" s="17">
        <v>0.45</v>
      </c>
      <c r="Y12" s="35">
        <v>0.6</v>
      </c>
      <c r="Z12" s="36">
        <f t="shared" si="3"/>
        <v>750</v>
      </c>
      <c r="AA12" s="33">
        <v>502.91</v>
      </c>
      <c r="AB12" s="37">
        <f>Z13-AA12-Z12</f>
        <v>47.089999999999918</v>
      </c>
      <c r="AC12" s="114">
        <f t="shared" si="4"/>
        <v>355.77000000000112</v>
      </c>
      <c r="AD12" s="39">
        <v>600088</v>
      </c>
      <c r="AE12" s="85">
        <v>44185</v>
      </c>
      <c r="AF12" s="85">
        <v>12282</v>
      </c>
      <c r="AG12" s="85">
        <f t="shared" si="5"/>
        <v>543621</v>
      </c>
      <c r="AH12" s="37">
        <f t="shared" si="6"/>
        <v>106</v>
      </c>
      <c r="AI12" s="41">
        <v>9085.5</v>
      </c>
      <c r="AJ12" s="46">
        <v>0</v>
      </c>
      <c r="AK12" s="37">
        <f t="shared" si="7"/>
        <v>441.45000000000073</v>
      </c>
      <c r="AL12" s="12">
        <v>80</v>
      </c>
      <c r="AM12" s="19">
        <v>143</v>
      </c>
    </row>
    <row r="13" spans="1:39" x14ac:dyDescent="0.2">
      <c r="A13" s="21">
        <v>45485</v>
      </c>
      <c r="B13" s="9">
        <v>31554558</v>
      </c>
      <c r="C13" s="14">
        <f t="shared" si="8"/>
        <v>6890</v>
      </c>
      <c r="D13" s="10">
        <v>748169</v>
      </c>
      <c r="E13" s="14">
        <f t="shared" si="8"/>
        <v>2600</v>
      </c>
      <c r="F13" s="24">
        <v>110448</v>
      </c>
      <c r="G13" s="66">
        <f t="shared" ref="G13" si="22">F14-F13</f>
        <v>0</v>
      </c>
      <c r="H13" s="69">
        <f t="shared" si="1"/>
        <v>9490</v>
      </c>
      <c r="I13" s="74" t="e">
        <f>H13-M13-#REF!-#REF!-#REF!</f>
        <v>#REF!</v>
      </c>
      <c r="J13" s="116">
        <v>14024868</v>
      </c>
      <c r="K13" s="88">
        <f>3785.2+1609305.9+587890+9720.6+221704+22161</f>
        <v>2454566.6999999997</v>
      </c>
      <c r="L13" s="88">
        <f t="shared" si="2"/>
        <v>11570301.300000001</v>
      </c>
      <c r="M13" s="31">
        <f t="shared" si="0"/>
        <v>21546</v>
      </c>
      <c r="N13" s="29">
        <v>10556</v>
      </c>
      <c r="O13" s="30">
        <v>0</v>
      </c>
      <c r="P13" s="31">
        <f t="shared" si="10"/>
        <v>0</v>
      </c>
      <c r="Q13" s="17">
        <v>0.8</v>
      </c>
      <c r="R13" s="17">
        <v>0.85</v>
      </c>
      <c r="S13" s="35">
        <v>0.8</v>
      </c>
      <c r="T13" s="36">
        <f t="shared" si="11"/>
        <v>6125.0000000000009</v>
      </c>
      <c r="U13" s="33">
        <v>0</v>
      </c>
      <c r="V13" s="37">
        <f t="shared" si="15"/>
        <v>275.00000000000182</v>
      </c>
      <c r="W13" s="17">
        <v>0.85</v>
      </c>
      <c r="X13" s="17">
        <v>0.85</v>
      </c>
      <c r="Y13" s="35">
        <v>0.9</v>
      </c>
      <c r="Z13" s="36">
        <f t="shared" si="3"/>
        <v>1300</v>
      </c>
      <c r="AA13" s="33">
        <v>0</v>
      </c>
      <c r="AB13" s="37">
        <f t="shared" si="16"/>
        <v>110</v>
      </c>
      <c r="AC13" s="114">
        <f t="shared" si="4"/>
        <v>385.00000000000182</v>
      </c>
      <c r="AD13" s="39">
        <v>600307</v>
      </c>
      <c r="AE13" s="85">
        <v>44285</v>
      </c>
      <c r="AF13" s="85">
        <v>12295</v>
      </c>
      <c r="AG13" s="85">
        <f t="shared" si="5"/>
        <v>543727</v>
      </c>
      <c r="AH13" s="37">
        <f t="shared" si="6"/>
        <v>139</v>
      </c>
      <c r="AI13" s="41">
        <v>8644.0499999999993</v>
      </c>
      <c r="AJ13" s="46">
        <v>8185</v>
      </c>
      <c r="AK13" s="37">
        <f>AI13+AJ13-AI14</f>
        <v>441.45000000000073</v>
      </c>
      <c r="AL13" s="12">
        <v>98</v>
      </c>
      <c r="AM13" s="19">
        <v>176</v>
      </c>
    </row>
    <row r="14" spans="1:39" x14ac:dyDescent="0.2">
      <c r="A14" s="21">
        <v>45486</v>
      </c>
      <c r="B14" s="9">
        <v>31561448</v>
      </c>
      <c r="C14" s="14">
        <f t="shared" si="8"/>
        <v>7112</v>
      </c>
      <c r="D14" s="10">
        <v>750769</v>
      </c>
      <c r="E14" s="14">
        <f t="shared" si="8"/>
        <v>2531</v>
      </c>
      <c r="F14" s="24">
        <v>110448</v>
      </c>
      <c r="G14" s="66">
        <f t="shared" ref="G14" si="23">F15-F14</f>
        <v>0</v>
      </c>
      <c r="H14" s="69">
        <f t="shared" si="1"/>
        <v>9643</v>
      </c>
      <c r="I14" s="74" t="e">
        <f>H14-M14-#REF!-#REF!-#REF!</f>
        <v>#REF!</v>
      </c>
      <c r="J14" s="116">
        <v>14046414</v>
      </c>
      <c r="K14" s="88">
        <f>3786.3+1609750.9+587890+9721.4+221809+22179</f>
        <v>2455136.6</v>
      </c>
      <c r="L14" s="88">
        <f t="shared" si="2"/>
        <v>11591277.4</v>
      </c>
      <c r="M14" s="31">
        <f t="shared" si="0"/>
        <v>22759</v>
      </c>
      <c r="N14" s="29">
        <v>10556</v>
      </c>
      <c r="O14" s="30">
        <v>0</v>
      </c>
      <c r="P14" s="31">
        <f t="shared" si="10"/>
        <v>0</v>
      </c>
      <c r="Q14" s="17">
        <v>0.8</v>
      </c>
      <c r="R14" s="17">
        <v>0.77</v>
      </c>
      <c r="S14" s="35">
        <v>0.77</v>
      </c>
      <c r="T14" s="36">
        <f t="shared" si="11"/>
        <v>5849.9999999999991</v>
      </c>
      <c r="U14" s="33">
        <v>0</v>
      </c>
      <c r="V14" s="37">
        <f t="shared" si="15"/>
        <v>349.99999999999909</v>
      </c>
      <c r="W14" s="17">
        <v>0.8</v>
      </c>
      <c r="X14" s="17">
        <v>0.8</v>
      </c>
      <c r="Y14" s="35">
        <v>0.78</v>
      </c>
      <c r="Z14" s="36">
        <f t="shared" si="3"/>
        <v>1190</v>
      </c>
      <c r="AA14" s="33">
        <v>0</v>
      </c>
      <c r="AB14" s="37">
        <f t="shared" si="16"/>
        <v>90</v>
      </c>
      <c r="AC14" s="114">
        <f t="shared" si="4"/>
        <v>439.99999999999909</v>
      </c>
      <c r="AD14" s="39">
        <v>600546</v>
      </c>
      <c r="AE14" s="85">
        <v>44372</v>
      </c>
      <c r="AF14" s="85">
        <v>12308</v>
      </c>
      <c r="AG14" s="85">
        <f t="shared" si="5"/>
        <v>543866</v>
      </c>
      <c r="AH14" s="37">
        <f t="shared" si="6"/>
        <v>158</v>
      </c>
      <c r="AI14" s="41">
        <v>16387.599999999999</v>
      </c>
      <c r="AJ14" s="46">
        <v>0</v>
      </c>
      <c r="AK14" s="37">
        <f>AI14-AI15</f>
        <v>441.44999999999891</v>
      </c>
      <c r="AL14" s="12">
        <v>168</v>
      </c>
      <c r="AM14" s="19">
        <v>218</v>
      </c>
    </row>
    <row r="15" spans="1:39" x14ac:dyDescent="0.2">
      <c r="A15" s="21">
        <v>45487</v>
      </c>
      <c r="B15" s="9">
        <v>31568560</v>
      </c>
      <c r="C15" s="14">
        <f t="shared" si="8"/>
        <v>6392</v>
      </c>
      <c r="D15" s="10">
        <v>753300</v>
      </c>
      <c r="E15" s="14">
        <f t="shared" si="8"/>
        <v>2587</v>
      </c>
      <c r="F15" s="24">
        <v>110448</v>
      </c>
      <c r="G15" s="66">
        <f t="shared" ref="G15" si="24">F16-F15</f>
        <v>0</v>
      </c>
      <c r="H15" s="69">
        <f t="shared" si="1"/>
        <v>8979</v>
      </c>
      <c r="I15" s="74" t="e">
        <f>H15-M15-#REF!-#REF!-#REF!</f>
        <v>#REF!</v>
      </c>
      <c r="J15" s="116">
        <v>14069173</v>
      </c>
      <c r="K15" s="88">
        <f>3787.2+1610287.6+587890+9721.6+221933+22201</f>
        <v>2455820.4</v>
      </c>
      <c r="L15" s="88">
        <f t="shared" si="2"/>
        <v>11613352.6</v>
      </c>
      <c r="M15" s="31">
        <f t="shared" si="0"/>
        <v>21489</v>
      </c>
      <c r="N15" s="29">
        <v>10556</v>
      </c>
      <c r="O15" s="30">
        <v>0</v>
      </c>
      <c r="P15" s="31">
        <f t="shared" si="10"/>
        <v>0</v>
      </c>
      <c r="Q15" s="17">
        <v>0.75</v>
      </c>
      <c r="R15" s="17">
        <v>0.7</v>
      </c>
      <c r="S15" s="35">
        <v>0.75</v>
      </c>
      <c r="T15" s="36">
        <f t="shared" si="11"/>
        <v>5500</v>
      </c>
      <c r="U15" s="33">
        <v>0</v>
      </c>
      <c r="V15" s="37">
        <f t="shared" si="15"/>
        <v>250.00000000000091</v>
      </c>
      <c r="W15" s="17">
        <v>0.75</v>
      </c>
      <c r="X15" s="17">
        <v>0.75</v>
      </c>
      <c r="Y15" s="35">
        <v>0.7</v>
      </c>
      <c r="Z15" s="36">
        <f t="shared" si="3"/>
        <v>1100</v>
      </c>
      <c r="AA15" s="33">
        <v>0</v>
      </c>
      <c r="AB15" s="37">
        <f t="shared" si="16"/>
        <v>100</v>
      </c>
      <c r="AC15" s="114">
        <f t="shared" si="4"/>
        <v>350.00000000000091</v>
      </c>
      <c r="AD15" s="39">
        <v>600830</v>
      </c>
      <c r="AE15" s="85">
        <v>44486</v>
      </c>
      <c r="AF15" s="85">
        <v>12320</v>
      </c>
      <c r="AG15" s="85">
        <f t="shared" si="5"/>
        <v>544024</v>
      </c>
      <c r="AH15" s="37">
        <f t="shared" si="6"/>
        <v>116</v>
      </c>
      <c r="AI15" s="41">
        <v>15946.15</v>
      </c>
      <c r="AJ15" s="46">
        <v>0</v>
      </c>
      <c r="AK15" s="37">
        <f t="shared" ref="AK15:AK32" si="25">AI15-AI16</f>
        <v>441.44999999999891</v>
      </c>
      <c r="AL15" s="12">
        <v>146</v>
      </c>
      <c r="AM15" s="19">
        <v>271</v>
      </c>
    </row>
    <row r="16" spans="1:39" x14ac:dyDescent="0.2">
      <c r="A16" s="21">
        <v>45488</v>
      </c>
      <c r="B16" s="9">
        <v>31574952</v>
      </c>
      <c r="C16" s="14">
        <f t="shared" si="8"/>
        <v>7216</v>
      </c>
      <c r="D16" s="10">
        <v>755887</v>
      </c>
      <c r="E16" s="14">
        <f t="shared" si="8"/>
        <v>2502</v>
      </c>
      <c r="F16" s="24">
        <v>110448</v>
      </c>
      <c r="G16" s="66">
        <f t="shared" ref="G16" si="26">F17-F16</f>
        <v>0</v>
      </c>
      <c r="H16" s="69">
        <f t="shared" si="1"/>
        <v>9718</v>
      </c>
      <c r="I16" s="74" t="e">
        <f>H16-M16-#REF!-#REF!-#REF!</f>
        <v>#REF!</v>
      </c>
      <c r="J16" s="116">
        <v>14090662</v>
      </c>
      <c r="K16" s="88">
        <f>3788.2+1610796.7+587890+9721.8+222051+22223</f>
        <v>2456470.6999999997</v>
      </c>
      <c r="L16" s="88">
        <f t="shared" si="2"/>
        <v>11634191.300000001</v>
      </c>
      <c r="M16" s="31">
        <f t="shared" si="0"/>
        <v>20204</v>
      </c>
      <c r="N16" s="29">
        <v>10556</v>
      </c>
      <c r="O16" s="30">
        <v>0</v>
      </c>
      <c r="P16" s="31">
        <f t="shared" si="10"/>
        <v>0</v>
      </c>
      <c r="Q16" s="17">
        <v>0.7</v>
      </c>
      <c r="R16" s="17">
        <v>0.7</v>
      </c>
      <c r="S16" s="35">
        <v>0.7</v>
      </c>
      <c r="T16" s="36">
        <f t="shared" si="11"/>
        <v>5249.9999999999991</v>
      </c>
      <c r="U16" s="33">
        <v>0</v>
      </c>
      <c r="V16" s="37">
        <f t="shared" si="15"/>
        <v>125</v>
      </c>
      <c r="W16" s="17">
        <v>0.7</v>
      </c>
      <c r="X16" s="17">
        <v>0.6</v>
      </c>
      <c r="Y16" s="35">
        <v>0.7</v>
      </c>
      <c r="Z16" s="36">
        <f t="shared" si="3"/>
        <v>1000</v>
      </c>
      <c r="AA16" s="33">
        <v>0</v>
      </c>
      <c r="AB16" s="37">
        <f t="shared" si="16"/>
        <v>100</v>
      </c>
      <c r="AC16" s="114">
        <f t="shared" si="4"/>
        <v>225</v>
      </c>
      <c r="AD16" s="39">
        <v>601064</v>
      </c>
      <c r="AE16" s="85">
        <v>44593</v>
      </c>
      <c r="AF16" s="85">
        <v>12331</v>
      </c>
      <c r="AG16" s="85">
        <f t="shared" si="5"/>
        <v>544140</v>
      </c>
      <c r="AH16" s="37">
        <f t="shared" si="6"/>
        <v>105</v>
      </c>
      <c r="AI16" s="41">
        <v>15504.7</v>
      </c>
      <c r="AJ16" s="46">
        <v>0</v>
      </c>
      <c r="AK16" s="37">
        <f t="shared" si="25"/>
        <v>441.45000000000073</v>
      </c>
      <c r="AL16" s="12">
        <v>78</v>
      </c>
      <c r="AM16" s="19">
        <v>134</v>
      </c>
    </row>
    <row r="17" spans="1:39" x14ac:dyDescent="0.2">
      <c r="A17" s="21">
        <v>45489</v>
      </c>
      <c r="B17" s="9">
        <v>31582168</v>
      </c>
      <c r="C17" s="14">
        <f t="shared" si="8"/>
        <v>6945</v>
      </c>
      <c r="D17" s="10">
        <v>758389</v>
      </c>
      <c r="E17" s="14">
        <f t="shared" si="8"/>
        <v>2595</v>
      </c>
      <c r="F17" s="24">
        <v>110448</v>
      </c>
      <c r="G17" s="66">
        <f t="shared" ref="G17" si="27">F18-F17</f>
        <v>0</v>
      </c>
      <c r="H17" s="69">
        <f t="shared" si="1"/>
        <v>9540</v>
      </c>
      <c r="I17" s="74" t="e">
        <f>H17-M17-#REF!-#REF!-#REF!</f>
        <v>#REF!</v>
      </c>
      <c r="J17" s="116">
        <v>14110866</v>
      </c>
      <c r="K17" s="88">
        <f>3789.1+1611292.1+587894+9722+222160+22243</f>
        <v>2457100.2000000002</v>
      </c>
      <c r="L17" s="88">
        <f t="shared" si="2"/>
        <v>11653765.800000001</v>
      </c>
      <c r="M17" s="31">
        <f t="shared" si="0"/>
        <v>18434</v>
      </c>
      <c r="N17" s="29">
        <v>10556</v>
      </c>
      <c r="O17" s="30">
        <v>0</v>
      </c>
      <c r="P17" s="31">
        <f t="shared" si="10"/>
        <v>0</v>
      </c>
      <c r="Q17" s="17">
        <v>0.7</v>
      </c>
      <c r="R17" s="17">
        <v>0.7</v>
      </c>
      <c r="S17" s="35">
        <v>0.65</v>
      </c>
      <c r="T17" s="36">
        <f t="shared" si="11"/>
        <v>5124.9999999999991</v>
      </c>
      <c r="U17" s="33">
        <v>0</v>
      </c>
      <c r="V17" s="37">
        <f t="shared" si="15"/>
        <v>249.99999999999909</v>
      </c>
      <c r="W17" s="17">
        <v>0.6</v>
      </c>
      <c r="X17" s="17">
        <v>0.6</v>
      </c>
      <c r="Y17" s="35">
        <v>0.6</v>
      </c>
      <c r="Z17" s="36">
        <f t="shared" si="3"/>
        <v>900</v>
      </c>
      <c r="AA17" s="33">
        <v>0</v>
      </c>
      <c r="AB17" s="37">
        <f t="shared" si="16"/>
        <v>25</v>
      </c>
      <c r="AC17" s="114">
        <f t="shared" si="4"/>
        <v>274.99999999999909</v>
      </c>
      <c r="AD17" s="39">
        <v>601285</v>
      </c>
      <c r="AE17" s="85">
        <v>44698</v>
      </c>
      <c r="AF17" s="85">
        <v>12342</v>
      </c>
      <c r="AG17" s="85">
        <f t="shared" si="5"/>
        <v>544245</v>
      </c>
      <c r="AH17" s="37">
        <f t="shared" si="6"/>
        <v>117</v>
      </c>
      <c r="AI17" s="41">
        <v>15063.25</v>
      </c>
      <c r="AJ17" s="46">
        <v>0</v>
      </c>
      <c r="AK17" s="37">
        <f t="shared" si="25"/>
        <v>441.45000000000073</v>
      </c>
      <c r="AL17" s="12">
        <v>75</v>
      </c>
      <c r="AM17" s="19">
        <v>149</v>
      </c>
    </row>
    <row r="18" spans="1:39" x14ac:dyDescent="0.2">
      <c r="A18" s="21">
        <v>45490</v>
      </c>
      <c r="B18" s="9">
        <v>31589113</v>
      </c>
      <c r="C18" s="14">
        <f t="shared" si="8"/>
        <v>6855</v>
      </c>
      <c r="D18" s="10">
        <v>760984</v>
      </c>
      <c r="E18" s="14">
        <f t="shared" si="8"/>
        <v>2566</v>
      </c>
      <c r="F18" s="24">
        <v>110448</v>
      </c>
      <c r="G18" s="66">
        <f t="shared" ref="G18" si="28">F19-F18</f>
        <v>0</v>
      </c>
      <c r="H18" s="69">
        <f t="shared" si="1"/>
        <v>9421</v>
      </c>
      <c r="I18" s="74" t="e">
        <f>H18-M18-#REF!-#REF!-#REF!</f>
        <v>#REF!</v>
      </c>
      <c r="J18" s="116">
        <v>14129300</v>
      </c>
      <c r="K18" s="88">
        <f>3790.1+1611820.3+587894+9722.7+222272+22265</f>
        <v>2457764.1000000006</v>
      </c>
      <c r="L18" s="88">
        <f t="shared" si="2"/>
        <v>11671535.899999999</v>
      </c>
      <c r="M18" s="31">
        <f t="shared" si="0"/>
        <v>20815</v>
      </c>
      <c r="N18" s="29">
        <v>10556</v>
      </c>
      <c r="O18" s="30">
        <v>0</v>
      </c>
      <c r="P18" s="31">
        <f t="shared" si="10"/>
        <v>0</v>
      </c>
      <c r="Q18" s="17">
        <v>0.7</v>
      </c>
      <c r="R18" s="17">
        <v>0.65</v>
      </c>
      <c r="S18" s="35">
        <v>0.6</v>
      </c>
      <c r="T18" s="36">
        <f t="shared" si="11"/>
        <v>4875</v>
      </c>
      <c r="U18" s="33">
        <v>0</v>
      </c>
      <c r="V18" s="37">
        <f t="shared" si="15"/>
        <v>125</v>
      </c>
      <c r="W18" s="17">
        <v>0.5</v>
      </c>
      <c r="X18" s="17">
        <v>0.55000000000000004</v>
      </c>
      <c r="Y18" s="35">
        <v>0.7</v>
      </c>
      <c r="Z18" s="36">
        <f t="shared" si="3"/>
        <v>875</v>
      </c>
      <c r="AA18" s="33">
        <v>0</v>
      </c>
      <c r="AB18" s="37">
        <f t="shared" si="16"/>
        <v>150</v>
      </c>
      <c r="AC18" s="114">
        <f t="shared" si="4"/>
        <v>275</v>
      </c>
      <c r="AD18" s="39">
        <v>601516</v>
      </c>
      <c r="AE18" s="85">
        <v>44799</v>
      </c>
      <c r="AF18" s="85">
        <v>12355</v>
      </c>
      <c r="AG18" s="85">
        <f t="shared" si="5"/>
        <v>544362</v>
      </c>
      <c r="AH18" s="37">
        <f t="shared" si="6"/>
        <v>144</v>
      </c>
      <c r="AI18" s="41">
        <v>14621.8</v>
      </c>
      <c r="AJ18" s="46">
        <v>0</v>
      </c>
      <c r="AK18" s="37">
        <f t="shared" si="25"/>
        <v>441.44999999999891</v>
      </c>
      <c r="AL18" s="12">
        <v>78</v>
      </c>
      <c r="AM18" s="19">
        <v>145</v>
      </c>
    </row>
    <row r="19" spans="1:39" x14ac:dyDescent="0.2">
      <c r="A19" s="21">
        <v>45491</v>
      </c>
      <c r="B19" s="9">
        <v>31595968</v>
      </c>
      <c r="C19" s="14">
        <f t="shared" si="8"/>
        <v>7908</v>
      </c>
      <c r="D19" s="10">
        <v>763550</v>
      </c>
      <c r="E19" s="14">
        <f t="shared" si="8"/>
        <v>2612</v>
      </c>
      <c r="F19" s="24">
        <v>110448</v>
      </c>
      <c r="G19" s="66">
        <f t="shared" ref="G19" si="29">F20-F19</f>
        <v>0</v>
      </c>
      <c r="H19" s="69">
        <f t="shared" si="1"/>
        <v>10520</v>
      </c>
      <c r="I19" s="74" t="e">
        <f>H19-M19-#REF!-#REF!-#REF!</f>
        <v>#REF!</v>
      </c>
      <c r="J19" s="116">
        <v>14150115</v>
      </c>
      <c r="K19" s="88">
        <f>3791.1+1612323.3+587894+9722.9+222389+22285</f>
        <v>2458405.3000000003</v>
      </c>
      <c r="L19" s="88">
        <f t="shared" si="2"/>
        <v>11691709.699999999</v>
      </c>
      <c r="M19" s="31">
        <f t="shared" si="0"/>
        <v>23030</v>
      </c>
      <c r="N19" s="29">
        <v>10556</v>
      </c>
      <c r="O19" s="30">
        <v>0</v>
      </c>
      <c r="P19" s="31">
        <f t="shared" si="10"/>
        <v>0</v>
      </c>
      <c r="Q19" s="17">
        <v>0.7</v>
      </c>
      <c r="R19" s="17">
        <v>0.6</v>
      </c>
      <c r="S19" s="35">
        <v>0.6</v>
      </c>
      <c r="T19" s="36">
        <f t="shared" si="11"/>
        <v>4750</v>
      </c>
      <c r="U19" s="33">
        <v>1390.62</v>
      </c>
      <c r="V19" s="37">
        <f>T20-U19-T19</f>
        <v>109.38000000000011</v>
      </c>
      <c r="W19" s="17">
        <v>0.5</v>
      </c>
      <c r="X19" s="17">
        <v>0.45</v>
      </c>
      <c r="Y19" s="35">
        <v>0.5</v>
      </c>
      <c r="Z19" s="36">
        <f t="shared" si="3"/>
        <v>725</v>
      </c>
      <c r="AA19" s="33">
        <v>557.17999999999995</v>
      </c>
      <c r="AB19" s="37">
        <f>Z20-AA19-Z19</f>
        <v>17.82000000000005</v>
      </c>
      <c r="AC19" s="114">
        <f t="shared" si="4"/>
        <v>127.20000000000016</v>
      </c>
      <c r="AD19" s="39">
        <v>601774</v>
      </c>
      <c r="AE19" s="85">
        <v>44903</v>
      </c>
      <c r="AF19" s="85">
        <v>12365</v>
      </c>
      <c r="AG19" s="85">
        <f t="shared" si="5"/>
        <v>544506</v>
      </c>
      <c r="AH19" s="37">
        <f t="shared" si="6"/>
        <v>121</v>
      </c>
      <c r="AI19" s="41">
        <v>14180.35</v>
      </c>
      <c r="AJ19" s="46">
        <v>0</v>
      </c>
      <c r="AK19" s="37">
        <f t="shared" si="25"/>
        <v>441.45000000000073</v>
      </c>
      <c r="AL19" s="12">
        <v>89</v>
      </c>
      <c r="AM19" s="19">
        <v>176</v>
      </c>
    </row>
    <row r="20" spans="1:39" x14ac:dyDescent="0.2">
      <c r="A20" s="21">
        <v>45492</v>
      </c>
      <c r="B20" s="9">
        <v>31603876</v>
      </c>
      <c r="C20" s="14">
        <f t="shared" si="8"/>
        <v>7580</v>
      </c>
      <c r="D20" s="10">
        <v>766162</v>
      </c>
      <c r="E20" s="14">
        <f t="shared" si="8"/>
        <v>2502</v>
      </c>
      <c r="F20" s="24">
        <v>110448</v>
      </c>
      <c r="G20" s="66">
        <f t="shared" ref="G20" si="30">F21-F20</f>
        <v>0</v>
      </c>
      <c r="H20" s="69">
        <f t="shared" si="1"/>
        <v>10082</v>
      </c>
      <c r="I20" s="74" t="e">
        <f>H20-M20-#REF!-#REF!-#REF!</f>
        <v>#REF!</v>
      </c>
      <c r="J20" s="116">
        <v>14173145</v>
      </c>
      <c r="K20" s="88">
        <f>3792.1+1612851.7+587894+9723.1+222507+22307</f>
        <v>2459074.9</v>
      </c>
      <c r="L20" s="88">
        <f t="shared" si="2"/>
        <v>11714070.1</v>
      </c>
      <c r="M20" s="31">
        <f t="shared" si="0"/>
        <v>21580</v>
      </c>
      <c r="N20" s="29">
        <v>10556</v>
      </c>
      <c r="O20" s="30">
        <v>0</v>
      </c>
      <c r="P20" s="31">
        <f t="shared" si="10"/>
        <v>0</v>
      </c>
      <c r="Q20" s="17">
        <v>0.85</v>
      </c>
      <c r="R20" s="17">
        <v>0.8</v>
      </c>
      <c r="S20" s="35">
        <v>0.85</v>
      </c>
      <c r="T20" s="36">
        <f t="shared" si="11"/>
        <v>6250</v>
      </c>
      <c r="U20" s="33">
        <v>0</v>
      </c>
      <c r="V20" s="37">
        <f t="shared" si="15"/>
        <v>500</v>
      </c>
      <c r="W20" s="17">
        <v>0.9</v>
      </c>
      <c r="X20" s="17">
        <v>0.85</v>
      </c>
      <c r="Y20" s="35">
        <v>0.85</v>
      </c>
      <c r="Z20" s="36">
        <f t="shared" si="3"/>
        <v>1300</v>
      </c>
      <c r="AA20" s="33">
        <v>0</v>
      </c>
      <c r="AB20" s="37">
        <f t="shared" si="16"/>
        <v>74.999999999999773</v>
      </c>
      <c r="AC20" s="114">
        <f t="shared" si="4"/>
        <v>574.99999999999977</v>
      </c>
      <c r="AD20" s="39">
        <v>602016</v>
      </c>
      <c r="AE20" s="85">
        <v>45012</v>
      </c>
      <c r="AF20" s="85">
        <v>12377</v>
      </c>
      <c r="AG20" s="85">
        <f t="shared" si="5"/>
        <v>544627</v>
      </c>
      <c r="AH20" s="37">
        <f t="shared" si="6"/>
        <v>143</v>
      </c>
      <c r="AI20" s="41">
        <v>13738.9</v>
      </c>
      <c r="AJ20" s="46">
        <v>0</v>
      </c>
      <c r="AK20" s="37">
        <f t="shared" si="25"/>
        <v>441.44999999999891</v>
      </c>
      <c r="AL20" s="12">
        <v>105</v>
      </c>
      <c r="AM20" s="19">
        <v>207</v>
      </c>
    </row>
    <row r="21" spans="1:39" x14ac:dyDescent="0.2">
      <c r="A21" s="21">
        <v>45493</v>
      </c>
      <c r="B21" s="9">
        <v>31611456</v>
      </c>
      <c r="C21" s="14">
        <f t="shared" si="8"/>
        <v>7668</v>
      </c>
      <c r="D21" s="10">
        <v>768664</v>
      </c>
      <c r="E21" s="14">
        <f t="shared" si="8"/>
        <v>2580</v>
      </c>
      <c r="F21" s="24">
        <v>110448</v>
      </c>
      <c r="G21" s="66">
        <f t="shared" ref="G21" si="31">F22-F21</f>
        <v>0</v>
      </c>
      <c r="H21" s="69">
        <f t="shared" si="1"/>
        <v>10248</v>
      </c>
      <c r="I21" s="74" t="e">
        <f>H21-M21-#REF!-#REF!-#REF!</f>
        <v>#REF!</v>
      </c>
      <c r="J21" s="116">
        <v>14194725</v>
      </c>
      <c r="K21" s="88">
        <f>3793.3+1613391.3+587894+9723.2+222621+22327</f>
        <v>2459749.8000000003</v>
      </c>
      <c r="L21" s="88">
        <f t="shared" si="2"/>
        <v>11734975.199999999</v>
      </c>
      <c r="M21" s="31">
        <f t="shared" si="0"/>
        <v>22779</v>
      </c>
      <c r="N21" s="29">
        <v>10556</v>
      </c>
      <c r="O21" s="30">
        <v>0</v>
      </c>
      <c r="P21" s="31">
        <f t="shared" si="10"/>
        <v>0</v>
      </c>
      <c r="Q21" s="17">
        <v>0.8</v>
      </c>
      <c r="R21" s="17">
        <v>0.75</v>
      </c>
      <c r="S21" s="35">
        <v>0.75</v>
      </c>
      <c r="T21" s="36">
        <f t="shared" si="11"/>
        <v>5750</v>
      </c>
      <c r="U21" s="33">
        <v>0</v>
      </c>
      <c r="V21" s="37">
        <f t="shared" si="15"/>
        <v>250</v>
      </c>
      <c r="W21" s="17">
        <v>0.8</v>
      </c>
      <c r="X21" s="17">
        <v>0.85</v>
      </c>
      <c r="Y21" s="35">
        <v>0.8</v>
      </c>
      <c r="Z21" s="36">
        <f t="shared" si="3"/>
        <v>1225.0000000000002</v>
      </c>
      <c r="AA21" s="33">
        <v>0</v>
      </c>
      <c r="AB21" s="37">
        <f t="shared" si="16"/>
        <v>175.00000000000023</v>
      </c>
      <c r="AC21" s="114">
        <f t="shared" si="4"/>
        <v>425.00000000000023</v>
      </c>
      <c r="AD21" s="39">
        <v>602276</v>
      </c>
      <c r="AE21" s="85">
        <v>45118</v>
      </c>
      <c r="AF21" s="85">
        <v>12388</v>
      </c>
      <c r="AG21" s="85">
        <f t="shared" si="5"/>
        <v>544770</v>
      </c>
      <c r="AH21" s="37">
        <f t="shared" si="6"/>
        <v>176</v>
      </c>
      <c r="AI21" s="41">
        <v>13297.45</v>
      </c>
      <c r="AJ21" s="46">
        <v>0</v>
      </c>
      <c r="AK21" s="37">
        <f t="shared" si="25"/>
        <v>441.45000000000073</v>
      </c>
      <c r="AL21" s="12">
        <v>131</v>
      </c>
      <c r="AM21" s="19">
        <v>259</v>
      </c>
    </row>
    <row r="22" spans="1:39" x14ac:dyDescent="0.2">
      <c r="A22" s="21">
        <v>45494</v>
      </c>
      <c r="B22" s="9">
        <v>31619124</v>
      </c>
      <c r="C22" s="14">
        <f t="shared" si="8"/>
        <v>7638</v>
      </c>
      <c r="D22" s="10">
        <v>771244</v>
      </c>
      <c r="E22" s="14">
        <f t="shared" si="8"/>
        <v>2603</v>
      </c>
      <c r="F22" s="24">
        <v>110448</v>
      </c>
      <c r="G22" s="66">
        <f t="shared" ref="G22" si="32">F23-F22</f>
        <v>0</v>
      </c>
      <c r="H22" s="69">
        <f t="shared" si="1"/>
        <v>10241</v>
      </c>
      <c r="I22" s="74" t="e">
        <f>H22-M22-#REF!-#REF!-#REF!</f>
        <v>#REF!</v>
      </c>
      <c r="J22" s="116">
        <v>14217504</v>
      </c>
      <c r="K22" s="88">
        <f>3794.3+1613854.1+587894+9723.4+222830+22346</f>
        <v>2460441.8000000003</v>
      </c>
      <c r="L22" s="88">
        <f t="shared" si="2"/>
        <v>11757062.199999999</v>
      </c>
      <c r="M22" s="31">
        <f t="shared" si="0"/>
        <v>21760</v>
      </c>
      <c r="N22" s="29">
        <v>10556</v>
      </c>
      <c r="O22" s="30">
        <v>0</v>
      </c>
      <c r="P22" s="31">
        <f t="shared" si="10"/>
        <v>0</v>
      </c>
      <c r="Q22" s="17">
        <v>0.7</v>
      </c>
      <c r="R22" s="17">
        <v>0.75</v>
      </c>
      <c r="S22" s="35">
        <v>0.75</v>
      </c>
      <c r="T22" s="36">
        <f t="shared" si="11"/>
        <v>5500</v>
      </c>
      <c r="U22" s="33">
        <v>0</v>
      </c>
      <c r="V22" s="37">
        <f t="shared" si="15"/>
        <v>375.00000000000091</v>
      </c>
      <c r="W22" s="17">
        <v>0.65</v>
      </c>
      <c r="X22" s="17">
        <v>0.7</v>
      </c>
      <c r="Y22" s="35">
        <v>0.75</v>
      </c>
      <c r="Z22" s="36">
        <f>SUM(W22:Y22)/3*1500</f>
        <v>1050</v>
      </c>
      <c r="AA22" s="33">
        <v>0</v>
      </c>
      <c r="AB22" s="37">
        <f t="shared" si="16"/>
        <v>125</v>
      </c>
      <c r="AC22" s="114">
        <f t="shared" si="4"/>
        <v>500.00000000000091</v>
      </c>
      <c r="AD22" s="39">
        <v>602561</v>
      </c>
      <c r="AE22" s="85">
        <v>45216</v>
      </c>
      <c r="AF22" s="85">
        <v>12399</v>
      </c>
      <c r="AG22" s="85">
        <f t="shared" si="5"/>
        <v>544946</v>
      </c>
      <c r="AH22" s="37">
        <f t="shared" si="6"/>
        <v>130</v>
      </c>
      <c r="AI22" s="41">
        <v>12856</v>
      </c>
      <c r="AJ22" s="46">
        <v>0</v>
      </c>
      <c r="AK22" s="37">
        <f t="shared" si="25"/>
        <v>441.45000000000073</v>
      </c>
      <c r="AL22" s="12">
        <v>150</v>
      </c>
      <c r="AM22" s="19">
        <v>280</v>
      </c>
    </row>
    <row r="23" spans="1:39" x14ac:dyDescent="0.2">
      <c r="A23" s="21">
        <v>45495</v>
      </c>
      <c r="B23" s="9">
        <v>31626762</v>
      </c>
      <c r="C23" s="14">
        <f t="shared" si="8"/>
        <v>7355</v>
      </c>
      <c r="D23" s="10">
        <v>773847</v>
      </c>
      <c r="E23" s="14">
        <f t="shared" si="8"/>
        <v>2559</v>
      </c>
      <c r="F23" s="24">
        <v>110448</v>
      </c>
      <c r="G23" s="66">
        <f t="shared" ref="G23" si="33">F24-F23</f>
        <v>0</v>
      </c>
      <c r="H23" s="69">
        <f t="shared" si="1"/>
        <v>9914</v>
      </c>
      <c r="I23" s="74" t="e">
        <f>H23-M23-#REF!-#REF!-#REF!</f>
        <v>#REF!</v>
      </c>
      <c r="J23" s="116">
        <v>14239264</v>
      </c>
      <c r="K23" s="88">
        <f>3795.5+1614417+587894+9723.7+222858+22368</f>
        <v>2461056.2000000002</v>
      </c>
      <c r="L23" s="88">
        <f t="shared" si="2"/>
        <v>11778207.800000001</v>
      </c>
      <c r="M23" s="31">
        <f t="shared" si="0"/>
        <v>22495</v>
      </c>
      <c r="N23" s="29">
        <v>10556</v>
      </c>
      <c r="O23" s="30">
        <v>0</v>
      </c>
      <c r="P23" s="31">
        <f t="shared" si="10"/>
        <v>0</v>
      </c>
      <c r="Q23" s="17">
        <v>0.65</v>
      </c>
      <c r="R23" s="17">
        <v>0.7</v>
      </c>
      <c r="S23" s="35">
        <v>0.7</v>
      </c>
      <c r="T23" s="36">
        <f t="shared" si="11"/>
        <v>5124.9999999999991</v>
      </c>
      <c r="U23" s="33">
        <v>0</v>
      </c>
      <c r="V23" s="37">
        <f t="shared" si="15"/>
        <v>124.99999999999909</v>
      </c>
      <c r="W23" s="17">
        <v>0.6</v>
      </c>
      <c r="X23" s="17">
        <v>0.65</v>
      </c>
      <c r="Y23" s="35">
        <v>0.6</v>
      </c>
      <c r="Z23" s="36">
        <f t="shared" si="3"/>
        <v>925</v>
      </c>
      <c r="AA23" s="33">
        <v>0</v>
      </c>
      <c r="AB23" s="37">
        <f t="shared" si="16"/>
        <v>50</v>
      </c>
      <c r="AC23" s="114">
        <f t="shared" si="4"/>
        <v>174.99999999999909</v>
      </c>
      <c r="AD23" s="39">
        <v>602816</v>
      </c>
      <c r="AE23" s="85">
        <v>45329</v>
      </c>
      <c r="AF23" s="85">
        <v>12411</v>
      </c>
      <c r="AG23" s="85">
        <f t="shared" si="5"/>
        <v>545076</v>
      </c>
      <c r="AH23" s="37">
        <f t="shared" si="6"/>
        <v>172</v>
      </c>
      <c r="AI23" s="41">
        <v>12414.55</v>
      </c>
      <c r="AJ23" s="46">
        <v>0</v>
      </c>
      <c r="AK23" s="37">
        <f t="shared" si="25"/>
        <v>441.44999999999891</v>
      </c>
      <c r="AL23" s="12">
        <v>116</v>
      </c>
      <c r="AM23" s="19">
        <v>224</v>
      </c>
    </row>
    <row r="24" spans="1:39" x14ac:dyDescent="0.2">
      <c r="A24" s="21">
        <v>45496</v>
      </c>
      <c r="B24" s="9">
        <v>31634117</v>
      </c>
      <c r="C24" s="14">
        <f t="shared" si="8"/>
        <v>7488</v>
      </c>
      <c r="D24" s="10">
        <v>776406</v>
      </c>
      <c r="E24" s="14">
        <f t="shared" si="8"/>
        <v>2504</v>
      </c>
      <c r="F24" s="24">
        <v>110448</v>
      </c>
      <c r="G24" s="66">
        <f t="shared" ref="G24" si="34">F25-F24</f>
        <v>0</v>
      </c>
      <c r="H24" s="69">
        <f t="shared" si="1"/>
        <v>9992</v>
      </c>
      <c r="I24" s="74" t="e">
        <f>H24-M24-#REF!-#REF!-#REF!</f>
        <v>#REF!</v>
      </c>
      <c r="J24" s="116">
        <v>14261759</v>
      </c>
      <c r="K24" s="88">
        <f>3796.6+1614933.6+587894+9724.5+222969+22387</f>
        <v>2461704.7000000002</v>
      </c>
      <c r="L24" s="88">
        <f t="shared" si="2"/>
        <v>11800054.300000001</v>
      </c>
      <c r="M24" s="31">
        <f t="shared" si="0"/>
        <v>23122</v>
      </c>
      <c r="N24" s="29">
        <v>10556</v>
      </c>
      <c r="O24" s="30">
        <v>0</v>
      </c>
      <c r="P24" s="31">
        <f t="shared" si="10"/>
        <v>0</v>
      </c>
      <c r="Q24" s="17">
        <v>0.65</v>
      </c>
      <c r="R24" s="17">
        <v>0.65</v>
      </c>
      <c r="S24" s="35">
        <v>0.7</v>
      </c>
      <c r="T24" s="36">
        <f t="shared" si="11"/>
        <v>5000</v>
      </c>
      <c r="U24" s="33">
        <v>0</v>
      </c>
      <c r="V24" s="37">
        <f t="shared" si="15"/>
        <v>300.00000000000091</v>
      </c>
      <c r="W24" s="17">
        <v>0.5</v>
      </c>
      <c r="X24" s="17">
        <v>0.55000000000000004</v>
      </c>
      <c r="Y24" s="35">
        <v>0.7</v>
      </c>
      <c r="Z24" s="36">
        <f t="shared" si="3"/>
        <v>875</v>
      </c>
      <c r="AA24" s="33">
        <v>0</v>
      </c>
      <c r="AB24" s="37">
        <f t="shared" si="16"/>
        <v>125</v>
      </c>
      <c r="AC24" s="114">
        <f t="shared" si="4"/>
        <v>425.00000000000091</v>
      </c>
      <c r="AD24" s="39">
        <v>603099</v>
      </c>
      <c r="AE24" s="85">
        <v>45428</v>
      </c>
      <c r="AF24" s="85">
        <v>12423</v>
      </c>
      <c r="AG24" s="85">
        <f t="shared" si="5"/>
        <v>545248</v>
      </c>
      <c r="AH24" s="37">
        <f t="shared" si="6"/>
        <v>103</v>
      </c>
      <c r="AI24" s="41">
        <v>11973.1</v>
      </c>
      <c r="AJ24" s="46">
        <v>0</v>
      </c>
      <c r="AK24" s="37">
        <f t="shared" si="25"/>
        <v>441.45000000000073</v>
      </c>
      <c r="AL24" s="12">
        <v>88</v>
      </c>
      <c r="AM24" s="19">
        <v>166</v>
      </c>
    </row>
    <row r="25" spans="1:39" x14ac:dyDescent="0.2">
      <c r="A25" s="21">
        <v>45497</v>
      </c>
      <c r="B25" s="9">
        <v>31641605</v>
      </c>
      <c r="C25" s="14">
        <f t="shared" si="8"/>
        <v>7002</v>
      </c>
      <c r="D25" s="10">
        <v>778910</v>
      </c>
      <c r="E25" s="14">
        <f t="shared" si="8"/>
        <v>2490</v>
      </c>
      <c r="F25" s="24">
        <v>110448</v>
      </c>
      <c r="G25" s="66">
        <f t="shared" ref="G25" si="35">F26-F25</f>
        <v>0</v>
      </c>
      <c r="H25" s="69">
        <f t="shared" si="1"/>
        <v>9492</v>
      </c>
      <c r="I25" s="74" t="e">
        <f>H25-M25-#REF!-#REF!-#REF!</f>
        <v>#REF!</v>
      </c>
      <c r="J25" s="116">
        <v>14284881</v>
      </c>
      <c r="K25" s="88">
        <f>3797.6+1615508.2+587894+9724.7+223093+22408</f>
        <v>2462425.5</v>
      </c>
      <c r="L25" s="88">
        <f t="shared" si="2"/>
        <v>11822455.5</v>
      </c>
      <c r="M25" s="31">
        <f t="shared" si="0"/>
        <v>20929</v>
      </c>
      <c r="N25" s="29">
        <v>10556</v>
      </c>
      <c r="O25" s="30">
        <v>0</v>
      </c>
      <c r="P25" s="31">
        <f t="shared" si="10"/>
        <v>0</v>
      </c>
      <c r="Q25" s="17">
        <v>0.6</v>
      </c>
      <c r="R25" s="17">
        <v>0.63</v>
      </c>
      <c r="S25" s="35">
        <v>0.65</v>
      </c>
      <c r="T25" s="36">
        <f t="shared" si="11"/>
        <v>4699.9999999999991</v>
      </c>
      <c r="U25" s="33">
        <v>0</v>
      </c>
      <c r="V25" s="37">
        <f t="shared" si="15"/>
        <v>99.999999999999091</v>
      </c>
      <c r="W25" s="17">
        <v>0.5</v>
      </c>
      <c r="X25" s="17">
        <v>0.45</v>
      </c>
      <c r="Y25" s="35">
        <v>0.55000000000000004</v>
      </c>
      <c r="Z25" s="36">
        <f t="shared" si="3"/>
        <v>750</v>
      </c>
      <c r="AA25" s="33">
        <v>0</v>
      </c>
      <c r="AB25" s="37">
        <f t="shared" si="16"/>
        <v>255</v>
      </c>
      <c r="AC25" s="114">
        <f t="shared" si="4"/>
        <v>354.99999999999909</v>
      </c>
      <c r="AD25" s="39">
        <v>603327</v>
      </c>
      <c r="AE25" s="85">
        <v>45542</v>
      </c>
      <c r="AF25" s="85">
        <v>12434</v>
      </c>
      <c r="AG25" s="85">
        <f t="shared" si="5"/>
        <v>545351</v>
      </c>
      <c r="AH25" s="37">
        <f t="shared" si="6"/>
        <v>109</v>
      </c>
      <c r="AI25" s="41">
        <v>11531.65</v>
      </c>
      <c r="AJ25" s="46">
        <v>0</v>
      </c>
      <c r="AK25" s="37">
        <f t="shared" si="25"/>
        <v>441.44999999999891</v>
      </c>
      <c r="AL25" s="12">
        <v>86</v>
      </c>
      <c r="AM25" s="19">
        <v>261</v>
      </c>
    </row>
    <row r="26" spans="1:39" x14ac:dyDescent="0.2">
      <c r="A26" s="21">
        <v>45498</v>
      </c>
      <c r="B26" s="9">
        <v>31648607</v>
      </c>
      <c r="C26" s="14">
        <f t="shared" si="8"/>
        <v>7238</v>
      </c>
      <c r="D26" s="10">
        <v>781400</v>
      </c>
      <c r="E26" s="14">
        <f t="shared" si="8"/>
        <v>2439</v>
      </c>
      <c r="F26" s="24">
        <v>110448</v>
      </c>
      <c r="G26" s="66">
        <f t="shared" ref="G26" si="36">F27-F26</f>
        <v>0</v>
      </c>
      <c r="H26" s="69">
        <f t="shared" si="1"/>
        <v>9677</v>
      </c>
      <c r="I26" s="74" t="e">
        <f>H26-M26-#REF!-#REF!-#REF!</f>
        <v>#REF!</v>
      </c>
      <c r="J26" s="116">
        <v>14305810</v>
      </c>
      <c r="K26" s="88">
        <f>3798.6+1615963.2+587894+9725.4+223207+22425</f>
        <v>2463013.1999999997</v>
      </c>
      <c r="L26" s="88">
        <f t="shared" si="2"/>
        <v>11842796.800000001</v>
      </c>
      <c r="M26" s="31">
        <f t="shared" si="0"/>
        <v>21487</v>
      </c>
      <c r="N26" s="29">
        <v>10556</v>
      </c>
      <c r="O26" s="30">
        <v>0</v>
      </c>
      <c r="P26" s="31">
        <f t="shared" si="10"/>
        <v>0</v>
      </c>
      <c r="Q26" s="17">
        <v>0.6</v>
      </c>
      <c r="R26" s="17">
        <v>0.6</v>
      </c>
      <c r="S26" s="35">
        <v>0.64</v>
      </c>
      <c r="T26" s="36">
        <f t="shared" si="11"/>
        <v>4600</v>
      </c>
      <c r="U26" s="33">
        <v>1453.02</v>
      </c>
      <c r="V26" s="37">
        <f>T27-U26-T26</f>
        <v>71.980000000001382</v>
      </c>
      <c r="W26" s="17">
        <v>0.37</v>
      </c>
      <c r="X26" s="17">
        <v>0.32</v>
      </c>
      <c r="Y26" s="35">
        <v>0.3</v>
      </c>
      <c r="Z26" s="36">
        <f t="shared" si="3"/>
        <v>495</v>
      </c>
      <c r="AA26" s="33">
        <v>663.41</v>
      </c>
      <c r="AB26" s="37">
        <f>Z27-AA26-Z26</f>
        <v>91.590000000000032</v>
      </c>
      <c r="AC26" s="114">
        <f t="shared" si="4"/>
        <v>163.57000000000141</v>
      </c>
      <c r="AD26" s="39">
        <v>603542</v>
      </c>
      <c r="AE26" s="85">
        <v>45637</v>
      </c>
      <c r="AF26" s="85">
        <v>12445</v>
      </c>
      <c r="AG26" s="85">
        <f t="shared" si="5"/>
        <v>545460</v>
      </c>
      <c r="AH26" s="37">
        <f t="shared" si="6"/>
        <v>141</v>
      </c>
      <c r="AI26" s="41">
        <v>11090.2</v>
      </c>
      <c r="AJ26" s="46">
        <v>0</v>
      </c>
      <c r="AK26" s="37">
        <f t="shared" si="25"/>
        <v>441.45000000000073</v>
      </c>
      <c r="AL26" s="12">
        <v>86</v>
      </c>
      <c r="AM26" s="19">
        <v>231</v>
      </c>
    </row>
    <row r="27" spans="1:39" x14ac:dyDescent="0.2">
      <c r="A27" s="21">
        <v>45499</v>
      </c>
      <c r="B27" s="9">
        <v>31655845</v>
      </c>
      <c r="C27" s="14">
        <f t="shared" si="8"/>
        <v>7707</v>
      </c>
      <c r="D27" s="10">
        <v>783839</v>
      </c>
      <c r="E27" s="14">
        <f t="shared" si="8"/>
        <v>2474</v>
      </c>
      <c r="F27" s="24">
        <v>110448</v>
      </c>
      <c r="G27" s="66">
        <f t="shared" ref="G27" si="37">F28-F27</f>
        <v>0</v>
      </c>
      <c r="H27" s="69">
        <f t="shared" si="1"/>
        <v>10181</v>
      </c>
      <c r="I27" s="74" t="e">
        <f>H27-M27-#REF!-#REF!-#REF!</f>
        <v>#REF!</v>
      </c>
      <c r="J27" s="116">
        <v>14327297</v>
      </c>
      <c r="K27" s="88">
        <f>3799.2+1616458.4+587894+9726.9+223328+22444</f>
        <v>2463650.4999999995</v>
      </c>
      <c r="L27" s="88">
        <f t="shared" si="2"/>
        <v>11863646.5</v>
      </c>
      <c r="M27" s="31">
        <f t="shared" si="0"/>
        <v>21881</v>
      </c>
      <c r="N27" s="29">
        <v>10556</v>
      </c>
      <c r="O27" s="30">
        <v>0</v>
      </c>
      <c r="P27" s="31">
        <f t="shared" si="10"/>
        <v>0</v>
      </c>
      <c r="Q27" s="17">
        <v>0.8</v>
      </c>
      <c r="R27" s="17">
        <v>0.85</v>
      </c>
      <c r="S27" s="35">
        <v>0.8</v>
      </c>
      <c r="T27" s="36">
        <f t="shared" si="11"/>
        <v>6125.0000000000009</v>
      </c>
      <c r="U27" s="33">
        <v>0</v>
      </c>
      <c r="V27" s="37">
        <f t="shared" si="15"/>
        <v>250.00000000000091</v>
      </c>
      <c r="W27" s="17">
        <v>0.85</v>
      </c>
      <c r="X27" s="17">
        <v>0.8</v>
      </c>
      <c r="Y27" s="35">
        <v>0.85</v>
      </c>
      <c r="Z27" s="36">
        <f t="shared" si="3"/>
        <v>1250</v>
      </c>
      <c r="AA27" s="33">
        <v>0</v>
      </c>
      <c r="AB27" s="37">
        <f t="shared" si="16"/>
        <v>24.999999999999773</v>
      </c>
      <c r="AC27" s="114">
        <f t="shared" si="4"/>
        <v>275.00000000000068</v>
      </c>
      <c r="AD27" s="39">
        <v>603804</v>
      </c>
      <c r="AE27" s="85">
        <v>45747</v>
      </c>
      <c r="AF27" s="85">
        <v>12456</v>
      </c>
      <c r="AG27" s="85">
        <f t="shared" si="5"/>
        <v>545601</v>
      </c>
      <c r="AH27" s="37">
        <f t="shared" si="6"/>
        <v>146</v>
      </c>
      <c r="AI27" s="41">
        <v>10648.75</v>
      </c>
      <c r="AJ27" s="46">
        <v>0</v>
      </c>
      <c r="AK27" s="37">
        <f t="shared" si="25"/>
        <v>441.45000000000073</v>
      </c>
      <c r="AL27" s="12">
        <v>94</v>
      </c>
      <c r="AM27" s="19">
        <v>183</v>
      </c>
    </row>
    <row r="28" spans="1:39" x14ac:dyDescent="0.2">
      <c r="A28" s="21">
        <v>45500</v>
      </c>
      <c r="B28" s="9">
        <v>31663552</v>
      </c>
      <c r="C28" s="14">
        <f t="shared" si="8"/>
        <v>7621</v>
      </c>
      <c r="D28" s="10">
        <v>786313</v>
      </c>
      <c r="E28" s="14">
        <f t="shared" si="8"/>
        <v>2420</v>
      </c>
      <c r="F28" s="24">
        <v>110448</v>
      </c>
      <c r="G28" s="66">
        <f t="shared" ref="G28" si="38">F29-F28</f>
        <v>0</v>
      </c>
      <c r="H28" s="69">
        <f t="shared" si="1"/>
        <v>10041</v>
      </c>
      <c r="I28" s="74" t="e">
        <f>H28-M28-#REF!-#REF!-#REF!</f>
        <v>#REF!</v>
      </c>
      <c r="J28" s="116">
        <v>14349178</v>
      </c>
      <c r="K28" s="88">
        <f>3801+1616985.5+587894+9727.6+223446+22466</f>
        <v>2464320.1</v>
      </c>
      <c r="L28" s="88">
        <f t="shared" si="2"/>
        <v>11884857.9</v>
      </c>
      <c r="M28" s="31">
        <f t="shared" si="0"/>
        <v>22483</v>
      </c>
      <c r="N28" s="29">
        <v>10556</v>
      </c>
      <c r="O28" s="30">
        <v>0</v>
      </c>
      <c r="P28" s="31">
        <f t="shared" si="10"/>
        <v>0</v>
      </c>
      <c r="Q28" s="17">
        <v>0.8</v>
      </c>
      <c r="R28" s="17">
        <v>0.75</v>
      </c>
      <c r="S28" s="35">
        <v>0.8</v>
      </c>
      <c r="T28" s="36">
        <f t="shared" si="11"/>
        <v>5875</v>
      </c>
      <c r="U28" s="33">
        <v>0</v>
      </c>
      <c r="V28" s="37">
        <f t="shared" si="15"/>
        <v>500</v>
      </c>
      <c r="W28" s="17">
        <v>0.8</v>
      </c>
      <c r="X28" s="17">
        <v>0.85</v>
      </c>
      <c r="Y28" s="35">
        <v>0.8</v>
      </c>
      <c r="Z28" s="36">
        <f t="shared" si="3"/>
        <v>1225.0000000000002</v>
      </c>
      <c r="AA28" s="33">
        <v>0</v>
      </c>
      <c r="AB28" s="37">
        <f t="shared" si="16"/>
        <v>125.00000000000023</v>
      </c>
      <c r="AC28" s="114">
        <f t="shared" si="4"/>
        <v>625.00000000000023</v>
      </c>
      <c r="AD28" s="39">
        <v>604066</v>
      </c>
      <c r="AE28" s="85">
        <v>45852</v>
      </c>
      <c r="AF28" s="85">
        <v>12467</v>
      </c>
      <c r="AG28" s="85">
        <f t="shared" si="5"/>
        <v>545747</v>
      </c>
      <c r="AH28" s="37">
        <f t="shared" si="6"/>
        <v>155</v>
      </c>
      <c r="AI28" s="41">
        <v>10207.299999999999</v>
      </c>
      <c r="AJ28" s="46">
        <v>0</v>
      </c>
      <c r="AK28" s="37">
        <f t="shared" si="25"/>
        <v>441.44999999999891</v>
      </c>
      <c r="AL28" s="12">
        <v>135</v>
      </c>
      <c r="AM28" s="19">
        <v>267</v>
      </c>
    </row>
    <row r="29" spans="1:39" x14ac:dyDescent="0.2">
      <c r="A29" s="21">
        <v>45501</v>
      </c>
      <c r="B29" s="9">
        <v>31671173</v>
      </c>
      <c r="C29" s="14">
        <f t="shared" si="8"/>
        <v>6749</v>
      </c>
      <c r="D29" s="10">
        <v>788733</v>
      </c>
      <c r="E29" s="14">
        <f t="shared" si="8"/>
        <v>2621</v>
      </c>
      <c r="F29" s="24">
        <v>110448</v>
      </c>
      <c r="G29" s="66">
        <f t="shared" ref="G29" si="39">F30-F29</f>
        <v>0</v>
      </c>
      <c r="H29" s="69">
        <f t="shared" si="1"/>
        <v>9370</v>
      </c>
      <c r="I29" s="74" t="e">
        <f>H29-M29-#REF!-#REF!-#REF!</f>
        <v>#REF!</v>
      </c>
      <c r="J29" s="116">
        <v>14371661</v>
      </c>
      <c r="K29" s="88">
        <f>3802+1617485.6+587894+9728.3+223561+22486</f>
        <v>2464956.9</v>
      </c>
      <c r="L29" s="64">
        <f t="shared" si="2"/>
        <v>11906704.1</v>
      </c>
      <c r="M29" s="31">
        <f t="shared" si="0"/>
        <v>22296</v>
      </c>
      <c r="N29" s="29">
        <v>10556</v>
      </c>
      <c r="O29" s="30">
        <v>0</v>
      </c>
      <c r="P29" s="31">
        <f t="shared" si="10"/>
        <v>0</v>
      </c>
      <c r="Q29" s="17">
        <v>0.7</v>
      </c>
      <c r="R29" s="17">
        <v>0.75</v>
      </c>
      <c r="S29" s="35">
        <v>0.7</v>
      </c>
      <c r="T29" s="36">
        <f t="shared" si="11"/>
        <v>5375</v>
      </c>
      <c r="U29" s="33">
        <v>0</v>
      </c>
      <c r="V29" s="37">
        <f t="shared" si="15"/>
        <v>175</v>
      </c>
      <c r="W29" s="17">
        <v>0.75</v>
      </c>
      <c r="X29" s="17">
        <v>0.75</v>
      </c>
      <c r="Y29" s="35">
        <v>0.7</v>
      </c>
      <c r="Z29" s="36">
        <f t="shared" si="3"/>
        <v>1100</v>
      </c>
      <c r="AA29" s="33">
        <v>0</v>
      </c>
      <c r="AB29" s="37">
        <f t="shared" si="16"/>
        <v>75.000000000000227</v>
      </c>
      <c r="AC29" s="114">
        <f t="shared" si="4"/>
        <v>250.00000000000023</v>
      </c>
      <c r="AD29" s="39">
        <v>604340</v>
      </c>
      <c r="AE29" s="85">
        <v>45960</v>
      </c>
      <c r="AF29" s="85">
        <v>12478</v>
      </c>
      <c r="AG29" s="85">
        <f t="shared" si="5"/>
        <v>545902</v>
      </c>
      <c r="AH29" s="37">
        <f t="shared" si="6"/>
        <v>171</v>
      </c>
      <c r="AI29" s="41">
        <v>9765.85</v>
      </c>
      <c r="AJ29" s="46">
        <v>0</v>
      </c>
      <c r="AK29" s="37">
        <f t="shared" si="25"/>
        <v>441.45000000000073</v>
      </c>
      <c r="AL29" s="12">
        <v>173</v>
      </c>
      <c r="AM29" s="19">
        <v>329</v>
      </c>
    </row>
    <row r="30" spans="1:39" x14ac:dyDescent="0.2">
      <c r="A30" s="21">
        <v>45502</v>
      </c>
      <c r="B30" s="9">
        <v>31677922</v>
      </c>
      <c r="C30" s="14">
        <f t="shared" si="8"/>
        <v>7567</v>
      </c>
      <c r="D30" s="10">
        <v>791354</v>
      </c>
      <c r="E30" s="14">
        <f t="shared" si="8"/>
        <v>2600</v>
      </c>
      <c r="F30" s="24">
        <v>110448</v>
      </c>
      <c r="G30" s="66">
        <f t="shared" ref="G30" si="40">F31-F30</f>
        <v>0</v>
      </c>
      <c r="H30" s="69">
        <f t="shared" si="1"/>
        <v>10167</v>
      </c>
      <c r="I30" s="74" t="e">
        <f>H30-M30-#REF!-#REF!-#REF!</f>
        <v>#REF!</v>
      </c>
      <c r="J30" s="116">
        <v>14393957</v>
      </c>
      <c r="K30" s="88">
        <f>3802.8+1617995.2+587894+9728.5+223680+22507</f>
        <v>2465607.5</v>
      </c>
      <c r="L30" s="64">
        <f t="shared" si="2"/>
        <v>11928349.5</v>
      </c>
      <c r="M30" s="31">
        <f t="shared" si="0"/>
        <v>20933</v>
      </c>
      <c r="N30" s="29">
        <v>10556</v>
      </c>
      <c r="O30" s="30">
        <v>0</v>
      </c>
      <c r="P30" s="31">
        <f t="shared" si="10"/>
        <v>0</v>
      </c>
      <c r="Q30" s="17">
        <v>0.7</v>
      </c>
      <c r="R30" s="17">
        <v>0.7</v>
      </c>
      <c r="S30" s="35">
        <v>0.68</v>
      </c>
      <c r="T30" s="36">
        <f t="shared" si="11"/>
        <v>5200</v>
      </c>
      <c r="U30" s="33">
        <v>0</v>
      </c>
      <c r="V30" s="37">
        <f t="shared" si="15"/>
        <v>325</v>
      </c>
      <c r="W30" s="17">
        <v>0.7</v>
      </c>
      <c r="X30" s="17">
        <v>0.7</v>
      </c>
      <c r="Y30" s="35">
        <v>0.65</v>
      </c>
      <c r="Z30" s="36">
        <f t="shared" si="3"/>
        <v>1024.9999999999998</v>
      </c>
      <c r="AA30" s="33">
        <v>0</v>
      </c>
      <c r="AB30" s="37">
        <f t="shared" si="16"/>
        <v>99.999999999999886</v>
      </c>
      <c r="AC30" s="114">
        <f t="shared" si="4"/>
        <v>424.99999999999989</v>
      </c>
      <c r="AD30" s="39">
        <v>604608</v>
      </c>
      <c r="AE30" s="85">
        <v>46046</v>
      </c>
      <c r="AF30" s="85">
        <v>12489</v>
      </c>
      <c r="AG30" s="85">
        <f t="shared" si="5"/>
        <v>546073</v>
      </c>
      <c r="AH30" s="37">
        <f t="shared" si="6"/>
        <v>148</v>
      </c>
      <c r="AI30" s="41">
        <v>9324.4</v>
      </c>
      <c r="AJ30" s="46">
        <v>0</v>
      </c>
      <c r="AK30" s="37">
        <f t="shared" si="25"/>
        <v>441.44999999999891</v>
      </c>
      <c r="AL30" s="12">
        <v>142</v>
      </c>
      <c r="AM30" s="19">
        <v>370</v>
      </c>
    </row>
    <row r="31" spans="1:39" x14ac:dyDescent="0.2">
      <c r="A31" s="21">
        <v>45503</v>
      </c>
      <c r="B31" s="9">
        <v>31685489</v>
      </c>
      <c r="C31" s="14">
        <f t="shared" si="8"/>
        <v>7141</v>
      </c>
      <c r="D31" s="10">
        <v>793954</v>
      </c>
      <c r="E31" s="14">
        <f t="shared" si="8"/>
        <v>2514</v>
      </c>
      <c r="F31" s="25">
        <v>110448</v>
      </c>
      <c r="G31" s="66">
        <f t="shared" ref="G31" si="41">F32-F31</f>
        <v>0</v>
      </c>
      <c r="H31" s="69">
        <f t="shared" si="1"/>
        <v>9655</v>
      </c>
      <c r="I31" s="74" t="e">
        <f>H31-M31-#REF!-#REF!-#REF!</f>
        <v>#REF!</v>
      </c>
      <c r="J31" s="117">
        <v>14414890</v>
      </c>
      <c r="K31" s="89">
        <f>3804+1618526.3+587894+9729.2+223797+22526</f>
        <v>2466276.5</v>
      </c>
      <c r="L31" s="64">
        <f t="shared" si="2"/>
        <v>11948613.5</v>
      </c>
      <c r="M31" s="31">
        <f t="shared" si="0"/>
        <v>21590</v>
      </c>
      <c r="N31" s="29">
        <v>10556</v>
      </c>
      <c r="O31" s="30">
        <v>0</v>
      </c>
      <c r="P31" s="31">
        <f t="shared" si="10"/>
        <v>0</v>
      </c>
      <c r="Q31" s="17">
        <v>0.65</v>
      </c>
      <c r="R31" s="17">
        <v>0.65</v>
      </c>
      <c r="S31" s="35">
        <v>0.65</v>
      </c>
      <c r="T31" s="36">
        <f t="shared" si="11"/>
        <v>4875</v>
      </c>
      <c r="U31" s="33">
        <v>0</v>
      </c>
      <c r="V31" s="37">
        <f t="shared" si="15"/>
        <v>300</v>
      </c>
      <c r="W31" s="17">
        <v>0.55000000000000004</v>
      </c>
      <c r="X31" s="17">
        <v>0.6</v>
      </c>
      <c r="Y31" s="35">
        <v>0.7</v>
      </c>
      <c r="Z31" s="36">
        <f t="shared" si="3"/>
        <v>924.99999999999989</v>
      </c>
      <c r="AA31" s="33">
        <v>0</v>
      </c>
      <c r="AB31" s="37">
        <f t="shared" si="16"/>
        <v>74.999999999999773</v>
      </c>
      <c r="AC31" s="114">
        <f t="shared" si="4"/>
        <v>374.99999999999977</v>
      </c>
      <c r="AD31" s="39">
        <v>604887</v>
      </c>
      <c r="AE31" s="85">
        <v>46167</v>
      </c>
      <c r="AF31" s="85">
        <v>12499</v>
      </c>
      <c r="AG31" s="85">
        <f t="shared" si="5"/>
        <v>546221</v>
      </c>
      <c r="AH31" s="37">
        <f t="shared" si="6"/>
        <v>104</v>
      </c>
      <c r="AI31" s="41">
        <v>8882.9500000000007</v>
      </c>
      <c r="AJ31" s="46">
        <v>0</v>
      </c>
      <c r="AK31" s="37">
        <f t="shared" si="25"/>
        <v>441.45000000000073</v>
      </c>
      <c r="AL31" s="12">
        <v>101</v>
      </c>
      <c r="AM31" s="19">
        <v>196</v>
      </c>
    </row>
    <row r="32" spans="1:39" ht="13.5" thickBot="1" x14ac:dyDescent="0.25">
      <c r="A32" s="21">
        <v>45504</v>
      </c>
      <c r="B32" s="9">
        <v>31692630</v>
      </c>
      <c r="C32" s="59">
        <f t="shared" si="8"/>
        <v>7165</v>
      </c>
      <c r="D32" s="10">
        <v>796468</v>
      </c>
      <c r="E32" s="59">
        <f t="shared" si="8"/>
        <v>2520</v>
      </c>
      <c r="F32" s="25">
        <v>110448</v>
      </c>
      <c r="G32" s="67">
        <f t="shared" ref="G32" si="42">F33-F32</f>
        <v>0</v>
      </c>
      <c r="H32" s="70">
        <f t="shared" si="1"/>
        <v>9685</v>
      </c>
      <c r="I32" s="75" t="e">
        <f>H32-M32-#REF!-#REF!-#REF!</f>
        <v>#REF!</v>
      </c>
      <c r="J32" s="117">
        <v>14436480</v>
      </c>
      <c r="K32" s="89">
        <f>3805.2+1619085.6+587894+9729.4+223931+22547</f>
        <v>2466992.1999999997</v>
      </c>
      <c r="L32" s="64">
        <f t="shared" si="2"/>
        <v>11969487.800000001</v>
      </c>
      <c r="M32" s="55">
        <f t="shared" si="0"/>
        <v>20947</v>
      </c>
      <c r="N32" s="29">
        <v>10556</v>
      </c>
      <c r="O32" s="30">
        <v>0</v>
      </c>
      <c r="P32" s="55">
        <f t="shared" si="10"/>
        <v>0</v>
      </c>
      <c r="Q32" s="17">
        <v>0.6</v>
      </c>
      <c r="R32" s="17">
        <v>0.6</v>
      </c>
      <c r="S32" s="35">
        <v>0.63</v>
      </c>
      <c r="T32" s="36">
        <f t="shared" si="11"/>
        <v>4575</v>
      </c>
      <c r="U32" s="33">
        <v>0</v>
      </c>
      <c r="V32" s="37">
        <f t="shared" si="15"/>
        <v>200</v>
      </c>
      <c r="W32" s="17">
        <v>0.5</v>
      </c>
      <c r="X32" s="17">
        <v>0.6</v>
      </c>
      <c r="Y32" s="35">
        <v>0.6</v>
      </c>
      <c r="Z32" s="36">
        <f t="shared" si="3"/>
        <v>850.00000000000011</v>
      </c>
      <c r="AA32" s="33">
        <v>0</v>
      </c>
      <c r="AB32" s="37">
        <f t="shared" si="16"/>
        <v>135.00000000000023</v>
      </c>
      <c r="AC32" s="114">
        <f>SUM(V32+AB32)</f>
        <v>335.00000000000023</v>
      </c>
      <c r="AD32" s="39">
        <v>605121</v>
      </c>
      <c r="AE32" s="86">
        <v>46285</v>
      </c>
      <c r="AF32" s="86">
        <v>12511</v>
      </c>
      <c r="AG32" s="85">
        <f t="shared" si="5"/>
        <v>546325</v>
      </c>
      <c r="AH32" s="37">
        <f t="shared" si="6"/>
        <v>116</v>
      </c>
      <c r="AI32" s="41">
        <v>8441.5</v>
      </c>
      <c r="AJ32" s="46">
        <v>0</v>
      </c>
      <c r="AK32" s="37">
        <f t="shared" si="25"/>
        <v>441.44999999999982</v>
      </c>
      <c r="AL32" s="50">
        <v>89</v>
      </c>
      <c r="AM32" s="51">
        <v>188</v>
      </c>
    </row>
    <row r="33" spans="1:39" ht="14.25" thickTop="1" thickBot="1" x14ac:dyDescent="0.25">
      <c r="A33" s="22">
        <v>45505</v>
      </c>
      <c r="B33" s="47">
        <v>31699795</v>
      </c>
      <c r="C33" s="61"/>
      <c r="D33" s="58">
        <v>798988</v>
      </c>
      <c r="E33" s="61"/>
      <c r="F33" s="60">
        <v>110448</v>
      </c>
      <c r="G33" s="52"/>
      <c r="H33" s="72"/>
      <c r="I33" s="62"/>
      <c r="J33" s="118">
        <v>14457427</v>
      </c>
      <c r="K33" s="119">
        <f>3806.3+1619627+587918+9729.5+224029+22566</f>
        <v>2467675.7999999998</v>
      </c>
      <c r="L33" s="119"/>
      <c r="M33" s="61"/>
      <c r="N33" s="43">
        <v>10556</v>
      </c>
      <c r="O33" s="63">
        <v>0</v>
      </c>
      <c r="P33" s="61"/>
      <c r="Q33" s="120">
        <v>0.55000000000000004</v>
      </c>
      <c r="R33" s="57">
        <v>0.6</v>
      </c>
      <c r="S33" s="44">
        <v>0.6</v>
      </c>
      <c r="T33" s="121">
        <f t="shared" si="11"/>
        <v>4375</v>
      </c>
      <c r="U33" s="48"/>
      <c r="V33" s="61"/>
      <c r="W33" s="120">
        <v>0.45</v>
      </c>
      <c r="X33" s="57">
        <v>0.5</v>
      </c>
      <c r="Y33" s="44">
        <v>0.48</v>
      </c>
      <c r="Z33" s="121">
        <f t="shared" si="3"/>
        <v>714.99999999999989</v>
      </c>
      <c r="AA33" s="48"/>
      <c r="AB33" s="123"/>
      <c r="AC33" s="124"/>
      <c r="AD33" s="56">
        <v>605352</v>
      </c>
      <c r="AE33" s="122">
        <v>46389</v>
      </c>
      <c r="AF33" s="122">
        <v>12522</v>
      </c>
      <c r="AG33" s="122">
        <f t="shared" si="5"/>
        <v>546441</v>
      </c>
      <c r="AH33" s="61"/>
      <c r="AI33" s="54">
        <v>8000.05</v>
      </c>
      <c r="AJ33" s="49">
        <v>0</v>
      </c>
      <c r="AK33" s="52"/>
      <c r="AL33" s="53"/>
      <c r="AM33" s="53"/>
    </row>
    <row r="34" spans="1:39" s="82" customFormat="1" ht="10.5" thickTop="1" x14ac:dyDescent="0.2">
      <c r="A34" s="76"/>
      <c r="B34" s="76"/>
      <c r="C34" s="77">
        <f>SUM(C2:C33)</f>
        <v>215580</v>
      </c>
      <c r="D34" s="78"/>
      <c r="E34" s="77">
        <f>SUM(E2:E33)</f>
        <v>79885</v>
      </c>
      <c r="F34" s="79"/>
      <c r="G34" s="77">
        <f>SUM(G2:G33)</f>
        <v>0</v>
      </c>
      <c r="H34" s="78">
        <f>SUM(H2:H33)</f>
        <v>295465</v>
      </c>
      <c r="I34" s="77" t="e">
        <f>SUM(I2:I32)</f>
        <v>#REF!</v>
      </c>
      <c r="J34" s="79"/>
      <c r="K34" s="79"/>
      <c r="L34" s="79"/>
      <c r="M34" s="77">
        <f>SUM(M2:M33)</f>
        <v>658539</v>
      </c>
      <c r="N34" s="78"/>
      <c r="O34" s="78"/>
      <c r="P34" s="77">
        <f>SUM(P2:P33)</f>
        <v>0</v>
      </c>
      <c r="Q34" s="76"/>
      <c r="R34" s="76"/>
      <c r="S34" s="76"/>
      <c r="T34" s="76"/>
      <c r="U34" s="78">
        <f>SUM(U2:U33)</f>
        <v>5857.0599999999995</v>
      </c>
      <c r="V34" s="77">
        <f>SUM(V2:V33)</f>
        <v>8342.9400000000023</v>
      </c>
      <c r="W34" s="76"/>
      <c r="X34" s="76"/>
      <c r="Y34" s="76"/>
      <c r="Z34" s="76"/>
      <c r="AA34" s="78">
        <f>SUM(AA2:AA33)</f>
        <v>2275.2799999999997</v>
      </c>
      <c r="AB34" s="77">
        <f>SUM(AB2:AB33)</f>
        <v>3059.7199999999993</v>
      </c>
      <c r="AC34" s="77">
        <f>SUM(AC2:AC33)</f>
        <v>11402.660000000002</v>
      </c>
      <c r="AD34" s="76"/>
      <c r="AE34" s="76"/>
      <c r="AF34" s="76"/>
      <c r="AG34" s="76"/>
      <c r="AH34" s="77">
        <f>SUM(AH2:AH33)</f>
        <v>4190</v>
      </c>
      <c r="AI34" s="76"/>
      <c r="AJ34" s="76">
        <f>SUM(AJ2:AJ33)</f>
        <v>8185</v>
      </c>
      <c r="AK34" s="77">
        <f>SUM(AK2:AK33)</f>
        <v>13684.95</v>
      </c>
      <c r="AL34" s="80">
        <f>SUM(AL2:AL33)</f>
        <v>3424</v>
      </c>
      <c r="AM34" s="81">
        <f>SUM(AM2:AM32)</f>
        <v>6697</v>
      </c>
    </row>
    <row r="35" spans="1:39" x14ac:dyDescent="0.2">
      <c r="A35" s="1"/>
      <c r="B35" s="1"/>
      <c r="D35" s="3"/>
      <c r="Q35" s="1"/>
      <c r="R35" s="1"/>
      <c r="S35" s="1"/>
      <c r="T35" s="1"/>
      <c r="W35" s="1"/>
      <c r="X35" s="1"/>
      <c r="Y35" s="1"/>
      <c r="Z35" s="1"/>
      <c r="AD35" s="1"/>
      <c r="AE35" s="1"/>
      <c r="AF35" s="1"/>
      <c r="AG35" s="1"/>
      <c r="AI35" s="5"/>
      <c r="AJ35" s="5"/>
      <c r="AL35" s="2"/>
      <c r="AM35" s="2"/>
    </row>
    <row r="36" spans="1:39" x14ac:dyDescent="0.2">
      <c r="A36" s="1"/>
      <c r="B36" s="1"/>
      <c r="D36" s="3"/>
      <c r="Q36" s="1"/>
      <c r="R36" s="1"/>
      <c r="S36" s="1"/>
      <c r="T36" s="1"/>
      <c r="W36" s="1"/>
      <c r="X36" s="1"/>
      <c r="Y36" s="1"/>
      <c r="Z36" s="1"/>
      <c r="AD36" s="1"/>
      <c r="AE36" s="1"/>
      <c r="AF36" s="1"/>
      <c r="AG36" s="1"/>
      <c r="AI36" s="5"/>
      <c r="AJ36" s="5"/>
      <c r="AL36" s="2"/>
      <c r="AM36" s="2"/>
    </row>
    <row r="37" spans="1:39" x14ac:dyDescent="0.2">
      <c r="A37" s="1"/>
      <c r="B37" s="1"/>
      <c r="D37" s="3"/>
      <c r="H37" s="71"/>
      <c r="I37" s="71"/>
      <c r="Q37" s="1"/>
      <c r="R37" s="1"/>
      <c r="S37" s="1"/>
      <c r="T37" s="1"/>
      <c r="W37" s="1"/>
      <c r="X37" s="1"/>
      <c r="Y37" s="1"/>
      <c r="Z37" s="1"/>
      <c r="AD37" s="1"/>
      <c r="AE37" s="1"/>
      <c r="AF37" s="1"/>
      <c r="AG37" s="1"/>
      <c r="AI37" s="5"/>
      <c r="AJ37" s="5"/>
      <c r="AL37" s="2"/>
      <c r="AM37" s="2"/>
    </row>
    <row r="38" spans="1:39" x14ac:dyDescent="0.2">
      <c r="A38" s="1"/>
      <c r="B38" s="1"/>
      <c r="D38" s="3"/>
      <c r="Q38" s="1"/>
      <c r="R38" s="1"/>
      <c r="S38" s="1"/>
      <c r="T38" s="1"/>
      <c r="W38" s="1"/>
      <c r="X38" s="1"/>
      <c r="Y38" s="1"/>
      <c r="Z38" s="1"/>
      <c r="AD38" s="1"/>
      <c r="AE38" s="1"/>
      <c r="AF38" s="1"/>
      <c r="AG38" s="1"/>
      <c r="AI38" s="5"/>
      <c r="AJ38" s="5"/>
      <c r="AL38" s="2"/>
      <c r="AM38" s="2"/>
    </row>
    <row r="39" spans="1:39" x14ac:dyDescent="0.2">
      <c r="A39" s="1"/>
      <c r="B39" s="1"/>
      <c r="D39" s="3"/>
      <c r="Q39" s="1"/>
      <c r="R39" s="1"/>
      <c r="S39" s="1"/>
      <c r="T39" s="1"/>
      <c r="W39" s="1"/>
      <c r="X39" s="1"/>
      <c r="Y39" s="1"/>
      <c r="Z39" s="1"/>
      <c r="AD39" s="1"/>
      <c r="AE39" s="1"/>
      <c r="AF39" s="1"/>
      <c r="AG39" s="1"/>
      <c r="AI39" s="5"/>
      <c r="AJ39" s="5"/>
      <c r="AL39" s="2"/>
      <c r="AM39" s="2"/>
    </row>
    <row r="40" spans="1:39" x14ac:dyDescent="0.2">
      <c r="A40" s="1"/>
      <c r="B40" s="1"/>
      <c r="D40" s="3"/>
      <c r="Q40" s="1"/>
      <c r="R40" s="1"/>
      <c r="S40" s="1"/>
      <c r="T40" s="1"/>
      <c r="W40" s="1"/>
      <c r="X40" s="1"/>
      <c r="Y40" s="1"/>
      <c r="Z40" s="1"/>
      <c r="AD40" s="1"/>
      <c r="AE40" s="1"/>
      <c r="AF40" s="1"/>
      <c r="AG40" s="1"/>
      <c r="AI40" s="5"/>
      <c r="AJ40" s="5"/>
      <c r="AL40" s="2"/>
      <c r="AM40" s="2"/>
    </row>
    <row r="41" spans="1:39" x14ac:dyDescent="0.2">
      <c r="A41" s="1"/>
      <c r="B41" s="1"/>
      <c r="D41" s="3"/>
      <c r="Q41" s="1"/>
      <c r="R41" s="1"/>
      <c r="S41" s="1"/>
      <c r="T41" s="1"/>
      <c r="W41" s="1"/>
      <c r="X41" s="1"/>
      <c r="Y41" s="1"/>
      <c r="Z41" s="1"/>
      <c r="AD41" s="1"/>
      <c r="AE41" s="1"/>
      <c r="AF41" s="1"/>
      <c r="AG41" s="1"/>
      <c r="AI41" s="5"/>
      <c r="AJ41" s="5"/>
      <c r="AL41" s="2"/>
      <c r="AM41" s="2"/>
    </row>
    <row r="42" spans="1:39" x14ac:dyDescent="0.2">
      <c r="A42" s="1"/>
      <c r="B42" s="1"/>
      <c r="D42" s="3"/>
      <c r="Q42" s="1"/>
      <c r="R42" s="1"/>
      <c r="S42" s="1"/>
      <c r="T42" s="1"/>
      <c r="W42" s="1"/>
      <c r="X42" s="1"/>
      <c r="Y42" s="1"/>
      <c r="Z42" s="1"/>
      <c r="AD42" s="1"/>
      <c r="AE42" s="1"/>
      <c r="AF42" s="1"/>
      <c r="AG42" s="1"/>
      <c r="AI42" s="5"/>
      <c r="AJ42" s="5"/>
      <c r="AL42" s="2"/>
      <c r="AM42" s="2"/>
    </row>
    <row r="43" spans="1:39" x14ac:dyDescent="0.2">
      <c r="A43" s="1"/>
      <c r="B43" s="1"/>
      <c r="D43" s="3"/>
      <c r="Q43" s="1"/>
      <c r="R43" s="1"/>
      <c r="S43" s="1"/>
      <c r="T43" s="1"/>
      <c r="W43" s="1"/>
      <c r="X43" s="1"/>
      <c r="Y43" s="1"/>
      <c r="Z43" s="1"/>
      <c r="AD43" s="1"/>
      <c r="AE43" s="1"/>
      <c r="AF43" s="1"/>
      <c r="AG43" s="1"/>
      <c r="AI43" s="5"/>
      <c r="AJ43" s="5"/>
      <c r="AL43" s="2"/>
      <c r="AM43" s="2"/>
    </row>
    <row r="44" spans="1:39" x14ac:dyDescent="0.2">
      <c r="A44" s="1"/>
      <c r="B44" s="1"/>
      <c r="D44" s="3"/>
      <c r="Q44" s="1"/>
      <c r="R44" s="1"/>
      <c r="S44" s="1"/>
      <c r="T44" s="1"/>
      <c r="W44" s="1"/>
      <c r="X44" s="1"/>
      <c r="Y44" s="1"/>
      <c r="Z44" s="1"/>
      <c r="AD44" s="1"/>
      <c r="AE44" s="1"/>
      <c r="AF44" s="1"/>
      <c r="AG44" s="1"/>
      <c r="AI44" s="5"/>
      <c r="AJ44" s="5"/>
      <c r="AL44" s="2"/>
      <c r="AM44" s="2"/>
    </row>
    <row r="45" spans="1:39" x14ac:dyDescent="0.2">
      <c r="A45" s="1"/>
      <c r="B45" s="1"/>
      <c r="D45" s="3"/>
      <c r="Q45" s="1"/>
      <c r="R45" s="1"/>
      <c r="S45" s="1"/>
      <c r="T45" s="1"/>
      <c r="W45" s="1"/>
      <c r="X45" s="1"/>
      <c r="Y45" s="1"/>
      <c r="Z45" s="1"/>
      <c r="AD45" s="1"/>
      <c r="AE45" s="1"/>
      <c r="AF45" s="1"/>
      <c r="AG45" s="1"/>
      <c r="AI45" s="5"/>
      <c r="AJ45" s="5"/>
      <c r="AL45" s="2"/>
      <c r="AM45" s="2"/>
    </row>
    <row r="46" spans="1:39" x14ac:dyDescent="0.2">
      <c r="A46" s="1"/>
      <c r="B46" s="1"/>
      <c r="D46" s="3"/>
      <c r="Q46" s="1"/>
      <c r="R46" s="1"/>
      <c r="S46" s="1"/>
      <c r="T46" s="1"/>
      <c r="W46" s="1"/>
      <c r="X46" s="1"/>
      <c r="Y46" s="1"/>
      <c r="Z46" s="1"/>
      <c r="AD46" s="1"/>
      <c r="AE46" s="1"/>
      <c r="AF46" s="1"/>
      <c r="AG46" s="1"/>
      <c r="AI46" s="5"/>
      <c r="AJ46" s="5"/>
      <c r="AL46" s="2"/>
      <c r="AM46" s="2"/>
    </row>
    <row r="47" spans="1:39" x14ac:dyDescent="0.2">
      <c r="A47" s="1"/>
      <c r="B47" s="1"/>
      <c r="D47" s="3"/>
      <c r="Q47" s="1"/>
      <c r="R47" s="1"/>
      <c r="S47" s="1"/>
      <c r="T47" s="1"/>
      <c r="W47" s="1"/>
      <c r="X47" s="1"/>
      <c r="Y47" s="1"/>
      <c r="Z47" s="1"/>
      <c r="AD47" s="1"/>
      <c r="AE47" s="1"/>
      <c r="AF47" s="1"/>
      <c r="AG47" s="1"/>
      <c r="AI47" s="5"/>
      <c r="AJ47" s="5"/>
      <c r="AL47" s="2"/>
      <c r="AM47" s="2"/>
    </row>
    <row r="48" spans="1:39" x14ac:dyDescent="0.2">
      <c r="A48" s="1"/>
      <c r="B48" s="1"/>
      <c r="D48" s="3"/>
      <c r="Q48" s="1"/>
      <c r="R48" s="1"/>
      <c r="S48" s="1"/>
      <c r="T48" s="1"/>
      <c r="W48" s="1"/>
      <c r="X48" s="1"/>
      <c r="Y48" s="1"/>
      <c r="Z48" s="1"/>
      <c r="AD48" s="1"/>
      <c r="AE48" s="1"/>
      <c r="AF48" s="1"/>
      <c r="AG48" s="1"/>
      <c r="AI48" s="5"/>
      <c r="AJ48" s="5"/>
      <c r="AL48" s="2"/>
      <c r="AM48" s="2"/>
    </row>
    <row r="49" spans="1:39" x14ac:dyDescent="0.2">
      <c r="A49" s="1"/>
      <c r="B49" s="1"/>
      <c r="D49" s="3"/>
      <c r="Q49" s="1"/>
      <c r="R49" s="1"/>
      <c r="S49" s="1"/>
      <c r="T49" s="1"/>
      <c r="W49" s="1"/>
      <c r="X49" s="1"/>
      <c r="Y49" s="1"/>
      <c r="Z49" s="1"/>
      <c r="AD49" s="1"/>
      <c r="AE49" s="1"/>
      <c r="AF49" s="1"/>
      <c r="AG49" s="1"/>
      <c r="AI49" s="5"/>
      <c r="AJ49" s="5"/>
      <c r="AL49" s="2"/>
      <c r="AM49" s="2"/>
    </row>
    <row r="50" spans="1:39" x14ac:dyDescent="0.2">
      <c r="A50" s="1"/>
      <c r="B50" s="1"/>
      <c r="D50" s="3"/>
      <c r="Q50" s="1"/>
      <c r="R50" s="1"/>
      <c r="S50" s="1"/>
      <c r="T50" s="1"/>
      <c r="W50" s="1"/>
      <c r="X50" s="1"/>
      <c r="Y50" s="1"/>
      <c r="Z50" s="1"/>
      <c r="AD50" s="1"/>
      <c r="AE50" s="1"/>
      <c r="AF50" s="1"/>
      <c r="AG50" s="1"/>
      <c r="AI50" s="5"/>
      <c r="AJ50" s="5"/>
      <c r="AL50" s="2"/>
      <c r="AM50" s="2"/>
    </row>
    <row r="51" spans="1:39" x14ac:dyDescent="0.2">
      <c r="A51" s="1"/>
      <c r="B51" s="1"/>
      <c r="D51" s="3"/>
      <c r="Q51" s="1"/>
      <c r="R51" s="1"/>
      <c r="S51" s="1"/>
      <c r="T51" s="1"/>
      <c r="W51" s="1"/>
      <c r="X51" s="1"/>
      <c r="Y51" s="1"/>
      <c r="Z51" s="1"/>
      <c r="AD51" s="1"/>
      <c r="AE51" s="1"/>
      <c r="AF51" s="1"/>
      <c r="AG51" s="1"/>
      <c r="AI51" s="5"/>
      <c r="AJ51" s="5"/>
      <c r="AL51" s="2"/>
      <c r="AM51" s="2"/>
    </row>
    <row r="52" spans="1:39" x14ac:dyDescent="0.2">
      <c r="D52" s="3"/>
    </row>
    <row r="53" spans="1:39" x14ac:dyDescent="0.2">
      <c r="D53" s="3"/>
    </row>
    <row r="54" spans="1:39" x14ac:dyDescent="0.2">
      <c r="D54" s="3"/>
    </row>
    <row r="55" spans="1:39" x14ac:dyDescent="0.2">
      <c r="D55" s="3"/>
    </row>
    <row r="56" spans="1:39" x14ac:dyDescent="0.2">
      <c r="D56" s="3"/>
    </row>
    <row r="57" spans="1:39" x14ac:dyDescent="0.2">
      <c r="D57" s="3"/>
    </row>
    <row r="58" spans="1:39" x14ac:dyDescent="0.2">
      <c r="D58" s="3"/>
    </row>
    <row r="59" spans="1:39" x14ac:dyDescent="0.2">
      <c r="D59" s="3"/>
    </row>
    <row r="60" spans="1:39" x14ac:dyDescent="0.2">
      <c r="D60" s="3"/>
    </row>
    <row r="61" spans="1:39" x14ac:dyDescent="0.2">
      <c r="D61" s="3"/>
    </row>
    <row r="62" spans="1:39" x14ac:dyDescent="0.2">
      <c r="D62" s="3"/>
    </row>
    <row r="63" spans="1:39" x14ac:dyDescent="0.2">
      <c r="D63" s="3"/>
    </row>
    <row r="64" spans="1:39" x14ac:dyDescent="0.2">
      <c r="D64" s="3"/>
    </row>
    <row r="65" spans="4:4" x14ac:dyDescent="0.2">
      <c r="D65" s="3"/>
    </row>
    <row r="66" spans="4:4" x14ac:dyDescent="0.2">
      <c r="D66" s="3"/>
    </row>
    <row r="67" spans="4:4" x14ac:dyDescent="0.2">
      <c r="D67" s="3"/>
    </row>
    <row r="68" spans="4:4" x14ac:dyDescent="0.2">
      <c r="D68" s="3"/>
    </row>
    <row r="69" spans="4:4" x14ac:dyDescent="0.2">
      <c r="D69" s="3"/>
    </row>
    <row r="70" spans="4:4" x14ac:dyDescent="0.2">
      <c r="D70" s="3"/>
    </row>
    <row r="71" spans="4:4" x14ac:dyDescent="0.2">
      <c r="D71" s="3"/>
    </row>
    <row r="72" spans="4:4" x14ac:dyDescent="0.2">
      <c r="D72" s="3"/>
    </row>
    <row r="73" spans="4:4" x14ac:dyDescent="0.2">
      <c r="D73" s="3"/>
    </row>
    <row r="74" spans="4:4" x14ac:dyDescent="0.2">
      <c r="D74" s="3"/>
    </row>
    <row r="75" spans="4:4" x14ac:dyDescent="0.2">
      <c r="D75" s="3"/>
    </row>
    <row r="76" spans="4:4" x14ac:dyDescent="0.2">
      <c r="D76" s="3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V5 V12 V19 V26 AB5 AB12 AB19 AB26 AK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ANASSA - July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2024-08-06T06:42:18Z</dcterms:modified>
  <cp:category/>
  <cp:contentStatus/>
</cp:coreProperties>
</file>