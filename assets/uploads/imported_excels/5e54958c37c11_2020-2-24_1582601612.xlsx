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<sst xmlns="http://schemas.openxmlformats.org/spreadsheetml/2006/main" count="296" uniqueCount="138">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</sst>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Submetering!E6+Submetering!F6+Submetering!G6+Submetering!H6-Submetering!AV6</f>
        <v>10610.000000000291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Submetering!E7+Submetering!F7+Submetering!G7+Submetering!H7-Submetering!AV7</f>
        <v>9749.9999999995543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Submetering!E8+Submetering!F8+Submetering!G8+Submetering!H8-Submetering!AV8</f>
        <v>9470.0000000000127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Submetering!E9+Submetering!F9+Submetering!G9+Submetering!H9-Submetering!AV9</f>
        <v>10000.000000000176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2020</v>
      </c>
      <c r="E10" s="12">
        <f>Submetering!E10+Submetering!F10+Submetering!G10+Submetering!H10-Submetering!AV10</f>
        <v>10030.000000000338</v>
      </c>
      <c r="F10" s="11">
        <f t="shared" si="1"/>
        <v>0.58765030286592534</v>
      </c>
      <c r="G10" s="12">
        <f>(Submetering!AX10+Submetering!AY10+Submetering!AZ10+Submetering!BA10+Submetering!BB10)</f>
        <v>25.640999999999998</v>
      </c>
      <c r="H10" s="11">
        <f t="shared" si="2"/>
        <v>0.99</v>
      </c>
      <c r="I10" s="12">
        <f>'FS Desroches Daily'!CM12</f>
        <v>75.5</v>
      </c>
      <c r="J10" s="11">
        <f t="shared" si="3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Submetering!E11+Submetering!F11+Submetering!G11+Submetering!H11-Submetering!AV11</f>
        <v>10779.999999999472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78.599999999999994</v>
      </c>
      <c r="J11" s="11">
        <f t="shared" si="3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Submetering!E12+Submetering!F12+Submetering!G12+Submetering!H12-Submetering!AV12</f>
        <v>11189.999999999985</v>
      </c>
      <c r="F12" s="11">
        <f t="shared" si="1"/>
        <v>0.58765030286592534</v>
      </c>
      <c r="G12" s="12">
        <f>(Submetering!AX12+Submetering!AY12+Submetering!AZ12+Submetering!BA12+Submetering!BB12)</f>
        <v>21.977999999999998</v>
      </c>
      <c r="H12" s="11">
        <f t="shared" si="2"/>
        <v>0.99</v>
      </c>
      <c r="I12" s="12">
        <f>'FS Desroches Daily'!CM14</f>
        <v>85.9</v>
      </c>
      <c r="J12" s="11">
        <f t="shared" si="3"/>
        <v>10.487297712684205</v>
      </c>
      <c r="K12" s="13">
        <f>'FS Desroches Daily'!CN14</f>
        <v>57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Submetering!E13+Submetering!F13+Submetering!G13+Submetering!H13-Submetering!AV13</f>
        <v>11599.999999999778</v>
      </c>
      <c r="F13" s="11">
        <f t="shared" si="1"/>
        <v>0.58765030286592534</v>
      </c>
      <c r="G13" s="12">
        <f>(Submetering!AX13+Submetering!AY13+Submetering!AZ13+Submetering!BA13+Submetering!BB13)</f>
        <v>29.303999999999998</v>
      </c>
      <c r="H13" s="11">
        <f t="shared" si="2"/>
        <v>0.99</v>
      </c>
      <c r="I13" s="12">
        <f>'FS Desroches Daily'!CM15</f>
        <v>105</v>
      </c>
      <c r="J13" s="11">
        <f t="shared" si="3"/>
        <v>10.487297712684205</v>
      </c>
      <c r="K13" s="13">
        <f>'FS Desroches Daily'!CN15</f>
        <v>82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2020</v>
      </c>
      <c r="E14" s="12">
        <f>Submetering!E14+Submetering!F14+Submetering!G14+Submetering!H14-Submetering!AV14</f>
        <v>11849.999999999944</v>
      </c>
      <c r="F14" s="11">
        <f t="shared" si="1"/>
        <v>0.58765030286592534</v>
      </c>
      <c r="G14" s="12">
        <f>(Submetering!AX14+Submetering!AY14+Submetering!AZ14+Submetering!BA14+Submetering!BB14)</f>
        <v>27.472499999999997</v>
      </c>
      <c r="H14" s="11">
        <f t="shared" si="2"/>
        <v>0.99</v>
      </c>
      <c r="I14" s="12">
        <f>'FS Desroches Daily'!CM16</f>
        <v>110.8</v>
      </c>
      <c r="J14" s="11">
        <f t="shared" si="3"/>
        <v>10.487297712684205</v>
      </c>
      <c r="K14" s="13">
        <f>'FS Desroches Daily'!CN16</f>
        <v>61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Submetering!E15+Submetering!F15+Submetering!G15+Submetering!H15-Submetering!AV15</f>
        <v>10990.000000000598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110</v>
      </c>
      <c r="J15" s="11">
        <f t="shared" si="3"/>
        <v>10.487297712684205</v>
      </c>
      <c r="K15" s="13">
        <f>'FS Desroches Daily'!CN17</f>
        <v>61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2020</v>
      </c>
      <c r="E16" s="12">
        <f>Submetering!E16+Submetering!F16+Submetering!G16+Submetering!H16-Submetering!AV16</f>
        <v>11310.000000000178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96</v>
      </c>
      <c r="J16" s="11">
        <f t="shared" si="3"/>
        <v>10.487297712684205</v>
      </c>
      <c r="K16" s="13">
        <f>'FS Desroches Daily'!CN18</f>
        <v>66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Submetering!E17+Submetering!F17+Submetering!G17+Submetering!H17-Submetering!AV17</f>
        <v>12849.999999999834</v>
      </c>
      <c r="F17" s="11">
        <f t="shared" si="1"/>
        <v>0.58765030286592534</v>
      </c>
      <c r="G17" s="12">
        <f>(Submetering!AX17+Submetering!AY17+Submetering!AZ17+Submetering!BA17+Submetering!BB17)</f>
        <v>38.461499999999994</v>
      </c>
      <c r="H17" s="11">
        <f t="shared" si="2"/>
        <v>0.99</v>
      </c>
      <c r="I17" s="12">
        <f>'FS Desroches Daily'!CM19</f>
        <v>100.7</v>
      </c>
      <c r="J17" s="11">
        <f t="shared" si="3"/>
        <v>10.487297712684205</v>
      </c>
      <c r="K17" s="13">
        <f>'FS Desroches Daily'!CN19</f>
        <v>62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2020</v>
      </c>
      <c r="E18" s="12">
        <f>Submetering!E18+Submetering!F18+Submetering!G18+Submetering!H18-Submetering!AV18</f>
        <v>12839.999999999876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118.4</v>
      </c>
      <c r="J18" s="11">
        <f t="shared" si="3"/>
        <v>10.487297712684205</v>
      </c>
      <c r="K18" s="13">
        <f>'FS Desroches Daily'!CN20</f>
        <v>57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2020</v>
      </c>
      <c r="E19" s="12">
        <f>Submetering!E19+Submetering!F19+Submetering!G19+Submetering!H19-Submetering!AV19</f>
        <v>12430.000000000038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113</v>
      </c>
      <c r="J19" s="11">
        <f t="shared" si="3"/>
        <v>10.487297712684205</v>
      </c>
      <c r="K19" s="13">
        <f>'FS Desroches Daily'!CN21</f>
        <v>56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2020</v>
      </c>
      <c r="E20" s="12">
        <f>Submetering!E20+Submetering!F20+Submetering!G20+Submetering!H20-Submetering!AV20</f>
        <v>13520.00000000004</v>
      </c>
      <c r="F20" s="11">
        <f t="shared" si="1"/>
        <v>0.58765030286592534</v>
      </c>
      <c r="G20" s="12">
        <f>(Submetering!AX20+Submetering!AY20+Submetering!AZ20+Submetering!BA20+Submetering!BB20)</f>
        <v>31.135499999999997</v>
      </c>
      <c r="H20" s="11">
        <f t="shared" si="2"/>
        <v>0.99</v>
      </c>
      <c r="I20" s="12">
        <f>'FS Desroches Daily'!CM22</f>
        <v>124.2</v>
      </c>
      <c r="J20" s="11">
        <f t="shared" si="3"/>
        <v>10.487297712684205</v>
      </c>
      <c r="K20" s="13">
        <f>'FS Desroches Daily'!CN22</f>
        <v>56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2020</v>
      </c>
      <c r="E21" s="12">
        <f>Submetering!E21+Submetering!F21+Submetering!G21+Submetering!H21-Submetering!AV21</f>
        <v>13329.999999999833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109.4</v>
      </c>
      <c r="J21" s="11">
        <f t="shared" si="3"/>
        <v>10.487297712684205</v>
      </c>
      <c r="K21" s="13">
        <f>'FS Desroches Daily'!CN23</f>
        <v>58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Submetering!E22+Submetering!F22+Submetering!G22+Submetering!H22-Submetering!AV22</f>
        <v>13309.999999999958</v>
      </c>
      <c r="F22" s="11">
        <f t="shared" si="1"/>
        <v>0.58765030286592534</v>
      </c>
      <c r="G22" s="12">
        <f>(Submetering!AX22+Submetering!AY22+Submetering!AZ22+Submetering!BA22+Submetering!BB22)</f>
        <v>27.4725</v>
      </c>
      <c r="H22" s="11">
        <f t="shared" si="2"/>
        <v>0.99</v>
      </c>
      <c r="I22" s="12">
        <f>'FS Desroches Daily'!CM24</f>
        <v>110</v>
      </c>
      <c r="J22" s="11">
        <f t="shared" si="3"/>
        <v>10.487297712684205</v>
      </c>
      <c r="K22" s="13">
        <f>'FS Desroches Daily'!CN24</f>
        <v>62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2020</v>
      </c>
      <c r="E23" s="12">
        <f>Submetering!E23+Submetering!F23+Submetering!G23+Submetering!H23-Submetering!AV23</f>
        <v>12690.000000000264</v>
      </c>
      <c r="F23" s="11">
        <f t="shared" si="1"/>
        <v>0.58765030286592534</v>
      </c>
      <c r="G23" s="12">
        <f>(Submetering!AX23+Submetering!AY23+Submetering!AZ23+Submetering!BA23+Submetering!BB23)</f>
        <v>29.303999999999995</v>
      </c>
      <c r="H23" s="11">
        <f t="shared" si="2"/>
        <v>0.99</v>
      </c>
      <c r="I23" s="12">
        <f>'FS Desroches Daily'!CM25</f>
        <v>105</v>
      </c>
      <c r="J23" s="11">
        <f t="shared" si="3"/>
        <v>10.487297712684205</v>
      </c>
      <c r="K23" s="13">
        <f>'FS Desroches Daily'!CN25</f>
        <v>49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Submetering!E24+Submetering!F24+Submetering!G24+Submetering!H24-Submetering!AV24</f>
        <v>14099.99999999996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110</v>
      </c>
      <c r="J24" s="11">
        <f t="shared" si="3"/>
        <v>10.487297712684205</v>
      </c>
      <c r="K24" s="13">
        <f>'FS Desroches Daily'!CN26</f>
        <v>48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2020</v>
      </c>
      <c r="E25" s="12">
        <f>Submetering!E25+Submetering!F25+Submetering!G25+Submetering!H25-Submetering!AV25</f>
        <v>12840.000000000098</v>
      </c>
      <c r="F25" s="11">
        <f t="shared" si="1"/>
        <v>0.58765030286592534</v>
      </c>
      <c r="G25" s="12">
        <f>(Submetering!AX25+Submetering!AY25+Submetering!AZ25+Submetering!BA25+Submetering!BB25)</f>
        <v>27.472499999999997</v>
      </c>
      <c r="H25" s="11">
        <f t="shared" si="2"/>
        <v>0.99</v>
      </c>
      <c r="I25" s="12">
        <f>'FS Desroches Daily'!CM27</f>
        <v>111</v>
      </c>
      <c r="J25" s="11">
        <f t="shared" si="3"/>
        <v>10.487297712684205</v>
      </c>
      <c r="K25" s="13">
        <f>'FS Desroches Daily'!CN27</f>
        <v>52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2020</v>
      </c>
      <c r="E26" s="12" t="e">
        <f>Submetering!E26+Submetering!F26+Submetering!G26+Submetering!H26-Submetering!AV26</f>
        <v>#VALUE!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2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2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B1" workbookViewId="0">
      <selection activeCell="AV7" sqref="AV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409.99999999996817</v>
      </c>
      <c r="P7" s="35">
        <f>'FS Desroches Daily'!Z9</f>
        <v>3400.0000000000696</v>
      </c>
      <c r="Q7" s="35">
        <f>'FS Desroches Daily'!AB9</f>
        <v>580.00000000004093</v>
      </c>
      <c r="R7" s="35">
        <f>'FS Desroches Daily'!AD9</f>
        <v>370.00000000000455</v>
      </c>
      <c r="S7" s="35">
        <f>'FS Desroches Daily'!AF9</f>
        <v>820.00000000005002</v>
      </c>
      <c r="T7" s="35">
        <f>'FS Desroches Daily'!AH9</f>
        <v>1.5</v>
      </c>
      <c r="U7" s="39">
        <f>'FS Desroches Daily'!AJ9</f>
        <v>480.00000000001819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179.99999999994998</v>
      </c>
      <c r="AA7" s="39">
        <f>'FS Desroches Daily'!AT9</f>
        <v>179.99999999994998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>
        <f>'FS Desroches Daily'!T11</f>
        <v>1249</v>
      </c>
      <c r="N9" s="35">
        <f>'FS Desroches Daily'!V11</f>
        <v>574</v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0.19999999999998863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2</v>
      </c>
      <c r="D10" s="31">
        <v>2020</v>
      </c>
      <c r="E10" s="35">
        <f>'FS Desroches Daily'!D12</f>
        <v>2299.9999999999686</v>
      </c>
      <c r="F10" s="36">
        <f>'FS Desroches Daily'!F12</f>
        <v>3700.0000000002588</v>
      </c>
      <c r="G10" s="35">
        <f>'FS Desroches Daily'!H12</f>
        <v>3000.0000000001137</v>
      </c>
      <c r="H10" s="36">
        <f>'FS Desroches Daily'!J12</f>
        <v>1600.0000000000459</v>
      </c>
      <c r="I10" s="35">
        <f>'FS Desroches Daily'!L12</f>
        <v>2000.0000000000018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1200</v>
      </c>
      <c r="N10" s="35">
        <f>'FS Desroches Daily'!V12</f>
        <v>412</v>
      </c>
      <c r="O10" s="35">
        <f>'FS Desroches Daily'!X12</f>
        <v>480.00000000001819</v>
      </c>
      <c r="P10" s="35">
        <f>'FS Desroches Daily'!Z12</f>
        <v>3299.9999999998586</v>
      </c>
      <c r="Q10" s="35">
        <f>'FS Desroches Daily'!AB12</f>
        <v>550.00000000001137</v>
      </c>
      <c r="R10" s="35">
        <f>'FS Desroches Daily'!AD12</f>
        <v>560.00000000000227</v>
      </c>
      <c r="S10" s="35">
        <f>'FS Desroches Daily'!AF12</f>
        <v>1049.9999999999545</v>
      </c>
      <c r="T10" s="35">
        <f>'FS Desroches Daily'!AH12</f>
        <v>1.7000000000000455</v>
      </c>
      <c r="U10" s="39">
        <f>'FS Desroches Daily'!AJ12</f>
        <v>430.00000000000682</v>
      </c>
      <c r="V10" s="39">
        <f>'FS Desroches Daily'!AL12</f>
        <v>0.28000000000000114</v>
      </c>
      <c r="W10" s="39">
        <f>'FS Desroches Daily'!AN12</f>
        <v>0.24000000000000909</v>
      </c>
      <c r="X10" s="39">
        <f>'FS Desroches Daily'!AP12</f>
        <v>0.20999999999999375</v>
      </c>
      <c r="Y10" s="39">
        <f>'FS Desroches Daily'!AR12</f>
        <v>170.00000000001592</v>
      </c>
      <c r="Z10" s="39">
        <f>'FS Desroches Daily'!AT12</f>
        <v>220.00000000002728</v>
      </c>
      <c r="AA10" s="39">
        <f>'FS Desroches Daily'!AT12</f>
        <v>220.00000000002728</v>
      </c>
      <c r="AB10" s="39">
        <f>'FS Desroches Daily'!AV12</f>
        <v>199.99999999998863</v>
      </c>
      <c r="AC10" s="39">
        <f>'FS Desroches Daily'!AZ12</f>
        <v>189.99999999999773</v>
      </c>
      <c r="AD10" s="39">
        <f>'FS Desroches Daily'!BB12</f>
        <v>60.000000000002274</v>
      </c>
      <c r="AE10" s="39">
        <f>'FS Desroches Daily'!BD12</f>
        <v>0</v>
      </c>
      <c r="AF10" s="35">
        <f>'FS Desroches Daily'!BF12</f>
        <v>46</v>
      </c>
      <c r="AG10" s="36">
        <f>'FS Desroches Daily'!BH12</f>
        <v>50.000000000011369</v>
      </c>
      <c r="AH10" s="36">
        <f>'FS Desroches Daily'!BJ12</f>
        <v>49.999999999954525</v>
      </c>
      <c r="AI10" s="36">
        <f>'FS Desroches Daily'!BL12</f>
        <v>60.000000000002274</v>
      </c>
      <c r="AJ10" s="36">
        <f>'FS Desroches Daily'!BN12</f>
        <v>60.000000000002274</v>
      </c>
      <c r="AK10" s="36">
        <f>'FS Desroches Daily'!BP12</f>
        <v>49.999999999954525</v>
      </c>
      <c r="AL10" s="36">
        <f>'FS Desroches Daily'!BR12</f>
        <v>47</v>
      </c>
      <c r="AM10" s="36">
        <f>'FS Desroches Daily'!BT12</f>
        <v>50.000000000011369</v>
      </c>
      <c r="AN10" s="36">
        <f>'FS Desroches Daily'!BV12</f>
        <v>49</v>
      </c>
      <c r="AO10" s="36">
        <f>'FS Desroches Daily'!BX12</f>
        <v>59.999999999973852</v>
      </c>
      <c r="AP10" s="36">
        <f>'FS Desroches Daily'!BZ12</f>
        <v>76</v>
      </c>
      <c r="AQ10" s="35">
        <f>'FS Desroches Daily'!CB12</f>
        <v>33.600000000002183</v>
      </c>
      <c r="AR10" s="35">
        <f>'FS Desroches Daily'!CD12</f>
        <v>8.1000000000003638</v>
      </c>
      <c r="AS10" s="35">
        <f>'FS Desroches Daily'!CF12</f>
        <v>9.9000000000005457</v>
      </c>
      <c r="AT10" s="35">
        <f>'FS Desroches Daily'!CH12</f>
        <v>65.5</v>
      </c>
      <c r="AU10" s="35">
        <f>'FS Desroches Daily'!CJ12</f>
        <v>301</v>
      </c>
      <c r="AV10" s="35">
        <f>'FS Desroches Daily'!CL12</f>
        <v>570.00000000005002</v>
      </c>
      <c r="AW10" s="35">
        <f>'FS Desroches Daily'!CM12</f>
        <v>75.5</v>
      </c>
      <c r="AX10" s="35">
        <f>IF(LPG!F17-LPG!F16&lt;0,"0",(LPG!F17-LPG!F16)*1.8315)</f>
        <v>12.820499999999999</v>
      </c>
      <c r="AY10" s="35">
        <f>IF(LPG!H17-LPG!H16&lt;0,"0",(LPG!H17-LPG!H16)*1.8315)</f>
        <v>1.8314999999999999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42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2699.9999999999245</v>
      </c>
      <c r="F11" s="36">
        <f>'FS Desroches Daily'!F13</f>
        <v>3899.9999999997926</v>
      </c>
      <c r="G11" s="35">
        <f>'FS Desroches Daily'!H13</f>
        <v>2999.9999999996694</v>
      </c>
      <c r="H11" s="36">
        <f>'FS Desroches Daily'!J13</f>
        <v>1600.0000000000459</v>
      </c>
      <c r="I11" s="35">
        <f>'FS Desroches Daily'!L13</f>
        <v>2099.9999999999909</v>
      </c>
      <c r="J11" s="36">
        <f>'FS Desroches Daily'!N13</f>
        <v>2000.0000000000018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1124</v>
      </c>
      <c r="N11" s="35">
        <f>'FS Desroches Daily'!V13</f>
        <v>459</v>
      </c>
      <c r="O11" s="35">
        <f>'FS Desroches Daily'!X13</f>
        <v>449.99999999998863</v>
      </c>
      <c r="P11" s="35">
        <f>'FS Desroches Daily'!Z13</f>
        <v>3600.0000000000477</v>
      </c>
      <c r="Q11" s="35">
        <f>'FS Desroches Daily'!AB13</f>
        <v>620.00000000000455</v>
      </c>
      <c r="R11" s="35">
        <f>'FS Desroches Daily'!AD13</f>
        <v>439.99999999999773</v>
      </c>
      <c r="S11" s="35">
        <f>'FS Desroches Daily'!AF13</f>
        <v>1000</v>
      </c>
      <c r="T11" s="35">
        <f>'FS Desroches Daily'!AH13</f>
        <v>1.8999999999998636</v>
      </c>
      <c r="U11" s="39">
        <f>'FS Desroches Daily'!AJ13</f>
        <v>199.99999999998863</v>
      </c>
      <c r="V11" s="39">
        <f>'FS Desroches Daily'!AL13</f>
        <v>0.31999999999999318</v>
      </c>
      <c r="W11" s="39">
        <f>'FS Desroches Daily'!AN13</f>
        <v>0.31000000000000227</v>
      </c>
      <c r="X11" s="39">
        <f>'FS Desroches Daily'!AP13</f>
        <v>0.25999999999999091</v>
      </c>
      <c r="Y11" s="39">
        <f>'FS Desroches Daily'!AR13</f>
        <v>250</v>
      </c>
      <c r="Z11" s="39">
        <f>'FS Desroches Daily'!AT13</f>
        <v>349.99999999996589</v>
      </c>
      <c r="AA11" s="39">
        <f>'FS Desroches Daily'!AT13</f>
        <v>349.99999999996589</v>
      </c>
      <c r="AB11" s="39">
        <f>'FS Desroches Daily'!AV13</f>
        <v>280.00000000000114</v>
      </c>
      <c r="AC11" s="39">
        <f>'FS Desroches Daily'!AZ13</f>
        <v>310.00000000000227</v>
      </c>
      <c r="AD11" s="39">
        <f>'FS Desroches Daily'!BB13</f>
        <v>60.000000000002274</v>
      </c>
      <c r="AE11" s="39">
        <f>'FS Desroches Daily'!BD13</f>
        <v>9.9999999999909051</v>
      </c>
      <c r="AF11" s="35">
        <f>'FS Desroches Daily'!BF13</f>
        <v>73</v>
      </c>
      <c r="AG11" s="36">
        <f>'FS Desroches Daily'!BH13</f>
        <v>30.000000000001137</v>
      </c>
      <c r="AH11" s="36">
        <f>'FS Desroches Daily'!BJ13</f>
        <v>40.000000000020464</v>
      </c>
      <c r="AI11" s="36">
        <f>'FS Desroches Daily'!BL13</f>
        <v>30.000000000001137</v>
      </c>
      <c r="AJ11" s="36">
        <f>'FS Desroches Daily'!BN13</f>
        <v>30.000000000001137</v>
      </c>
      <c r="AK11" s="36">
        <f>'FS Desroches Daily'!BP13</f>
        <v>30.000000000029559</v>
      </c>
      <c r="AL11" s="36">
        <f>'FS Desroches Daily'!BR13</f>
        <v>35</v>
      </c>
      <c r="AM11" s="36">
        <f>'FS Desroches Daily'!BT13</f>
        <v>49.999999999982947</v>
      </c>
      <c r="AN11" s="36">
        <f>'FS Desroches Daily'!BV13</f>
        <v>36</v>
      </c>
      <c r="AO11" s="36">
        <f>'FS Desroches Daily'!BX13</f>
        <v>40.000000000020464</v>
      </c>
      <c r="AP11" s="36">
        <f>'FS Desroches Daily'!BZ13</f>
        <v>55</v>
      </c>
      <c r="AQ11" s="35">
        <f>'FS Desroches Daily'!CB13</f>
        <v>30.799999999999272</v>
      </c>
      <c r="AR11" s="35">
        <f>'FS Desroches Daily'!CD13</f>
        <v>7.7000000000007276</v>
      </c>
      <c r="AS11" s="35">
        <f>'FS Desroches Daily'!CF13</f>
        <v>11.899999999999636</v>
      </c>
      <c r="AT11" s="35">
        <f>'FS Desroches Daily'!CH13</f>
        <v>161.40000000000146</v>
      </c>
      <c r="AU11" s="35">
        <f>'FS Desroches Daily'!CJ13</f>
        <v>299</v>
      </c>
      <c r="AV11" s="35">
        <f>'FS Desroches Daily'!CL13</f>
        <v>419.99999999995907</v>
      </c>
      <c r="AW11" s="35">
        <f>'FS Desroches Daily'!CM13</f>
        <v>78.599999999999994</v>
      </c>
      <c r="AX11" s="35">
        <f>IF(LPG!F18-LPG!F17&lt;0,"0",(LPG!F18-LPG!F17)*1.8315)</f>
        <v>16.483499999999999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5.4944999999999995</v>
      </c>
      <c r="BB11" s="35">
        <f>IF(LPG!Q18-LPG!Q17&lt;0,"0",(LPG!Q18-LPG!Q17)*1.8315)</f>
        <v>5.4944999999999995</v>
      </c>
      <c r="BC11" s="13">
        <f>'FS Desroches Daily'!CN13</f>
        <v>51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3200.0000000000919</v>
      </c>
      <c r="F12" s="36">
        <f>'FS Desroches Daily'!F14</f>
        <v>3600.0000000000477</v>
      </c>
      <c r="G12" s="35">
        <f>'FS Desroches Daily'!H14</f>
        <v>3400.0000000000696</v>
      </c>
      <c r="H12" s="36">
        <f>'FS Desroches Daily'!J14</f>
        <v>1699.9999999998129</v>
      </c>
      <c r="I12" s="35">
        <f>'FS Desroches Daily'!L14</f>
        <v>2099.9999999999909</v>
      </c>
      <c r="J12" s="36">
        <f>'FS Desroches Daily'!N14</f>
        <v>2099.9999999999909</v>
      </c>
      <c r="K12" s="13">
        <f>'FS Desroches Daily'!P14</f>
        <v>20</v>
      </c>
      <c r="L12" s="35">
        <f>'FS Desroches Daily'!R14</f>
        <v>9</v>
      </c>
      <c r="M12" s="35">
        <f>'FS Desroches Daily'!T14</f>
        <v>1121</v>
      </c>
      <c r="N12" s="35">
        <f>'FS Desroches Daily'!V14</f>
        <v>468</v>
      </c>
      <c r="O12" s="35">
        <f>'FS Desroches Daily'!X14</f>
        <v>410.00000000002501</v>
      </c>
      <c r="P12" s="35">
        <f>'FS Desroches Daily'!Z14</f>
        <v>3099.9999999998809</v>
      </c>
      <c r="Q12" s="35">
        <f>'FS Desroches Daily'!AB14</f>
        <v>519.99999999998181</v>
      </c>
      <c r="R12" s="35">
        <f>'FS Desroches Daily'!AD14</f>
        <v>470.00000000002728</v>
      </c>
      <c r="S12" s="35">
        <f>'FS Desroches Daily'!AF14</f>
        <v>960.00000000003638</v>
      </c>
      <c r="T12" s="35">
        <f>'FS Desroches Daily'!AH14</f>
        <v>1.7999999999999545</v>
      </c>
      <c r="U12" s="39">
        <f>'FS Desroches Daily'!AJ14</f>
        <v>389.99999999998636</v>
      </c>
      <c r="V12" s="39">
        <f>'FS Desroches Daily'!AL14</f>
        <v>0.28000000000000114</v>
      </c>
      <c r="W12" s="39">
        <f>'FS Desroches Daily'!AN14</f>
        <v>0.26999999999998181</v>
      </c>
      <c r="X12" s="39">
        <f>'FS Desroches Daily'!AP14</f>
        <v>0.23000000000001819</v>
      </c>
      <c r="Y12" s="39">
        <f>'FS Desroches Daily'!AR14</f>
        <v>229.99999999998977</v>
      </c>
      <c r="Z12" s="39">
        <f>'FS Desroches Daily'!AT14</f>
        <v>270.00000000003865</v>
      </c>
      <c r="AA12" s="39">
        <f>'FS Desroches Daily'!AT14</f>
        <v>270.00000000003865</v>
      </c>
      <c r="AB12" s="39">
        <f>'FS Desroches Daily'!AV14</f>
        <v>320.0000000000216</v>
      </c>
      <c r="AC12" s="39">
        <f>'FS Desroches Daily'!AZ14</f>
        <v>240.00000000000909</v>
      </c>
      <c r="AD12" s="39">
        <f>'FS Desroches Daily'!BB14</f>
        <v>189.99999999999773</v>
      </c>
      <c r="AE12" s="39">
        <f>'FS Desroches Daily'!BD14</f>
        <v>10.000000000019327</v>
      </c>
      <c r="AF12" s="35">
        <f>'FS Desroches Daily'!BF14</f>
        <v>71</v>
      </c>
      <c r="AG12" s="36">
        <f>'FS Desroches Daily'!BH14</f>
        <v>50.000000000011369</v>
      </c>
      <c r="AH12" s="36">
        <f>'FS Desroches Daily'!BJ14</f>
        <v>50.000000000011369</v>
      </c>
      <c r="AI12" s="36">
        <f>'FS Desroches Daily'!BL14</f>
        <v>60.000000000002274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56</v>
      </c>
      <c r="AM12" s="36">
        <f>'FS Desroches Daily'!BT14</f>
        <v>60.000000000002274</v>
      </c>
      <c r="AN12" s="36">
        <f>'FS Desroches Daily'!BV14</f>
        <v>53</v>
      </c>
      <c r="AO12" s="36">
        <f>'FS Desroches Daily'!BX14</f>
        <v>60.000000000002274</v>
      </c>
      <c r="AP12" s="36">
        <f>'FS Desroches Daily'!BZ14</f>
        <v>64</v>
      </c>
      <c r="AQ12" s="35">
        <f>'FS Desroches Daily'!CB14</f>
        <v>31.799999999999272</v>
      </c>
      <c r="AR12" s="35">
        <f>'FS Desroches Daily'!CD14</f>
        <v>11.5</v>
      </c>
      <c r="AS12" s="35">
        <f>'FS Desroches Daily'!CF14</f>
        <v>0.9000000000005457</v>
      </c>
      <c r="AT12" s="35">
        <f>'FS Desroches Daily'!CH14</f>
        <v>97</v>
      </c>
      <c r="AU12" s="35">
        <f>'FS Desroches Daily'!CJ14</f>
        <v>329</v>
      </c>
      <c r="AV12" s="35">
        <f>'FS Desroches Daily'!CL14</f>
        <v>710.00000000003638</v>
      </c>
      <c r="AW12" s="35">
        <f>'FS Desroches Daily'!CM14</f>
        <v>85.9</v>
      </c>
      <c r="AX12" s="35">
        <f>IF(LPG!F19-LPG!F18&lt;0,"0",(LPG!F19-LPG!F18)*1.8315)</f>
        <v>12.820499999999999</v>
      </c>
      <c r="AY12" s="35">
        <f>IF(LPG!H19-LPG!H18&lt;0,"0",(LPG!H19-LPG!H18)*1.8315)</f>
        <v>1.8314999999999999</v>
      </c>
      <c r="AZ12" s="35">
        <f>IF(LPG!J19-LPG!J18&lt;0,"0",(LPG!J19-LPG!J18)*1.8315)</f>
        <v>0</v>
      </c>
      <c r="BA12" s="35">
        <f>IF(LPG!M19-LPG!M18&lt;0,"0",(LPG!M19-LPG!M18)*1.8315)</f>
        <v>3.6629999999999998</v>
      </c>
      <c r="BB12" s="35">
        <f>IF(LPG!Q19-LPG!Q18&lt;0,"0",(LPG!Q19-LPG!Q18)*1.8315)</f>
        <v>3.6629999999999998</v>
      </c>
      <c r="BC12" s="13">
        <f>'FS Desroches Daily'!CN14</f>
        <v>57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3200.0000000000919</v>
      </c>
      <c r="F13" s="36">
        <f>'FS Desroches Daily'!F15</f>
        <v>3899.9999999997926</v>
      </c>
      <c r="G13" s="35">
        <f>'FS Desroches Daily'!H15</f>
        <v>3299.9999999998586</v>
      </c>
      <c r="H13" s="36">
        <f>'FS Desroches Daily'!J15</f>
        <v>1700.0000000000348</v>
      </c>
      <c r="I13" s="35">
        <f>'FS Desroches Daily'!L15</f>
        <v>2400.0000000001796</v>
      </c>
      <c r="J13" s="36">
        <f>'FS Desroches Daily'!N15</f>
        <v>2199.9999999999795</v>
      </c>
      <c r="K13" s="13">
        <f>'FS Desroches Daily'!P15</f>
        <v>19</v>
      </c>
      <c r="L13" s="35">
        <f>'FS Desroches Daily'!R15</f>
        <v>9</v>
      </c>
      <c r="M13" s="35">
        <f>'FS Desroches Daily'!T15</f>
        <v>1384</v>
      </c>
      <c r="N13" s="35">
        <f>'FS Desroches Daily'!V15</f>
        <v>588</v>
      </c>
      <c r="O13" s="35">
        <f>'FS Desroches Daily'!X15</f>
        <v>420.00000000001592</v>
      </c>
      <c r="P13" s="35">
        <f>'FS Desroches Daily'!Z15</f>
        <v>3400.0000000000696</v>
      </c>
      <c r="Q13" s="35">
        <f>'FS Desroches Daily'!AB15</f>
        <v>530.00000000002956</v>
      </c>
      <c r="R13" s="35">
        <f>'FS Desroches Daily'!AD15</f>
        <v>430.00000000000682</v>
      </c>
      <c r="S13" s="35">
        <f>'FS Desroches Daily'!AF15</f>
        <v>939.99999999999773</v>
      </c>
      <c r="T13" s="35">
        <f>'FS Desroches Daily'!AH15</f>
        <v>2.1000000000001364</v>
      </c>
      <c r="U13" s="39">
        <f>'FS Desroches Daily'!AJ15</f>
        <v>379.99999999999545</v>
      </c>
      <c r="V13" s="39">
        <f>'FS Desroches Daily'!AL15</f>
        <v>0.29000000000002046</v>
      </c>
      <c r="W13" s="39">
        <f>'FS Desroches Daily'!AN15</f>
        <v>0.26000000000001933</v>
      </c>
      <c r="X13" s="39">
        <f>'FS Desroches Daily'!AP15</f>
        <v>0.22999999999998977</v>
      </c>
      <c r="Y13" s="39">
        <f>'FS Desroches Daily'!AR15</f>
        <v>210.00000000000796</v>
      </c>
      <c r="Z13" s="39">
        <f>'FS Desroches Daily'!AT15</f>
        <v>229.99999999996135</v>
      </c>
      <c r="AA13" s="39">
        <f>'FS Desroches Daily'!AT15</f>
        <v>229.99999999996135</v>
      </c>
      <c r="AB13" s="39">
        <f>'FS Desroches Daily'!AV15</f>
        <v>239.99999999998067</v>
      </c>
      <c r="AC13" s="39">
        <f>'FS Desroches Daily'!AZ15</f>
        <v>189.99999999999773</v>
      </c>
      <c r="AD13" s="39">
        <f>'FS Desroches Daily'!BB15</f>
        <v>329.99999999998408</v>
      </c>
      <c r="AE13" s="39">
        <f>'FS Desroches Daily'!BD15</f>
        <v>9.9999999999909051</v>
      </c>
      <c r="AF13" s="35">
        <f>'FS Desroches Daily'!BF15</f>
        <v>65</v>
      </c>
      <c r="AG13" s="36">
        <f>'FS Desroches Daily'!BH15</f>
        <v>30.000000000001137</v>
      </c>
      <c r="AH13" s="36">
        <f>'FS Desroches Daily'!BJ15</f>
        <v>29.999999999972715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39.99999999996362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30.000000000001137</v>
      </c>
      <c r="AP13" s="36">
        <f>'FS Desroches Daily'!BZ15</f>
        <v>61</v>
      </c>
      <c r="AQ13" s="35">
        <f>'FS Desroches Daily'!CB15</f>
        <v>35.799999999999272</v>
      </c>
      <c r="AR13" s="35">
        <f>'FS Desroches Daily'!CD15</f>
        <v>10.399999999999636</v>
      </c>
      <c r="AS13" s="35">
        <f>'FS Desroches Daily'!CF15</f>
        <v>7.0999999999994543</v>
      </c>
      <c r="AT13" s="35">
        <f>'FS Desroches Daily'!CH15</f>
        <v>45</v>
      </c>
      <c r="AU13" s="35">
        <f>'FS Desroches Daily'!CJ15</f>
        <v>307</v>
      </c>
      <c r="AV13" s="35">
        <f>'FS Desroches Daily'!CL15</f>
        <v>500</v>
      </c>
      <c r="AW13" s="35">
        <f>'FS Desroches Daily'!CM15</f>
        <v>105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0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82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>
        <f>'FS Desroches Daily'!D16</f>
        <v>3199.9999999998695</v>
      </c>
      <c r="F14" s="36">
        <f>'FS Desroches Daily'!F16</f>
        <v>4000.0000000000036</v>
      </c>
      <c r="G14" s="35">
        <f>'FS Desroches Daily'!H16</f>
        <v>3600.0000000000477</v>
      </c>
      <c r="H14" s="36">
        <f>'FS Desroches Daily'!J16</f>
        <v>1800.0000000000239</v>
      </c>
      <c r="I14" s="35">
        <f>'FS Desroches Daily'!L16</f>
        <v>2299.9999999999686</v>
      </c>
      <c r="J14" s="36">
        <f>'FS Desroches Daily'!N16</f>
        <v>2099.9999999999909</v>
      </c>
      <c r="K14" s="13">
        <f>'FS Desroches Daily'!P16</f>
        <v>19</v>
      </c>
      <c r="L14" s="35">
        <f>'FS Desroches Daily'!R16</f>
        <v>10</v>
      </c>
      <c r="M14" s="35">
        <f>'FS Desroches Daily'!T16</f>
        <v>1275</v>
      </c>
      <c r="N14" s="35">
        <f>'FS Desroches Daily'!V16</f>
        <v>530</v>
      </c>
      <c r="O14" s="35">
        <f>'FS Desroches Daily'!X16</f>
        <v>469.99999999997044</v>
      </c>
      <c r="P14" s="35">
        <f>'FS Desroches Daily'!Z16</f>
        <v>3499.9999999998367</v>
      </c>
      <c r="Q14" s="35">
        <f>'FS Desroches Daily'!AB16</f>
        <v>549.99999999995453</v>
      </c>
      <c r="R14" s="35">
        <f>'FS Desroches Daily'!AD16</f>
        <v>489.99999999995225</v>
      </c>
      <c r="S14" s="35">
        <f>'FS Desroches Daily'!AF16</f>
        <v>980.00000000001819</v>
      </c>
      <c r="T14" s="35">
        <f>'FS Desroches Daily'!AH16</f>
        <v>2.0999999999999091</v>
      </c>
      <c r="U14" s="39">
        <f>'FS Desroches Daily'!AJ16</f>
        <v>490.00000000000909</v>
      </c>
      <c r="V14" s="39">
        <f>'FS Desroches Daily'!AL16</f>
        <v>0.28999999999999204</v>
      </c>
      <c r="W14" s="39">
        <f>'FS Desroches Daily'!AN16</f>
        <v>0.25999999999999091</v>
      </c>
      <c r="X14" s="39">
        <f>'FS Desroches Daily'!AP16</f>
        <v>0.22999999999998977</v>
      </c>
      <c r="Y14" s="39">
        <f>'FS Desroches Daily'!AR16</f>
        <v>239.99999999998067</v>
      </c>
      <c r="Z14" s="39">
        <f>'FS Desroches Daily'!AT16</f>
        <v>290.00000000002046</v>
      </c>
      <c r="AA14" s="39">
        <f>'FS Desroches Daily'!AT16</f>
        <v>290.00000000002046</v>
      </c>
      <c r="AB14" s="39">
        <f>'FS Desroches Daily'!AV16</f>
        <v>290.00000000002046</v>
      </c>
      <c r="AC14" s="39">
        <f>'FS Desroches Daily'!AZ16</f>
        <v>189.99999999999773</v>
      </c>
      <c r="AD14" s="39">
        <f>'FS Desroches Daily'!BB16</f>
        <v>250</v>
      </c>
      <c r="AE14" s="39">
        <f>'FS Desroches Daily'!BD16</f>
        <v>9.9999999999909051</v>
      </c>
      <c r="AF14" s="35">
        <f>'FS Desroches Daily'!BF16</f>
        <v>71</v>
      </c>
      <c r="AG14" s="36">
        <f>'FS Desroches Daily'!BH16</f>
        <v>19.99999999998181</v>
      </c>
      <c r="AH14" s="36">
        <f>'FS Desroches Daily'!BJ16</f>
        <v>40.000000000020464</v>
      </c>
      <c r="AI14" s="36">
        <f>'FS Desroches Daily'!BL16</f>
        <v>50.000000000011369</v>
      </c>
      <c r="AJ14" s="36">
        <f>'FS Desroches Daily'!BN16</f>
        <v>39.999999999992042</v>
      </c>
      <c r="AK14" s="36">
        <f>'FS Desroches Daily'!BP16</f>
        <v>50.000000000011369</v>
      </c>
      <c r="AL14" s="36">
        <f>'FS Desroches Daily'!BR16</f>
        <v>42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39.999999999992042</v>
      </c>
      <c r="AP14" s="36">
        <f>'FS Desroches Daily'!BZ16</f>
        <v>60</v>
      </c>
      <c r="AQ14" s="35">
        <f>'FS Desroches Daily'!CB16</f>
        <v>39.700000000000728</v>
      </c>
      <c r="AR14" s="35">
        <f>'FS Desroches Daily'!CD16</f>
        <v>14.5</v>
      </c>
      <c r="AS14" s="35">
        <f>'FS Desroches Daily'!CF16</f>
        <v>0.1999999999998181</v>
      </c>
      <c r="AT14" s="35">
        <f>'FS Desroches Daily'!CH16</f>
        <v>115.29999999999563</v>
      </c>
      <c r="AU14" s="35">
        <f>'FS Desroches Daily'!CJ16</f>
        <v>312</v>
      </c>
      <c r="AV14" s="35">
        <f>'FS Desroches Daily'!CL16</f>
        <v>750</v>
      </c>
      <c r="AW14" s="35">
        <f>'FS Desroches Daily'!CM16</f>
        <v>110.8</v>
      </c>
      <c r="AX14" s="35">
        <f>IF(LPG!F21-LPG!F20&lt;0,"0",(LPG!F21-LPG!F20)*1.8315)</f>
        <v>12.820499999999999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3.6629999999999998</v>
      </c>
      <c r="BB14" s="35">
        <f>IF(LPG!Q21-LPG!Q20&lt;0,"0",(LPG!Q21-LPG!Q20)*1.8315)</f>
        <v>5.4944999999999995</v>
      </c>
      <c r="BC14" s="13">
        <f>'FS Desroches Daily'!CN16</f>
        <v>61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2900.0000000001246</v>
      </c>
      <c r="F15" s="36">
        <f>'FS Desroches Daily'!F17</f>
        <v>3600.0000000000477</v>
      </c>
      <c r="G15" s="35">
        <f>'FS Desroches Daily'!H17</f>
        <v>3500.0000000002806</v>
      </c>
      <c r="H15" s="36">
        <f>'FS Desroches Daily'!J17</f>
        <v>1600.0000000000459</v>
      </c>
      <c r="I15" s="35">
        <f>'FS Desroches Daily'!L17</f>
        <v>2299.9999999999686</v>
      </c>
      <c r="J15" s="36">
        <f>'FS Desroches Daily'!N17</f>
        <v>2100.0000000002128</v>
      </c>
      <c r="K15" s="13">
        <f>'FS Desroches Daily'!P17</f>
        <v>19</v>
      </c>
      <c r="L15" s="35">
        <f>'FS Desroches Daily'!R17</f>
        <v>8</v>
      </c>
      <c r="M15" s="35">
        <f>'FS Desroches Daily'!T17</f>
        <v>1375</v>
      </c>
      <c r="N15" s="35">
        <f>'FS Desroches Daily'!V17</f>
        <v>563</v>
      </c>
      <c r="O15" s="35">
        <f>'FS Desroches Daily'!X17</f>
        <v>439.99999999999773</v>
      </c>
      <c r="P15" s="35">
        <f>'FS Desroches Daily'!Z17</f>
        <v>3200.0000000000919</v>
      </c>
      <c r="Q15" s="35">
        <f>'FS Desroches Daily'!AB17</f>
        <v>530.00000000002956</v>
      </c>
      <c r="R15" s="35">
        <f>'FS Desroches Daily'!AD17</f>
        <v>520.00000000003865</v>
      </c>
      <c r="S15" s="35">
        <f>'FS Desroches Daily'!AF17</f>
        <v>889.99999999998636</v>
      </c>
      <c r="T15" s="35">
        <f>'FS Desroches Daily'!AH17</f>
        <v>2</v>
      </c>
      <c r="U15" s="39">
        <f>'FS Desroches Daily'!AJ17</f>
        <v>519.99999999998181</v>
      </c>
      <c r="V15" s="39">
        <f>'FS Desroches Daily'!AL17</f>
        <v>0.27000000000001023</v>
      </c>
      <c r="W15" s="39">
        <f>'FS Desroches Daily'!AN17</f>
        <v>0.21999999999999886</v>
      </c>
      <c r="X15" s="39">
        <f>'FS Desroches Daily'!AP17</f>
        <v>0.18999999999999773</v>
      </c>
      <c r="Y15" s="39">
        <f>'FS Desroches Daily'!AR17</f>
        <v>180.00000000000682</v>
      </c>
      <c r="Z15" s="39">
        <f>'FS Desroches Daily'!AT17</f>
        <v>250</v>
      </c>
      <c r="AA15" s="39">
        <f>'FS Desroches Daily'!AT17</f>
        <v>250</v>
      </c>
      <c r="AB15" s="39">
        <f>'FS Desroches Daily'!AV17</f>
        <v>229.99999999998977</v>
      </c>
      <c r="AC15" s="39">
        <f>'FS Desroches Daily'!AZ17</f>
        <v>180.00000000000682</v>
      </c>
      <c r="AD15" s="39">
        <f>'FS Desroches Daily'!BB17</f>
        <v>230.00000000001819</v>
      </c>
      <c r="AE15" s="39">
        <f>'FS Desroches Daily'!BD17</f>
        <v>20.000000000010232</v>
      </c>
      <c r="AF15" s="35">
        <f>'FS Desroches Daily'!BF17</f>
        <v>51</v>
      </c>
      <c r="AG15" s="36">
        <f>'FS Desroches Daily'!BH17</f>
        <v>30.000000000001137</v>
      </c>
      <c r="AH15" s="36">
        <f>'FS Desroches Daily'!BJ17</f>
        <v>50.000000000011369</v>
      </c>
      <c r="AI15" s="36">
        <f>'FS Desroches Daily'!BL17</f>
        <v>49.999999999982947</v>
      </c>
      <c r="AJ15" s="36">
        <f>'FS Desroches Daily'!BN17</f>
        <v>50.000000000011369</v>
      </c>
      <c r="AK15" s="36">
        <f>'FS Desroches Daily'!BP17</f>
        <v>40.000000000020464</v>
      </c>
      <c r="AL15" s="36">
        <f>'FS Desroches Daily'!BR17</f>
        <v>38</v>
      </c>
      <c r="AM15" s="36">
        <f>'FS Desroches Daily'!BT17</f>
        <v>50.000000000011369</v>
      </c>
      <c r="AN15" s="36">
        <f>'FS Desroches Daily'!BV17</f>
        <v>44</v>
      </c>
      <c r="AO15" s="36">
        <f>'FS Desroches Daily'!BX17</f>
        <v>39.999999999992042</v>
      </c>
      <c r="AP15" s="36">
        <f>'FS Desroches Daily'!BZ17</f>
        <v>72</v>
      </c>
      <c r="AQ15" s="35">
        <f>'FS Desroches Daily'!CB17</f>
        <v>39.700000000000728</v>
      </c>
      <c r="AR15" s="35">
        <f>'FS Desroches Daily'!CD17</f>
        <v>10.899999999999636</v>
      </c>
      <c r="AS15" s="35">
        <f>'FS Desroches Daily'!CF17</f>
        <v>12.200000000000728</v>
      </c>
      <c r="AT15" s="35">
        <f>'FS Desroches Daily'!CH17</f>
        <v>50.700000000004366</v>
      </c>
      <c r="AU15" s="35">
        <f>'FS Desroches Daily'!CJ17</f>
        <v>298</v>
      </c>
      <c r="AV15" s="35">
        <f>'FS Desroches Daily'!CL17</f>
        <v>609.99999999989996</v>
      </c>
      <c r="AW15" s="35">
        <f>'FS Desroches Daily'!CM17</f>
        <v>110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7.3259999999999996</v>
      </c>
      <c r="BB15" s="35">
        <f>IF(LPG!Q22-LPG!Q21&lt;0,"0",(LPG!Q22-LPG!Q21)*1.8315)</f>
        <v>5.4944999999999995</v>
      </c>
      <c r="BC15" s="13">
        <f>'FS Desroches Daily'!CN17</f>
        <v>61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>
        <f>'FS Desroches Daily'!D18</f>
        <v>3199.9999999998695</v>
      </c>
      <c r="F16" s="36">
        <f>'FS Desroches Daily'!F18</f>
        <v>3700.0000000002588</v>
      </c>
      <c r="G16" s="35">
        <f>'FS Desroches Daily'!H18</f>
        <v>3600.0000000000477</v>
      </c>
      <c r="H16" s="36">
        <f>'FS Desroches Daily'!J18</f>
        <v>1500.0000000000568</v>
      </c>
      <c r="I16" s="35">
        <f>'FS Desroches Daily'!L18</f>
        <v>2399.9999999999577</v>
      </c>
      <c r="J16" s="36">
        <f>'FS Desroches Daily'!N18</f>
        <v>1899.9999999997908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1080</v>
      </c>
      <c r="N16" s="35">
        <f>'FS Desroches Daily'!V18</f>
        <v>596</v>
      </c>
      <c r="O16" s="35">
        <f>'FS Desroches Daily'!X18</f>
        <v>430.00000000000682</v>
      </c>
      <c r="P16" s="35">
        <f>'FS Desroches Daily'!Z18</f>
        <v>3299.9999999998586</v>
      </c>
      <c r="Q16" s="35">
        <f>'FS Desroches Daily'!AB18</f>
        <v>519.99999999998181</v>
      </c>
      <c r="R16" s="35">
        <f>'FS Desroches Daily'!AD18</f>
        <v>479.99999999996135</v>
      </c>
      <c r="S16" s="35">
        <f>'FS Desroches Daily'!AF18</f>
        <v>870.00000000000455</v>
      </c>
      <c r="T16" s="35">
        <f>'FS Desroches Daily'!AH18</f>
        <v>2.2000000000000455</v>
      </c>
      <c r="U16" s="39">
        <f>'FS Desroches Daily'!AJ18</f>
        <v>590.00000000003183</v>
      </c>
      <c r="V16" s="39">
        <f>'FS Desroches Daily'!AL18</f>
        <v>0.28999999999999204</v>
      </c>
      <c r="W16" s="39">
        <f>'FS Desroches Daily'!AN18</f>
        <v>0.24000000000000909</v>
      </c>
      <c r="X16" s="39">
        <f>'FS Desroches Daily'!AP18</f>
        <v>0.22000000000002728</v>
      </c>
      <c r="Y16" s="39">
        <f>'FS Desroches Daily'!AR18</f>
        <v>210.00000000000796</v>
      </c>
      <c r="Z16" s="39">
        <f>'FS Desroches Daily'!AT18</f>
        <v>259.99999999999091</v>
      </c>
      <c r="AA16" s="39">
        <f>'FS Desroches Daily'!AT18</f>
        <v>259.99999999999091</v>
      </c>
      <c r="AB16" s="39">
        <f>'FS Desroches Daily'!AV18</f>
        <v>259.99999999999091</v>
      </c>
      <c r="AC16" s="39">
        <f>'FS Desroches Daily'!AZ18</f>
        <v>180.00000000000682</v>
      </c>
      <c r="AD16" s="39">
        <f>'FS Desroches Daily'!BB18</f>
        <v>259.99999999999091</v>
      </c>
      <c r="AE16" s="39">
        <f>'FS Desroches Daily'!BD18</f>
        <v>19.99999999998181</v>
      </c>
      <c r="AF16" s="35">
        <f>'FS Desroches Daily'!BF18</f>
        <v>86</v>
      </c>
      <c r="AG16" s="36">
        <f>'FS Desroches Daily'!BH18</f>
        <v>50.000000000011369</v>
      </c>
      <c r="AH16" s="36">
        <f>'FS Desroches Daily'!BJ18</f>
        <v>39.99999999996362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60.000000000002274</v>
      </c>
      <c r="AL16" s="36">
        <f>'FS Desroches Daily'!BR18</f>
        <v>47</v>
      </c>
      <c r="AM16" s="36">
        <f>'FS Desroches Daily'!BT18</f>
        <v>30.000000000001137</v>
      </c>
      <c r="AN16" s="36">
        <f>'FS Desroches Daily'!BV18</f>
        <v>49</v>
      </c>
      <c r="AO16" s="36">
        <f>'FS Desroches Daily'!BX18</f>
        <v>39.999999999992042</v>
      </c>
      <c r="AP16" s="36">
        <f>'FS Desroches Daily'!BZ18</f>
        <v>69</v>
      </c>
      <c r="AQ16" s="35">
        <f>'FS Desroches Daily'!CB18</f>
        <v>46.900000000001455</v>
      </c>
      <c r="AR16" s="35">
        <f>'FS Desroches Daily'!CD18</f>
        <v>11.100000000000364</v>
      </c>
      <c r="AS16" s="35">
        <f>'FS Desroches Daily'!CF18</f>
        <v>7.3999999999996362</v>
      </c>
      <c r="AT16" s="35">
        <f>'FS Desroches Daily'!CH18</f>
        <v>148.79999999999563</v>
      </c>
      <c r="AU16" s="35">
        <f>'FS Desroches Daily'!CJ18</f>
        <v>306</v>
      </c>
      <c r="AV16" s="35">
        <f>'FS Desroches Daily'!CL18</f>
        <v>690.00000000005457</v>
      </c>
      <c r="AW16" s="35">
        <f>'FS Desroches Daily'!CM18</f>
        <v>96</v>
      </c>
      <c r="AX16" s="35">
        <f>IF(LPG!F23-LPG!F22&lt;0,"0",(LPG!F23-LPG!F22)*1.8315)</f>
        <v>14.651999999999999</v>
      </c>
      <c r="AY16" s="35">
        <f>IF(LPG!H23-LPG!H22&lt;0,"0",(LPG!H23-LPG!H22)*1.8315)</f>
        <v>3.6629999999999998</v>
      </c>
      <c r="AZ16" s="35">
        <f>IF(LPG!J23-LPG!J22&lt;0,"0",(LPG!J23-LPG!J22)*1.8315)</f>
        <v>0</v>
      </c>
      <c r="BA16" s="35">
        <f>IF(LPG!M23-LPG!M22&lt;0,"0",(LPG!M23-LPG!M22)*1.8315)</f>
        <v>3.6629999999999998</v>
      </c>
      <c r="BB16" s="35">
        <f>IF(LPG!Q23-LPG!Q22&lt;0,"0",(LPG!Q23-LPG!Q22)*1.8315)</f>
        <v>3.6629999999999998</v>
      </c>
      <c r="BC16" s="13">
        <f>'FS Desroches Daily'!CN18</f>
        <v>66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3900.0000000000146</v>
      </c>
      <c r="F17" s="36">
        <f>'FS Desroches Daily'!F19</f>
        <v>4199.9999999999818</v>
      </c>
      <c r="G17" s="35">
        <f>'FS Desroches Daily'!H19</f>
        <v>3699.9999999998145</v>
      </c>
      <c r="H17" s="36">
        <f>'FS Desroches Daily'!J19</f>
        <v>1800.0000000000239</v>
      </c>
      <c r="I17" s="35">
        <f>'FS Desroches Daily'!L19</f>
        <v>2599.9999999999359</v>
      </c>
      <c r="J17" s="36">
        <f>'FS Desroches Daily'!N19</f>
        <v>2200.0000000002019</v>
      </c>
      <c r="K17" s="13">
        <f>'FS Desroches Daily'!P19</f>
        <v>19</v>
      </c>
      <c r="L17" s="35">
        <f>'FS Desroches Daily'!R19</f>
        <v>10</v>
      </c>
      <c r="M17" s="35">
        <f>'FS Desroches Daily'!T19</f>
        <v>2018</v>
      </c>
      <c r="N17" s="35">
        <f>'FS Desroches Daily'!V19</f>
        <v>546</v>
      </c>
      <c r="O17" s="35">
        <f>'FS Desroches Daily'!X19</f>
        <v>480.00000000001819</v>
      </c>
      <c r="P17" s="35">
        <f>'FS Desroches Daily'!Z19</f>
        <v>3800.0000000000255</v>
      </c>
      <c r="Q17" s="35">
        <f>'FS Desroches Daily'!AB19</f>
        <v>590.00000000003183</v>
      </c>
      <c r="R17" s="35">
        <f>'FS Desroches Daily'!AD19</f>
        <v>560.00000000000227</v>
      </c>
      <c r="S17" s="35">
        <f>'FS Desroches Daily'!AF19</f>
        <v>959.99999999997954</v>
      </c>
      <c r="T17" s="35">
        <f>'FS Desroches Daily'!AH19</f>
        <v>2</v>
      </c>
      <c r="U17" s="39">
        <f>'FS Desroches Daily'!AJ19</f>
        <v>709.99999999997954</v>
      </c>
      <c r="V17" s="39">
        <f>'FS Desroches Daily'!AL19</f>
        <v>0.25999999999999091</v>
      </c>
      <c r="W17" s="39">
        <f>'FS Desroches Daily'!AN19</f>
        <v>0.28999999999999204</v>
      </c>
      <c r="X17" s="39">
        <f>'FS Desroches Daily'!AP19</f>
        <v>0.31999999999999318</v>
      </c>
      <c r="Y17" s="39">
        <f>'FS Desroches Daily'!AR19</f>
        <v>310.00000000000227</v>
      </c>
      <c r="Z17" s="39">
        <f>'FS Desroches Daily'!AU20</f>
        <v>252.58</v>
      </c>
      <c r="AA17" s="39">
        <f>'FS Desroches Daily'!AU20</f>
        <v>252.58</v>
      </c>
      <c r="AB17" s="39">
        <f>'FS Desroches Daily'!AV19</f>
        <v>290.00000000002046</v>
      </c>
      <c r="AC17" s="39">
        <f>'FS Desroches Daily'!AZ19</f>
        <v>259.99999999999091</v>
      </c>
      <c r="AD17" s="39">
        <f>'FS Desroches Daily'!BB19</f>
        <v>280.00000000002956</v>
      </c>
      <c r="AE17" s="39">
        <f>'FS Desroches Daily'!BD19</f>
        <v>0</v>
      </c>
      <c r="AF17" s="35">
        <f>'FS Desroches Daily'!BF19</f>
        <v>69</v>
      </c>
      <c r="AG17" s="36">
        <f>'FS Desroches Daily'!BH19</f>
        <v>19.99999999998181</v>
      </c>
      <c r="AH17" s="36">
        <f>'FS Desroches Daily'!BJ19</f>
        <v>40.000000000020464</v>
      </c>
      <c r="AI17" s="36">
        <f>'FS Desroches Daily'!BL19</f>
        <v>50.000000000011369</v>
      </c>
      <c r="AJ17" s="36">
        <f>'FS Desroches Daily'!BN19</f>
        <v>40.000000000020464</v>
      </c>
      <c r="AK17" s="36">
        <f>'FS Desroches Daily'!BP19</f>
        <v>29.999999999972715</v>
      </c>
      <c r="AL17" s="36">
        <f>'FS Desroches Daily'!BR19</f>
        <v>41</v>
      </c>
      <c r="AM17" s="36">
        <f>'FS Desroches Daily'!BT19</f>
        <v>49.999999999982947</v>
      </c>
      <c r="AN17" s="36">
        <f>'FS Desroches Daily'!BV19</f>
        <v>41</v>
      </c>
      <c r="AO17" s="36">
        <f>'FS Desroches Daily'!BX19</f>
        <v>50.000000000011369</v>
      </c>
      <c r="AP17" s="36">
        <f>'FS Desroches Daily'!BZ19</f>
        <v>71</v>
      </c>
      <c r="AQ17" s="35">
        <f>'FS Desroches Daily'!CB19</f>
        <v>45.399999999997817</v>
      </c>
      <c r="AR17" s="35">
        <f>'FS Desroches Daily'!CD19</f>
        <v>12.299999999999272</v>
      </c>
      <c r="AS17" s="35">
        <f>'FS Desroches Daily'!CF19</f>
        <v>9.3999999999996362</v>
      </c>
      <c r="AT17" s="35">
        <f>'FS Desroches Daily'!CH19</f>
        <v>93.30000000000291</v>
      </c>
      <c r="AU17" s="35">
        <f>'FS Desroches Daily'!CJ19</f>
        <v>298</v>
      </c>
      <c r="AV17" s="35">
        <f>'FS Desroches Daily'!CL19</f>
        <v>750</v>
      </c>
      <c r="AW17" s="35">
        <f>'FS Desroches Daily'!CM19</f>
        <v>100.7</v>
      </c>
      <c r="AX17" s="35">
        <f>IF(LPG!F24-LPG!F23&lt;0,"0",(LPG!F24-LPG!F23)*1.8315)</f>
        <v>16.483499999999999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9.1574999999999989</v>
      </c>
      <c r="BB17" s="35">
        <f>IF(LPG!Q24-LPG!Q23&lt;0,"0",(LPG!Q24-LPG!Q23)*1.8315)</f>
        <v>7.3259999999999996</v>
      </c>
      <c r="BC17" s="13">
        <f>'FS Desroches Daily'!CN19</f>
        <v>62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>
        <f>'FS Desroches Daily'!D20</f>
        <v>3700.0000000000364</v>
      </c>
      <c r="F18" s="36">
        <f>'FS Desroches Daily'!F20</f>
        <v>4199.9999999999818</v>
      </c>
      <c r="G18" s="35">
        <f>'FS Desroches Daily'!H20</f>
        <v>3800.0000000000255</v>
      </c>
      <c r="H18" s="36">
        <f>'FS Desroches Daily'!J20</f>
        <v>1799.9999999998017</v>
      </c>
      <c r="I18" s="35">
        <f>'FS Desroches Daily'!L20</f>
        <v>2600.0000000001578</v>
      </c>
      <c r="J18" s="36">
        <f>'FS Desroches Daily'!N20</f>
        <v>2199.9999999999795</v>
      </c>
      <c r="K18" s="13">
        <f>'FS Desroches Daily'!P20</f>
        <v>21</v>
      </c>
      <c r="L18" s="35">
        <f>'FS Desroches Daily'!R20</f>
        <v>9</v>
      </c>
      <c r="M18" s="35">
        <f>'FS Desroches Daily'!T20</f>
        <v>1439</v>
      </c>
      <c r="N18" s="35">
        <f>'FS Desroches Daily'!V20</f>
        <v>579</v>
      </c>
      <c r="O18" s="35">
        <f>'FS Desroches Daily'!X20</f>
        <v>479.99999999996135</v>
      </c>
      <c r="P18" s="35">
        <f>'FS Desroches Daily'!Z20</f>
        <v>3700.0000000002588</v>
      </c>
      <c r="Q18" s="35">
        <f>'FS Desroches Daily'!AB20</f>
        <v>569.99999999999318</v>
      </c>
      <c r="R18" s="35">
        <f>'FS Desroches Daily'!AD20</f>
        <v>530.00000000002956</v>
      </c>
      <c r="S18" s="35">
        <f>'FS Desroches Daily'!AF20</f>
        <v>1009.9999999999909</v>
      </c>
      <c r="T18" s="35">
        <f>'FS Desroches Daily'!AH20</f>
        <v>2.2000000000000455</v>
      </c>
      <c r="U18" s="39">
        <f>'FS Desroches Daily'!AJ20</f>
        <v>670.00000000001592</v>
      </c>
      <c r="V18" s="39">
        <f>'FS Desroches Daily'!AL20</f>
        <v>0.21999999999999886</v>
      </c>
      <c r="W18" s="39">
        <f>'FS Desroches Daily'!AN20</f>
        <v>0.28999999999999204</v>
      </c>
      <c r="X18" s="39">
        <f>'FS Desroches Daily'!AP20</f>
        <v>0.28999999999999204</v>
      </c>
      <c r="Y18" s="39">
        <f>'FS Desroches Daily'!AR20</f>
        <v>280.00000000000114</v>
      </c>
      <c r="Z18" s="39">
        <f>'FS Desroches Daily'!AT20</f>
        <v>310.00000000000227</v>
      </c>
      <c r="AA18" s="39">
        <f>'FS Desroches Daily'!AT20</f>
        <v>310.00000000000227</v>
      </c>
      <c r="AB18" s="39">
        <f>'FS Desroches Daily'!AV20</f>
        <v>250</v>
      </c>
      <c r="AC18" s="39">
        <f>'FS Desroches Daily'!AZ20</f>
        <v>240.00000000000909</v>
      </c>
      <c r="AD18" s="39">
        <f>'FS Desroches Daily'!BB20</f>
        <v>239.99999999995225</v>
      </c>
      <c r="AE18" s="39">
        <f>'FS Desroches Daily'!BD20</f>
        <v>10.000000000019327</v>
      </c>
      <c r="AF18" s="35">
        <f>'FS Desroches Daily'!BF20</f>
        <v>71</v>
      </c>
      <c r="AG18" s="36">
        <f>'FS Desroches Daily'!BH20</f>
        <v>30.000000000001137</v>
      </c>
      <c r="AH18" s="36">
        <f>'FS Desroches Daily'!BJ20</f>
        <v>60.000000000002274</v>
      </c>
      <c r="AI18" s="36">
        <f>'FS Desroches Daily'!BL20</f>
        <v>39.999999999992042</v>
      </c>
      <c r="AJ18" s="36">
        <f>'FS Desroches Daily'!BN20</f>
        <v>29.999999999972715</v>
      </c>
      <c r="AK18" s="36">
        <f>'FS Desroches Daily'!BP20</f>
        <v>30.000000000029559</v>
      </c>
      <c r="AL18" s="36">
        <f>'FS Desroches Daily'!BR20</f>
        <v>31</v>
      </c>
      <c r="AM18" s="36">
        <f>'FS Desroches Daily'!BT20</f>
        <v>30.000000000001137</v>
      </c>
      <c r="AN18" s="36">
        <f>'FS Desroches Daily'!BV20</f>
        <v>42</v>
      </c>
      <c r="AO18" s="36">
        <f>'FS Desroches Daily'!BX20</f>
        <v>30.000000000001137</v>
      </c>
      <c r="AP18" s="36">
        <f>'FS Desroches Daily'!BZ20</f>
        <v>61</v>
      </c>
      <c r="AQ18" s="35">
        <f>'FS Desroches Daily'!CB20</f>
        <v>30.100000000002183</v>
      </c>
      <c r="AR18" s="35">
        <f>'FS Desroches Daily'!CD20</f>
        <v>14</v>
      </c>
      <c r="AS18" s="35">
        <f>'FS Desroches Daily'!CF20</f>
        <v>13.400000000000546</v>
      </c>
      <c r="AT18" s="35">
        <f>'FS Desroches Daily'!CH20</f>
        <v>60.69999999999709</v>
      </c>
      <c r="AU18" s="35">
        <f>'FS Desroches Daily'!CJ20</f>
        <v>320</v>
      </c>
      <c r="AV18" s="35">
        <f>'FS Desroches Daily'!CL20</f>
        <v>659.99999999996817</v>
      </c>
      <c r="AW18" s="35">
        <f>'FS Desroches Daily'!CM20</f>
        <v>118.4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5.4944999999999995</v>
      </c>
      <c r="BB18" s="35">
        <f>IF(LPG!Q25-LPG!Q24&lt;0,"0",(LPG!Q25-LPG!Q24)*1.8315)</f>
        <v>3.6629999999999998</v>
      </c>
      <c r="BC18" s="13">
        <f>'FS Desroches Daily'!CN20</f>
        <v>57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>
        <f>'FS Desroches Daily'!D21</f>
        <v>3500.0000000000587</v>
      </c>
      <c r="F19" s="36">
        <f>'FS Desroches Daily'!F21</f>
        <v>4199.9999999999818</v>
      </c>
      <c r="G19" s="35">
        <f>'FS Desroches Daily'!H21</f>
        <v>3600.0000000000477</v>
      </c>
      <c r="H19" s="36">
        <f>'FS Desroches Daily'!J21</f>
        <v>1800.0000000000239</v>
      </c>
      <c r="I19" s="35">
        <f>'FS Desroches Daily'!L21</f>
        <v>2599.9999999999359</v>
      </c>
      <c r="J19" s="36">
        <f>'FS Desroches Daily'!N21</f>
        <v>1800.0000000000239</v>
      </c>
      <c r="K19" s="13">
        <f>'FS Desroches Daily'!P21</f>
        <v>18</v>
      </c>
      <c r="L19" s="35">
        <f>'FS Desroches Daily'!R21</f>
        <v>10</v>
      </c>
      <c r="M19" s="35">
        <f>'FS Desroches Daily'!T21</f>
        <v>1621</v>
      </c>
      <c r="N19" s="35">
        <f>'FS Desroches Daily'!V21</f>
        <v>564</v>
      </c>
      <c r="O19" s="35">
        <f>'FS Desroches Daily'!X21</f>
        <v>420.00000000001592</v>
      </c>
      <c r="P19" s="35">
        <f>'FS Desroches Daily'!Z21</f>
        <v>3899.9999999997926</v>
      </c>
      <c r="Q19" s="35">
        <f>'FS Desroches Daily'!AB21</f>
        <v>279.99999999997272</v>
      </c>
      <c r="R19" s="35">
        <f>'FS Desroches Daily'!AD21</f>
        <v>529.99999999997272</v>
      </c>
      <c r="S19" s="35">
        <f>'FS Desroches Daily'!AF21</f>
        <v>870.00000000000455</v>
      </c>
      <c r="T19" s="35">
        <f>'FS Desroches Daily'!AH21</f>
        <v>2</v>
      </c>
      <c r="U19" s="39">
        <f>'FS Desroches Daily'!AJ21</f>
        <v>829.99999999998408</v>
      </c>
      <c r="V19" s="39">
        <f>'FS Desroches Daily'!AL21</f>
        <v>0.21999999999999886</v>
      </c>
      <c r="W19" s="39">
        <f>'FS Desroches Daily'!AN21</f>
        <v>0.27000000000001023</v>
      </c>
      <c r="X19" s="39">
        <f>'FS Desroches Daily'!AP21</f>
        <v>0.24000000000000909</v>
      </c>
      <c r="Y19" s="39">
        <f>'FS Desroches Daily'!AR21</f>
        <v>289.99999999999204</v>
      </c>
      <c r="Z19" s="39">
        <f>'FS Desroches Daily'!AT21</f>
        <v>270.00000000003865</v>
      </c>
      <c r="AA19" s="39">
        <f>'FS Desroches Daily'!AT21</f>
        <v>270.00000000003865</v>
      </c>
      <c r="AB19" s="39">
        <f>'FS Desroches Daily'!AV21</f>
        <v>239.99999999998067</v>
      </c>
      <c r="AC19" s="39">
        <f>'FS Desroches Daily'!AZ21</f>
        <v>199.99999999998863</v>
      </c>
      <c r="AD19" s="39">
        <f>'FS Desroches Daily'!BB21</f>
        <v>250</v>
      </c>
      <c r="AE19" s="39">
        <f>'FS Desroches Daily'!BD21</f>
        <v>9.9999999999909051</v>
      </c>
      <c r="AF19" s="35">
        <f>'FS Desroches Daily'!BF21</f>
        <v>81</v>
      </c>
      <c r="AG19" s="36">
        <f>'FS Desroches Daily'!BH21</f>
        <v>40.000000000020464</v>
      </c>
      <c r="AH19" s="36">
        <f>'FS Desroches Daily'!BJ21</f>
        <v>40.000000000020464</v>
      </c>
      <c r="AI19" s="36">
        <f>'FS Desroches Daily'!BL21</f>
        <v>60.000000000002274</v>
      </c>
      <c r="AJ19" s="36">
        <f>'FS Desroches Daily'!BN21</f>
        <v>40.000000000020464</v>
      </c>
      <c r="AK19" s="36">
        <f>'FS Desroches Daily'!BP21</f>
        <v>39.99999999996362</v>
      </c>
      <c r="AL19" s="36">
        <f>'FS Desroches Daily'!BR21</f>
        <v>42</v>
      </c>
      <c r="AM19" s="36">
        <f>'FS Desroches Daily'!BT21</f>
        <v>50.000000000011369</v>
      </c>
      <c r="AN19" s="36">
        <f>'FS Desroches Daily'!BV21</f>
        <v>43</v>
      </c>
      <c r="AO19" s="36">
        <f>'FS Desroches Daily'!BX21</f>
        <v>39.999999999992042</v>
      </c>
      <c r="AP19" s="36">
        <f>'FS Desroches Daily'!BZ21</f>
        <v>67</v>
      </c>
      <c r="AQ19" s="35">
        <f>'FS Desroches Daily'!CB21</f>
        <v>38.69999999999709</v>
      </c>
      <c r="AR19" s="35">
        <f>'FS Desroches Daily'!CD21</f>
        <v>15.700000000000728</v>
      </c>
      <c r="AS19" s="35">
        <f>'FS Desroches Daily'!CF21</f>
        <v>2.0999999999994543</v>
      </c>
      <c r="AT19" s="35">
        <f>'FS Desroches Daily'!CH21</f>
        <v>76.200000000004366</v>
      </c>
      <c r="AU19" s="35">
        <f>'FS Desroches Daily'!CJ21</f>
        <v>306</v>
      </c>
      <c r="AV19" s="35">
        <f>'FS Desroches Daily'!CL21</f>
        <v>670.00000000007276</v>
      </c>
      <c r="AW19" s="35">
        <f>'FS Desroches Daily'!CM21</f>
        <v>113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1.8314999999999999</v>
      </c>
      <c r="BA19" s="35">
        <f>IF(LPG!M26-LPG!M25&lt;0,"0",(LPG!M26-LPG!M25)*1.8315)</f>
        <v>0</v>
      </c>
      <c r="BB19" s="35">
        <f>IF(LPG!Q26-LPG!Q25&lt;0,"0",(LPG!Q26-LPG!Q25)*1.8315)</f>
        <v>3.6629999999999998</v>
      </c>
      <c r="BC19" s="13">
        <f>'FS Desroches Daily'!CN21</f>
        <v>56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>
        <f>'FS Desroches Daily'!D22</f>
        <v>4399.9999999999591</v>
      </c>
      <c r="F20" s="36">
        <f>'FS Desroches Daily'!F22</f>
        <v>4399.9999999999591</v>
      </c>
      <c r="G20" s="35">
        <f>'FS Desroches Daily'!H22</f>
        <v>3600.0000000000477</v>
      </c>
      <c r="H20" s="36">
        <f>'FS Desroches Daily'!J22</f>
        <v>1800.0000000000239</v>
      </c>
      <c r="I20" s="35">
        <f>'FS Desroches Daily'!L22</f>
        <v>2799.9999999999136</v>
      </c>
      <c r="J20" s="36">
        <f>'FS Desroches Daily'!N22</f>
        <v>2199.9999999999795</v>
      </c>
      <c r="K20" s="13">
        <f>'FS Desroches Daily'!P22</f>
        <v>19</v>
      </c>
      <c r="L20" s="35">
        <f>'FS Desroches Daily'!R22</f>
        <v>9</v>
      </c>
      <c r="M20" s="35">
        <f>'FS Desroches Daily'!T22</f>
        <v>1587</v>
      </c>
      <c r="N20" s="35">
        <f>'FS Desroches Daily'!V22</f>
        <v>602</v>
      </c>
      <c r="O20" s="35">
        <f>'FS Desroches Daily'!X22</f>
        <v>490.00000000000909</v>
      </c>
      <c r="P20" s="35">
        <f>'FS Desroches Daily'!Z22</f>
        <v>3900.0000000002365</v>
      </c>
      <c r="Q20" s="35">
        <f>'FS Desroches Daily'!AB22</f>
        <v>560.00000000000227</v>
      </c>
      <c r="R20" s="35">
        <f>'FS Desroches Daily'!AD22</f>
        <v>530.00000000002956</v>
      </c>
      <c r="S20" s="35">
        <f>'FS Desroches Daily'!AF22</f>
        <v>970.00000000002728</v>
      </c>
      <c r="T20" s="35">
        <f>'FS Desroches Daily'!AH22</f>
        <v>2.3999999999998636</v>
      </c>
      <c r="U20" s="39">
        <f>'FS Desroches Daily'!AJ22</f>
        <v>1189.9999999999977</v>
      </c>
      <c r="V20" s="39">
        <f>'FS Desroches Daily'!AL22</f>
        <v>0.21999999999999886</v>
      </c>
      <c r="W20" s="39">
        <f>'FS Desroches Daily'!AN22</f>
        <v>0.27000000000001023</v>
      </c>
      <c r="X20" s="39">
        <f>'FS Desroches Daily'!AP22</f>
        <v>0.15000000000000568</v>
      </c>
      <c r="Y20" s="39">
        <f>'FS Desroches Daily'!AR22</f>
        <v>210.00000000000796</v>
      </c>
      <c r="Z20" s="39">
        <f>'FS Desroches Daily'!AT22</f>
        <v>250</v>
      </c>
      <c r="AA20" s="39">
        <f>'FS Desroches Daily'!AT22</f>
        <v>250</v>
      </c>
      <c r="AB20" s="39">
        <f>'FS Desroches Daily'!AV22</f>
        <v>230.00000000001819</v>
      </c>
      <c r="AC20" s="39">
        <f>'FS Desroches Daily'!AZ22</f>
        <v>250</v>
      </c>
      <c r="AD20" s="39">
        <f>'FS Desroches Daily'!BB22</f>
        <v>340.00000000003183</v>
      </c>
      <c r="AE20" s="39">
        <f>'FS Desroches Daily'!BD22</f>
        <v>20.000000000010232</v>
      </c>
      <c r="AF20" s="35">
        <f>'FS Desroches Daily'!BF22</f>
        <v>56</v>
      </c>
      <c r="AG20" s="36">
        <f>'FS Desroches Daily'!BH22</f>
        <v>39.999999999992042</v>
      </c>
      <c r="AH20" s="36">
        <f>'FS Desroches Daily'!BJ22</f>
        <v>60.000000000002274</v>
      </c>
      <c r="AI20" s="36">
        <f>'FS Desroches Daily'!BL22</f>
        <v>50.000000000011369</v>
      </c>
      <c r="AJ20" s="36">
        <f>'FS Desroches Daily'!BN22</f>
        <v>49.999999999982947</v>
      </c>
      <c r="AK20" s="36">
        <f>'FS Desroches Daily'!BP22</f>
        <v>50.000000000011369</v>
      </c>
      <c r="AL20" s="36">
        <f>'FS Desroches Daily'!BR22</f>
        <v>50</v>
      </c>
      <c r="AM20" s="36">
        <f>'FS Desroches Daily'!BT22</f>
        <v>49.999999999982947</v>
      </c>
      <c r="AN20" s="36">
        <f>'FS Desroches Daily'!BV22</f>
        <v>50</v>
      </c>
      <c r="AO20" s="36">
        <f>'FS Desroches Daily'!BX22</f>
        <v>40.000000000020464</v>
      </c>
      <c r="AP20" s="36">
        <f>'FS Desroches Daily'!BZ22</f>
        <v>93</v>
      </c>
      <c r="AQ20" s="35">
        <f>'FS Desroches Daily'!CB22</f>
        <v>42.400000000001455</v>
      </c>
      <c r="AR20" s="35">
        <f>'FS Desroches Daily'!CD22</f>
        <v>12</v>
      </c>
      <c r="AS20" s="35">
        <f>'FS Desroches Daily'!CF22</f>
        <v>1.7000000000007276</v>
      </c>
      <c r="AT20" s="35">
        <f>'FS Desroches Daily'!CH22</f>
        <v>79</v>
      </c>
      <c r="AU20" s="35">
        <f>'FS Desroches Daily'!CJ22</f>
        <v>352</v>
      </c>
      <c r="AV20" s="35">
        <f>'FS Desroches Daily'!CL22</f>
        <v>679.99999999994998</v>
      </c>
      <c r="AW20" s="35">
        <f>'FS Desroches Daily'!CM22</f>
        <v>124.2</v>
      </c>
      <c r="AX20" s="35">
        <f>IF(LPG!F27-LPG!F26&lt;0,"0",(LPG!F27-LPG!F26)*1.8315)</f>
        <v>14.651999999999999</v>
      </c>
      <c r="AY20" s="35">
        <f>IF(LPG!H27-LPG!H26&lt;0,"0",(LPG!H27-LPG!H26)*1.8315)</f>
        <v>3.6629999999999998</v>
      </c>
      <c r="AZ20" s="35">
        <f>IF(LPG!J27-LPG!J26&lt;0,"0",(LPG!J27-LPG!J26)*1.8315)</f>
        <v>0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56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>
        <f>'FS Desroches Daily'!D23</f>
        <v>4000.0000000000036</v>
      </c>
      <c r="F21" s="36">
        <f>'FS Desroches Daily'!F23</f>
        <v>4399.9999999999591</v>
      </c>
      <c r="G21" s="35">
        <f>'FS Desroches Daily'!H23</f>
        <v>3699.9999999998145</v>
      </c>
      <c r="H21" s="36">
        <f>'FS Desroches Daily'!J23</f>
        <v>1900.0000000000127</v>
      </c>
      <c r="I21" s="35">
        <f>'FS Desroches Daily'!L23</f>
        <v>2900.0000000001246</v>
      </c>
      <c r="J21" s="36">
        <f>'FS Desroches Daily'!N23</f>
        <v>2199.9999999999795</v>
      </c>
      <c r="K21" s="13">
        <f>'FS Desroches Daily'!P23</f>
        <v>20</v>
      </c>
      <c r="L21" s="35">
        <f>'FS Desroches Daily'!R23</f>
        <v>10</v>
      </c>
      <c r="M21" s="35">
        <f>'FS Desroches Daily'!T23</f>
        <v>1137</v>
      </c>
      <c r="N21" s="35">
        <f>'FS Desroches Daily'!V23</f>
        <v>606</v>
      </c>
      <c r="O21" s="35">
        <f>'FS Desroches Daily'!X23</f>
        <v>519.99999999998181</v>
      </c>
      <c r="P21" s="35">
        <f>'FS Desroches Daily'!Z23</f>
        <v>4000.0000000000036</v>
      </c>
      <c r="Q21" s="35">
        <f>'FS Desroches Daily'!AB23</f>
        <v>569.99999999999318</v>
      </c>
      <c r="R21" s="35">
        <f>'FS Desroches Daily'!AD23</f>
        <v>560.00000000000227</v>
      </c>
      <c r="S21" s="35">
        <f>'FS Desroches Daily'!AF23</f>
        <v>979.99999999996135</v>
      </c>
      <c r="T21" s="35">
        <f>'FS Desroches Daily'!AH23</f>
        <v>2.4000000000000909</v>
      </c>
      <c r="U21" s="39">
        <f>'FS Desroches Daily'!AJ23</f>
        <v>1069.9999999999932</v>
      </c>
      <c r="V21" s="39">
        <f>'FS Desroches Daily'!AL23</f>
        <v>0</v>
      </c>
      <c r="W21" s="39">
        <f>'FS Desroches Daily'!AN23</f>
        <v>0.28999999999999204</v>
      </c>
      <c r="X21" s="39">
        <f>'FS Desroches Daily'!AP23</f>
        <v>0.38999999999998636</v>
      </c>
      <c r="Y21" s="39">
        <f>'FS Desroches Daily'!AR23</f>
        <v>299.99999999998295</v>
      </c>
      <c r="Z21" s="39">
        <f>'FS Desroches Daily'!AT23</f>
        <v>339.99999999997499</v>
      </c>
      <c r="AA21" s="39">
        <f>'FS Desroches Daily'!AT23</f>
        <v>339.99999999997499</v>
      </c>
      <c r="AB21" s="39">
        <f>'FS Desroches Daily'!AV23</f>
        <v>289.99999999999204</v>
      </c>
      <c r="AC21" s="39">
        <f>'FS Desroches Daily'!AZ23</f>
        <v>219.99999999997044</v>
      </c>
      <c r="AD21" s="39">
        <f>'FS Desroches Daily'!BB23</f>
        <v>319.99999999999318</v>
      </c>
      <c r="AE21" s="39">
        <f>'FS Desroches Daily'!BD23</f>
        <v>19.99999999998181</v>
      </c>
      <c r="AF21" s="35">
        <f>'FS Desroches Daily'!BF23</f>
        <v>56</v>
      </c>
      <c r="AG21" s="36">
        <f>'FS Desroches Daily'!BH23</f>
        <v>20.000000000010232</v>
      </c>
      <c r="AH21" s="36">
        <f>'FS Desroches Daily'!BJ23</f>
        <v>29.999999999972715</v>
      </c>
      <c r="AI21" s="36">
        <f>'FS Desroches Daily'!BL23</f>
        <v>39.999999999992042</v>
      </c>
      <c r="AJ21" s="36">
        <f>'FS Desroches Daily'!BN23</f>
        <v>40.000000000020464</v>
      </c>
      <c r="AK21" s="36">
        <f>'FS Desroches Daily'!BP23</f>
        <v>30.000000000029559</v>
      </c>
      <c r="AL21" s="36">
        <f>'FS Desroches Daily'!BR23</f>
        <v>37</v>
      </c>
      <c r="AM21" s="36">
        <f>'FS Desroches Daily'!BT23</f>
        <v>40.000000000020464</v>
      </c>
      <c r="AN21" s="36">
        <f>'FS Desroches Daily'!BV23</f>
        <v>51</v>
      </c>
      <c r="AO21" s="36">
        <f>'FS Desroches Daily'!BX23</f>
        <v>30.000000000001137</v>
      </c>
      <c r="AP21" s="36">
        <f>'FS Desroches Daily'!BZ23</f>
        <v>51</v>
      </c>
      <c r="AQ21" s="35">
        <f>'FS Desroches Daily'!CB23</f>
        <v>56.700000000000728</v>
      </c>
      <c r="AR21" s="35">
        <f>'FS Desroches Daily'!CD23</f>
        <v>14.5</v>
      </c>
      <c r="AS21" s="35">
        <f>'FS Desroches Daily'!CF23</f>
        <v>14.399999999999636</v>
      </c>
      <c r="AT21" s="35">
        <f>'FS Desroches Daily'!CH23</f>
        <v>84.399999999994179</v>
      </c>
      <c r="AU21" s="35">
        <f>'FS Desroches Daily'!CJ23</f>
        <v>331</v>
      </c>
      <c r="AV21" s="35">
        <f>'FS Desroches Daily'!CL23</f>
        <v>669.99999999995907</v>
      </c>
      <c r="AW21" s="35">
        <f>'FS Desroches Daily'!CM23</f>
        <v>109.4</v>
      </c>
      <c r="AX21" s="35">
        <f>IF(LPG!F28-LPG!F27&lt;0,"0",(LPG!F28-LPG!F27)*1.8315)</f>
        <v>16.483499999999999</v>
      </c>
      <c r="AY21" s="35">
        <f>IF(LPG!H28-LPG!H27&lt;0,"0",(LPG!H28-LPG!H27)*1.8315)</f>
        <v>5.4944999999999995</v>
      </c>
      <c r="AZ21" s="35">
        <f>IF(LPG!J28-LPG!J27&lt;0,"0",(LPG!J28-LPG!J27)*1.8315)</f>
        <v>0</v>
      </c>
      <c r="BA21" s="35">
        <f>IF(LPG!M28-LPG!M27&lt;0,"0",(LPG!M28-LPG!M27)*1.8315)</f>
        <v>3.6629999999999998</v>
      </c>
      <c r="BB21" s="35">
        <f>IF(LPG!Q28-LPG!Q27&lt;0,"0",(LPG!Q28-LPG!Q27)*1.8315)</f>
        <v>5.4944999999999995</v>
      </c>
      <c r="BC21" s="13">
        <f>'FS Desroches Daily'!CN23</f>
        <v>58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3800.0000000000255</v>
      </c>
      <c r="F22" s="36">
        <f>'FS Desroches Daily'!F24</f>
        <v>4599.9999999999372</v>
      </c>
      <c r="G22" s="35">
        <f>'FS Desroches Daily'!H24</f>
        <v>3800.0000000000255</v>
      </c>
      <c r="H22" s="36">
        <f>'FS Desroches Daily'!J24</f>
        <v>1800.0000000000239</v>
      </c>
      <c r="I22" s="35">
        <f>'FS Desroches Daily'!L24</f>
        <v>2899.9999999999027</v>
      </c>
      <c r="J22" s="36">
        <f>'FS Desroches Daily'!N24</f>
        <v>2399.9999999999577</v>
      </c>
      <c r="K22" s="13">
        <f>'FS Desroches Daily'!P24</f>
        <v>19</v>
      </c>
      <c r="L22" s="35">
        <f>'FS Desroches Daily'!R24</f>
        <v>10</v>
      </c>
      <c r="M22" s="35">
        <f>'FS Desroches Daily'!T24</f>
        <v>1321</v>
      </c>
      <c r="N22" s="35">
        <f>'FS Desroches Daily'!V24</f>
        <v>611</v>
      </c>
      <c r="O22" s="35">
        <f>'FS Desroches Daily'!X24</f>
        <v>470.00000000002728</v>
      </c>
      <c r="P22" s="35">
        <f>'FS Desroches Daily'!Z24</f>
        <v>4000.0000000000036</v>
      </c>
      <c r="Q22" s="35">
        <f>'FS Desroches Daily'!AB24</f>
        <v>590.00000000003183</v>
      </c>
      <c r="R22" s="35">
        <f>'FS Desroches Daily'!AD24</f>
        <v>550.00000000001137</v>
      </c>
      <c r="S22" s="35">
        <f>'FS Desroches Daily'!AF24</f>
        <v>1020.0000000000387</v>
      </c>
      <c r="T22" s="35">
        <f>'FS Desroches Daily'!AH24</f>
        <v>2.4000000000000909</v>
      </c>
      <c r="U22" s="39">
        <f>'FS Desroches Daily'!AJ24</f>
        <v>980.00000000001819</v>
      </c>
      <c r="V22" s="39">
        <f>'FS Desroches Daily'!AL24</f>
        <v>0.25</v>
      </c>
      <c r="W22" s="39">
        <f>'FS Desroches Daily'!AN24</f>
        <v>0.28000000000000114</v>
      </c>
      <c r="X22" s="39">
        <f>'FS Desroches Daily'!AP24</f>
        <v>0.28999999999999204</v>
      </c>
      <c r="Y22" s="39">
        <f>'FS Desroches Daily'!AR24</f>
        <v>150.00000000000568</v>
      </c>
      <c r="Z22" s="39">
        <f>'FS Desroches Daily'!AT24</f>
        <v>259.99999999999091</v>
      </c>
      <c r="AA22" s="39">
        <f>'FS Desroches Daily'!AT24</f>
        <v>259.99999999999091</v>
      </c>
      <c r="AB22" s="39">
        <f>'FS Desroches Daily'!AV24</f>
        <v>259.99999999999091</v>
      </c>
      <c r="AC22" s="39">
        <f>'FS Desroches Daily'!AZ24</f>
        <v>220.00000000002728</v>
      </c>
      <c r="AD22" s="39">
        <f>'FS Desroches Daily'!BB24</f>
        <v>290.00000000002046</v>
      </c>
      <c r="AE22" s="39">
        <f>'FS Desroches Daily'!BD24</f>
        <v>20.000000000010232</v>
      </c>
      <c r="AF22" s="35">
        <f>'FS Desroches Daily'!BF24</f>
        <v>54</v>
      </c>
      <c r="AG22" s="36">
        <f>'FS Desroches Daily'!BH24</f>
        <v>39.999999999992042</v>
      </c>
      <c r="AH22" s="36">
        <f>'FS Desroches Daily'!BJ24</f>
        <v>50.000000000011369</v>
      </c>
      <c r="AI22" s="36">
        <f>'FS Desroches Daily'!BL24</f>
        <v>60.000000000002274</v>
      </c>
      <c r="AJ22" s="36">
        <f>'FS Desroches Daily'!BN24</f>
        <v>49.999999999982947</v>
      </c>
      <c r="AK22" s="36">
        <f>'FS Desroches Daily'!BP24</f>
        <v>50.000000000011369</v>
      </c>
      <c r="AL22" s="36">
        <f>'FS Desroches Daily'!BR24</f>
        <v>42</v>
      </c>
      <c r="AM22" s="36">
        <f>'FS Desroches Daily'!BT24</f>
        <v>39.999999999992042</v>
      </c>
      <c r="AN22" s="36">
        <f>'FS Desroches Daily'!BV24</f>
        <v>44</v>
      </c>
      <c r="AO22" s="36">
        <f>'FS Desroches Daily'!BX24</f>
        <v>39.999999999992042</v>
      </c>
      <c r="AP22" s="36">
        <f>'FS Desroches Daily'!BZ24</f>
        <v>70</v>
      </c>
      <c r="AQ22" s="35">
        <f>'FS Desroches Daily'!CB24</f>
        <v>61.700000000000728</v>
      </c>
      <c r="AR22" s="35">
        <f>'FS Desroches Daily'!CD24</f>
        <v>12.899999999999636</v>
      </c>
      <c r="AS22" s="35">
        <f>'FS Desroches Daily'!CF24</f>
        <v>16.800000000000182</v>
      </c>
      <c r="AT22" s="35">
        <f>'FS Desroches Daily'!CH24</f>
        <v>108.30000000000291</v>
      </c>
      <c r="AU22" s="35">
        <f>'FS Desroches Daily'!CJ24</f>
        <v>333</v>
      </c>
      <c r="AV22" s="35">
        <f>'FS Desroches Daily'!CL24</f>
        <v>690.00000000005457</v>
      </c>
      <c r="AW22" s="35">
        <f>'FS Desroches Daily'!CM24</f>
        <v>110</v>
      </c>
      <c r="AX22" s="35">
        <f>IF(LPG!F29-LPG!F28&lt;0,"0",(LPG!F29-LPG!F28)*1.8315)</f>
        <v>16.483499999999999</v>
      </c>
      <c r="AY22" s="35">
        <f>IF(LPG!H29-LPG!H28&lt;0,"0",(LPG!H29-LPG!H28)*1.8315)</f>
        <v>3.6629999999999998</v>
      </c>
      <c r="AZ22" s="35">
        <f>IF(LPG!J29-LPG!J28&lt;0,"0",(LPG!J29-LPG!J28)*1.8315)</f>
        <v>0</v>
      </c>
      <c r="BA22" s="35">
        <f>IF(LPG!M29-LPG!M28&lt;0,"0",(LPG!M29-LPG!M28)*1.8315)</f>
        <v>3.6629999999999998</v>
      </c>
      <c r="BB22" s="35">
        <f>IF(LPG!Q29-LPG!Q28&lt;0,"0",(LPG!Q29-LPG!Q28)*1.8315)</f>
        <v>3.6629999999999998</v>
      </c>
      <c r="BC22" s="13">
        <f>'FS Desroches Daily'!CN24</f>
        <v>62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>
        <f>'FS Desroches Daily'!D25</f>
        <v>3700.0000000000364</v>
      </c>
      <c r="F23" s="36">
        <f>'FS Desroches Daily'!F25</f>
        <v>4300.0000000001928</v>
      </c>
      <c r="G23" s="35">
        <f>'FS Desroches Daily'!H25</f>
        <v>3600.0000000000477</v>
      </c>
      <c r="H23" s="36">
        <f>'FS Desroches Daily'!J25</f>
        <v>1800.0000000000239</v>
      </c>
      <c r="I23" s="35">
        <f>'FS Desroches Daily'!L25</f>
        <v>2299.9999999999686</v>
      </c>
      <c r="J23" s="36">
        <f>'FS Desroches Daily'!N25</f>
        <v>2299.9999999999686</v>
      </c>
      <c r="K23" s="13">
        <f>'FS Desroches Daily'!P25</f>
        <v>20</v>
      </c>
      <c r="L23" s="35">
        <f>'FS Desroches Daily'!R25</f>
        <v>12</v>
      </c>
      <c r="M23" s="35">
        <f>'FS Desroches Daily'!T25</f>
        <v>1789</v>
      </c>
      <c r="N23" s="35">
        <f>'FS Desroches Daily'!V25</f>
        <v>560</v>
      </c>
      <c r="O23" s="35">
        <f>'FS Desroches Daily'!X25</f>
        <v>490.00000000000909</v>
      </c>
      <c r="P23" s="35">
        <f>'FS Desroches Daily'!Z25</f>
        <v>3899.9999999997926</v>
      </c>
      <c r="Q23" s="35">
        <f>'FS Desroches Daily'!AB25</f>
        <v>599.99999999996589</v>
      </c>
      <c r="R23" s="35">
        <f>'FS Desroches Daily'!AD25</f>
        <v>569.99999999999318</v>
      </c>
      <c r="S23" s="35">
        <f>'FS Desroches Daily'!AF25</f>
        <v>1049.9999999999545</v>
      </c>
      <c r="T23" s="35">
        <f>'FS Desroches Daily'!AH25</f>
        <v>2.5</v>
      </c>
      <c r="U23" s="39">
        <f>'FS Desroches Daily'!AJ25</f>
        <v>1000</v>
      </c>
      <c r="V23" s="39">
        <f>'FS Desroches Daily'!AL25</f>
        <v>0.28000000000000114</v>
      </c>
      <c r="W23" s="39">
        <f>'FS Desroches Daily'!AN25</f>
        <v>0.31999999999999318</v>
      </c>
      <c r="X23" s="39">
        <f>'FS Desroches Daily'!AP25</f>
        <v>0.3200000000000216</v>
      </c>
      <c r="Y23" s="39">
        <f>'FS Desroches Daily'!AR25</f>
        <v>180.00000000000682</v>
      </c>
      <c r="Z23" s="39">
        <f>'FS Desroches Daily'!AT25</f>
        <v>310.00000000000227</v>
      </c>
      <c r="AA23" s="39">
        <f>'FS Desroches Daily'!AT25</f>
        <v>310.00000000000227</v>
      </c>
      <c r="AB23" s="39">
        <f>'FS Desroches Daily'!AV25</f>
        <v>250</v>
      </c>
      <c r="AC23" s="39">
        <f>'FS Desroches Daily'!AZ25</f>
        <v>259.99999999999091</v>
      </c>
      <c r="AD23" s="39">
        <f>'FS Desroches Daily'!BB25</f>
        <v>289.99999999996362</v>
      </c>
      <c r="AE23" s="39">
        <f>'FS Desroches Daily'!BD25</f>
        <v>9.9999999999909051</v>
      </c>
      <c r="AF23" s="35">
        <f>'FS Desroches Daily'!BF25</f>
        <v>61</v>
      </c>
      <c r="AG23" s="36">
        <f>'FS Desroches Daily'!BH25</f>
        <v>30.000000000001137</v>
      </c>
      <c r="AH23" s="36">
        <f>'FS Desroches Daily'!BJ25</f>
        <v>50.000000000011369</v>
      </c>
      <c r="AI23" s="36">
        <f>'FS Desroches Daily'!BL25</f>
        <v>39.999999999992042</v>
      </c>
      <c r="AJ23" s="36">
        <f>'FS Desroches Daily'!BN25</f>
        <v>50.000000000011369</v>
      </c>
      <c r="AK23" s="36">
        <f>'FS Desroches Daily'!BP25</f>
        <v>39.99999999996362</v>
      </c>
      <c r="AL23" s="36">
        <f>'FS Desroches Daily'!BR25</f>
        <v>46</v>
      </c>
      <c r="AM23" s="36">
        <f>'FS Desroches Daily'!BT25</f>
        <v>39.999999999992042</v>
      </c>
      <c r="AN23" s="36">
        <f>'FS Desroches Daily'!BV25</f>
        <v>46</v>
      </c>
      <c r="AO23" s="36">
        <f>'FS Desroches Daily'!BX25</f>
        <v>39.999999999992042</v>
      </c>
      <c r="AP23" s="36">
        <f>'FS Desroches Daily'!BZ25</f>
        <v>68</v>
      </c>
      <c r="AQ23" s="35">
        <f>'FS Desroches Daily'!CB25</f>
        <v>36.299999999999272</v>
      </c>
      <c r="AR23" s="35">
        <f>'FS Desroches Daily'!CD25</f>
        <v>12.300000000001091</v>
      </c>
      <c r="AS23" s="35">
        <f>'FS Desroches Daily'!CF25</f>
        <v>13.099999999999454</v>
      </c>
      <c r="AT23" s="35">
        <f>'FS Desroches Daily'!CH25</f>
        <v>55.69999999999709</v>
      </c>
      <c r="AU23" s="35">
        <f>'FS Desroches Daily'!CJ25</f>
        <v>303</v>
      </c>
      <c r="AV23" s="35">
        <f>'FS Desroches Daily'!CL25</f>
        <v>710.00000000003638</v>
      </c>
      <c r="AW23" s="35">
        <f>'FS Desroches Daily'!CM25</f>
        <v>105</v>
      </c>
      <c r="AX23" s="35">
        <f>IF(LPG!F30-LPG!F29&lt;0,"0",(LPG!F30-LPG!F29)*1.8315)</f>
        <v>12.820499999999999</v>
      </c>
      <c r="AY23" s="35">
        <f>IF(LPG!H30-LPG!H29&lt;0,"0",(LPG!H30-LPG!H29)*1.8315)</f>
        <v>3.6629999999999998</v>
      </c>
      <c r="AZ23" s="35">
        <f>IF(LPG!J30-LPG!J29&lt;0,"0",(LPG!J30-LPG!J29)*1.8315)</f>
        <v>1.8314999999999999</v>
      </c>
      <c r="BA23" s="35">
        <f>IF(LPG!M30-LPG!M29&lt;0,"0",(LPG!M30-LPG!M29)*1.8315)</f>
        <v>5.4944999999999995</v>
      </c>
      <c r="BB23" s="35">
        <f>IF(LPG!Q30-LPG!Q29&lt;0,"0",(LPG!Q30-LPG!Q29)*1.8315)</f>
        <v>5.4944999999999995</v>
      </c>
      <c r="BC23" s="13">
        <f>'FS Desroches Daily'!CN25</f>
        <v>49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4199.9999999999818</v>
      </c>
      <c r="F24" s="36">
        <f>'FS Desroches Daily'!F26</f>
        <v>4499.9999999997262</v>
      </c>
      <c r="G24" s="35">
        <f>'FS Desroches Daily'!H26</f>
        <v>4300.0000000001928</v>
      </c>
      <c r="H24" s="36">
        <f>'FS Desroches Daily'!J26</f>
        <v>1900.0000000000127</v>
      </c>
      <c r="I24" s="35">
        <f>'FS Desroches Daily'!L26</f>
        <v>2400.0000000001796</v>
      </c>
      <c r="J24" s="36">
        <f>'FS Desroches Daily'!N26</f>
        <v>2599.9999999999359</v>
      </c>
      <c r="K24" s="13">
        <f>'FS Desroches Daily'!P26</f>
        <v>17</v>
      </c>
      <c r="L24" s="35">
        <f>'FS Desroches Daily'!R26</f>
        <v>7</v>
      </c>
      <c r="M24" s="35">
        <f>'FS Desroches Daily'!T26</f>
        <v>1887</v>
      </c>
      <c r="N24" s="35">
        <f>'FS Desroches Daily'!V26</f>
        <v>557</v>
      </c>
      <c r="O24" s="35">
        <f>'FS Desroches Daily'!X26</f>
        <v>479.99999999996135</v>
      </c>
      <c r="P24" s="35">
        <f>'FS Desroches Daily'!Z26</f>
        <v>3900.0000000002365</v>
      </c>
      <c r="Q24" s="35">
        <f>'FS Desroches Daily'!AB26</f>
        <v>660.00000000002501</v>
      </c>
      <c r="R24" s="35">
        <f>'FS Desroches Daily'!AD26</f>
        <v>589.99999999997499</v>
      </c>
      <c r="S24" s="35">
        <f>'FS Desroches Daily'!AF26</f>
        <v>1150.0000000000341</v>
      </c>
      <c r="T24" s="35">
        <f>'FS Desroches Daily'!AH26</f>
        <v>2.5</v>
      </c>
      <c r="U24" s="39">
        <f>'FS Desroches Daily'!AJ26</f>
        <v>1060.0000000000023</v>
      </c>
      <c r="V24" s="39">
        <f>'FS Desroches Daily'!AL26</f>
        <v>0.32999999999998408</v>
      </c>
      <c r="W24" s="39">
        <f>'FS Desroches Daily'!AN26</f>
        <v>0.34000000000000341</v>
      </c>
      <c r="X24" s="39">
        <f>'FS Desroches Daily'!AP26</f>
        <v>0.33999999999997499</v>
      </c>
      <c r="Y24" s="39">
        <f>'FS Desroches Daily'!AR26</f>
        <v>189.99999999999773</v>
      </c>
      <c r="Z24" s="39">
        <f>'FS Desroches Daily'!AT26</f>
        <v>310.00000000000227</v>
      </c>
      <c r="AA24" s="39">
        <f>'FS Desroches Daily'!AT26</f>
        <v>310.00000000000227</v>
      </c>
      <c r="AB24" s="39">
        <f>'FS Desroches Daily'!AV26</f>
        <v>200.00000000001705</v>
      </c>
      <c r="AC24" s="39">
        <f>'FS Desroches Daily'!AZ26</f>
        <v>250</v>
      </c>
      <c r="AD24" s="39">
        <f>'FS Desroches Daily'!BB26</f>
        <v>389.99999999998636</v>
      </c>
      <c r="AE24" s="39">
        <f>'FS Desroches Daily'!BD26</f>
        <v>10.000000000019327</v>
      </c>
      <c r="AF24" s="35">
        <f>'FS Desroches Daily'!BF26</f>
        <v>60</v>
      </c>
      <c r="AG24" s="36">
        <f>'FS Desroches Daily'!BH26</f>
        <v>39.999999999992042</v>
      </c>
      <c r="AH24" s="36">
        <f>'FS Desroches Daily'!BJ26</f>
        <v>50.000000000011369</v>
      </c>
      <c r="AI24" s="36">
        <f>'FS Desroches Daily'!BL26</f>
        <v>60.000000000002274</v>
      </c>
      <c r="AJ24" s="36">
        <f>'FS Desroches Daily'!BN26</f>
        <v>69.999999999993179</v>
      </c>
      <c r="AK24" s="36">
        <f>'FS Desroches Daily'!BP26</f>
        <v>50.000000000011369</v>
      </c>
      <c r="AL24" s="36">
        <f>'FS Desroches Daily'!BR26</f>
        <v>46</v>
      </c>
      <c r="AM24" s="36">
        <f>'FS Desroches Daily'!BT26</f>
        <v>39.999999999992042</v>
      </c>
      <c r="AN24" s="36">
        <f>'FS Desroches Daily'!BV26</f>
        <v>48</v>
      </c>
      <c r="AO24" s="36">
        <f>'FS Desroches Daily'!BX26</f>
        <v>39.999999999992042</v>
      </c>
      <c r="AP24" s="36">
        <f>'FS Desroches Daily'!BZ26</f>
        <v>69</v>
      </c>
      <c r="AQ24" s="35">
        <f>'FS Desroches Daily'!CB26</f>
        <v>36.099999999998545</v>
      </c>
      <c r="AR24" s="35">
        <f>'FS Desroches Daily'!CD26</f>
        <v>13.5</v>
      </c>
      <c r="AS24" s="35">
        <f>'FS Desroches Daily'!CF26</f>
        <v>10.900000000000546</v>
      </c>
      <c r="AT24" s="35">
        <f>'FS Desroches Daily'!CH26</f>
        <v>60.100000000005821</v>
      </c>
      <c r="AU24" s="35">
        <f>'FS Desroches Daily'!CJ26</f>
        <v>309</v>
      </c>
      <c r="AV24" s="35">
        <f>'FS Desroches Daily'!CL26</f>
        <v>799.99999999995453</v>
      </c>
      <c r="AW24" s="35">
        <f>'FS Desroches Daily'!CM26</f>
        <v>110</v>
      </c>
      <c r="AX24" s="35">
        <f>IF(LPG!F31-LPG!F30&lt;0,"0",(LPG!F31-LPG!F30)*1.8315)</f>
        <v>14.651999999999999</v>
      </c>
      <c r="AY24" s="35">
        <f>IF(LPG!H31-LPG!H30&lt;0,"0",(LPG!H31-LPG!H30)*1.8315)</f>
        <v>3.6629999999999998</v>
      </c>
      <c r="AZ24" s="35">
        <f>IF(LPG!J31-LPG!J30&lt;0,"0",(LPG!J31-LPG!J30)*1.8315)</f>
        <v>0</v>
      </c>
      <c r="BA24" s="35">
        <f>IF(LPG!M31-LPG!M30&lt;0,"0",(LPG!M31-LPG!M30)*1.8315)</f>
        <v>7.3259999999999996</v>
      </c>
      <c r="BB24" s="35">
        <f>IF(LPG!Q31-LPG!Q30&lt;0,"0",(LPG!Q31-LPG!Q30)*1.8315)</f>
        <v>3.6629999999999998</v>
      </c>
      <c r="BC24" s="13">
        <f>'FS Desroches Daily'!CN26</f>
        <v>48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>
        <f>'FS Desroches Daily'!D27</f>
        <v>3599.9999999998254</v>
      </c>
      <c r="F25" s="36">
        <f>'FS Desroches Daily'!F27</f>
        <v>4300.0000000001928</v>
      </c>
      <c r="G25" s="35">
        <f>'FS Desroches Daily'!H27</f>
        <v>3800.0000000000255</v>
      </c>
      <c r="H25" s="36">
        <f>'FS Desroches Daily'!J27</f>
        <v>1800.0000000000239</v>
      </c>
      <c r="I25" s="35">
        <f>'FS Desroches Daily'!L27</f>
        <v>2299.9999999999686</v>
      </c>
      <c r="J25" s="36">
        <f>'FS Desroches Daily'!N27</f>
        <v>2299.9999999999686</v>
      </c>
      <c r="K25" s="13">
        <f>'FS Desroches Daily'!P27</f>
        <v>19</v>
      </c>
      <c r="L25" s="35">
        <f>'FS Desroches Daily'!R27</f>
        <v>9</v>
      </c>
      <c r="M25" s="35" t="str">
        <f>'FS Desroches Daily'!T27</f>
        <v/>
      </c>
      <c r="N25" s="35" t="str">
        <f>'FS Desroches Daily'!V27</f>
        <v/>
      </c>
      <c r="O25" s="35">
        <f>'FS Desroches Daily'!X27</f>
        <v>500</v>
      </c>
      <c r="P25" s="35">
        <f>'FS Desroches Daily'!Z27</f>
        <v>3899.9999999997926</v>
      </c>
      <c r="Q25" s="35">
        <f>'FS Desroches Daily'!AB27</f>
        <v>620.00000000000455</v>
      </c>
      <c r="R25" s="35">
        <f>'FS Desroches Daily'!AD27</f>
        <v>550.00000000001137</v>
      </c>
      <c r="S25" s="35">
        <f>'FS Desroches Daily'!AF27</f>
        <v>1060.0000000000023</v>
      </c>
      <c r="T25" s="35">
        <f>'FS Desroches Daily'!AH27</f>
        <v>2.3999999999998636</v>
      </c>
      <c r="U25" s="39">
        <f>'FS Desroches Daily'!AJ27</f>
        <v>1000</v>
      </c>
      <c r="V25" s="39">
        <f>'FS Desroches Daily'!AL27</f>
        <v>0.27000000000001023</v>
      </c>
      <c r="W25" s="39">
        <f>'FS Desroches Daily'!AN27</f>
        <v>0.31999999999999318</v>
      </c>
      <c r="X25" s="39">
        <f>'FS Desroches Daily'!AP27</f>
        <v>0.31000000000000227</v>
      </c>
      <c r="Y25" s="39">
        <f>'FS Desroches Daily'!AR27</f>
        <v>180.00000000000682</v>
      </c>
      <c r="Z25" s="39">
        <f>'FS Desroches Daily'!AT27</f>
        <v>259.99999999999091</v>
      </c>
      <c r="AA25" s="39">
        <f>'FS Desroches Daily'!AT27</f>
        <v>259.99999999999091</v>
      </c>
      <c r="AB25" s="39">
        <f>'FS Desroches Daily'!AV27</f>
        <v>139.99999999998636</v>
      </c>
      <c r="AC25" s="39">
        <f>'FS Desroches Daily'!AZ27</f>
        <v>189.99999999999773</v>
      </c>
      <c r="AD25" s="39">
        <f>'FS Desroches Daily'!BB27</f>
        <v>290.00000000002046</v>
      </c>
      <c r="AE25" s="39">
        <f>'FS Desroches Daily'!BD27</f>
        <v>9.9999999999909051</v>
      </c>
      <c r="AF25" s="35">
        <f>'FS Desroches Daily'!BF27</f>
        <v>52</v>
      </c>
      <c r="AG25" s="36">
        <f>'FS Desroches Daily'!BH27</f>
        <v>30.000000000001137</v>
      </c>
      <c r="AH25" s="36">
        <f>'FS Desroches Daily'!BJ27</f>
        <v>49.999999999954525</v>
      </c>
      <c r="AI25" s="36">
        <f>'FS Desroches Daily'!BL27</f>
        <v>39.999999999992042</v>
      </c>
      <c r="AJ25" s="36">
        <f>'FS Desroches Daily'!BN27</f>
        <v>39.999999999992042</v>
      </c>
      <c r="AK25" s="36">
        <f>'FS Desroches Daily'!BP27</f>
        <v>40.000000000020464</v>
      </c>
      <c r="AL25" s="36">
        <f>'FS Desroches Daily'!BR27</f>
        <v>44</v>
      </c>
      <c r="AM25" s="36">
        <f>'FS Desroches Daily'!BT27</f>
        <v>30.000000000001137</v>
      </c>
      <c r="AN25" s="36">
        <f>'FS Desroches Daily'!BV27</f>
        <v>43</v>
      </c>
      <c r="AO25" s="36">
        <f>'FS Desroches Daily'!BX27</f>
        <v>40.000000000020464</v>
      </c>
      <c r="AP25" s="36">
        <f>'FS Desroches Daily'!BZ27</f>
        <v>66</v>
      </c>
      <c r="AQ25" s="35">
        <f>'FS Desroches Daily'!CB27</f>
        <v>39.200000000000728</v>
      </c>
      <c r="AR25" s="35">
        <f>'FS Desroches Daily'!CD27</f>
        <v>12.099999999998545</v>
      </c>
      <c r="AS25" s="35">
        <f>'FS Desroches Daily'!CF27</f>
        <v>9.3999999999996362</v>
      </c>
      <c r="AT25" s="35">
        <f>'FS Desroches Daily'!CH27</f>
        <v>70.5</v>
      </c>
      <c r="AU25" s="35">
        <f>'FS Desroches Daily'!CJ27</f>
        <v>328</v>
      </c>
      <c r="AV25" s="35">
        <f>'FS Desroches Daily'!CL27</f>
        <v>659.99999999996817</v>
      </c>
      <c r="AW25" s="35">
        <f>'FS Desroches Daily'!CM27</f>
        <v>111</v>
      </c>
      <c r="AX25" s="35">
        <f>IF(LPG!F32-LPG!F31&lt;0,"0",(LPG!F32-LPG!F31)*1.8315)</f>
        <v>14.651999999999999</v>
      </c>
      <c r="AY25" s="35">
        <f>IF(LPG!H32-LPG!H31&lt;0,"0",(LPG!H32-LPG!H31)*1.8315)</f>
        <v>3.6629999999999998</v>
      </c>
      <c r="AZ25" s="35">
        <f>IF(LPG!J32-LPG!J31&lt;0,"0",(LPG!J32-LPG!J31)*1.8315)</f>
        <v>0</v>
      </c>
      <c r="BA25" s="35">
        <f>IF(LPG!M32-LPG!M31&lt;0,"0",(LPG!M32-LPG!M31)*1.8315)</f>
        <v>5.4944999999999995</v>
      </c>
      <c r="BB25" s="35">
        <f>IF(LPG!Q32-LPG!Q31&lt;0,"0",(LPG!Q32-LPG!Q31)*1.8315)</f>
        <v>3.6629999999999998</v>
      </c>
      <c r="BC25" s="13">
        <f>'FS Desroches Daily'!CN27</f>
        <v>52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2</v>
      </c>
      <c r="D26" s="31">
        <v>2020</v>
      </c>
      <c r="E26" s="35" t="str">
        <f>'FS Desroches Daily'!D28</f>
        <v>0</v>
      </c>
      <c r="F26" s="36" t="str">
        <f>'FS Desroches Daily'!F28</f>
        <v>0</v>
      </c>
      <c r="G26" s="35" t="str">
        <f>'FS Desroches Daily'!H28</f>
        <v>0</v>
      </c>
      <c r="H26" s="36" t="str">
        <f>'FS Desroches Daily'!J28</f>
        <v>0</v>
      </c>
      <c r="I26" s="35" t="str">
        <f>'FS Desroches Daily'!L28</f>
        <v>0</v>
      </c>
      <c r="J26" s="36" t="str">
        <f>'FS Desroches Daily'!N28</f>
        <v/>
      </c>
      <c r="K26" s="13" t="str">
        <f>'FS Desroches Daily'!P28</f>
        <v/>
      </c>
      <c r="L26" s="35" t="str">
        <f>'FS Desroches Daily'!R28</f>
        <v/>
      </c>
      <c r="M26" s="35">
        <f>'FS Desroches Daily'!T28</f>
        <v>0</v>
      </c>
      <c r="N26" s="35">
        <f>'FS Desroches Daily'!V28</f>
        <v>0</v>
      </c>
      <c r="O26" s="35" t="str">
        <f>'FS Desroches Daily'!X28</f>
        <v/>
      </c>
      <c r="P26" s="35" t="str">
        <f>'FS Desroches Daily'!Z28</f>
        <v/>
      </c>
      <c r="Q26" s="35" t="str">
        <f>'FS Desroches Daily'!AB28</f>
        <v/>
      </c>
      <c r="R26" s="35" t="str">
        <f>'FS Desroches Daily'!AD28</f>
        <v/>
      </c>
      <c r="S26" s="35" t="str">
        <f>'FS Desroches Daily'!AF28</f>
        <v/>
      </c>
      <c r="T26" s="35" t="str">
        <f>'FS Desroches Daily'!AH28</f>
        <v/>
      </c>
      <c r="U26" s="39" t="str">
        <f>'FS Desroches Daily'!AJ28</f>
        <v/>
      </c>
      <c r="V26" s="39" t="str">
        <f>'FS Desroches Daily'!AL28</f>
        <v/>
      </c>
      <c r="W26" s="39" t="str">
        <f>'FS Desroches Daily'!AN28</f>
        <v/>
      </c>
      <c r="X26" s="39" t="str">
        <f>'FS Desroches Daily'!AP28</f>
        <v/>
      </c>
      <c r="Y26" s="39" t="str">
        <f>'FS Desroches Daily'!AR28</f>
        <v/>
      </c>
      <c r="Z26" s="39" t="str">
        <f>'FS Desroches Daily'!AT28</f>
        <v/>
      </c>
      <c r="AA26" s="39" t="str">
        <f>'FS Desroches Daily'!AT28</f>
        <v/>
      </c>
      <c r="AB26" s="39" t="str">
        <f>'FS Desroches Daily'!AV28</f>
        <v/>
      </c>
      <c r="AC26" s="39" t="str">
        <f>'FS Desroches Daily'!AZ28</f>
        <v/>
      </c>
      <c r="AD26" s="39" t="str">
        <f>'FS Desroches Daily'!BB28</f>
        <v/>
      </c>
      <c r="AE26" s="39" t="str">
        <f>'FS Desroches Daily'!BD28</f>
        <v/>
      </c>
      <c r="AF26" s="35" t="str">
        <f>'FS Desroches Daily'!BF28</f>
        <v/>
      </c>
      <c r="AG26" s="36" t="str">
        <f>'FS Desroches Daily'!BH28</f>
        <v/>
      </c>
      <c r="AH26" s="36" t="str">
        <f>'FS Desroches Daily'!BJ28</f>
        <v/>
      </c>
      <c r="AI26" s="36" t="str">
        <f>'FS Desroches Daily'!BL28</f>
        <v/>
      </c>
      <c r="AJ26" s="36" t="str">
        <f>'FS Desroches Daily'!BN28</f>
        <v/>
      </c>
      <c r="AK26" s="36" t="str">
        <f>'FS Desroches Daily'!BP28</f>
        <v/>
      </c>
      <c r="AL26" s="36" t="str">
        <f>'FS Desroches Daily'!BR28</f>
        <v/>
      </c>
      <c r="AM26" s="36" t="str">
        <f>'FS Desroches Daily'!BT28</f>
        <v/>
      </c>
      <c r="AN26" s="36" t="str">
        <f>'FS Desroches Daily'!BV28</f>
        <v/>
      </c>
      <c r="AO26" s="36" t="str">
        <f>'FS Desroches Daily'!BX28</f>
        <v/>
      </c>
      <c r="AP26" s="36" t="str">
        <f>'FS Desroches Daily'!BZ28</f>
        <v/>
      </c>
      <c r="AQ26" s="35" t="str">
        <f>'FS Desroches Daily'!CB28</f>
        <v/>
      </c>
      <c r="AR26" s="35" t="str">
        <f>'FS Desroches Daily'!CD28</f>
        <v/>
      </c>
      <c r="AS26" s="35" t="str">
        <f>'FS Desroches Daily'!CF28</f>
        <v/>
      </c>
      <c r="AT26" s="35" t="str">
        <f>'FS Desroches Daily'!CH28</f>
        <v/>
      </c>
      <c r="AU26" s="35" t="str">
        <f>'FS Desroches Daily'!CJ28</f>
        <v/>
      </c>
      <c r="AV26" s="35" t="str">
        <f>'FS Desroches Daily'!CL28</f>
        <v/>
      </c>
      <c r="AW26" s="35">
        <f>'FS Desroches Daily'!CM28</f>
        <v>0</v>
      </c>
      <c r="AX26" s="35" t="str">
        <f>IF(LPG!F33-LPG!F32&lt;0,"0",(LPG!F33-LPG!F32)*1.8315)</f>
        <v>0</v>
      </c>
      <c r="AY26" s="35" t="str">
        <f>IF(LPG!H33-LPG!H32&lt;0,"0",(LPG!H33-LPG!H32)*1.8315)</f>
        <v>0</v>
      </c>
      <c r="AZ26" s="35" t="str">
        <f>IF(LPG!J33-LPG!J32&lt;0,"0",(LPG!J33-LPG!J32)*1.8315)</f>
        <v>0</v>
      </c>
      <c r="BA26" s="35" t="str">
        <f>IF(LPG!M33-LPG!M32&lt;0,"0",(LPG!M33-LPG!M32)*1.8315)</f>
        <v>0</v>
      </c>
      <c r="BB26" s="35" t="str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2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2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70999.999999999942</v>
      </c>
      <c r="F33" s="17">
        <f t="shared" ref="F33:BC33" si="1">SUM(F2:F32)</f>
        <v>93900.000000000087</v>
      </c>
      <c r="G33" s="17">
        <f t="shared" si="1"/>
        <v>80600.000000000015</v>
      </c>
      <c r="H33" s="17">
        <f t="shared" si="1"/>
        <v>39300.000000000116</v>
      </c>
      <c r="I33" s="17">
        <f t="shared" si="1"/>
        <v>55300.000000000138</v>
      </c>
      <c r="J33" s="17">
        <f t="shared" si="1"/>
        <v>48899.999999999942</v>
      </c>
      <c r="K33" s="17">
        <f t="shared" si="1"/>
        <v>450</v>
      </c>
      <c r="L33" s="17">
        <f t="shared" si="1"/>
        <v>205</v>
      </c>
      <c r="M33" s="17">
        <f t="shared" si="1"/>
        <v>29840</v>
      </c>
      <c r="N33" s="17">
        <f t="shared" si="1"/>
        <v>11426</v>
      </c>
      <c r="O33" s="17">
        <f t="shared" si="1"/>
        <v>10800.000000000015</v>
      </c>
      <c r="P33" s="17">
        <f t="shared" si="1"/>
        <v>83699.999999999898</v>
      </c>
      <c r="Q33" s="17">
        <f t="shared" si="1"/>
        <v>12600.000000000022</v>
      </c>
      <c r="R33" s="17">
        <f t="shared" si="1"/>
        <v>11329.999999999982</v>
      </c>
      <c r="S33" s="17">
        <f t="shared" si="1"/>
        <v>22139.999999999985</v>
      </c>
      <c r="T33" s="17">
        <f t="shared" si="1"/>
        <v>48.200000000000045</v>
      </c>
      <c r="U33" s="39">
        <f t="shared" si="1"/>
        <v>15000</v>
      </c>
      <c r="V33" s="39">
        <f t="shared" si="1"/>
        <v>5.8699999999999903</v>
      </c>
      <c r="W33" s="39">
        <f t="shared" si="1"/>
        <v>5.8299999999999841</v>
      </c>
      <c r="X33" s="39">
        <f t="shared" si="1"/>
        <v>5.3099999999999881</v>
      </c>
      <c r="Y33" s="39">
        <f t="shared" si="1"/>
        <v>4530.0000000000018</v>
      </c>
      <c r="Z33" s="39">
        <f t="shared" si="1"/>
        <v>6122.5800000000036</v>
      </c>
      <c r="AA33" s="39">
        <f t="shared" si="1"/>
        <v>6122.5800000000036</v>
      </c>
      <c r="AB33" s="39">
        <f t="shared" si="1"/>
        <v>5090.0000000000027</v>
      </c>
      <c r="AC33" s="39">
        <f t="shared" si="1"/>
        <v>4319.9999999999927</v>
      </c>
      <c r="AD33" s="39">
        <f t="shared" si="1"/>
        <v>4550.0000000000109</v>
      </c>
      <c r="AE33" s="39">
        <f t="shared" si="1"/>
        <v>289.99999999999204</v>
      </c>
      <c r="AF33" s="17">
        <f t="shared" si="1"/>
        <v>1486</v>
      </c>
      <c r="AG33" s="36">
        <f t="shared" si="1"/>
        <v>770.00000000001023</v>
      </c>
      <c r="AH33" s="36">
        <f t="shared" si="1"/>
        <v>989.99999999995225</v>
      </c>
      <c r="AI33" s="36">
        <f t="shared" si="1"/>
        <v>1079.9999999999841</v>
      </c>
      <c r="AJ33" s="36">
        <f t="shared" si="1"/>
        <v>1000</v>
      </c>
      <c r="AK33" s="36">
        <f t="shared" si="1"/>
        <v>980.00000000001819</v>
      </c>
      <c r="AL33" s="36">
        <f t="shared" si="1"/>
        <v>957</v>
      </c>
      <c r="AM33" s="36">
        <f t="shared" si="1"/>
        <v>989.99999999998067</v>
      </c>
      <c r="AN33" s="36">
        <f t="shared" si="1"/>
        <v>987</v>
      </c>
      <c r="AO33" s="36">
        <f t="shared" si="1"/>
        <v>930.00000000000682</v>
      </c>
      <c r="AP33" s="36">
        <f t="shared" si="1"/>
        <v>1475</v>
      </c>
      <c r="AQ33" s="17">
        <f t="shared" si="1"/>
        <v>944.90000000000146</v>
      </c>
      <c r="AR33" s="17">
        <f t="shared" si="1"/>
        <v>276.89999999999964</v>
      </c>
      <c r="AS33" s="17">
        <f t="shared" si="1"/>
        <v>237.80000000000018</v>
      </c>
      <c r="AT33" s="17">
        <f t="shared" si="1"/>
        <v>1881.7000000000044</v>
      </c>
      <c r="AU33" s="17">
        <f t="shared" si="1"/>
        <v>7273</v>
      </c>
      <c r="AV33" s="17">
        <f t="shared" si="1"/>
        <v>14439.999999999942</v>
      </c>
      <c r="AW33" s="17">
        <f t="shared" si="1"/>
        <v>2257.8000000000002</v>
      </c>
      <c r="AX33" s="17">
        <f t="shared" si="1"/>
        <v>351.64799999999991</v>
      </c>
      <c r="AY33" s="17">
        <f t="shared" si="1"/>
        <v>87.911999999999964</v>
      </c>
      <c r="AZ33" s="17">
        <f t="shared" si="1"/>
        <v>10.988999999999999</v>
      </c>
      <c r="BA33" s="17">
        <f t="shared" si="1"/>
        <v>108.05849999999998</v>
      </c>
      <c r="BB33" s="17">
        <f t="shared" si="1"/>
        <v>111.72149999999996</v>
      </c>
      <c r="BC33" s="17">
        <f t="shared" si="1"/>
        <v>1198</v>
      </c>
    </row>
    <row r="35" spans="5:55" x14ac:dyDescent="0.25">
      <c r="E35" s="42">
        <f>E33/E37</f>
        <v>0.21857048744297131</v>
      </c>
      <c r="G35" s="33">
        <f>G33-M36</f>
        <v>39334.000000000015</v>
      </c>
      <c r="AE35" s="39">
        <f>SUM(U33:AE33)</f>
        <v>46042.170000000006</v>
      </c>
      <c r="AG35" s="36">
        <f>SUM(AG33:AP33)</f>
        <v>10158.999999999953</v>
      </c>
    </row>
    <row r="36" spans="5:55" x14ac:dyDescent="0.25">
      <c r="G36" s="33">
        <f>G35-633*14</f>
        <v>30472.000000000015</v>
      </c>
      <c r="M36" s="33">
        <f>M33+N33</f>
        <v>41266</v>
      </c>
    </row>
    <row r="37" spans="5:55" x14ac:dyDescent="0.25">
      <c r="E37" s="17">
        <f>E33+F33+G33+H33+J33-633*14</f>
        <v>324838.00000000012</v>
      </c>
      <c r="G37" s="41">
        <f>M36/E37</f>
        <v>0.12703563006791072</v>
      </c>
      <c r="M37" s="39">
        <f>AE35</f>
        <v>46042.170000000006</v>
      </c>
    </row>
    <row r="38" spans="5:55" x14ac:dyDescent="0.25">
      <c r="L38" s="31">
        <f>M38/E37</f>
        <v>3.1274050449762496E-2</v>
      </c>
      <c r="M38" s="33">
        <f>AG35</f>
        <v>10158.999999999953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8" activePane="bottomLeft" state="frozen"/>
      <selection pane="bottomLeft" activeCell="CO28" sqref="CO28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4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 t="shared" si="23"/>
        <v>409.99999999996817</v>
      </c>
      <c r="Y9" s="64">
        <v>2.181</v>
      </c>
      <c r="Z9" s="72">
        <f t="shared" si="24"/>
        <v>3400.0000000000696</v>
      </c>
      <c r="AA9" s="64">
        <v>295.35000000000002</v>
      </c>
      <c r="AB9" s="72">
        <f t="shared" si="25"/>
        <v>580.00000000004093</v>
      </c>
      <c r="AC9" s="64">
        <v>266.07</v>
      </c>
      <c r="AD9" s="72">
        <f t="shared" si="26"/>
        <v>370.00000000000455</v>
      </c>
      <c r="AE9" s="64">
        <v>401.1</v>
      </c>
      <c r="AF9" s="72">
        <f t="shared" si="27"/>
        <v>820.00000000005002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 t="shared" si="28"/>
        <v>480.00000000001819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f t="shared" si="30"/>
        <v>179.99999999994998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4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4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>
        <v>752141</v>
      </c>
      <c r="T11" s="71">
        <f t="shared" si="9"/>
        <v>1249</v>
      </c>
      <c r="U11" s="64">
        <v>304839</v>
      </c>
      <c r="V11" s="72">
        <f t="shared" si="10"/>
        <v>574</v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f t="shared" si="13"/>
        <v>0.19999999999998863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45">
      <c r="A12" s="70">
        <v>43870</v>
      </c>
      <c r="B12" s="48"/>
      <c r="C12" s="64">
        <v>1.478</v>
      </c>
      <c r="D12" s="71">
        <f t="shared" si="3"/>
        <v>2299.9999999999686</v>
      </c>
      <c r="E12" s="64">
        <v>2.4679000000000002</v>
      </c>
      <c r="F12" s="71">
        <f t="shared" si="4"/>
        <v>3700.0000000002588</v>
      </c>
      <c r="G12" s="64">
        <v>2.2785000000000002</v>
      </c>
      <c r="H12" s="71">
        <f t="shared" si="5"/>
        <v>3000.0000000001137</v>
      </c>
      <c r="I12" s="64">
        <v>1.07</v>
      </c>
      <c r="J12" s="71">
        <f t="shared" si="43"/>
        <v>1600.0000000000459</v>
      </c>
      <c r="K12" s="64">
        <v>1.6397999999999999</v>
      </c>
      <c r="L12" s="71">
        <f t="shared" si="0"/>
        <v>2000.0000000000018</v>
      </c>
      <c r="M12" s="64">
        <v>1.0388999999999999</v>
      </c>
      <c r="N12" s="71">
        <f t="shared" si="6"/>
        <v>2199.9999999999795</v>
      </c>
      <c r="O12" s="64">
        <v>11625</v>
      </c>
      <c r="P12" s="72">
        <f t="shared" si="7"/>
        <v>19</v>
      </c>
      <c r="Q12" s="64">
        <v>4649</v>
      </c>
      <c r="R12" s="72">
        <f t="shared" si="8"/>
        <v>9</v>
      </c>
      <c r="S12" s="64">
        <v>753341</v>
      </c>
      <c r="T12" s="72">
        <f t="shared" ref="T12:T34" si="44">IF((S12-S11&lt;0), "",S12-S11)</f>
        <v>1200</v>
      </c>
      <c r="U12" s="64">
        <v>305251</v>
      </c>
      <c r="V12" s="72">
        <f t="shared" si="10"/>
        <v>412</v>
      </c>
      <c r="W12" s="64">
        <v>297.51</v>
      </c>
      <c r="X12" s="72">
        <f t="shared" si="23"/>
        <v>480.00000000001819</v>
      </c>
      <c r="Y12" s="64">
        <v>2.1909000000000001</v>
      </c>
      <c r="Z12" s="72">
        <f t="shared" si="24"/>
        <v>3299.9999999998586</v>
      </c>
      <c r="AA12" s="64">
        <v>296.74</v>
      </c>
      <c r="AB12" s="72">
        <f t="shared" si="25"/>
        <v>550.00000000001137</v>
      </c>
      <c r="AC12" s="64">
        <v>267.51</v>
      </c>
      <c r="AD12" s="72">
        <f t="shared" si="26"/>
        <v>560.00000000000227</v>
      </c>
      <c r="AE12" s="64">
        <v>404.03</v>
      </c>
      <c r="AF12" s="72">
        <f t="shared" si="27"/>
        <v>1049.9999999999545</v>
      </c>
      <c r="AG12" s="64">
        <v>1061.9000000000001</v>
      </c>
      <c r="AH12" s="72">
        <f t="shared" si="11"/>
        <v>1.7000000000000455</v>
      </c>
      <c r="AI12" s="64">
        <v>369.35</v>
      </c>
      <c r="AJ12" s="72">
        <f t="shared" si="28"/>
        <v>430.00000000000682</v>
      </c>
      <c r="AK12" s="64">
        <v>128.1</v>
      </c>
      <c r="AL12" s="72">
        <f t="shared" si="12"/>
        <v>0.28000000000000114</v>
      </c>
      <c r="AM12" s="64">
        <v>129.93</v>
      </c>
      <c r="AN12" s="72">
        <f t="shared" si="13"/>
        <v>0.24000000000000909</v>
      </c>
      <c r="AO12" s="64">
        <v>127.75</v>
      </c>
      <c r="AP12" s="72">
        <f t="shared" si="14"/>
        <v>0.20999999999999375</v>
      </c>
      <c r="AQ12" s="64">
        <v>201.55</v>
      </c>
      <c r="AR12" s="72">
        <f t="shared" si="29"/>
        <v>170.00000000001592</v>
      </c>
      <c r="AS12" s="64">
        <v>325.42</v>
      </c>
      <c r="AT12" s="72">
        <f t="shared" si="30"/>
        <v>220.00000000002728</v>
      </c>
      <c r="AU12" s="64">
        <v>250.42</v>
      </c>
      <c r="AV12" s="72">
        <f t="shared" si="31"/>
        <v>199.99999999998863</v>
      </c>
      <c r="AW12" s="64">
        <v>278.91000000000003</v>
      </c>
      <c r="AX12" s="72">
        <f t="shared" si="32"/>
        <v>140.0000000000432</v>
      </c>
      <c r="AY12" s="64">
        <v>330.75</v>
      </c>
      <c r="AZ12" s="72">
        <f t="shared" si="33"/>
        <v>189.99999999999773</v>
      </c>
      <c r="BA12" s="64">
        <v>351.12</v>
      </c>
      <c r="BB12" s="72">
        <f t="shared" si="34"/>
        <v>60.000000000002274</v>
      </c>
      <c r="BC12" s="64">
        <v>202.09</v>
      </c>
      <c r="BD12" s="72">
        <f t="shared" si="35"/>
        <v>0</v>
      </c>
      <c r="BE12" s="66">
        <v>24524</v>
      </c>
      <c r="BF12" s="72">
        <f t="shared" si="15"/>
        <v>46</v>
      </c>
      <c r="BG12" s="67">
        <v>220.75</v>
      </c>
      <c r="BH12" s="72">
        <f t="shared" si="36"/>
        <v>50.000000000011369</v>
      </c>
      <c r="BI12" s="67">
        <v>277.52999999999997</v>
      </c>
      <c r="BJ12" s="72">
        <f t="shared" si="37"/>
        <v>49.999999999954525</v>
      </c>
      <c r="BK12" s="67">
        <v>225.53</v>
      </c>
      <c r="BL12" s="72">
        <f t="shared" si="38"/>
        <v>60.000000000002274</v>
      </c>
      <c r="BM12" s="67">
        <v>208.31</v>
      </c>
      <c r="BN12" s="72">
        <f t="shared" si="39"/>
        <v>60.000000000002274</v>
      </c>
      <c r="BO12" s="67">
        <v>272.20999999999998</v>
      </c>
      <c r="BP12" s="72">
        <f t="shared" si="40"/>
        <v>49.999999999954525</v>
      </c>
      <c r="BQ12" s="67">
        <v>35186</v>
      </c>
      <c r="BR12" s="72">
        <f t="shared" si="16"/>
        <v>47</v>
      </c>
      <c r="BS12" s="67">
        <v>189.52</v>
      </c>
      <c r="BT12" s="72">
        <f t="shared" si="41"/>
        <v>50.000000000011369</v>
      </c>
      <c r="BU12" s="67">
        <v>26061</v>
      </c>
      <c r="BV12" s="72">
        <f t="shared" si="1"/>
        <v>49</v>
      </c>
      <c r="BW12" s="67">
        <v>218.92</v>
      </c>
      <c r="BX12" s="72">
        <f t="shared" si="42"/>
        <v>59.999999999973852</v>
      </c>
      <c r="BY12" s="67">
        <v>42850</v>
      </c>
      <c r="BZ12" s="72">
        <f t="shared" si="17"/>
        <v>76</v>
      </c>
      <c r="CA12" s="67">
        <v>25637.7</v>
      </c>
      <c r="CB12" s="72">
        <f t="shared" si="18"/>
        <v>33.600000000002183</v>
      </c>
      <c r="CC12" s="67">
        <v>10697.4</v>
      </c>
      <c r="CD12" s="72">
        <f t="shared" si="19"/>
        <v>8.1000000000003638</v>
      </c>
      <c r="CE12" s="67">
        <v>5187.8</v>
      </c>
      <c r="CF12" s="72">
        <f t="shared" si="20"/>
        <v>9.9000000000005457</v>
      </c>
      <c r="CG12" s="67">
        <v>38833.4</v>
      </c>
      <c r="CH12" s="72">
        <f t="shared" si="21"/>
        <v>65.5</v>
      </c>
      <c r="CI12" s="67">
        <v>826933</v>
      </c>
      <c r="CJ12" s="72">
        <f t="shared" si="2"/>
        <v>301</v>
      </c>
      <c r="CK12" s="67">
        <v>512.44000000000005</v>
      </c>
      <c r="CL12" s="71">
        <f t="shared" si="22"/>
        <v>570.00000000005002</v>
      </c>
      <c r="CM12" s="72">
        <v>75.5</v>
      </c>
      <c r="CN12" s="69">
        <v>42</v>
      </c>
      <c r="CO12" s="69">
        <v>86</v>
      </c>
    </row>
    <row r="13" spans="1:93" ht="25.5" customHeight="1" thickBot="1" x14ac:dyDescent="0.45">
      <c r="A13" s="70">
        <v>43871</v>
      </c>
      <c r="B13" s="48"/>
      <c r="C13" s="64">
        <v>1.4806999999999999</v>
      </c>
      <c r="D13" s="71">
        <f t="shared" si="3"/>
        <v>2699.9999999999245</v>
      </c>
      <c r="E13" s="64">
        <v>2.4718</v>
      </c>
      <c r="F13" s="71">
        <f t="shared" si="4"/>
        <v>3899.9999999997926</v>
      </c>
      <c r="G13" s="64">
        <v>2.2814999999999999</v>
      </c>
      <c r="H13" s="71">
        <f t="shared" si="5"/>
        <v>2999.9999999996694</v>
      </c>
      <c r="I13" s="64">
        <v>1.0716000000000001</v>
      </c>
      <c r="J13" s="71">
        <f t="shared" si="43"/>
        <v>1600.0000000000459</v>
      </c>
      <c r="K13" s="64">
        <v>1.6418999999999999</v>
      </c>
      <c r="L13" s="71">
        <f t="shared" si="0"/>
        <v>2099.9999999999909</v>
      </c>
      <c r="M13" s="64">
        <v>1.0408999999999999</v>
      </c>
      <c r="N13" s="71">
        <f t="shared" si="6"/>
        <v>2000.0000000000018</v>
      </c>
      <c r="O13" s="64">
        <v>11645</v>
      </c>
      <c r="P13" s="72">
        <f t="shared" si="7"/>
        <v>20</v>
      </c>
      <c r="Q13" s="64">
        <v>4658</v>
      </c>
      <c r="R13" s="72">
        <f t="shared" si="8"/>
        <v>9</v>
      </c>
      <c r="S13" s="64">
        <v>754465</v>
      </c>
      <c r="T13" s="72">
        <f t="shared" si="44"/>
        <v>1124</v>
      </c>
      <c r="U13" s="64">
        <v>305710</v>
      </c>
      <c r="V13" s="72">
        <f t="shared" si="10"/>
        <v>459</v>
      </c>
      <c r="W13" s="64">
        <v>297.95999999999998</v>
      </c>
      <c r="X13" s="72">
        <f t="shared" si="23"/>
        <v>449.99999999998863</v>
      </c>
      <c r="Y13" s="64">
        <v>2.1945000000000001</v>
      </c>
      <c r="Z13" s="72">
        <f t="shared" si="24"/>
        <v>3600.0000000000477</v>
      </c>
      <c r="AA13" s="64">
        <v>297.36</v>
      </c>
      <c r="AB13" s="72">
        <f t="shared" si="25"/>
        <v>620.00000000000455</v>
      </c>
      <c r="AC13" s="64">
        <v>267.95</v>
      </c>
      <c r="AD13" s="72">
        <f t="shared" si="26"/>
        <v>439.99999999999773</v>
      </c>
      <c r="AE13" s="64">
        <v>405.03</v>
      </c>
      <c r="AF13" s="72">
        <f t="shared" si="27"/>
        <v>1000</v>
      </c>
      <c r="AG13" s="64">
        <v>1063.8</v>
      </c>
      <c r="AH13" s="72">
        <f t="shared" si="11"/>
        <v>1.8999999999998636</v>
      </c>
      <c r="AI13" s="64">
        <v>369.55</v>
      </c>
      <c r="AJ13" s="72">
        <f t="shared" si="28"/>
        <v>199.99999999998863</v>
      </c>
      <c r="AK13" s="64">
        <v>128.41999999999999</v>
      </c>
      <c r="AL13" s="72">
        <f t="shared" si="12"/>
        <v>0.31999999999999318</v>
      </c>
      <c r="AM13" s="64">
        <v>130.24</v>
      </c>
      <c r="AN13" s="72">
        <f t="shared" si="13"/>
        <v>0.31000000000000227</v>
      </c>
      <c r="AO13" s="64">
        <v>128.01</v>
      </c>
      <c r="AP13" s="72">
        <f t="shared" si="14"/>
        <v>0.25999999999999091</v>
      </c>
      <c r="AQ13" s="64">
        <v>201.8</v>
      </c>
      <c r="AR13" s="72">
        <f t="shared" si="29"/>
        <v>250</v>
      </c>
      <c r="AS13" s="64">
        <v>325.77</v>
      </c>
      <c r="AT13" s="72">
        <f t="shared" si="30"/>
        <v>349.99999999996589</v>
      </c>
      <c r="AU13" s="64">
        <v>250.7</v>
      </c>
      <c r="AV13" s="72">
        <f t="shared" si="31"/>
        <v>280.00000000000114</v>
      </c>
      <c r="AW13" s="64">
        <v>279.07</v>
      </c>
      <c r="AX13" s="72">
        <f t="shared" si="32"/>
        <v>159.99999999996817</v>
      </c>
      <c r="AY13" s="64">
        <v>331.06</v>
      </c>
      <c r="AZ13" s="72">
        <f t="shared" si="33"/>
        <v>310.00000000000227</v>
      </c>
      <c r="BA13" s="64">
        <v>351.18</v>
      </c>
      <c r="BB13" s="72">
        <f t="shared" si="34"/>
        <v>60.000000000002274</v>
      </c>
      <c r="BC13" s="64">
        <v>202.1</v>
      </c>
      <c r="BD13" s="72">
        <f t="shared" si="35"/>
        <v>9.9999999999909051</v>
      </c>
      <c r="BE13" s="66">
        <v>24597</v>
      </c>
      <c r="BF13" s="72">
        <f t="shared" si="15"/>
        <v>73</v>
      </c>
      <c r="BG13" s="67">
        <v>220.78</v>
      </c>
      <c r="BH13" s="72">
        <f t="shared" si="36"/>
        <v>30.000000000001137</v>
      </c>
      <c r="BI13" s="67">
        <v>277.57</v>
      </c>
      <c r="BJ13" s="72">
        <f t="shared" si="37"/>
        <v>40.000000000020464</v>
      </c>
      <c r="BK13" s="67">
        <v>225.56</v>
      </c>
      <c r="BL13" s="72">
        <f t="shared" si="38"/>
        <v>30.000000000001137</v>
      </c>
      <c r="BM13" s="67">
        <v>208.34</v>
      </c>
      <c r="BN13" s="72">
        <f t="shared" si="39"/>
        <v>30.000000000001137</v>
      </c>
      <c r="BO13" s="67">
        <v>272.24</v>
      </c>
      <c r="BP13" s="72">
        <f t="shared" si="40"/>
        <v>30.000000000029559</v>
      </c>
      <c r="BQ13" s="67">
        <v>35221</v>
      </c>
      <c r="BR13" s="72">
        <f t="shared" si="16"/>
        <v>35</v>
      </c>
      <c r="BS13" s="67">
        <v>189.57</v>
      </c>
      <c r="BT13" s="72">
        <f t="shared" si="41"/>
        <v>49.999999999982947</v>
      </c>
      <c r="BU13" s="67">
        <v>26097</v>
      </c>
      <c r="BV13" s="72">
        <f t="shared" si="1"/>
        <v>36</v>
      </c>
      <c r="BW13" s="67">
        <v>218.96</v>
      </c>
      <c r="BX13" s="72">
        <f t="shared" si="42"/>
        <v>40.000000000020464</v>
      </c>
      <c r="BY13" s="67">
        <v>42905</v>
      </c>
      <c r="BZ13" s="72">
        <f t="shared" si="17"/>
        <v>55</v>
      </c>
      <c r="CA13" s="67">
        <v>25668.5</v>
      </c>
      <c r="CB13" s="72">
        <f t="shared" si="18"/>
        <v>30.799999999999272</v>
      </c>
      <c r="CC13" s="67">
        <v>10705.1</v>
      </c>
      <c r="CD13" s="72">
        <f t="shared" si="19"/>
        <v>7.7000000000007276</v>
      </c>
      <c r="CE13" s="67">
        <v>5199.7</v>
      </c>
      <c r="CF13" s="72">
        <f t="shared" si="20"/>
        <v>11.899999999999636</v>
      </c>
      <c r="CG13" s="67">
        <v>38994.800000000003</v>
      </c>
      <c r="CH13" s="72">
        <f t="shared" si="21"/>
        <v>161.40000000000146</v>
      </c>
      <c r="CI13" s="67">
        <v>827232</v>
      </c>
      <c r="CJ13" s="72">
        <f t="shared" si="2"/>
        <v>299</v>
      </c>
      <c r="CK13" s="67">
        <v>512.86</v>
      </c>
      <c r="CL13" s="71">
        <f t="shared" si="22"/>
        <v>419.99999999995907</v>
      </c>
      <c r="CM13" s="72">
        <v>78.599999999999994</v>
      </c>
      <c r="CN13" s="69">
        <v>51</v>
      </c>
      <c r="CO13" s="69">
        <v>94</v>
      </c>
    </row>
    <row r="14" spans="1:93" ht="25.5" customHeight="1" thickBot="1" x14ac:dyDescent="0.45">
      <c r="A14" s="70">
        <v>43872</v>
      </c>
      <c r="B14" s="48"/>
      <c r="C14" s="64">
        <v>1.4839</v>
      </c>
      <c r="D14" s="71">
        <f t="shared" si="3"/>
        <v>3200.0000000000919</v>
      </c>
      <c r="E14" s="64">
        <v>2.4754</v>
      </c>
      <c r="F14" s="71">
        <f t="shared" si="4"/>
        <v>3600.0000000000477</v>
      </c>
      <c r="G14" s="64">
        <v>2.2848999999999999</v>
      </c>
      <c r="H14" s="71">
        <f t="shared" si="5"/>
        <v>3400.0000000000696</v>
      </c>
      <c r="I14" s="64">
        <v>1.0732999999999999</v>
      </c>
      <c r="J14" s="71">
        <f t="shared" si="43"/>
        <v>1699.9999999998129</v>
      </c>
      <c r="K14" s="64">
        <v>1.6439999999999999</v>
      </c>
      <c r="L14" s="71">
        <f t="shared" si="0"/>
        <v>2099.9999999999909</v>
      </c>
      <c r="M14" s="64">
        <v>1.0429999999999999</v>
      </c>
      <c r="N14" s="71">
        <f t="shared" si="6"/>
        <v>2099.9999999999909</v>
      </c>
      <c r="O14" s="64">
        <v>11665</v>
      </c>
      <c r="P14" s="72">
        <f t="shared" si="7"/>
        <v>20</v>
      </c>
      <c r="Q14" s="64">
        <v>4667</v>
      </c>
      <c r="R14" s="72">
        <f t="shared" si="8"/>
        <v>9</v>
      </c>
      <c r="S14" s="64">
        <v>755586</v>
      </c>
      <c r="T14" s="72">
        <f t="shared" si="44"/>
        <v>1121</v>
      </c>
      <c r="U14" s="64">
        <v>306178</v>
      </c>
      <c r="V14" s="72">
        <f t="shared" si="10"/>
        <v>468</v>
      </c>
      <c r="W14" s="64">
        <v>298.37</v>
      </c>
      <c r="X14" s="72">
        <f>IF((W14-W13&lt;0), "",(W14-W13)*1000)</f>
        <v>410.00000000002501</v>
      </c>
      <c r="Y14" s="64">
        <v>2.1976</v>
      </c>
      <c r="Z14" s="72">
        <f t="shared" si="24"/>
        <v>3099.9999999998809</v>
      </c>
      <c r="AA14" s="64">
        <v>297.88</v>
      </c>
      <c r="AB14" s="72">
        <f t="shared" si="25"/>
        <v>519.99999999998181</v>
      </c>
      <c r="AC14" s="64">
        <v>268.42</v>
      </c>
      <c r="AD14" s="72">
        <f t="shared" si="26"/>
        <v>470.00000000002728</v>
      </c>
      <c r="AE14" s="64">
        <v>405.99</v>
      </c>
      <c r="AF14" s="72">
        <f t="shared" si="27"/>
        <v>960.00000000003638</v>
      </c>
      <c r="AG14" s="64">
        <v>1065.5999999999999</v>
      </c>
      <c r="AH14" s="72">
        <f t="shared" si="11"/>
        <v>1.7999999999999545</v>
      </c>
      <c r="AI14" s="64">
        <v>369.94</v>
      </c>
      <c r="AJ14" s="72">
        <f t="shared" si="28"/>
        <v>389.99999999998636</v>
      </c>
      <c r="AK14" s="64">
        <v>128.69999999999999</v>
      </c>
      <c r="AL14" s="72">
        <f t="shared" si="12"/>
        <v>0.28000000000000114</v>
      </c>
      <c r="AM14" s="64">
        <v>130.51</v>
      </c>
      <c r="AN14" s="72">
        <f t="shared" si="13"/>
        <v>0.26999999999998181</v>
      </c>
      <c r="AO14" s="64">
        <v>128.24</v>
      </c>
      <c r="AP14" s="72">
        <f t="shared" si="14"/>
        <v>0.23000000000001819</v>
      </c>
      <c r="AQ14" s="64">
        <v>202.03</v>
      </c>
      <c r="AR14" s="72">
        <f t="shared" si="29"/>
        <v>229.99999999998977</v>
      </c>
      <c r="AS14" s="64">
        <v>326.04000000000002</v>
      </c>
      <c r="AT14" s="72">
        <f t="shared" si="30"/>
        <v>270.00000000003865</v>
      </c>
      <c r="AU14" s="64">
        <v>251.02</v>
      </c>
      <c r="AV14" s="72">
        <f t="shared" si="31"/>
        <v>320.0000000000216</v>
      </c>
      <c r="AW14" s="64">
        <v>279.32</v>
      </c>
      <c r="AX14" s="72">
        <f t="shared" si="32"/>
        <v>250</v>
      </c>
      <c r="AY14" s="64">
        <v>331.3</v>
      </c>
      <c r="AZ14" s="72">
        <f t="shared" si="33"/>
        <v>240.00000000000909</v>
      </c>
      <c r="BA14" s="64">
        <v>351.37</v>
      </c>
      <c r="BB14" s="72">
        <f t="shared" si="34"/>
        <v>189.99999999999773</v>
      </c>
      <c r="BC14" s="64">
        <v>202.11</v>
      </c>
      <c r="BD14" s="72">
        <f t="shared" si="35"/>
        <v>10.000000000019327</v>
      </c>
      <c r="BE14" s="66">
        <v>24668</v>
      </c>
      <c r="BF14" s="72">
        <f t="shared" si="15"/>
        <v>71</v>
      </c>
      <c r="BG14" s="67">
        <v>220.83</v>
      </c>
      <c r="BH14" s="72">
        <f t="shared" si="36"/>
        <v>50.000000000011369</v>
      </c>
      <c r="BI14" s="67">
        <v>277.62</v>
      </c>
      <c r="BJ14" s="72">
        <f t="shared" si="37"/>
        <v>50.000000000011369</v>
      </c>
      <c r="BK14" s="67">
        <v>225.62</v>
      </c>
      <c r="BL14" s="72">
        <f t="shared" si="38"/>
        <v>60.000000000002274</v>
      </c>
      <c r="BM14" s="67">
        <v>208.4</v>
      </c>
      <c r="BN14" s="72">
        <f t="shared" si="39"/>
        <v>60.000000000002274</v>
      </c>
      <c r="BO14" s="67">
        <v>272.3</v>
      </c>
      <c r="BP14" s="72">
        <f t="shared" si="40"/>
        <v>60.000000000002274</v>
      </c>
      <c r="BQ14" s="67">
        <v>35277</v>
      </c>
      <c r="BR14" s="72">
        <f t="shared" si="16"/>
        <v>56</v>
      </c>
      <c r="BS14" s="67">
        <v>189.63</v>
      </c>
      <c r="BT14" s="72">
        <f t="shared" si="41"/>
        <v>60.000000000002274</v>
      </c>
      <c r="BU14" s="67">
        <v>26150</v>
      </c>
      <c r="BV14" s="72">
        <f t="shared" si="1"/>
        <v>53</v>
      </c>
      <c r="BW14" s="67">
        <v>219.02</v>
      </c>
      <c r="BX14" s="72">
        <f t="shared" si="42"/>
        <v>60.000000000002274</v>
      </c>
      <c r="BY14" s="67">
        <v>42969</v>
      </c>
      <c r="BZ14" s="72">
        <f t="shared" si="17"/>
        <v>64</v>
      </c>
      <c r="CA14" s="67">
        <v>25700.3</v>
      </c>
      <c r="CB14" s="72">
        <f t="shared" si="18"/>
        <v>31.799999999999272</v>
      </c>
      <c r="CC14" s="67">
        <v>10716.6</v>
      </c>
      <c r="CD14" s="72">
        <f t="shared" si="19"/>
        <v>11.5</v>
      </c>
      <c r="CE14" s="67">
        <v>5200.6000000000004</v>
      </c>
      <c r="CF14" s="72">
        <f t="shared" si="20"/>
        <v>0.9000000000005457</v>
      </c>
      <c r="CG14" s="67">
        <v>39091.800000000003</v>
      </c>
      <c r="CH14" s="72">
        <f t="shared" si="21"/>
        <v>97</v>
      </c>
      <c r="CI14" s="67">
        <v>827561</v>
      </c>
      <c r="CJ14" s="72">
        <f t="shared" si="2"/>
        <v>329</v>
      </c>
      <c r="CK14" s="67">
        <v>513.57000000000005</v>
      </c>
      <c r="CL14" s="71">
        <f t="shared" si="22"/>
        <v>710.00000000003638</v>
      </c>
      <c r="CM14" s="72">
        <v>85.9</v>
      </c>
      <c r="CN14" s="69">
        <v>57</v>
      </c>
      <c r="CO14" s="69">
        <v>114</v>
      </c>
    </row>
    <row r="15" spans="1:93" ht="25.5" customHeight="1" thickBot="1" x14ac:dyDescent="0.45">
      <c r="A15" s="70">
        <v>43873</v>
      </c>
      <c r="B15" s="48"/>
      <c r="C15" s="64">
        <v>1.4871000000000001</v>
      </c>
      <c r="D15" s="71">
        <f t="shared" si="3"/>
        <v>3200.0000000000919</v>
      </c>
      <c r="E15" s="64">
        <v>2.4792999999999998</v>
      </c>
      <c r="F15" s="71">
        <f t="shared" si="4"/>
        <v>3899.9999999997926</v>
      </c>
      <c r="G15" s="64">
        <v>2.2881999999999998</v>
      </c>
      <c r="H15" s="71">
        <f t="shared" si="5"/>
        <v>3299.9999999998586</v>
      </c>
      <c r="I15" s="64">
        <v>1.075</v>
      </c>
      <c r="J15" s="71">
        <f t="shared" si="43"/>
        <v>1700.0000000000348</v>
      </c>
      <c r="K15" s="64">
        <v>1.6464000000000001</v>
      </c>
      <c r="L15" s="71">
        <f t="shared" si="0"/>
        <v>2400.0000000001796</v>
      </c>
      <c r="M15" s="64">
        <v>1.0451999999999999</v>
      </c>
      <c r="N15" s="71">
        <f t="shared" si="6"/>
        <v>2199.9999999999795</v>
      </c>
      <c r="O15" s="64">
        <v>11684</v>
      </c>
      <c r="P15" s="72">
        <f t="shared" si="7"/>
        <v>19</v>
      </c>
      <c r="Q15" s="64">
        <v>4676</v>
      </c>
      <c r="R15" s="72">
        <f t="shared" si="8"/>
        <v>9</v>
      </c>
      <c r="S15" s="64">
        <v>756970</v>
      </c>
      <c r="T15" s="72">
        <f t="shared" si="44"/>
        <v>1384</v>
      </c>
      <c r="U15" s="64">
        <v>306766</v>
      </c>
      <c r="V15" s="72">
        <f t="shared" si="10"/>
        <v>588</v>
      </c>
      <c r="W15" s="64">
        <v>298.79000000000002</v>
      </c>
      <c r="X15" s="72">
        <f t="shared" si="23"/>
        <v>420.00000000001592</v>
      </c>
      <c r="Y15" s="64">
        <v>2.2010000000000001</v>
      </c>
      <c r="Z15" s="72">
        <f t="shared" si="24"/>
        <v>3400.0000000000696</v>
      </c>
      <c r="AA15" s="64">
        <v>298.41000000000003</v>
      </c>
      <c r="AB15" s="72">
        <f t="shared" si="25"/>
        <v>530.00000000002956</v>
      </c>
      <c r="AC15" s="64">
        <v>268.85000000000002</v>
      </c>
      <c r="AD15" s="72">
        <f t="shared" si="26"/>
        <v>430.00000000000682</v>
      </c>
      <c r="AE15" s="64">
        <v>406.93</v>
      </c>
      <c r="AF15" s="72">
        <f t="shared" si="27"/>
        <v>939.99999999999773</v>
      </c>
      <c r="AG15" s="64">
        <v>1067.7</v>
      </c>
      <c r="AH15" s="72">
        <f t="shared" si="11"/>
        <v>2.1000000000001364</v>
      </c>
      <c r="AI15" s="64">
        <v>370.32</v>
      </c>
      <c r="AJ15" s="72">
        <f t="shared" si="28"/>
        <v>379.99999999999545</v>
      </c>
      <c r="AK15" s="64">
        <v>128.99</v>
      </c>
      <c r="AL15" s="72">
        <f t="shared" si="12"/>
        <v>0.29000000000002046</v>
      </c>
      <c r="AM15" s="64">
        <v>130.77000000000001</v>
      </c>
      <c r="AN15" s="72">
        <f t="shared" si="13"/>
        <v>0.26000000000001933</v>
      </c>
      <c r="AO15" s="64">
        <v>128.47</v>
      </c>
      <c r="AP15" s="72">
        <f t="shared" si="14"/>
        <v>0.22999999999998977</v>
      </c>
      <c r="AQ15" s="64">
        <v>202.24</v>
      </c>
      <c r="AR15" s="72">
        <f t="shared" si="29"/>
        <v>210.00000000000796</v>
      </c>
      <c r="AS15" s="64">
        <v>326.27</v>
      </c>
      <c r="AT15" s="72">
        <f t="shared" si="30"/>
        <v>229.99999999996135</v>
      </c>
      <c r="AU15" s="64">
        <v>251.26</v>
      </c>
      <c r="AV15" s="72">
        <f t="shared" si="31"/>
        <v>239.99999999998067</v>
      </c>
      <c r="AW15" s="64">
        <v>279.61</v>
      </c>
      <c r="AX15" s="72">
        <f t="shared" si="32"/>
        <v>290.00000000002046</v>
      </c>
      <c r="AY15" s="64">
        <v>331.49</v>
      </c>
      <c r="AZ15" s="72">
        <f t="shared" si="33"/>
        <v>189.99999999999773</v>
      </c>
      <c r="BA15" s="64">
        <v>351.7</v>
      </c>
      <c r="BB15" s="72">
        <f t="shared" si="34"/>
        <v>329.99999999998408</v>
      </c>
      <c r="BC15" s="64">
        <v>202.12</v>
      </c>
      <c r="BD15" s="72">
        <f t="shared" si="35"/>
        <v>9.9999999999909051</v>
      </c>
      <c r="BE15" s="66">
        <v>24733</v>
      </c>
      <c r="BF15" s="72">
        <f t="shared" si="15"/>
        <v>65</v>
      </c>
      <c r="BG15" s="67">
        <v>220.86</v>
      </c>
      <c r="BH15" s="72">
        <f t="shared" si="36"/>
        <v>30.000000000001137</v>
      </c>
      <c r="BI15" s="67">
        <v>277.64999999999998</v>
      </c>
      <c r="BJ15" s="72">
        <f t="shared" si="37"/>
        <v>29.999999999972715</v>
      </c>
      <c r="BK15" s="67">
        <v>225.66</v>
      </c>
      <c r="BL15" s="72">
        <f t="shared" si="38"/>
        <v>39.999999999992042</v>
      </c>
      <c r="BM15" s="67">
        <v>208.44</v>
      </c>
      <c r="BN15" s="72">
        <f t="shared" si="39"/>
        <v>39.999999999992042</v>
      </c>
      <c r="BO15" s="67">
        <v>272.33999999999997</v>
      </c>
      <c r="BP15" s="72">
        <f t="shared" si="40"/>
        <v>39.99999999996362</v>
      </c>
      <c r="BQ15" s="67">
        <v>35313</v>
      </c>
      <c r="BR15" s="72">
        <f t="shared" si="16"/>
        <v>36</v>
      </c>
      <c r="BS15" s="67">
        <v>189.67</v>
      </c>
      <c r="BT15" s="72">
        <f t="shared" si="41"/>
        <v>39.999999999992042</v>
      </c>
      <c r="BU15" s="67">
        <v>26186</v>
      </c>
      <c r="BV15" s="72">
        <f t="shared" si="1"/>
        <v>36</v>
      </c>
      <c r="BW15" s="67">
        <v>219.05</v>
      </c>
      <c r="BX15" s="72">
        <f t="shared" si="42"/>
        <v>30.000000000001137</v>
      </c>
      <c r="BY15" s="67">
        <v>43030</v>
      </c>
      <c r="BZ15" s="72">
        <f t="shared" si="17"/>
        <v>61</v>
      </c>
      <c r="CA15" s="67">
        <v>25736.1</v>
      </c>
      <c r="CB15" s="72">
        <f t="shared" si="18"/>
        <v>35.799999999999272</v>
      </c>
      <c r="CC15" s="67">
        <v>10727</v>
      </c>
      <c r="CD15" s="72">
        <f t="shared" si="19"/>
        <v>10.399999999999636</v>
      </c>
      <c r="CE15" s="67">
        <v>5207.7</v>
      </c>
      <c r="CF15" s="72">
        <f t="shared" si="20"/>
        <v>7.0999999999994543</v>
      </c>
      <c r="CG15" s="67">
        <v>39136.800000000003</v>
      </c>
      <c r="CH15" s="72">
        <f t="shared" si="21"/>
        <v>45</v>
      </c>
      <c r="CI15" s="67">
        <v>827868</v>
      </c>
      <c r="CJ15" s="72">
        <f t="shared" si="2"/>
        <v>307</v>
      </c>
      <c r="CK15" s="67">
        <v>514.07000000000005</v>
      </c>
      <c r="CL15" s="71">
        <f t="shared" si="22"/>
        <v>500</v>
      </c>
      <c r="CM15" s="72">
        <v>105</v>
      </c>
      <c r="CN15" s="69">
        <v>82</v>
      </c>
      <c r="CO15" s="69">
        <v>119</v>
      </c>
    </row>
    <row r="16" spans="1:93" ht="25.5" customHeight="1" thickBot="1" x14ac:dyDescent="0.45">
      <c r="A16" s="70">
        <v>43874</v>
      </c>
      <c r="B16" s="48"/>
      <c r="C16" s="64">
        <v>1.4903</v>
      </c>
      <c r="D16" s="71">
        <f t="shared" si="3"/>
        <v>3199.9999999998695</v>
      </c>
      <c r="E16" s="64">
        <v>2.4832999999999998</v>
      </c>
      <c r="F16" s="71">
        <f t="shared" si="4"/>
        <v>4000.0000000000036</v>
      </c>
      <c r="G16" s="64">
        <v>2.2917999999999998</v>
      </c>
      <c r="H16" s="71">
        <f t="shared" si="5"/>
        <v>3600.0000000000477</v>
      </c>
      <c r="I16" s="64">
        <v>1.0768</v>
      </c>
      <c r="J16" s="71">
        <f t="shared" si="43"/>
        <v>1800.0000000000239</v>
      </c>
      <c r="K16" s="64">
        <v>1.6487000000000001</v>
      </c>
      <c r="L16" s="71">
        <f t="shared" si="0"/>
        <v>2299.9999999999686</v>
      </c>
      <c r="M16" s="64">
        <v>1.0472999999999999</v>
      </c>
      <c r="N16" s="71">
        <f t="shared" si="6"/>
        <v>2099.9999999999909</v>
      </c>
      <c r="O16" s="64">
        <v>11703</v>
      </c>
      <c r="P16" s="72">
        <f t="shared" si="7"/>
        <v>19</v>
      </c>
      <c r="Q16" s="64">
        <v>4686</v>
      </c>
      <c r="R16" s="72">
        <f t="shared" si="8"/>
        <v>10</v>
      </c>
      <c r="S16" s="64">
        <v>758245</v>
      </c>
      <c r="T16" s="72">
        <f t="shared" si="44"/>
        <v>1275</v>
      </c>
      <c r="U16" s="64">
        <v>307296</v>
      </c>
      <c r="V16" s="72">
        <f t="shared" si="10"/>
        <v>530</v>
      </c>
      <c r="W16" s="64">
        <v>299.26</v>
      </c>
      <c r="X16" s="72">
        <f t="shared" si="23"/>
        <v>469.99999999997044</v>
      </c>
      <c r="Y16" s="64">
        <v>2.2044999999999999</v>
      </c>
      <c r="Z16" s="72">
        <f t="shared" si="24"/>
        <v>3499.9999999998367</v>
      </c>
      <c r="AA16" s="64">
        <v>298.95999999999998</v>
      </c>
      <c r="AB16" s="72">
        <f t="shared" si="25"/>
        <v>549.99999999995453</v>
      </c>
      <c r="AC16" s="64">
        <v>269.33999999999997</v>
      </c>
      <c r="AD16" s="72">
        <f t="shared" si="26"/>
        <v>489.99999999995225</v>
      </c>
      <c r="AE16" s="64">
        <v>407.91</v>
      </c>
      <c r="AF16" s="72">
        <f t="shared" si="27"/>
        <v>980.00000000001819</v>
      </c>
      <c r="AG16" s="64">
        <v>1069.8</v>
      </c>
      <c r="AH16" s="72">
        <f t="shared" si="11"/>
        <v>2.0999999999999091</v>
      </c>
      <c r="AI16" s="64">
        <v>370.81</v>
      </c>
      <c r="AJ16" s="72">
        <f t="shared" si="28"/>
        <v>490.00000000000909</v>
      </c>
      <c r="AK16" s="64">
        <v>129.28</v>
      </c>
      <c r="AL16" s="72">
        <f t="shared" si="12"/>
        <v>0.28999999999999204</v>
      </c>
      <c r="AM16" s="64">
        <v>131.03</v>
      </c>
      <c r="AN16" s="72">
        <f t="shared" si="13"/>
        <v>0.25999999999999091</v>
      </c>
      <c r="AO16" s="64">
        <v>128.69999999999999</v>
      </c>
      <c r="AP16" s="72">
        <f t="shared" si="14"/>
        <v>0.22999999999998977</v>
      </c>
      <c r="AQ16" s="64">
        <v>202.48</v>
      </c>
      <c r="AR16" s="72">
        <f t="shared" si="29"/>
        <v>239.99999999998067</v>
      </c>
      <c r="AS16" s="64">
        <v>326.56</v>
      </c>
      <c r="AT16" s="72">
        <f t="shared" si="30"/>
        <v>290.00000000002046</v>
      </c>
      <c r="AU16" s="64">
        <v>251.55</v>
      </c>
      <c r="AV16" s="72">
        <f t="shared" si="31"/>
        <v>290.00000000002046</v>
      </c>
      <c r="AW16" s="64">
        <v>279.86</v>
      </c>
      <c r="AX16" s="72">
        <f t="shared" si="32"/>
        <v>250</v>
      </c>
      <c r="AY16" s="64">
        <v>331.68</v>
      </c>
      <c r="AZ16" s="72">
        <f t="shared" si="33"/>
        <v>189.99999999999773</v>
      </c>
      <c r="BA16" s="64">
        <v>351.95</v>
      </c>
      <c r="BB16" s="72">
        <f t="shared" si="34"/>
        <v>250</v>
      </c>
      <c r="BC16" s="64">
        <v>202.13</v>
      </c>
      <c r="BD16" s="72">
        <f t="shared" si="35"/>
        <v>9.9999999999909051</v>
      </c>
      <c r="BE16" s="66">
        <v>24804</v>
      </c>
      <c r="BF16" s="72">
        <f t="shared" si="15"/>
        <v>71</v>
      </c>
      <c r="BG16" s="67">
        <v>220.88</v>
      </c>
      <c r="BH16" s="72">
        <f t="shared" si="36"/>
        <v>19.99999999998181</v>
      </c>
      <c r="BI16" s="67">
        <v>277.69</v>
      </c>
      <c r="BJ16" s="72">
        <f t="shared" si="37"/>
        <v>40.000000000020464</v>
      </c>
      <c r="BK16" s="67">
        <v>225.71</v>
      </c>
      <c r="BL16" s="72">
        <f t="shared" si="38"/>
        <v>50.000000000011369</v>
      </c>
      <c r="BM16" s="67">
        <v>208.48</v>
      </c>
      <c r="BN16" s="72">
        <f t="shared" si="39"/>
        <v>39.999999999992042</v>
      </c>
      <c r="BO16" s="67">
        <v>272.39</v>
      </c>
      <c r="BP16" s="72">
        <f t="shared" si="40"/>
        <v>50.000000000011369</v>
      </c>
      <c r="BQ16" s="67">
        <v>35355</v>
      </c>
      <c r="BR16" s="72">
        <f t="shared" si="16"/>
        <v>42</v>
      </c>
      <c r="BS16" s="67">
        <v>189.72</v>
      </c>
      <c r="BT16" s="72">
        <f t="shared" si="41"/>
        <v>50.000000000011369</v>
      </c>
      <c r="BU16" s="67">
        <v>26225</v>
      </c>
      <c r="BV16" s="72">
        <f t="shared" si="1"/>
        <v>39</v>
      </c>
      <c r="BW16" s="67">
        <v>219.09</v>
      </c>
      <c r="BX16" s="72">
        <f t="shared" si="42"/>
        <v>39.999999999992042</v>
      </c>
      <c r="BY16" s="67">
        <v>43090</v>
      </c>
      <c r="BZ16" s="72">
        <f t="shared" si="17"/>
        <v>60</v>
      </c>
      <c r="CA16" s="67">
        <v>25775.8</v>
      </c>
      <c r="CB16" s="72">
        <f t="shared" si="18"/>
        <v>39.700000000000728</v>
      </c>
      <c r="CC16" s="67">
        <v>10741.5</v>
      </c>
      <c r="CD16" s="72">
        <f t="shared" si="19"/>
        <v>14.5</v>
      </c>
      <c r="CE16" s="67">
        <v>5207.8999999999996</v>
      </c>
      <c r="CF16" s="72">
        <f t="shared" si="20"/>
        <v>0.1999999999998181</v>
      </c>
      <c r="CG16" s="67">
        <v>39252.1</v>
      </c>
      <c r="CH16" s="72">
        <f t="shared" si="21"/>
        <v>115.29999999999563</v>
      </c>
      <c r="CI16" s="67">
        <v>828180</v>
      </c>
      <c r="CJ16" s="72">
        <f t="shared" si="2"/>
        <v>312</v>
      </c>
      <c r="CK16" s="67">
        <v>514.82000000000005</v>
      </c>
      <c r="CL16" s="71">
        <f t="shared" si="22"/>
        <v>750</v>
      </c>
      <c r="CM16" s="72">
        <v>110.8</v>
      </c>
      <c r="CN16" s="69">
        <v>61</v>
      </c>
      <c r="CO16" s="69">
        <v>119</v>
      </c>
    </row>
    <row r="17" spans="1:93" ht="25.5" customHeight="1" thickBot="1" x14ac:dyDescent="0.45">
      <c r="A17" s="70">
        <v>43875</v>
      </c>
      <c r="B17" s="48"/>
      <c r="C17" s="64">
        <v>1.4932000000000001</v>
      </c>
      <c r="D17" s="71">
        <f t="shared" si="3"/>
        <v>2900.0000000001246</v>
      </c>
      <c r="E17" s="64">
        <v>2.4868999999999999</v>
      </c>
      <c r="F17" s="71">
        <f t="shared" si="4"/>
        <v>3600.0000000000477</v>
      </c>
      <c r="G17" s="64">
        <v>2.2953000000000001</v>
      </c>
      <c r="H17" s="71">
        <f t="shared" si="5"/>
        <v>3500.0000000002806</v>
      </c>
      <c r="I17" s="64">
        <v>1.0784</v>
      </c>
      <c r="J17" s="71">
        <f t="shared" si="43"/>
        <v>1600.0000000000459</v>
      </c>
      <c r="K17" s="64">
        <v>1.651</v>
      </c>
      <c r="L17" s="71">
        <f t="shared" si="0"/>
        <v>2299.9999999999686</v>
      </c>
      <c r="M17" s="64">
        <v>1.0494000000000001</v>
      </c>
      <c r="N17" s="71">
        <f t="shared" si="6"/>
        <v>2100.0000000002128</v>
      </c>
      <c r="O17" s="64">
        <v>11722</v>
      </c>
      <c r="P17" s="72">
        <f t="shared" si="7"/>
        <v>19</v>
      </c>
      <c r="Q17" s="64">
        <v>4694</v>
      </c>
      <c r="R17" s="72">
        <f t="shared" si="8"/>
        <v>8</v>
      </c>
      <c r="S17" s="64">
        <v>759620</v>
      </c>
      <c r="T17" s="72">
        <f t="shared" si="44"/>
        <v>1375</v>
      </c>
      <c r="U17" s="64">
        <v>307859</v>
      </c>
      <c r="V17" s="72">
        <f t="shared" si="10"/>
        <v>563</v>
      </c>
      <c r="W17" s="64">
        <v>299.7</v>
      </c>
      <c r="X17" s="72">
        <f t="shared" si="23"/>
        <v>439.99999999999773</v>
      </c>
      <c r="Y17" s="64">
        <v>2.2077</v>
      </c>
      <c r="Z17" s="72">
        <f t="shared" si="24"/>
        <v>3200.0000000000919</v>
      </c>
      <c r="AA17" s="64">
        <v>299.49</v>
      </c>
      <c r="AB17" s="72">
        <f t="shared" si="25"/>
        <v>530.00000000002956</v>
      </c>
      <c r="AC17" s="64">
        <v>269.86</v>
      </c>
      <c r="AD17" s="72">
        <f t="shared" si="26"/>
        <v>520.00000000003865</v>
      </c>
      <c r="AE17" s="64">
        <v>408.8</v>
      </c>
      <c r="AF17" s="72">
        <f t="shared" si="27"/>
        <v>889.99999999998636</v>
      </c>
      <c r="AG17" s="64">
        <v>1071.8</v>
      </c>
      <c r="AH17" s="72">
        <f t="shared" si="11"/>
        <v>2</v>
      </c>
      <c r="AI17" s="64">
        <v>371.33</v>
      </c>
      <c r="AJ17" s="72">
        <f t="shared" si="28"/>
        <v>519.99999999998181</v>
      </c>
      <c r="AK17" s="64">
        <v>129.55000000000001</v>
      </c>
      <c r="AL17" s="72">
        <f t="shared" si="12"/>
        <v>0.27000000000001023</v>
      </c>
      <c r="AM17" s="64">
        <v>131.25</v>
      </c>
      <c r="AN17" s="72">
        <f t="shared" si="13"/>
        <v>0.21999999999999886</v>
      </c>
      <c r="AO17" s="64">
        <v>128.88999999999999</v>
      </c>
      <c r="AP17" s="72">
        <f t="shared" si="14"/>
        <v>0.18999999999999773</v>
      </c>
      <c r="AQ17" s="64">
        <v>202.66</v>
      </c>
      <c r="AR17" s="72">
        <f t="shared" si="29"/>
        <v>180.00000000000682</v>
      </c>
      <c r="AS17" s="64">
        <v>326.81</v>
      </c>
      <c r="AT17" s="72">
        <f t="shared" si="30"/>
        <v>250</v>
      </c>
      <c r="AU17" s="64">
        <v>251.78</v>
      </c>
      <c r="AV17" s="72">
        <f t="shared" si="31"/>
        <v>229.99999999998977</v>
      </c>
      <c r="AW17" s="64">
        <v>280.11</v>
      </c>
      <c r="AX17" s="72">
        <f t="shared" si="32"/>
        <v>250</v>
      </c>
      <c r="AY17" s="64">
        <v>331.86</v>
      </c>
      <c r="AZ17" s="72">
        <f t="shared" si="33"/>
        <v>180.00000000000682</v>
      </c>
      <c r="BA17" s="64">
        <v>352.18</v>
      </c>
      <c r="BB17" s="72">
        <f t="shared" si="34"/>
        <v>230.00000000001819</v>
      </c>
      <c r="BC17" s="64">
        <v>202.15</v>
      </c>
      <c r="BD17" s="72">
        <f t="shared" si="35"/>
        <v>20.000000000010232</v>
      </c>
      <c r="BE17" s="66">
        <v>24855</v>
      </c>
      <c r="BF17" s="72">
        <f t="shared" si="15"/>
        <v>51</v>
      </c>
      <c r="BG17" s="67">
        <v>220.91</v>
      </c>
      <c r="BH17" s="72">
        <f t="shared" si="36"/>
        <v>30.000000000001137</v>
      </c>
      <c r="BI17" s="67">
        <v>277.74</v>
      </c>
      <c r="BJ17" s="72">
        <f t="shared" si="37"/>
        <v>50.000000000011369</v>
      </c>
      <c r="BK17" s="67">
        <v>225.76</v>
      </c>
      <c r="BL17" s="72">
        <f t="shared" si="38"/>
        <v>49.999999999982947</v>
      </c>
      <c r="BM17" s="67">
        <v>208.53</v>
      </c>
      <c r="BN17" s="72">
        <f t="shared" si="39"/>
        <v>50.000000000011369</v>
      </c>
      <c r="BO17" s="67">
        <v>272.43</v>
      </c>
      <c r="BP17" s="72">
        <f t="shared" si="40"/>
        <v>40.000000000020464</v>
      </c>
      <c r="BQ17" s="67">
        <v>35393</v>
      </c>
      <c r="BR17" s="72">
        <f t="shared" si="16"/>
        <v>38</v>
      </c>
      <c r="BS17" s="67">
        <v>189.77</v>
      </c>
      <c r="BT17" s="72">
        <f t="shared" si="41"/>
        <v>50.000000000011369</v>
      </c>
      <c r="BU17" s="67">
        <v>26269</v>
      </c>
      <c r="BV17" s="72">
        <f t="shared" si="1"/>
        <v>44</v>
      </c>
      <c r="BW17" s="67">
        <v>219.13</v>
      </c>
      <c r="BX17" s="72">
        <f t="shared" si="42"/>
        <v>39.999999999992042</v>
      </c>
      <c r="BY17" s="67">
        <v>43162</v>
      </c>
      <c r="BZ17" s="72">
        <f t="shared" si="17"/>
        <v>72</v>
      </c>
      <c r="CA17" s="67">
        <v>25815.5</v>
      </c>
      <c r="CB17" s="72">
        <f t="shared" si="18"/>
        <v>39.700000000000728</v>
      </c>
      <c r="CC17" s="67">
        <v>10752.4</v>
      </c>
      <c r="CD17" s="72">
        <f t="shared" si="19"/>
        <v>10.899999999999636</v>
      </c>
      <c r="CE17" s="67">
        <v>5220.1000000000004</v>
      </c>
      <c r="CF17" s="72">
        <f t="shared" si="20"/>
        <v>12.200000000000728</v>
      </c>
      <c r="CG17" s="67">
        <v>39302.800000000003</v>
      </c>
      <c r="CH17" s="72">
        <f t="shared" si="21"/>
        <v>50.700000000004366</v>
      </c>
      <c r="CI17" s="67">
        <v>828478</v>
      </c>
      <c r="CJ17" s="72">
        <f t="shared" si="2"/>
        <v>298</v>
      </c>
      <c r="CK17" s="67">
        <v>515.42999999999995</v>
      </c>
      <c r="CL17" s="71">
        <f t="shared" si="22"/>
        <v>609.99999999989996</v>
      </c>
      <c r="CM17" s="72">
        <v>110</v>
      </c>
      <c r="CN17" s="69">
        <v>61</v>
      </c>
      <c r="CO17" s="69">
        <v>127</v>
      </c>
    </row>
    <row r="18" spans="1:93" ht="25.5" customHeight="1" thickBot="1" x14ac:dyDescent="0.45">
      <c r="A18" s="70">
        <v>43876</v>
      </c>
      <c r="B18" s="48"/>
      <c r="C18" s="64">
        <v>1.4964</v>
      </c>
      <c r="D18" s="71">
        <f t="shared" si="3"/>
        <v>3199.9999999998695</v>
      </c>
      <c r="E18" s="64">
        <v>2.4906000000000001</v>
      </c>
      <c r="F18" s="71">
        <f t="shared" si="4"/>
        <v>3700.0000000002588</v>
      </c>
      <c r="G18" s="64">
        <v>2.2989000000000002</v>
      </c>
      <c r="H18" s="71">
        <f t="shared" si="5"/>
        <v>3600.0000000000477</v>
      </c>
      <c r="I18" s="64">
        <v>1.0799000000000001</v>
      </c>
      <c r="J18" s="71">
        <f t="shared" si="43"/>
        <v>1500.0000000000568</v>
      </c>
      <c r="K18" s="64">
        <v>1.6534</v>
      </c>
      <c r="L18" s="71">
        <f t="shared" si="0"/>
        <v>2399.9999999999577</v>
      </c>
      <c r="M18" s="64">
        <v>1.0512999999999999</v>
      </c>
      <c r="N18" s="71">
        <f t="shared" si="6"/>
        <v>1899.9999999997908</v>
      </c>
      <c r="O18" s="64">
        <v>11741</v>
      </c>
      <c r="P18" s="72">
        <f t="shared" si="7"/>
        <v>19</v>
      </c>
      <c r="Q18" s="64">
        <v>4702</v>
      </c>
      <c r="R18" s="72">
        <f t="shared" si="8"/>
        <v>8</v>
      </c>
      <c r="S18" s="64">
        <v>760700</v>
      </c>
      <c r="T18" s="72">
        <f t="shared" si="44"/>
        <v>1080</v>
      </c>
      <c r="U18" s="64">
        <v>308455</v>
      </c>
      <c r="V18" s="72">
        <f t="shared" si="10"/>
        <v>596</v>
      </c>
      <c r="W18" s="64">
        <v>300.13</v>
      </c>
      <c r="X18" s="72">
        <f t="shared" si="23"/>
        <v>430.00000000000682</v>
      </c>
      <c r="Y18" s="64">
        <v>2.2109999999999999</v>
      </c>
      <c r="Z18" s="72">
        <f t="shared" si="24"/>
        <v>3299.9999999998586</v>
      </c>
      <c r="AA18" s="64">
        <v>300.01</v>
      </c>
      <c r="AB18" s="72">
        <f t="shared" si="25"/>
        <v>519.99999999998181</v>
      </c>
      <c r="AC18" s="64">
        <v>270.33999999999997</v>
      </c>
      <c r="AD18" s="72">
        <f t="shared" si="26"/>
        <v>479.99999999996135</v>
      </c>
      <c r="AE18" s="64">
        <v>409.67</v>
      </c>
      <c r="AF18" s="72">
        <f t="shared" si="27"/>
        <v>870.00000000000455</v>
      </c>
      <c r="AG18" s="64">
        <v>1074</v>
      </c>
      <c r="AH18" s="72">
        <f t="shared" si="11"/>
        <v>2.2000000000000455</v>
      </c>
      <c r="AI18" s="64">
        <v>371.92</v>
      </c>
      <c r="AJ18" s="72">
        <f t="shared" si="28"/>
        <v>590.00000000003183</v>
      </c>
      <c r="AK18" s="64">
        <v>129.84</v>
      </c>
      <c r="AL18" s="72">
        <f t="shared" si="12"/>
        <v>0.28999999999999204</v>
      </c>
      <c r="AM18" s="64">
        <v>131.49</v>
      </c>
      <c r="AN18" s="72">
        <f t="shared" si="13"/>
        <v>0.24000000000000909</v>
      </c>
      <c r="AO18" s="64">
        <v>129.11000000000001</v>
      </c>
      <c r="AP18" s="72">
        <f t="shared" si="14"/>
        <v>0.22000000000002728</v>
      </c>
      <c r="AQ18" s="64">
        <v>202.87</v>
      </c>
      <c r="AR18" s="72">
        <f t="shared" si="29"/>
        <v>210.00000000000796</v>
      </c>
      <c r="AS18" s="64">
        <v>327.07</v>
      </c>
      <c r="AT18" s="72">
        <f t="shared" si="30"/>
        <v>259.99999999999091</v>
      </c>
      <c r="AU18" s="64">
        <v>252.04</v>
      </c>
      <c r="AV18" s="72">
        <f t="shared" si="31"/>
        <v>259.99999999999091</v>
      </c>
      <c r="AW18" s="64">
        <v>280.35000000000002</v>
      </c>
      <c r="AX18" s="72">
        <f t="shared" si="32"/>
        <v>240.00000000000909</v>
      </c>
      <c r="AY18" s="64">
        <v>332.04</v>
      </c>
      <c r="AZ18" s="72">
        <f t="shared" si="33"/>
        <v>180.00000000000682</v>
      </c>
      <c r="BA18" s="64">
        <v>352.44</v>
      </c>
      <c r="BB18" s="72">
        <f t="shared" si="34"/>
        <v>259.99999999999091</v>
      </c>
      <c r="BC18" s="64">
        <v>202.17</v>
      </c>
      <c r="BD18" s="72">
        <f t="shared" si="35"/>
        <v>19.99999999998181</v>
      </c>
      <c r="BE18" s="66">
        <v>24941</v>
      </c>
      <c r="BF18" s="72">
        <f t="shared" si="15"/>
        <v>86</v>
      </c>
      <c r="BG18" s="67">
        <v>220.96</v>
      </c>
      <c r="BH18" s="72">
        <f t="shared" si="36"/>
        <v>50.000000000011369</v>
      </c>
      <c r="BI18" s="67">
        <v>277.77999999999997</v>
      </c>
      <c r="BJ18" s="72">
        <f t="shared" si="37"/>
        <v>39.99999999996362</v>
      </c>
      <c r="BK18" s="67">
        <v>225.82</v>
      </c>
      <c r="BL18" s="72">
        <f t="shared" si="38"/>
        <v>60.000000000002274</v>
      </c>
      <c r="BM18" s="67">
        <v>208.57</v>
      </c>
      <c r="BN18" s="72">
        <f t="shared" si="39"/>
        <v>39.999999999992042</v>
      </c>
      <c r="BO18" s="67">
        <v>272.49</v>
      </c>
      <c r="BP18" s="72">
        <f t="shared" si="40"/>
        <v>60.000000000002274</v>
      </c>
      <c r="BQ18" s="67">
        <v>35440</v>
      </c>
      <c r="BR18" s="72">
        <f t="shared" si="16"/>
        <v>47</v>
      </c>
      <c r="BS18" s="67">
        <v>189.8</v>
      </c>
      <c r="BT18" s="72">
        <f t="shared" si="41"/>
        <v>30.000000000001137</v>
      </c>
      <c r="BU18" s="67">
        <v>26318</v>
      </c>
      <c r="BV18" s="72">
        <f t="shared" si="1"/>
        <v>49</v>
      </c>
      <c r="BW18" s="67">
        <v>219.17</v>
      </c>
      <c r="BX18" s="72">
        <f t="shared" si="42"/>
        <v>39.999999999992042</v>
      </c>
      <c r="BY18" s="67">
        <v>43231</v>
      </c>
      <c r="BZ18" s="72">
        <f t="shared" si="17"/>
        <v>69</v>
      </c>
      <c r="CA18" s="67">
        <v>25862.400000000001</v>
      </c>
      <c r="CB18" s="72">
        <f t="shared" si="18"/>
        <v>46.900000000001455</v>
      </c>
      <c r="CC18" s="67">
        <v>10763.5</v>
      </c>
      <c r="CD18" s="72">
        <f t="shared" si="19"/>
        <v>11.100000000000364</v>
      </c>
      <c r="CE18" s="67">
        <v>5227.5</v>
      </c>
      <c r="CF18" s="72">
        <f t="shared" si="20"/>
        <v>7.3999999999996362</v>
      </c>
      <c r="CG18" s="67">
        <v>39451.599999999999</v>
      </c>
      <c r="CH18" s="72">
        <f t="shared" si="21"/>
        <v>148.79999999999563</v>
      </c>
      <c r="CI18" s="67">
        <v>828784</v>
      </c>
      <c r="CJ18" s="72">
        <f t="shared" si="2"/>
        <v>306</v>
      </c>
      <c r="CK18" s="67">
        <v>516.12</v>
      </c>
      <c r="CL18" s="71">
        <f t="shared" si="22"/>
        <v>690.00000000005457</v>
      </c>
      <c r="CM18" s="72">
        <v>96</v>
      </c>
      <c r="CN18" s="69">
        <v>66</v>
      </c>
      <c r="CO18" s="69">
        <v>135</v>
      </c>
    </row>
    <row r="19" spans="1:93" ht="25.5" customHeight="1" thickBot="1" x14ac:dyDescent="0.45">
      <c r="A19" s="70">
        <v>43877</v>
      </c>
      <c r="B19" s="48"/>
      <c r="C19" s="64">
        <v>1.5003</v>
      </c>
      <c r="D19" s="71">
        <f t="shared" si="3"/>
        <v>3900.0000000000146</v>
      </c>
      <c r="E19" s="64">
        <v>2.4948000000000001</v>
      </c>
      <c r="F19" s="71">
        <f t="shared" si="4"/>
        <v>4199.9999999999818</v>
      </c>
      <c r="G19" s="64">
        <v>2.3026</v>
      </c>
      <c r="H19" s="71">
        <f t="shared" si="5"/>
        <v>3699.9999999998145</v>
      </c>
      <c r="I19" s="64">
        <v>1.0817000000000001</v>
      </c>
      <c r="J19" s="71">
        <f t="shared" si="43"/>
        <v>1800.0000000000239</v>
      </c>
      <c r="K19" s="64">
        <v>1.6559999999999999</v>
      </c>
      <c r="L19" s="71">
        <f t="shared" si="0"/>
        <v>2599.9999999999359</v>
      </c>
      <c r="M19" s="64">
        <v>1.0535000000000001</v>
      </c>
      <c r="N19" s="71">
        <f t="shared" si="6"/>
        <v>2200.0000000002019</v>
      </c>
      <c r="O19" s="64">
        <v>11760</v>
      </c>
      <c r="P19" s="72">
        <f t="shared" si="7"/>
        <v>19</v>
      </c>
      <c r="Q19" s="64">
        <v>4712</v>
      </c>
      <c r="R19" s="72">
        <f t="shared" si="8"/>
        <v>10</v>
      </c>
      <c r="S19" s="64">
        <v>762718</v>
      </c>
      <c r="T19" s="72">
        <f t="shared" si="44"/>
        <v>2018</v>
      </c>
      <c r="U19" s="64">
        <v>309001</v>
      </c>
      <c r="V19" s="72">
        <f t="shared" si="10"/>
        <v>546</v>
      </c>
      <c r="W19" s="64">
        <v>300.61</v>
      </c>
      <c r="X19" s="72">
        <f t="shared" si="23"/>
        <v>480.00000000001819</v>
      </c>
      <c r="Y19" s="64">
        <v>2.2147999999999999</v>
      </c>
      <c r="Z19" s="72">
        <f t="shared" si="24"/>
        <v>3800.0000000000255</v>
      </c>
      <c r="AA19" s="64">
        <v>300.60000000000002</v>
      </c>
      <c r="AB19" s="72">
        <f t="shared" si="25"/>
        <v>590.00000000003183</v>
      </c>
      <c r="AC19" s="64">
        <v>270.89999999999998</v>
      </c>
      <c r="AD19" s="72">
        <f t="shared" si="26"/>
        <v>560.00000000000227</v>
      </c>
      <c r="AE19" s="64">
        <v>410.63</v>
      </c>
      <c r="AF19" s="72">
        <f t="shared" si="27"/>
        <v>959.99999999997954</v>
      </c>
      <c r="AG19" s="64">
        <v>1076</v>
      </c>
      <c r="AH19" s="72">
        <f t="shared" si="11"/>
        <v>2</v>
      </c>
      <c r="AI19" s="64">
        <v>372.63</v>
      </c>
      <c r="AJ19" s="72">
        <f t="shared" si="28"/>
        <v>709.99999999997954</v>
      </c>
      <c r="AK19" s="64">
        <v>130.1</v>
      </c>
      <c r="AL19" s="72">
        <f t="shared" si="12"/>
        <v>0.25999999999999091</v>
      </c>
      <c r="AM19" s="64">
        <v>131.78</v>
      </c>
      <c r="AN19" s="72">
        <f t="shared" si="13"/>
        <v>0.28999999999999204</v>
      </c>
      <c r="AO19" s="64">
        <v>129.43</v>
      </c>
      <c r="AP19" s="72">
        <f t="shared" si="14"/>
        <v>0.31999999999999318</v>
      </c>
      <c r="AQ19" s="64">
        <v>203.18</v>
      </c>
      <c r="AR19" s="72">
        <f t="shared" si="29"/>
        <v>310.00000000000227</v>
      </c>
      <c r="AS19" s="64">
        <v>327.33</v>
      </c>
      <c r="AT19" s="72">
        <f t="shared" si="30"/>
        <v>259.99999999999091</v>
      </c>
      <c r="AU19" s="64">
        <v>252.33</v>
      </c>
      <c r="AV19" s="72">
        <f t="shared" si="31"/>
        <v>290.00000000002046</v>
      </c>
      <c r="AW19" s="64">
        <v>280.64999999999998</v>
      </c>
      <c r="AX19" s="72">
        <f t="shared" si="32"/>
        <v>299.99999999995453</v>
      </c>
      <c r="AY19" s="64">
        <v>332.3</v>
      </c>
      <c r="AZ19" s="72">
        <f t="shared" si="33"/>
        <v>259.99999999999091</v>
      </c>
      <c r="BA19" s="64">
        <v>352.72</v>
      </c>
      <c r="BB19" s="72">
        <f t="shared" si="34"/>
        <v>280.00000000002956</v>
      </c>
      <c r="BC19" s="64">
        <v>202.17</v>
      </c>
      <c r="BD19" s="72">
        <f t="shared" si="35"/>
        <v>0</v>
      </c>
      <c r="BE19" s="66">
        <v>25010</v>
      </c>
      <c r="BF19" s="72">
        <f t="shared" si="15"/>
        <v>69</v>
      </c>
      <c r="BG19" s="67">
        <v>220.98</v>
      </c>
      <c r="BH19" s="72">
        <f t="shared" si="36"/>
        <v>19.99999999998181</v>
      </c>
      <c r="BI19" s="67">
        <v>277.82</v>
      </c>
      <c r="BJ19" s="72">
        <f t="shared" si="37"/>
        <v>40.000000000020464</v>
      </c>
      <c r="BK19" s="67">
        <v>225.87</v>
      </c>
      <c r="BL19" s="72">
        <f t="shared" si="38"/>
        <v>50.000000000011369</v>
      </c>
      <c r="BM19" s="67">
        <v>208.61</v>
      </c>
      <c r="BN19" s="72">
        <f t="shared" si="39"/>
        <v>40.000000000020464</v>
      </c>
      <c r="BO19" s="67">
        <v>272.52</v>
      </c>
      <c r="BP19" s="72">
        <f t="shared" si="40"/>
        <v>29.999999999972715</v>
      </c>
      <c r="BQ19" s="67">
        <v>35481</v>
      </c>
      <c r="BR19" s="72">
        <f t="shared" si="16"/>
        <v>41</v>
      </c>
      <c r="BS19" s="67">
        <v>189.85</v>
      </c>
      <c r="BT19" s="72">
        <f t="shared" si="41"/>
        <v>49.999999999982947</v>
      </c>
      <c r="BU19" s="67">
        <v>26359</v>
      </c>
      <c r="BV19" s="72">
        <f t="shared" si="1"/>
        <v>41</v>
      </c>
      <c r="BW19" s="67">
        <v>219.22</v>
      </c>
      <c r="BX19" s="72">
        <f t="shared" si="42"/>
        <v>50.000000000011369</v>
      </c>
      <c r="BY19" s="67">
        <v>43302</v>
      </c>
      <c r="BZ19" s="72">
        <f t="shared" si="17"/>
        <v>71</v>
      </c>
      <c r="CA19" s="67">
        <v>25907.8</v>
      </c>
      <c r="CB19" s="72">
        <f t="shared" si="18"/>
        <v>45.399999999997817</v>
      </c>
      <c r="CC19" s="67">
        <v>10775.8</v>
      </c>
      <c r="CD19" s="72">
        <f t="shared" si="19"/>
        <v>12.299999999999272</v>
      </c>
      <c r="CE19" s="67">
        <v>5236.8999999999996</v>
      </c>
      <c r="CF19" s="72">
        <f t="shared" si="20"/>
        <v>9.3999999999996362</v>
      </c>
      <c r="CG19" s="67">
        <v>39544.9</v>
      </c>
      <c r="CH19" s="72">
        <f t="shared" si="21"/>
        <v>93.30000000000291</v>
      </c>
      <c r="CI19" s="67">
        <v>829082</v>
      </c>
      <c r="CJ19" s="72">
        <f t="shared" si="2"/>
        <v>298</v>
      </c>
      <c r="CK19" s="67">
        <v>516.87</v>
      </c>
      <c r="CL19" s="71">
        <f t="shared" si="22"/>
        <v>750</v>
      </c>
      <c r="CM19" s="72">
        <v>100.7</v>
      </c>
      <c r="CN19" s="69">
        <v>62</v>
      </c>
      <c r="CO19" s="69">
        <v>126</v>
      </c>
    </row>
    <row r="20" spans="1:93" ht="25.5" customHeight="1" thickBot="1" x14ac:dyDescent="0.45">
      <c r="A20" s="70">
        <v>43878</v>
      </c>
      <c r="B20" s="48"/>
      <c r="C20" s="64">
        <v>1.504</v>
      </c>
      <c r="D20" s="71">
        <f t="shared" si="3"/>
        <v>3700.0000000000364</v>
      </c>
      <c r="E20" s="64">
        <v>2.4990000000000001</v>
      </c>
      <c r="F20" s="71">
        <f t="shared" si="4"/>
        <v>4199.9999999999818</v>
      </c>
      <c r="G20" s="64">
        <v>2.3064</v>
      </c>
      <c r="H20" s="71">
        <f t="shared" si="5"/>
        <v>3800.0000000000255</v>
      </c>
      <c r="I20" s="64">
        <v>1.0834999999999999</v>
      </c>
      <c r="J20" s="71">
        <f t="shared" si="43"/>
        <v>1799.9999999998017</v>
      </c>
      <c r="K20" s="64">
        <v>1.6586000000000001</v>
      </c>
      <c r="L20" s="71">
        <f t="shared" si="0"/>
        <v>2600.0000000001578</v>
      </c>
      <c r="M20" s="64">
        <v>1.0557000000000001</v>
      </c>
      <c r="N20" s="71">
        <f t="shared" si="6"/>
        <v>2199.9999999999795</v>
      </c>
      <c r="O20" s="64">
        <v>11781</v>
      </c>
      <c r="P20" s="72">
        <f t="shared" si="7"/>
        <v>21</v>
      </c>
      <c r="Q20" s="64">
        <v>4721</v>
      </c>
      <c r="R20" s="72">
        <f t="shared" si="8"/>
        <v>9</v>
      </c>
      <c r="S20" s="64">
        <v>764157</v>
      </c>
      <c r="T20" s="72">
        <f t="shared" si="44"/>
        <v>1439</v>
      </c>
      <c r="U20" s="64">
        <v>309580</v>
      </c>
      <c r="V20" s="72">
        <f t="shared" si="10"/>
        <v>579</v>
      </c>
      <c r="W20" s="64">
        <v>301.08999999999997</v>
      </c>
      <c r="X20" s="72">
        <f t="shared" si="23"/>
        <v>479.99999999996135</v>
      </c>
      <c r="Y20" s="64">
        <v>2.2185000000000001</v>
      </c>
      <c r="Z20" s="72">
        <f t="shared" si="24"/>
        <v>3700.0000000002588</v>
      </c>
      <c r="AA20" s="64">
        <v>301.17</v>
      </c>
      <c r="AB20" s="72">
        <f t="shared" si="25"/>
        <v>569.99999999999318</v>
      </c>
      <c r="AC20" s="64">
        <v>271.43</v>
      </c>
      <c r="AD20" s="72">
        <f t="shared" si="26"/>
        <v>530.00000000002956</v>
      </c>
      <c r="AE20" s="64">
        <v>411.64</v>
      </c>
      <c r="AF20" s="72">
        <f t="shared" si="27"/>
        <v>1009.9999999999909</v>
      </c>
      <c r="AG20" s="64">
        <v>1078.2</v>
      </c>
      <c r="AH20" s="72">
        <f t="shared" si="11"/>
        <v>2.2000000000000455</v>
      </c>
      <c r="AI20" s="64">
        <v>373.3</v>
      </c>
      <c r="AJ20" s="72">
        <f t="shared" si="28"/>
        <v>670.00000000001592</v>
      </c>
      <c r="AK20" s="64">
        <v>130.32</v>
      </c>
      <c r="AL20" s="72">
        <f t="shared" si="12"/>
        <v>0.21999999999999886</v>
      </c>
      <c r="AM20" s="64">
        <v>132.07</v>
      </c>
      <c r="AN20" s="72">
        <f t="shared" si="13"/>
        <v>0.28999999999999204</v>
      </c>
      <c r="AO20" s="64">
        <v>129.72</v>
      </c>
      <c r="AP20" s="72">
        <f t="shared" si="14"/>
        <v>0.28999999999999204</v>
      </c>
      <c r="AQ20" s="64">
        <v>203.46</v>
      </c>
      <c r="AR20" s="72">
        <f t="shared" si="29"/>
        <v>280.00000000000114</v>
      </c>
      <c r="AS20" s="64">
        <v>327.64</v>
      </c>
      <c r="AT20" s="72">
        <f t="shared" si="30"/>
        <v>310.00000000000227</v>
      </c>
      <c r="AU20" s="64">
        <v>252.58</v>
      </c>
      <c r="AV20" s="72">
        <f t="shared" si="31"/>
        <v>250</v>
      </c>
      <c r="AW20" s="64">
        <v>280.95</v>
      </c>
      <c r="AX20" s="72">
        <f t="shared" si="32"/>
        <v>300.00000000001137</v>
      </c>
      <c r="AY20" s="64">
        <v>332.54</v>
      </c>
      <c r="AZ20" s="72">
        <f t="shared" si="33"/>
        <v>240.00000000000909</v>
      </c>
      <c r="BA20" s="64">
        <v>352.96</v>
      </c>
      <c r="BB20" s="72">
        <f t="shared" si="34"/>
        <v>239.99999999995225</v>
      </c>
      <c r="BC20" s="64">
        <v>202.18</v>
      </c>
      <c r="BD20" s="72">
        <f t="shared" si="35"/>
        <v>10.000000000019327</v>
      </c>
      <c r="BE20" s="66">
        <v>25081</v>
      </c>
      <c r="BF20" s="72">
        <f t="shared" si="15"/>
        <v>71</v>
      </c>
      <c r="BG20" s="67">
        <v>221.01</v>
      </c>
      <c r="BH20" s="72">
        <f t="shared" si="36"/>
        <v>30.000000000001137</v>
      </c>
      <c r="BI20" s="67">
        <v>277.88</v>
      </c>
      <c r="BJ20" s="72">
        <f t="shared" si="37"/>
        <v>60.000000000002274</v>
      </c>
      <c r="BK20" s="67">
        <v>225.91</v>
      </c>
      <c r="BL20" s="72">
        <f t="shared" si="38"/>
        <v>39.999999999992042</v>
      </c>
      <c r="BM20" s="67">
        <v>208.64</v>
      </c>
      <c r="BN20" s="72">
        <f t="shared" si="39"/>
        <v>29.999999999972715</v>
      </c>
      <c r="BO20" s="67">
        <v>272.55</v>
      </c>
      <c r="BP20" s="72">
        <f t="shared" si="40"/>
        <v>30.000000000029559</v>
      </c>
      <c r="BQ20" s="67">
        <v>35512</v>
      </c>
      <c r="BR20" s="72">
        <f t="shared" si="16"/>
        <v>31</v>
      </c>
      <c r="BS20" s="67">
        <v>189.88</v>
      </c>
      <c r="BT20" s="72">
        <f t="shared" si="41"/>
        <v>30.000000000001137</v>
      </c>
      <c r="BU20" s="67">
        <v>26401</v>
      </c>
      <c r="BV20" s="72">
        <f t="shared" si="1"/>
        <v>42</v>
      </c>
      <c r="BW20" s="67">
        <v>219.25</v>
      </c>
      <c r="BX20" s="72">
        <f t="shared" si="42"/>
        <v>30.000000000001137</v>
      </c>
      <c r="BY20" s="67">
        <v>43363</v>
      </c>
      <c r="BZ20" s="72">
        <f t="shared" si="17"/>
        <v>61</v>
      </c>
      <c r="CA20" s="67">
        <v>25937.9</v>
      </c>
      <c r="CB20" s="72">
        <f t="shared" si="18"/>
        <v>30.100000000002183</v>
      </c>
      <c r="CC20" s="67">
        <v>10789.8</v>
      </c>
      <c r="CD20" s="72">
        <f t="shared" si="19"/>
        <v>14</v>
      </c>
      <c r="CE20" s="67">
        <v>5250.3</v>
      </c>
      <c r="CF20" s="72">
        <f t="shared" si="20"/>
        <v>13.400000000000546</v>
      </c>
      <c r="CG20" s="67">
        <v>39605.599999999999</v>
      </c>
      <c r="CH20" s="72">
        <f t="shared" si="21"/>
        <v>60.69999999999709</v>
      </c>
      <c r="CI20" s="67">
        <v>829402</v>
      </c>
      <c r="CJ20" s="72">
        <f t="shared" si="2"/>
        <v>320</v>
      </c>
      <c r="CK20" s="67">
        <v>517.53</v>
      </c>
      <c r="CL20" s="71">
        <f t="shared" si="22"/>
        <v>659.99999999996817</v>
      </c>
      <c r="CM20" s="72">
        <v>118.4</v>
      </c>
      <c r="CN20" s="69">
        <v>57</v>
      </c>
      <c r="CO20" s="69">
        <v>116</v>
      </c>
    </row>
    <row r="21" spans="1:93" ht="25.5" customHeight="1" thickBot="1" x14ac:dyDescent="0.45">
      <c r="A21" s="70">
        <v>43879</v>
      </c>
      <c r="B21" s="48"/>
      <c r="C21" s="64">
        <v>1.5075000000000001</v>
      </c>
      <c r="D21" s="71">
        <f t="shared" si="3"/>
        <v>3500.0000000000587</v>
      </c>
      <c r="E21" s="64">
        <v>2.5032000000000001</v>
      </c>
      <c r="F21" s="71">
        <f t="shared" si="4"/>
        <v>4199.9999999999818</v>
      </c>
      <c r="G21" s="64">
        <v>2.31</v>
      </c>
      <c r="H21" s="71">
        <f t="shared" si="5"/>
        <v>3600.0000000000477</v>
      </c>
      <c r="I21" s="64">
        <v>1.0852999999999999</v>
      </c>
      <c r="J21" s="71">
        <f t="shared" si="43"/>
        <v>1800.0000000000239</v>
      </c>
      <c r="K21" s="64">
        <v>1.6612</v>
      </c>
      <c r="L21" s="71">
        <f t="shared" si="0"/>
        <v>2599.9999999999359</v>
      </c>
      <c r="M21" s="64">
        <v>1.0575000000000001</v>
      </c>
      <c r="N21" s="71">
        <f t="shared" si="6"/>
        <v>1800.0000000000239</v>
      </c>
      <c r="O21" s="64">
        <v>11799</v>
      </c>
      <c r="P21" s="72">
        <f t="shared" si="7"/>
        <v>18</v>
      </c>
      <c r="Q21" s="64">
        <v>4731</v>
      </c>
      <c r="R21" s="72">
        <f t="shared" si="8"/>
        <v>10</v>
      </c>
      <c r="S21" s="64">
        <v>765778</v>
      </c>
      <c r="T21" s="72">
        <f t="shared" si="44"/>
        <v>1621</v>
      </c>
      <c r="U21" s="64">
        <v>310144</v>
      </c>
      <c r="V21" s="72">
        <f t="shared" si="10"/>
        <v>564</v>
      </c>
      <c r="W21" s="64">
        <v>301.51</v>
      </c>
      <c r="X21" s="72">
        <f t="shared" si="23"/>
        <v>420.00000000001592</v>
      </c>
      <c r="Y21" s="64">
        <v>2.2223999999999999</v>
      </c>
      <c r="Z21" s="72">
        <f t="shared" si="24"/>
        <v>3899.9999999997926</v>
      </c>
      <c r="AA21" s="64">
        <v>301.45</v>
      </c>
      <c r="AB21" s="72">
        <f t="shared" si="25"/>
        <v>279.99999999997272</v>
      </c>
      <c r="AC21" s="64">
        <v>271.95999999999998</v>
      </c>
      <c r="AD21" s="72">
        <f t="shared" si="26"/>
        <v>529.99999999997272</v>
      </c>
      <c r="AE21" s="64">
        <v>412.51</v>
      </c>
      <c r="AF21" s="72">
        <f t="shared" si="27"/>
        <v>870.00000000000455</v>
      </c>
      <c r="AG21" s="64">
        <v>1080.2</v>
      </c>
      <c r="AH21" s="72">
        <f t="shared" si="11"/>
        <v>2</v>
      </c>
      <c r="AI21" s="64">
        <v>374.13</v>
      </c>
      <c r="AJ21" s="72">
        <f t="shared" si="28"/>
        <v>829.99999999998408</v>
      </c>
      <c r="AK21" s="64">
        <v>130.54</v>
      </c>
      <c r="AL21" s="72">
        <f t="shared" si="12"/>
        <v>0.21999999999999886</v>
      </c>
      <c r="AM21" s="64">
        <v>132.34</v>
      </c>
      <c r="AN21" s="72">
        <f t="shared" si="13"/>
        <v>0.27000000000001023</v>
      </c>
      <c r="AO21" s="64">
        <v>129.96</v>
      </c>
      <c r="AP21" s="72">
        <f t="shared" si="14"/>
        <v>0.24000000000000909</v>
      </c>
      <c r="AQ21" s="64">
        <v>203.75</v>
      </c>
      <c r="AR21" s="72">
        <f t="shared" si="29"/>
        <v>289.99999999999204</v>
      </c>
      <c r="AS21" s="64">
        <v>327.91</v>
      </c>
      <c r="AT21" s="72">
        <f t="shared" si="30"/>
        <v>270.00000000003865</v>
      </c>
      <c r="AU21" s="64">
        <v>252.82</v>
      </c>
      <c r="AV21" s="72">
        <f t="shared" si="31"/>
        <v>239.99999999998067</v>
      </c>
      <c r="AW21" s="64">
        <v>281.23</v>
      </c>
      <c r="AX21" s="72">
        <f t="shared" si="32"/>
        <v>280.00000000002956</v>
      </c>
      <c r="AY21" s="64">
        <v>332.74</v>
      </c>
      <c r="AZ21" s="72">
        <f t="shared" si="33"/>
        <v>199.99999999998863</v>
      </c>
      <c r="BA21" s="64">
        <v>353.21</v>
      </c>
      <c r="BB21" s="72">
        <f t="shared" si="34"/>
        <v>250</v>
      </c>
      <c r="BC21" s="64">
        <v>202.19</v>
      </c>
      <c r="BD21" s="72">
        <f t="shared" si="35"/>
        <v>9.9999999999909051</v>
      </c>
      <c r="BE21" s="66">
        <v>25162</v>
      </c>
      <c r="BF21" s="72">
        <f t="shared" si="15"/>
        <v>81</v>
      </c>
      <c r="BG21" s="67">
        <v>221.05</v>
      </c>
      <c r="BH21" s="72">
        <f t="shared" si="36"/>
        <v>40.000000000020464</v>
      </c>
      <c r="BI21" s="67">
        <v>277.92</v>
      </c>
      <c r="BJ21" s="72">
        <f t="shared" si="37"/>
        <v>40.000000000020464</v>
      </c>
      <c r="BK21" s="67">
        <v>225.97</v>
      </c>
      <c r="BL21" s="72">
        <f t="shared" si="38"/>
        <v>60.000000000002274</v>
      </c>
      <c r="BM21" s="67">
        <v>208.68</v>
      </c>
      <c r="BN21" s="72">
        <f t="shared" si="39"/>
        <v>40.000000000020464</v>
      </c>
      <c r="BO21" s="67">
        <v>272.58999999999997</v>
      </c>
      <c r="BP21" s="72">
        <f t="shared" si="40"/>
        <v>39.99999999996362</v>
      </c>
      <c r="BQ21" s="67">
        <v>35554</v>
      </c>
      <c r="BR21" s="72">
        <f t="shared" si="16"/>
        <v>42</v>
      </c>
      <c r="BS21" s="67">
        <v>189.93</v>
      </c>
      <c r="BT21" s="72">
        <f t="shared" si="41"/>
        <v>50.000000000011369</v>
      </c>
      <c r="BU21" s="67">
        <v>26444</v>
      </c>
      <c r="BV21" s="72">
        <f t="shared" si="1"/>
        <v>43</v>
      </c>
      <c r="BW21" s="67">
        <v>219.29</v>
      </c>
      <c r="BX21" s="72">
        <f t="shared" si="42"/>
        <v>39.999999999992042</v>
      </c>
      <c r="BY21" s="67">
        <v>43430</v>
      </c>
      <c r="BZ21" s="72">
        <f t="shared" si="17"/>
        <v>67</v>
      </c>
      <c r="CA21" s="67">
        <v>25976.6</v>
      </c>
      <c r="CB21" s="72">
        <f t="shared" si="18"/>
        <v>38.69999999999709</v>
      </c>
      <c r="CC21" s="67">
        <v>10805.5</v>
      </c>
      <c r="CD21" s="72">
        <f t="shared" si="19"/>
        <v>15.700000000000728</v>
      </c>
      <c r="CE21" s="67">
        <v>5252.4</v>
      </c>
      <c r="CF21" s="72">
        <f t="shared" si="20"/>
        <v>2.0999999999994543</v>
      </c>
      <c r="CG21" s="67">
        <v>39681.800000000003</v>
      </c>
      <c r="CH21" s="72">
        <f t="shared" si="21"/>
        <v>76.200000000004366</v>
      </c>
      <c r="CI21" s="67">
        <v>829708</v>
      </c>
      <c r="CJ21" s="72">
        <f t="shared" si="2"/>
        <v>306</v>
      </c>
      <c r="CK21" s="67">
        <v>518.20000000000005</v>
      </c>
      <c r="CL21" s="71">
        <f t="shared" si="22"/>
        <v>670.00000000007276</v>
      </c>
      <c r="CM21" s="72">
        <v>113</v>
      </c>
      <c r="CN21" s="69">
        <v>56</v>
      </c>
      <c r="CO21" s="69">
        <v>115</v>
      </c>
    </row>
    <row r="22" spans="1:93" ht="25.5" customHeight="1" thickBot="1" x14ac:dyDescent="0.45">
      <c r="A22" s="70">
        <v>43880</v>
      </c>
      <c r="B22" s="48"/>
      <c r="C22" s="64">
        <v>1.5119</v>
      </c>
      <c r="D22" s="71">
        <f t="shared" si="3"/>
        <v>4399.9999999999591</v>
      </c>
      <c r="E22" s="64">
        <v>2.5076000000000001</v>
      </c>
      <c r="F22" s="71">
        <f t="shared" si="4"/>
        <v>4399.9999999999591</v>
      </c>
      <c r="G22" s="64">
        <v>2.3136000000000001</v>
      </c>
      <c r="H22" s="71">
        <f t="shared" si="5"/>
        <v>3600.0000000000477</v>
      </c>
      <c r="I22" s="64">
        <v>1.0871</v>
      </c>
      <c r="J22" s="71">
        <f t="shared" si="43"/>
        <v>1800.0000000000239</v>
      </c>
      <c r="K22" s="64">
        <v>1.6639999999999999</v>
      </c>
      <c r="L22" s="71">
        <f t="shared" si="0"/>
        <v>2799.9999999999136</v>
      </c>
      <c r="M22" s="64">
        <v>1.0597000000000001</v>
      </c>
      <c r="N22" s="71">
        <f t="shared" si="6"/>
        <v>2199.9999999999795</v>
      </c>
      <c r="O22" s="64">
        <v>11818</v>
      </c>
      <c r="P22" s="72">
        <f t="shared" si="7"/>
        <v>19</v>
      </c>
      <c r="Q22" s="64">
        <v>4740</v>
      </c>
      <c r="R22" s="72">
        <f t="shared" si="8"/>
        <v>9</v>
      </c>
      <c r="S22" s="64">
        <v>767365</v>
      </c>
      <c r="T22" s="72">
        <f t="shared" si="44"/>
        <v>1587</v>
      </c>
      <c r="U22" s="64">
        <v>310746</v>
      </c>
      <c r="V22" s="72">
        <f t="shared" si="10"/>
        <v>602</v>
      </c>
      <c r="W22" s="64">
        <v>302</v>
      </c>
      <c r="X22" s="72">
        <f t="shared" si="23"/>
        <v>490.00000000000909</v>
      </c>
      <c r="Y22" s="64">
        <v>2.2263000000000002</v>
      </c>
      <c r="Z22" s="72">
        <f t="shared" si="24"/>
        <v>3900.0000000002365</v>
      </c>
      <c r="AA22" s="64">
        <v>302.01</v>
      </c>
      <c r="AB22" s="72">
        <f t="shared" si="25"/>
        <v>560.00000000000227</v>
      </c>
      <c r="AC22" s="64">
        <v>272.49</v>
      </c>
      <c r="AD22" s="72">
        <f t="shared" si="26"/>
        <v>530.00000000002956</v>
      </c>
      <c r="AE22" s="64">
        <v>413.48</v>
      </c>
      <c r="AF22" s="72">
        <f t="shared" si="27"/>
        <v>970.00000000002728</v>
      </c>
      <c r="AG22" s="64">
        <v>1082.5999999999999</v>
      </c>
      <c r="AH22" s="72">
        <f t="shared" si="11"/>
        <v>2.3999999999998636</v>
      </c>
      <c r="AI22" s="64">
        <v>375.32</v>
      </c>
      <c r="AJ22" s="72">
        <f t="shared" si="28"/>
        <v>1189.9999999999977</v>
      </c>
      <c r="AK22" s="64">
        <v>130.76</v>
      </c>
      <c r="AL22" s="72">
        <f t="shared" si="12"/>
        <v>0.21999999999999886</v>
      </c>
      <c r="AM22" s="64">
        <v>132.61000000000001</v>
      </c>
      <c r="AN22" s="72">
        <f t="shared" si="13"/>
        <v>0.27000000000001023</v>
      </c>
      <c r="AO22" s="64">
        <v>130.11000000000001</v>
      </c>
      <c r="AP22" s="72">
        <f t="shared" si="14"/>
        <v>0.15000000000000568</v>
      </c>
      <c r="AQ22" s="64">
        <v>203.96</v>
      </c>
      <c r="AR22" s="72">
        <f t="shared" si="29"/>
        <v>210.00000000000796</v>
      </c>
      <c r="AS22" s="64">
        <v>328.16</v>
      </c>
      <c r="AT22" s="72">
        <f t="shared" si="30"/>
        <v>250</v>
      </c>
      <c r="AU22" s="64">
        <v>253.05</v>
      </c>
      <c r="AV22" s="72">
        <f t="shared" si="31"/>
        <v>230.00000000001819</v>
      </c>
      <c r="AW22" s="64">
        <v>281.52999999999997</v>
      </c>
      <c r="AX22" s="72">
        <f t="shared" si="32"/>
        <v>299.99999999995453</v>
      </c>
      <c r="AY22" s="64">
        <v>332.99</v>
      </c>
      <c r="AZ22" s="72">
        <f t="shared" si="33"/>
        <v>250</v>
      </c>
      <c r="BA22" s="64">
        <v>353.55</v>
      </c>
      <c r="BB22" s="72">
        <f t="shared" si="34"/>
        <v>340.00000000003183</v>
      </c>
      <c r="BC22" s="64">
        <v>202.21</v>
      </c>
      <c r="BD22" s="72">
        <f t="shared" si="35"/>
        <v>20.000000000010232</v>
      </c>
      <c r="BE22" s="66">
        <v>25218</v>
      </c>
      <c r="BF22" s="72">
        <f t="shared" si="15"/>
        <v>56</v>
      </c>
      <c r="BG22" s="67">
        <v>221.09</v>
      </c>
      <c r="BH22" s="72">
        <f t="shared" si="36"/>
        <v>39.999999999992042</v>
      </c>
      <c r="BI22" s="67">
        <v>277.98</v>
      </c>
      <c r="BJ22" s="72">
        <f t="shared" si="37"/>
        <v>60.000000000002274</v>
      </c>
      <c r="BK22" s="67">
        <v>226.02</v>
      </c>
      <c r="BL22" s="72">
        <f t="shared" si="38"/>
        <v>50.000000000011369</v>
      </c>
      <c r="BM22" s="67">
        <v>208.73</v>
      </c>
      <c r="BN22" s="72">
        <f t="shared" si="39"/>
        <v>49.999999999982947</v>
      </c>
      <c r="BO22" s="67">
        <v>272.64</v>
      </c>
      <c r="BP22" s="72">
        <f t="shared" si="40"/>
        <v>50.000000000011369</v>
      </c>
      <c r="BQ22" s="67">
        <v>35604</v>
      </c>
      <c r="BR22" s="72">
        <f t="shared" si="16"/>
        <v>50</v>
      </c>
      <c r="BS22" s="67">
        <v>189.98</v>
      </c>
      <c r="BT22" s="72">
        <f t="shared" si="41"/>
        <v>49.999999999982947</v>
      </c>
      <c r="BU22" s="67">
        <v>26494</v>
      </c>
      <c r="BV22" s="72">
        <f t="shared" si="1"/>
        <v>50</v>
      </c>
      <c r="BW22" s="67">
        <v>219.33</v>
      </c>
      <c r="BX22" s="72">
        <f t="shared" si="42"/>
        <v>40.000000000020464</v>
      </c>
      <c r="BY22" s="67">
        <v>43523</v>
      </c>
      <c r="BZ22" s="72">
        <f t="shared" si="17"/>
        <v>93</v>
      </c>
      <c r="CA22" s="67">
        <v>26019</v>
      </c>
      <c r="CB22" s="72">
        <f t="shared" si="18"/>
        <v>42.400000000001455</v>
      </c>
      <c r="CC22" s="67">
        <v>10817.5</v>
      </c>
      <c r="CD22" s="72">
        <f t="shared" si="19"/>
        <v>12</v>
      </c>
      <c r="CE22" s="67">
        <v>5254.1</v>
      </c>
      <c r="CF22" s="72">
        <f t="shared" si="20"/>
        <v>1.7000000000007276</v>
      </c>
      <c r="CG22" s="67">
        <v>39760.800000000003</v>
      </c>
      <c r="CH22" s="72">
        <f t="shared" si="21"/>
        <v>79</v>
      </c>
      <c r="CI22" s="67">
        <v>830060</v>
      </c>
      <c r="CJ22" s="72">
        <f t="shared" si="2"/>
        <v>352</v>
      </c>
      <c r="CK22" s="67">
        <v>518.88</v>
      </c>
      <c r="CL22" s="71">
        <f t="shared" si="22"/>
        <v>679.99999999994998</v>
      </c>
      <c r="CM22" s="72">
        <v>124.2</v>
      </c>
      <c r="CN22" s="69">
        <v>56</v>
      </c>
      <c r="CO22" s="69">
        <v>114</v>
      </c>
    </row>
    <row r="23" spans="1:93" ht="25.5" customHeight="1" thickBot="1" x14ac:dyDescent="0.45">
      <c r="A23" s="70">
        <v>43881</v>
      </c>
      <c r="B23" s="48"/>
      <c r="C23" s="64">
        <v>1.5159</v>
      </c>
      <c r="D23" s="71">
        <f t="shared" si="3"/>
        <v>4000.0000000000036</v>
      </c>
      <c r="E23" s="64">
        <v>2.512</v>
      </c>
      <c r="F23" s="71">
        <f t="shared" si="4"/>
        <v>4399.9999999999591</v>
      </c>
      <c r="G23" s="64">
        <v>2.3172999999999999</v>
      </c>
      <c r="H23" s="71">
        <f t="shared" si="5"/>
        <v>3699.9999999998145</v>
      </c>
      <c r="I23" s="64">
        <v>1.089</v>
      </c>
      <c r="J23" s="71">
        <f t="shared" si="43"/>
        <v>1900.0000000000127</v>
      </c>
      <c r="K23" s="64">
        <v>1.6669</v>
      </c>
      <c r="L23" s="71">
        <f t="shared" si="0"/>
        <v>2900.0000000001246</v>
      </c>
      <c r="M23" s="64">
        <v>1.0619000000000001</v>
      </c>
      <c r="N23" s="71">
        <f t="shared" si="6"/>
        <v>2199.9999999999795</v>
      </c>
      <c r="O23" s="64">
        <v>11838</v>
      </c>
      <c r="P23" s="72">
        <f t="shared" si="7"/>
        <v>20</v>
      </c>
      <c r="Q23" s="64">
        <v>4750</v>
      </c>
      <c r="R23" s="72">
        <f t="shared" si="8"/>
        <v>10</v>
      </c>
      <c r="S23" s="64">
        <v>768502</v>
      </c>
      <c r="T23" s="72">
        <f t="shared" si="44"/>
        <v>1137</v>
      </c>
      <c r="U23" s="64">
        <v>311352</v>
      </c>
      <c r="V23" s="72">
        <f t="shared" si="10"/>
        <v>606</v>
      </c>
      <c r="W23" s="64">
        <v>302.52</v>
      </c>
      <c r="X23" s="72">
        <f t="shared" si="23"/>
        <v>519.99999999998181</v>
      </c>
      <c r="Y23" s="64">
        <v>2.2303000000000002</v>
      </c>
      <c r="Z23" s="72">
        <f t="shared" si="24"/>
        <v>4000.0000000000036</v>
      </c>
      <c r="AA23" s="64">
        <v>302.58</v>
      </c>
      <c r="AB23" s="72">
        <f t="shared" si="25"/>
        <v>569.99999999999318</v>
      </c>
      <c r="AC23" s="64">
        <v>273.05</v>
      </c>
      <c r="AD23" s="72">
        <f t="shared" si="26"/>
        <v>560.00000000000227</v>
      </c>
      <c r="AE23" s="64">
        <v>414.46</v>
      </c>
      <c r="AF23" s="72">
        <f t="shared" si="27"/>
        <v>979.99999999996135</v>
      </c>
      <c r="AG23" s="64">
        <v>1085</v>
      </c>
      <c r="AH23" s="72">
        <f t="shared" si="11"/>
        <v>2.4000000000000909</v>
      </c>
      <c r="AI23" s="64">
        <v>376.39</v>
      </c>
      <c r="AJ23" s="72">
        <f t="shared" si="28"/>
        <v>1069.9999999999932</v>
      </c>
      <c r="AK23" s="64">
        <v>131.03</v>
      </c>
      <c r="AL23" s="72"/>
      <c r="AM23" s="64">
        <v>132.9</v>
      </c>
      <c r="AN23" s="72">
        <f t="shared" si="13"/>
        <v>0.28999999999999204</v>
      </c>
      <c r="AO23" s="64">
        <v>130.5</v>
      </c>
      <c r="AP23" s="72">
        <f t="shared" si="14"/>
        <v>0.38999999999998636</v>
      </c>
      <c r="AQ23" s="64">
        <v>204.26</v>
      </c>
      <c r="AR23" s="72">
        <f t="shared" si="29"/>
        <v>299.99999999998295</v>
      </c>
      <c r="AS23" s="64">
        <v>328.5</v>
      </c>
      <c r="AT23" s="72">
        <f t="shared" si="30"/>
        <v>339.99999999997499</v>
      </c>
      <c r="AU23" s="64">
        <v>253.34</v>
      </c>
      <c r="AV23" s="72">
        <f t="shared" si="31"/>
        <v>289.99999999999204</v>
      </c>
      <c r="AW23" s="64">
        <v>281.82</v>
      </c>
      <c r="AX23" s="72">
        <f t="shared" si="32"/>
        <v>290.00000000002046</v>
      </c>
      <c r="AY23" s="64">
        <v>333.21</v>
      </c>
      <c r="AZ23" s="72">
        <f t="shared" si="33"/>
        <v>219.99999999997044</v>
      </c>
      <c r="BA23" s="64">
        <v>353.87</v>
      </c>
      <c r="BB23" s="72">
        <f t="shared" si="34"/>
        <v>319.99999999999318</v>
      </c>
      <c r="BC23" s="64">
        <v>202.23</v>
      </c>
      <c r="BD23" s="72">
        <f t="shared" si="35"/>
        <v>19.99999999998181</v>
      </c>
      <c r="BE23" s="66">
        <v>25274</v>
      </c>
      <c r="BF23" s="72">
        <f t="shared" si="15"/>
        <v>56</v>
      </c>
      <c r="BG23" s="67">
        <v>221.11</v>
      </c>
      <c r="BH23" s="72">
        <f t="shared" si="36"/>
        <v>20.000000000010232</v>
      </c>
      <c r="BI23" s="67">
        <v>278.01</v>
      </c>
      <c r="BJ23" s="72">
        <f t="shared" si="37"/>
        <v>29.999999999972715</v>
      </c>
      <c r="BK23" s="67">
        <v>226.06</v>
      </c>
      <c r="BL23" s="72">
        <f t="shared" si="38"/>
        <v>39.999999999992042</v>
      </c>
      <c r="BM23" s="67">
        <v>208.77</v>
      </c>
      <c r="BN23" s="72">
        <f t="shared" si="39"/>
        <v>40.000000000020464</v>
      </c>
      <c r="BO23" s="67">
        <v>272.67</v>
      </c>
      <c r="BP23" s="72">
        <f t="shared" si="40"/>
        <v>30.000000000029559</v>
      </c>
      <c r="BQ23" s="67">
        <v>35641</v>
      </c>
      <c r="BR23" s="72">
        <f t="shared" si="16"/>
        <v>37</v>
      </c>
      <c r="BS23" s="67">
        <v>190.02</v>
      </c>
      <c r="BT23" s="72">
        <f t="shared" si="41"/>
        <v>40.000000000020464</v>
      </c>
      <c r="BU23" s="67">
        <v>26545</v>
      </c>
      <c r="BV23" s="72">
        <f t="shared" si="1"/>
        <v>51</v>
      </c>
      <c r="BW23" s="67">
        <v>219.36</v>
      </c>
      <c r="BX23" s="72">
        <f t="shared" si="42"/>
        <v>30.000000000001137</v>
      </c>
      <c r="BY23" s="67">
        <v>43574</v>
      </c>
      <c r="BZ23" s="72">
        <f t="shared" si="17"/>
        <v>51</v>
      </c>
      <c r="CA23" s="67">
        <v>26075.7</v>
      </c>
      <c r="CB23" s="72">
        <f t="shared" si="18"/>
        <v>56.700000000000728</v>
      </c>
      <c r="CC23" s="67">
        <v>10832</v>
      </c>
      <c r="CD23" s="72">
        <f t="shared" si="19"/>
        <v>14.5</v>
      </c>
      <c r="CE23" s="67">
        <v>5268.5</v>
      </c>
      <c r="CF23" s="72">
        <f t="shared" si="20"/>
        <v>14.399999999999636</v>
      </c>
      <c r="CG23" s="67">
        <v>39845.199999999997</v>
      </c>
      <c r="CH23" s="72">
        <f t="shared" si="21"/>
        <v>84.399999999994179</v>
      </c>
      <c r="CI23" s="67">
        <v>830391</v>
      </c>
      <c r="CJ23" s="72">
        <f t="shared" si="2"/>
        <v>331</v>
      </c>
      <c r="CK23" s="67">
        <v>519.54999999999995</v>
      </c>
      <c r="CL23" s="71">
        <f t="shared" si="22"/>
        <v>669.99999999995907</v>
      </c>
      <c r="CM23" s="72">
        <v>109.4</v>
      </c>
      <c r="CN23" s="69">
        <v>58</v>
      </c>
      <c r="CO23" s="69">
        <v>124</v>
      </c>
    </row>
    <row r="24" spans="1:93" ht="25.5" customHeight="1" thickBot="1" x14ac:dyDescent="0.45">
      <c r="A24" s="70">
        <v>43882</v>
      </c>
      <c r="B24" s="48"/>
      <c r="C24" s="64">
        <v>1.5197000000000001</v>
      </c>
      <c r="D24" s="71">
        <f t="shared" si="3"/>
        <v>3800.0000000000255</v>
      </c>
      <c r="E24" s="64">
        <v>2.5165999999999999</v>
      </c>
      <c r="F24" s="71">
        <f t="shared" si="4"/>
        <v>4599.9999999999372</v>
      </c>
      <c r="G24" s="64">
        <v>2.3210999999999999</v>
      </c>
      <c r="H24" s="71">
        <f t="shared" si="5"/>
        <v>3800.0000000000255</v>
      </c>
      <c r="I24" s="64">
        <v>1.0908</v>
      </c>
      <c r="J24" s="71">
        <f t="shared" si="43"/>
        <v>1800.0000000000239</v>
      </c>
      <c r="K24" s="64">
        <v>1.6698</v>
      </c>
      <c r="L24" s="71">
        <f t="shared" si="0"/>
        <v>2899.9999999999027</v>
      </c>
      <c r="M24" s="64">
        <v>1.0643</v>
      </c>
      <c r="N24" s="71">
        <f t="shared" si="6"/>
        <v>2399.9999999999577</v>
      </c>
      <c r="O24" s="64">
        <v>11857</v>
      </c>
      <c r="P24" s="72">
        <f t="shared" si="7"/>
        <v>19</v>
      </c>
      <c r="Q24" s="64">
        <v>4760</v>
      </c>
      <c r="R24" s="72">
        <f t="shared" si="8"/>
        <v>10</v>
      </c>
      <c r="S24" s="64">
        <v>769823</v>
      </c>
      <c r="T24" s="72">
        <f t="shared" si="44"/>
        <v>1321</v>
      </c>
      <c r="U24" s="64">
        <v>311963</v>
      </c>
      <c r="V24" s="72">
        <f t="shared" si="10"/>
        <v>611</v>
      </c>
      <c r="W24" s="64">
        <v>302.99</v>
      </c>
      <c r="X24" s="72">
        <f t="shared" si="23"/>
        <v>470.00000000002728</v>
      </c>
      <c r="Y24" s="64">
        <v>2.2343000000000002</v>
      </c>
      <c r="Z24" s="72">
        <f t="shared" si="24"/>
        <v>4000.0000000000036</v>
      </c>
      <c r="AA24" s="64">
        <v>303.17</v>
      </c>
      <c r="AB24" s="72">
        <f t="shared" si="25"/>
        <v>590.00000000003183</v>
      </c>
      <c r="AC24" s="64">
        <v>273.60000000000002</v>
      </c>
      <c r="AD24" s="72">
        <f t="shared" si="26"/>
        <v>550.00000000001137</v>
      </c>
      <c r="AE24" s="64">
        <v>415.48</v>
      </c>
      <c r="AF24" s="72">
        <f t="shared" si="27"/>
        <v>1020.0000000000387</v>
      </c>
      <c r="AG24" s="64">
        <v>1087.4000000000001</v>
      </c>
      <c r="AH24" s="72">
        <f t="shared" si="11"/>
        <v>2.4000000000000909</v>
      </c>
      <c r="AI24" s="64">
        <v>377.37</v>
      </c>
      <c r="AJ24" s="72">
        <f t="shared" si="28"/>
        <v>980.00000000001819</v>
      </c>
      <c r="AK24" s="64">
        <v>131.28</v>
      </c>
      <c r="AL24" s="72">
        <f t="shared" si="12"/>
        <v>0.25</v>
      </c>
      <c r="AM24" s="64">
        <v>133.18</v>
      </c>
      <c r="AN24" s="72">
        <f t="shared" si="13"/>
        <v>0.28000000000000114</v>
      </c>
      <c r="AO24" s="64">
        <v>130.79</v>
      </c>
      <c r="AP24" s="72">
        <f t="shared" si="14"/>
        <v>0.28999999999999204</v>
      </c>
      <c r="AQ24" s="64">
        <v>204.41</v>
      </c>
      <c r="AR24" s="72">
        <f t="shared" si="29"/>
        <v>150.00000000000568</v>
      </c>
      <c r="AS24" s="64">
        <v>328.76</v>
      </c>
      <c r="AT24" s="72">
        <f t="shared" si="30"/>
        <v>259.99999999999091</v>
      </c>
      <c r="AU24" s="64">
        <v>253.6</v>
      </c>
      <c r="AV24" s="72">
        <f t="shared" si="31"/>
        <v>259.99999999999091</v>
      </c>
      <c r="AW24" s="64">
        <v>282.10000000000002</v>
      </c>
      <c r="AX24" s="72">
        <f t="shared" si="32"/>
        <v>280.00000000002956</v>
      </c>
      <c r="AY24" s="64">
        <v>333.43</v>
      </c>
      <c r="AZ24" s="72">
        <f t="shared" si="33"/>
        <v>220.00000000002728</v>
      </c>
      <c r="BA24" s="64">
        <v>354.16</v>
      </c>
      <c r="BB24" s="72">
        <f t="shared" si="34"/>
        <v>290.00000000002046</v>
      </c>
      <c r="BC24" s="64">
        <v>202.25</v>
      </c>
      <c r="BD24" s="72">
        <f t="shared" si="35"/>
        <v>20.000000000010232</v>
      </c>
      <c r="BE24" s="66">
        <v>25328</v>
      </c>
      <c r="BF24" s="72">
        <f t="shared" si="15"/>
        <v>54</v>
      </c>
      <c r="BG24" s="67">
        <v>221.15</v>
      </c>
      <c r="BH24" s="72">
        <f t="shared" si="36"/>
        <v>39.999999999992042</v>
      </c>
      <c r="BI24" s="67">
        <v>278.06</v>
      </c>
      <c r="BJ24" s="72">
        <f t="shared" si="37"/>
        <v>50.000000000011369</v>
      </c>
      <c r="BK24" s="67">
        <v>226.12</v>
      </c>
      <c r="BL24" s="72">
        <f t="shared" si="38"/>
        <v>60.000000000002274</v>
      </c>
      <c r="BM24" s="67">
        <v>208.82</v>
      </c>
      <c r="BN24" s="72">
        <f t="shared" si="39"/>
        <v>49.999999999982947</v>
      </c>
      <c r="BO24" s="67">
        <v>272.72000000000003</v>
      </c>
      <c r="BP24" s="72">
        <f t="shared" si="40"/>
        <v>50.000000000011369</v>
      </c>
      <c r="BQ24" s="67">
        <v>35683</v>
      </c>
      <c r="BR24" s="72">
        <f t="shared" si="16"/>
        <v>42</v>
      </c>
      <c r="BS24" s="67">
        <v>190.06</v>
      </c>
      <c r="BT24" s="72">
        <f t="shared" si="41"/>
        <v>39.999999999992042</v>
      </c>
      <c r="BU24" s="67">
        <v>26589</v>
      </c>
      <c r="BV24" s="72">
        <f t="shared" si="1"/>
        <v>44</v>
      </c>
      <c r="BW24" s="67">
        <v>219.4</v>
      </c>
      <c r="BX24" s="72">
        <f t="shared" si="42"/>
        <v>39.999999999992042</v>
      </c>
      <c r="BY24" s="67">
        <v>43644</v>
      </c>
      <c r="BZ24" s="72">
        <f t="shared" si="17"/>
        <v>70</v>
      </c>
      <c r="CA24" s="67">
        <v>26137.4</v>
      </c>
      <c r="CB24" s="72">
        <f t="shared" si="18"/>
        <v>61.700000000000728</v>
      </c>
      <c r="CC24" s="67">
        <v>10844.9</v>
      </c>
      <c r="CD24" s="72">
        <f t="shared" si="19"/>
        <v>12.899999999999636</v>
      </c>
      <c r="CE24" s="67">
        <v>5285.3</v>
      </c>
      <c r="CF24" s="72">
        <f t="shared" si="20"/>
        <v>16.800000000000182</v>
      </c>
      <c r="CG24" s="67">
        <v>39953.5</v>
      </c>
      <c r="CH24" s="72">
        <f t="shared" si="21"/>
        <v>108.30000000000291</v>
      </c>
      <c r="CI24" s="67">
        <v>830724</v>
      </c>
      <c r="CJ24" s="72">
        <f t="shared" si="2"/>
        <v>333</v>
      </c>
      <c r="CK24" s="67">
        <v>520.24</v>
      </c>
      <c r="CL24" s="71">
        <f t="shared" si="22"/>
        <v>690.00000000005457</v>
      </c>
      <c r="CM24" s="72">
        <v>110</v>
      </c>
      <c r="CN24" s="69">
        <v>62</v>
      </c>
      <c r="CO24" s="69">
        <v>138</v>
      </c>
    </row>
    <row r="25" spans="1:93" ht="25.5" customHeight="1" thickBot="1" x14ac:dyDescent="0.45">
      <c r="A25" s="70">
        <v>43883</v>
      </c>
      <c r="B25" s="48"/>
      <c r="C25" s="64">
        <v>1.5234000000000001</v>
      </c>
      <c r="D25" s="71">
        <f t="shared" si="3"/>
        <v>3700.0000000000364</v>
      </c>
      <c r="E25" s="64">
        <v>2.5209000000000001</v>
      </c>
      <c r="F25" s="71">
        <f t="shared" si="4"/>
        <v>4300.0000000001928</v>
      </c>
      <c r="G25" s="64">
        <v>2.3247</v>
      </c>
      <c r="H25" s="71">
        <f t="shared" si="5"/>
        <v>3600.0000000000477</v>
      </c>
      <c r="I25" s="64">
        <v>1.0926</v>
      </c>
      <c r="J25" s="71">
        <f t="shared" si="43"/>
        <v>1800.0000000000239</v>
      </c>
      <c r="K25" s="64">
        <v>1.6720999999999999</v>
      </c>
      <c r="L25" s="71">
        <f t="shared" si="0"/>
        <v>2299.9999999999686</v>
      </c>
      <c r="M25" s="64">
        <v>1.0666</v>
      </c>
      <c r="N25" s="71">
        <f t="shared" si="6"/>
        <v>2299.9999999999686</v>
      </c>
      <c r="O25" s="64">
        <v>11877</v>
      </c>
      <c r="P25" s="72">
        <f t="shared" si="7"/>
        <v>20</v>
      </c>
      <c r="Q25" s="64">
        <v>4772</v>
      </c>
      <c r="R25" s="72">
        <f t="shared" si="8"/>
        <v>12</v>
      </c>
      <c r="S25" s="64">
        <v>771612</v>
      </c>
      <c r="T25" s="72">
        <f t="shared" si="44"/>
        <v>1789</v>
      </c>
      <c r="U25" s="64">
        <v>312523</v>
      </c>
      <c r="V25" s="72">
        <f t="shared" si="10"/>
        <v>560</v>
      </c>
      <c r="W25" s="64">
        <v>303.48</v>
      </c>
      <c r="X25" s="72">
        <f t="shared" si="23"/>
        <v>490.00000000000909</v>
      </c>
      <c r="Y25" s="64">
        <v>2.2382</v>
      </c>
      <c r="Z25" s="72">
        <f t="shared" si="24"/>
        <v>3899.9999999997926</v>
      </c>
      <c r="AA25" s="64">
        <v>303.77</v>
      </c>
      <c r="AB25" s="72">
        <f t="shared" si="25"/>
        <v>599.99999999996589</v>
      </c>
      <c r="AC25" s="64">
        <v>274.17</v>
      </c>
      <c r="AD25" s="72">
        <f t="shared" si="26"/>
        <v>569.99999999999318</v>
      </c>
      <c r="AE25" s="64">
        <v>416.53</v>
      </c>
      <c r="AF25" s="72">
        <f t="shared" si="27"/>
        <v>1049.9999999999545</v>
      </c>
      <c r="AG25" s="64">
        <v>1089.9000000000001</v>
      </c>
      <c r="AH25" s="72">
        <f t="shared" si="11"/>
        <v>2.5</v>
      </c>
      <c r="AI25" s="64">
        <v>378.37</v>
      </c>
      <c r="AJ25" s="72">
        <f t="shared" si="28"/>
        <v>1000</v>
      </c>
      <c r="AK25" s="64">
        <v>131.56</v>
      </c>
      <c r="AL25" s="72">
        <f t="shared" si="12"/>
        <v>0.28000000000000114</v>
      </c>
      <c r="AM25" s="64">
        <v>133.5</v>
      </c>
      <c r="AN25" s="72">
        <f t="shared" si="13"/>
        <v>0.31999999999999318</v>
      </c>
      <c r="AO25" s="64">
        <v>131.11000000000001</v>
      </c>
      <c r="AP25" s="72">
        <f t="shared" si="14"/>
        <v>0.3200000000000216</v>
      </c>
      <c r="AQ25" s="64">
        <v>204.59</v>
      </c>
      <c r="AR25" s="72">
        <f t="shared" si="29"/>
        <v>180.00000000000682</v>
      </c>
      <c r="AS25" s="64">
        <v>329.07</v>
      </c>
      <c r="AT25" s="72">
        <f t="shared" si="30"/>
        <v>310.00000000000227</v>
      </c>
      <c r="AU25" s="64">
        <v>253.85</v>
      </c>
      <c r="AV25" s="72">
        <f t="shared" si="31"/>
        <v>250</v>
      </c>
      <c r="AW25" s="64">
        <v>282.39</v>
      </c>
      <c r="AX25" s="72">
        <f t="shared" si="32"/>
        <v>289.99999999996362</v>
      </c>
      <c r="AY25" s="64">
        <v>333.69</v>
      </c>
      <c r="AZ25" s="72">
        <f t="shared" si="33"/>
        <v>259.99999999999091</v>
      </c>
      <c r="BA25" s="64">
        <v>354.45</v>
      </c>
      <c r="BB25" s="72">
        <f t="shared" si="34"/>
        <v>289.99999999996362</v>
      </c>
      <c r="BC25" s="64">
        <v>202.26</v>
      </c>
      <c r="BD25" s="72">
        <f t="shared" si="35"/>
        <v>9.9999999999909051</v>
      </c>
      <c r="BE25" s="66">
        <v>25389</v>
      </c>
      <c r="BF25" s="72">
        <f t="shared" si="15"/>
        <v>61</v>
      </c>
      <c r="BG25" s="67">
        <v>221.18</v>
      </c>
      <c r="BH25" s="72">
        <f t="shared" si="36"/>
        <v>30.000000000001137</v>
      </c>
      <c r="BI25" s="67">
        <v>278.11</v>
      </c>
      <c r="BJ25" s="72">
        <f t="shared" si="37"/>
        <v>50.000000000011369</v>
      </c>
      <c r="BK25" s="67">
        <v>226.16</v>
      </c>
      <c r="BL25" s="72">
        <f t="shared" si="38"/>
        <v>39.999999999992042</v>
      </c>
      <c r="BM25" s="67">
        <v>208.87</v>
      </c>
      <c r="BN25" s="72">
        <f t="shared" si="39"/>
        <v>50.000000000011369</v>
      </c>
      <c r="BO25" s="67">
        <v>272.76</v>
      </c>
      <c r="BP25" s="72">
        <f t="shared" si="40"/>
        <v>39.99999999996362</v>
      </c>
      <c r="BQ25" s="67">
        <v>35729</v>
      </c>
      <c r="BR25" s="72">
        <f t="shared" si="16"/>
        <v>46</v>
      </c>
      <c r="BS25" s="67">
        <v>190.1</v>
      </c>
      <c r="BT25" s="72">
        <f t="shared" si="41"/>
        <v>39.999999999992042</v>
      </c>
      <c r="BU25" s="67">
        <v>26635</v>
      </c>
      <c r="BV25" s="72">
        <f t="shared" si="1"/>
        <v>46</v>
      </c>
      <c r="BW25" s="67">
        <v>219.44</v>
      </c>
      <c r="BX25" s="72">
        <f t="shared" si="42"/>
        <v>39.999999999992042</v>
      </c>
      <c r="BY25" s="67">
        <v>43712</v>
      </c>
      <c r="BZ25" s="72">
        <f t="shared" si="17"/>
        <v>68</v>
      </c>
      <c r="CA25" s="67">
        <v>26173.7</v>
      </c>
      <c r="CB25" s="72">
        <f t="shared" si="18"/>
        <v>36.299999999999272</v>
      </c>
      <c r="CC25" s="67">
        <v>10857.2</v>
      </c>
      <c r="CD25" s="72">
        <f t="shared" si="19"/>
        <v>12.300000000001091</v>
      </c>
      <c r="CE25" s="67">
        <v>5298.4</v>
      </c>
      <c r="CF25" s="72">
        <f t="shared" si="20"/>
        <v>13.099999999999454</v>
      </c>
      <c r="CG25" s="67">
        <v>40009.199999999997</v>
      </c>
      <c r="CH25" s="72">
        <f t="shared" si="21"/>
        <v>55.69999999999709</v>
      </c>
      <c r="CI25" s="67">
        <v>831027</v>
      </c>
      <c r="CJ25" s="72">
        <f t="shared" si="2"/>
        <v>303</v>
      </c>
      <c r="CK25" s="67">
        <v>520.95000000000005</v>
      </c>
      <c r="CL25" s="71">
        <f t="shared" si="22"/>
        <v>710.00000000003638</v>
      </c>
      <c r="CM25" s="72">
        <v>105</v>
      </c>
      <c r="CN25" s="69">
        <v>49</v>
      </c>
      <c r="CO25" s="69">
        <v>130</v>
      </c>
    </row>
    <row r="26" spans="1:93" ht="25.5" customHeight="1" thickBot="1" x14ac:dyDescent="0.45">
      <c r="A26" s="70">
        <v>43884</v>
      </c>
      <c r="B26" s="48"/>
      <c r="C26" s="64">
        <v>1.5276000000000001</v>
      </c>
      <c r="D26" s="71">
        <f t="shared" si="3"/>
        <v>4199.9999999999818</v>
      </c>
      <c r="E26" s="64">
        <v>2.5253999999999999</v>
      </c>
      <c r="F26" s="71">
        <f t="shared" si="4"/>
        <v>4499.9999999997262</v>
      </c>
      <c r="G26" s="64">
        <v>2.3290000000000002</v>
      </c>
      <c r="H26" s="71">
        <f t="shared" si="5"/>
        <v>4300.0000000001928</v>
      </c>
      <c r="I26" s="64">
        <v>1.0945</v>
      </c>
      <c r="J26" s="71">
        <f t="shared" si="43"/>
        <v>1900.0000000000127</v>
      </c>
      <c r="K26" s="64">
        <v>1.6745000000000001</v>
      </c>
      <c r="L26" s="71">
        <f t="shared" si="0"/>
        <v>2400.0000000001796</v>
      </c>
      <c r="M26" s="64">
        <v>1.0691999999999999</v>
      </c>
      <c r="N26" s="71">
        <f t="shared" si="6"/>
        <v>2599.9999999999359</v>
      </c>
      <c r="O26" s="64">
        <v>11894</v>
      </c>
      <c r="P26" s="72">
        <f t="shared" si="7"/>
        <v>17</v>
      </c>
      <c r="Q26" s="64">
        <v>4779</v>
      </c>
      <c r="R26" s="72">
        <f t="shared" si="8"/>
        <v>7</v>
      </c>
      <c r="S26" s="64">
        <v>773499</v>
      </c>
      <c r="T26" s="72">
        <f t="shared" si="44"/>
        <v>1887</v>
      </c>
      <c r="U26" s="64">
        <v>313080</v>
      </c>
      <c r="V26" s="72">
        <f t="shared" si="10"/>
        <v>557</v>
      </c>
      <c r="W26" s="64">
        <v>303.95999999999998</v>
      </c>
      <c r="X26" s="72">
        <f t="shared" si="23"/>
        <v>479.99999999996135</v>
      </c>
      <c r="Y26" s="64">
        <v>2.2421000000000002</v>
      </c>
      <c r="Z26" s="72">
        <f t="shared" si="24"/>
        <v>3900.0000000002365</v>
      </c>
      <c r="AA26" s="64">
        <v>304.43</v>
      </c>
      <c r="AB26" s="72">
        <f t="shared" si="25"/>
        <v>660.00000000002501</v>
      </c>
      <c r="AC26" s="64">
        <v>274.76</v>
      </c>
      <c r="AD26" s="72">
        <f t="shared" si="26"/>
        <v>589.99999999997499</v>
      </c>
      <c r="AE26" s="64">
        <v>417.68</v>
      </c>
      <c r="AF26" s="72">
        <f t="shared" si="27"/>
        <v>1150.0000000000341</v>
      </c>
      <c r="AG26" s="64">
        <v>1092.4000000000001</v>
      </c>
      <c r="AH26" s="72">
        <f t="shared" si="11"/>
        <v>2.5</v>
      </c>
      <c r="AI26" s="64">
        <v>379.43</v>
      </c>
      <c r="AJ26" s="72">
        <f t="shared" si="28"/>
        <v>1060.0000000000023</v>
      </c>
      <c r="AK26" s="64">
        <v>131.88999999999999</v>
      </c>
      <c r="AL26" s="72">
        <f t="shared" si="12"/>
        <v>0.32999999999998408</v>
      </c>
      <c r="AM26" s="64">
        <v>133.84</v>
      </c>
      <c r="AN26" s="72">
        <f t="shared" si="13"/>
        <v>0.34000000000000341</v>
      </c>
      <c r="AO26" s="64">
        <v>131.44999999999999</v>
      </c>
      <c r="AP26" s="72">
        <f t="shared" si="14"/>
        <v>0.33999999999997499</v>
      </c>
      <c r="AQ26" s="64">
        <v>204.78</v>
      </c>
      <c r="AR26" s="72">
        <f t="shared" si="29"/>
        <v>189.99999999999773</v>
      </c>
      <c r="AS26" s="64">
        <v>329.38</v>
      </c>
      <c r="AT26" s="72">
        <f t="shared" si="30"/>
        <v>310.00000000000227</v>
      </c>
      <c r="AU26" s="64">
        <v>254.05</v>
      </c>
      <c r="AV26" s="72">
        <f t="shared" si="31"/>
        <v>200.00000000001705</v>
      </c>
      <c r="AW26" s="64">
        <v>282.76</v>
      </c>
      <c r="AX26" s="72">
        <f t="shared" si="32"/>
        <v>370.00000000000455</v>
      </c>
      <c r="AY26" s="64">
        <v>333.94</v>
      </c>
      <c r="AZ26" s="72">
        <f t="shared" si="33"/>
        <v>250</v>
      </c>
      <c r="BA26" s="64">
        <v>354.84</v>
      </c>
      <c r="BB26" s="72">
        <f t="shared" si="34"/>
        <v>389.99999999998636</v>
      </c>
      <c r="BC26" s="64">
        <v>202.27</v>
      </c>
      <c r="BD26" s="72">
        <f t="shared" si="35"/>
        <v>10.000000000019327</v>
      </c>
      <c r="BE26" s="66">
        <v>25449</v>
      </c>
      <c r="BF26" s="72">
        <f t="shared" si="15"/>
        <v>60</v>
      </c>
      <c r="BG26" s="67">
        <v>221.22</v>
      </c>
      <c r="BH26" s="72">
        <f t="shared" si="36"/>
        <v>39.999999999992042</v>
      </c>
      <c r="BI26" s="67">
        <v>278.16000000000003</v>
      </c>
      <c r="BJ26" s="72">
        <f t="shared" si="37"/>
        <v>50.000000000011369</v>
      </c>
      <c r="BK26" s="67">
        <v>226.22</v>
      </c>
      <c r="BL26" s="72">
        <f t="shared" si="38"/>
        <v>60.000000000002274</v>
      </c>
      <c r="BM26" s="67">
        <v>208.94</v>
      </c>
      <c r="BN26" s="72">
        <f t="shared" si="39"/>
        <v>69.999999999993179</v>
      </c>
      <c r="BO26" s="67">
        <v>272.81</v>
      </c>
      <c r="BP26" s="72">
        <f t="shared" si="40"/>
        <v>50.000000000011369</v>
      </c>
      <c r="BQ26" s="67">
        <v>35775</v>
      </c>
      <c r="BR26" s="72">
        <f t="shared" si="16"/>
        <v>46</v>
      </c>
      <c r="BS26" s="67">
        <v>190.14</v>
      </c>
      <c r="BT26" s="72">
        <f t="shared" si="41"/>
        <v>39.999999999992042</v>
      </c>
      <c r="BU26" s="67">
        <v>26683</v>
      </c>
      <c r="BV26" s="72">
        <f t="shared" si="1"/>
        <v>48</v>
      </c>
      <c r="BW26" s="67">
        <v>219.48</v>
      </c>
      <c r="BX26" s="72">
        <f t="shared" si="42"/>
        <v>39.999999999992042</v>
      </c>
      <c r="BY26" s="67">
        <v>43781</v>
      </c>
      <c r="BZ26" s="72">
        <f t="shared" si="17"/>
        <v>69</v>
      </c>
      <c r="CA26" s="67">
        <v>26209.8</v>
      </c>
      <c r="CB26" s="72">
        <f t="shared" si="18"/>
        <v>36.099999999998545</v>
      </c>
      <c r="CC26" s="67">
        <v>10870.7</v>
      </c>
      <c r="CD26" s="72">
        <f t="shared" si="19"/>
        <v>13.5</v>
      </c>
      <c r="CE26" s="67">
        <v>5309.3</v>
      </c>
      <c r="CF26" s="72">
        <f t="shared" si="20"/>
        <v>10.900000000000546</v>
      </c>
      <c r="CG26" s="67">
        <v>40069.300000000003</v>
      </c>
      <c r="CH26" s="72">
        <f t="shared" si="21"/>
        <v>60.100000000005821</v>
      </c>
      <c r="CI26" s="67">
        <v>831336</v>
      </c>
      <c r="CJ26" s="72">
        <f t="shared" si="2"/>
        <v>309</v>
      </c>
      <c r="CK26" s="67">
        <v>521.75</v>
      </c>
      <c r="CL26" s="71">
        <f t="shared" si="22"/>
        <v>799.99999999995453</v>
      </c>
      <c r="CM26" s="72">
        <v>110</v>
      </c>
      <c r="CN26" s="69">
        <v>48</v>
      </c>
      <c r="CO26" s="69">
        <v>128</v>
      </c>
    </row>
    <row r="27" spans="1:93" ht="25.5" customHeight="1" thickBot="1" x14ac:dyDescent="0.45">
      <c r="A27" s="70">
        <v>43885</v>
      </c>
      <c r="B27" s="48"/>
      <c r="C27" s="64">
        <v>1.5311999999999999</v>
      </c>
      <c r="D27" s="71">
        <f t="shared" si="3"/>
        <v>3599.9999999998254</v>
      </c>
      <c r="E27" s="64">
        <v>2.5297000000000001</v>
      </c>
      <c r="F27" s="71">
        <f t="shared" si="4"/>
        <v>4300.0000000001928</v>
      </c>
      <c r="G27" s="64">
        <v>2.3328000000000002</v>
      </c>
      <c r="H27" s="71">
        <f t="shared" si="5"/>
        <v>3800.0000000000255</v>
      </c>
      <c r="I27" s="64">
        <v>1.0963000000000001</v>
      </c>
      <c r="J27" s="71">
        <f t="shared" si="43"/>
        <v>1800.0000000000239</v>
      </c>
      <c r="K27" s="64">
        <v>1.6768000000000001</v>
      </c>
      <c r="L27" s="71">
        <f t="shared" si="0"/>
        <v>2299.9999999999686</v>
      </c>
      <c r="M27" s="64">
        <v>1.0714999999999999</v>
      </c>
      <c r="N27" s="71">
        <f t="shared" si="6"/>
        <v>2299.9999999999686</v>
      </c>
      <c r="O27" s="64">
        <v>11913</v>
      </c>
      <c r="P27" s="72">
        <f t="shared" si="7"/>
        <v>19</v>
      </c>
      <c r="Q27" s="64">
        <v>4788</v>
      </c>
      <c r="R27" s="72">
        <f t="shared" si="8"/>
        <v>9</v>
      </c>
      <c r="S27" s="64"/>
      <c r="T27" s="72" t="str">
        <f t="shared" si="44"/>
        <v/>
      </c>
      <c r="U27" s="64"/>
      <c r="V27" s="72" t="str">
        <f t="shared" si="10"/>
        <v/>
      </c>
      <c r="W27" s="64">
        <v>304.45999999999998</v>
      </c>
      <c r="X27" s="72">
        <f t="shared" si="23"/>
        <v>500</v>
      </c>
      <c r="Y27" s="64">
        <v>2.246</v>
      </c>
      <c r="Z27" s="72">
        <f t="shared" si="24"/>
        <v>3899.9999999997926</v>
      </c>
      <c r="AA27" s="64">
        <v>305.05</v>
      </c>
      <c r="AB27" s="72">
        <f t="shared" si="25"/>
        <v>620.00000000000455</v>
      </c>
      <c r="AC27" s="64">
        <v>275.31</v>
      </c>
      <c r="AD27" s="72">
        <f t="shared" si="26"/>
        <v>550.00000000001137</v>
      </c>
      <c r="AE27" s="64">
        <v>418.74</v>
      </c>
      <c r="AF27" s="72">
        <f t="shared" si="27"/>
        <v>1060.0000000000023</v>
      </c>
      <c r="AG27" s="64">
        <v>1094.8</v>
      </c>
      <c r="AH27" s="72">
        <f t="shared" si="11"/>
        <v>2.3999999999998636</v>
      </c>
      <c r="AI27" s="64">
        <v>380.43</v>
      </c>
      <c r="AJ27" s="72">
        <f t="shared" si="28"/>
        <v>1000</v>
      </c>
      <c r="AK27" s="64">
        <v>132.16</v>
      </c>
      <c r="AL27" s="72">
        <f t="shared" si="12"/>
        <v>0.27000000000001023</v>
      </c>
      <c r="AM27" s="64">
        <v>134.16</v>
      </c>
      <c r="AN27" s="72">
        <f t="shared" si="13"/>
        <v>0.31999999999999318</v>
      </c>
      <c r="AO27" s="64">
        <v>131.76</v>
      </c>
      <c r="AP27" s="72">
        <f t="shared" si="14"/>
        <v>0.31000000000000227</v>
      </c>
      <c r="AQ27" s="64">
        <v>204.96</v>
      </c>
      <c r="AR27" s="72">
        <f t="shared" si="29"/>
        <v>180.00000000000682</v>
      </c>
      <c r="AS27" s="64">
        <v>329.64</v>
      </c>
      <c r="AT27" s="72">
        <f t="shared" si="30"/>
        <v>259.99999999999091</v>
      </c>
      <c r="AU27" s="64">
        <v>254.19</v>
      </c>
      <c r="AV27" s="72">
        <f t="shared" si="31"/>
        <v>139.99999999998636</v>
      </c>
      <c r="AW27" s="64">
        <v>283.08</v>
      </c>
      <c r="AX27" s="72">
        <f t="shared" si="32"/>
        <v>319.99999999999318</v>
      </c>
      <c r="AY27" s="64">
        <v>334.13</v>
      </c>
      <c r="AZ27" s="72">
        <f t="shared" si="33"/>
        <v>189.99999999999773</v>
      </c>
      <c r="BA27" s="64">
        <v>355.13</v>
      </c>
      <c r="BB27" s="72">
        <f t="shared" si="34"/>
        <v>290.00000000002046</v>
      </c>
      <c r="BC27" s="64">
        <v>202.28</v>
      </c>
      <c r="BD27" s="72">
        <f t="shared" si="35"/>
        <v>9.9999999999909051</v>
      </c>
      <c r="BE27" s="66">
        <v>25501</v>
      </c>
      <c r="BF27" s="72">
        <f t="shared" si="15"/>
        <v>52</v>
      </c>
      <c r="BG27" s="67">
        <v>221.25</v>
      </c>
      <c r="BH27" s="72">
        <f t="shared" si="36"/>
        <v>30.000000000001137</v>
      </c>
      <c r="BI27" s="67">
        <v>278.20999999999998</v>
      </c>
      <c r="BJ27" s="72">
        <f t="shared" si="37"/>
        <v>49.999999999954525</v>
      </c>
      <c r="BK27" s="67">
        <v>226.26</v>
      </c>
      <c r="BL27" s="72">
        <f t="shared" si="38"/>
        <v>39.999999999992042</v>
      </c>
      <c r="BM27" s="67">
        <v>208.98</v>
      </c>
      <c r="BN27" s="72">
        <f t="shared" si="39"/>
        <v>39.999999999992042</v>
      </c>
      <c r="BO27" s="67">
        <v>272.85000000000002</v>
      </c>
      <c r="BP27" s="72">
        <f t="shared" si="40"/>
        <v>40.000000000020464</v>
      </c>
      <c r="BQ27" s="67">
        <v>35819</v>
      </c>
      <c r="BR27" s="72">
        <f t="shared" si="16"/>
        <v>44</v>
      </c>
      <c r="BS27" s="67">
        <v>190.17</v>
      </c>
      <c r="BT27" s="72">
        <f t="shared" si="41"/>
        <v>30.000000000001137</v>
      </c>
      <c r="BU27" s="67">
        <v>26726</v>
      </c>
      <c r="BV27" s="72">
        <f t="shared" si="1"/>
        <v>43</v>
      </c>
      <c r="BW27" s="67">
        <v>219.52</v>
      </c>
      <c r="BX27" s="72">
        <f t="shared" si="42"/>
        <v>40.000000000020464</v>
      </c>
      <c r="BY27" s="67">
        <v>43847</v>
      </c>
      <c r="BZ27" s="72">
        <f t="shared" si="17"/>
        <v>66</v>
      </c>
      <c r="CA27" s="67">
        <v>26249</v>
      </c>
      <c r="CB27" s="72">
        <f t="shared" si="18"/>
        <v>39.200000000000728</v>
      </c>
      <c r="CC27" s="67">
        <v>10882.8</v>
      </c>
      <c r="CD27" s="72">
        <f t="shared" si="19"/>
        <v>12.099999999998545</v>
      </c>
      <c r="CE27" s="67">
        <v>5318.7</v>
      </c>
      <c r="CF27" s="72">
        <f t="shared" si="20"/>
        <v>9.3999999999996362</v>
      </c>
      <c r="CG27" s="67">
        <v>40139.800000000003</v>
      </c>
      <c r="CH27" s="72">
        <f t="shared" si="21"/>
        <v>70.5</v>
      </c>
      <c r="CI27" s="67">
        <v>831664</v>
      </c>
      <c r="CJ27" s="72">
        <f t="shared" si="2"/>
        <v>328</v>
      </c>
      <c r="CK27" s="67">
        <v>522.41</v>
      </c>
      <c r="CL27" s="71">
        <f t="shared" si="22"/>
        <v>659.99999999996817</v>
      </c>
      <c r="CM27" s="72">
        <v>111</v>
      </c>
      <c r="CN27" s="69">
        <v>52</v>
      </c>
      <c r="CO27" s="69">
        <v>135</v>
      </c>
    </row>
    <row r="28" spans="1:93" ht="25.5" customHeight="1" thickBot="1" x14ac:dyDescent="0.45">
      <c r="A28" s="70">
        <v>43886</v>
      </c>
      <c r="B28" s="48"/>
      <c r="C28" s="64"/>
      <c r="D28" s="71" t="str">
        <f t="shared" si="3"/>
        <v>0</v>
      </c>
      <c r="E28" s="64"/>
      <c r="F28" s="71" t="str">
        <f t="shared" si="4"/>
        <v>0</v>
      </c>
      <c r="G28" s="64"/>
      <c r="H28" s="71" t="str">
        <f t="shared" si="5"/>
        <v>0</v>
      </c>
      <c r="I28" s="64"/>
      <c r="J28" s="71" t="str">
        <f t="shared" si="43"/>
        <v>0</v>
      </c>
      <c r="K28" s="64"/>
      <c r="L28" s="71" t="str">
        <f t="shared" si="0"/>
        <v>0</v>
      </c>
      <c r="M28" s="64"/>
      <c r="N28" s="71" t="str">
        <f t="shared" si="6"/>
        <v/>
      </c>
      <c r="O28" s="64"/>
      <c r="P28" s="72" t="str">
        <f t="shared" si="7"/>
        <v/>
      </c>
      <c r="Q28" s="64"/>
      <c r="R28" s="72" t="str">
        <f t="shared" si="8"/>
        <v/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 t="str">
        <f t="shared" si="23"/>
        <v/>
      </c>
      <c r="Y28" s="64"/>
      <c r="Z28" s="72" t="str">
        <f t="shared" si="24"/>
        <v/>
      </c>
      <c r="AA28" s="64"/>
      <c r="AB28" s="72" t="str">
        <f t="shared" si="25"/>
        <v/>
      </c>
      <c r="AC28" s="64"/>
      <c r="AD28" s="72" t="str">
        <f t="shared" si="26"/>
        <v/>
      </c>
      <c r="AE28" s="64"/>
      <c r="AF28" s="72" t="str">
        <f t="shared" si="27"/>
        <v/>
      </c>
      <c r="AG28" s="64"/>
      <c r="AH28" s="72" t="str">
        <f t="shared" si="11"/>
        <v/>
      </c>
      <c r="AI28" s="64"/>
      <c r="AJ28" s="72" t="str">
        <f t="shared" si="28"/>
        <v/>
      </c>
      <c r="AK28" s="64"/>
      <c r="AL28" s="72" t="str">
        <f t="shared" si="12"/>
        <v/>
      </c>
      <c r="AM28" s="64"/>
      <c r="AN28" s="72" t="str">
        <f t="shared" si="13"/>
        <v/>
      </c>
      <c r="AO28" s="64"/>
      <c r="AP28" s="72" t="str">
        <f t="shared" si="14"/>
        <v/>
      </c>
      <c r="AQ28" s="64"/>
      <c r="AR28" s="72" t="str">
        <f t="shared" si="29"/>
        <v/>
      </c>
      <c r="AS28" s="64"/>
      <c r="AT28" s="72" t="str">
        <f t="shared" si="30"/>
        <v/>
      </c>
      <c r="AU28" s="64"/>
      <c r="AV28" s="72" t="str">
        <f t="shared" si="31"/>
        <v/>
      </c>
      <c r="AW28" s="64"/>
      <c r="AX28" s="72" t="str">
        <f t="shared" si="32"/>
        <v/>
      </c>
      <c r="AY28" s="64"/>
      <c r="AZ28" s="72" t="str">
        <f t="shared" si="33"/>
        <v/>
      </c>
      <c r="BA28" s="64"/>
      <c r="BB28" s="72" t="str">
        <f t="shared" si="34"/>
        <v/>
      </c>
      <c r="BC28" s="64"/>
      <c r="BD28" s="72" t="str">
        <f t="shared" si="35"/>
        <v/>
      </c>
      <c r="BE28" s="66"/>
      <c r="BF28" s="72" t="str">
        <f t="shared" si="15"/>
        <v/>
      </c>
      <c r="BG28" s="67"/>
      <c r="BH28" s="72" t="str">
        <f t="shared" si="36"/>
        <v/>
      </c>
      <c r="BI28" s="67"/>
      <c r="BJ28" s="72" t="str">
        <f t="shared" si="37"/>
        <v/>
      </c>
      <c r="BK28" s="67"/>
      <c r="BL28" s="72" t="str">
        <f t="shared" si="38"/>
        <v/>
      </c>
      <c r="BM28" s="67"/>
      <c r="BN28" s="72" t="str">
        <f t="shared" si="39"/>
        <v/>
      </c>
      <c r="BO28" s="67"/>
      <c r="BP28" s="72" t="str">
        <f t="shared" si="40"/>
        <v/>
      </c>
      <c r="BQ28" s="67"/>
      <c r="BR28" s="72" t="str">
        <f t="shared" si="16"/>
        <v/>
      </c>
      <c r="BS28" s="67"/>
      <c r="BT28" s="72" t="str">
        <f t="shared" si="41"/>
        <v/>
      </c>
      <c r="BU28" s="67"/>
      <c r="BV28" s="72" t="str">
        <f t="shared" si="1"/>
        <v/>
      </c>
      <c r="BW28" s="67"/>
      <c r="BX28" s="72" t="str">
        <f t="shared" si="42"/>
        <v/>
      </c>
      <c r="BY28" s="67"/>
      <c r="BZ28" s="72" t="str">
        <f t="shared" si="17"/>
        <v/>
      </c>
      <c r="CA28" s="67"/>
      <c r="CB28" s="72" t="str">
        <f t="shared" si="18"/>
        <v/>
      </c>
      <c r="CC28" s="67"/>
      <c r="CD28" s="72" t="str">
        <f t="shared" si="19"/>
        <v/>
      </c>
      <c r="CE28" s="67"/>
      <c r="CF28" s="72" t="str">
        <f t="shared" si="20"/>
        <v/>
      </c>
      <c r="CG28" s="67"/>
      <c r="CH28" s="72" t="str">
        <f t="shared" si="21"/>
        <v/>
      </c>
      <c r="CI28" s="67"/>
      <c r="CJ28" s="72" t="str">
        <f t="shared" si="2"/>
        <v/>
      </c>
      <c r="CK28" s="67"/>
      <c r="CL28" s="71" t="str">
        <f t="shared" si="22"/>
        <v/>
      </c>
      <c r="CM28" s="72"/>
      <c r="CN28" s="69"/>
      <c r="CO28" s="69"/>
    </row>
    <row r="29" spans="1:93" ht="25.5" customHeight="1" thickBot="1" x14ac:dyDescent="0.45">
      <c r="A29" s="70">
        <v>43887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43888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43889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450</v>
      </c>
      <c r="R35" s="76">
        <f>SUM(R4:R33)</f>
        <v>205</v>
      </c>
      <c r="AX35" s="72">
        <f t="shared" si="32"/>
        <v>0</v>
      </c>
      <c r="BF35" s="76">
        <f>SUM(BF4:BF33)</f>
        <v>1486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3" zoomScaleNormal="100" workbookViewId="0">
      <selection activeCell="B32" sqref="B32:Q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80</v>
      </c>
      <c r="H12" s="45">
        <v>1273</v>
      </c>
      <c r="I12" s="45">
        <v>85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70</v>
      </c>
      <c r="H13" s="45">
        <v>1275</v>
      </c>
      <c r="I13" s="45">
        <v>85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25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60</v>
      </c>
      <c r="H14" s="45">
        <v>1278</v>
      </c>
      <c r="I14" s="45">
        <v>85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25">
      <c r="A15" s="27">
        <v>43868</v>
      </c>
      <c r="B15" s="44">
        <v>37</v>
      </c>
      <c r="C15" s="44">
        <v>31</v>
      </c>
      <c r="D15" s="44">
        <v>68</v>
      </c>
      <c r="E15" s="45">
        <v>0</v>
      </c>
      <c r="F15" s="45">
        <v>4421</v>
      </c>
      <c r="G15" s="45">
        <v>45</v>
      </c>
      <c r="H15" s="45">
        <v>1280</v>
      </c>
      <c r="I15" s="45">
        <v>85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25">
      <c r="A16" s="27">
        <v>43869</v>
      </c>
      <c r="B16" s="44">
        <v>42</v>
      </c>
      <c r="C16" s="44">
        <v>31</v>
      </c>
      <c r="D16" s="44">
        <v>66</v>
      </c>
      <c r="E16" s="45">
        <v>0</v>
      </c>
      <c r="F16" s="45">
        <v>4429</v>
      </c>
      <c r="G16" s="45">
        <v>35</v>
      </c>
      <c r="H16" s="45">
        <v>1282</v>
      </c>
      <c r="I16" s="45">
        <v>85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25">
      <c r="A17" s="27">
        <v>43870</v>
      </c>
      <c r="B17" s="44">
        <v>56</v>
      </c>
      <c r="C17" s="44">
        <v>42</v>
      </c>
      <c r="D17" s="44">
        <v>86</v>
      </c>
      <c r="E17" s="45">
        <v>0</v>
      </c>
      <c r="F17" s="45">
        <v>4436</v>
      </c>
      <c r="G17" s="45">
        <v>20</v>
      </c>
      <c r="H17" s="45">
        <v>1283</v>
      </c>
      <c r="I17" s="45">
        <v>85</v>
      </c>
      <c r="J17" s="45">
        <v>257</v>
      </c>
      <c r="K17" s="46">
        <v>5</v>
      </c>
      <c r="L17" s="46">
        <v>85</v>
      </c>
      <c r="M17" s="46">
        <v>1043</v>
      </c>
      <c r="N17" s="43">
        <v>85</v>
      </c>
      <c r="O17" s="43">
        <v>0</v>
      </c>
      <c r="P17" s="43">
        <v>70</v>
      </c>
      <c r="Q17" s="43">
        <v>2133</v>
      </c>
    </row>
    <row r="18" spans="1:17" x14ac:dyDescent="0.25">
      <c r="A18" s="27">
        <v>43871</v>
      </c>
      <c r="B18" s="44">
        <v>70</v>
      </c>
      <c r="C18" s="44">
        <v>51</v>
      </c>
      <c r="D18" s="44">
        <v>94</v>
      </c>
      <c r="E18" s="45">
        <v>0</v>
      </c>
      <c r="F18" s="45">
        <v>4445</v>
      </c>
      <c r="G18" s="45">
        <v>15</v>
      </c>
      <c r="H18" s="45">
        <v>1285</v>
      </c>
      <c r="I18" s="45">
        <v>85</v>
      </c>
      <c r="J18" s="45">
        <v>257</v>
      </c>
      <c r="K18" s="46">
        <v>0</v>
      </c>
      <c r="L18" s="46">
        <v>85</v>
      </c>
      <c r="M18" s="46">
        <v>1046</v>
      </c>
      <c r="N18" s="43">
        <v>85</v>
      </c>
      <c r="O18" s="43">
        <v>0</v>
      </c>
      <c r="P18" s="43">
        <v>65</v>
      </c>
      <c r="Q18" s="43">
        <v>2136</v>
      </c>
    </row>
    <row r="19" spans="1:17" x14ac:dyDescent="0.25">
      <c r="A19" s="27">
        <v>43872</v>
      </c>
      <c r="B19" s="44">
        <v>79</v>
      </c>
      <c r="C19" s="44">
        <v>57</v>
      </c>
      <c r="D19" s="44">
        <v>114</v>
      </c>
      <c r="E19" s="45">
        <v>0</v>
      </c>
      <c r="F19" s="45">
        <v>4452</v>
      </c>
      <c r="G19" s="45">
        <v>5</v>
      </c>
      <c r="H19" s="45">
        <v>1286</v>
      </c>
      <c r="I19" s="45">
        <v>85</v>
      </c>
      <c r="J19" s="45">
        <v>257</v>
      </c>
      <c r="K19" s="46">
        <v>0</v>
      </c>
      <c r="L19" s="46">
        <v>85</v>
      </c>
      <c r="M19" s="46">
        <v>1048</v>
      </c>
      <c r="N19" s="43">
        <v>85</v>
      </c>
      <c r="O19" s="43">
        <v>0</v>
      </c>
      <c r="P19" s="43">
        <v>65</v>
      </c>
      <c r="Q19" s="43">
        <v>2138</v>
      </c>
    </row>
    <row r="20" spans="1:17" x14ac:dyDescent="0.25">
      <c r="A20" s="27">
        <v>43873</v>
      </c>
      <c r="B20" s="44">
        <v>82</v>
      </c>
      <c r="C20" s="44">
        <v>60</v>
      </c>
      <c r="D20" s="44">
        <v>119</v>
      </c>
      <c r="E20" s="45">
        <v>0</v>
      </c>
      <c r="F20" s="45">
        <v>4460</v>
      </c>
      <c r="G20" s="45">
        <v>0</v>
      </c>
      <c r="H20" s="45">
        <v>1288</v>
      </c>
      <c r="I20" s="45">
        <v>85</v>
      </c>
      <c r="J20" s="45">
        <v>257</v>
      </c>
      <c r="K20" s="46">
        <v>0</v>
      </c>
      <c r="L20" s="46">
        <v>85</v>
      </c>
      <c r="M20" s="46">
        <v>1052</v>
      </c>
      <c r="N20" s="43">
        <v>85</v>
      </c>
      <c r="O20" s="43">
        <v>0</v>
      </c>
      <c r="P20" s="43">
        <v>60</v>
      </c>
      <c r="Q20" s="43">
        <v>2140</v>
      </c>
    </row>
    <row r="21" spans="1:17" x14ac:dyDescent="0.25">
      <c r="A21" s="27">
        <v>43874</v>
      </c>
      <c r="B21" s="44">
        <v>85</v>
      </c>
      <c r="C21" s="44">
        <v>61</v>
      </c>
      <c r="D21" s="44">
        <v>119</v>
      </c>
      <c r="E21" s="45">
        <v>0</v>
      </c>
      <c r="F21" s="45">
        <v>4467</v>
      </c>
      <c r="G21" s="45">
        <v>0</v>
      </c>
      <c r="H21" s="45">
        <v>1290</v>
      </c>
      <c r="I21" s="45">
        <v>85</v>
      </c>
      <c r="J21" s="45">
        <v>258</v>
      </c>
      <c r="K21" s="46">
        <v>0</v>
      </c>
      <c r="L21" s="46">
        <v>80</v>
      </c>
      <c r="M21" s="46">
        <v>1054</v>
      </c>
      <c r="N21" s="43">
        <v>85</v>
      </c>
      <c r="O21" s="43">
        <v>0</v>
      </c>
      <c r="P21" s="43">
        <v>55</v>
      </c>
      <c r="Q21" s="43">
        <v>2143</v>
      </c>
    </row>
    <row r="22" spans="1:17" x14ac:dyDescent="0.25">
      <c r="A22" s="27">
        <v>43875</v>
      </c>
      <c r="B22" s="44">
        <v>82</v>
      </c>
      <c r="C22" s="44">
        <v>61</v>
      </c>
      <c r="D22" s="44">
        <v>127</v>
      </c>
      <c r="E22" s="45">
        <v>0</v>
      </c>
      <c r="F22" s="45">
        <v>4476</v>
      </c>
      <c r="G22" s="45">
        <v>0</v>
      </c>
      <c r="H22" s="45">
        <v>1292</v>
      </c>
      <c r="I22" s="45">
        <v>65</v>
      </c>
      <c r="J22" s="45">
        <v>259</v>
      </c>
      <c r="K22" s="46">
        <v>0</v>
      </c>
      <c r="L22" s="46">
        <v>80</v>
      </c>
      <c r="M22" s="46">
        <v>1058</v>
      </c>
      <c r="N22" s="43">
        <v>85</v>
      </c>
      <c r="O22" s="43">
        <v>0</v>
      </c>
      <c r="P22" s="43">
        <v>55</v>
      </c>
      <c r="Q22" s="43">
        <v>2146</v>
      </c>
    </row>
    <row r="23" spans="1:17" x14ac:dyDescent="0.25">
      <c r="A23" s="27">
        <v>43876</v>
      </c>
      <c r="B23" s="44">
        <v>86</v>
      </c>
      <c r="C23" s="44">
        <v>66</v>
      </c>
      <c r="D23" s="44">
        <v>135</v>
      </c>
      <c r="E23" s="45">
        <v>0</v>
      </c>
      <c r="F23" s="45">
        <v>4484</v>
      </c>
      <c r="G23" s="45">
        <v>0</v>
      </c>
      <c r="H23" s="45">
        <v>1294</v>
      </c>
      <c r="I23" s="45">
        <v>60</v>
      </c>
      <c r="J23" s="45">
        <v>259</v>
      </c>
      <c r="K23" s="46">
        <v>0</v>
      </c>
      <c r="L23" s="46">
        <v>80</v>
      </c>
      <c r="M23" s="46">
        <v>1060</v>
      </c>
      <c r="N23" s="43">
        <v>85</v>
      </c>
      <c r="O23" s="43">
        <v>0</v>
      </c>
      <c r="P23" s="43">
        <v>50</v>
      </c>
      <c r="Q23" s="43">
        <v>2148</v>
      </c>
    </row>
    <row r="24" spans="1:17" x14ac:dyDescent="0.25">
      <c r="A24" s="27">
        <v>43877</v>
      </c>
      <c r="B24" s="44">
        <v>80</v>
      </c>
      <c r="C24" s="44">
        <v>62</v>
      </c>
      <c r="D24" s="44">
        <v>126</v>
      </c>
      <c r="E24" s="45">
        <v>0</v>
      </c>
      <c r="F24" s="45">
        <v>4493</v>
      </c>
      <c r="G24" s="45">
        <v>80</v>
      </c>
      <c r="H24" s="45">
        <v>1296</v>
      </c>
      <c r="I24" s="45">
        <v>50</v>
      </c>
      <c r="J24" s="45">
        <v>260</v>
      </c>
      <c r="K24" s="46">
        <v>0</v>
      </c>
      <c r="L24" s="46">
        <v>70</v>
      </c>
      <c r="M24" s="46">
        <v>1065</v>
      </c>
      <c r="N24" s="43">
        <v>80</v>
      </c>
      <c r="O24" s="43">
        <v>0</v>
      </c>
      <c r="P24" s="43">
        <v>50</v>
      </c>
      <c r="Q24" s="43">
        <v>2152</v>
      </c>
    </row>
    <row r="25" spans="1:17" x14ac:dyDescent="0.25">
      <c r="A25" s="27">
        <v>43878</v>
      </c>
      <c r="B25" s="44">
        <v>73</v>
      </c>
      <c r="C25" s="44">
        <v>57</v>
      </c>
      <c r="D25" s="44">
        <v>116</v>
      </c>
      <c r="E25" s="45">
        <v>0</v>
      </c>
      <c r="F25" s="45">
        <v>4501</v>
      </c>
      <c r="G25" s="45">
        <v>70</v>
      </c>
      <c r="H25" s="45">
        <v>1299</v>
      </c>
      <c r="I25" s="45">
        <v>50</v>
      </c>
      <c r="J25" s="45">
        <v>261</v>
      </c>
      <c r="K25" s="46">
        <v>0</v>
      </c>
      <c r="L25" s="46">
        <v>70</v>
      </c>
      <c r="M25" s="46">
        <v>1068</v>
      </c>
      <c r="N25" s="43">
        <v>80</v>
      </c>
      <c r="O25" s="43">
        <v>0</v>
      </c>
      <c r="P25" s="43">
        <v>45</v>
      </c>
      <c r="Q25" s="43">
        <v>2154</v>
      </c>
    </row>
    <row r="26" spans="1:17" x14ac:dyDescent="0.25">
      <c r="A26" s="27">
        <v>43879</v>
      </c>
      <c r="B26" s="44">
        <v>75</v>
      </c>
      <c r="C26" s="44">
        <v>56</v>
      </c>
      <c r="D26" s="44">
        <v>115</v>
      </c>
      <c r="E26" s="45">
        <v>0</v>
      </c>
      <c r="F26" s="45">
        <v>4510</v>
      </c>
      <c r="G26" s="45">
        <v>55</v>
      </c>
      <c r="H26" s="45">
        <v>1301</v>
      </c>
      <c r="I26" s="45">
        <v>50</v>
      </c>
      <c r="J26" s="45">
        <v>262</v>
      </c>
      <c r="K26" s="46">
        <v>0</v>
      </c>
      <c r="L26" s="46">
        <v>70</v>
      </c>
      <c r="M26" s="46">
        <v>1068</v>
      </c>
      <c r="N26" s="43">
        <v>80</v>
      </c>
      <c r="O26" s="43">
        <v>0</v>
      </c>
      <c r="P26" s="43">
        <v>45</v>
      </c>
      <c r="Q26" s="43">
        <v>2156</v>
      </c>
    </row>
    <row r="27" spans="1:17" x14ac:dyDescent="0.25">
      <c r="A27" s="27">
        <v>43880</v>
      </c>
      <c r="B27" s="44">
        <v>76</v>
      </c>
      <c r="C27" s="44">
        <v>56</v>
      </c>
      <c r="D27" s="44">
        <v>114</v>
      </c>
      <c r="E27" s="45">
        <v>0</v>
      </c>
      <c r="F27" s="45">
        <v>4518</v>
      </c>
      <c r="G27" s="45">
        <v>45</v>
      </c>
      <c r="H27" s="45">
        <v>1303</v>
      </c>
      <c r="I27" s="45">
        <v>50</v>
      </c>
      <c r="J27" s="45">
        <v>262</v>
      </c>
      <c r="K27" s="46">
        <v>0</v>
      </c>
      <c r="L27" s="46">
        <v>65</v>
      </c>
      <c r="M27" s="46">
        <v>1071</v>
      </c>
      <c r="N27" s="43">
        <v>80</v>
      </c>
      <c r="O27" s="43">
        <v>0</v>
      </c>
      <c r="P27" s="43">
        <v>40</v>
      </c>
      <c r="Q27" s="43">
        <v>2160</v>
      </c>
    </row>
    <row r="28" spans="1:17" x14ac:dyDescent="0.25">
      <c r="A28" s="27">
        <v>43881</v>
      </c>
      <c r="B28" s="44">
        <v>80</v>
      </c>
      <c r="C28" s="44">
        <v>58</v>
      </c>
      <c r="D28" s="44">
        <v>124</v>
      </c>
      <c r="E28" s="45">
        <v>0</v>
      </c>
      <c r="F28" s="45">
        <v>4527</v>
      </c>
      <c r="G28" s="45">
        <v>30</v>
      </c>
      <c r="H28" s="45">
        <v>1306</v>
      </c>
      <c r="I28" s="45">
        <v>50</v>
      </c>
      <c r="J28" s="45">
        <v>262</v>
      </c>
      <c r="K28" s="46">
        <v>0</v>
      </c>
      <c r="L28" s="46">
        <v>60</v>
      </c>
      <c r="M28" s="46">
        <v>1073</v>
      </c>
      <c r="N28" s="43">
        <v>80</v>
      </c>
      <c r="O28" s="43">
        <v>0</v>
      </c>
      <c r="P28" s="43">
        <v>35</v>
      </c>
      <c r="Q28" s="43">
        <v>2163</v>
      </c>
    </row>
    <row r="29" spans="1:17" x14ac:dyDescent="0.25">
      <c r="A29" s="27">
        <v>43882</v>
      </c>
      <c r="B29" s="44">
        <v>85</v>
      </c>
      <c r="C29" s="44">
        <v>62</v>
      </c>
      <c r="D29" s="44">
        <v>138</v>
      </c>
      <c r="E29" s="45">
        <v>0</v>
      </c>
      <c r="F29" s="45">
        <v>4536</v>
      </c>
      <c r="G29" s="45">
        <v>15</v>
      </c>
      <c r="H29" s="45">
        <v>1308</v>
      </c>
      <c r="I29" s="45">
        <v>50</v>
      </c>
      <c r="J29" s="45">
        <v>262</v>
      </c>
      <c r="K29" s="46">
        <v>0</v>
      </c>
      <c r="L29" s="46">
        <v>60</v>
      </c>
      <c r="M29" s="46">
        <v>1075</v>
      </c>
      <c r="N29" s="43">
        <v>80</v>
      </c>
      <c r="O29" s="43">
        <v>0</v>
      </c>
      <c r="P29" s="43">
        <v>35</v>
      </c>
      <c r="Q29" s="43">
        <v>2165</v>
      </c>
    </row>
    <row r="30" spans="1:17" x14ac:dyDescent="0.25">
      <c r="A30" s="27">
        <v>43883</v>
      </c>
      <c r="B30" s="44">
        <v>66</v>
      </c>
      <c r="C30" s="44">
        <v>49</v>
      </c>
      <c r="D30" s="44">
        <v>130</v>
      </c>
      <c r="E30" s="45">
        <v>0</v>
      </c>
      <c r="F30" s="45">
        <v>4543</v>
      </c>
      <c r="G30" s="45">
        <v>10</v>
      </c>
      <c r="H30" s="45">
        <v>1310</v>
      </c>
      <c r="I30" s="45">
        <v>50</v>
      </c>
      <c r="J30" s="45">
        <v>263</v>
      </c>
      <c r="K30" s="46">
        <v>0</v>
      </c>
      <c r="L30" s="46">
        <v>55</v>
      </c>
      <c r="M30" s="46">
        <v>1078</v>
      </c>
      <c r="N30" s="43">
        <v>80</v>
      </c>
      <c r="O30" s="43">
        <v>0</v>
      </c>
      <c r="P30" s="43">
        <v>30</v>
      </c>
      <c r="Q30" s="43">
        <v>2168</v>
      </c>
    </row>
    <row r="31" spans="1:17" x14ac:dyDescent="0.25">
      <c r="A31" s="27">
        <v>43884</v>
      </c>
      <c r="B31" s="44">
        <v>65</v>
      </c>
      <c r="C31" s="44">
        <v>48</v>
      </c>
      <c r="D31" s="44">
        <v>128</v>
      </c>
      <c r="E31" s="45">
        <v>0</v>
      </c>
      <c r="F31" s="45">
        <v>4551</v>
      </c>
      <c r="G31" s="45">
        <v>5</v>
      </c>
      <c r="H31" s="45">
        <v>1312</v>
      </c>
      <c r="I31" s="45">
        <v>50</v>
      </c>
      <c r="J31" s="45">
        <v>263</v>
      </c>
      <c r="K31" s="46">
        <v>0</v>
      </c>
      <c r="L31" s="46">
        <v>50</v>
      </c>
      <c r="M31" s="46">
        <v>1082</v>
      </c>
      <c r="N31" s="43">
        <v>80</v>
      </c>
      <c r="O31" s="43">
        <v>0</v>
      </c>
      <c r="P31" s="43">
        <v>25</v>
      </c>
      <c r="Q31" s="43">
        <v>2170</v>
      </c>
    </row>
    <row r="32" spans="1:17" x14ac:dyDescent="0.25">
      <c r="A32" s="27">
        <v>43885</v>
      </c>
      <c r="B32" s="44">
        <v>68</v>
      </c>
      <c r="C32" s="44">
        <v>52</v>
      </c>
      <c r="D32" s="44">
        <v>135</v>
      </c>
      <c r="E32" s="45">
        <v>0</v>
      </c>
      <c r="F32" s="45">
        <v>4559</v>
      </c>
      <c r="G32" s="45">
        <v>0</v>
      </c>
      <c r="H32" s="45">
        <v>1314</v>
      </c>
      <c r="I32" s="45">
        <v>45</v>
      </c>
      <c r="J32" s="45">
        <v>263</v>
      </c>
      <c r="K32" s="46">
        <v>0</v>
      </c>
      <c r="L32" s="46">
        <v>45</v>
      </c>
      <c r="M32" s="46">
        <v>1085</v>
      </c>
      <c r="N32" s="43">
        <v>80</v>
      </c>
      <c r="O32" s="43">
        <v>0</v>
      </c>
      <c r="P32" s="43">
        <v>20</v>
      </c>
      <c r="Q32" s="43">
        <v>2172</v>
      </c>
    </row>
    <row r="33" spans="1:17" x14ac:dyDescent="0.25">
      <c r="A33" s="27">
        <v>43886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43887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43888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2020-02-24T21:49:47Z</dcterms:modified>
</cp:coreProperties>
</file>