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O:\HEP\DAILY HER REPORT 2026\"/>
    </mc:Choice>
  </mc:AlternateContent>
  <xr:revisionPtr revIDLastSave="0" documentId="13_ncr:1_{FC9FF827-27E3-4D04-975E-2C598FA86FEE}" xr6:coauthVersionLast="47" xr6:coauthVersionMax="47" xr10:uidLastSave="{00000000-0000-0000-0000-000000000000}"/>
  <bookViews>
    <workbookView xWindow="-120" yWindow="-120" windowWidth="29040" windowHeight="15720" tabRatio="338" activeTab="1" xr2:uid="{00000000-000D-0000-FFFF-FFFF00000000}"/>
  </bookViews>
  <sheets>
    <sheet name="Total" sheetId="3" r:id="rId1"/>
    <sheet name="JUNE 2026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2" i="2" l="1"/>
  <c r="W3" i="2"/>
  <c r="J31" i="2"/>
  <c r="AB31" i="2"/>
  <c r="Y31" i="2"/>
  <c r="W31" i="2"/>
  <c r="U31" i="2"/>
  <c r="N31" i="2"/>
  <c r="M28" i="3" s="1"/>
  <c r="G31" i="2"/>
  <c r="E31" i="2"/>
  <c r="C31" i="2"/>
  <c r="P28" i="3"/>
  <c r="O28" i="3"/>
  <c r="AB30" i="2"/>
  <c r="Y30" i="2"/>
  <c r="W30" i="2"/>
  <c r="I30" i="3" s="1"/>
  <c r="N30" i="2"/>
  <c r="M31" i="3"/>
  <c r="P31" i="3"/>
  <c r="O31" i="3"/>
  <c r="P30" i="3"/>
  <c r="O30" i="3"/>
  <c r="P29" i="3"/>
  <c r="O29" i="3"/>
  <c r="P27" i="3"/>
  <c r="O27" i="3"/>
  <c r="P26" i="3"/>
  <c r="O26" i="3"/>
  <c r="K31" i="3"/>
  <c r="G30" i="2" l="1"/>
  <c r="G29" i="2"/>
  <c r="G28" i="2"/>
  <c r="E30" i="2"/>
  <c r="E29" i="2"/>
  <c r="C30" i="2"/>
  <c r="K28" i="3"/>
  <c r="I31" i="3"/>
  <c r="S31" i="2"/>
  <c r="K31" i="2"/>
  <c r="E9" i="2"/>
  <c r="E8" i="2"/>
  <c r="E7" i="2"/>
  <c r="E6" i="2"/>
  <c r="E5" i="2"/>
  <c r="K30" i="3"/>
  <c r="E31" i="3" l="1"/>
  <c r="F31" i="3"/>
  <c r="H31" i="2"/>
  <c r="I31" i="2" s="1"/>
  <c r="Y29" i="2"/>
  <c r="Y28" i="2"/>
  <c r="Y27" i="2"/>
  <c r="Y19" i="2"/>
  <c r="Y18" i="2"/>
  <c r="Y17" i="2"/>
  <c r="Y16" i="2"/>
  <c r="Y15" i="2"/>
  <c r="Y14" i="2"/>
  <c r="Y13" i="2"/>
  <c r="Y12" i="2"/>
  <c r="Y11" i="2"/>
  <c r="Y10" i="2"/>
  <c r="Y9" i="2"/>
  <c r="Y8" i="2"/>
  <c r="Y7" i="2"/>
  <c r="Y6" i="2"/>
  <c r="Y5" i="2"/>
  <c r="Y4" i="2"/>
  <c r="Y3" i="2"/>
  <c r="C14" i="2"/>
  <c r="E14" i="2"/>
  <c r="N9" i="2"/>
  <c r="N8" i="2"/>
  <c r="N7" i="2"/>
  <c r="N6" i="2"/>
  <c r="N5" i="2"/>
  <c r="N4" i="2"/>
  <c r="M4" i="3" s="1"/>
  <c r="N3" i="2"/>
  <c r="AB29" i="2"/>
  <c r="AB28" i="2"/>
  <c r="AB27" i="2"/>
  <c r="W29" i="2"/>
  <c r="I29" i="3" s="1"/>
  <c r="W28" i="2"/>
  <c r="I28" i="3" s="1"/>
  <c r="W27" i="2"/>
  <c r="N32" i="2"/>
  <c r="M30" i="3" s="1"/>
  <c r="M29" i="3"/>
  <c r="N29" i="2"/>
  <c r="N28" i="2"/>
  <c r="N27" i="2"/>
  <c r="G27" i="2"/>
  <c r="E28" i="2"/>
  <c r="E27" i="2"/>
  <c r="C29" i="2"/>
  <c r="C28" i="2"/>
  <c r="C27" i="2"/>
  <c r="S28" i="2"/>
  <c r="K28" i="2"/>
  <c r="S29" i="2"/>
  <c r="K29" i="2"/>
  <c r="S30" i="2"/>
  <c r="U30" i="2" s="1"/>
  <c r="G30" i="3" s="1"/>
  <c r="K30" i="2"/>
  <c r="AB25" i="2"/>
  <c r="AB24" i="2"/>
  <c r="AB23" i="2"/>
  <c r="AB22" i="2"/>
  <c r="C26" i="2"/>
  <c r="C25" i="2"/>
  <c r="C24" i="2"/>
  <c r="N24" i="2"/>
  <c r="M24" i="3" s="1"/>
  <c r="E13" i="2"/>
  <c r="E12" i="2"/>
  <c r="E11" i="2"/>
  <c r="E10" i="2"/>
  <c r="E4" i="2"/>
  <c r="E3" i="2"/>
  <c r="Y26" i="2"/>
  <c r="F28" i="3" l="1"/>
  <c r="E28" i="3"/>
  <c r="F30" i="3"/>
  <c r="E30" i="3"/>
  <c r="E29" i="3"/>
  <c r="F29" i="3"/>
  <c r="F27" i="3"/>
  <c r="E27" i="3"/>
  <c r="F14" i="3"/>
  <c r="H28" i="2"/>
  <c r="I28" i="2" s="1"/>
  <c r="H29" i="2"/>
  <c r="I29" i="2" s="1"/>
  <c r="H30" i="2"/>
  <c r="I30" i="2" s="1"/>
  <c r="J30" i="2" s="1"/>
  <c r="U28" i="2"/>
  <c r="G28" i="3" s="1"/>
  <c r="U29" i="2"/>
  <c r="G29" i="3" s="1"/>
  <c r="S11" i="2"/>
  <c r="S10" i="2"/>
  <c r="S9" i="2"/>
  <c r="S8" i="2"/>
  <c r="S7" i="2"/>
  <c r="S6" i="2"/>
  <c r="S5" i="2"/>
  <c r="S4" i="2"/>
  <c r="J29" i="2" l="1"/>
  <c r="J28" i="2"/>
  <c r="U4" i="2"/>
  <c r="U10" i="2"/>
  <c r="U5" i="2"/>
  <c r="U9" i="2"/>
  <c r="U8" i="2"/>
  <c r="U7" i="2"/>
  <c r="U6" i="2"/>
  <c r="W26" i="2"/>
  <c r="W25" i="2"/>
  <c r="W24" i="2"/>
  <c r="P24" i="3"/>
  <c r="O24" i="3"/>
  <c r="P23" i="3"/>
  <c r="O23" i="3"/>
  <c r="K29" i="3" l="1"/>
  <c r="K27" i="3"/>
  <c r="AB26" i="2"/>
  <c r="K26" i="3" s="1"/>
  <c r="K25" i="3"/>
  <c r="K24" i="3"/>
  <c r="K23" i="3"/>
  <c r="C12" i="2"/>
  <c r="C11" i="2"/>
  <c r="C10" i="2"/>
  <c r="C9" i="2"/>
  <c r="C8" i="2"/>
  <c r="C7" i="2"/>
  <c r="S32" i="2"/>
  <c r="G31" i="3"/>
  <c r="S27" i="2"/>
  <c r="U27" i="2" s="1"/>
  <c r="G27" i="3" s="1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U13" i="2" s="1"/>
  <c r="S12" i="2"/>
  <c r="S3" i="2"/>
  <c r="U3" i="2" s="1"/>
  <c r="S2" i="2"/>
  <c r="F12" i="3" l="1"/>
  <c r="F11" i="3"/>
  <c r="F10" i="3"/>
  <c r="F9" i="3"/>
  <c r="F8" i="3"/>
  <c r="F7" i="3"/>
  <c r="U16" i="2"/>
  <c r="U15" i="2"/>
  <c r="U14" i="2"/>
  <c r="U12" i="2"/>
  <c r="U11" i="2"/>
  <c r="U19" i="2"/>
  <c r="U18" i="2"/>
  <c r="U17" i="2"/>
  <c r="U22" i="2"/>
  <c r="U21" i="2"/>
  <c r="U24" i="2"/>
  <c r="G24" i="3" s="1"/>
  <c r="U20" i="2"/>
  <c r="U23" i="2"/>
  <c r="G23" i="3" s="1"/>
  <c r="U25" i="2"/>
  <c r="G25" i="3" s="1"/>
  <c r="U26" i="2"/>
  <c r="G26" i="3" s="1"/>
  <c r="Y25" i="2"/>
  <c r="W2" i="2"/>
  <c r="W9" i="2" l="1"/>
  <c r="W8" i="2"/>
  <c r="W7" i="2"/>
  <c r="W6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M27" i="3"/>
  <c r="P18" i="3" l="1"/>
  <c r="O18" i="3"/>
  <c r="M3" i="3" l="1"/>
  <c r="M5" i="3"/>
  <c r="M6" i="3"/>
  <c r="M7" i="3"/>
  <c r="M8" i="3"/>
  <c r="M9" i="3"/>
  <c r="N10" i="2"/>
  <c r="M10" i="3" s="1"/>
  <c r="N11" i="2"/>
  <c r="M11" i="3" s="1"/>
  <c r="N12" i="2"/>
  <c r="M12" i="3" s="1"/>
  <c r="N13" i="2"/>
  <c r="M13" i="3" s="1"/>
  <c r="N14" i="2"/>
  <c r="M14" i="3" s="1"/>
  <c r="N15" i="2"/>
  <c r="M15" i="3" s="1"/>
  <c r="N16" i="2"/>
  <c r="M16" i="3" s="1"/>
  <c r="N17" i="2"/>
  <c r="M17" i="3" s="1"/>
  <c r="N18" i="2"/>
  <c r="M18" i="3" s="1"/>
  <c r="N19" i="2"/>
  <c r="M19" i="3" s="1"/>
  <c r="N20" i="2"/>
  <c r="M20" i="3" s="1"/>
  <c r="N21" i="2"/>
  <c r="M21" i="3" s="1"/>
  <c r="N22" i="2"/>
  <c r="M22" i="3" s="1"/>
  <c r="N23" i="2"/>
  <c r="M23" i="3" s="1"/>
  <c r="N25" i="2"/>
  <c r="M25" i="3" s="1"/>
  <c r="N26" i="2"/>
  <c r="M26" i="3" s="1"/>
  <c r="N2" i="2"/>
  <c r="M2" i="3" s="1"/>
  <c r="AB2" i="2"/>
  <c r="W14" i="2"/>
  <c r="W13" i="2"/>
  <c r="W12" i="2"/>
  <c r="W11" i="2"/>
  <c r="W10" i="2"/>
  <c r="W4" i="2" l="1"/>
  <c r="W5" i="2"/>
  <c r="W15" i="2"/>
  <c r="W16" i="2"/>
  <c r="W18" i="2"/>
  <c r="I18" i="3" s="1"/>
  <c r="W19" i="2"/>
  <c r="W20" i="2"/>
  <c r="W21" i="2"/>
  <c r="W22" i="2"/>
  <c r="W23" i="2"/>
  <c r="I23" i="3" s="1"/>
  <c r="I24" i="3"/>
  <c r="Y20" i="2"/>
  <c r="Y21" i="2"/>
  <c r="Y22" i="2"/>
  <c r="Y23" i="2"/>
  <c r="Y24" i="2"/>
  <c r="Y2" i="2"/>
  <c r="E15" i="2"/>
  <c r="E16" i="2"/>
  <c r="E17" i="2"/>
  <c r="E18" i="2"/>
  <c r="E19" i="2"/>
  <c r="E20" i="2"/>
  <c r="E21" i="2"/>
  <c r="E22" i="2"/>
  <c r="E23" i="2"/>
  <c r="E24" i="2"/>
  <c r="E25" i="2"/>
  <c r="E26" i="2"/>
  <c r="E2" i="2"/>
  <c r="C3" i="2"/>
  <c r="C4" i="2"/>
  <c r="C5" i="2"/>
  <c r="C6" i="2"/>
  <c r="C13" i="2"/>
  <c r="C15" i="2"/>
  <c r="C16" i="2"/>
  <c r="C17" i="2"/>
  <c r="C18" i="2"/>
  <c r="C19" i="2"/>
  <c r="C20" i="2"/>
  <c r="C21" i="2"/>
  <c r="C22" i="2"/>
  <c r="C23" i="2"/>
  <c r="C2" i="2"/>
  <c r="AB3" i="2"/>
  <c r="K3" i="3" s="1"/>
  <c r="AB4" i="2"/>
  <c r="K4" i="3" s="1"/>
  <c r="AB5" i="2"/>
  <c r="K5" i="3" s="1"/>
  <c r="AB6" i="2"/>
  <c r="K6" i="3" s="1"/>
  <c r="AB7" i="2"/>
  <c r="K7" i="3" s="1"/>
  <c r="AB8" i="2"/>
  <c r="K8" i="3" s="1"/>
  <c r="AB9" i="2"/>
  <c r="K9" i="3" s="1"/>
  <c r="AB10" i="2"/>
  <c r="K10" i="3" s="1"/>
  <c r="AB11" i="2"/>
  <c r="K11" i="3" s="1"/>
  <c r="AB12" i="2"/>
  <c r="K12" i="3" s="1"/>
  <c r="AB13" i="2"/>
  <c r="K13" i="3" s="1"/>
  <c r="AB14" i="2"/>
  <c r="K14" i="3" s="1"/>
  <c r="AB15" i="2"/>
  <c r="K15" i="3" s="1"/>
  <c r="AB16" i="2"/>
  <c r="K16" i="3" s="1"/>
  <c r="AB17" i="2"/>
  <c r="K17" i="3" s="1"/>
  <c r="AB18" i="2"/>
  <c r="K18" i="3" s="1"/>
  <c r="AB19" i="2"/>
  <c r="K19" i="3" s="1"/>
  <c r="AB20" i="2"/>
  <c r="K20" i="3" s="1"/>
  <c r="AB21" i="2"/>
  <c r="K21" i="3" s="1"/>
  <c r="K22" i="3"/>
  <c r="G18" i="3"/>
  <c r="U2" i="2"/>
  <c r="F3" i="3" l="1"/>
  <c r="F26" i="3"/>
  <c r="F25" i="3"/>
  <c r="F24" i="3"/>
  <c r="F23" i="3"/>
  <c r="F22" i="3"/>
  <c r="F21" i="3"/>
  <c r="F20" i="3"/>
  <c r="F19" i="3"/>
  <c r="F18" i="3"/>
  <c r="F17" i="3"/>
  <c r="F16" i="3"/>
  <c r="F15" i="3"/>
  <c r="F13" i="3"/>
  <c r="F6" i="3"/>
  <c r="F5" i="3"/>
  <c r="F4" i="3"/>
  <c r="F2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5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5" i="3"/>
  <c r="O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5" i="3"/>
  <c r="I26" i="3"/>
  <c r="I27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l="1"/>
  <c r="B30" i="3" s="1"/>
  <c r="AD33" i="2"/>
  <c r="AC33" i="2"/>
  <c r="AA33" i="2"/>
  <c r="T33" i="2"/>
  <c r="N33" i="2"/>
  <c r="K27" i="2"/>
  <c r="K26" i="2"/>
  <c r="G26" i="2"/>
  <c r="E26" i="3" s="1"/>
  <c r="K25" i="2"/>
  <c r="G25" i="2"/>
  <c r="E25" i="3" s="1"/>
  <c r="K24" i="2"/>
  <c r="G24" i="2"/>
  <c r="E24" i="3" s="1"/>
  <c r="K23" i="2"/>
  <c r="G23" i="2"/>
  <c r="E23" i="3" s="1"/>
  <c r="G22" i="2"/>
  <c r="E22" i="3" s="1"/>
  <c r="G21" i="2"/>
  <c r="E21" i="3" s="1"/>
  <c r="G20" i="2"/>
  <c r="E20" i="3" s="1"/>
  <c r="G19" i="2"/>
  <c r="E19" i="3" s="1"/>
  <c r="G18" i="2"/>
  <c r="E18" i="3" s="1"/>
  <c r="G17" i="2"/>
  <c r="E17" i="3" s="1"/>
  <c r="G16" i="2"/>
  <c r="E16" i="3" s="1"/>
  <c r="G15" i="2"/>
  <c r="E15" i="3" s="1"/>
  <c r="G14" i="2"/>
  <c r="E14" i="3" s="1"/>
  <c r="G13" i="2"/>
  <c r="G12" i="2"/>
  <c r="G11" i="2"/>
  <c r="G10" i="2"/>
  <c r="G9" i="2"/>
  <c r="E9" i="3" s="1"/>
  <c r="G8" i="2"/>
  <c r="G7" i="2"/>
  <c r="E7" i="3" s="1"/>
  <c r="G6" i="2"/>
  <c r="E6" i="3" s="1"/>
  <c r="G5" i="2"/>
  <c r="E5" i="3" s="1"/>
  <c r="G4" i="2"/>
  <c r="E4" i="3" s="1"/>
  <c r="G3" i="2"/>
  <c r="E3" i="3" s="1"/>
  <c r="G2" i="2"/>
  <c r="H11" i="2" l="1"/>
  <c r="I11" i="2" s="1"/>
  <c r="E11" i="3"/>
  <c r="H8" i="2"/>
  <c r="I8" i="2" s="1"/>
  <c r="E8" i="3"/>
  <c r="H10" i="2"/>
  <c r="I10" i="2" s="1"/>
  <c r="E10" i="3"/>
  <c r="H12" i="2"/>
  <c r="I12" i="2" s="1"/>
  <c r="E12" i="3"/>
  <c r="H13" i="2"/>
  <c r="I13" i="2" s="1"/>
  <c r="E13" i="3"/>
  <c r="H9" i="2"/>
  <c r="I9" i="2" s="1"/>
  <c r="H20" i="2"/>
  <c r="I20" i="2" s="1"/>
  <c r="G33" i="2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E2" i="3"/>
  <c r="H27" i="2"/>
  <c r="I27" i="2" s="1"/>
  <c r="H25" i="2"/>
  <c r="I25" i="2" s="1"/>
  <c r="G21" i="3"/>
  <c r="G22" i="3"/>
  <c r="H21" i="2"/>
  <c r="I21" i="2" s="1"/>
  <c r="H19" i="2"/>
  <c r="I19" i="2" s="1"/>
  <c r="H15" i="2"/>
  <c r="I15" i="2" s="1"/>
  <c r="H7" i="2"/>
  <c r="I7" i="2" s="1"/>
  <c r="H6" i="2"/>
  <c r="I6" i="2" s="1"/>
  <c r="H5" i="2"/>
  <c r="I5" i="2" s="1"/>
  <c r="H3" i="2"/>
  <c r="I3" i="2" s="1"/>
  <c r="AB33" i="2"/>
  <c r="Y33" i="2"/>
  <c r="W33" i="2"/>
  <c r="H2" i="2"/>
  <c r="I2" i="2" s="1"/>
  <c r="H24" i="2"/>
  <c r="I24" i="2" s="1"/>
  <c r="H22" i="2"/>
  <c r="I22" i="2" s="1"/>
  <c r="H26" i="2"/>
  <c r="I26" i="2" s="1"/>
  <c r="H16" i="2"/>
  <c r="I16" i="2" s="1"/>
  <c r="H17" i="2"/>
  <c r="I17" i="2" s="1"/>
  <c r="H14" i="2"/>
  <c r="I14" i="2" s="1"/>
  <c r="H18" i="2"/>
  <c r="I18" i="2" s="1"/>
  <c r="E33" i="2"/>
  <c r="H4" i="2"/>
  <c r="I4" i="2" s="1"/>
  <c r="C33" i="2"/>
  <c r="J27" i="2" l="1"/>
  <c r="J26" i="2"/>
  <c r="J18" i="2"/>
  <c r="J14" i="2"/>
  <c r="J10" i="2"/>
  <c r="J17" i="2"/>
  <c r="J13" i="2"/>
  <c r="J24" i="2"/>
  <c r="J3" i="2"/>
  <c r="J15" i="2"/>
  <c r="J5" i="2"/>
  <c r="J8" i="2"/>
  <c r="J20" i="2"/>
  <c r="J23" i="2"/>
  <c r="J6" i="2"/>
  <c r="J19" i="2"/>
  <c r="J22" i="2"/>
  <c r="J21" i="2"/>
  <c r="J11" i="2"/>
  <c r="J7" i="2"/>
  <c r="J12" i="2"/>
  <c r="J16" i="2"/>
  <c r="J4" i="2"/>
  <c r="J9" i="2"/>
  <c r="J25" i="2"/>
  <c r="U33" i="2"/>
  <c r="H33" i="2"/>
  <c r="I33" i="2"/>
  <c r="J2" i="2"/>
  <c r="J33" i="2" l="1"/>
</calcChain>
</file>

<file path=xl/sharedStrings.xml><?xml version="1.0" encoding="utf-8"?>
<sst xmlns="http://schemas.openxmlformats.org/spreadsheetml/2006/main" count="76" uniqueCount="40">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</sst>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22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7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8" xfId="0" applyFont="1" applyFill="1" applyBorder="1" applyAlignment="1">
      <alignment horizontal="center" vertical="center" wrapText="1"/>
    </xf>
    <xf numFmtId="1" fontId="12" fillId="3" borderId="29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8" xfId="0" applyFont="1" applyFill="1" applyBorder="1" applyAlignment="1">
      <alignment horizontal="center" vertical="center" wrapText="1"/>
    </xf>
    <xf numFmtId="1" fontId="12" fillId="5" borderId="29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1" fontId="29" fillId="5" borderId="30" xfId="0" applyNumberFormat="1" applyFont="1" applyFill="1" applyBorder="1" applyAlignment="1">
      <alignment horizontal="center" vertical="center" wrapText="1"/>
    </xf>
    <xf numFmtId="1" fontId="29" fillId="6" borderId="30" xfId="0" applyNumberFormat="1" applyFont="1" applyFill="1" applyBorder="1" applyAlignment="1">
      <alignment horizontal="center" vertical="center" wrapText="1"/>
    </xf>
    <xf numFmtId="0" fontId="29" fillId="7" borderId="30" xfId="0" applyFont="1" applyFill="1" applyBorder="1" applyAlignment="1">
      <alignment horizontal="center" vertical="center" wrapText="1"/>
    </xf>
    <xf numFmtId="0" fontId="30" fillId="3" borderId="30" xfId="0" applyFont="1" applyFill="1" applyBorder="1" applyAlignment="1">
      <alignment horizontal="center" vertical="center" wrapText="1"/>
    </xf>
    <xf numFmtId="0" fontId="29" fillId="8" borderId="30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0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0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0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0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0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0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39"/>
  <sheetViews>
    <sheetView workbookViewId="0">
      <selection activeCell="C32" sqref="C32"/>
    </sheetView>
  </sheetViews>
  <sheetFormatPr defaultColWidth="8.85546875" defaultRowHeight="12.75" x14ac:dyDescent="0.2"/>
  <cols>
    <col min="1" max="1" width="23" style="5" customWidth="1"/>
    <col min="2" max="2" width="11.42578125" style="5" customWidth="1"/>
    <col min="3" max="3" width="8.85546875" style="120"/>
    <col min="4" max="4" width="13.42578125" style="5" customWidth="1"/>
    <col min="5" max="5" width="12.42578125" style="94" customWidth="1"/>
    <col min="6" max="6" width="20.7109375" style="109" customWidth="1"/>
    <col min="7" max="7" width="8.85546875" style="95"/>
    <col min="8" max="8" width="8.85546875" style="112"/>
    <col min="9" max="10" width="8.85546875" style="101"/>
    <col min="11" max="11" width="8.85546875" style="96"/>
    <col min="12" max="12" width="8.85546875" style="115"/>
    <col min="13" max="13" width="12.42578125" style="106" bestFit="1" customWidth="1"/>
    <col min="14" max="14" width="12.42578125" style="118" bestFit="1" customWidth="1"/>
    <col min="15" max="15" width="8.85546875" style="102"/>
    <col min="16" max="16" width="11.42578125" style="102" customWidth="1"/>
    <col min="17" max="16384" width="8.85546875" style="5"/>
  </cols>
  <sheetData>
    <row r="1" spans="1:16" ht="75.75" thickBot="1" x14ac:dyDescent="0.25">
      <c r="A1" s="87" t="s">
        <v>24</v>
      </c>
      <c r="B1" s="87" t="s">
        <v>25</v>
      </c>
      <c r="C1" s="119" t="s">
        <v>26</v>
      </c>
      <c r="D1" s="87" t="s">
        <v>27</v>
      </c>
      <c r="E1" s="88" t="s">
        <v>28</v>
      </c>
      <c r="F1" s="107" t="s">
        <v>29</v>
      </c>
      <c r="G1" s="89" t="s">
        <v>30</v>
      </c>
      <c r="H1" s="110" t="s">
        <v>31</v>
      </c>
      <c r="I1" s="90" t="s">
        <v>32</v>
      </c>
      <c r="J1" s="90" t="s">
        <v>33</v>
      </c>
      <c r="K1" s="103" t="s">
        <v>38</v>
      </c>
      <c r="L1" s="113" t="s">
        <v>39</v>
      </c>
      <c r="M1" s="91" t="s">
        <v>34</v>
      </c>
      <c r="N1" s="116" t="s">
        <v>35</v>
      </c>
      <c r="O1" s="92" t="s">
        <v>0</v>
      </c>
      <c r="P1" s="92" t="s">
        <v>36</v>
      </c>
    </row>
    <row r="2" spans="1:16" ht="15.75" thickTop="1" x14ac:dyDescent="0.25">
      <c r="A2" s="93" t="s">
        <v>37</v>
      </c>
      <c r="B2" s="5">
        <v>1</v>
      </c>
      <c r="C2" s="120">
        <v>6</v>
      </c>
      <c r="D2" s="4">
        <v>2026</v>
      </c>
      <c r="E2" s="94">
        <f>IF('JUNE 2026'!C2&lt;0,"0",'JUNE 2026'!C2)+(IF('JUNE 2026'!E2&lt;0,"0",'JUNE 2026'!E2)-(IF('JUNE 2026'!G2&lt;0,"0",'JUNE 2026'!G2)))</f>
        <v>6217</v>
      </c>
      <c r="F2" s="108">
        <f>('JUNE 2026'!C2*0.27)/('JUNE 2026'!C2+'JUNE 2026'!E2)</f>
        <v>0.24793791217629083</v>
      </c>
      <c r="G2" s="95">
        <f>'JUNE 2026'!U2</f>
        <v>65</v>
      </c>
      <c r="H2" s="111">
        <v>0.62</v>
      </c>
      <c r="I2" s="96">
        <f>'JUNE 2026'!W2</f>
        <v>108</v>
      </c>
      <c r="J2" s="97">
        <v>2.42</v>
      </c>
      <c r="K2" s="104">
        <f>'JUNE 2026'!AB2*5.04</f>
        <v>0</v>
      </c>
      <c r="L2" s="114">
        <v>0.11509999999999999</v>
      </c>
      <c r="M2" s="105">
        <f>'JUNE 2026'!N2</f>
        <v>323</v>
      </c>
      <c r="N2" s="117">
        <v>0.88</v>
      </c>
      <c r="O2" s="98">
        <f>'JUNE 2026'!AC2</f>
        <v>166</v>
      </c>
      <c r="P2" s="98">
        <f>'JUNE 2026'!AD2</f>
        <v>328</v>
      </c>
    </row>
    <row r="3" spans="1:16" ht="15" x14ac:dyDescent="0.25">
      <c r="A3" s="93" t="s">
        <v>37</v>
      </c>
      <c r="B3" s="5">
        <f>B2+1</f>
        <v>2</v>
      </c>
      <c r="C3" s="120">
        <v>6</v>
      </c>
      <c r="D3" s="4">
        <v>2026</v>
      </c>
      <c r="E3" s="94">
        <f>IF('JUNE 2026'!C3&lt;0,"0",'JUNE 2026'!C3)+(IF('JUNE 2026'!E3&lt;0,"0",'JUNE 2026'!E3)-(IF('JUNE 2026'!G3&lt;0,"0",'JUNE 2026'!G3)))</f>
        <v>6694</v>
      </c>
      <c r="F3" s="108">
        <f>('JUNE 2026'!C3*0.27)/('JUNE 2026'!C3+'JUNE 2026'!E3)</f>
        <v>0.20385121003884077</v>
      </c>
      <c r="G3" s="95">
        <f>'JUNE 2026'!U3</f>
        <v>70</v>
      </c>
      <c r="H3" s="111">
        <v>0.62</v>
      </c>
      <c r="I3" s="96">
        <f>'JUNE 2026'!W3</f>
        <v>133</v>
      </c>
      <c r="J3" s="97">
        <v>2.42</v>
      </c>
      <c r="K3" s="104">
        <f>'JUNE 2026'!AB3*5.04</f>
        <v>0</v>
      </c>
      <c r="L3" s="114">
        <v>0.11509999999999999</v>
      </c>
      <c r="M3" s="105">
        <f>'JUNE 2026'!N3</f>
        <v>310</v>
      </c>
      <c r="N3" s="117">
        <v>0.88</v>
      </c>
      <c r="O3" s="98">
        <f>'JUNE 2026'!AC3</f>
        <v>166</v>
      </c>
      <c r="P3" s="98">
        <f>'JUNE 2026'!AD3</f>
        <v>327</v>
      </c>
    </row>
    <row r="4" spans="1:16" ht="15" x14ac:dyDescent="0.25">
      <c r="A4" s="93" t="s">
        <v>37</v>
      </c>
      <c r="B4" s="5">
        <f t="shared" ref="B4:B30" si="0">B3+1</f>
        <v>3</v>
      </c>
      <c r="C4" s="120">
        <v>6</v>
      </c>
      <c r="D4" s="4">
        <v>2026</v>
      </c>
      <c r="E4" s="94">
        <f>IF('JUNE 2026'!C4&lt;0,"0",'JUNE 2026'!C4)+(IF('JUNE 2026'!E4&lt;0,"0",'JUNE 2026'!E4)-(IF('JUNE 2026'!G4&lt;0,"0",'JUNE 2026'!G4)))</f>
        <v>6309</v>
      </c>
      <c r="F4" s="108">
        <f>('JUNE 2026'!C4*0.27)/('JUNE 2026'!C4+'JUNE 2026'!E4)</f>
        <v>0.19707560627674753</v>
      </c>
      <c r="G4" s="95">
        <f>'JUNE 2026'!U4</f>
        <v>45</v>
      </c>
      <c r="H4" s="111">
        <v>0.62</v>
      </c>
      <c r="I4" s="96">
        <f>'JUNE 2026'!W4</f>
        <v>81</v>
      </c>
      <c r="J4" s="97">
        <v>2.42</v>
      </c>
      <c r="K4" s="104">
        <f>'JUNE 2026'!AB4*5.04</f>
        <v>0</v>
      </c>
      <c r="L4" s="114">
        <v>0.11509999999999999</v>
      </c>
      <c r="M4" s="105">
        <f>'JUNE 2026'!N4</f>
        <v>245</v>
      </c>
      <c r="N4" s="117">
        <v>0.88</v>
      </c>
      <c r="O4" s="98">
        <f>'JUNE 2026'!AC4</f>
        <v>177</v>
      </c>
      <c r="P4" s="98">
        <f>'JUNE 2026'!AD4</f>
        <v>343</v>
      </c>
    </row>
    <row r="5" spans="1:16" ht="15" x14ac:dyDescent="0.25">
      <c r="A5" s="93" t="s">
        <v>37</v>
      </c>
      <c r="B5" s="5">
        <f t="shared" si="0"/>
        <v>4</v>
      </c>
      <c r="C5" s="120">
        <v>6</v>
      </c>
      <c r="D5" s="4">
        <v>2026</v>
      </c>
      <c r="E5" s="94">
        <f>IF('JUNE 2026'!C5&lt;0,"0",'JUNE 2026'!C5)+(IF('JUNE 2026'!E5&lt;0,"0",'JUNE 2026'!E5)-(IF('JUNE 2026'!G5&lt;0,"0",'JUNE 2026'!G5)))</f>
        <v>6712</v>
      </c>
      <c r="F5" s="108">
        <f>('JUNE 2026'!C5*0.27)/('JUNE 2026'!C5+'JUNE 2026'!E5)</f>
        <v>0.20229886769964245</v>
      </c>
      <c r="G5" s="95">
        <f>'JUNE 2026'!U5</f>
        <v>90</v>
      </c>
      <c r="H5" s="111">
        <v>0.62</v>
      </c>
      <c r="I5" s="96">
        <f>'JUNE 2026'!W5</f>
        <v>121</v>
      </c>
      <c r="J5" s="97">
        <v>2.42</v>
      </c>
      <c r="K5" s="104">
        <f>'JUNE 2026'!AB5*5.04</f>
        <v>0</v>
      </c>
      <c r="L5" s="114">
        <v>0.11509999999999999</v>
      </c>
      <c r="M5" s="105">
        <f>'JUNE 2026'!N5</f>
        <v>209</v>
      </c>
      <c r="N5" s="117">
        <v>0.88</v>
      </c>
      <c r="O5" s="98">
        <f>'JUNE 2026'!AC5</f>
        <v>189</v>
      </c>
      <c r="P5" s="98">
        <f>'JUNE 2026'!AD5</f>
        <v>364</v>
      </c>
    </row>
    <row r="6" spans="1:16" ht="15" x14ac:dyDescent="0.25">
      <c r="A6" s="93" t="s">
        <v>37</v>
      </c>
      <c r="B6" s="5">
        <f t="shared" si="0"/>
        <v>5</v>
      </c>
      <c r="C6" s="120">
        <v>6</v>
      </c>
      <c r="D6" s="4">
        <v>2026</v>
      </c>
      <c r="E6" s="94">
        <f>IF('JUNE 2026'!C6&lt;0,"0",'JUNE 2026'!C6)+(IF('JUNE 2026'!E6&lt;0,"0",'JUNE 2026'!E6)-(IF('JUNE 2026'!G6&lt;0,"0",'JUNE 2026'!G6)))</f>
        <v>6533</v>
      </c>
      <c r="F6" s="108">
        <f>('JUNE 2026'!C6*0.27)/('JUNE 2026'!C6+'JUNE 2026'!E6)</f>
        <v>0.20106382978723408</v>
      </c>
      <c r="G6" s="95">
        <f>'JUNE 2026'!U6</f>
        <v>180</v>
      </c>
      <c r="H6" s="111">
        <v>0.62</v>
      </c>
      <c r="I6" s="96">
        <f>'JUNE 2026'!W6</f>
        <v>120</v>
      </c>
      <c r="J6" s="97">
        <v>2.42</v>
      </c>
      <c r="K6" s="104">
        <f>'JUNE 2026'!AB6*5.04</f>
        <v>0</v>
      </c>
      <c r="L6" s="114">
        <v>0.11509999999999999</v>
      </c>
      <c r="M6" s="105">
        <f>'JUNE 2026'!N6</f>
        <v>178</v>
      </c>
      <c r="N6" s="117">
        <v>0.88</v>
      </c>
      <c r="O6" s="98">
        <f>'JUNE 2026'!AC6</f>
        <v>203</v>
      </c>
      <c r="P6" s="98">
        <f>'JUNE 2026'!AD6</f>
        <v>398</v>
      </c>
    </row>
    <row r="7" spans="1:16" ht="15" x14ac:dyDescent="0.25">
      <c r="A7" s="93" t="s">
        <v>37</v>
      </c>
      <c r="B7" s="5">
        <f t="shared" si="0"/>
        <v>6</v>
      </c>
      <c r="C7" s="120">
        <v>6</v>
      </c>
      <c r="D7" s="4">
        <v>2026</v>
      </c>
      <c r="E7" s="94">
        <f>IF('JUNE 2026'!C7&lt;0,"0",'JUNE 2026'!C7)+(IF('JUNE 2026'!E7&lt;0,"0",'JUNE 2026'!E7)-(IF('JUNE 2026'!G7&lt;0,"0",'JUNE 2026'!G7)))</f>
        <v>6825</v>
      </c>
      <c r="F7" s="108">
        <f>('JUNE 2026'!C7*0.27)/('JUNE 2026'!C7+'JUNE 2026'!E7)</f>
        <v>0.20456703296703299</v>
      </c>
      <c r="G7" s="95">
        <f>'JUNE 2026'!U7</f>
        <v>110</v>
      </c>
      <c r="H7" s="111">
        <v>0.62</v>
      </c>
      <c r="I7" s="96">
        <f>'JUNE 2026'!W7</f>
        <v>119</v>
      </c>
      <c r="J7" s="97">
        <v>2.42</v>
      </c>
      <c r="K7" s="104">
        <f>'JUNE 2026'!AB7*5.04</f>
        <v>0</v>
      </c>
      <c r="L7" s="114">
        <v>0.11509999999999999</v>
      </c>
      <c r="M7" s="105">
        <f>'JUNE 2026'!N7</f>
        <v>171</v>
      </c>
      <c r="N7" s="117">
        <v>0.88</v>
      </c>
      <c r="O7" s="98">
        <f>'JUNE 2026'!AC7</f>
        <v>204</v>
      </c>
      <c r="P7" s="98">
        <f>'JUNE 2026'!AD7</f>
        <v>397</v>
      </c>
    </row>
    <row r="8" spans="1:16" ht="15" x14ac:dyDescent="0.25">
      <c r="A8" s="93" t="s">
        <v>37</v>
      </c>
      <c r="B8" s="5">
        <f t="shared" si="0"/>
        <v>7</v>
      </c>
      <c r="C8" s="120">
        <v>6</v>
      </c>
      <c r="D8" s="4">
        <v>2026</v>
      </c>
      <c r="E8" s="94">
        <f>IF('JUNE 2026'!C8&lt;0,"0",'JUNE 2026'!C8)+(IF('JUNE 2026'!E8&lt;0,"0",'JUNE 2026'!E8)-(IF('JUNE 2026'!G8&lt;0,"0",'JUNE 2026'!G8)))</f>
        <v>7221</v>
      </c>
      <c r="F8" s="108">
        <f>('JUNE 2026'!C8*0.27)/('JUNE 2026'!C8+'JUNE 2026'!E8)</f>
        <v>0.21309098462816783</v>
      </c>
      <c r="G8" s="95">
        <f>'JUNE 2026'!U8</f>
        <v>105</v>
      </c>
      <c r="H8" s="111">
        <v>0.62</v>
      </c>
      <c r="I8" s="96">
        <f>'JUNE 2026'!W8</f>
        <v>116</v>
      </c>
      <c r="J8" s="97">
        <v>2.42</v>
      </c>
      <c r="K8" s="104">
        <f>'JUNE 2026'!AB8*5.04</f>
        <v>0</v>
      </c>
      <c r="L8" s="114">
        <v>0.11509999999999999</v>
      </c>
      <c r="M8" s="105">
        <f>'JUNE 2026'!N8</f>
        <v>124</v>
      </c>
      <c r="N8" s="117">
        <v>0.88</v>
      </c>
      <c r="O8" s="98">
        <f>'JUNE 2026'!AC8</f>
        <v>208</v>
      </c>
      <c r="P8" s="98">
        <f>'JUNE 2026'!AD8</f>
        <v>404</v>
      </c>
    </row>
    <row r="9" spans="1:16" ht="15" x14ac:dyDescent="0.25">
      <c r="A9" s="93" t="s">
        <v>37</v>
      </c>
      <c r="B9" s="5">
        <f t="shared" si="0"/>
        <v>8</v>
      </c>
      <c r="C9" s="120">
        <v>6</v>
      </c>
      <c r="D9" s="4">
        <v>2026</v>
      </c>
      <c r="E9" s="94">
        <f>IF('JUNE 2026'!C9&lt;0,"0",'JUNE 2026'!C9)+(IF('JUNE 2026'!E9&lt;0,"0",'JUNE 2026'!E9)-(IF('JUNE 2026'!G9&lt;0,"0",'JUNE 2026'!G9)))</f>
        <v>0</v>
      </c>
      <c r="F9" s="108" t="e">
        <f>('JUNE 2026'!C9*0.27)/('JUNE 2026'!C9+'JUNE 2026'!E9)</f>
        <v>#DIV/0!</v>
      </c>
      <c r="G9" s="95">
        <f>'JUNE 2026'!U9</f>
        <v>5028</v>
      </c>
      <c r="H9" s="111">
        <v>0.62</v>
      </c>
      <c r="I9" s="96" t="str">
        <f>'JUNE 2026'!W9</f>
        <v>0</v>
      </c>
      <c r="J9" s="97">
        <v>2.42</v>
      </c>
      <c r="K9" s="104">
        <f>'JUNE 2026'!AB9*5.04</f>
        <v>0</v>
      </c>
      <c r="L9" s="114">
        <v>0.11509999999999999</v>
      </c>
      <c r="M9" s="105" t="str">
        <f>'JUNE 2026'!N9</f>
        <v>0</v>
      </c>
      <c r="N9" s="117">
        <v>0.88</v>
      </c>
      <c r="O9" s="98">
        <f>'JUNE 2026'!AC9</f>
        <v>209</v>
      </c>
      <c r="P9" s="98">
        <f>'JUNE 2026'!AD9</f>
        <v>404</v>
      </c>
    </row>
    <row r="10" spans="1:16" ht="15" x14ac:dyDescent="0.25">
      <c r="A10" s="93" t="s">
        <v>37</v>
      </c>
      <c r="B10" s="5">
        <f t="shared" si="0"/>
        <v>9</v>
      </c>
      <c r="C10" s="120">
        <v>6</v>
      </c>
      <c r="D10" s="4">
        <v>2026</v>
      </c>
      <c r="E10" s="94">
        <f>IF('JUNE 2026'!C10&lt;0,"0",'JUNE 2026'!C10)+(IF('JUNE 2026'!E10&lt;0,"0",'JUNE 2026'!E10)-(IF('JUNE 2026'!G10&lt;0,"0",'JUNE 2026'!G10)))</f>
        <v>0</v>
      </c>
      <c r="F10" s="108" t="e">
        <f>('JUNE 2026'!C10*0.27)/('JUNE 2026'!C10+'JUNE 2026'!E10)</f>
        <v>#DIV/0!</v>
      </c>
      <c r="G10" s="95" t="str">
        <f>'JUNE 2026'!U10</f>
        <v>0</v>
      </c>
      <c r="H10" s="111">
        <v>0.62</v>
      </c>
      <c r="I10" s="96">
        <f>'JUNE 2026'!W10</f>
        <v>0</v>
      </c>
      <c r="J10" s="97">
        <v>2.42</v>
      </c>
      <c r="K10" s="104">
        <f>'JUNE 2026'!AB10*5.04</f>
        <v>0</v>
      </c>
      <c r="L10" s="114">
        <v>0.11509999999999999</v>
      </c>
      <c r="M10" s="105" t="str">
        <f>'JUNE 2026'!N10</f>
        <v>0</v>
      </c>
      <c r="N10" s="117">
        <v>0.88</v>
      </c>
      <c r="O10" s="98">
        <f>'JUNE 2026'!AC10</f>
        <v>0</v>
      </c>
      <c r="P10" s="98">
        <f>'JUNE 2026'!AD10</f>
        <v>0</v>
      </c>
    </row>
    <row r="11" spans="1:16" ht="15" x14ac:dyDescent="0.25">
      <c r="A11" s="93" t="s">
        <v>37</v>
      </c>
      <c r="B11" s="5">
        <f t="shared" si="0"/>
        <v>10</v>
      </c>
      <c r="C11" s="120">
        <v>6</v>
      </c>
      <c r="D11" s="4">
        <v>2026</v>
      </c>
      <c r="E11" s="94">
        <f>IF('JUNE 2026'!C11&lt;0,"0",'JUNE 2026'!C11)+(IF('JUNE 2026'!E11&lt;0,"0",'JUNE 2026'!E11)-(IF('JUNE 2026'!G11&lt;0,"0",'JUNE 2026'!G11)))</f>
        <v>0</v>
      </c>
      <c r="F11" s="108" t="e">
        <f>('JUNE 2026'!C11*0.27)/('JUNE 2026'!C11+'JUNE 2026'!E11)</f>
        <v>#DIV/0!</v>
      </c>
      <c r="G11" s="95" t="str">
        <f>'JUNE 2026'!U11</f>
        <v>0</v>
      </c>
      <c r="H11" s="111">
        <v>0.62</v>
      </c>
      <c r="I11" s="96">
        <f>'JUNE 2026'!W11</f>
        <v>0</v>
      </c>
      <c r="J11" s="97">
        <v>2.42</v>
      </c>
      <c r="K11" s="104">
        <f>'JUNE 2026'!AB11*5.04</f>
        <v>0</v>
      </c>
      <c r="L11" s="114">
        <v>0.11509999999999999</v>
      </c>
      <c r="M11" s="105" t="str">
        <f>'JUNE 2026'!N11</f>
        <v>0</v>
      </c>
      <c r="N11" s="117">
        <v>0.88</v>
      </c>
      <c r="O11" s="98">
        <f>'JUNE 2026'!AC11</f>
        <v>0</v>
      </c>
      <c r="P11" s="98">
        <f>'JUNE 2026'!AD11</f>
        <v>0</v>
      </c>
    </row>
    <row r="12" spans="1:16" ht="15" x14ac:dyDescent="0.25">
      <c r="A12" s="93" t="s">
        <v>37</v>
      </c>
      <c r="B12" s="5">
        <f t="shared" si="0"/>
        <v>11</v>
      </c>
      <c r="C12" s="120">
        <v>6</v>
      </c>
      <c r="D12" s="4">
        <v>2026</v>
      </c>
      <c r="E12" s="94">
        <f>IF('JUNE 2026'!C12&lt;0,"0",'JUNE 2026'!C12)+(IF('JUNE 2026'!E12&lt;0,"0",'JUNE 2026'!E12)-(IF('JUNE 2026'!G12&lt;0,"0",'JUNE 2026'!G12)))</f>
        <v>0</v>
      </c>
      <c r="F12" s="108" t="e">
        <f>('JUNE 2026'!C12*0.27)/('JUNE 2026'!C12+'JUNE 2026'!E12)</f>
        <v>#DIV/0!</v>
      </c>
      <c r="G12" s="95" t="str">
        <f>'JUNE 2026'!U12</f>
        <v>0</v>
      </c>
      <c r="H12" s="111">
        <v>0.62</v>
      </c>
      <c r="I12" s="96">
        <f>'JUNE 2026'!W12</f>
        <v>0</v>
      </c>
      <c r="J12" s="97">
        <v>2.42</v>
      </c>
      <c r="K12" s="104">
        <f>'JUNE 2026'!AB12*5.04</f>
        <v>0</v>
      </c>
      <c r="L12" s="114">
        <v>0.11509999999999999</v>
      </c>
      <c r="M12" s="105" t="str">
        <f>'JUNE 2026'!N12</f>
        <v>0</v>
      </c>
      <c r="N12" s="117">
        <v>0.88</v>
      </c>
      <c r="O12" s="98">
        <f>'JUNE 2026'!AC12</f>
        <v>0</v>
      </c>
      <c r="P12" s="98">
        <f>'JUNE 2026'!AD12</f>
        <v>0</v>
      </c>
    </row>
    <row r="13" spans="1:16" ht="15" x14ac:dyDescent="0.25">
      <c r="A13" s="93" t="s">
        <v>37</v>
      </c>
      <c r="B13" s="5">
        <f t="shared" si="0"/>
        <v>12</v>
      </c>
      <c r="C13" s="120">
        <v>6</v>
      </c>
      <c r="D13" s="4">
        <v>2026</v>
      </c>
      <c r="E13" s="94">
        <f>IF('JUNE 2026'!C13&lt;0,"0",'JUNE 2026'!C13)+(IF('JUNE 2026'!E13&lt;0,"0",'JUNE 2026'!E13)-(IF('JUNE 2026'!G13&lt;0,"0",'JUNE 2026'!G13)))</f>
        <v>0</v>
      </c>
      <c r="F13" s="108" t="e">
        <f>('JUNE 2026'!C13*0.27)/('JUNE 2026'!C13+'JUNE 2026'!E13)</f>
        <v>#DIV/0!</v>
      </c>
      <c r="G13" s="95" t="str">
        <f>'JUNE 2026'!U13</f>
        <v>0</v>
      </c>
      <c r="H13" s="111">
        <v>0.62</v>
      </c>
      <c r="I13" s="96">
        <f>'JUNE 2026'!W13</f>
        <v>0</v>
      </c>
      <c r="J13" s="97">
        <v>2.42</v>
      </c>
      <c r="K13" s="104">
        <f>'JUNE 2026'!AB13*5.04</f>
        <v>0</v>
      </c>
      <c r="L13" s="114">
        <v>0.11509999999999999</v>
      </c>
      <c r="M13" s="105" t="str">
        <f>'JUNE 2026'!N13</f>
        <v>0</v>
      </c>
      <c r="N13" s="117">
        <v>0.88</v>
      </c>
      <c r="O13" s="98">
        <f>'JUNE 2026'!AC13</f>
        <v>0</v>
      </c>
      <c r="P13" s="98">
        <f>'JUNE 2026'!AD13</f>
        <v>0</v>
      </c>
    </row>
    <row r="14" spans="1:16" ht="15" x14ac:dyDescent="0.25">
      <c r="A14" s="93" t="s">
        <v>37</v>
      </c>
      <c r="B14" s="5">
        <f t="shared" si="0"/>
        <v>13</v>
      </c>
      <c r="C14" s="120">
        <v>6</v>
      </c>
      <c r="D14" s="4">
        <v>2026</v>
      </c>
      <c r="E14" s="94">
        <f>IF('JUNE 2026'!C14&lt;0,"0",'JUNE 2026'!C14)+(IF('JUNE 2026'!E14&lt;0,"0",'JUNE 2026'!E14)-(IF('JUNE 2026'!G14&lt;0,"0",'JUNE 2026'!G14)))</f>
        <v>0</v>
      </c>
      <c r="F14" s="108" t="e">
        <f>('JUNE 2026'!C14*0.27)/('JUNE 2026'!C14+'JUNE 2026'!E14)</f>
        <v>#DIV/0!</v>
      </c>
      <c r="G14" s="95" t="str">
        <f>'JUNE 2026'!U14</f>
        <v>0</v>
      </c>
      <c r="H14" s="111">
        <v>0.62</v>
      </c>
      <c r="I14" s="96">
        <f>'JUNE 2026'!W14</f>
        <v>0</v>
      </c>
      <c r="J14" s="97">
        <v>2.42</v>
      </c>
      <c r="K14" s="104">
        <f>'JUNE 2026'!AB14*5.04</f>
        <v>0</v>
      </c>
      <c r="L14" s="114">
        <v>0.11509999999999999</v>
      </c>
      <c r="M14" s="105" t="str">
        <f>'JUNE 2026'!N14</f>
        <v>0</v>
      </c>
      <c r="N14" s="117">
        <v>0.88</v>
      </c>
      <c r="O14" s="98">
        <f>'JUNE 2026'!AC14</f>
        <v>0</v>
      </c>
      <c r="P14" s="98">
        <f>'JUNE 2026'!AD14</f>
        <v>0</v>
      </c>
    </row>
    <row r="15" spans="1:16" ht="15" x14ac:dyDescent="0.25">
      <c r="A15" s="93" t="s">
        <v>37</v>
      </c>
      <c r="B15" s="5">
        <f t="shared" si="0"/>
        <v>14</v>
      </c>
      <c r="C15" s="120">
        <v>6</v>
      </c>
      <c r="D15" s="4">
        <v>2026</v>
      </c>
      <c r="E15" s="94">
        <f>IF('JUNE 2026'!C15&lt;0,"0",'JUNE 2026'!C15)+(IF('JUNE 2026'!E15&lt;0,"0",'JUNE 2026'!E15)-(IF('JUNE 2026'!G15&lt;0,"0",'JUNE 2026'!G15)))</f>
        <v>0</v>
      </c>
      <c r="F15" s="108" t="e">
        <f>('JUNE 2026'!C15*0.27)/('JUNE 2026'!C15+'JUNE 2026'!E15)</f>
        <v>#DIV/0!</v>
      </c>
      <c r="G15" s="95" t="str">
        <f>'JUNE 2026'!U15</f>
        <v>0</v>
      </c>
      <c r="H15" s="111">
        <v>0.62</v>
      </c>
      <c r="I15" s="96">
        <f>'JUNE 2026'!W15</f>
        <v>0</v>
      </c>
      <c r="J15" s="97">
        <v>2.42</v>
      </c>
      <c r="K15" s="104">
        <f>'JUNE 2026'!AB15*5.04</f>
        <v>0</v>
      </c>
      <c r="L15" s="114">
        <v>0.11509999999999999</v>
      </c>
      <c r="M15" s="105" t="str">
        <f>'JUNE 2026'!N15</f>
        <v>0</v>
      </c>
      <c r="N15" s="117">
        <v>0.88</v>
      </c>
      <c r="O15" s="98">
        <f>'JUNE 2026'!AC15</f>
        <v>0</v>
      </c>
      <c r="P15" s="98">
        <f>'JUNE 2026'!AD15</f>
        <v>0</v>
      </c>
    </row>
    <row r="16" spans="1:16" ht="15" x14ac:dyDescent="0.25">
      <c r="A16" s="93" t="s">
        <v>37</v>
      </c>
      <c r="B16" s="5">
        <f t="shared" si="0"/>
        <v>15</v>
      </c>
      <c r="C16" s="120">
        <v>6</v>
      </c>
      <c r="D16" s="4">
        <v>2026</v>
      </c>
      <c r="E16" s="94">
        <f>IF('JUNE 2026'!C16&lt;0,"0",'JUNE 2026'!C16)+(IF('JUNE 2026'!E16&lt;0,"0",'JUNE 2026'!E16)-(IF('JUNE 2026'!G16&lt;0,"0",'JUNE 2026'!G16)))</f>
        <v>0</v>
      </c>
      <c r="F16" s="108" t="e">
        <f>('JUNE 2026'!C16*0.27)/('JUNE 2026'!C16+'JUNE 2026'!E16)</f>
        <v>#DIV/0!</v>
      </c>
      <c r="G16" s="95" t="str">
        <f>'JUNE 2026'!U16</f>
        <v>0</v>
      </c>
      <c r="H16" s="111">
        <v>0.62</v>
      </c>
      <c r="I16" s="96">
        <f>'JUNE 2026'!W16</f>
        <v>0</v>
      </c>
      <c r="J16" s="97">
        <v>2.42</v>
      </c>
      <c r="K16" s="104">
        <f>'JUNE 2026'!AB16*5.04</f>
        <v>0</v>
      </c>
      <c r="L16" s="114">
        <v>0.11509999999999999</v>
      </c>
      <c r="M16" s="105" t="str">
        <f>'JUNE 2026'!N16</f>
        <v>0</v>
      </c>
      <c r="N16" s="117">
        <v>0.88</v>
      </c>
      <c r="O16" s="98">
        <f>'JUNE 2026'!AC16</f>
        <v>0</v>
      </c>
      <c r="P16" s="98">
        <f>'JUNE 2026'!AD16</f>
        <v>0</v>
      </c>
    </row>
    <row r="17" spans="1:16" ht="15" x14ac:dyDescent="0.25">
      <c r="A17" s="93" t="s">
        <v>37</v>
      </c>
      <c r="B17" s="5">
        <f t="shared" si="0"/>
        <v>16</v>
      </c>
      <c r="C17" s="120">
        <v>6</v>
      </c>
      <c r="D17" s="4">
        <v>2026</v>
      </c>
      <c r="E17" s="94">
        <f>IF('JUNE 2026'!C17&lt;0,"0",'JUNE 2026'!C17)+(IF('JUNE 2026'!E17&lt;0,"0",'JUNE 2026'!E17)-(IF('JUNE 2026'!G17&lt;0,"0",'JUNE 2026'!G17)))</f>
        <v>0</v>
      </c>
      <c r="F17" s="108" t="e">
        <f>('JUNE 2026'!C17*0.27)/('JUNE 2026'!C17+'JUNE 2026'!E17)</f>
        <v>#DIV/0!</v>
      </c>
      <c r="G17" s="95" t="str">
        <f>'JUNE 2026'!U17</f>
        <v>0</v>
      </c>
      <c r="H17" s="111">
        <v>0.62</v>
      </c>
      <c r="I17" s="96">
        <f>'JUNE 2026'!W17</f>
        <v>0</v>
      </c>
      <c r="J17" s="97">
        <v>2.42</v>
      </c>
      <c r="K17" s="104">
        <f>'JUNE 2026'!AB17*5.04</f>
        <v>0</v>
      </c>
      <c r="L17" s="114">
        <v>0.11509999999999999</v>
      </c>
      <c r="M17" s="105" t="str">
        <f>'JUNE 2026'!N17</f>
        <v>0</v>
      </c>
      <c r="N17" s="117">
        <v>0.88</v>
      </c>
      <c r="O17" s="98">
        <f>'JUNE 2026'!AC17</f>
        <v>0</v>
      </c>
      <c r="P17" s="98">
        <f>'JUNE 2026'!AD17</f>
        <v>0</v>
      </c>
    </row>
    <row r="18" spans="1:16" ht="15" x14ac:dyDescent="0.25">
      <c r="A18" s="93" t="s">
        <v>37</v>
      </c>
      <c r="B18" s="5">
        <f t="shared" si="0"/>
        <v>17</v>
      </c>
      <c r="C18" s="120">
        <v>6</v>
      </c>
      <c r="D18" s="4">
        <v>2026</v>
      </c>
      <c r="E18" s="94">
        <f>IF('JUNE 2026'!C18&lt;0,"0",'JUNE 2026'!C18)+(IF('JUNE 2026'!E18&lt;0,"0",'JUNE 2026'!E18)-(IF('JUNE 2026'!G18&lt;0,"0",'JUNE 2026'!G18)))</f>
        <v>0</v>
      </c>
      <c r="F18" s="108" t="e">
        <f>('JUNE 2026'!C18*0.27)/('JUNE 2026'!C18+'JUNE 2026'!E18)</f>
        <v>#DIV/0!</v>
      </c>
      <c r="G18" s="95" t="str">
        <f>'JUNE 2026'!U18</f>
        <v>0</v>
      </c>
      <c r="H18" s="111">
        <v>0.62</v>
      </c>
      <c r="I18" s="96">
        <f>'JUNE 2026'!W18</f>
        <v>0</v>
      </c>
      <c r="J18" s="97">
        <v>2.42</v>
      </c>
      <c r="K18" s="104">
        <f>'JUNE 2026'!AB18*5.04</f>
        <v>0</v>
      </c>
      <c r="L18" s="114">
        <v>0.11509999999999999</v>
      </c>
      <c r="M18" s="105" t="str">
        <f>'JUNE 2026'!N18</f>
        <v>0</v>
      </c>
      <c r="N18" s="117">
        <v>0.88</v>
      </c>
      <c r="O18" s="98">
        <f>'JUNE 2026'!AC18</f>
        <v>0</v>
      </c>
      <c r="P18" s="98">
        <f>'JUNE 2026'!AD18</f>
        <v>0</v>
      </c>
    </row>
    <row r="19" spans="1:16" ht="15" x14ac:dyDescent="0.25">
      <c r="A19" s="93" t="s">
        <v>37</v>
      </c>
      <c r="B19" s="5">
        <f t="shared" si="0"/>
        <v>18</v>
      </c>
      <c r="C19" s="120">
        <v>6</v>
      </c>
      <c r="D19" s="4">
        <v>2026</v>
      </c>
      <c r="E19" s="94">
        <f>IF('JUNE 2026'!C19&lt;0,"0",'JUNE 2026'!C19)+(IF('JUNE 2026'!E19&lt;0,"0",'JUNE 2026'!E19)-(IF('JUNE 2026'!G19&lt;0,"0",'JUNE 2026'!G19)))</f>
        <v>0</v>
      </c>
      <c r="F19" s="108" t="e">
        <f>('JUNE 2026'!C19*0.27)/('JUNE 2026'!C19+'JUNE 2026'!E19)</f>
        <v>#DIV/0!</v>
      </c>
      <c r="G19" s="95" t="str">
        <f>'JUNE 2026'!U19</f>
        <v>0</v>
      </c>
      <c r="H19" s="111">
        <v>0.62</v>
      </c>
      <c r="I19" s="96">
        <f>'JUNE 2026'!W19</f>
        <v>0</v>
      </c>
      <c r="J19" s="97">
        <v>2.42</v>
      </c>
      <c r="K19" s="104">
        <f>'JUNE 2026'!AB19*5.04</f>
        <v>0</v>
      </c>
      <c r="L19" s="114">
        <v>0.11509999999999999</v>
      </c>
      <c r="M19" s="105" t="str">
        <f>'JUNE 2026'!N19</f>
        <v>0</v>
      </c>
      <c r="N19" s="117">
        <v>0.88</v>
      </c>
      <c r="O19" s="98">
        <f>'JUNE 2026'!AC19</f>
        <v>0</v>
      </c>
      <c r="P19" s="98">
        <f>'JUNE 2026'!AD19</f>
        <v>0</v>
      </c>
    </row>
    <row r="20" spans="1:16" ht="15" x14ac:dyDescent="0.25">
      <c r="A20" s="93" t="s">
        <v>37</v>
      </c>
      <c r="B20" s="5">
        <f t="shared" si="0"/>
        <v>19</v>
      </c>
      <c r="C20" s="120">
        <v>6</v>
      </c>
      <c r="D20" s="4">
        <v>2026</v>
      </c>
      <c r="E20" s="94">
        <f>IF('JUNE 2026'!C20&lt;0,"0",'JUNE 2026'!C20)+(IF('JUNE 2026'!E20&lt;0,"0",'JUNE 2026'!E20)-(IF('JUNE 2026'!G20&lt;0,"0",'JUNE 2026'!G20)))</f>
        <v>0</v>
      </c>
      <c r="F20" s="108" t="e">
        <f>('JUNE 2026'!C20*0.27)/('JUNE 2026'!C20+'JUNE 2026'!E20)</f>
        <v>#DIV/0!</v>
      </c>
      <c r="G20" s="95" t="str">
        <f>'JUNE 2026'!U20</f>
        <v>0</v>
      </c>
      <c r="H20" s="111">
        <v>0.62</v>
      </c>
      <c r="I20" s="96">
        <f>'JUNE 2026'!W20</f>
        <v>0</v>
      </c>
      <c r="J20" s="97">
        <v>2.42</v>
      </c>
      <c r="K20" s="104">
        <f>'JUNE 2026'!AB20*5.04</f>
        <v>0</v>
      </c>
      <c r="L20" s="114">
        <v>0.11509999999999999</v>
      </c>
      <c r="M20" s="105" t="str">
        <f>'JUNE 2026'!N20</f>
        <v>0</v>
      </c>
      <c r="N20" s="117">
        <v>0.88</v>
      </c>
      <c r="O20" s="98">
        <f>'JUNE 2026'!AC20</f>
        <v>0</v>
      </c>
      <c r="P20" s="98">
        <f>'JUNE 2026'!AD20</f>
        <v>0</v>
      </c>
    </row>
    <row r="21" spans="1:16" ht="15" x14ac:dyDescent="0.25">
      <c r="A21" s="93" t="s">
        <v>37</v>
      </c>
      <c r="B21" s="5">
        <f t="shared" si="0"/>
        <v>20</v>
      </c>
      <c r="C21" s="120">
        <v>6</v>
      </c>
      <c r="D21" s="4">
        <v>2026</v>
      </c>
      <c r="E21" s="94">
        <f>IF('JUNE 2026'!C21&lt;0,"0",'JUNE 2026'!C21)+(IF('JUNE 2026'!E21&lt;0,"0",'JUNE 2026'!E21)-(IF('JUNE 2026'!G21&lt;0,"0",'JUNE 2026'!G21)))</f>
        <v>0</v>
      </c>
      <c r="F21" s="108" t="e">
        <f>('JUNE 2026'!C21*0.27)/('JUNE 2026'!C21+'JUNE 2026'!E21)</f>
        <v>#DIV/0!</v>
      </c>
      <c r="G21" s="95" t="str">
        <f>'JUNE 2026'!U21</f>
        <v>0</v>
      </c>
      <c r="H21" s="111">
        <v>0.62</v>
      </c>
      <c r="I21" s="96">
        <f>'JUNE 2026'!W21</f>
        <v>0</v>
      </c>
      <c r="J21" s="97">
        <v>2.42</v>
      </c>
      <c r="K21" s="104">
        <f>'JUNE 2026'!AB21*5.04</f>
        <v>0</v>
      </c>
      <c r="L21" s="114">
        <v>0.11509999999999999</v>
      </c>
      <c r="M21" s="105" t="str">
        <f>'JUNE 2026'!N21</f>
        <v>0</v>
      </c>
      <c r="N21" s="117">
        <v>0.88</v>
      </c>
      <c r="O21" s="98">
        <f>'JUNE 2026'!AC21</f>
        <v>0</v>
      </c>
      <c r="P21" s="98">
        <f>'JUNE 2026'!AD21</f>
        <v>0</v>
      </c>
    </row>
    <row r="22" spans="1:16" ht="15" x14ac:dyDescent="0.25">
      <c r="A22" s="93" t="s">
        <v>37</v>
      </c>
      <c r="B22" s="5">
        <f t="shared" si="0"/>
        <v>21</v>
      </c>
      <c r="C22" s="120">
        <v>6</v>
      </c>
      <c r="D22" s="4">
        <v>2026</v>
      </c>
      <c r="E22" s="94">
        <f>IF('JUNE 2026'!C22&lt;0,"0",'JUNE 2026'!C22)+(IF('JUNE 2026'!E22&lt;0,"0",'JUNE 2026'!E22)-(IF('JUNE 2026'!G22&lt;0,"0",'JUNE 2026'!G22)))</f>
        <v>0</v>
      </c>
      <c r="F22" s="108" t="e">
        <f>('JUNE 2026'!C22*0.27)/('JUNE 2026'!C22+'JUNE 2026'!E22)</f>
        <v>#DIV/0!</v>
      </c>
      <c r="G22" s="95" t="str">
        <f>'JUNE 2026'!U22</f>
        <v>0</v>
      </c>
      <c r="H22" s="111">
        <v>0.62</v>
      </c>
      <c r="I22" s="96">
        <f>'JUNE 2026'!W22</f>
        <v>0</v>
      </c>
      <c r="J22" s="97">
        <v>2.42</v>
      </c>
      <c r="K22" s="104">
        <f>'JUNE 2026'!AB22*5.04</f>
        <v>0</v>
      </c>
      <c r="L22" s="114">
        <v>0.11509999999999999</v>
      </c>
      <c r="M22" s="105" t="str">
        <f>'JUNE 2026'!N22</f>
        <v>0</v>
      </c>
      <c r="N22" s="117">
        <v>0.88</v>
      </c>
      <c r="O22" s="98">
        <f>'JUNE 2026'!AC22</f>
        <v>0</v>
      </c>
      <c r="P22" s="98">
        <f>'JUNE 2026'!AD22</f>
        <v>0</v>
      </c>
    </row>
    <row r="23" spans="1:16" ht="15" x14ac:dyDescent="0.25">
      <c r="A23" s="93" t="s">
        <v>37</v>
      </c>
      <c r="B23" s="5">
        <f t="shared" si="0"/>
        <v>22</v>
      </c>
      <c r="C23" s="120">
        <v>6</v>
      </c>
      <c r="D23" s="4">
        <v>2026</v>
      </c>
      <c r="E23" s="94">
        <f>IF('JUNE 2026'!C23&lt;0,"0",'JUNE 2026'!C23)+(IF('JUNE 2026'!E23&lt;0,"0",'JUNE 2026'!E23)-(IF('JUNE 2026'!G23&lt;0,"0",'JUNE 2026'!G23)))</f>
        <v>0</v>
      </c>
      <c r="F23" s="108" t="e">
        <f>('JUNE 2026'!C23*0.27)/('JUNE 2026'!C23+'JUNE 2026'!E23)</f>
        <v>#DIV/0!</v>
      </c>
      <c r="G23" s="95" t="str">
        <f>'JUNE 2026'!U23</f>
        <v>0</v>
      </c>
      <c r="H23" s="111">
        <v>0.62</v>
      </c>
      <c r="I23" s="96">
        <f>'JUNE 2026'!W23</f>
        <v>0</v>
      </c>
      <c r="J23" s="97">
        <v>2.42</v>
      </c>
      <c r="K23" s="104">
        <f>'JUNE 2026'!AB23*5.04</f>
        <v>0</v>
      </c>
      <c r="L23" s="114">
        <v>0.11509999999999999</v>
      </c>
      <c r="M23" s="105" t="str">
        <f>'JUNE 2026'!N23</f>
        <v>0</v>
      </c>
      <c r="N23" s="117">
        <v>0.88</v>
      </c>
      <c r="O23" s="98">
        <f>'JUNE 2026'!AC23</f>
        <v>0</v>
      </c>
      <c r="P23" s="98">
        <f>'JUNE 2026'!AD23</f>
        <v>0</v>
      </c>
    </row>
    <row r="24" spans="1:16" ht="15" x14ac:dyDescent="0.25">
      <c r="A24" s="93" t="s">
        <v>37</v>
      </c>
      <c r="B24" s="5">
        <f t="shared" si="0"/>
        <v>23</v>
      </c>
      <c r="C24" s="120">
        <v>6</v>
      </c>
      <c r="D24" s="4">
        <v>2026</v>
      </c>
      <c r="E24" s="94">
        <f>IF('JUNE 2026'!C24&lt;0,"0",'JUNE 2026'!C24)+(IF('JUNE 2026'!E24&lt;0,"0",'JUNE 2026'!E24)-(IF('JUNE 2026'!G24&lt;0,"0",'JUNE 2026'!G24)))</f>
        <v>0</v>
      </c>
      <c r="F24" s="108" t="e">
        <f>('JUNE 2026'!C24*0.27)/('JUNE 2026'!C24+'JUNE 2026'!E24)</f>
        <v>#DIV/0!</v>
      </c>
      <c r="G24" s="95" t="str">
        <f>'JUNE 2026'!U24</f>
        <v>0</v>
      </c>
      <c r="H24" s="111">
        <v>0.62</v>
      </c>
      <c r="I24" s="96">
        <f>'JUNE 2026'!W24</f>
        <v>0</v>
      </c>
      <c r="J24" s="97">
        <v>2.42</v>
      </c>
      <c r="K24" s="104">
        <f>'JUNE 2026'!AB24*5.04</f>
        <v>0</v>
      </c>
      <c r="L24" s="114">
        <v>0.11509999999999999</v>
      </c>
      <c r="M24" s="105" t="str">
        <f>'JUNE 2026'!N24</f>
        <v>0</v>
      </c>
      <c r="N24" s="117">
        <v>0.88</v>
      </c>
      <c r="O24" s="98">
        <f>'JUNE 2026'!AC24</f>
        <v>0</v>
      </c>
      <c r="P24" s="98">
        <f>'JUNE 2026'!AD24</f>
        <v>0</v>
      </c>
    </row>
    <row r="25" spans="1:16" ht="15" x14ac:dyDescent="0.25">
      <c r="A25" s="93" t="s">
        <v>37</v>
      </c>
      <c r="B25" s="5">
        <f t="shared" si="0"/>
        <v>24</v>
      </c>
      <c r="C25" s="120">
        <v>6</v>
      </c>
      <c r="D25" s="4">
        <v>2026</v>
      </c>
      <c r="E25" s="94">
        <f>IF('JUNE 2026'!C25&lt;0,"0",'JUNE 2026'!C25)+(IF('JUNE 2026'!E25&lt;0,"0",'JUNE 2026'!E25)-(IF('JUNE 2026'!G25&lt;0,"0",'JUNE 2026'!G25)))</f>
        <v>0</v>
      </c>
      <c r="F25" s="108" t="e">
        <f>('JUNE 2026'!C25*0.27)/('JUNE 2026'!C25+'JUNE 2026'!E25)</f>
        <v>#DIV/0!</v>
      </c>
      <c r="G25" s="95" t="str">
        <f>'JUNE 2026'!U25</f>
        <v>0</v>
      </c>
      <c r="H25" s="111">
        <v>0.62</v>
      </c>
      <c r="I25" s="96">
        <f>'JUNE 2026'!W25</f>
        <v>0</v>
      </c>
      <c r="J25" s="97">
        <v>2.42</v>
      </c>
      <c r="K25" s="104">
        <f>'JUNE 2026'!AB25*5.04</f>
        <v>0</v>
      </c>
      <c r="L25" s="114">
        <v>0.11509999999999999</v>
      </c>
      <c r="M25" s="105" t="str">
        <f>'JUNE 2026'!N25</f>
        <v>0</v>
      </c>
      <c r="N25" s="117">
        <v>0.88</v>
      </c>
      <c r="O25" s="98">
        <f>'JUNE 2026'!AC25</f>
        <v>0</v>
      </c>
      <c r="P25" s="98">
        <f>'JUNE 2026'!AD25</f>
        <v>0</v>
      </c>
    </row>
    <row r="26" spans="1:16" ht="15" x14ac:dyDescent="0.25">
      <c r="A26" s="93" t="s">
        <v>37</v>
      </c>
      <c r="B26" s="5">
        <f>B25+1</f>
        <v>25</v>
      </c>
      <c r="C26" s="120">
        <v>6</v>
      </c>
      <c r="D26" s="4">
        <v>2026</v>
      </c>
      <c r="E26" s="94">
        <f>IF('JUNE 2026'!C26&lt;0,"0",'JUNE 2026'!C26)+(IF('JUNE 2026'!E26&lt;0,"0",'JUNE 2026'!E26)-(IF('JUNE 2026'!G26&lt;0,"0",'JUNE 2026'!G26)))</f>
        <v>0</v>
      </c>
      <c r="F26" s="108" t="e">
        <f>('JUNE 2026'!C26*0.27)/('JUNE 2026'!C26+'JUNE 2026'!E26)</f>
        <v>#DIV/0!</v>
      </c>
      <c r="G26" s="95" t="str">
        <f>'JUNE 2026'!U26</f>
        <v>0</v>
      </c>
      <c r="H26" s="111">
        <v>0.62</v>
      </c>
      <c r="I26" s="96">
        <f>'JUNE 2026'!W26</f>
        <v>0</v>
      </c>
      <c r="J26" s="97">
        <v>2.42</v>
      </c>
      <c r="K26" s="104">
        <f>'JUNE 2026'!AB26*5.04</f>
        <v>0</v>
      </c>
      <c r="L26" s="114">
        <v>0.11509999999999999</v>
      </c>
      <c r="M26" s="105" t="str">
        <f>'JUNE 2026'!N26</f>
        <v>0</v>
      </c>
      <c r="N26" s="117">
        <v>0.88</v>
      </c>
      <c r="O26" s="98">
        <f>'JUNE 2026'!AC26</f>
        <v>0</v>
      </c>
      <c r="P26" s="98">
        <f>'JUNE 2026'!AD26</f>
        <v>0</v>
      </c>
    </row>
    <row r="27" spans="1:16" ht="15" x14ac:dyDescent="0.25">
      <c r="A27" s="93" t="s">
        <v>37</v>
      </c>
      <c r="B27" s="5">
        <f t="shared" si="0"/>
        <v>26</v>
      </c>
      <c r="C27" s="120">
        <v>6</v>
      </c>
      <c r="D27" s="4">
        <v>2026</v>
      </c>
      <c r="E27" s="94">
        <f>IF('JUNE 2026'!C27&lt;0,"0",'JUNE 2026'!C27)+(IF('JUNE 2026'!E27&lt;0,"0",'JUNE 2026'!E27)-(IF('JUNE 2026'!G27&lt;0,"0",'JUNE 2026'!G27)))</f>
        <v>0</v>
      </c>
      <c r="F27" s="108" t="e">
        <f>('JUNE 2026'!C27*0.27)/('JUNE 2026'!C27+'JUNE 2026'!E27)</f>
        <v>#DIV/0!</v>
      </c>
      <c r="G27" s="95" t="str">
        <f>'JUNE 2026'!U27</f>
        <v>0</v>
      </c>
      <c r="H27" s="111">
        <v>0.62</v>
      </c>
      <c r="I27" s="96">
        <f>'JUNE 2026'!W27</f>
        <v>0</v>
      </c>
      <c r="J27" s="97">
        <v>2.42</v>
      </c>
      <c r="K27" s="104">
        <f>'JUNE 2026'!AB27*5.04</f>
        <v>0</v>
      </c>
      <c r="L27" s="114">
        <v>0.11509999999999999</v>
      </c>
      <c r="M27" s="105" t="str">
        <f>'JUNE 2026'!N27</f>
        <v>0</v>
      </c>
      <c r="N27" s="117">
        <v>0.88</v>
      </c>
      <c r="O27" s="98">
        <f>'JUNE 2026'!AC27</f>
        <v>0</v>
      </c>
      <c r="P27" s="98">
        <f>'JUNE 2026'!AD27</f>
        <v>0</v>
      </c>
    </row>
    <row r="28" spans="1:16" ht="15" x14ac:dyDescent="0.25">
      <c r="A28" s="93" t="s">
        <v>37</v>
      </c>
      <c r="B28" s="5">
        <v>27</v>
      </c>
      <c r="C28" s="120">
        <v>6</v>
      </c>
      <c r="D28" s="4">
        <v>2026</v>
      </c>
      <c r="E28" s="94">
        <f>IF('JUNE 2026'!C27&lt;0,"0",'JUNE 2026'!C27)+(IF('JUNE 2026'!E27&lt;0,"0",'JUNE 2026'!E27)-(IF('JUNE 2026'!G27&lt;0,"0",'JUNE 2026'!G27)))</f>
        <v>0</v>
      </c>
      <c r="F28" s="108" t="e">
        <f>('JUNE 2026'!C27*0.27)/('JUNE 2026'!C27+'JUNE 2026'!E27)</f>
        <v>#DIV/0!</v>
      </c>
      <c r="G28" s="95" t="str">
        <f>'JUNE 2026'!U28</f>
        <v>0</v>
      </c>
      <c r="H28" s="111">
        <v>0.62</v>
      </c>
      <c r="I28" s="96">
        <f>'JUNE 2026'!W28</f>
        <v>0</v>
      </c>
      <c r="J28" s="97">
        <v>2.42</v>
      </c>
      <c r="K28" s="104">
        <f>'JUNE 2026'!AB31*5.04</f>
        <v>0</v>
      </c>
      <c r="L28" s="114">
        <v>0.11509999999999999</v>
      </c>
      <c r="M28" s="105" t="str">
        <f>'JUNE 2026'!N31</f>
        <v>0</v>
      </c>
      <c r="N28" s="117">
        <v>0.88</v>
      </c>
      <c r="O28" s="98">
        <f>'JUNE 2026'!AC27</f>
        <v>0</v>
      </c>
      <c r="P28" s="98">
        <f>'JUNE 2026'!AD27</f>
        <v>0</v>
      </c>
    </row>
    <row r="29" spans="1:16" ht="15" x14ac:dyDescent="0.25">
      <c r="A29" s="93" t="s">
        <v>37</v>
      </c>
      <c r="B29" s="5">
        <v>28</v>
      </c>
      <c r="C29" s="120">
        <v>6</v>
      </c>
      <c r="D29" s="4">
        <v>2026</v>
      </c>
      <c r="E29" s="94">
        <f>IF('JUNE 2026'!C28&lt;0,"0",'JUNE 2026'!C28)+(IF('JUNE 2026'!E28&lt;0,"0",'JUNE 2026'!E28)-(IF('JUNE 2026'!G28&lt;0,"0",'JUNE 2026'!G28)))</f>
        <v>0</v>
      </c>
      <c r="F29" s="108" t="e">
        <f>('JUNE 2026'!C28*0.27)/('JUNE 2026'!C28+'JUNE 2026'!E28)</f>
        <v>#DIV/0!</v>
      </c>
      <c r="G29" s="95" t="str">
        <f>'JUNE 2026'!U29</f>
        <v>0</v>
      </c>
      <c r="H29" s="111">
        <v>0.62</v>
      </c>
      <c r="I29" s="96">
        <f>'JUNE 2026'!W29</f>
        <v>0</v>
      </c>
      <c r="J29" s="97">
        <v>2.42</v>
      </c>
      <c r="K29" s="104" t="e">
        <f>'JUNE 2026'!#REF!*5.04</f>
        <v>#REF!</v>
      </c>
      <c r="L29" s="114">
        <v>0.11509999999999999</v>
      </c>
      <c r="M29" s="105" t="e">
        <f>'JUNE 2026'!#REF!</f>
        <v>#REF!</v>
      </c>
      <c r="N29" s="117">
        <v>0.88</v>
      </c>
      <c r="O29" s="98">
        <f>'JUNE 2026'!AC28</f>
        <v>0</v>
      </c>
      <c r="P29" s="98">
        <f>'JUNE 2026'!AD28</f>
        <v>0</v>
      </c>
    </row>
    <row r="30" spans="1:16" ht="15" x14ac:dyDescent="0.25">
      <c r="A30" s="93" t="s">
        <v>37</v>
      </c>
      <c r="B30" s="5">
        <f t="shared" si="0"/>
        <v>29</v>
      </c>
      <c r="C30" s="120">
        <v>6</v>
      </c>
      <c r="D30" s="4">
        <v>2026</v>
      </c>
      <c r="E30" s="94">
        <f>IF('JUNE 2026'!C29&lt;0,"0",'JUNE 2026'!C29)+(IF('JUNE 2026'!E29&lt;0,"0",'JUNE 2026'!E29)-(IF('JUNE 2026'!G29&lt;0,"0",'JUNE 2026'!G29)))</f>
        <v>0</v>
      </c>
      <c r="F30" s="108" t="e">
        <f>('JUNE 2026'!C29*0.27)/('JUNE 2026'!C29+'JUNE 2026'!E29)</f>
        <v>#DIV/0!</v>
      </c>
      <c r="G30" s="95" t="str">
        <f>'JUNE 2026'!U30</f>
        <v>0</v>
      </c>
      <c r="H30" s="111">
        <v>0.62</v>
      </c>
      <c r="I30" s="96">
        <f>'JUNE 2026'!W30</f>
        <v>0</v>
      </c>
      <c r="J30" s="97">
        <v>2.42</v>
      </c>
      <c r="K30" s="104">
        <f>'JUNE 2026'!AB32*5.04</f>
        <v>0</v>
      </c>
      <c r="L30" s="114">
        <v>0.11509999999999999</v>
      </c>
      <c r="M30" s="105" t="str">
        <f>'JUNE 2026'!N32</f>
        <v>0</v>
      </c>
      <c r="N30" s="117">
        <v>0.88</v>
      </c>
      <c r="O30" s="98">
        <f>'JUNE 2026'!AC29</f>
        <v>0</v>
      </c>
      <c r="P30" s="98">
        <f>'JUNE 2026'!AD29</f>
        <v>0</v>
      </c>
    </row>
    <row r="31" spans="1:16" ht="17.25" customHeight="1" x14ac:dyDescent="0.25">
      <c r="A31" s="93" t="s">
        <v>37</v>
      </c>
      <c r="B31" s="5">
        <v>30</v>
      </c>
      <c r="C31" s="120">
        <v>6</v>
      </c>
      <c r="D31" s="4">
        <v>2026</v>
      </c>
      <c r="E31" s="94">
        <f>IF('JUNE 2026'!C31&lt;0,"0",'JUNE 2026'!C31)+(IF('JUNE 2026'!E31&lt;0,"0",'JUNE 2026'!E31)-(IF('JUNE 2026'!G31&lt;0,"0",'JUNE 2026'!G31)))</f>
        <v>0</v>
      </c>
      <c r="F31" s="108" t="e">
        <f>('JUNE 2026'!C31*0.27)/('JUNE 2026'!C31+'JUNE 2026'!E31)</f>
        <v>#DIV/0!</v>
      </c>
      <c r="G31" s="95" t="str">
        <f>'JUNE 2026'!U31</f>
        <v>0</v>
      </c>
      <c r="H31" s="111">
        <v>0.62</v>
      </c>
      <c r="I31" s="96">
        <f>'JUNE 2026'!W31</f>
        <v>0</v>
      </c>
      <c r="J31" s="97">
        <v>2.42</v>
      </c>
      <c r="K31" s="104">
        <f>'JUNE 2026'!AB34*5.04</f>
        <v>0</v>
      </c>
      <c r="L31" s="114">
        <v>0.11509999999999999</v>
      </c>
      <c r="M31" s="105">
        <f>'JUNE 2026'!N34</f>
        <v>0</v>
      </c>
      <c r="N31" s="117">
        <v>0.88</v>
      </c>
      <c r="O31" s="98">
        <f>'JUNE 2026'!AC31</f>
        <v>0</v>
      </c>
      <c r="P31" s="98">
        <f>'JUNE 2026'!AD31</f>
        <v>0</v>
      </c>
    </row>
    <row r="32" spans="1:16" x14ac:dyDescent="0.2">
      <c r="D32" s="99"/>
      <c r="F32" s="108"/>
      <c r="I32" s="97"/>
      <c r="J32" s="97"/>
      <c r="K32" s="104"/>
      <c r="L32" s="114"/>
      <c r="O32" s="100"/>
      <c r="P32" s="100"/>
    </row>
    <row r="33" spans="4:16" x14ac:dyDescent="0.2">
      <c r="D33" s="99"/>
      <c r="F33" s="108"/>
      <c r="I33" s="97"/>
      <c r="J33" s="97"/>
      <c r="K33" s="104"/>
      <c r="L33" s="114"/>
      <c r="O33" s="100"/>
      <c r="P33" s="100"/>
    </row>
    <row r="34" spans="4:16" x14ac:dyDescent="0.2">
      <c r="D34" s="99"/>
      <c r="F34" s="108"/>
      <c r="I34" s="97"/>
      <c r="J34" s="97"/>
      <c r="K34" s="104"/>
      <c r="L34" s="114"/>
      <c r="O34" s="100"/>
      <c r="P34" s="100"/>
    </row>
    <row r="35" spans="4:16" x14ac:dyDescent="0.2">
      <c r="F35" s="108"/>
      <c r="K35" s="104"/>
      <c r="L35" s="114"/>
    </row>
    <row r="36" spans="4:16" x14ac:dyDescent="0.2">
      <c r="F36" s="108"/>
      <c r="K36" s="104"/>
      <c r="L36" s="114"/>
    </row>
    <row r="37" spans="4:16" x14ac:dyDescent="0.2">
      <c r="F37" s="108"/>
      <c r="K37" s="104"/>
      <c r="L37" s="114"/>
    </row>
    <row r="38" spans="4:16" x14ac:dyDescent="0.2">
      <c r="F38" s="108"/>
      <c r="K38" s="104"/>
      <c r="L38" s="114"/>
    </row>
    <row r="39" spans="4:16" x14ac:dyDescent="0.2">
      <c r="K39" s="104"/>
      <c r="L39" s="1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5"/>
  <sheetViews>
    <sheetView tabSelected="1" topLeftCell="A14" zoomScale="115" zoomScaleNormal="115" workbookViewId="0">
      <selection activeCell="A33" sqref="A33"/>
    </sheetView>
  </sheetViews>
  <sheetFormatPr defaultColWidth="11.5703125" defaultRowHeight="12.75" x14ac:dyDescent="0.2"/>
  <cols>
    <col min="1" max="1" width="22.42578125" customWidth="1"/>
    <col min="2" max="2" width="10.85546875" customWidth="1"/>
    <col min="3" max="3" width="12.7109375" style="15" customWidth="1"/>
    <col min="4" max="4" width="10" style="5" customWidth="1"/>
    <col min="5" max="5" width="8.5703125" style="15" customWidth="1"/>
    <col min="6" max="6" width="10" style="5" customWidth="1"/>
    <col min="7" max="7" width="6.5703125" style="15" customWidth="1"/>
    <col min="8" max="9" width="9.7109375" style="5" customWidth="1"/>
    <col min="10" max="10" width="11.7109375" style="15" customWidth="1"/>
    <col min="11" max="11" width="23" customWidth="1"/>
    <col min="12" max="13" width="6.5703125" style="4" customWidth="1"/>
    <col min="14" max="14" width="6.7109375" style="15" customWidth="1"/>
    <col min="15" max="15" width="6.5703125" customWidth="1"/>
    <col min="16" max="18" width="6.42578125" customWidth="1"/>
    <col min="19" max="19" width="7.85546875" customWidth="1"/>
    <col min="20" max="20" width="9.28515625" style="4" customWidth="1"/>
    <col min="21" max="21" width="9.140625" style="15" customWidth="1"/>
    <col min="22" max="22" width="8.42578125" customWidth="1"/>
    <col min="23" max="23" width="8.85546875" style="15" customWidth="1"/>
    <col min="24" max="24" width="8.85546875" customWidth="1"/>
    <col min="25" max="25" width="8.140625" style="15" customWidth="1"/>
    <col min="26" max="27" width="7.5703125" style="7" customWidth="1"/>
    <col min="28" max="28" width="7.140625" style="15" customWidth="1"/>
    <col min="29" max="29" width="6.42578125" customWidth="1"/>
    <col min="30" max="30" width="7" customWidth="1"/>
    <col min="32" max="36" width="15.285156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4" t="s">
        <v>7</v>
      </c>
      <c r="H1" s="66" t="s">
        <v>18</v>
      </c>
      <c r="I1" s="70" t="s">
        <v>17</v>
      </c>
      <c r="J1" s="47" t="s">
        <v>5</v>
      </c>
      <c r="K1" s="25" t="s">
        <v>1</v>
      </c>
      <c r="L1" s="28" t="s">
        <v>2</v>
      </c>
      <c r="M1" s="72" t="s">
        <v>14</v>
      </c>
      <c r="N1" s="29" t="s">
        <v>5</v>
      </c>
      <c r="O1" s="80" t="s">
        <v>20</v>
      </c>
      <c r="P1" s="80" t="s">
        <v>21</v>
      </c>
      <c r="Q1" s="80" t="s">
        <v>22</v>
      </c>
      <c r="R1" s="80" t="s">
        <v>23</v>
      </c>
      <c r="S1" s="36" t="s">
        <v>19</v>
      </c>
      <c r="T1" s="35" t="s">
        <v>13</v>
      </c>
      <c r="U1" s="29" t="s">
        <v>5</v>
      </c>
      <c r="V1" s="38" t="s">
        <v>4</v>
      </c>
      <c r="W1" s="29" t="s">
        <v>5</v>
      </c>
      <c r="X1" s="41" t="s">
        <v>3</v>
      </c>
      <c r="Y1" s="29" t="s">
        <v>5</v>
      </c>
      <c r="Z1" s="44" t="s">
        <v>15</v>
      </c>
      <c r="AA1" s="50" t="s">
        <v>16</v>
      </c>
      <c r="AB1" s="29" t="s">
        <v>5</v>
      </c>
      <c r="AC1" s="23" t="s">
        <v>0</v>
      </c>
      <c r="AD1" s="24" t="s">
        <v>9</v>
      </c>
    </row>
    <row r="2" spans="1:30" ht="20.65" customHeight="1" x14ac:dyDescent="0.2">
      <c r="A2" s="19">
        <v>46174</v>
      </c>
      <c r="B2" s="8">
        <v>445341</v>
      </c>
      <c r="C2" s="14">
        <f>IF((B3-B2)&lt;0,"0",B3-B2)</f>
        <v>5709</v>
      </c>
      <c r="D2" s="9">
        <v>1135484</v>
      </c>
      <c r="E2" s="14">
        <f>IF((D3-D2)&lt;0,"0",D3-D2)</f>
        <v>508</v>
      </c>
      <c r="F2" s="27">
        <v>1704</v>
      </c>
      <c r="G2" s="65">
        <f>F3-F2</f>
        <v>0</v>
      </c>
      <c r="H2" s="67">
        <f>C2+E2-G2</f>
        <v>6217</v>
      </c>
      <c r="I2" s="71">
        <f>H2-K2-M2-O2-Q2</f>
        <v>-39958.270000000004</v>
      </c>
      <c r="J2" s="32">
        <f t="shared" ref="J2:J31" si="0">I3-I2</f>
        <v>476.04000000000087</v>
      </c>
      <c r="K2" s="19">
        <f>A2</f>
        <v>46174</v>
      </c>
      <c r="L2" s="30">
        <v>4323</v>
      </c>
      <c r="M2" s="31">
        <v>0</v>
      </c>
      <c r="N2" s="32">
        <f>IF((L2-L3+M2)=L2,"0",(L2-L3+M2))</f>
        <v>323</v>
      </c>
      <c r="O2" s="81">
        <v>0.72</v>
      </c>
      <c r="P2" s="82">
        <v>0.75</v>
      </c>
      <c r="Q2" s="81">
        <v>0.55000000000000004</v>
      </c>
      <c r="R2" s="82">
        <v>0.55000000000000004</v>
      </c>
      <c r="S2" s="37">
        <f>(2500*O2)+(2500*P2)+(500*Q2)+(500*R2)</f>
        <v>4225</v>
      </c>
      <c r="T2" s="121"/>
      <c r="U2" s="32">
        <f>IF((S2-S3+T2)=S2,"0",(S2-S3+T2))</f>
        <v>65</v>
      </c>
      <c r="V2" s="39">
        <v>7767</v>
      </c>
      <c r="W2" s="32">
        <f t="shared" ref="W2:W31" si="1">IF(V3-V2&lt;0,"0",V3-V2)</f>
        <v>108</v>
      </c>
      <c r="X2" s="42">
        <v>61987</v>
      </c>
      <c r="Y2" s="14">
        <f>IF((X3-X2)&lt;0,"0",X3-X2)</f>
        <v>29</v>
      </c>
      <c r="Z2" s="45">
        <v>0</v>
      </c>
      <c r="AA2" s="51">
        <v>0</v>
      </c>
      <c r="AB2" s="32" t="str">
        <f>IF((Z2-Z3+AA2)=Z2,"0",(Z2-Z3+AA2))</f>
        <v>0</v>
      </c>
      <c r="AC2" s="12">
        <v>166</v>
      </c>
      <c r="AD2" s="17">
        <v>328</v>
      </c>
    </row>
    <row r="3" spans="1:30" ht="20.65" customHeight="1" x14ac:dyDescent="0.2">
      <c r="A3" s="19">
        <v>46175</v>
      </c>
      <c r="B3" s="10">
        <v>451050</v>
      </c>
      <c r="C3" s="14">
        <f t="shared" ref="C3:C31" si="2">IF((B4-B3)&lt;0,"0",B4-B3)</f>
        <v>5054</v>
      </c>
      <c r="D3" s="11">
        <v>1135992</v>
      </c>
      <c r="E3" s="14">
        <f t="shared" ref="E3:E13" si="3">IF((D4-D3)&lt;0,"0",D4-D3)</f>
        <v>1640</v>
      </c>
      <c r="F3" s="27">
        <v>1704</v>
      </c>
      <c r="G3" s="65">
        <f t="shared" ref="G3:G31" si="4">F4-F3</f>
        <v>0</v>
      </c>
      <c r="H3" s="67">
        <f t="shared" ref="H3:H29" si="5">C3+E3-G3</f>
        <v>6694</v>
      </c>
      <c r="I3" s="71">
        <f t="shared" ref="I3:I29" si="6">H3-K3-M3-O3-Q3</f>
        <v>-39482.230000000003</v>
      </c>
      <c r="J3" s="32">
        <f t="shared" si="0"/>
        <v>-386.32999999999447</v>
      </c>
      <c r="K3" s="20">
        <f t="shared" ref="K3:K32" si="7">A3</f>
        <v>46175</v>
      </c>
      <c r="L3" s="33">
        <v>4000</v>
      </c>
      <c r="M3" s="31">
        <v>0</v>
      </c>
      <c r="N3" s="32">
        <f t="shared" ref="N3:N9" si="8">IF((L3-L4+M3)=L3,"0",(L3-L4+M3))</f>
        <v>310</v>
      </c>
      <c r="O3" s="83">
        <v>0.72</v>
      </c>
      <c r="P3" s="84">
        <v>0.74</v>
      </c>
      <c r="Q3" s="83">
        <v>0.51</v>
      </c>
      <c r="R3" s="84">
        <v>0.51</v>
      </c>
      <c r="S3" s="37">
        <f t="shared" ref="S3:S32" si="9">(2500*O3)+(2500*P3)+(500*Q3)+(500*R3)</f>
        <v>4160</v>
      </c>
      <c r="T3" s="121">
        <v>310</v>
      </c>
      <c r="U3" s="32">
        <f t="shared" ref="U3:U19" si="10">IF((S3-S4+T3)=S3,"0",(S3-S4+T3))</f>
        <v>70</v>
      </c>
      <c r="V3" s="40">
        <v>7875</v>
      </c>
      <c r="W3" s="32">
        <f t="shared" si="1"/>
        <v>133</v>
      </c>
      <c r="X3" s="42">
        <v>62016</v>
      </c>
      <c r="Y3" s="14">
        <f t="shared" ref="Y3:Y19" si="11">IF((X4-X3)&lt;0,"0",X4-X3)</f>
        <v>14</v>
      </c>
      <c r="Z3" s="45">
        <v>0</v>
      </c>
      <c r="AA3" s="51">
        <v>0</v>
      </c>
      <c r="AB3" s="32" t="str">
        <f t="shared" ref="AB3:AB31" si="12">IF((Z3-Z4+AA3)=Z3,"0",(Z3-Z4+AA3))</f>
        <v>0</v>
      </c>
      <c r="AC3" s="13">
        <v>166</v>
      </c>
      <c r="AD3" s="18">
        <v>327</v>
      </c>
    </row>
    <row r="4" spans="1:30" ht="20.65" customHeight="1" x14ac:dyDescent="0.2">
      <c r="A4" s="19">
        <v>46176</v>
      </c>
      <c r="B4" s="10">
        <v>456104</v>
      </c>
      <c r="C4" s="14">
        <f t="shared" si="2"/>
        <v>4605</v>
      </c>
      <c r="D4" s="11">
        <v>1137632</v>
      </c>
      <c r="E4" s="14">
        <f t="shared" si="3"/>
        <v>1704</v>
      </c>
      <c r="F4" s="27">
        <v>1704</v>
      </c>
      <c r="G4" s="65">
        <f t="shared" si="4"/>
        <v>0</v>
      </c>
      <c r="H4" s="67">
        <f t="shared" si="5"/>
        <v>6309</v>
      </c>
      <c r="I4" s="71">
        <f t="shared" si="6"/>
        <v>-39868.559999999998</v>
      </c>
      <c r="J4" s="32">
        <f t="shared" si="0"/>
        <v>402.02999999999884</v>
      </c>
      <c r="K4" s="20">
        <f t="shared" si="7"/>
        <v>46176</v>
      </c>
      <c r="L4" s="33">
        <v>3690</v>
      </c>
      <c r="M4" s="31">
        <v>0</v>
      </c>
      <c r="N4" s="32">
        <f t="shared" si="8"/>
        <v>245</v>
      </c>
      <c r="O4" s="83">
        <v>0.72</v>
      </c>
      <c r="P4" s="84">
        <v>0.72</v>
      </c>
      <c r="Q4" s="83">
        <v>0.84</v>
      </c>
      <c r="R4" s="84">
        <v>0.76</v>
      </c>
      <c r="S4" s="37">
        <f t="shared" si="9"/>
        <v>4400</v>
      </c>
      <c r="T4" s="121"/>
      <c r="U4" s="32">
        <f t="shared" si="10"/>
        <v>45</v>
      </c>
      <c r="V4" s="40">
        <v>8008</v>
      </c>
      <c r="W4" s="32">
        <f t="shared" si="1"/>
        <v>81</v>
      </c>
      <c r="X4" s="42">
        <v>62030</v>
      </c>
      <c r="Y4" s="14">
        <f t="shared" si="11"/>
        <v>7</v>
      </c>
      <c r="Z4" s="45">
        <v>0</v>
      </c>
      <c r="AA4" s="51">
        <v>0</v>
      </c>
      <c r="AB4" s="32" t="str">
        <f t="shared" si="12"/>
        <v>0</v>
      </c>
      <c r="AC4" s="13">
        <v>177</v>
      </c>
      <c r="AD4" s="18">
        <v>343</v>
      </c>
    </row>
    <row r="5" spans="1:30" ht="20.65" customHeight="1" x14ac:dyDescent="0.2">
      <c r="A5" s="19">
        <v>46177</v>
      </c>
      <c r="B5" s="10">
        <v>460709</v>
      </c>
      <c r="C5" s="14">
        <f t="shared" si="2"/>
        <v>5029</v>
      </c>
      <c r="D5" s="11">
        <v>1139336</v>
      </c>
      <c r="E5" s="14">
        <f t="shared" si="3"/>
        <v>1683</v>
      </c>
      <c r="F5" s="27">
        <v>1704</v>
      </c>
      <c r="G5" s="65">
        <f t="shared" si="4"/>
        <v>0</v>
      </c>
      <c r="H5" s="67">
        <f t="shared" si="5"/>
        <v>6712</v>
      </c>
      <c r="I5" s="71">
        <f t="shared" si="6"/>
        <v>-39466.53</v>
      </c>
      <c r="J5" s="32">
        <f t="shared" si="0"/>
        <v>-179.9600000000064</v>
      </c>
      <c r="K5" s="20">
        <f t="shared" si="7"/>
        <v>46177</v>
      </c>
      <c r="L5" s="33">
        <v>3445</v>
      </c>
      <c r="M5" s="31">
        <v>0</v>
      </c>
      <c r="N5" s="32">
        <f t="shared" si="8"/>
        <v>209</v>
      </c>
      <c r="O5" s="83">
        <v>0.71</v>
      </c>
      <c r="P5" s="84">
        <v>0.72</v>
      </c>
      <c r="Q5" s="83">
        <v>0.82</v>
      </c>
      <c r="R5" s="84">
        <v>0.74</v>
      </c>
      <c r="S5" s="37">
        <f t="shared" si="9"/>
        <v>4355</v>
      </c>
      <c r="T5" s="121"/>
      <c r="U5" s="32">
        <f t="shared" si="10"/>
        <v>90</v>
      </c>
      <c r="V5" s="40">
        <v>8089</v>
      </c>
      <c r="W5" s="32">
        <f t="shared" si="1"/>
        <v>121</v>
      </c>
      <c r="X5" s="42">
        <v>62037</v>
      </c>
      <c r="Y5" s="14">
        <f t="shared" si="11"/>
        <v>13</v>
      </c>
      <c r="Z5" s="45">
        <v>0</v>
      </c>
      <c r="AA5" s="51">
        <v>0</v>
      </c>
      <c r="AB5" s="32" t="str">
        <f t="shared" si="12"/>
        <v>0</v>
      </c>
      <c r="AC5" s="13">
        <v>189</v>
      </c>
      <c r="AD5" s="18">
        <v>364</v>
      </c>
    </row>
    <row r="6" spans="1:30" ht="20.65" customHeight="1" x14ac:dyDescent="0.2">
      <c r="A6" s="19">
        <v>46178</v>
      </c>
      <c r="B6" s="10">
        <v>465738</v>
      </c>
      <c r="C6" s="14">
        <f t="shared" si="2"/>
        <v>4865</v>
      </c>
      <c r="D6" s="11">
        <v>1141019</v>
      </c>
      <c r="E6" s="14">
        <f t="shared" si="3"/>
        <v>1668</v>
      </c>
      <c r="F6" s="27">
        <v>1704</v>
      </c>
      <c r="G6" s="65">
        <f t="shared" si="4"/>
        <v>0</v>
      </c>
      <c r="H6" s="67">
        <f t="shared" si="5"/>
        <v>6533</v>
      </c>
      <c r="I6" s="71">
        <f t="shared" si="6"/>
        <v>-39646.490000000005</v>
      </c>
      <c r="J6" s="32">
        <f t="shared" si="0"/>
        <v>291.09000000000378</v>
      </c>
      <c r="K6" s="20">
        <f t="shared" si="7"/>
        <v>46178</v>
      </c>
      <c r="L6" s="33">
        <v>3236</v>
      </c>
      <c r="M6" s="31">
        <v>0</v>
      </c>
      <c r="N6" s="32">
        <f t="shared" si="8"/>
        <v>178</v>
      </c>
      <c r="O6" s="83">
        <v>0.69</v>
      </c>
      <c r="P6" s="84">
        <v>0.71</v>
      </c>
      <c r="Q6" s="83">
        <v>0.8</v>
      </c>
      <c r="R6" s="84">
        <v>0.73</v>
      </c>
      <c r="S6" s="37">
        <f t="shared" si="9"/>
        <v>4265</v>
      </c>
      <c r="T6" s="121"/>
      <c r="U6" s="32">
        <f t="shared" si="10"/>
        <v>180</v>
      </c>
      <c r="V6" s="40">
        <v>8210</v>
      </c>
      <c r="W6" s="32">
        <f t="shared" si="1"/>
        <v>120</v>
      </c>
      <c r="X6" s="42">
        <v>62050</v>
      </c>
      <c r="Y6" s="14">
        <f t="shared" si="11"/>
        <v>9</v>
      </c>
      <c r="Z6" s="45">
        <v>0</v>
      </c>
      <c r="AA6" s="51">
        <v>0</v>
      </c>
      <c r="AB6" s="32" t="str">
        <f t="shared" si="12"/>
        <v>0</v>
      </c>
      <c r="AC6" s="13">
        <v>203</v>
      </c>
      <c r="AD6" s="18">
        <v>398</v>
      </c>
    </row>
    <row r="7" spans="1:30" ht="20.65" customHeight="1" x14ac:dyDescent="0.2">
      <c r="A7" s="19">
        <v>46179</v>
      </c>
      <c r="B7" s="10">
        <v>470603</v>
      </c>
      <c r="C7" s="14">
        <f t="shared" si="2"/>
        <v>5171</v>
      </c>
      <c r="D7" s="11">
        <v>1142687</v>
      </c>
      <c r="E7" s="14">
        <f t="shared" si="3"/>
        <v>1654</v>
      </c>
      <c r="F7" s="27">
        <v>1704</v>
      </c>
      <c r="G7" s="65">
        <f t="shared" si="4"/>
        <v>0</v>
      </c>
      <c r="H7" s="67">
        <f t="shared" si="5"/>
        <v>6825</v>
      </c>
      <c r="I7" s="71">
        <f t="shared" si="6"/>
        <v>-39355.4</v>
      </c>
      <c r="J7" s="32">
        <f t="shared" si="0"/>
        <v>395.09999999999854</v>
      </c>
      <c r="K7" s="20">
        <f t="shared" si="7"/>
        <v>46179</v>
      </c>
      <c r="L7" s="33">
        <v>3058</v>
      </c>
      <c r="M7" s="31">
        <v>0</v>
      </c>
      <c r="N7" s="32">
        <f t="shared" si="8"/>
        <v>171</v>
      </c>
      <c r="O7" s="83">
        <v>0.65</v>
      </c>
      <c r="P7" s="84">
        <v>0.7</v>
      </c>
      <c r="Q7" s="83">
        <v>0.75</v>
      </c>
      <c r="R7" s="84">
        <v>0.67</v>
      </c>
      <c r="S7" s="37">
        <f t="shared" si="9"/>
        <v>4085</v>
      </c>
      <c r="T7" s="121"/>
      <c r="U7" s="32">
        <f t="shared" si="10"/>
        <v>110</v>
      </c>
      <c r="V7" s="40">
        <v>8330</v>
      </c>
      <c r="W7" s="32">
        <f t="shared" si="1"/>
        <v>119</v>
      </c>
      <c r="X7" s="42">
        <v>62059</v>
      </c>
      <c r="Y7" s="14">
        <f t="shared" si="11"/>
        <v>7</v>
      </c>
      <c r="Z7" s="45">
        <v>0</v>
      </c>
      <c r="AA7" s="51">
        <v>0</v>
      </c>
      <c r="AB7" s="32" t="str">
        <f t="shared" si="12"/>
        <v>0</v>
      </c>
      <c r="AC7" s="13">
        <v>204</v>
      </c>
      <c r="AD7" s="18">
        <v>397</v>
      </c>
    </row>
    <row r="8" spans="1:30" ht="20.65" customHeight="1" x14ac:dyDescent="0.2">
      <c r="A8" s="19">
        <v>46180</v>
      </c>
      <c r="B8" s="10">
        <v>475774</v>
      </c>
      <c r="C8" s="14">
        <f t="shared" si="2"/>
        <v>5699</v>
      </c>
      <c r="D8" s="11">
        <v>1144341</v>
      </c>
      <c r="E8" s="14">
        <f t="shared" si="3"/>
        <v>1522</v>
      </c>
      <c r="F8" s="27">
        <v>1704</v>
      </c>
      <c r="G8" s="65">
        <f t="shared" si="4"/>
        <v>0</v>
      </c>
      <c r="H8" s="67">
        <f t="shared" si="5"/>
        <v>7221</v>
      </c>
      <c r="I8" s="71">
        <f t="shared" si="6"/>
        <v>-38960.300000000003</v>
      </c>
      <c r="J8" s="32">
        <f t="shared" si="0"/>
        <v>-7221.9599999999919</v>
      </c>
      <c r="K8" s="20">
        <f t="shared" si="7"/>
        <v>46180</v>
      </c>
      <c r="L8" s="33">
        <v>2887</v>
      </c>
      <c r="M8" s="31">
        <v>0</v>
      </c>
      <c r="N8" s="32">
        <f t="shared" si="8"/>
        <v>124</v>
      </c>
      <c r="O8" s="83">
        <v>0.64</v>
      </c>
      <c r="P8" s="84">
        <v>0.69</v>
      </c>
      <c r="Q8" s="83">
        <v>0.66</v>
      </c>
      <c r="R8" s="84">
        <v>0.64</v>
      </c>
      <c r="S8" s="37">
        <f t="shared" si="9"/>
        <v>3975</v>
      </c>
      <c r="T8" s="121"/>
      <c r="U8" s="32">
        <f t="shared" si="10"/>
        <v>105</v>
      </c>
      <c r="V8" s="40">
        <v>8449</v>
      </c>
      <c r="W8" s="32">
        <f t="shared" si="1"/>
        <v>116</v>
      </c>
      <c r="X8" s="42">
        <v>62066</v>
      </c>
      <c r="Y8" s="14">
        <f t="shared" si="11"/>
        <v>7</v>
      </c>
      <c r="Z8" s="45">
        <v>0</v>
      </c>
      <c r="AA8" s="51">
        <v>0</v>
      </c>
      <c r="AB8" s="32" t="str">
        <f t="shared" si="12"/>
        <v>0</v>
      </c>
      <c r="AC8" s="13">
        <v>208</v>
      </c>
      <c r="AD8" s="18">
        <v>404</v>
      </c>
    </row>
    <row r="9" spans="1:30" ht="20.65" customHeight="1" x14ac:dyDescent="0.2">
      <c r="A9" s="19">
        <v>46181</v>
      </c>
      <c r="B9" s="10">
        <v>481473</v>
      </c>
      <c r="C9" s="14" t="str">
        <f t="shared" si="2"/>
        <v>0</v>
      </c>
      <c r="D9" s="11">
        <v>1145863</v>
      </c>
      <c r="E9" s="14" t="str">
        <f t="shared" si="3"/>
        <v>0</v>
      </c>
      <c r="F9" s="27">
        <v>1704</v>
      </c>
      <c r="G9" s="65">
        <f t="shared" si="4"/>
        <v>0</v>
      </c>
      <c r="H9" s="67">
        <f t="shared" si="5"/>
        <v>0</v>
      </c>
      <c r="I9" s="71">
        <f t="shared" si="6"/>
        <v>-46182.259999999995</v>
      </c>
      <c r="J9" s="32">
        <f t="shared" si="0"/>
        <v>0.25999999999476131</v>
      </c>
      <c r="K9" s="20">
        <f t="shared" si="7"/>
        <v>46181</v>
      </c>
      <c r="L9" s="33">
        <v>2763</v>
      </c>
      <c r="M9" s="31">
        <v>0</v>
      </c>
      <c r="N9" s="32" t="str">
        <f t="shared" si="8"/>
        <v>0</v>
      </c>
      <c r="O9" s="83">
        <v>0.63</v>
      </c>
      <c r="P9" s="84">
        <v>0.67</v>
      </c>
      <c r="Q9" s="83">
        <v>0.63</v>
      </c>
      <c r="R9" s="84">
        <v>0.61</v>
      </c>
      <c r="S9" s="37">
        <f t="shared" si="9"/>
        <v>3870</v>
      </c>
      <c r="T9" s="121">
        <v>1158</v>
      </c>
      <c r="U9" s="32">
        <f t="shared" si="10"/>
        <v>5028</v>
      </c>
      <c r="V9" s="40">
        <v>8565</v>
      </c>
      <c r="W9" s="32" t="str">
        <f t="shared" si="1"/>
        <v>0</v>
      </c>
      <c r="X9" s="42">
        <v>62073</v>
      </c>
      <c r="Y9" s="14" t="str">
        <f t="shared" si="11"/>
        <v>0</v>
      </c>
      <c r="Z9" s="45">
        <v>0</v>
      </c>
      <c r="AA9" s="51">
        <v>0</v>
      </c>
      <c r="AB9" s="32" t="str">
        <f t="shared" si="12"/>
        <v>0</v>
      </c>
      <c r="AC9" s="13">
        <v>209</v>
      </c>
      <c r="AD9" s="18">
        <v>404</v>
      </c>
    </row>
    <row r="10" spans="1:30" ht="20.65" customHeight="1" x14ac:dyDescent="0.2">
      <c r="A10" s="19">
        <v>46182</v>
      </c>
      <c r="B10" s="10"/>
      <c r="C10" s="14">
        <f t="shared" si="2"/>
        <v>0</v>
      </c>
      <c r="D10" s="11"/>
      <c r="E10" s="14">
        <f t="shared" si="3"/>
        <v>0</v>
      </c>
      <c r="F10" s="27">
        <v>1704</v>
      </c>
      <c r="G10" s="65">
        <f t="shared" si="4"/>
        <v>0</v>
      </c>
      <c r="H10" s="67">
        <f t="shared" si="5"/>
        <v>0</v>
      </c>
      <c r="I10" s="71">
        <f t="shared" si="6"/>
        <v>-46182</v>
      </c>
      <c r="J10" s="32">
        <f t="shared" si="0"/>
        <v>-1</v>
      </c>
      <c r="K10" s="20">
        <f t="shared" si="7"/>
        <v>46182</v>
      </c>
      <c r="L10" s="33"/>
      <c r="M10" s="31">
        <v>0</v>
      </c>
      <c r="N10" s="32" t="str">
        <f t="shared" ref="N10:N32" si="13">IF((L10-L11+M10)=L10,"0",(L10-L11+M10))</f>
        <v>0</v>
      </c>
      <c r="O10" s="83"/>
      <c r="P10" s="84"/>
      <c r="Q10" s="83"/>
      <c r="R10" s="84"/>
      <c r="S10" s="37">
        <f t="shared" si="9"/>
        <v>0</v>
      </c>
      <c r="T10" s="121"/>
      <c r="U10" s="32" t="str">
        <f t="shared" si="10"/>
        <v>0</v>
      </c>
      <c r="V10" s="40"/>
      <c r="W10" s="32">
        <f t="shared" si="1"/>
        <v>0</v>
      </c>
      <c r="X10" s="42"/>
      <c r="Y10" s="14">
        <f t="shared" si="11"/>
        <v>0</v>
      </c>
      <c r="Z10" s="45">
        <v>0</v>
      </c>
      <c r="AA10" s="51"/>
      <c r="AB10" s="32" t="str">
        <f t="shared" si="12"/>
        <v>0</v>
      </c>
      <c r="AC10" s="13"/>
      <c r="AD10" s="18"/>
    </row>
    <row r="11" spans="1:30" ht="20.65" customHeight="1" x14ac:dyDescent="0.2">
      <c r="A11" s="19">
        <v>46183</v>
      </c>
      <c r="B11" s="10"/>
      <c r="C11" s="14">
        <f t="shared" si="2"/>
        <v>0</v>
      </c>
      <c r="D11" s="11"/>
      <c r="E11" s="14">
        <f t="shared" si="3"/>
        <v>0</v>
      </c>
      <c r="F11" s="27">
        <v>1704</v>
      </c>
      <c r="G11" s="65">
        <f t="shared" si="4"/>
        <v>0</v>
      </c>
      <c r="H11" s="67">
        <f t="shared" si="5"/>
        <v>0</v>
      </c>
      <c r="I11" s="71">
        <f t="shared" si="6"/>
        <v>-46183</v>
      </c>
      <c r="J11" s="32">
        <f t="shared" si="0"/>
        <v>-1</v>
      </c>
      <c r="K11" s="20">
        <f t="shared" si="7"/>
        <v>46183</v>
      </c>
      <c r="L11" s="33"/>
      <c r="M11" s="31">
        <v>0</v>
      </c>
      <c r="N11" s="32" t="str">
        <f t="shared" si="13"/>
        <v>0</v>
      </c>
      <c r="O11" s="83"/>
      <c r="P11" s="84"/>
      <c r="Q11" s="83"/>
      <c r="R11" s="84"/>
      <c r="S11" s="37">
        <f t="shared" si="9"/>
        <v>0</v>
      </c>
      <c r="T11" s="121"/>
      <c r="U11" s="32" t="str">
        <f t="shared" si="10"/>
        <v>0</v>
      </c>
      <c r="V11" s="40"/>
      <c r="W11" s="32">
        <f t="shared" si="1"/>
        <v>0</v>
      </c>
      <c r="X11" s="42"/>
      <c r="Y11" s="14">
        <f t="shared" si="11"/>
        <v>0</v>
      </c>
      <c r="Z11" s="45">
        <v>0</v>
      </c>
      <c r="AA11" s="51"/>
      <c r="AB11" s="32" t="str">
        <f t="shared" si="12"/>
        <v>0</v>
      </c>
      <c r="AC11" s="13"/>
      <c r="AD11" s="18"/>
    </row>
    <row r="12" spans="1:30" ht="21.4" customHeight="1" x14ac:dyDescent="0.2">
      <c r="A12" s="19">
        <v>46184</v>
      </c>
      <c r="B12" s="10"/>
      <c r="C12" s="14">
        <f t="shared" si="2"/>
        <v>0</v>
      </c>
      <c r="D12" s="11"/>
      <c r="E12" s="14">
        <f t="shared" si="3"/>
        <v>0</v>
      </c>
      <c r="F12" s="27">
        <v>1704</v>
      </c>
      <c r="G12" s="65">
        <f t="shared" si="4"/>
        <v>0</v>
      </c>
      <c r="H12" s="67">
        <f t="shared" si="5"/>
        <v>0</v>
      </c>
      <c r="I12" s="71">
        <f t="shared" si="6"/>
        <v>-46184</v>
      </c>
      <c r="J12" s="32">
        <f t="shared" si="0"/>
        <v>-1</v>
      </c>
      <c r="K12" s="20">
        <f t="shared" si="7"/>
        <v>46184</v>
      </c>
      <c r="L12" s="33"/>
      <c r="M12" s="31">
        <v>0</v>
      </c>
      <c r="N12" s="32" t="str">
        <f t="shared" si="13"/>
        <v>0</v>
      </c>
      <c r="O12" s="83"/>
      <c r="P12" s="84"/>
      <c r="Q12" s="83"/>
      <c r="R12" s="84"/>
      <c r="S12" s="37">
        <f t="shared" si="9"/>
        <v>0</v>
      </c>
      <c r="T12" s="121"/>
      <c r="U12" s="32" t="str">
        <f t="shared" si="10"/>
        <v>0</v>
      </c>
      <c r="V12" s="40"/>
      <c r="W12" s="32">
        <f t="shared" si="1"/>
        <v>0</v>
      </c>
      <c r="X12" s="42"/>
      <c r="Y12" s="14">
        <f t="shared" si="11"/>
        <v>0</v>
      </c>
      <c r="Z12" s="46">
        <v>0</v>
      </c>
      <c r="AA12" s="51"/>
      <c r="AB12" s="32" t="str">
        <f t="shared" si="12"/>
        <v>0</v>
      </c>
      <c r="AC12" s="13"/>
      <c r="AD12" s="18"/>
    </row>
    <row r="13" spans="1:30" ht="20.65" customHeight="1" x14ac:dyDescent="0.2">
      <c r="A13" s="19">
        <v>46185</v>
      </c>
      <c r="B13" s="10"/>
      <c r="C13" s="14">
        <f t="shared" si="2"/>
        <v>0</v>
      </c>
      <c r="D13" s="11"/>
      <c r="E13" s="14">
        <f t="shared" si="3"/>
        <v>0</v>
      </c>
      <c r="F13" s="27">
        <v>1704</v>
      </c>
      <c r="G13" s="65">
        <f t="shared" si="4"/>
        <v>0</v>
      </c>
      <c r="H13" s="67">
        <f t="shared" si="5"/>
        <v>0</v>
      </c>
      <c r="I13" s="71">
        <f t="shared" si="6"/>
        <v>-46185</v>
      </c>
      <c r="J13" s="32">
        <f t="shared" si="0"/>
        <v>-1</v>
      </c>
      <c r="K13" s="20">
        <f t="shared" si="7"/>
        <v>46185</v>
      </c>
      <c r="L13" s="33"/>
      <c r="M13" s="31">
        <v>0</v>
      </c>
      <c r="N13" s="32" t="str">
        <f t="shared" si="13"/>
        <v>0</v>
      </c>
      <c r="O13" s="83"/>
      <c r="P13" s="84"/>
      <c r="Q13" s="83"/>
      <c r="R13" s="84"/>
      <c r="S13" s="37">
        <f t="shared" si="9"/>
        <v>0</v>
      </c>
      <c r="T13" s="121"/>
      <c r="U13" s="32" t="str">
        <f t="shared" si="10"/>
        <v>0</v>
      </c>
      <c r="V13" s="40"/>
      <c r="W13" s="32">
        <f t="shared" si="1"/>
        <v>0</v>
      </c>
      <c r="X13" s="42"/>
      <c r="Y13" s="14">
        <f t="shared" si="11"/>
        <v>0</v>
      </c>
      <c r="Z13" s="46">
        <v>0</v>
      </c>
      <c r="AA13" s="51"/>
      <c r="AB13" s="32" t="str">
        <f t="shared" si="12"/>
        <v>0</v>
      </c>
      <c r="AC13" s="13"/>
      <c r="AD13" s="18"/>
    </row>
    <row r="14" spans="1:30" ht="20.65" customHeight="1" x14ac:dyDescent="0.2">
      <c r="A14" s="19">
        <v>46186</v>
      </c>
      <c r="B14" s="10"/>
      <c r="C14" s="14">
        <f t="shared" si="2"/>
        <v>0</v>
      </c>
      <c r="D14" s="11"/>
      <c r="E14" s="14">
        <f t="shared" ref="E14:E31" si="14">IF((D15-D14)&lt;0,"0",D15-D14)</f>
        <v>0</v>
      </c>
      <c r="F14" s="27">
        <v>1704</v>
      </c>
      <c r="G14" s="65">
        <f t="shared" si="4"/>
        <v>0</v>
      </c>
      <c r="H14" s="67">
        <f t="shared" si="5"/>
        <v>0</v>
      </c>
      <c r="I14" s="71">
        <f t="shared" si="6"/>
        <v>-46186</v>
      </c>
      <c r="J14" s="32">
        <f t="shared" si="0"/>
        <v>-1</v>
      </c>
      <c r="K14" s="20">
        <f t="shared" si="7"/>
        <v>46186</v>
      </c>
      <c r="L14" s="33"/>
      <c r="M14" s="31">
        <v>0</v>
      </c>
      <c r="N14" s="32" t="str">
        <f t="shared" si="13"/>
        <v>0</v>
      </c>
      <c r="O14" s="83"/>
      <c r="P14" s="84"/>
      <c r="Q14" s="83"/>
      <c r="R14" s="84"/>
      <c r="S14" s="37">
        <f t="shared" si="9"/>
        <v>0</v>
      </c>
      <c r="T14" s="121"/>
      <c r="U14" s="32" t="str">
        <f t="shared" si="10"/>
        <v>0</v>
      </c>
      <c r="V14" s="40"/>
      <c r="W14" s="32">
        <f t="shared" si="1"/>
        <v>0</v>
      </c>
      <c r="X14" s="42"/>
      <c r="Y14" s="14">
        <f t="shared" si="11"/>
        <v>0</v>
      </c>
      <c r="Z14" s="46">
        <v>0</v>
      </c>
      <c r="AA14" s="51"/>
      <c r="AB14" s="32" t="str">
        <f t="shared" si="12"/>
        <v>0</v>
      </c>
      <c r="AC14" s="13"/>
      <c r="AD14" s="18"/>
    </row>
    <row r="15" spans="1:30" ht="20.65" customHeight="1" x14ac:dyDescent="0.2">
      <c r="A15" s="19">
        <v>46187</v>
      </c>
      <c r="B15" s="10"/>
      <c r="C15" s="14">
        <f t="shared" si="2"/>
        <v>0</v>
      </c>
      <c r="D15" s="11"/>
      <c r="E15" s="14">
        <f t="shared" si="14"/>
        <v>0</v>
      </c>
      <c r="F15" s="27">
        <v>1704</v>
      </c>
      <c r="G15" s="65">
        <f t="shared" si="4"/>
        <v>0</v>
      </c>
      <c r="H15" s="67">
        <f t="shared" si="5"/>
        <v>0</v>
      </c>
      <c r="I15" s="71">
        <f t="shared" si="6"/>
        <v>-46187</v>
      </c>
      <c r="J15" s="32">
        <f t="shared" si="0"/>
        <v>-1</v>
      </c>
      <c r="K15" s="20">
        <f t="shared" si="7"/>
        <v>46187</v>
      </c>
      <c r="L15" s="33"/>
      <c r="M15" s="31">
        <v>0</v>
      </c>
      <c r="N15" s="32" t="str">
        <f t="shared" si="13"/>
        <v>0</v>
      </c>
      <c r="O15" s="83"/>
      <c r="P15" s="84"/>
      <c r="Q15" s="83"/>
      <c r="R15" s="84"/>
      <c r="S15" s="37">
        <f t="shared" si="9"/>
        <v>0</v>
      </c>
      <c r="T15" s="121"/>
      <c r="U15" s="32" t="str">
        <f t="shared" si="10"/>
        <v>0</v>
      </c>
      <c r="V15" s="40"/>
      <c r="W15" s="32">
        <f t="shared" si="1"/>
        <v>0</v>
      </c>
      <c r="X15" s="43"/>
      <c r="Y15" s="14">
        <f t="shared" si="11"/>
        <v>0</v>
      </c>
      <c r="Z15" s="46">
        <v>0</v>
      </c>
      <c r="AA15" s="51"/>
      <c r="AB15" s="32" t="str">
        <f t="shared" si="12"/>
        <v>0</v>
      </c>
      <c r="AC15" s="13"/>
      <c r="AD15" s="18"/>
    </row>
    <row r="16" spans="1:30" ht="20.65" customHeight="1" x14ac:dyDescent="0.2">
      <c r="A16" s="19">
        <v>46188</v>
      </c>
      <c r="B16" s="10"/>
      <c r="C16" s="14">
        <f t="shared" si="2"/>
        <v>0</v>
      </c>
      <c r="D16" s="11"/>
      <c r="E16" s="14">
        <f t="shared" si="14"/>
        <v>0</v>
      </c>
      <c r="F16" s="27">
        <v>1704</v>
      </c>
      <c r="G16" s="65">
        <f t="shared" si="4"/>
        <v>0</v>
      </c>
      <c r="H16" s="67">
        <f t="shared" si="5"/>
        <v>0</v>
      </c>
      <c r="I16" s="71">
        <f t="shared" si="6"/>
        <v>-46188</v>
      </c>
      <c r="J16" s="32">
        <f t="shared" si="0"/>
        <v>-1</v>
      </c>
      <c r="K16" s="20">
        <f t="shared" si="7"/>
        <v>46188</v>
      </c>
      <c r="L16" s="33"/>
      <c r="M16" s="31">
        <v>0</v>
      </c>
      <c r="N16" s="32" t="str">
        <f t="shared" si="13"/>
        <v>0</v>
      </c>
      <c r="O16" s="83"/>
      <c r="P16" s="84"/>
      <c r="Q16" s="83"/>
      <c r="R16" s="84"/>
      <c r="S16" s="37">
        <f t="shared" si="9"/>
        <v>0</v>
      </c>
      <c r="T16" s="121"/>
      <c r="U16" s="32" t="str">
        <f t="shared" si="10"/>
        <v>0</v>
      </c>
      <c r="V16" s="40"/>
      <c r="W16" s="32">
        <f t="shared" si="1"/>
        <v>0</v>
      </c>
      <c r="X16" s="43"/>
      <c r="Y16" s="14">
        <f t="shared" si="11"/>
        <v>0</v>
      </c>
      <c r="Z16" s="46">
        <v>0</v>
      </c>
      <c r="AA16" s="51"/>
      <c r="AB16" s="32" t="str">
        <f t="shared" si="12"/>
        <v>0</v>
      </c>
      <c r="AC16" s="13"/>
      <c r="AD16" s="18"/>
    </row>
    <row r="17" spans="1:30" ht="20.65" customHeight="1" x14ac:dyDescent="0.2">
      <c r="A17" s="19">
        <v>46189</v>
      </c>
      <c r="B17" s="10"/>
      <c r="C17" s="14">
        <f t="shared" si="2"/>
        <v>0</v>
      </c>
      <c r="D17" s="11"/>
      <c r="E17" s="14">
        <f t="shared" si="14"/>
        <v>0</v>
      </c>
      <c r="F17" s="27">
        <v>1704</v>
      </c>
      <c r="G17" s="65">
        <f t="shared" si="4"/>
        <v>0</v>
      </c>
      <c r="H17" s="67">
        <f t="shared" si="5"/>
        <v>0</v>
      </c>
      <c r="I17" s="71">
        <f t="shared" si="6"/>
        <v>-46189</v>
      </c>
      <c r="J17" s="32">
        <f t="shared" si="0"/>
        <v>-1</v>
      </c>
      <c r="K17" s="20">
        <f t="shared" si="7"/>
        <v>46189</v>
      </c>
      <c r="L17" s="33"/>
      <c r="M17" s="31">
        <v>0</v>
      </c>
      <c r="N17" s="32" t="str">
        <f t="shared" si="13"/>
        <v>0</v>
      </c>
      <c r="O17" s="83"/>
      <c r="P17" s="84"/>
      <c r="Q17" s="83"/>
      <c r="R17" s="84"/>
      <c r="S17" s="37">
        <f t="shared" si="9"/>
        <v>0</v>
      </c>
      <c r="T17" s="121"/>
      <c r="U17" s="32" t="str">
        <f t="shared" si="10"/>
        <v>0</v>
      </c>
      <c r="V17" s="40"/>
      <c r="W17" s="32">
        <v>0</v>
      </c>
      <c r="X17" s="43"/>
      <c r="Y17" s="14">
        <f t="shared" si="11"/>
        <v>0</v>
      </c>
      <c r="Z17" s="46">
        <v>0</v>
      </c>
      <c r="AA17" s="51"/>
      <c r="AB17" s="32" t="str">
        <f t="shared" si="12"/>
        <v>0</v>
      </c>
      <c r="AC17" s="13"/>
      <c r="AD17" s="18"/>
    </row>
    <row r="18" spans="1:30" ht="20.65" customHeight="1" x14ac:dyDescent="0.2">
      <c r="A18" s="19">
        <v>46190</v>
      </c>
      <c r="B18" s="10"/>
      <c r="C18" s="14">
        <f t="shared" si="2"/>
        <v>0</v>
      </c>
      <c r="D18" s="11"/>
      <c r="E18" s="14">
        <f t="shared" si="14"/>
        <v>0</v>
      </c>
      <c r="F18" s="27">
        <v>1704</v>
      </c>
      <c r="G18" s="65">
        <f t="shared" si="4"/>
        <v>0</v>
      </c>
      <c r="H18" s="67">
        <f t="shared" si="5"/>
        <v>0</v>
      </c>
      <c r="I18" s="71">
        <f t="shared" si="6"/>
        <v>-46190</v>
      </c>
      <c r="J18" s="32">
        <f t="shared" si="0"/>
        <v>-1</v>
      </c>
      <c r="K18" s="20">
        <f t="shared" si="7"/>
        <v>46190</v>
      </c>
      <c r="L18" s="33"/>
      <c r="M18" s="31">
        <v>0</v>
      </c>
      <c r="N18" s="32" t="str">
        <f t="shared" si="13"/>
        <v>0</v>
      </c>
      <c r="O18" s="83"/>
      <c r="P18" s="84"/>
      <c r="Q18" s="83"/>
      <c r="R18" s="84"/>
      <c r="S18" s="37">
        <f t="shared" si="9"/>
        <v>0</v>
      </c>
      <c r="T18" s="121"/>
      <c r="U18" s="32" t="str">
        <f t="shared" si="10"/>
        <v>0</v>
      </c>
      <c r="V18" s="40"/>
      <c r="W18" s="32">
        <f t="shared" si="1"/>
        <v>0</v>
      </c>
      <c r="X18" s="43"/>
      <c r="Y18" s="14">
        <f t="shared" si="11"/>
        <v>0</v>
      </c>
      <c r="Z18" s="46">
        <v>0</v>
      </c>
      <c r="AA18" s="51"/>
      <c r="AB18" s="32" t="str">
        <f t="shared" si="12"/>
        <v>0</v>
      </c>
      <c r="AC18" s="13"/>
      <c r="AD18" s="18"/>
    </row>
    <row r="19" spans="1:30" ht="20.65" customHeight="1" x14ac:dyDescent="0.2">
      <c r="A19" s="19">
        <v>46191</v>
      </c>
      <c r="B19" s="10"/>
      <c r="C19" s="14">
        <f t="shared" si="2"/>
        <v>0</v>
      </c>
      <c r="D19" s="11"/>
      <c r="E19" s="14">
        <f t="shared" si="14"/>
        <v>0</v>
      </c>
      <c r="F19" s="27">
        <v>1704</v>
      </c>
      <c r="G19" s="65">
        <f t="shared" si="4"/>
        <v>0</v>
      </c>
      <c r="H19" s="67">
        <f t="shared" si="5"/>
        <v>0</v>
      </c>
      <c r="I19" s="71">
        <f t="shared" si="6"/>
        <v>-46191</v>
      </c>
      <c r="J19" s="32">
        <f t="shared" si="0"/>
        <v>-1</v>
      </c>
      <c r="K19" s="20">
        <f t="shared" si="7"/>
        <v>46191</v>
      </c>
      <c r="L19" s="33"/>
      <c r="M19" s="31">
        <v>0</v>
      </c>
      <c r="N19" s="32" t="str">
        <f t="shared" si="13"/>
        <v>0</v>
      </c>
      <c r="O19" s="83"/>
      <c r="P19" s="84"/>
      <c r="Q19" s="83"/>
      <c r="R19" s="84"/>
      <c r="S19" s="37">
        <f t="shared" si="9"/>
        <v>0</v>
      </c>
      <c r="T19" s="121"/>
      <c r="U19" s="32" t="str">
        <f t="shared" si="10"/>
        <v>0</v>
      </c>
      <c r="V19" s="40"/>
      <c r="W19" s="32">
        <f t="shared" si="1"/>
        <v>0</v>
      </c>
      <c r="X19" s="43"/>
      <c r="Y19" s="14">
        <f t="shared" si="11"/>
        <v>0</v>
      </c>
      <c r="Z19" s="46">
        <v>0</v>
      </c>
      <c r="AA19" s="51"/>
      <c r="AB19" s="32" t="str">
        <f t="shared" si="12"/>
        <v>0</v>
      </c>
      <c r="AC19" s="13"/>
      <c r="AD19" s="18"/>
    </row>
    <row r="20" spans="1:30" ht="20.65" customHeight="1" x14ac:dyDescent="0.2">
      <c r="A20" s="19">
        <v>46192</v>
      </c>
      <c r="B20" s="10"/>
      <c r="C20" s="14">
        <f t="shared" si="2"/>
        <v>0</v>
      </c>
      <c r="D20" s="11"/>
      <c r="E20" s="14">
        <f t="shared" si="14"/>
        <v>0</v>
      </c>
      <c r="F20" s="27">
        <v>1704</v>
      </c>
      <c r="G20" s="65">
        <f t="shared" si="4"/>
        <v>0</v>
      </c>
      <c r="H20" s="67">
        <f t="shared" si="5"/>
        <v>0</v>
      </c>
      <c r="I20" s="71">
        <f t="shared" si="6"/>
        <v>-46192</v>
      </c>
      <c r="J20" s="32">
        <f t="shared" si="0"/>
        <v>-1</v>
      </c>
      <c r="K20" s="20">
        <f t="shared" si="7"/>
        <v>46192</v>
      </c>
      <c r="L20" s="33"/>
      <c r="M20" s="34">
        <v>0</v>
      </c>
      <c r="N20" s="32" t="str">
        <f t="shared" si="13"/>
        <v>0</v>
      </c>
      <c r="O20" s="83"/>
      <c r="P20" s="84"/>
      <c r="Q20" s="83"/>
      <c r="R20" s="84"/>
      <c r="S20" s="37">
        <f t="shared" si="9"/>
        <v>0</v>
      </c>
      <c r="T20" s="121"/>
      <c r="U20" s="32" t="str">
        <f t="shared" ref="U20:U27" si="15">IF((S20-S21+T20)=S20,"0",(S20-S21+T20))</f>
        <v>0</v>
      </c>
      <c r="V20" s="40"/>
      <c r="W20" s="32">
        <f t="shared" si="1"/>
        <v>0</v>
      </c>
      <c r="X20" s="43"/>
      <c r="Y20" s="14">
        <f t="shared" ref="Y20:Y24" si="16">IF((X21-X20)&lt;0,"0",X21-X20)</f>
        <v>0</v>
      </c>
      <c r="Z20" s="46">
        <v>0</v>
      </c>
      <c r="AA20" s="51"/>
      <c r="AB20" s="32" t="str">
        <f t="shared" si="12"/>
        <v>0</v>
      </c>
      <c r="AC20" s="13"/>
      <c r="AD20" s="18"/>
    </row>
    <row r="21" spans="1:30" ht="20.65" customHeight="1" x14ac:dyDescent="0.2">
      <c r="A21" s="19">
        <v>46193</v>
      </c>
      <c r="B21" s="10"/>
      <c r="C21" s="14">
        <f t="shared" si="2"/>
        <v>0</v>
      </c>
      <c r="D21" s="11"/>
      <c r="E21" s="14">
        <f t="shared" si="14"/>
        <v>0</v>
      </c>
      <c r="F21" s="27">
        <v>1704</v>
      </c>
      <c r="G21" s="65">
        <f t="shared" si="4"/>
        <v>0</v>
      </c>
      <c r="H21" s="67">
        <f t="shared" si="5"/>
        <v>0</v>
      </c>
      <c r="I21" s="71">
        <f t="shared" si="6"/>
        <v>-46193</v>
      </c>
      <c r="J21" s="32">
        <f t="shared" si="0"/>
        <v>-1</v>
      </c>
      <c r="K21" s="20">
        <f t="shared" si="7"/>
        <v>46193</v>
      </c>
      <c r="L21" s="33"/>
      <c r="M21" s="34">
        <v>0</v>
      </c>
      <c r="N21" s="32" t="str">
        <f t="shared" si="13"/>
        <v>0</v>
      </c>
      <c r="O21" s="83"/>
      <c r="P21" s="84"/>
      <c r="Q21" s="83"/>
      <c r="R21" s="84"/>
      <c r="S21" s="37">
        <f t="shared" si="9"/>
        <v>0</v>
      </c>
      <c r="T21" s="121"/>
      <c r="U21" s="32" t="str">
        <f t="shared" si="15"/>
        <v>0</v>
      </c>
      <c r="V21" s="40"/>
      <c r="W21" s="32">
        <f t="shared" si="1"/>
        <v>0</v>
      </c>
      <c r="X21" s="43"/>
      <c r="Y21" s="14">
        <f t="shared" si="16"/>
        <v>0</v>
      </c>
      <c r="Z21" s="46">
        <v>0</v>
      </c>
      <c r="AA21" s="51"/>
      <c r="AB21" s="32" t="str">
        <f t="shared" si="12"/>
        <v>0</v>
      </c>
      <c r="AC21" s="13"/>
      <c r="AD21" s="18"/>
    </row>
    <row r="22" spans="1:30" ht="20.65" customHeight="1" x14ac:dyDescent="0.2">
      <c r="A22" s="19">
        <v>46194</v>
      </c>
      <c r="B22" s="10"/>
      <c r="C22" s="14">
        <f t="shared" si="2"/>
        <v>0</v>
      </c>
      <c r="D22" s="11"/>
      <c r="E22" s="14">
        <f t="shared" si="14"/>
        <v>0</v>
      </c>
      <c r="F22" s="27">
        <v>1704</v>
      </c>
      <c r="G22" s="65">
        <f t="shared" si="4"/>
        <v>0</v>
      </c>
      <c r="H22" s="67">
        <f t="shared" si="5"/>
        <v>0</v>
      </c>
      <c r="I22" s="71">
        <f t="shared" si="6"/>
        <v>-46194</v>
      </c>
      <c r="J22" s="32">
        <f t="shared" si="0"/>
        <v>-1</v>
      </c>
      <c r="K22" s="20">
        <f t="shared" si="7"/>
        <v>46194</v>
      </c>
      <c r="L22" s="33"/>
      <c r="M22" s="34">
        <v>0</v>
      </c>
      <c r="N22" s="32" t="str">
        <f t="shared" si="13"/>
        <v>0</v>
      </c>
      <c r="O22" s="83"/>
      <c r="P22" s="84"/>
      <c r="Q22" s="83"/>
      <c r="R22" s="84"/>
      <c r="S22" s="37">
        <f t="shared" si="9"/>
        <v>0</v>
      </c>
      <c r="T22" s="121"/>
      <c r="U22" s="32" t="str">
        <f t="shared" si="15"/>
        <v>0</v>
      </c>
      <c r="V22" s="40"/>
      <c r="W22" s="32">
        <f t="shared" si="1"/>
        <v>0</v>
      </c>
      <c r="X22" s="43"/>
      <c r="Y22" s="14">
        <f t="shared" si="16"/>
        <v>0</v>
      </c>
      <c r="Z22" s="46">
        <v>0</v>
      </c>
      <c r="AA22" s="51"/>
      <c r="AB22" s="32" t="str">
        <f t="shared" si="12"/>
        <v>0</v>
      </c>
      <c r="AC22" s="13"/>
      <c r="AD22" s="18"/>
    </row>
    <row r="23" spans="1:30" ht="20.65" customHeight="1" x14ac:dyDescent="0.2">
      <c r="A23" s="19">
        <v>46195</v>
      </c>
      <c r="B23" s="10"/>
      <c r="C23" s="14">
        <f t="shared" si="2"/>
        <v>0</v>
      </c>
      <c r="D23" s="11"/>
      <c r="E23" s="14">
        <f t="shared" si="14"/>
        <v>0</v>
      </c>
      <c r="F23" s="27">
        <v>1704</v>
      </c>
      <c r="G23" s="65">
        <f t="shared" si="4"/>
        <v>0</v>
      </c>
      <c r="H23" s="67">
        <f t="shared" si="5"/>
        <v>0</v>
      </c>
      <c r="I23" s="71">
        <f t="shared" si="6"/>
        <v>-46195</v>
      </c>
      <c r="J23" s="32">
        <f t="shared" si="0"/>
        <v>-1</v>
      </c>
      <c r="K23" s="20">
        <f t="shared" si="7"/>
        <v>46195</v>
      </c>
      <c r="L23" s="33"/>
      <c r="M23" s="34">
        <v>0</v>
      </c>
      <c r="N23" s="32" t="str">
        <f t="shared" si="13"/>
        <v>0</v>
      </c>
      <c r="O23" s="83"/>
      <c r="P23" s="84"/>
      <c r="Q23" s="83"/>
      <c r="R23" s="84"/>
      <c r="S23" s="37">
        <f t="shared" si="9"/>
        <v>0</v>
      </c>
      <c r="T23" s="121"/>
      <c r="U23" s="32" t="str">
        <f t="shared" si="15"/>
        <v>0</v>
      </c>
      <c r="V23" s="40"/>
      <c r="W23" s="32">
        <f t="shared" si="1"/>
        <v>0</v>
      </c>
      <c r="X23" s="43"/>
      <c r="Y23" s="14">
        <f t="shared" si="16"/>
        <v>0</v>
      </c>
      <c r="Z23" s="46">
        <v>0</v>
      </c>
      <c r="AA23" s="51"/>
      <c r="AB23" s="32" t="str">
        <f t="shared" si="12"/>
        <v>0</v>
      </c>
      <c r="AC23" s="13"/>
      <c r="AD23" s="18"/>
    </row>
    <row r="24" spans="1:30" ht="20.65" customHeight="1" x14ac:dyDescent="0.2">
      <c r="A24" s="19">
        <v>46196</v>
      </c>
      <c r="B24" s="10"/>
      <c r="C24" s="14">
        <f t="shared" si="2"/>
        <v>0</v>
      </c>
      <c r="D24" s="11"/>
      <c r="E24" s="14">
        <f t="shared" si="14"/>
        <v>0</v>
      </c>
      <c r="F24" s="27">
        <v>1704</v>
      </c>
      <c r="G24" s="65">
        <f t="shared" si="4"/>
        <v>0</v>
      </c>
      <c r="H24" s="67">
        <f t="shared" si="5"/>
        <v>0</v>
      </c>
      <c r="I24" s="71">
        <f t="shared" si="6"/>
        <v>-46196</v>
      </c>
      <c r="J24" s="32">
        <f t="shared" si="0"/>
        <v>-1</v>
      </c>
      <c r="K24" s="20">
        <f t="shared" si="7"/>
        <v>46196</v>
      </c>
      <c r="L24" s="33"/>
      <c r="M24" s="34">
        <v>0</v>
      </c>
      <c r="N24" s="32" t="str">
        <f t="shared" si="13"/>
        <v>0</v>
      </c>
      <c r="O24" s="83"/>
      <c r="P24" s="84"/>
      <c r="Q24" s="83"/>
      <c r="R24" s="84"/>
      <c r="S24" s="37">
        <f t="shared" si="9"/>
        <v>0</v>
      </c>
      <c r="T24" s="121"/>
      <c r="U24" s="32" t="str">
        <f t="shared" si="15"/>
        <v>0</v>
      </c>
      <c r="V24" s="40"/>
      <c r="W24" s="32">
        <f t="shared" si="1"/>
        <v>0</v>
      </c>
      <c r="X24" s="43"/>
      <c r="Y24" s="14">
        <f t="shared" si="16"/>
        <v>0</v>
      </c>
      <c r="Z24" s="46">
        <v>0</v>
      </c>
      <c r="AA24" s="51"/>
      <c r="AB24" s="32" t="str">
        <f t="shared" si="12"/>
        <v>0</v>
      </c>
      <c r="AC24" s="13"/>
      <c r="AD24" s="18"/>
    </row>
    <row r="25" spans="1:30" ht="20.65" customHeight="1" x14ac:dyDescent="0.2">
      <c r="A25" s="19">
        <v>46197</v>
      </c>
      <c r="B25" s="10"/>
      <c r="C25" s="14">
        <f t="shared" si="2"/>
        <v>0</v>
      </c>
      <c r="D25" s="11"/>
      <c r="E25" s="14">
        <f t="shared" si="14"/>
        <v>0</v>
      </c>
      <c r="F25" s="27">
        <v>1704</v>
      </c>
      <c r="G25" s="65">
        <f t="shared" si="4"/>
        <v>0</v>
      </c>
      <c r="H25" s="67">
        <f t="shared" si="5"/>
        <v>0</v>
      </c>
      <c r="I25" s="71">
        <f t="shared" si="6"/>
        <v>-46197</v>
      </c>
      <c r="J25" s="32">
        <f t="shared" si="0"/>
        <v>-1</v>
      </c>
      <c r="K25" s="20">
        <f t="shared" si="7"/>
        <v>46197</v>
      </c>
      <c r="L25" s="33"/>
      <c r="M25" s="34">
        <v>0</v>
      </c>
      <c r="N25" s="32" t="str">
        <f t="shared" si="13"/>
        <v>0</v>
      </c>
      <c r="O25" s="83"/>
      <c r="P25" s="84"/>
      <c r="Q25" s="83"/>
      <c r="R25" s="84"/>
      <c r="S25" s="37">
        <f t="shared" si="9"/>
        <v>0</v>
      </c>
      <c r="T25" s="121"/>
      <c r="U25" s="32" t="str">
        <f t="shared" si="15"/>
        <v>0</v>
      </c>
      <c r="V25" s="40"/>
      <c r="W25" s="32">
        <f t="shared" si="1"/>
        <v>0</v>
      </c>
      <c r="X25" s="43"/>
      <c r="Y25" s="14">
        <f>IF((X26-X25)&lt;0,"0",X26-X25)</f>
        <v>0</v>
      </c>
      <c r="Z25" s="46">
        <v>0</v>
      </c>
      <c r="AA25" s="51"/>
      <c r="AB25" s="32" t="str">
        <f t="shared" si="12"/>
        <v>0</v>
      </c>
      <c r="AC25" s="13"/>
      <c r="AD25" s="18"/>
    </row>
    <row r="26" spans="1:30" ht="20.65" customHeight="1" x14ac:dyDescent="0.2">
      <c r="A26" s="19">
        <v>46198</v>
      </c>
      <c r="B26" s="10"/>
      <c r="C26" s="14">
        <f t="shared" si="2"/>
        <v>0</v>
      </c>
      <c r="D26" s="11"/>
      <c r="E26" s="14">
        <f t="shared" si="14"/>
        <v>0</v>
      </c>
      <c r="F26" s="27">
        <v>1704</v>
      </c>
      <c r="G26" s="65">
        <f t="shared" si="4"/>
        <v>0</v>
      </c>
      <c r="H26" s="67">
        <f t="shared" si="5"/>
        <v>0</v>
      </c>
      <c r="I26" s="71">
        <f t="shared" si="6"/>
        <v>-46198</v>
      </c>
      <c r="J26" s="32">
        <f t="shared" si="0"/>
        <v>-1</v>
      </c>
      <c r="K26" s="20">
        <f t="shared" si="7"/>
        <v>46198</v>
      </c>
      <c r="L26" s="33"/>
      <c r="M26" s="34">
        <v>0</v>
      </c>
      <c r="N26" s="32" t="str">
        <f t="shared" si="13"/>
        <v>0</v>
      </c>
      <c r="O26" s="83"/>
      <c r="P26" s="84"/>
      <c r="Q26" s="83"/>
      <c r="R26" s="84"/>
      <c r="S26" s="37">
        <f t="shared" si="9"/>
        <v>0</v>
      </c>
      <c r="T26" s="121"/>
      <c r="U26" s="32" t="str">
        <f t="shared" si="15"/>
        <v>0</v>
      </c>
      <c r="V26" s="40"/>
      <c r="W26" s="32">
        <f t="shared" si="1"/>
        <v>0</v>
      </c>
      <c r="X26" s="43"/>
      <c r="Y26" s="14">
        <f>IF((X27-X26)&lt;0,"0",X27-X26)</f>
        <v>0</v>
      </c>
      <c r="Z26" s="46">
        <v>0</v>
      </c>
      <c r="AA26" s="51"/>
      <c r="AB26" s="32" t="str">
        <f t="shared" si="12"/>
        <v>0</v>
      </c>
      <c r="AC26" s="13"/>
      <c r="AD26" s="18"/>
    </row>
    <row r="27" spans="1:30" ht="20.65" customHeight="1" x14ac:dyDescent="0.2">
      <c r="A27" s="19">
        <v>46199</v>
      </c>
      <c r="B27" s="10"/>
      <c r="C27" s="14">
        <f t="shared" si="2"/>
        <v>0</v>
      </c>
      <c r="D27" s="11"/>
      <c r="E27" s="14">
        <f t="shared" si="14"/>
        <v>0</v>
      </c>
      <c r="F27" s="27">
        <v>1704</v>
      </c>
      <c r="G27" s="65">
        <f t="shared" si="4"/>
        <v>0</v>
      </c>
      <c r="H27" s="67">
        <f t="shared" si="5"/>
        <v>0</v>
      </c>
      <c r="I27" s="71">
        <f t="shared" si="6"/>
        <v>-46199</v>
      </c>
      <c r="J27" s="32">
        <f t="shared" si="0"/>
        <v>-1</v>
      </c>
      <c r="K27" s="20">
        <f t="shared" si="7"/>
        <v>46199</v>
      </c>
      <c r="L27" s="33"/>
      <c r="M27" s="34">
        <v>0</v>
      </c>
      <c r="N27" s="32" t="str">
        <f t="shared" si="13"/>
        <v>0</v>
      </c>
      <c r="O27" s="83"/>
      <c r="P27" s="84"/>
      <c r="Q27" s="83"/>
      <c r="R27" s="84"/>
      <c r="S27" s="37">
        <f t="shared" si="9"/>
        <v>0</v>
      </c>
      <c r="T27" s="121"/>
      <c r="U27" s="32" t="str">
        <f t="shared" si="15"/>
        <v>0</v>
      </c>
      <c r="V27" s="40"/>
      <c r="W27" s="32">
        <f t="shared" si="1"/>
        <v>0</v>
      </c>
      <c r="X27" s="43"/>
      <c r="Y27" s="14">
        <f t="shared" ref="Y27:Y31" si="17">IF((X28-X27)&lt;0,"0",X28-X27)</f>
        <v>0</v>
      </c>
      <c r="Z27" s="46">
        <v>0</v>
      </c>
      <c r="AA27" s="51"/>
      <c r="AB27" s="32" t="str">
        <f t="shared" si="12"/>
        <v>0</v>
      </c>
      <c r="AC27" s="13"/>
      <c r="AD27" s="18"/>
    </row>
    <row r="28" spans="1:30" ht="20.65" customHeight="1" x14ac:dyDescent="0.2">
      <c r="A28" s="19">
        <v>46200</v>
      </c>
      <c r="B28" s="10"/>
      <c r="C28" s="14">
        <f t="shared" si="2"/>
        <v>0</v>
      </c>
      <c r="D28" s="11"/>
      <c r="E28" s="14">
        <f t="shared" si="14"/>
        <v>0</v>
      </c>
      <c r="F28" s="27">
        <v>1704</v>
      </c>
      <c r="G28" s="65">
        <f t="shared" si="4"/>
        <v>0</v>
      </c>
      <c r="H28" s="67">
        <f t="shared" ref="H28" si="18">C28+E28-G28</f>
        <v>0</v>
      </c>
      <c r="I28" s="71">
        <f t="shared" ref="I28" si="19">H28-K28-M28-O28-Q28</f>
        <v>-46200</v>
      </c>
      <c r="J28" s="32">
        <f t="shared" si="0"/>
        <v>-1</v>
      </c>
      <c r="K28" s="20">
        <f t="shared" ref="K28" si="20">A28</f>
        <v>46200</v>
      </c>
      <c r="L28" s="33"/>
      <c r="M28" s="34">
        <v>0</v>
      </c>
      <c r="N28" s="32" t="str">
        <f t="shared" si="13"/>
        <v>0</v>
      </c>
      <c r="O28" s="83"/>
      <c r="P28" s="84"/>
      <c r="Q28" s="83"/>
      <c r="R28" s="84"/>
      <c r="S28" s="37">
        <f t="shared" ref="S28" si="21">(2500*O28)+(2500*P28)+(500*Q28)+(500*R28)</f>
        <v>0</v>
      </c>
      <c r="T28" s="121"/>
      <c r="U28" s="32" t="str">
        <f t="shared" ref="U28" si="22">IF((S28-S29+T28)=S28,"0",(S28-S29+T28))</f>
        <v>0</v>
      </c>
      <c r="V28" s="40"/>
      <c r="W28" s="32">
        <f t="shared" si="1"/>
        <v>0</v>
      </c>
      <c r="X28" s="43"/>
      <c r="Y28" s="14">
        <f t="shared" si="17"/>
        <v>0</v>
      </c>
      <c r="Z28" s="46">
        <v>0</v>
      </c>
      <c r="AA28" s="51"/>
      <c r="AB28" s="32" t="str">
        <f t="shared" si="12"/>
        <v>0</v>
      </c>
      <c r="AC28" s="13"/>
      <c r="AD28" s="18"/>
    </row>
    <row r="29" spans="1:30" ht="20.65" customHeight="1" x14ac:dyDescent="0.2">
      <c r="A29" s="19">
        <v>46201</v>
      </c>
      <c r="B29" s="10"/>
      <c r="C29" s="14">
        <f t="shared" si="2"/>
        <v>0</v>
      </c>
      <c r="D29" s="11"/>
      <c r="E29" s="14">
        <f t="shared" si="14"/>
        <v>0</v>
      </c>
      <c r="F29" s="27">
        <v>1704</v>
      </c>
      <c r="G29" s="65">
        <f t="shared" si="4"/>
        <v>0</v>
      </c>
      <c r="H29" s="67">
        <f t="shared" si="5"/>
        <v>0</v>
      </c>
      <c r="I29" s="71">
        <f t="shared" si="6"/>
        <v>-46201</v>
      </c>
      <c r="J29" s="32">
        <f t="shared" si="0"/>
        <v>-1</v>
      </c>
      <c r="K29" s="20">
        <f t="shared" si="7"/>
        <v>46201</v>
      </c>
      <c r="L29" s="33"/>
      <c r="M29" s="34">
        <v>0</v>
      </c>
      <c r="N29" s="32" t="str">
        <f t="shared" si="13"/>
        <v>0</v>
      </c>
      <c r="O29" s="83"/>
      <c r="P29" s="84"/>
      <c r="Q29" s="83"/>
      <c r="R29" s="84"/>
      <c r="S29" s="37">
        <f t="shared" si="9"/>
        <v>0</v>
      </c>
      <c r="T29" s="121"/>
      <c r="U29" s="32" t="str">
        <f t="shared" ref="U29:U31" si="23">IF((S29-S30+T29)=S29,"0",(S29-S30+T29))</f>
        <v>0</v>
      </c>
      <c r="V29" s="40"/>
      <c r="W29" s="32">
        <f t="shared" si="1"/>
        <v>0</v>
      </c>
      <c r="X29" s="43"/>
      <c r="Y29" s="14">
        <f t="shared" si="17"/>
        <v>0</v>
      </c>
      <c r="Z29" s="46">
        <v>0</v>
      </c>
      <c r="AA29" s="51"/>
      <c r="AB29" s="32" t="str">
        <f t="shared" si="12"/>
        <v>0</v>
      </c>
      <c r="AC29" s="13"/>
      <c r="AD29" s="18"/>
    </row>
    <row r="30" spans="1:30" ht="20.65" customHeight="1" x14ac:dyDescent="0.2">
      <c r="A30" s="19">
        <v>46202</v>
      </c>
      <c r="B30" s="10"/>
      <c r="C30" s="14">
        <f t="shared" si="2"/>
        <v>0</v>
      </c>
      <c r="D30" s="11"/>
      <c r="E30" s="14">
        <f t="shared" si="14"/>
        <v>0</v>
      </c>
      <c r="F30" s="27">
        <v>1704</v>
      </c>
      <c r="G30" s="65">
        <f t="shared" si="4"/>
        <v>0</v>
      </c>
      <c r="H30" s="67">
        <f t="shared" ref="H30:H31" si="24">C30+E30-G30</f>
        <v>0</v>
      </c>
      <c r="I30" s="71">
        <f t="shared" ref="I30:I31" si="25">H30-K30-M30-O30-Q30</f>
        <v>-46202</v>
      </c>
      <c r="J30" s="32">
        <f t="shared" si="0"/>
        <v>-1</v>
      </c>
      <c r="K30" s="20">
        <f t="shared" ref="K30:K32" si="26">A30</f>
        <v>46202</v>
      </c>
      <c r="L30" s="33"/>
      <c r="M30" s="34">
        <v>0</v>
      </c>
      <c r="N30" s="32" t="str">
        <f t="shared" si="13"/>
        <v>0</v>
      </c>
      <c r="O30" s="83"/>
      <c r="P30" s="84"/>
      <c r="Q30" s="83"/>
      <c r="R30" s="84"/>
      <c r="S30" s="37">
        <f t="shared" ref="S30:S31" si="27">(2500*O30)+(2500*P30)+(500*Q30)+(500*R30)</f>
        <v>0</v>
      </c>
      <c r="T30" s="121"/>
      <c r="U30" s="32" t="str">
        <f t="shared" si="23"/>
        <v>0</v>
      </c>
      <c r="V30" s="40"/>
      <c r="W30" s="32">
        <f t="shared" si="1"/>
        <v>0</v>
      </c>
      <c r="X30" s="43"/>
      <c r="Y30" s="14">
        <f t="shared" si="17"/>
        <v>0</v>
      </c>
      <c r="Z30" s="46">
        <v>0</v>
      </c>
      <c r="AA30" s="51"/>
      <c r="AB30" s="32" t="str">
        <f t="shared" si="12"/>
        <v>0</v>
      </c>
      <c r="AC30" s="13"/>
      <c r="AD30" s="18"/>
    </row>
    <row r="31" spans="1:30" ht="20.65" customHeight="1" thickBot="1" x14ac:dyDescent="0.25">
      <c r="A31" s="19">
        <v>46203</v>
      </c>
      <c r="B31" s="10"/>
      <c r="C31" s="14">
        <f t="shared" si="2"/>
        <v>0</v>
      </c>
      <c r="D31" s="11"/>
      <c r="E31" s="14">
        <f t="shared" si="14"/>
        <v>0</v>
      </c>
      <c r="F31" s="27">
        <v>1704</v>
      </c>
      <c r="G31" s="65">
        <f t="shared" si="4"/>
        <v>0</v>
      </c>
      <c r="H31" s="67">
        <f t="shared" si="24"/>
        <v>0</v>
      </c>
      <c r="I31" s="71">
        <f t="shared" si="25"/>
        <v>-46203</v>
      </c>
      <c r="J31" s="32">
        <f t="shared" si="0"/>
        <v>46203</v>
      </c>
      <c r="K31" s="20">
        <f t="shared" si="26"/>
        <v>46203</v>
      </c>
      <c r="L31" s="33"/>
      <c r="M31" s="34">
        <v>0</v>
      </c>
      <c r="N31" s="32" t="str">
        <f t="shared" si="13"/>
        <v>0</v>
      </c>
      <c r="O31" s="83"/>
      <c r="P31" s="84"/>
      <c r="Q31" s="83"/>
      <c r="R31" s="84"/>
      <c r="S31" s="37">
        <f t="shared" si="27"/>
        <v>0</v>
      </c>
      <c r="T31" s="121"/>
      <c r="U31" s="32" t="str">
        <f t="shared" si="23"/>
        <v>0</v>
      </c>
      <c r="V31" s="40"/>
      <c r="W31" s="32">
        <f t="shared" si="1"/>
        <v>0</v>
      </c>
      <c r="X31" s="43"/>
      <c r="Y31" s="14">
        <f t="shared" si="17"/>
        <v>0</v>
      </c>
      <c r="Z31" s="46">
        <v>0</v>
      </c>
      <c r="AA31" s="51"/>
      <c r="AB31" s="32" t="str">
        <f t="shared" si="12"/>
        <v>0</v>
      </c>
      <c r="AC31" s="13"/>
      <c r="AD31" s="18"/>
    </row>
    <row r="32" spans="1:30" ht="20.65" customHeight="1" thickTop="1" thickBot="1" x14ac:dyDescent="0.25">
      <c r="A32" s="19">
        <v>46204</v>
      </c>
      <c r="B32" s="52"/>
      <c r="C32" s="61"/>
      <c r="D32" s="60"/>
      <c r="E32" s="61"/>
      <c r="F32" s="27">
        <v>1704</v>
      </c>
      <c r="G32" s="55"/>
      <c r="H32" s="69"/>
      <c r="I32" s="62"/>
      <c r="J32" s="61"/>
      <c r="K32" s="20">
        <f t="shared" si="26"/>
        <v>46204</v>
      </c>
      <c r="L32" s="48"/>
      <c r="M32" s="63">
        <v>0</v>
      </c>
      <c r="N32" s="32" t="str">
        <f t="shared" si="13"/>
        <v>0</v>
      </c>
      <c r="O32" s="85"/>
      <c r="P32" s="86"/>
      <c r="Q32" s="85"/>
      <c r="R32" s="86"/>
      <c r="S32" s="37">
        <f t="shared" si="9"/>
        <v>0</v>
      </c>
      <c r="T32" s="53"/>
      <c r="U32" s="61"/>
      <c r="V32" s="59"/>
      <c r="W32" s="61"/>
      <c r="X32" s="58"/>
      <c r="Y32" s="61"/>
      <c r="Z32" s="57">
        <v>0</v>
      </c>
      <c r="AA32" s="54"/>
      <c r="AB32" s="55"/>
      <c r="AC32" s="56"/>
      <c r="AD32" s="56"/>
    </row>
    <row r="33" spans="1:30" s="79" customFormat="1" ht="10.5" thickTop="1" x14ac:dyDescent="0.2">
      <c r="A33" s="73"/>
      <c r="B33" s="73"/>
      <c r="C33" s="74">
        <f>SUM(C2:C32)</f>
        <v>36132</v>
      </c>
      <c r="D33" s="75"/>
      <c r="E33" s="74">
        <f>SUM(E2:E32)</f>
        <v>10379</v>
      </c>
      <c r="F33" s="76"/>
      <c r="G33" s="74">
        <f>SUM(G2:G32)</f>
        <v>0</v>
      </c>
      <c r="H33" s="75">
        <f>SUM(H2:H32)</f>
        <v>46511</v>
      </c>
      <c r="I33" s="74">
        <f>SUM(I2:I31)</f>
        <v>-1339155.04</v>
      </c>
      <c r="J33" s="74">
        <f>SUM(J2:J32)</f>
        <v>39958.270000000004</v>
      </c>
      <c r="K33" s="73"/>
      <c r="L33" s="75"/>
      <c r="M33" s="75"/>
      <c r="N33" s="74">
        <f>SUM(N2:N32)</f>
        <v>1560</v>
      </c>
      <c r="O33" s="73"/>
      <c r="P33" s="73"/>
      <c r="Q33" s="73"/>
      <c r="R33" s="73"/>
      <c r="S33" s="73"/>
      <c r="T33" s="75">
        <f>SUM(T2:T32)</f>
        <v>1468</v>
      </c>
      <c r="U33" s="74">
        <f>SUM(U2:U32)</f>
        <v>5693</v>
      </c>
      <c r="V33" s="73"/>
      <c r="W33" s="74">
        <f>SUM(W2:W32)</f>
        <v>798</v>
      </c>
      <c r="X33" s="73"/>
      <c r="Y33" s="74">
        <f>SUM(Y2:Y32)</f>
        <v>86</v>
      </c>
      <c r="Z33" s="73"/>
      <c r="AA33" s="73">
        <f>SUM(AA2:AA32)</f>
        <v>0</v>
      </c>
      <c r="AB33" s="74">
        <f>SUM(AB2:AB32)</f>
        <v>0</v>
      </c>
      <c r="AC33" s="77">
        <f>SUM(AC2:AC32)</f>
        <v>1522</v>
      </c>
      <c r="AD33" s="78">
        <f>SUM(AD2:AD32)</f>
        <v>2965</v>
      </c>
    </row>
    <row r="34" spans="1:30" x14ac:dyDescent="0.2">
      <c r="A34" s="1"/>
      <c r="B34" s="1"/>
      <c r="D34" s="4"/>
      <c r="K34" s="1"/>
      <c r="O34" s="1"/>
      <c r="P34" s="1"/>
      <c r="Q34" s="1"/>
      <c r="R34" s="1"/>
      <c r="S34" s="1"/>
      <c r="V34" s="1"/>
      <c r="X34" s="1"/>
      <c r="Z34" s="6"/>
      <c r="AA34" s="6"/>
      <c r="AC34" s="2"/>
      <c r="AD34" s="2"/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H36" s="68"/>
      <c r="I36" s="68"/>
      <c r="J36" s="49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D51" s="4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JUNE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2026-06-08T11:49:59Z</dcterms:modified>
  <cp:category/>
  <cp:contentStatus/>
</cp:coreProperties>
</file>