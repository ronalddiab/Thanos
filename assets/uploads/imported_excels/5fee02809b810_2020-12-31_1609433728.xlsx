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Water Report" sheetId="45" r:id="rId3"/>
    <sheet name="Section Load" sheetId="44" r:id="rId4"/>
    <sheet name="1" sheetId="2" r:id="rId5"/>
    <sheet name="2" sheetId="3" r:id="rId6"/>
    <sheet name="3" sheetId="4" r:id="rId7"/>
    <sheet name="4" sheetId="5" r:id="rId8"/>
    <sheet name="5" sheetId="33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40" r:id="rId29"/>
    <sheet name="26" sheetId="27" r:id="rId30"/>
    <sheet name="27" sheetId="28" r:id="rId31"/>
    <sheet name="28" sheetId="29" r:id="rId32"/>
    <sheet name="29" sheetId="30" r:id="rId33"/>
    <sheet name="30" sheetId="43" r:id="rId34"/>
    <sheet name="31" sheetId="31" r:id="rId35"/>
    <sheet name="Daily HLP (2)" sheetId="35" r:id="rId36"/>
    <sheet name="Sheet1" sheetId="41" r:id="rId37"/>
    <sheet name="Sheet2" sheetId="42" r:id="rId38"/>
    <sheet name="Sheet3" sheetId="46" r:id="rId39"/>
  </sheets>
  <externalReferences>
    <externalReference r:id="rId40"/>
    <externalReference r:id="rId41"/>
    <externalReference r:id="rId42"/>
    <externalReference r:id="rId43"/>
    <externalReference r:id="rId44"/>
  </externalReferences>
  <definedNames>
    <definedName name="_xlnm.Print_Area" localSheetId="4">'1'!$A$1:$M$171</definedName>
    <definedName name="_xlnm.Print_Area" localSheetId="13">'10'!$A$1:$M$200</definedName>
    <definedName name="_xlnm.Print_Area" localSheetId="16">'13'!$A$1:$P$172</definedName>
    <definedName name="_xlnm.Print_Area" localSheetId="17">'14'!$A$1:$J$175</definedName>
    <definedName name="_xlnm.Print_Area" localSheetId="18">'15'!$A$1:$J$175</definedName>
    <definedName name="_xlnm.Print_Area" localSheetId="19">'16'!$A$1:$J$175</definedName>
    <definedName name="_xlnm.Print_Area" localSheetId="20">'17'!$A$1:$J$175</definedName>
    <definedName name="_xlnm.Print_Area" localSheetId="21">'18'!$A$1:$J$176</definedName>
    <definedName name="_xlnm.Print_Area" localSheetId="22">'19'!$A$1:$J$175</definedName>
    <definedName name="_xlnm.Print_Area" localSheetId="23">'20'!$A$1:$J$175</definedName>
    <definedName name="_xlnm.Print_Area" localSheetId="24">'21'!$A$1:$J$175</definedName>
    <definedName name="_xlnm.Print_Area" localSheetId="25">'22'!$A$1:$J$153</definedName>
    <definedName name="_xlnm.Print_Area" localSheetId="26">'23'!$A$1:$J$153</definedName>
    <definedName name="_xlnm.Print_Area" localSheetId="27">'24'!$A$1:$J$153</definedName>
    <definedName name="_xlnm.Print_Area" localSheetId="28">'25'!$A$1:$J$153</definedName>
    <definedName name="_xlnm.Print_Area" localSheetId="29">'26'!$A$1:$J$153</definedName>
    <definedName name="_xlnm.Print_Area" localSheetId="30">'27'!$A$1:$J$153</definedName>
    <definedName name="_xlnm.Print_Area" localSheetId="31">'28'!$A$1:$J$153</definedName>
    <definedName name="_xlnm.Print_Area" localSheetId="32">'29'!$A$1:$M$172</definedName>
    <definedName name="_xlnm.Print_Area" localSheetId="33">'30'!$A$1:$J$172</definedName>
    <definedName name="_xlnm.Print_Area" localSheetId="34">'31'!$A$1:$J$172</definedName>
    <definedName name="_xlnm.Print_Area" localSheetId="7">'4'!$A$1:$J$153</definedName>
    <definedName name="_xlnm.Print_Area" localSheetId="9">'6'!$A$1:$J$153</definedName>
    <definedName name="_xlnm.Print_Area" localSheetId="10">'7'!$A$1:$J$153</definedName>
    <definedName name="_xlnm.Print_Area" localSheetId="11">'8'!$A$1:$J$153</definedName>
    <definedName name="_xlnm.Print_Area" localSheetId="12">'9'!$A$1:$J$153</definedName>
  </definedNames>
  <calcPr calcId="124519"/>
</workbook>
</file>

<file path=xl/calcChain.xml><?xml version="1.0" encoding="utf-8"?>
<calcChain xmlns="http://schemas.openxmlformats.org/spreadsheetml/2006/main">
  <c r="F171" i="43"/>
  <c r="G171" s="1"/>
  <c r="E171"/>
  <c r="F170"/>
  <c r="G170" s="1"/>
  <c r="E170"/>
  <c r="F169"/>
  <c r="E169"/>
  <c r="G169" s="1"/>
  <c r="F168"/>
  <c r="G167"/>
  <c r="F167"/>
  <c r="E167"/>
  <c r="F166"/>
  <c r="G166" s="1"/>
  <c r="E166"/>
  <c r="G165"/>
  <c r="F165"/>
  <c r="E165"/>
  <c r="F164"/>
  <c r="E163"/>
  <c r="G163" s="1"/>
  <c r="G162"/>
  <c r="E162"/>
  <c r="E161"/>
  <c r="G161" s="1"/>
  <c r="G160"/>
  <c r="E160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H127"/>
  <c r="J127" s="1"/>
  <c r="G127"/>
  <c r="E127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H110"/>
  <c r="J110" s="1"/>
  <c r="G110"/>
  <c r="E110"/>
  <c r="G109"/>
  <c r="G112" s="1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G119" s="1"/>
  <c r="H119" s="1"/>
  <c r="J119" s="1"/>
  <c r="E95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5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H70"/>
  <c r="G69"/>
  <c r="H69" s="1"/>
  <c r="J69" s="1"/>
  <c r="E69"/>
  <c r="H68"/>
  <c r="J68" s="1"/>
  <c r="G68"/>
  <c r="E68"/>
  <c r="G67"/>
  <c r="H67" s="1"/>
  <c r="J67" s="1"/>
  <c r="E67"/>
  <c r="H66"/>
  <c r="J66" s="1"/>
  <c r="G66"/>
  <c r="E66"/>
  <c r="E168" s="1"/>
  <c r="G65"/>
  <c r="H65" s="1"/>
  <c r="J65" s="1"/>
  <c r="E65"/>
  <c r="H64"/>
  <c r="J64" s="1"/>
  <c r="G64"/>
  <c r="E64"/>
  <c r="G63"/>
  <c r="H63" s="1"/>
  <c r="J63" s="1"/>
  <c r="E63"/>
  <c r="H62"/>
  <c r="J62" s="1"/>
  <c r="G62"/>
  <c r="E62"/>
  <c r="E164" s="1"/>
  <c r="G164" s="1"/>
  <c r="G58"/>
  <c r="H58" s="1"/>
  <c r="J58" s="1"/>
  <c r="E58"/>
  <c r="H57"/>
  <c r="J57" s="1"/>
  <c r="G57"/>
  <c r="E57"/>
  <c r="G56"/>
  <c r="H56" s="1"/>
  <c r="J56" s="1"/>
  <c r="E56"/>
  <c r="H55"/>
  <c r="J55" s="1"/>
  <c r="G55"/>
  <c r="E55"/>
  <c r="G54"/>
  <c r="H54" s="1"/>
  <c r="J54" s="1"/>
  <c r="E54"/>
  <c r="H53"/>
  <c r="J53" s="1"/>
  <c r="G53"/>
  <c r="E53"/>
  <c r="G52"/>
  <c r="H52" s="1"/>
  <c r="J52" s="1"/>
  <c r="E52"/>
  <c r="H51"/>
  <c r="J51" s="1"/>
  <c r="G51"/>
  <c r="E51"/>
  <c r="G50"/>
  <c r="H50" s="1"/>
  <c r="J50" s="1"/>
  <c r="E50"/>
  <c r="H49"/>
  <c r="J49" s="1"/>
  <c r="G49"/>
  <c r="G59" s="1"/>
  <c r="H59" s="1"/>
  <c r="J59" s="1"/>
  <c r="E49"/>
  <c r="N47"/>
  <c r="N46"/>
  <c r="E46"/>
  <c r="G46" s="1"/>
  <c r="H46" s="1"/>
  <c r="J46" s="1"/>
  <c r="N45"/>
  <c r="E45"/>
  <c r="G45" s="1"/>
  <c r="H45" s="1"/>
  <c r="J45" s="1"/>
  <c r="N44"/>
  <c r="E44"/>
  <c r="G44" s="1"/>
  <c r="H44" s="1"/>
  <c r="J44" s="1"/>
  <c r="N43"/>
  <c r="H43"/>
  <c r="J43" s="1"/>
  <c r="G43"/>
  <c r="E43"/>
  <c r="N42"/>
  <c r="E42"/>
  <c r="G42" s="1"/>
  <c r="H42" s="1"/>
  <c r="J42" s="1"/>
  <c r="N41"/>
  <c r="E41"/>
  <c r="G41" s="1"/>
  <c r="N40"/>
  <c r="G40"/>
  <c r="H40" s="1"/>
  <c r="J40" s="1"/>
  <c r="E40"/>
  <c r="N39"/>
  <c r="G39"/>
  <c r="H39" s="1"/>
  <c r="J39" s="1"/>
  <c r="E39"/>
  <c r="H38"/>
  <c r="J38" s="1"/>
  <c r="G38"/>
  <c r="G148" s="1"/>
  <c r="E38"/>
  <c r="N37"/>
  <c r="E37"/>
  <c r="G37" s="1"/>
  <c r="N36"/>
  <c r="E36"/>
  <c r="G36" s="1"/>
  <c r="N35"/>
  <c r="G35"/>
  <c r="H35" s="1"/>
  <c r="J35" s="1"/>
  <c r="E35"/>
  <c r="E31"/>
  <c r="G31" s="1"/>
  <c r="H31" s="1"/>
  <c r="E29"/>
  <c r="G29" s="1"/>
  <c r="H29" s="1"/>
  <c r="J29" s="1"/>
  <c r="N26"/>
  <c r="N25"/>
  <c r="N24"/>
  <c r="H24"/>
  <c r="J24" s="1"/>
  <c r="N23"/>
  <c r="H23"/>
  <c r="J23" s="1"/>
  <c r="N22"/>
  <c r="G22"/>
  <c r="H22" s="1"/>
  <c r="J22" s="1"/>
  <c r="N21"/>
  <c r="N20"/>
  <c r="N19"/>
  <c r="G19"/>
  <c r="F118" s="1"/>
  <c r="E19"/>
  <c r="N18"/>
  <c r="I18"/>
  <c r="G18"/>
  <c r="G20" s="1"/>
  <c r="H20" s="1"/>
  <c r="J20" s="1"/>
  <c r="I20" s="1"/>
  <c r="E18"/>
  <c r="N17"/>
  <c r="N16"/>
  <c r="N15"/>
  <c r="I15"/>
  <c r="E15"/>
  <c r="G15" s="1"/>
  <c r="N14"/>
  <c r="N13"/>
  <c r="N12"/>
  <c r="E12"/>
  <c r="G12" s="1"/>
  <c r="H12" s="1"/>
  <c r="J12" s="1"/>
  <c r="N11"/>
  <c r="E11"/>
  <c r="G11" s="1"/>
  <c r="H11" s="1"/>
  <c r="J11" s="1"/>
  <c r="N10"/>
  <c r="H10"/>
  <c r="J10" s="1"/>
  <c r="G10"/>
  <c r="E10"/>
  <c r="N9"/>
  <c r="K9"/>
  <c r="G9"/>
  <c r="H9" s="1"/>
  <c r="J9" s="1"/>
  <c r="E9"/>
  <c r="N8"/>
  <c r="M8"/>
  <c r="E8"/>
  <c r="G8" s="1"/>
  <c r="N7"/>
  <c r="I7"/>
  <c r="E7"/>
  <c r="G7" s="1"/>
  <c r="F171" i="30"/>
  <c r="G171" s="1"/>
  <c r="F170"/>
  <c r="E170"/>
  <c r="G170" s="1"/>
  <c r="F169"/>
  <c r="G169" s="1"/>
  <c r="F168"/>
  <c r="E168"/>
  <c r="G168" s="1"/>
  <c r="F167"/>
  <c r="G167" s="1"/>
  <c r="F166"/>
  <c r="F165"/>
  <c r="G165" s="1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G138"/>
  <c r="H138" s="1"/>
  <c r="J138" s="1"/>
  <c r="E138"/>
  <c r="G137"/>
  <c r="I138" s="1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G132"/>
  <c r="H132" s="1"/>
  <c r="J132" s="1"/>
  <c r="E132"/>
  <c r="G131"/>
  <c r="H131" s="1"/>
  <c r="J131" s="1"/>
  <c r="E13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E92"/>
  <c r="G92" s="1"/>
  <c r="G90"/>
  <c r="H90" s="1"/>
  <c r="J90" s="1"/>
  <c r="E90"/>
  <c r="E89"/>
  <c r="G89" s="1"/>
  <c r="H89" s="1"/>
  <c r="J89" s="1"/>
  <c r="N88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G68"/>
  <c r="H68" s="1"/>
  <c r="J68" s="1"/>
  <c r="E68"/>
  <c r="G67"/>
  <c r="H67" s="1"/>
  <c r="J67" s="1"/>
  <c r="E67"/>
  <c r="E169" s="1"/>
  <c r="G66"/>
  <c r="H66" s="1"/>
  <c r="J66" s="1"/>
  <c r="E66"/>
  <c r="G65"/>
  <c r="H65" s="1"/>
  <c r="J65" s="1"/>
  <c r="E65"/>
  <c r="E167" s="1"/>
  <c r="G64"/>
  <c r="H64" s="1"/>
  <c r="J64" s="1"/>
  <c r="E64"/>
  <c r="E166" s="1"/>
  <c r="G166" s="1"/>
  <c r="G63"/>
  <c r="H63" s="1"/>
  <c r="J63" s="1"/>
  <c r="E63"/>
  <c r="E165" s="1"/>
  <c r="G62"/>
  <c r="H62" s="1"/>
  <c r="J62" s="1"/>
  <c r="E62"/>
  <c r="E164" s="1"/>
  <c r="G164" s="1"/>
  <c r="O59"/>
  <c r="E58"/>
  <c r="G58" s="1"/>
  <c r="H58" s="1"/>
  <c r="J58" s="1"/>
  <c r="H57"/>
  <c r="J57" s="1"/>
  <c r="G57"/>
  <c r="E57"/>
  <c r="E56"/>
  <c r="G56" s="1"/>
  <c r="H56" s="1"/>
  <c r="J56" s="1"/>
  <c r="H55"/>
  <c r="J55" s="1"/>
  <c r="G55"/>
  <c r="E55"/>
  <c r="E54"/>
  <c r="G54" s="1"/>
  <c r="H54" s="1"/>
  <c r="J54" s="1"/>
  <c r="H53"/>
  <c r="J53" s="1"/>
  <c r="G53"/>
  <c r="E53"/>
  <c r="E52"/>
  <c r="G52" s="1"/>
  <c r="H52" s="1"/>
  <c r="J52" s="1"/>
  <c r="H51"/>
  <c r="J51" s="1"/>
  <c r="G51"/>
  <c r="E51"/>
  <c r="E50"/>
  <c r="G50" s="1"/>
  <c r="H50" s="1"/>
  <c r="J50" s="1"/>
  <c r="H49"/>
  <c r="J49" s="1"/>
  <c r="G49"/>
  <c r="E49"/>
  <c r="G46"/>
  <c r="H46" s="1"/>
  <c r="J46" s="1"/>
  <c r="E46"/>
  <c r="G45"/>
  <c r="H45" s="1"/>
  <c r="J45" s="1"/>
  <c r="E45"/>
  <c r="G44"/>
  <c r="H44" s="1"/>
  <c r="J44" s="1"/>
  <c r="E44"/>
  <c r="G43"/>
  <c r="H43" s="1"/>
  <c r="J43" s="1"/>
  <c r="E43"/>
  <c r="G42"/>
  <c r="H42" s="1"/>
  <c r="J42" s="1"/>
  <c r="E42"/>
  <c r="G41"/>
  <c r="G144" s="1"/>
  <c r="E41"/>
  <c r="G40"/>
  <c r="H40" s="1"/>
  <c r="J40" s="1"/>
  <c r="E40"/>
  <c r="G39"/>
  <c r="H39" s="1"/>
  <c r="J39" s="1"/>
  <c r="E39"/>
  <c r="G38"/>
  <c r="H38" s="1"/>
  <c r="J38" s="1"/>
  <c r="E38"/>
  <c r="G37"/>
  <c r="G152" s="1"/>
  <c r="E37"/>
  <c r="G36"/>
  <c r="H36" s="1"/>
  <c r="J36" s="1"/>
  <c r="E36"/>
  <c r="G35"/>
  <c r="G47" s="1"/>
  <c r="E35"/>
  <c r="E29"/>
  <c r="G29" s="1"/>
  <c r="H29" s="1"/>
  <c r="J29" s="1"/>
  <c r="J24"/>
  <c r="H24"/>
  <c r="E24"/>
  <c r="H23"/>
  <c r="J23" s="1"/>
  <c r="E23"/>
  <c r="G22"/>
  <c r="H22" s="1"/>
  <c r="J22" s="1"/>
  <c r="E22"/>
  <c r="G19"/>
  <c r="E30" s="1"/>
  <c r="G30" s="1"/>
  <c r="H30" s="1"/>
  <c r="J30" s="1"/>
  <c r="E19"/>
  <c r="J18"/>
  <c r="I18"/>
  <c r="H18"/>
  <c r="G18"/>
  <c r="E31" s="1"/>
  <c r="G31" s="1"/>
  <c r="H31" s="1"/>
  <c r="E18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G8"/>
  <c r="H8" s="1"/>
  <c r="J8" s="1"/>
  <c r="E8"/>
  <c r="I7"/>
  <c r="E7"/>
  <c r="G7" s="1"/>
  <c r="F171" i="29"/>
  <c r="F170"/>
  <c r="F169"/>
  <c r="E169"/>
  <c r="G169" s="1"/>
  <c r="F168"/>
  <c r="E168"/>
  <c r="G168" s="1"/>
  <c r="F167"/>
  <c r="G167" s="1"/>
  <c r="F166"/>
  <c r="F165"/>
  <c r="F164"/>
  <c r="E163"/>
  <c r="G163" s="1"/>
  <c r="E162"/>
  <c r="G162" s="1"/>
  <c r="E161"/>
  <c r="G161" s="1"/>
  <c r="G160"/>
  <c r="E160"/>
  <c r="H140"/>
  <c r="J140" s="1"/>
  <c r="G140"/>
  <c r="E140"/>
  <c r="E139"/>
  <c r="G139" s="1"/>
  <c r="H139" s="1"/>
  <c r="J139" s="1"/>
  <c r="E138"/>
  <c r="G138" s="1"/>
  <c r="H138" s="1"/>
  <c r="J138" s="1"/>
  <c r="G137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G132"/>
  <c r="H132" s="1"/>
  <c r="J132" s="1"/>
  <c r="E132"/>
  <c r="G131"/>
  <c r="H131" s="1"/>
  <c r="J131" s="1"/>
  <c r="E131"/>
  <c r="G130"/>
  <c r="H130" s="1"/>
  <c r="J130" s="1"/>
  <c r="E130"/>
  <c r="N128"/>
  <c r="N127"/>
  <c r="E127"/>
  <c r="G127" s="1"/>
  <c r="H127" s="1"/>
  <c r="J127" s="1"/>
  <c r="N126"/>
  <c r="G126"/>
  <c r="H126" s="1"/>
  <c r="J126" s="1"/>
  <c r="E126"/>
  <c r="N125"/>
  <c r="E125"/>
  <c r="G125" s="1"/>
  <c r="H125" s="1"/>
  <c r="J125" s="1"/>
  <c r="N124"/>
  <c r="E124"/>
  <c r="G124" s="1"/>
  <c r="H124" s="1"/>
  <c r="J124" s="1"/>
  <c r="N123"/>
  <c r="E123"/>
  <c r="G123" s="1"/>
  <c r="H123" s="1"/>
  <c r="J123" s="1"/>
  <c r="N122"/>
  <c r="N121"/>
  <c r="N117"/>
  <c r="N116"/>
  <c r="H116"/>
  <c r="J116" s="1"/>
  <c r="G116"/>
  <c r="N115"/>
  <c r="E115"/>
  <c r="G115" s="1"/>
  <c r="H115" s="1"/>
  <c r="J115" s="1"/>
  <c r="N114"/>
  <c r="E114"/>
  <c r="G114" s="1"/>
  <c r="N113"/>
  <c r="J113"/>
  <c r="E113"/>
  <c r="N112"/>
  <c r="E112"/>
  <c r="N111"/>
  <c r="E111"/>
  <c r="G111" s="1"/>
  <c r="H111" s="1"/>
  <c r="J111" s="1"/>
  <c r="N110"/>
  <c r="G110"/>
  <c r="H110" s="1"/>
  <c r="J110" s="1"/>
  <c r="E110"/>
  <c r="N109"/>
  <c r="H109"/>
  <c r="J109" s="1"/>
  <c r="G109"/>
  <c r="G112" s="1"/>
  <c r="E109"/>
  <c r="N108"/>
  <c r="E108"/>
  <c r="N107"/>
  <c r="E107"/>
  <c r="N106"/>
  <c r="E106"/>
  <c r="G106" s="1"/>
  <c r="H106" s="1"/>
  <c r="J106" s="1"/>
  <c r="N105"/>
  <c r="E105"/>
  <c r="G105" s="1"/>
  <c r="H105" s="1"/>
  <c r="J105" s="1"/>
  <c r="N104"/>
  <c r="E104"/>
  <c r="G104" s="1"/>
  <c r="N103"/>
  <c r="N102"/>
  <c r="N101"/>
  <c r="N100"/>
  <c r="E100"/>
  <c r="G100" s="1"/>
  <c r="H100" s="1"/>
  <c r="J100" s="1"/>
  <c r="N99"/>
  <c r="E99"/>
  <c r="G99" s="1"/>
  <c r="H99" s="1"/>
  <c r="J99" s="1"/>
  <c r="N98"/>
  <c r="G98"/>
  <c r="H98" s="1"/>
  <c r="J98" s="1"/>
  <c r="E98"/>
  <c r="N97"/>
  <c r="H97"/>
  <c r="J97" s="1"/>
  <c r="G97"/>
  <c r="E97"/>
  <c r="N96"/>
  <c r="G96"/>
  <c r="H96" s="1"/>
  <c r="J96" s="1"/>
  <c r="E96"/>
  <c r="N95"/>
  <c r="E95"/>
  <c r="G95" s="1"/>
  <c r="N94"/>
  <c r="E94"/>
  <c r="N93"/>
  <c r="E93"/>
  <c r="G93" s="1"/>
  <c r="H93" s="1"/>
  <c r="J93" s="1"/>
  <c r="N92"/>
  <c r="E92"/>
  <c r="G92" s="1"/>
  <c r="N91"/>
  <c r="N90"/>
  <c r="G90"/>
  <c r="H90" s="1"/>
  <c r="J90" s="1"/>
  <c r="E90"/>
  <c r="N89"/>
  <c r="E89"/>
  <c r="G89" s="1"/>
  <c r="H89" s="1"/>
  <c r="J89" s="1"/>
  <c r="N88"/>
  <c r="E88"/>
  <c r="G88" s="1"/>
  <c r="H88" s="1"/>
  <c r="J88" s="1"/>
  <c r="N87"/>
  <c r="E87"/>
  <c r="G87" s="1"/>
  <c r="H87" s="1"/>
  <c r="J87" s="1"/>
  <c r="N86"/>
  <c r="G86"/>
  <c r="H86" s="1"/>
  <c r="J86" s="1"/>
  <c r="E86"/>
  <c r="N85"/>
  <c r="E85"/>
  <c r="N84"/>
  <c r="G84"/>
  <c r="H84" s="1"/>
  <c r="J84" s="1"/>
  <c r="E84"/>
  <c r="N83"/>
  <c r="E83"/>
  <c r="G83" s="1"/>
  <c r="H83" s="1"/>
  <c r="J83" s="1"/>
  <c r="N82"/>
  <c r="G82"/>
  <c r="H82" s="1"/>
  <c r="J82" s="1"/>
  <c r="E82"/>
  <c r="N81"/>
  <c r="E81"/>
  <c r="G81" s="1"/>
  <c r="H81" s="1"/>
  <c r="J81" s="1"/>
  <c r="N80"/>
  <c r="E80"/>
  <c r="G80" s="1"/>
  <c r="H80" s="1"/>
  <c r="J80" s="1"/>
  <c r="N79"/>
  <c r="E79"/>
  <c r="G79" s="1"/>
  <c r="H79" s="1"/>
  <c r="J79" s="1"/>
  <c r="N78"/>
  <c r="G78"/>
  <c r="H78" s="1"/>
  <c r="J78" s="1"/>
  <c r="E78"/>
  <c r="N77"/>
  <c r="H77"/>
  <c r="J77" s="1"/>
  <c r="G77"/>
  <c r="E77"/>
  <c r="N76"/>
  <c r="G76"/>
  <c r="H76" s="1"/>
  <c r="J76" s="1"/>
  <c r="E76"/>
  <c r="N75"/>
  <c r="E75"/>
  <c r="G75" s="1"/>
  <c r="H75" s="1"/>
  <c r="J75" s="1"/>
  <c r="N74"/>
  <c r="G74"/>
  <c r="H74" s="1"/>
  <c r="J74" s="1"/>
  <c r="E74"/>
  <c r="N73"/>
  <c r="E73"/>
  <c r="G73" s="1"/>
  <c r="H73" s="1"/>
  <c r="J73" s="1"/>
  <c r="N72"/>
  <c r="E72"/>
  <c r="G72" s="1"/>
  <c r="N71"/>
  <c r="N70"/>
  <c r="H70"/>
  <c r="N69"/>
  <c r="E69"/>
  <c r="E171" s="1"/>
  <c r="N68"/>
  <c r="E68"/>
  <c r="E170" s="1"/>
  <c r="G170" s="1"/>
  <c r="N67"/>
  <c r="G67"/>
  <c r="H67" s="1"/>
  <c r="J67" s="1"/>
  <c r="E67"/>
  <c r="N66"/>
  <c r="H66"/>
  <c r="J66" s="1"/>
  <c r="G66"/>
  <c r="E66"/>
  <c r="N65"/>
  <c r="G65"/>
  <c r="H65" s="1"/>
  <c r="J65" s="1"/>
  <c r="E65"/>
  <c r="E167" s="1"/>
  <c r="N64"/>
  <c r="E64"/>
  <c r="E166" s="1"/>
  <c r="N63"/>
  <c r="G63"/>
  <c r="H63" s="1"/>
  <c r="J63" s="1"/>
  <c r="E63"/>
  <c r="E165" s="1"/>
  <c r="N62"/>
  <c r="E62"/>
  <c r="G62" s="1"/>
  <c r="H62" s="1"/>
  <c r="J62" s="1"/>
  <c r="N61"/>
  <c r="N60"/>
  <c r="N59"/>
  <c r="N58"/>
  <c r="E58"/>
  <c r="G58" s="1"/>
  <c r="H58" s="1"/>
  <c r="J58" s="1"/>
  <c r="N57"/>
  <c r="E57"/>
  <c r="G57" s="1"/>
  <c r="H57" s="1"/>
  <c r="J57" s="1"/>
  <c r="N56"/>
  <c r="E56"/>
  <c r="G56" s="1"/>
  <c r="H56" s="1"/>
  <c r="J56" s="1"/>
  <c r="N55"/>
  <c r="G55"/>
  <c r="H55" s="1"/>
  <c r="J55" s="1"/>
  <c r="E55"/>
  <c r="N54"/>
  <c r="H54"/>
  <c r="J54" s="1"/>
  <c r="G54"/>
  <c r="E54"/>
  <c r="N53"/>
  <c r="G53"/>
  <c r="H53" s="1"/>
  <c r="J53" s="1"/>
  <c r="E53"/>
  <c r="N52"/>
  <c r="E52"/>
  <c r="G52" s="1"/>
  <c r="H52" s="1"/>
  <c r="J52" s="1"/>
  <c r="N51"/>
  <c r="G51"/>
  <c r="H51" s="1"/>
  <c r="J51" s="1"/>
  <c r="E51"/>
  <c r="N50"/>
  <c r="E50"/>
  <c r="G50" s="1"/>
  <c r="H50" s="1"/>
  <c r="J50" s="1"/>
  <c r="N49"/>
  <c r="E49"/>
  <c r="G49" s="1"/>
  <c r="N48"/>
  <c r="N47"/>
  <c r="N46"/>
  <c r="G46"/>
  <c r="H46" s="1"/>
  <c r="J46" s="1"/>
  <c r="E46"/>
  <c r="N45"/>
  <c r="H45"/>
  <c r="J45" s="1"/>
  <c r="G45"/>
  <c r="E45"/>
  <c r="N44"/>
  <c r="G44"/>
  <c r="H44" s="1"/>
  <c r="J44" s="1"/>
  <c r="E44"/>
  <c r="N43"/>
  <c r="E43"/>
  <c r="G43" s="1"/>
  <c r="H43" s="1"/>
  <c r="J43" s="1"/>
  <c r="N42"/>
  <c r="G42"/>
  <c r="H42" s="1"/>
  <c r="J42" s="1"/>
  <c r="E42"/>
  <c r="N41"/>
  <c r="E41"/>
  <c r="G41" s="1"/>
  <c r="N40"/>
  <c r="E40"/>
  <c r="G40" s="1"/>
  <c r="H40" s="1"/>
  <c r="J40" s="1"/>
  <c r="N39"/>
  <c r="E39"/>
  <c r="G39" s="1"/>
  <c r="N38"/>
  <c r="G38"/>
  <c r="G148" s="1"/>
  <c r="E38"/>
  <c r="N37"/>
  <c r="H37"/>
  <c r="J37" s="1"/>
  <c r="G37"/>
  <c r="G152" s="1"/>
  <c r="E37"/>
  <c r="N36"/>
  <c r="G36"/>
  <c r="G150" s="1"/>
  <c r="E36"/>
  <c r="N35"/>
  <c r="E35"/>
  <c r="G35" s="1"/>
  <c r="N34"/>
  <c r="N33"/>
  <c r="N32"/>
  <c r="N31"/>
  <c r="E31"/>
  <c r="G31" s="1"/>
  <c r="H31" s="1"/>
  <c r="N30"/>
  <c r="N29"/>
  <c r="E29"/>
  <c r="G29" s="1"/>
  <c r="H29" s="1"/>
  <c r="J29" s="1"/>
  <c r="N28"/>
  <c r="N27"/>
  <c r="N26"/>
  <c r="N25"/>
  <c r="N24"/>
  <c r="J24"/>
  <c r="H24"/>
  <c r="E24"/>
  <c r="N23"/>
  <c r="H23"/>
  <c r="J23" s="1"/>
  <c r="E23"/>
  <c r="N22"/>
  <c r="G22"/>
  <c r="H22" s="1"/>
  <c r="J22" s="1"/>
  <c r="E22"/>
  <c r="N21"/>
  <c r="N20"/>
  <c r="N19"/>
  <c r="E19"/>
  <c r="G19" s="1"/>
  <c r="N18"/>
  <c r="J18"/>
  <c r="I18"/>
  <c r="H18"/>
  <c r="G18"/>
  <c r="E18"/>
  <c r="N17"/>
  <c r="N16"/>
  <c r="N15"/>
  <c r="H15"/>
  <c r="J15" s="1"/>
  <c r="I16" s="1"/>
  <c r="G15"/>
  <c r="G128" s="1"/>
  <c r="E15"/>
  <c r="N14"/>
  <c r="N13"/>
  <c r="N12"/>
  <c r="G12"/>
  <c r="H12" s="1"/>
  <c r="J12" s="1"/>
  <c r="E12"/>
  <c r="N11"/>
  <c r="H11"/>
  <c r="J11" s="1"/>
  <c r="G11"/>
  <c r="E11"/>
  <c r="N10"/>
  <c r="M10"/>
  <c r="E10"/>
  <c r="G10" s="1"/>
  <c r="H10" s="1"/>
  <c r="J10" s="1"/>
  <c r="N9"/>
  <c r="E9"/>
  <c r="G9" s="1"/>
  <c r="N8"/>
  <c r="I8"/>
  <c r="E8"/>
  <c r="G8" s="1"/>
  <c r="N7"/>
  <c r="J7"/>
  <c r="I7"/>
  <c r="H7"/>
  <c r="G7"/>
  <c r="E7"/>
  <c r="F171" i="28"/>
  <c r="G171" s="1"/>
  <c r="E171"/>
  <c r="F170"/>
  <c r="G170" s="1"/>
  <c r="E170"/>
  <c r="F169"/>
  <c r="E169"/>
  <c r="G169" s="1"/>
  <c r="F168"/>
  <c r="G167"/>
  <c r="F167"/>
  <c r="E167"/>
  <c r="F166"/>
  <c r="G166" s="1"/>
  <c r="E166"/>
  <c r="G165"/>
  <c r="F165"/>
  <c r="E165"/>
  <c r="F164"/>
  <c r="E163"/>
  <c r="G163" s="1"/>
  <c r="G162"/>
  <c r="E162"/>
  <c r="E161"/>
  <c r="G161" s="1"/>
  <c r="G160"/>
  <c r="E160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E110"/>
  <c r="G110" s="1"/>
  <c r="H110" s="1"/>
  <c r="J110" s="1"/>
  <c r="G109"/>
  <c r="H109" s="1"/>
  <c r="J109" s="1"/>
  <c r="E109"/>
  <c r="E108"/>
  <c r="E107"/>
  <c r="H106"/>
  <c r="J106" s="1"/>
  <c r="G106"/>
  <c r="E106"/>
  <c r="G105"/>
  <c r="G107" s="1"/>
  <c r="H107" s="1"/>
  <c r="J107" s="1"/>
  <c r="E105"/>
  <c r="H104"/>
  <c r="J104" s="1"/>
  <c r="G104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G94" s="1"/>
  <c r="H94" s="1"/>
  <c r="J94" s="1"/>
  <c r="E92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5"/>
  <c r="E84"/>
  <c r="G84" s="1"/>
  <c r="H84" s="1"/>
  <c r="J84" s="1"/>
  <c r="G83"/>
  <c r="H83" s="1"/>
  <c r="J83" s="1"/>
  <c r="E83"/>
  <c r="E82"/>
  <c r="G82" s="1"/>
  <c r="H82" s="1"/>
  <c r="J82" s="1"/>
  <c r="G81"/>
  <c r="H81" s="1"/>
  <c r="J81" s="1"/>
  <c r="E81"/>
  <c r="E80"/>
  <c r="G80" s="1"/>
  <c r="H80" s="1"/>
  <c r="J80" s="1"/>
  <c r="G79"/>
  <c r="H79" s="1"/>
  <c r="J79" s="1"/>
  <c r="E79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E74"/>
  <c r="G74" s="1"/>
  <c r="H74" s="1"/>
  <c r="J74" s="1"/>
  <c r="G73"/>
  <c r="H73" s="1"/>
  <c r="J73" s="1"/>
  <c r="E73"/>
  <c r="E72"/>
  <c r="G72" s="1"/>
  <c r="H70"/>
  <c r="H69"/>
  <c r="J69" s="1"/>
  <c r="G69"/>
  <c r="E69"/>
  <c r="G68"/>
  <c r="H68" s="1"/>
  <c r="J68" s="1"/>
  <c r="E68"/>
  <c r="H67"/>
  <c r="J67" s="1"/>
  <c r="G67"/>
  <c r="E67"/>
  <c r="G66"/>
  <c r="H66" s="1"/>
  <c r="J66" s="1"/>
  <c r="E66"/>
  <c r="E168" s="1"/>
  <c r="H65"/>
  <c r="J65" s="1"/>
  <c r="G65"/>
  <c r="E65"/>
  <c r="G64"/>
  <c r="H64" s="1"/>
  <c r="J64" s="1"/>
  <c r="E64"/>
  <c r="H63"/>
  <c r="J63" s="1"/>
  <c r="G63"/>
  <c r="E63"/>
  <c r="G62"/>
  <c r="H62" s="1"/>
  <c r="J62" s="1"/>
  <c r="E62"/>
  <c r="E164" s="1"/>
  <c r="G164" s="1"/>
  <c r="H58"/>
  <c r="J58" s="1"/>
  <c r="G58"/>
  <c r="E58"/>
  <c r="G57"/>
  <c r="H57" s="1"/>
  <c r="J57" s="1"/>
  <c r="E57"/>
  <c r="H56"/>
  <c r="J56" s="1"/>
  <c r="G56"/>
  <c r="E56"/>
  <c r="G55"/>
  <c r="H55" s="1"/>
  <c r="J55" s="1"/>
  <c r="E55"/>
  <c r="H54"/>
  <c r="J54" s="1"/>
  <c r="G54"/>
  <c r="E54"/>
  <c r="G53"/>
  <c r="H53" s="1"/>
  <c r="J53" s="1"/>
  <c r="E53"/>
  <c r="H52"/>
  <c r="J52" s="1"/>
  <c r="G52"/>
  <c r="E52"/>
  <c r="G51"/>
  <c r="H51" s="1"/>
  <c r="J51" s="1"/>
  <c r="E51"/>
  <c r="H50"/>
  <c r="J50" s="1"/>
  <c r="G50"/>
  <c r="E50"/>
  <c r="G49"/>
  <c r="G59" s="1"/>
  <c r="H59" s="1"/>
  <c r="J59" s="1"/>
  <c r="E49"/>
  <c r="E46"/>
  <c r="G46" s="1"/>
  <c r="H46" s="1"/>
  <c r="J46" s="1"/>
  <c r="G45"/>
  <c r="H45" s="1"/>
  <c r="J45" s="1"/>
  <c r="E45"/>
  <c r="E44"/>
  <c r="G44" s="1"/>
  <c r="H44" s="1"/>
  <c r="J44" s="1"/>
  <c r="G43"/>
  <c r="H43" s="1"/>
  <c r="J43" s="1"/>
  <c r="E43"/>
  <c r="E42"/>
  <c r="G42" s="1"/>
  <c r="H42" s="1"/>
  <c r="J42" s="1"/>
  <c r="G41"/>
  <c r="G144" s="1"/>
  <c r="E41"/>
  <c r="E40"/>
  <c r="G40" s="1"/>
  <c r="H40" s="1"/>
  <c r="J40" s="1"/>
  <c r="G39"/>
  <c r="H39" s="1"/>
  <c r="J39" s="1"/>
  <c r="E39"/>
  <c r="E38"/>
  <c r="G38" s="1"/>
  <c r="G37"/>
  <c r="G152" s="1"/>
  <c r="E37"/>
  <c r="E36"/>
  <c r="G36" s="1"/>
  <c r="G35"/>
  <c r="G47" s="1"/>
  <c r="E35"/>
  <c r="E29"/>
  <c r="G29" s="1"/>
  <c r="H29" s="1"/>
  <c r="J29" s="1"/>
  <c r="J24"/>
  <c r="H24"/>
  <c r="E24"/>
  <c r="H23"/>
  <c r="J23" s="1"/>
  <c r="E23"/>
  <c r="G22"/>
  <c r="H22" s="1"/>
  <c r="J22" s="1"/>
  <c r="E22"/>
  <c r="G19"/>
  <c r="F118" s="1"/>
  <c r="E19"/>
  <c r="I18"/>
  <c r="G18"/>
  <c r="E31" s="1"/>
  <c r="G31" s="1"/>
  <c r="H31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E8"/>
  <c r="G8" s="1"/>
  <c r="N7"/>
  <c r="I7"/>
  <c r="E7"/>
  <c r="G7" s="1"/>
  <c r="F171" i="27"/>
  <c r="F170"/>
  <c r="F169"/>
  <c r="F168"/>
  <c r="F167"/>
  <c r="F166"/>
  <c r="F165"/>
  <c r="F164"/>
  <c r="E163"/>
  <c r="G163" s="1"/>
  <c r="E162"/>
  <c r="E161"/>
  <c r="G161" s="1"/>
  <c r="G160"/>
  <c r="E160"/>
  <c r="H140"/>
  <c r="J140" s="1"/>
  <c r="G140"/>
  <c r="E140"/>
  <c r="E139"/>
  <c r="G139" s="1"/>
  <c r="H139" s="1"/>
  <c r="J139" s="1"/>
  <c r="H138"/>
  <c r="J138" s="1"/>
  <c r="G138"/>
  <c r="E138"/>
  <c r="G137"/>
  <c r="I138" s="1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H115"/>
  <c r="J115" s="1"/>
  <c r="G115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H105" s="1"/>
  <c r="J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E170" s="1"/>
  <c r="G67"/>
  <c r="H67" s="1"/>
  <c r="J67" s="1"/>
  <c r="E67"/>
  <c r="E169" s="1"/>
  <c r="G169" s="1"/>
  <c r="E66"/>
  <c r="E168" s="1"/>
  <c r="G65"/>
  <c r="H65" s="1"/>
  <c r="J65" s="1"/>
  <c r="E65"/>
  <c r="E167" s="1"/>
  <c r="G167" s="1"/>
  <c r="E64"/>
  <c r="E166" s="1"/>
  <c r="G63"/>
  <c r="H63" s="1"/>
  <c r="J63" s="1"/>
  <c r="E63"/>
  <c r="E165" s="1"/>
  <c r="G165" s="1"/>
  <c r="E62"/>
  <c r="G62" s="1"/>
  <c r="H62" s="1"/>
  <c r="J62" s="1"/>
  <c r="G58"/>
  <c r="H58" s="1"/>
  <c r="J58" s="1"/>
  <c r="E58"/>
  <c r="E57"/>
  <c r="G57" s="1"/>
  <c r="H57" s="1"/>
  <c r="J57" s="1"/>
  <c r="G56"/>
  <c r="H56" s="1"/>
  <c r="J56" s="1"/>
  <c r="E56"/>
  <c r="E55"/>
  <c r="G55" s="1"/>
  <c r="H55" s="1"/>
  <c r="J55" s="1"/>
  <c r="G54"/>
  <c r="H54" s="1"/>
  <c r="J54" s="1"/>
  <c r="E54"/>
  <c r="E53"/>
  <c r="G53" s="1"/>
  <c r="H53" s="1"/>
  <c r="J53" s="1"/>
  <c r="G52"/>
  <c r="H52" s="1"/>
  <c r="J52" s="1"/>
  <c r="E52"/>
  <c r="E51"/>
  <c r="G51" s="1"/>
  <c r="H51" s="1"/>
  <c r="J51" s="1"/>
  <c r="G50"/>
  <c r="H50" s="1"/>
  <c r="J50" s="1"/>
  <c r="E50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G41"/>
  <c r="E41"/>
  <c r="E40"/>
  <c r="G40" s="1"/>
  <c r="H40" s="1"/>
  <c r="J40" s="1"/>
  <c r="G39"/>
  <c r="E39"/>
  <c r="E38"/>
  <c r="G38" s="1"/>
  <c r="G37"/>
  <c r="G152" s="1"/>
  <c r="E37"/>
  <c r="E36"/>
  <c r="G36" s="1"/>
  <c r="G35"/>
  <c r="G47" s="1"/>
  <c r="E35"/>
  <c r="H29"/>
  <c r="J29" s="1"/>
  <c r="G29"/>
  <c r="E29"/>
  <c r="J24"/>
  <c r="H24"/>
  <c r="G24"/>
  <c r="E24"/>
  <c r="H23"/>
  <c r="J23" s="1"/>
  <c r="G23"/>
  <c r="E23"/>
  <c r="J22"/>
  <c r="H22"/>
  <c r="G22"/>
  <c r="E22"/>
  <c r="L19"/>
  <c r="E19"/>
  <c r="G19" s="1"/>
  <c r="I18"/>
  <c r="H18"/>
  <c r="J18" s="1"/>
  <c r="G18"/>
  <c r="E31" s="1"/>
  <c r="G31" s="1"/>
  <c r="H31" s="1"/>
  <c r="E18"/>
  <c r="L16"/>
  <c r="I15"/>
  <c r="G15"/>
  <c r="G128" s="1"/>
  <c r="H128" s="1"/>
  <c r="J128" s="1"/>
  <c r="E15"/>
  <c r="G12"/>
  <c r="H12" s="1"/>
  <c r="J12" s="1"/>
  <c r="E12"/>
  <c r="E11"/>
  <c r="G11" s="1"/>
  <c r="G10"/>
  <c r="H10" s="1"/>
  <c r="J10" s="1"/>
  <c r="E10"/>
  <c r="G9"/>
  <c r="E9"/>
  <c r="I8"/>
  <c r="I9" s="1"/>
  <c r="H8"/>
  <c r="J8" s="1"/>
  <c r="G8"/>
  <c r="E27" s="1"/>
  <c r="G27" s="1"/>
  <c r="E8"/>
  <c r="I7"/>
  <c r="E7"/>
  <c r="G7" s="1"/>
  <c r="G171" i="40"/>
  <c r="F171"/>
  <c r="E171"/>
  <c r="G170"/>
  <c r="F170"/>
  <c r="E170"/>
  <c r="G169"/>
  <c r="F169"/>
  <c r="E169"/>
  <c r="G168"/>
  <c r="F168"/>
  <c r="E168"/>
  <c r="F167"/>
  <c r="E167"/>
  <c r="G167" s="1"/>
  <c r="G166"/>
  <c r="F166"/>
  <c r="E166"/>
  <c r="F165"/>
  <c r="E165"/>
  <c r="G165" s="1"/>
  <c r="F164"/>
  <c r="E164"/>
  <c r="G164" s="1"/>
  <c r="G163"/>
  <c r="E163"/>
  <c r="G162"/>
  <c r="E162"/>
  <c r="G161"/>
  <c r="E161"/>
  <c r="G160"/>
  <c r="E160"/>
  <c r="H151"/>
  <c r="J151" s="1"/>
  <c r="G151"/>
  <c r="G150"/>
  <c r="H150" s="1"/>
  <c r="J150" s="1"/>
  <c r="G146"/>
  <c r="H146" s="1"/>
  <c r="J146" s="1"/>
  <c r="J140"/>
  <c r="H140"/>
  <c r="G140"/>
  <c r="E140"/>
  <c r="H139"/>
  <c r="J139" s="1"/>
  <c r="G139"/>
  <c r="E139"/>
  <c r="G138"/>
  <c r="H138" s="1"/>
  <c r="J138" s="1"/>
  <c r="E138"/>
  <c r="G137"/>
  <c r="I138" s="1"/>
  <c r="E137"/>
  <c r="I136"/>
  <c r="H136"/>
  <c r="J136" s="1"/>
  <c r="G136"/>
  <c r="E136"/>
  <c r="H135"/>
  <c r="J135" s="1"/>
  <c r="G135"/>
  <c r="E135"/>
  <c r="H134"/>
  <c r="J134" s="1"/>
  <c r="G134"/>
  <c r="E134"/>
  <c r="J133"/>
  <c r="I133"/>
  <c r="H133"/>
  <c r="G133"/>
  <c r="E133"/>
  <c r="P132"/>
  <c r="H132"/>
  <c r="J132" s="1"/>
  <c r="G132"/>
  <c r="E132"/>
  <c r="J131"/>
  <c r="H131"/>
  <c r="G131"/>
  <c r="E131"/>
  <c r="H130"/>
  <c r="J130" s="1"/>
  <c r="G130"/>
  <c r="E130"/>
  <c r="G128"/>
  <c r="H128" s="1"/>
  <c r="J128" s="1"/>
  <c r="G127"/>
  <c r="H127" s="1"/>
  <c r="J127" s="1"/>
  <c r="E127"/>
  <c r="J126"/>
  <c r="H126"/>
  <c r="G126"/>
  <c r="E126"/>
  <c r="G125"/>
  <c r="H125" s="1"/>
  <c r="J125" s="1"/>
  <c r="E125"/>
  <c r="J124"/>
  <c r="H124"/>
  <c r="G124"/>
  <c r="E124"/>
  <c r="G123"/>
  <c r="H123" s="1"/>
  <c r="J123" s="1"/>
  <c r="E123"/>
  <c r="H118"/>
  <c r="J118" s="1"/>
  <c r="G118"/>
  <c r="F118"/>
  <c r="H116"/>
  <c r="J116" s="1"/>
  <c r="G116"/>
  <c r="G115"/>
  <c r="H115" s="1"/>
  <c r="J115" s="1"/>
  <c r="E115"/>
  <c r="G114"/>
  <c r="H114" s="1"/>
  <c r="J114" s="1"/>
  <c r="E114"/>
  <c r="J113"/>
  <c r="E113"/>
  <c r="E112"/>
  <c r="J111"/>
  <c r="H111"/>
  <c r="G111"/>
  <c r="E111"/>
  <c r="G110"/>
  <c r="G112" s="1"/>
  <c r="E110"/>
  <c r="J109"/>
  <c r="H109"/>
  <c r="G109"/>
  <c r="E109"/>
  <c r="E108"/>
  <c r="H107"/>
  <c r="J107" s="1"/>
  <c r="G107"/>
  <c r="E107"/>
  <c r="J106"/>
  <c r="H106"/>
  <c r="G106"/>
  <c r="E106"/>
  <c r="H105"/>
  <c r="J105" s="1"/>
  <c r="G105"/>
  <c r="E105"/>
  <c r="J104"/>
  <c r="H104"/>
  <c r="G104"/>
  <c r="E104"/>
  <c r="J100"/>
  <c r="H100"/>
  <c r="G100"/>
  <c r="E100"/>
  <c r="G99"/>
  <c r="H99" s="1"/>
  <c r="J99" s="1"/>
  <c r="E99"/>
  <c r="J98"/>
  <c r="H98"/>
  <c r="G98"/>
  <c r="E98"/>
  <c r="G97"/>
  <c r="H97" s="1"/>
  <c r="J97" s="1"/>
  <c r="E97"/>
  <c r="J96"/>
  <c r="H96"/>
  <c r="G96"/>
  <c r="E96"/>
  <c r="G95"/>
  <c r="F119" s="1"/>
  <c r="E95"/>
  <c r="E94"/>
  <c r="G93"/>
  <c r="G94" s="1"/>
  <c r="H94" s="1"/>
  <c r="J94" s="1"/>
  <c r="E93"/>
  <c r="J92"/>
  <c r="H92"/>
  <c r="G92"/>
  <c r="E92"/>
  <c r="G90"/>
  <c r="H90" s="1"/>
  <c r="J90" s="1"/>
  <c r="E90"/>
  <c r="N89"/>
  <c r="J89"/>
  <c r="H89"/>
  <c r="G89"/>
  <c r="E89"/>
  <c r="H88"/>
  <c r="J88" s="1"/>
  <c r="G88"/>
  <c r="E88"/>
  <c r="J87"/>
  <c r="H87"/>
  <c r="G87"/>
  <c r="E87"/>
  <c r="G86"/>
  <c r="H86" s="1"/>
  <c r="J86" s="1"/>
  <c r="E86"/>
  <c r="H84"/>
  <c r="J84" s="1"/>
  <c r="G84"/>
  <c r="E84"/>
  <c r="J83"/>
  <c r="H83"/>
  <c r="G83"/>
  <c r="E83"/>
  <c r="N82"/>
  <c r="G82"/>
  <c r="H82" s="1"/>
  <c r="J82" s="1"/>
  <c r="E82"/>
  <c r="G81"/>
  <c r="H81" s="1"/>
  <c r="J81" s="1"/>
  <c r="E81"/>
  <c r="G80"/>
  <c r="H80" s="1"/>
  <c r="J80" s="1"/>
  <c r="E80"/>
  <c r="G79"/>
  <c r="H79" s="1"/>
  <c r="J79" s="1"/>
  <c r="E79"/>
  <c r="G78"/>
  <c r="H78" s="1"/>
  <c r="J78" s="1"/>
  <c r="E78"/>
  <c r="G77"/>
  <c r="H77" s="1"/>
  <c r="J77" s="1"/>
  <c r="E77"/>
  <c r="G76"/>
  <c r="H76" s="1"/>
  <c r="J76" s="1"/>
  <c r="E76"/>
  <c r="G75"/>
  <c r="H75" s="1"/>
  <c r="J75" s="1"/>
  <c r="E75"/>
  <c r="G74"/>
  <c r="H74" s="1"/>
  <c r="J74" s="1"/>
  <c r="E74"/>
  <c r="G73"/>
  <c r="H73" s="1"/>
  <c r="J73" s="1"/>
  <c r="E73"/>
  <c r="G72"/>
  <c r="H72" s="1"/>
  <c r="J72" s="1"/>
  <c r="E72"/>
  <c r="H70"/>
  <c r="H69"/>
  <c r="J69" s="1"/>
  <c r="G69"/>
  <c r="E69"/>
  <c r="H68"/>
  <c r="J68" s="1"/>
  <c r="G68"/>
  <c r="E68"/>
  <c r="H67"/>
  <c r="J67" s="1"/>
  <c r="G67"/>
  <c r="E67"/>
  <c r="H66"/>
  <c r="J66" s="1"/>
  <c r="G66"/>
  <c r="E66"/>
  <c r="H65"/>
  <c r="J65" s="1"/>
  <c r="G65"/>
  <c r="E65"/>
  <c r="H64"/>
  <c r="J64" s="1"/>
  <c r="G64"/>
  <c r="E64"/>
  <c r="H63"/>
  <c r="J63" s="1"/>
  <c r="G63"/>
  <c r="E63"/>
  <c r="H62"/>
  <c r="J62" s="1"/>
  <c r="G62"/>
  <c r="E62"/>
  <c r="O58"/>
  <c r="H58"/>
  <c r="J58" s="1"/>
  <c r="G58"/>
  <c r="E58"/>
  <c r="O57"/>
  <c r="J57"/>
  <c r="H57"/>
  <c r="G57"/>
  <c r="E57"/>
  <c r="O56"/>
  <c r="J56"/>
  <c r="H56"/>
  <c r="G56"/>
  <c r="E56"/>
  <c r="G55"/>
  <c r="H55" s="1"/>
  <c r="J55" s="1"/>
  <c r="E55"/>
  <c r="H54"/>
  <c r="J54" s="1"/>
  <c r="G54"/>
  <c r="O54" s="1"/>
  <c r="E54"/>
  <c r="O53"/>
  <c r="J53"/>
  <c r="H53"/>
  <c r="G53"/>
  <c r="E53"/>
  <c r="O52"/>
  <c r="J52"/>
  <c r="H52"/>
  <c r="G52"/>
  <c r="E52"/>
  <c r="G51"/>
  <c r="H51" s="1"/>
  <c r="J51" s="1"/>
  <c r="E51"/>
  <c r="O50"/>
  <c r="H50"/>
  <c r="J50" s="1"/>
  <c r="G50"/>
  <c r="E50"/>
  <c r="O49"/>
  <c r="G49"/>
  <c r="G142" s="1"/>
  <c r="E49"/>
  <c r="O48"/>
  <c r="G46"/>
  <c r="H46" s="1"/>
  <c r="J46" s="1"/>
  <c r="E46"/>
  <c r="H45"/>
  <c r="J45" s="1"/>
  <c r="G45"/>
  <c r="O45" s="1"/>
  <c r="E45"/>
  <c r="O44"/>
  <c r="J44"/>
  <c r="H44"/>
  <c r="G44"/>
  <c r="E44"/>
  <c r="O43"/>
  <c r="J43"/>
  <c r="H43"/>
  <c r="G43"/>
  <c r="E43"/>
  <c r="G42"/>
  <c r="H42" s="1"/>
  <c r="J42" s="1"/>
  <c r="E42"/>
  <c r="O41"/>
  <c r="H41"/>
  <c r="J41" s="1"/>
  <c r="G41"/>
  <c r="E41"/>
  <c r="O40"/>
  <c r="J40"/>
  <c r="H40"/>
  <c r="G40"/>
  <c r="E40"/>
  <c r="O39"/>
  <c r="J39"/>
  <c r="H39"/>
  <c r="G39"/>
  <c r="E39"/>
  <c r="G38"/>
  <c r="H38" s="1"/>
  <c r="J38" s="1"/>
  <c r="E38"/>
  <c r="H37"/>
  <c r="J37" s="1"/>
  <c r="G37"/>
  <c r="G152" s="1"/>
  <c r="E37"/>
  <c r="O36"/>
  <c r="J36"/>
  <c r="H36"/>
  <c r="G36"/>
  <c r="E36"/>
  <c r="O35"/>
  <c r="J35"/>
  <c r="H35"/>
  <c r="G35"/>
  <c r="E35"/>
  <c r="H31"/>
  <c r="G31"/>
  <c r="E31"/>
  <c r="H30"/>
  <c r="J30" s="1"/>
  <c r="G30"/>
  <c r="E30"/>
  <c r="H29"/>
  <c r="J29" s="1"/>
  <c r="G29"/>
  <c r="E29"/>
  <c r="G28"/>
  <c r="H28" s="1"/>
  <c r="J28" s="1"/>
  <c r="E28"/>
  <c r="J24"/>
  <c r="H24"/>
  <c r="E24"/>
  <c r="J23"/>
  <c r="H23"/>
  <c r="E23"/>
  <c r="J22"/>
  <c r="H22"/>
  <c r="G22"/>
  <c r="E22"/>
  <c r="G20"/>
  <c r="H20" s="1"/>
  <c r="J20" s="1"/>
  <c r="I20" s="1"/>
  <c r="J19"/>
  <c r="H19"/>
  <c r="G19"/>
  <c r="E19"/>
  <c r="J18"/>
  <c r="I18"/>
  <c r="H18"/>
  <c r="G18"/>
  <c r="E18"/>
  <c r="I16"/>
  <c r="J15"/>
  <c r="I15"/>
  <c r="H15"/>
  <c r="G15"/>
  <c r="E15"/>
  <c r="O13"/>
  <c r="L13"/>
  <c r="G13"/>
  <c r="H13" s="1"/>
  <c r="J13" s="1"/>
  <c r="H12"/>
  <c r="J12" s="1"/>
  <c r="G12"/>
  <c r="O12" s="1"/>
  <c r="E12"/>
  <c r="O11"/>
  <c r="J11"/>
  <c r="H11"/>
  <c r="G11"/>
  <c r="E11"/>
  <c r="O10"/>
  <c r="L10"/>
  <c r="G10"/>
  <c r="H10" s="1"/>
  <c r="J10" s="1"/>
  <c r="E10"/>
  <c r="O9"/>
  <c r="J9"/>
  <c r="H9"/>
  <c r="G9"/>
  <c r="E9"/>
  <c r="I8"/>
  <c r="G8"/>
  <c r="H8" s="1"/>
  <c r="J8" s="1"/>
  <c r="I9" s="1"/>
  <c r="E8"/>
  <c r="O7"/>
  <c r="J7"/>
  <c r="I7"/>
  <c r="H7"/>
  <c r="G7"/>
  <c r="E7"/>
  <c r="J3"/>
  <c r="I3"/>
  <c r="H3"/>
  <c r="G3"/>
  <c r="F171" i="25"/>
  <c r="F170"/>
  <c r="F169"/>
  <c r="F168"/>
  <c r="F167"/>
  <c r="F166"/>
  <c r="G166" s="1"/>
  <c r="E166"/>
  <c r="F165"/>
  <c r="F164"/>
  <c r="E163"/>
  <c r="G163" s="1"/>
  <c r="G162"/>
  <c r="E162"/>
  <c r="G161"/>
  <c r="E161"/>
  <c r="G160"/>
  <c r="E160"/>
  <c r="J140"/>
  <c r="H140"/>
  <c r="G140"/>
  <c r="E140"/>
  <c r="H139"/>
  <c r="J139" s="1"/>
  <c r="G139"/>
  <c r="E139"/>
  <c r="E138"/>
  <c r="G138" s="1"/>
  <c r="H138" s="1"/>
  <c r="J138" s="1"/>
  <c r="E137"/>
  <c r="G137" s="1"/>
  <c r="E136"/>
  <c r="G136" s="1"/>
  <c r="H136" s="1"/>
  <c r="J136" s="1"/>
  <c r="G135"/>
  <c r="H135" s="1"/>
  <c r="J135" s="1"/>
  <c r="E135"/>
  <c r="E134"/>
  <c r="G134" s="1"/>
  <c r="H133"/>
  <c r="J133" s="1"/>
  <c r="G133"/>
  <c r="E133"/>
  <c r="G132"/>
  <c r="I133" s="1"/>
  <c r="E132"/>
  <c r="H131"/>
  <c r="J131" s="1"/>
  <c r="G131"/>
  <c r="E131"/>
  <c r="G130"/>
  <c r="H130" s="1"/>
  <c r="J130" s="1"/>
  <c r="E130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F119"/>
  <c r="J116"/>
  <c r="H116"/>
  <c r="G116"/>
  <c r="J115"/>
  <c r="H115"/>
  <c r="G115"/>
  <c r="E115"/>
  <c r="H114"/>
  <c r="J114" s="1"/>
  <c r="G114"/>
  <c r="G117" s="1"/>
  <c r="H117" s="1"/>
  <c r="J117" s="1"/>
  <c r="E114"/>
  <c r="J113"/>
  <c r="E112"/>
  <c r="E111"/>
  <c r="G111" s="1"/>
  <c r="H111" s="1"/>
  <c r="J111" s="1"/>
  <c r="E110"/>
  <c r="G110" s="1"/>
  <c r="H110" s="1"/>
  <c r="J110" s="1"/>
  <c r="E109"/>
  <c r="G109" s="1"/>
  <c r="E108"/>
  <c r="E106"/>
  <c r="G106" s="1"/>
  <c r="H106" s="1"/>
  <c r="J106" s="1"/>
  <c r="E105"/>
  <c r="G105" s="1"/>
  <c r="H105" s="1"/>
  <c r="J105" s="1"/>
  <c r="E104"/>
  <c r="G104" s="1"/>
  <c r="H100"/>
  <c r="J100" s="1"/>
  <c r="G100"/>
  <c r="E100"/>
  <c r="J99"/>
  <c r="H99"/>
  <c r="G99"/>
  <c r="E99"/>
  <c r="H98"/>
  <c r="J98" s="1"/>
  <c r="G98"/>
  <c r="E98"/>
  <c r="J97"/>
  <c r="H97"/>
  <c r="G97"/>
  <c r="E97"/>
  <c r="H96"/>
  <c r="J96" s="1"/>
  <c r="G96"/>
  <c r="E96"/>
  <c r="J95"/>
  <c r="H95"/>
  <c r="G95"/>
  <c r="G119" s="1"/>
  <c r="H119" s="1"/>
  <c r="J119" s="1"/>
  <c r="E95"/>
  <c r="E94"/>
  <c r="J93"/>
  <c r="H93"/>
  <c r="G93"/>
  <c r="E93"/>
  <c r="H92"/>
  <c r="J92" s="1"/>
  <c r="G92"/>
  <c r="G94" s="1"/>
  <c r="H94" s="1"/>
  <c r="J94" s="1"/>
  <c r="E92"/>
  <c r="J90"/>
  <c r="H90"/>
  <c r="G90"/>
  <c r="E90"/>
  <c r="H89"/>
  <c r="J89" s="1"/>
  <c r="G89"/>
  <c r="E89"/>
  <c r="J88"/>
  <c r="H88"/>
  <c r="G88"/>
  <c r="E88"/>
  <c r="H87"/>
  <c r="J87" s="1"/>
  <c r="G87"/>
  <c r="E87"/>
  <c r="J86"/>
  <c r="H86"/>
  <c r="G86"/>
  <c r="E86"/>
  <c r="E85"/>
  <c r="J84"/>
  <c r="H84"/>
  <c r="G84"/>
  <c r="E84"/>
  <c r="H83"/>
  <c r="J83" s="1"/>
  <c r="G83"/>
  <c r="E83"/>
  <c r="J82"/>
  <c r="H82"/>
  <c r="G82"/>
  <c r="E82"/>
  <c r="H81"/>
  <c r="J81" s="1"/>
  <c r="G81"/>
  <c r="E81"/>
  <c r="J80"/>
  <c r="H80"/>
  <c r="G80"/>
  <c r="E80"/>
  <c r="H79"/>
  <c r="J79" s="1"/>
  <c r="G79"/>
  <c r="E79"/>
  <c r="J78"/>
  <c r="H78"/>
  <c r="G78"/>
  <c r="E78"/>
  <c r="H77"/>
  <c r="J77" s="1"/>
  <c r="G77"/>
  <c r="E77"/>
  <c r="J76"/>
  <c r="H76"/>
  <c r="G76"/>
  <c r="E76"/>
  <c r="H75"/>
  <c r="J75" s="1"/>
  <c r="G75"/>
  <c r="E75"/>
  <c r="J74"/>
  <c r="H74"/>
  <c r="G74"/>
  <c r="E74"/>
  <c r="H73"/>
  <c r="J73" s="1"/>
  <c r="G73"/>
  <c r="G85" s="1"/>
  <c r="H85" s="1"/>
  <c r="J85" s="1"/>
  <c r="E73"/>
  <c r="J72"/>
  <c r="H72"/>
  <c r="G72"/>
  <c r="E72"/>
  <c r="H70"/>
  <c r="E69"/>
  <c r="G69" s="1"/>
  <c r="H69" s="1"/>
  <c r="J69" s="1"/>
  <c r="E68"/>
  <c r="E170" s="1"/>
  <c r="E67"/>
  <c r="G67" s="1"/>
  <c r="H67" s="1"/>
  <c r="J67" s="1"/>
  <c r="E66"/>
  <c r="E168" s="1"/>
  <c r="G168" s="1"/>
  <c r="E65"/>
  <c r="E167" s="1"/>
  <c r="G167" s="1"/>
  <c r="E64"/>
  <c r="G64" s="1"/>
  <c r="H64" s="1"/>
  <c r="J64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J46"/>
  <c r="H46"/>
  <c r="G46"/>
  <c r="E46"/>
  <c r="H45"/>
  <c r="J45" s="1"/>
  <c r="G45"/>
  <c r="E45"/>
  <c r="J44"/>
  <c r="H44"/>
  <c r="G44"/>
  <c r="E44"/>
  <c r="H43"/>
  <c r="J43" s="1"/>
  <c r="G43"/>
  <c r="E43"/>
  <c r="J42"/>
  <c r="H42"/>
  <c r="G42"/>
  <c r="E42"/>
  <c r="H41"/>
  <c r="J41" s="1"/>
  <c r="G41"/>
  <c r="E41"/>
  <c r="J40"/>
  <c r="H40"/>
  <c r="G40"/>
  <c r="E40"/>
  <c r="N39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G18"/>
  <c r="E31" s="1"/>
  <c r="G31" s="1"/>
  <c r="H31" s="1"/>
  <c r="E18"/>
  <c r="H17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I8"/>
  <c r="G8"/>
  <c r="E27" s="1"/>
  <c r="G27" s="1"/>
  <c r="E8"/>
  <c r="I7"/>
  <c r="G7"/>
  <c r="E7"/>
  <c r="J3"/>
  <c r="I3"/>
  <c r="H3"/>
  <c r="G3"/>
  <c r="F171" i="24"/>
  <c r="F170"/>
  <c r="G170" s="1"/>
  <c r="F169"/>
  <c r="F168"/>
  <c r="F167"/>
  <c r="F166"/>
  <c r="F165"/>
  <c r="F164"/>
  <c r="E163"/>
  <c r="G163" s="1"/>
  <c r="G162"/>
  <c r="E162"/>
  <c r="E161"/>
  <c r="G161" s="1"/>
  <c r="G160"/>
  <c r="E160"/>
  <c r="H140"/>
  <c r="J140" s="1"/>
  <c r="G140"/>
  <c r="E140"/>
  <c r="G139"/>
  <c r="H139" s="1"/>
  <c r="J139" s="1"/>
  <c r="E139"/>
  <c r="J138"/>
  <c r="G138"/>
  <c r="E138"/>
  <c r="J137"/>
  <c r="E137"/>
  <c r="G137" s="1"/>
  <c r="I138" s="1"/>
  <c r="H136"/>
  <c r="J136" s="1"/>
  <c r="G136"/>
  <c r="E136"/>
  <c r="J135"/>
  <c r="E135"/>
  <c r="G135" s="1"/>
  <c r="J134"/>
  <c r="G134"/>
  <c r="I136" s="1"/>
  <c r="E134"/>
  <c r="E133"/>
  <c r="G133" s="1"/>
  <c r="H133" s="1"/>
  <c r="J133" s="1"/>
  <c r="H132"/>
  <c r="J132" s="1"/>
  <c r="G132"/>
  <c r="I133" s="1"/>
  <c r="E132"/>
  <c r="E131"/>
  <c r="G131" s="1"/>
  <c r="H131" s="1"/>
  <c r="J131" s="1"/>
  <c r="H130"/>
  <c r="J130" s="1"/>
  <c r="G130"/>
  <c r="E130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G123"/>
  <c r="H123" s="1"/>
  <c r="J123" s="1"/>
  <c r="E123"/>
  <c r="G117"/>
  <c r="H117" s="1"/>
  <c r="J117" s="1"/>
  <c r="J116"/>
  <c r="H116"/>
  <c r="G116"/>
  <c r="G115"/>
  <c r="H115" s="1"/>
  <c r="J115" s="1"/>
  <c r="E115"/>
  <c r="H114"/>
  <c r="J114" s="1"/>
  <c r="G114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G105"/>
  <c r="G107" s="1"/>
  <c r="H107" s="1"/>
  <c r="J107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E69"/>
  <c r="E171" s="1"/>
  <c r="E68"/>
  <c r="E170" s="1"/>
  <c r="E67"/>
  <c r="E169" s="1"/>
  <c r="G169" s="1"/>
  <c r="E66"/>
  <c r="G66" s="1"/>
  <c r="H66" s="1"/>
  <c r="J66" s="1"/>
  <c r="E65"/>
  <c r="E167" s="1"/>
  <c r="E64"/>
  <c r="G64" s="1"/>
  <c r="H64" s="1"/>
  <c r="J64" s="1"/>
  <c r="E63"/>
  <c r="E165" s="1"/>
  <c r="G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J23"/>
  <c r="H23"/>
  <c r="E23"/>
  <c r="E22"/>
  <c r="G22" s="1"/>
  <c r="H22" s="1"/>
  <c r="J22" s="1"/>
  <c r="N20"/>
  <c r="G20"/>
  <c r="H20" s="1"/>
  <c r="J20" s="1"/>
  <c r="I19"/>
  <c r="G19"/>
  <c r="E30" s="1"/>
  <c r="G30" s="1"/>
  <c r="H30" s="1"/>
  <c r="J30" s="1"/>
  <c r="E19"/>
  <c r="I18"/>
  <c r="H18"/>
  <c r="J18" s="1"/>
  <c r="G18"/>
  <c r="E31" s="1"/>
  <c r="G31" s="1"/>
  <c r="H31" s="1"/>
  <c r="E18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I8"/>
  <c r="H8"/>
  <c r="J8" s="1"/>
  <c r="G8"/>
  <c r="E27" s="1"/>
  <c r="G27" s="1"/>
  <c r="E8"/>
  <c r="I7"/>
  <c r="E7"/>
  <c r="G7" s="1"/>
  <c r="J3"/>
  <c r="I3"/>
  <c r="H3"/>
  <c r="G3"/>
  <c r="F171" i="23"/>
  <c r="G171" s="1"/>
  <c r="E171"/>
  <c r="F170"/>
  <c r="F169"/>
  <c r="F168"/>
  <c r="F167"/>
  <c r="F166"/>
  <c r="F165"/>
  <c r="F164"/>
  <c r="E163"/>
  <c r="G163" s="1"/>
  <c r="G162"/>
  <c r="E162"/>
  <c r="E161"/>
  <c r="G161" s="1"/>
  <c r="G160"/>
  <c r="E160"/>
  <c r="O154"/>
  <c r="O141"/>
  <c r="G140"/>
  <c r="H140" s="1"/>
  <c r="J140" s="1"/>
  <c r="E140"/>
  <c r="H139"/>
  <c r="J139" s="1"/>
  <c r="G139"/>
  <c r="O139" s="1"/>
  <c r="E139"/>
  <c r="E138"/>
  <c r="G138" s="1"/>
  <c r="G137"/>
  <c r="E137"/>
  <c r="E136"/>
  <c r="G136" s="1"/>
  <c r="E135"/>
  <c r="G135" s="1"/>
  <c r="H134"/>
  <c r="J134" s="1"/>
  <c r="G134"/>
  <c r="O134" s="1"/>
  <c r="E134"/>
  <c r="E133"/>
  <c r="G133" s="1"/>
  <c r="E132"/>
  <c r="G132" s="1"/>
  <c r="H131"/>
  <c r="J131" s="1"/>
  <c r="G131"/>
  <c r="O131" s="1"/>
  <c r="E131"/>
  <c r="H130"/>
  <c r="J130" s="1"/>
  <c r="G130"/>
  <c r="O130" s="1"/>
  <c r="E130"/>
  <c r="O129"/>
  <c r="O127"/>
  <c r="G127"/>
  <c r="H127" s="1"/>
  <c r="J127" s="1"/>
  <c r="E127"/>
  <c r="G126"/>
  <c r="O126" s="1"/>
  <c r="E126"/>
  <c r="J125"/>
  <c r="H125"/>
  <c r="G125"/>
  <c r="O125" s="1"/>
  <c r="E125"/>
  <c r="E124"/>
  <c r="G124" s="1"/>
  <c r="E123"/>
  <c r="G123" s="1"/>
  <c r="O122"/>
  <c r="O121"/>
  <c r="H116"/>
  <c r="J116" s="1"/>
  <c r="G116"/>
  <c r="O116" s="1"/>
  <c r="J115"/>
  <c r="H115"/>
  <c r="G115"/>
  <c r="O115" s="1"/>
  <c r="E115"/>
  <c r="E114"/>
  <c r="G114" s="1"/>
  <c r="O113"/>
  <c r="J113"/>
  <c r="E113"/>
  <c r="E112"/>
  <c r="E111"/>
  <c r="G111" s="1"/>
  <c r="H110"/>
  <c r="J110" s="1"/>
  <c r="G110"/>
  <c r="O110" s="1"/>
  <c r="E110"/>
  <c r="H109"/>
  <c r="J109" s="1"/>
  <c r="G109"/>
  <c r="E109"/>
  <c r="O108"/>
  <c r="E108"/>
  <c r="E107"/>
  <c r="J106"/>
  <c r="H106"/>
  <c r="G106"/>
  <c r="O106" s="1"/>
  <c r="E106"/>
  <c r="E105"/>
  <c r="G105" s="1"/>
  <c r="E104"/>
  <c r="G104" s="1"/>
  <c r="O103"/>
  <c r="O102"/>
  <c r="E100"/>
  <c r="G100" s="1"/>
  <c r="E99"/>
  <c r="G99" s="1"/>
  <c r="H98"/>
  <c r="J98" s="1"/>
  <c r="G98"/>
  <c r="O98" s="1"/>
  <c r="E98"/>
  <c r="H97"/>
  <c r="J97" s="1"/>
  <c r="G97"/>
  <c r="O97" s="1"/>
  <c r="E97"/>
  <c r="E96"/>
  <c r="G96" s="1"/>
  <c r="O95"/>
  <c r="G95"/>
  <c r="F119" s="1"/>
  <c r="E95"/>
  <c r="E94"/>
  <c r="J93"/>
  <c r="H93"/>
  <c r="G93"/>
  <c r="O93" s="1"/>
  <c r="E93"/>
  <c r="E92"/>
  <c r="G92" s="1"/>
  <c r="O91"/>
  <c r="G90"/>
  <c r="O90" s="1"/>
  <c r="E90"/>
  <c r="J89"/>
  <c r="H89"/>
  <c r="G89"/>
  <c r="O89" s="1"/>
  <c r="E89"/>
  <c r="E88"/>
  <c r="G88" s="1"/>
  <c r="E87"/>
  <c r="G87" s="1"/>
  <c r="H86"/>
  <c r="J86" s="1"/>
  <c r="G86"/>
  <c r="O86" s="1"/>
  <c r="E86"/>
  <c r="J84"/>
  <c r="H84"/>
  <c r="G84"/>
  <c r="O84" s="1"/>
  <c r="E84"/>
  <c r="E83"/>
  <c r="G83" s="1"/>
  <c r="E82"/>
  <c r="G82" s="1"/>
  <c r="H81"/>
  <c r="J81" s="1"/>
  <c r="G81"/>
  <c r="O81" s="1"/>
  <c r="E81"/>
  <c r="H80"/>
  <c r="J80" s="1"/>
  <c r="G80"/>
  <c r="O80" s="1"/>
  <c r="E80"/>
  <c r="E79"/>
  <c r="G79" s="1"/>
  <c r="G78"/>
  <c r="H78" s="1"/>
  <c r="J78" s="1"/>
  <c r="E78"/>
  <c r="G77"/>
  <c r="O77" s="1"/>
  <c r="E77"/>
  <c r="J76"/>
  <c r="H76"/>
  <c r="G76"/>
  <c r="O76" s="1"/>
  <c r="E76"/>
  <c r="E75"/>
  <c r="G75" s="1"/>
  <c r="E74"/>
  <c r="G74" s="1"/>
  <c r="H73"/>
  <c r="J73" s="1"/>
  <c r="G73"/>
  <c r="O73" s="1"/>
  <c r="E73"/>
  <c r="H72"/>
  <c r="J72" s="1"/>
  <c r="G72"/>
  <c r="E72"/>
  <c r="O71"/>
  <c r="O70"/>
  <c r="H70"/>
  <c r="H69"/>
  <c r="J69" s="1"/>
  <c r="G69"/>
  <c r="O69" s="1"/>
  <c r="E69"/>
  <c r="E68"/>
  <c r="E170" s="1"/>
  <c r="G67"/>
  <c r="H67" s="1"/>
  <c r="J67" s="1"/>
  <c r="E67"/>
  <c r="E169" s="1"/>
  <c r="G169" s="1"/>
  <c r="G66"/>
  <c r="O66" s="1"/>
  <c r="E66"/>
  <c r="E168" s="1"/>
  <c r="G168" s="1"/>
  <c r="J65"/>
  <c r="H65"/>
  <c r="G65"/>
  <c r="O65" s="1"/>
  <c r="E65"/>
  <c r="E167" s="1"/>
  <c r="G167" s="1"/>
  <c r="E64"/>
  <c r="G64" s="1"/>
  <c r="E63"/>
  <c r="E165" s="1"/>
  <c r="G165" s="1"/>
  <c r="H62"/>
  <c r="J62" s="1"/>
  <c r="G62"/>
  <c r="O62" s="1"/>
  <c r="E62"/>
  <c r="E164" s="1"/>
  <c r="G164" s="1"/>
  <c r="O61"/>
  <c r="H58"/>
  <c r="J58" s="1"/>
  <c r="G58"/>
  <c r="O58" s="1"/>
  <c r="E58"/>
  <c r="H57"/>
  <c r="J57" s="1"/>
  <c r="G57"/>
  <c r="O57" s="1"/>
  <c r="E57"/>
  <c r="E56"/>
  <c r="G56" s="1"/>
  <c r="G55"/>
  <c r="H55" s="1"/>
  <c r="J55" s="1"/>
  <c r="E55"/>
  <c r="G54"/>
  <c r="O54" s="1"/>
  <c r="E54"/>
  <c r="J53"/>
  <c r="H53"/>
  <c r="G53"/>
  <c r="O53" s="1"/>
  <c r="E53"/>
  <c r="E52"/>
  <c r="G52" s="1"/>
  <c r="E51"/>
  <c r="G51" s="1"/>
  <c r="H50"/>
  <c r="J50" s="1"/>
  <c r="G50"/>
  <c r="O50" s="1"/>
  <c r="E50"/>
  <c r="H49"/>
  <c r="J49" s="1"/>
  <c r="G49"/>
  <c r="O49" s="1"/>
  <c r="E49"/>
  <c r="O48"/>
  <c r="G46"/>
  <c r="H46" s="1"/>
  <c r="J46" s="1"/>
  <c r="E46"/>
  <c r="G45"/>
  <c r="O45" s="1"/>
  <c r="E45"/>
  <c r="J44"/>
  <c r="H44"/>
  <c r="G44"/>
  <c r="O44" s="1"/>
  <c r="E44"/>
  <c r="E43"/>
  <c r="G43" s="1"/>
  <c r="E42"/>
  <c r="G42" s="1"/>
  <c r="H41"/>
  <c r="J41" s="1"/>
  <c r="G41"/>
  <c r="O41" s="1"/>
  <c r="E41"/>
  <c r="H40"/>
  <c r="J40" s="1"/>
  <c r="G40"/>
  <c r="O40" s="1"/>
  <c r="E40"/>
  <c r="E39"/>
  <c r="G39" s="1"/>
  <c r="G38"/>
  <c r="H38" s="1"/>
  <c r="J38" s="1"/>
  <c r="E38"/>
  <c r="G37"/>
  <c r="O37" s="1"/>
  <c r="E37"/>
  <c r="J36"/>
  <c r="H36"/>
  <c r="G36"/>
  <c r="O36" s="1"/>
  <c r="E36"/>
  <c r="E35"/>
  <c r="G35" s="1"/>
  <c r="O34"/>
  <c r="O33"/>
  <c r="E29"/>
  <c r="G29" s="1"/>
  <c r="O26"/>
  <c r="O25"/>
  <c r="O24"/>
  <c r="J24"/>
  <c r="H24"/>
  <c r="E24"/>
  <c r="O23"/>
  <c r="J23"/>
  <c r="H23"/>
  <c r="E23"/>
  <c r="E22"/>
  <c r="G22" s="1"/>
  <c r="O21"/>
  <c r="E19"/>
  <c r="G19" s="1"/>
  <c r="I18"/>
  <c r="G18"/>
  <c r="E31" s="1"/>
  <c r="G31" s="1"/>
  <c r="E18"/>
  <c r="O17"/>
  <c r="O16"/>
  <c r="G15"/>
  <c r="O15" s="1"/>
  <c r="E15"/>
  <c r="O14"/>
  <c r="G12"/>
  <c r="H12" s="1"/>
  <c r="J12" s="1"/>
  <c r="E12"/>
  <c r="G11"/>
  <c r="O11" s="1"/>
  <c r="E11"/>
  <c r="J10"/>
  <c r="H10"/>
  <c r="G10"/>
  <c r="O10" s="1"/>
  <c r="E10"/>
  <c r="G9"/>
  <c r="H9" s="1"/>
  <c r="J9" s="1"/>
  <c r="E9"/>
  <c r="I8"/>
  <c r="H8"/>
  <c r="J8" s="1"/>
  <c r="I9" s="1"/>
  <c r="G8"/>
  <c r="O8" s="1"/>
  <c r="E8"/>
  <c r="I7"/>
  <c r="E7"/>
  <c r="G7" s="1"/>
  <c r="J3"/>
  <c r="I3"/>
  <c r="H3"/>
  <c r="G3"/>
  <c r="F171" i="22"/>
  <c r="F170"/>
  <c r="F169"/>
  <c r="F168"/>
  <c r="F167"/>
  <c r="F166"/>
  <c r="F165"/>
  <c r="F164"/>
  <c r="E163"/>
  <c r="G163" s="1"/>
  <c r="L163" s="1"/>
  <c r="L162"/>
  <c r="G162"/>
  <c r="G161"/>
  <c r="L161" s="1"/>
  <c r="E160"/>
  <c r="G160" s="1"/>
  <c r="E140"/>
  <c r="G140" s="1"/>
  <c r="H140" s="1"/>
  <c r="J140" s="1"/>
  <c r="J139"/>
  <c r="H139"/>
  <c r="G139"/>
  <c r="E139"/>
  <c r="E138"/>
  <c r="G138" s="1"/>
  <c r="J137"/>
  <c r="H137"/>
  <c r="G137"/>
  <c r="E137"/>
  <c r="G136"/>
  <c r="H136" s="1"/>
  <c r="J136" s="1"/>
  <c r="E136"/>
  <c r="E135"/>
  <c r="G135" s="1"/>
  <c r="H135" s="1"/>
  <c r="J135" s="1"/>
  <c r="G134"/>
  <c r="H134" s="1"/>
  <c r="J134" s="1"/>
  <c r="E134"/>
  <c r="G133"/>
  <c r="H133" s="1"/>
  <c r="J133" s="1"/>
  <c r="E133"/>
  <c r="H132"/>
  <c r="J132" s="1"/>
  <c r="G132"/>
  <c r="E132"/>
  <c r="G131"/>
  <c r="H131" s="1"/>
  <c r="J131" s="1"/>
  <c r="E131"/>
  <c r="H130"/>
  <c r="J130" s="1"/>
  <c r="G130"/>
  <c r="I133" s="1"/>
  <c r="E130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G123"/>
  <c r="H123" s="1"/>
  <c r="J123" s="1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G110"/>
  <c r="G112" s="1"/>
  <c r="E110"/>
  <c r="G109"/>
  <c r="H109" s="1"/>
  <c r="J109" s="1"/>
  <c r="E109"/>
  <c r="E108"/>
  <c r="E107"/>
  <c r="H106"/>
  <c r="J106" s="1"/>
  <c r="G106"/>
  <c r="E106"/>
  <c r="H105"/>
  <c r="J105" s="1"/>
  <c r="G105"/>
  <c r="E105"/>
  <c r="E104"/>
  <c r="G104" s="1"/>
  <c r="G100"/>
  <c r="H100" s="1"/>
  <c r="J100" s="1"/>
  <c r="E100"/>
  <c r="G99"/>
  <c r="H99" s="1"/>
  <c r="J99" s="1"/>
  <c r="E99"/>
  <c r="G98"/>
  <c r="H98" s="1"/>
  <c r="J98" s="1"/>
  <c r="E98"/>
  <c r="G97"/>
  <c r="H97" s="1"/>
  <c r="J97" s="1"/>
  <c r="E97"/>
  <c r="G96"/>
  <c r="H96" s="1"/>
  <c r="J96" s="1"/>
  <c r="E96"/>
  <c r="G95"/>
  <c r="F119" s="1"/>
  <c r="E95"/>
  <c r="E94"/>
  <c r="G93"/>
  <c r="H93" s="1"/>
  <c r="J93" s="1"/>
  <c r="E93"/>
  <c r="G92"/>
  <c r="G94" s="1"/>
  <c r="H94" s="1"/>
  <c r="J94" s="1"/>
  <c r="E92"/>
  <c r="G90"/>
  <c r="H90" s="1"/>
  <c r="J90" s="1"/>
  <c r="E90"/>
  <c r="G89"/>
  <c r="H89" s="1"/>
  <c r="J89" s="1"/>
  <c r="E89"/>
  <c r="G88"/>
  <c r="H88" s="1"/>
  <c r="J88" s="1"/>
  <c r="E88"/>
  <c r="G87"/>
  <c r="H87" s="1"/>
  <c r="J87" s="1"/>
  <c r="E87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G68"/>
  <c r="H68" s="1"/>
  <c r="J68" s="1"/>
  <c r="E68"/>
  <c r="E170" s="1"/>
  <c r="G67"/>
  <c r="H67" s="1"/>
  <c r="J67" s="1"/>
  <c r="E67"/>
  <c r="E169" s="1"/>
  <c r="G66"/>
  <c r="H66" s="1"/>
  <c r="J66" s="1"/>
  <c r="E66"/>
  <c r="E168" s="1"/>
  <c r="G168" s="1"/>
  <c r="L168" s="1"/>
  <c r="G65"/>
  <c r="H65" s="1"/>
  <c r="J65" s="1"/>
  <c r="E65"/>
  <c r="E167" s="1"/>
  <c r="G64"/>
  <c r="H64" s="1"/>
  <c r="J64" s="1"/>
  <c r="E64"/>
  <c r="E166" s="1"/>
  <c r="G63"/>
  <c r="H63" s="1"/>
  <c r="J63" s="1"/>
  <c r="E63"/>
  <c r="E165" s="1"/>
  <c r="G62"/>
  <c r="H62" s="1"/>
  <c r="J62" s="1"/>
  <c r="E62"/>
  <c r="E164" s="1"/>
  <c r="E58"/>
  <c r="G58" s="1"/>
  <c r="L57"/>
  <c r="G57"/>
  <c r="H57" s="1"/>
  <c r="J57" s="1"/>
  <c r="E57"/>
  <c r="H56"/>
  <c r="J56" s="1"/>
  <c r="G56"/>
  <c r="L56" s="1"/>
  <c r="E56"/>
  <c r="G55"/>
  <c r="L55" s="1"/>
  <c r="E55"/>
  <c r="E54"/>
  <c r="G54" s="1"/>
  <c r="G53"/>
  <c r="H53" s="1"/>
  <c r="J53" s="1"/>
  <c r="E53"/>
  <c r="E52"/>
  <c r="G52" s="1"/>
  <c r="E51"/>
  <c r="G51" s="1"/>
  <c r="E50"/>
  <c r="G50" s="1"/>
  <c r="E49"/>
  <c r="G49" s="1"/>
  <c r="L48"/>
  <c r="E46"/>
  <c r="G46" s="1"/>
  <c r="E45"/>
  <c r="G45" s="1"/>
  <c r="G44"/>
  <c r="H44" s="1"/>
  <c r="J44" s="1"/>
  <c r="E44"/>
  <c r="E43"/>
  <c r="G43" s="1"/>
  <c r="E42"/>
  <c r="G42" s="1"/>
  <c r="G41"/>
  <c r="L41" s="1"/>
  <c r="E40"/>
  <c r="G40" s="1"/>
  <c r="G39"/>
  <c r="G146" s="1"/>
  <c r="E39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E31" s="1"/>
  <c r="G31" s="1"/>
  <c r="H31" s="1"/>
  <c r="E18"/>
  <c r="E15"/>
  <c r="G15" s="1"/>
  <c r="E12"/>
  <c r="G12" s="1"/>
  <c r="H12" s="1"/>
  <c r="J12" s="1"/>
  <c r="G11"/>
  <c r="H11" s="1"/>
  <c r="J11" s="1"/>
  <c r="E11"/>
  <c r="E10"/>
  <c r="G10" s="1"/>
  <c r="H10" s="1"/>
  <c r="J10" s="1"/>
  <c r="E9"/>
  <c r="G9" s="1"/>
  <c r="I8"/>
  <c r="E8"/>
  <c r="G8" s="1"/>
  <c r="I7"/>
  <c r="E7"/>
  <c r="G7" s="1"/>
  <c r="J3"/>
  <c r="I3"/>
  <c r="H3"/>
  <c r="G3"/>
  <c r="F171" i="21"/>
  <c r="F170"/>
  <c r="F169"/>
  <c r="F168"/>
  <c r="F167"/>
  <c r="F166"/>
  <c r="F165"/>
  <c r="F164"/>
  <c r="G163"/>
  <c r="L163" s="1"/>
  <c r="E163"/>
  <c r="G162"/>
  <c r="L162" s="1"/>
  <c r="E162"/>
  <c r="E161"/>
  <c r="G161" s="1"/>
  <c r="L161" s="1"/>
  <c r="E160"/>
  <c r="G160" s="1"/>
  <c r="E140"/>
  <c r="G140" s="1"/>
  <c r="H140" s="1"/>
  <c r="J140" s="1"/>
  <c r="E139"/>
  <c r="G139" s="1"/>
  <c r="H139" s="1"/>
  <c r="J139" s="1"/>
  <c r="G138"/>
  <c r="H138" s="1"/>
  <c r="J138" s="1"/>
  <c r="E138"/>
  <c r="E137"/>
  <c r="G137" s="1"/>
  <c r="H136"/>
  <c r="J136" s="1"/>
  <c r="G136"/>
  <c r="E136"/>
  <c r="G135"/>
  <c r="H135" s="1"/>
  <c r="J135" s="1"/>
  <c r="E135"/>
  <c r="H134"/>
  <c r="J134" s="1"/>
  <c r="G134"/>
  <c r="I136" s="1"/>
  <c r="E134"/>
  <c r="H133"/>
  <c r="J133" s="1"/>
  <c r="G133"/>
  <c r="E133"/>
  <c r="J132"/>
  <c r="H132"/>
  <c r="G132"/>
  <c r="E132"/>
  <c r="H131"/>
  <c r="J131" s="1"/>
  <c r="G131"/>
  <c r="E131"/>
  <c r="J130"/>
  <c r="H130"/>
  <c r="G130"/>
  <c r="I133" s="1"/>
  <c r="E130"/>
  <c r="H127"/>
  <c r="J127" s="1"/>
  <c r="G127"/>
  <c r="E127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H110"/>
  <c r="J110" s="1"/>
  <c r="G110"/>
  <c r="E110"/>
  <c r="G109"/>
  <c r="G112" s="1"/>
  <c r="E109"/>
  <c r="E108"/>
  <c r="E107"/>
  <c r="H106"/>
  <c r="J106" s="1"/>
  <c r="G106"/>
  <c r="E106"/>
  <c r="J105"/>
  <c r="H105"/>
  <c r="G105"/>
  <c r="E105"/>
  <c r="H104"/>
  <c r="J104" s="1"/>
  <c r="G104"/>
  <c r="G107" s="1"/>
  <c r="H107" s="1"/>
  <c r="J107" s="1"/>
  <c r="E104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F119" s="1"/>
  <c r="E95"/>
  <c r="E94"/>
  <c r="H93"/>
  <c r="J93" s="1"/>
  <c r="G93"/>
  <c r="E93"/>
  <c r="G92"/>
  <c r="G94" s="1"/>
  <c r="H94" s="1"/>
  <c r="J94" s="1"/>
  <c r="E92"/>
  <c r="H90"/>
  <c r="J90" s="1"/>
  <c r="G90"/>
  <c r="E90"/>
  <c r="G89"/>
  <c r="H89" s="1"/>
  <c r="J89" s="1"/>
  <c r="E89"/>
  <c r="H88"/>
  <c r="J88" s="1"/>
  <c r="G88"/>
  <c r="E88"/>
  <c r="G87"/>
  <c r="H87" s="1"/>
  <c r="J87" s="1"/>
  <c r="E87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H70"/>
  <c r="G69"/>
  <c r="H69" s="1"/>
  <c r="J69" s="1"/>
  <c r="E69"/>
  <c r="E171" s="1"/>
  <c r="G171" s="1"/>
  <c r="L171" s="1"/>
  <c r="H68"/>
  <c r="J68" s="1"/>
  <c r="G68"/>
  <c r="E68"/>
  <c r="E170" s="1"/>
  <c r="G170" s="1"/>
  <c r="L170" s="1"/>
  <c r="G67"/>
  <c r="H67" s="1"/>
  <c r="J67" s="1"/>
  <c r="E67"/>
  <c r="E169" s="1"/>
  <c r="G169" s="1"/>
  <c r="L169" s="1"/>
  <c r="H66"/>
  <c r="J66" s="1"/>
  <c r="G66"/>
  <c r="E66"/>
  <c r="E168" s="1"/>
  <c r="G168" s="1"/>
  <c r="L168" s="1"/>
  <c r="G65"/>
  <c r="H65" s="1"/>
  <c r="J65" s="1"/>
  <c r="E65"/>
  <c r="E167" s="1"/>
  <c r="G167" s="1"/>
  <c r="L167" s="1"/>
  <c r="H64"/>
  <c r="J64" s="1"/>
  <c r="G64"/>
  <c r="E64"/>
  <c r="E166" s="1"/>
  <c r="G166" s="1"/>
  <c r="L166" s="1"/>
  <c r="G63"/>
  <c r="H63" s="1"/>
  <c r="J63" s="1"/>
  <c r="E63"/>
  <c r="E165" s="1"/>
  <c r="G165" s="1"/>
  <c r="L165" s="1"/>
  <c r="H62"/>
  <c r="J62" s="1"/>
  <c r="G62"/>
  <c r="E62"/>
  <c r="E164" s="1"/>
  <c r="G164" s="1"/>
  <c r="L164" s="1"/>
  <c r="G58"/>
  <c r="H58" s="1"/>
  <c r="J58" s="1"/>
  <c r="E58"/>
  <c r="G57"/>
  <c r="L57" s="1"/>
  <c r="E57"/>
  <c r="J56"/>
  <c r="H56"/>
  <c r="G56"/>
  <c r="L56" s="1"/>
  <c r="E56"/>
  <c r="E55"/>
  <c r="G55" s="1"/>
  <c r="E54"/>
  <c r="G54" s="1"/>
  <c r="H53"/>
  <c r="J53" s="1"/>
  <c r="G53"/>
  <c r="L53" s="1"/>
  <c r="E53"/>
  <c r="H52"/>
  <c r="J52" s="1"/>
  <c r="G52"/>
  <c r="L52" s="1"/>
  <c r="E52"/>
  <c r="E51"/>
  <c r="G51" s="1"/>
  <c r="G50"/>
  <c r="H50" s="1"/>
  <c r="J50" s="1"/>
  <c r="E50"/>
  <c r="G49"/>
  <c r="L49" s="1"/>
  <c r="E49"/>
  <c r="L48"/>
  <c r="E46"/>
  <c r="G46" s="1"/>
  <c r="E45"/>
  <c r="G45" s="1"/>
  <c r="H44"/>
  <c r="J44" s="1"/>
  <c r="G44"/>
  <c r="L44" s="1"/>
  <c r="E44"/>
  <c r="H43"/>
  <c r="J43" s="1"/>
  <c r="G43"/>
  <c r="L43" s="1"/>
  <c r="E43"/>
  <c r="E42"/>
  <c r="G42" s="1"/>
  <c r="G41"/>
  <c r="H41" s="1"/>
  <c r="J41" s="1"/>
  <c r="E41"/>
  <c r="G40"/>
  <c r="L40" s="1"/>
  <c r="E40"/>
  <c r="J39"/>
  <c r="H39"/>
  <c r="G39"/>
  <c r="G146" s="1"/>
  <c r="E39"/>
  <c r="E38"/>
  <c r="G38" s="1"/>
  <c r="E37"/>
  <c r="G37" s="1"/>
  <c r="H36"/>
  <c r="J36" s="1"/>
  <c r="G36"/>
  <c r="L36" s="1"/>
  <c r="E36"/>
  <c r="H35"/>
  <c r="J35" s="1"/>
  <c r="G35"/>
  <c r="G142" s="1"/>
  <c r="E35"/>
  <c r="E31"/>
  <c r="G31" s="1"/>
  <c r="H31" s="1"/>
  <c r="E29"/>
  <c r="G29" s="1"/>
  <c r="H29" s="1"/>
  <c r="J29" s="1"/>
  <c r="E27"/>
  <c r="G27" s="1"/>
  <c r="J24"/>
  <c r="H24"/>
  <c r="E24"/>
  <c r="J23"/>
  <c r="H23"/>
  <c r="E23"/>
  <c r="H22"/>
  <c r="J22" s="1"/>
  <c r="E22"/>
  <c r="G19"/>
  <c r="E30" s="1"/>
  <c r="G30" s="1"/>
  <c r="H30" s="1"/>
  <c r="J30" s="1"/>
  <c r="E19"/>
  <c r="I18"/>
  <c r="I20" s="1"/>
  <c r="H18"/>
  <c r="J18" s="1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H8"/>
  <c r="J8" s="1"/>
  <c r="I9" s="1"/>
  <c r="G8"/>
  <c r="E8"/>
  <c r="I7"/>
  <c r="E7"/>
  <c r="G7" s="1"/>
  <c r="J3"/>
  <c r="I3"/>
  <c r="H3"/>
  <c r="G3"/>
  <c r="E168" i="20"/>
  <c r="E164"/>
  <c r="G164" s="1"/>
  <c r="G163"/>
  <c r="E163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G138"/>
  <c r="H138" s="1"/>
  <c r="J138" s="1"/>
  <c r="E138"/>
  <c r="G137"/>
  <c r="I138" s="1"/>
  <c r="E137"/>
  <c r="H136"/>
  <c r="J136" s="1"/>
  <c r="G136"/>
  <c r="E136"/>
  <c r="E135"/>
  <c r="G135" s="1"/>
  <c r="H134"/>
  <c r="J134" s="1"/>
  <c r="G134"/>
  <c r="E134"/>
  <c r="E133"/>
  <c r="G133" s="1"/>
  <c r="H133" s="1"/>
  <c r="J133" s="1"/>
  <c r="J132"/>
  <c r="H132"/>
  <c r="G132"/>
  <c r="E132"/>
  <c r="E131"/>
  <c r="G131" s="1"/>
  <c r="J130"/>
  <c r="H130"/>
  <c r="G130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H110"/>
  <c r="J110" s="1"/>
  <c r="G110"/>
  <c r="E110"/>
  <c r="G109"/>
  <c r="H109" s="1"/>
  <c r="J109" s="1"/>
  <c r="E109"/>
  <c r="E108"/>
  <c r="E107"/>
  <c r="E106"/>
  <c r="G106" s="1"/>
  <c r="H106" s="1"/>
  <c r="J106" s="1"/>
  <c r="J105"/>
  <c r="H105"/>
  <c r="G105"/>
  <c r="E105"/>
  <c r="E104"/>
  <c r="G104" s="1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F119" s="1"/>
  <c r="E95"/>
  <c r="E94"/>
  <c r="H93"/>
  <c r="J93" s="1"/>
  <c r="G93"/>
  <c r="E93"/>
  <c r="G92"/>
  <c r="G94" s="1"/>
  <c r="H94" s="1"/>
  <c r="J94" s="1"/>
  <c r="E92"/>
  <c r="H90"/>
  <c r="J90" s="1"/>
  <c r="G90"/>
  <c r="E90"/>
  <c r="G89"/>
  <c r="H89" s="1"/>
  <c r="J89" s="1"/>
  <c r="E89"/>
  <c r="H88"/>
  <c r="J88" s="1"/>
  <c r="G88"/>
  <c r="E88"/>
  <c r="G87"/>
  <c r="H87" s="1"/>
  <c r="J87" s="1"/>
  <c r="E87"/>
  <c r="L86"/>
  <c r="J86"/>
  <c r="H86"/>
  <c r="G86"/>
  <c r="E86"/>
  <c r="H84"/>
  <c r="J84" s="1"/>
  <c r="G84"/>
  <c r="E84"/>
  <c r="G83"/>
  <c r="H83" s="1"/>
  <c r="J83" s="1"/>
  <c r="E83"/>
  <c r="H82"/>
  <c r="J82" s="1"/>
  <c r="G82"/>
  <c r="E82"/>
  <c r="G81"/>
  <c r="H81" s="1"/>
  <c r="J81" s="1"/>
  <c r="E81"/>
  <c r="H80"/>
  <c r="J80" s="1"/>
  <c r="G80"/>
  <c r="E80"/>
  <c r="G79"/>
  <c r="H79" s="1"/>
  <c r="J79" s="1"/>
  <c r="E79"/>
  <c r="H78"/>
  <c r="J78" s="1"/>
  <c r="G78"/>
  <c r="E78"/>
  <c r="G77"/>
  <c r="H77" s="1"/>
  <c r="J77" s="1"/>
  <c r="E77"/>
  <c r="H76"/>
  <c r="J76" s="1"/>
  <c r="G76"/>
  <c r="E76"/>
  <c r="G75"/>
  <c r="H75" s="1"/>
  <c r="J75" s="1"/>
  <c r="E75"/>
  <c r="H74"/>
  <c r="J74" s="1"/>
  <c r="G74"/>
  <c r="E74"/>
  <c r="E73"/>
  <c r="G73" s="1"/>
  <c r="H73" s="1"/>
  <c r="J73" s="1"/>
  <c r="H72"/>
  <c r="J72" s="1"/>
  <c r="G72"/>
  <c r="G85" s="1"/>
  <c r="H85" s="1"/>
  <c r="J85" s="1"/>
  <c r="E72"/>
  <c r="H70"/>
  <c r="E69"/>
  <c r="G69" s="1"/>
  <c r="H69" s="1"/>
  <c r="J69" s="1"/>
  <c r="E68"/>
  <c r="E170" s="1"/>
  <c r="E67"/>
  <c r="E169" s="1"/>
  <c r="E66"/>
  <c r="G168" s="1"/>
  <c r="E65"/>
  <c r="G65" s="1"/>
  <c r="H65" s="1"/>
  <c r="J65" s="1"/>
  <c r="E64"/>
  <c r="E166" s="1"/>
  <c r="E63"/>
  <c r="E165" s="1"/>
  <c r="G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J53"/>
  <c r="H53"/>
  <c r="G53"/>
  <c r="E52"/>
  <c r="G52" s="1"/>
  <c r="H52" s="1"/>
  <c r="J52" s="1"/>
  <c r="H51"/>
  <c r="J51" s="1"/>
  <c r="G51"/>
  <c r="E51"/>
  <c r="E50"/>
  <c r="G50" s="1"/>
  <c r="H50" s="1"/>
  <c r="J50" s="1"/>
  <c r="H49"/>
  <c r="J49" s="1"/>
  <c r="G49"/>
  <c r="E49"/>
  <c r="E47"/>
  <c r="H46"/>
  <c r="J46" s="1"/>
  <c r="G46"/>
  <c r="E46"/>
  <c r="E45"/>
  <c r="G45" s="1"/>
  <c r="H45" s="1"/>
  <c r="J45" s="1"/>
  <c r="H44"/>
  <c r="J44" s="1"/>
  <c r="G44"/>
  <c r="E44"/>
  <c r="E43"/>
  <c r="G43" s="1"/>
  <c r="H43" s="1"/>
  <c r="J43" s="1"/>
  <c r="H42"/>
  <c r="J42" s="1"/>
  <c r="G42"/>
  <c r="E42"/>
  <c r="E41"/>
  <c r="G41" s="1"/>
  <c r="H40"/>
  <c r="J40" s="1"/>
  <c r="G40"/>
  <c r="E40"/>
  <c r="E39"/>
  <c r="G39" s="1"/>
  <c r="H38"/>
  <c r="J38" s="1"/>
  <c r="G38"/>
  <c r="E38"/>
  <c r="E37"/>
  <c r="G37" s="1"/>
  <c r="H36"/>
  <c r="J36" s="1"/>
  <c r="G36"/>
  <c r="G150" s="1"/>
  <c r="E36"/>
  <c r="G35"/>
  <c r="G47" s="1"/>
  <c r="E29"/>
  <c r="G29" s="1"/>
  <c r="H29" s="1"/>
  <c r="J29" s="1"/>
  <c r="H24"/>
  <c r="J24" s="1"/>
  <c r="E24"/>
  <c r="H23"/>
  <c r="J23" s="1"/>
  <c r="E23"/>
  <c r="J22"/>
  <c r="E22"/>
  <c r="G22" s="1"/>
  <c r="E19"/>
  <c r="G19" s="1"/>
  <c r="I18"/>
  <c r="G18"/>
  <c r="H18" s="1"/>
  <c r="J18" s="1"/>
  <c r="E18"/>
  <c r="E15"/>
  <c r="G15" s="1"/>
  <c r="E12"/>
  <c r="G12" s="1"/>
  <c r="H12" s="1"/>
  <c r="J12" s="1"/>
  <c r="H11"/>
  <c r="J11" s="1"/>
  <c r="G11"/>
  <c r="E11"/>
  <c r="E10"/>
  <c r="G10" s="1"/>
  <c r="H10" s="1"/>
  <c r="J10" s="1"/>
  <c r="N9"/>
  <c r="E9"/>
  <c r="G9" s="1"/>
  <c r="N8"/>
  <c r="I8"/>
  <c r="I9" s="1"/>
  <c r="H8"/>
  <c r="J8" s="1"/>
  <c r="G8"/>
  <c r="E27" s="1"/>
  <c r="G27" s="1"/>
  <c r="E8"/>
  <c r="I7"/>
  <c r="E7"/>
  <c r="G7" s="1"/>
  <c r="E163" i="19"/>
  <c r="G163" s="1"/>
  <c r="E162"/>
  <c r="G162" s="1"/>
  <c r="G161"/>
  <c r="E161"/>
  <c r="G160"/>
  <c r="E160"/>
  <c r="J140"/>
  <c r="H140"/>
  <c r="G140"/>
  <c r="E140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G135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H115"/>
  <c r="J115" s="1"/>
  <c r="G115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H105" s="1"/>
  <c r="J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J84"/>
  <c r="H84"/>
  <c r="G84"/>
  <c r="E84"/>
  <c r="E83"/>
  <c r="G83" s="1"/>
  <c r="H83" s="1"/>
  <c r="J83" s="1"/>
  <c r="J82"/>
  <c r="H82"/>
  <c r="G82"/>
  <c r="E82"/>
  <c r="E81"/>
  <c r="G81" s="1"/>
  <c r="H81" s="1"/>
  <c r="J81" s="1"/>
  <c r="J80"/>
  <c r="H80"/>
  <c r="G80"/>
  <c r="E80"/>
  <c r="E79"/>
  <c r="G79" s="1"/>
  <c r="H79" s="1"/>
  <c r="J79" s="1"/>
  <c r="J78"/>
  <c r="H78"/>
  <c r="G78"/>
  <c r="E78"/>
  <c r="E77"/>
  <c r="G77" s="1"/>
  <c r="H77" s="1"/>
  <c r="J77" s="1"/>
  <c r="J76"/>
  <c r="H76"/>
  <c r="G76"/>
  <c r="E76"/>
  <c r="E75"/>
  <c r="G75" s="1"/>
  <c r="H75" s="1"/>
  <c r="J75" s="1"/>
  <c r="J74"/>
  <c r="H74"/>
  <c r="G74"/>
  <c r="E74"/>
  <c r="E73"/>
  <c r="G73" s="1"/>
  <c r="J72"/>
  <c r="H72"/>
  <c r="G72"/>
  <c r="E72"/>
  <c r="H70"/>
  <c r="E69"/>
  <c r="G69" s="1"/>
  <c r="H69" s="1"/>
  <c r="J69" s="1"/>
  <c r="E68"/>
  <c r="E170" s="1"/>
  <c r="E67"/>
  <c r="E169" s="1"/>
  <c r="E66"/>
  <c r="G168" s="1"/>
  <c r="E65"/>
  <c r="G65" s="1"/>
  <c r="H65" s="1"/>
  <c r="J65" s="1"/>
  <c r="E64"/>
  <c r="E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J40"/>
  <c r="H40"/>
  <c r="G40"/>
  <c r="E39"/>
  <c r="G39" s="1"/>
  <c r="J38"/>
  <c r="H38"/>
  <c r="G38"/>
  <c r="G148" s="1"/>
  <c r="E38"/>
  <c r="E37"/>
  <c r="G37" s="1"/>
  <c r="J36"/>
  <c r="H36"/>
  <c r="G36"/>
  <c r="G150" s="1"/>
  <c r="E36"/>
  <c r="E35"/>
  <c r="G35" s="1"/>
  <c r="E31"/>
  <c r="G31" s="1"/>
  <c r="H31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J18"/>
  <c r="I18"/>
  <c r="H18"/>
  <c r="G18"/>
  <c r="E18"/>
  <c r="I15"/>
  <c r="H15"/>
  <c r="J15" s="1"/>
  <c r="I16" s="1"/>
  <c r="G15"/>
  <c r="E28" s="1"/>
  <c r="G28" s="1"/>
  <c r="H28" s="1"/>
  <c r="J28" s="1"/>
  <c r="E15"/>
  <c r="H13"/>
  <c r="J13" s="1"/>
  <c r="G13"/>
  <c r="H12"/>
  <c r="J12" s="1"/>
  <c r="G12"/>
  <c r="E12"/>
  <c r="G11"/>
  <c r="H11" s="1"/>
  <c r="J11" s="1"/>
  <c r="E11"/>
  <c r="H10"/>
  <c r="J10" s="1"/>
  <c r="G10"/>
  <c r="E10"/>
  <c r="E9"/>
  <c r="G9" s="1"/>
  <c r="H9" s="1"/>
  <c r="J9" s="1"/>
  <c r="I8"/>
  <c r="E8"/>
  <c r="G8" s="1"/>
  <c r="I7"/>
  <c r="G7"/>
  <c r="E7"/>
  <c r="J3"/>
  <c r="I3"/>
  <c r="H3"/>
  <c r="G3"/>
  <c r="F171" i="17"/>
  <c r="F170"/>
  <c r="F169"/>
  <c r="F168"/>
  <c r="G168" s="1"/>
  <c r="F167"/>
  <c r="F166"/>
  <c r="F165"/>
  <c r="F164"/>
  <c r="E163"/>
  <c r="G163" s="1"/>
  <c r="G162"/>
  <c r="E162"/>
  <c r="G161"/>
  <c r="E161"/>
  <c r="G160"/>
  <c r="E160"/>
  <c r="J140"/>
  <c r="H140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G135"/>
  <c r="H135" s="1"/>
  <c r="J135" s="1"/>
  <c r="E135"/>
  <c r="E134"/>
  <c r="G134" s="1"/>
  <c r="H133"/>
  <c r="J133" s="1"/>
  <c r="G133"/>
  <c r="E133"/>
  <c r="E132"/>
  <c r="G132" s="1"/>
  <c r="H132" s="1"/>
  <c r="J132" s="1"/>
  <c r="H131"/>
  <c r="J131" s="1"/>
  <c r="G131"/>
  <c r="E131"/>
  <c r="E130"/>
  <c r="G130" s="1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H116"/>
  <c r="J116" s="1"/>
  <c r="G116"/>
  <c r="J115"/>
  <c r="H115"/>
  <c r="G115"/>
  <c r="E115"/>
  <c r="G114"/>
  <c r="H114" s="1"/>
  <c r="J114" s="1"/>
  <c r="E114"/>
  <c r="J113"/>
  <c r="E113"/>
  <c r="E112"/>
  <c r="G111"/>
  <c r="H111" s="1"/>
  <c r="J111" s="1"/>
  <c r="E111"/>
  <c r="E110"/>
  <c r="G110" s="1"/>
  <c r="H110" s="1"/>
  <c r="J110" s="1"/>
  <c r="G109"/>
  <c r="H109" s="1"/>
  <c r="J109" s="1"/>
  <c r="E109"/>
  <c r="E108"/>
  <c r="E107"/>
  <c r="H106"/>
  <c r="J106" s="1"/>
  <c r="G106"/>
  <c r="E106"/>
  <c r="G105"/>
  <c r="H105" s="1"/>
  <c r="J105" s="1"/>
  <c r="E105"/>
  <c r="H104"/>
  <c r="J104" s="1"/>
  <c r="G104"/>
  <c r="G107" s="1"/>
  <c r="H107" s="1"/>
  <c r="J107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E92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E170" s="1"/>
  <c r="E67"/>
  <c r="G67" s="1"/>
  <c r="H67" s="1"/>
  <c r="J67" s="1"/>
  <c r="E66"/>
  <c r="E168" s="1"/>
  <c r="E65"/>
  <c r="E167" s="1"/>
  <c r="G167" s="1"/>
  <c r="E64"/>
  <c r="E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31"/>
  <c r="H31" s="1"/>
  <c r="E31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G18"/>
  <c r="E18"/>
  <c r="I15"/>
  <c r="H15"/>
  <c r="J15" s="1"/>
  <c r="G15"/>
  <c r="E28" s="1"/>
  <c r="G28" s="1"/>
  <c r="H28" s="1"/>
  <c r="J28" s="1"/>
  <c r="E15"/>
  <c r="J12"/>
  <c r="H12"/>
  <c r="G12"/>
  <c r="E12"/>
  <c r="H11"/>
  <c r="J11" s="1"/>
  <c r="G11"/>
  <c r="E11"/>
  <c r="J10"/>
  <c r="H10"/>
  <c r="G10"/>
  <c r="E10"/>
  <c r="K9"/>
  <c r="G9"/>
  <c r="G13" s="1"/>
  <c r="E9"/>
  <c r="K8"/>
  <c r="I8"/>
  <c r="H8"/>
  <c r="J8" s="1"/>
  <c r="G8"/>
  <c r="E27" s="1"/>
  <c r="G27" s="1"/>
  <c r="E8"/>
  <c r="K7"/>
  <c r="I7"/>
  <c r="E7"/>
  <c r="G7" s="1"/>
  <c r="F171" i="18"/>
  <c r="F170"/>
  <c r="F169"/>
  <c r="F168"/>
  <c r="F167"/>
  <c r="F166"/>
  <c r="F164"/>
  <c r="E163"/>
  <c r="G163" s="1"/>
  <c r="E162"/>
  <c r="G162" s="1"/>
  <c r="E161"/>
  <c r="G161" s="1"/>
  <c r="E160"/>
  <c r="G160" s="1"/>
  <c r="H142"/>
  <c r="J142" s="1"/>
  <c r="G140"/>
  <c r="H140" s="1"/>
  <c r="J140" s="1"/>
  <c r="E140"/>
  <c r="E139"/>
  <c r="G139" s="1"/>
  <c r="H139" s="1"/>
  <c r="J139" s="1"/>
  <c r="E138"/>
  <c r="G138" s="1"/>
  <c r="H138" s="1"/>
  <c r="J138" s="1"/>
  <c r="G137"/>
  <c r="E137"/>
  <c r="G136"/>
  <c r="H136" s="1"/>
  <c r="J136" s="1"/>
  <c r="E136"/>
  <c r="H135"/>
  <c r="J135" s="1"/>
  <c r="G135"/>
  <c r="E135"/>
  <c r="G134"/>
  <c r="H134" s="1"/>
  <c r="J134" s="1"/>
  <c r="E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G127"/>
  <c r="H127" s="1"/>
  <c r="J127" s="1"/>
  <c r="E127"/>
  <c r="H126"/>
  <c r="J126" s="1"/>
  <c r="G126"/>
  <c r="E126"/>
  <c r="G125"/>
  <c r="H125" s="1"/>
  <c r="J125" s="1"/>
  <c r="E125"/>
  <c r="H124"/>
  <c r="J124" s="1"/>
  <c r="G124"/>
  <c r="E124"/>
  <c r="G123"/>
  <c r="H123" s="1"/>
  <c r="J123" s="1"/>
  <c r="E123"/>
  <c r="G116"/>
  <c r="H116" s="1"/>
  <c r="J116" s="1"/>
  <c r="G115"/>
  <c r="H115" s="1"/>
  <c r="J115" s="1"/>
  <c r="E115"/>
  <c r="E114"/>
  <c r="G114" s="1"/>
  <c r="J113"/>
  <c r="E113"/>
  <c r="E112"/>
  <c r="G111"/>
  <c r="H111" s="1"/>
  <c r="J111" s="1"/>
  <c r="E111"/>
  <c r="G110"/>
  <c r="H110" s="1"/>
  <c r="J110" s="1"/>
  <c r="E110"/>
  <c r="G109"/>
  <c r="G112" s="1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G99"/>
  <c r="H99" s="1"/>
  <c r="J99" s="1"/>
  <c r="E99"/>
  <c r="G98"/>
  <c r="H98" s="1"/>
  <c r="J98" s="1"/>
  <c r="E98"/>
  <c r="G97"/>
  <c r="H97" s="1"/>
  <c r="J97" s="1"/>
  <c r="E97"/>
  <c r="G96"/>
  <c r="H96" s="1"/>
  <c r="J96" s="1"/>
  <c r="E96"/>
  <c r="G95"/>
  <c r="G119" s="1"/>
  <c r="H119" s="1"/>
  <c r="J119" s="1"/>
  <c r="E95"/>
  <c r="E94"/>
  <c r="G93"/>
  <c r="H93" s="1"/>
  <c r="J93" s="1"/>
  <c r="E93"/>
  <c r="G92"/>
  <c r="G94" s="1"/>
  <c r="H94" s="1"/>
  <c r="J94" s="1"/>
  <c r="E92"/>
  <c r="G90"/>
  <c r="H90" s="1"/>
  <c r="J90" s="1"/>
  <c r="E90"/>
  <c r="G89"/>
  <c r="H89" s="1"/>
  <c r="J89" s="1"/>
  <c r="E89"/>
  <c r="G88"/>
  <c r="H88" s="1"/>
  <c r="J88" s="1"/>
  <c r="E88"/>
  <c r="G87"/>
  <c r="H87" s="1"/>
  <c r="J87" s="1"/>
  <c r="E87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G68" s="1"/>
  <c r="H68" s="1"/>
  <c r="J68" s="1"/>
  <c r="G67"/>
  <c r="H67" s="1"/>
  <c r="J67" s="1"/>
  <c r="E67"/>
  <c r="E169" s="1"/>
  <c r="G169" s="1"/>
  <c r="E66"/>
  <c r="G66" s="1"/>
  <c r="H66" s="1"/>
  <c r="J66" s="1"/>
  <c r="G65"/>
  <c r="H65" s="1"/>
  <c r="J65" s="1"/>
  <c r="E65"/>
  <c r="E167" s="1"/>
  <c r="G167" s="1"/>
  <c r="E64"/>
  <c r="G64" s="1"/>
  <c r="H64" s="1"/>
  <c r="J64" s="1"/>
  <c r="G63"/>
  <c r="H63" s="1"/>
  <c r="J63" s="1"/>
  <c r="E63"/>
  <c r="E165" s="1"/>
  <c r="G165" s="1"/>
  <c r="E62"/>
  <c r="E164" s="1"/>
  <c r="G164" s="1"/>
  <c r="G58"/>
  <c r="H58" s="1"/>
  <c r="J58" s="1"/>
  <c r="E58"/>
  <c r="E57"/>
  <c r="G57" s="1"/>
  <c r="H57" s="1"/>
  <c r="J57" s="1"/>
  <c r="G56"/>
  <c r="H56" s="1"/>
  <c r="J56" s="1"/>
  <c r="E56"/>
  <c r="E55"/>
  <c r="G55" s="1"/>
  <c r="H55" s="1"/>
  <c r="J55" s="1"/>
  <c r="G54"/>
  <c r="H54" s="1"/>
  <c r="J54" s="1"/>
  <c r="E54"/>
  <c r="G53"/>
  <c r="H53" s="1"/>
  <c r="J53" s="1"/>
  <c r="E52"/>
  <c r="G52" s="1"/>
  <c r="H52" s="1"/>
  <c r="J52" s="1"/>
  <c r="G51"/>
  <c r="H51" s="1"/>
  <c r="J51" s="1"/>
  <c r="E50"/>
  <c r="G50" s="1"/>
  <c r="H50" s="1"/>
  <c r="J50" s="1"/>
  <c r="K49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J24"/>
  <c r="E24"/>
  <c r="H23"/>
  <c r="J23" s="1"/>
  <c r="E23"/>
  <c r="H22"/>
  <c r="J22" s="1"/>
  <c r="E22"/>
  <c r="E19"/>
  <c r="G19" s="1"/>
  <c r="I18"/>
  <c r="G18"/>
  <c r="E18"/>
  <c r="I15"/>
  <c r="G15"/>
  <c r="E28" s="1"/>
  <c r="G28" s="1"/>
  <c r="H28" s="1"/>
  <c r="J28" s="1"/>
  <c r="E15"/>
  <c r="G12"/>
  <c r="H12" s="1"/>
  <c r="J12" s="1"/>
  <c r="E12"/>
  <c r="E11"/>
  <c r="G11" s="1"/>
  <c r="H11" s="1"/>
  <c r="J11" s="1"/>
  <c r="G10"/>
  <c r="H10" s="1"/>
  <c r="J10" s="1"/>
  <c r="E10"/>
  <c r="E9"/>
  <c r="G9" s="1"/>
  <c r="I8"/>
  <c r="E8"/>
  <c r="G8" s="1"/>
  <c r="I7"/>
  <c r="E7"/>
  <c r="G7" s="1"/>
  <c r="F171" i="16"/>
  <c r="F170"/>
  <c r="G170" s="1"/>
  <c r="F169"/>
  <c r="F168"/>
  <c r="F167"/>
  <c r="F166"/>
  <c r="F165"/>
  <c r="F164"/>
  <c r="E163"/>
  <c r="G163" s="1"/>
  <c r="G162"/>
  <c r="E162"/>
  <c r="E161"/>
  <c r="G161" s="1"/>
  <c r="G160"/>
  <c r="E160"/>
  <c r="G140"/>
  <c r="H140" s="1"/>
  <c r="J140" s="1"/>
  <c r="E140"/>
  <c r="H139"/>
  <c r="J139" s="1"/>
  <c r="G139"/>
  <c r="E139"/>
  <c r="H138"/>
  <c r="J138" s="1"/>
  <c r="G138"/>
  <c r="E138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G132"/>
  <c r="H132" s="1"/>
  <c r="J132" s="1"/>
  <c r="E132"/>
  <c r="E131"/>
  <c r="G131" s="1"/>
  <c r="H131" s="1"/>
  <c r="J131" s="1"/>
  <c r="G130"/>
  <c r="I133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J116"/>
  <c r="H116"/>
  <c r="G116"/>
  <c r="G115"/>
  <c r="H115" s="1"/>
  <c r="J115" s="1"/>
  <c r="E115"/>
  <c r="H114"/>
  <c r="J114" s="1"/>
  <c r="G114"/>
  <c r="G117" s="1"/>
  <c r="H117" s="1"/>
  <c r="J117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E170" s="1"/>
  <c r="E67"/>
  <c r="G67" s="1"/>
  <c r="H67" s="1"/>
  <c r="J67" s="1"/>
  <c r="E66"/>
  <c r="E168" s="1"/>
  <c r="G168" s="1"/>
  <c r="E65"/>
  <c r="E167" s="1"/>
  <c r="E64"/>
  <c r="E166" s="1"/>
  <c r="G166" s="1"/>
  <c r="E63"/>
  <c r="E165" s="1"/>
  <c r="G165" s="1"/>
  <c r="E62"/>
  <c r="E164" s="1"/>
  <c r="E58"/>
  <c r="G58" s="1"/>
  <c r="H58" s="1"/>
  <c r="J58" s="1"/>
  <c r="E57"/>
  <c r="G57" s="1"/>
  <c r="H57" s="1"/>
  <c r="J57" s="1"/>
  <c r="E56"/>
  <c r="G56" s="1"/>
  <c r="H56" s="1"/>
  <c r="J56" s="1"/>
  <c r="H55"/>
  <c r="J55" s="1"/>
  <c r="G55"/>
  <c r="E55"/>
  <c r="E54"/>
  <c r="G54" s="1"/>
  <c r="H54" s="1"/>
  <c r="J54" s="1"/>
  <c r="H53"/>
  <c r="J53" s="1"/>
  <c r="G53"/>
  <c r="E53"/>
  <c r="E52"/>
  <c r="G52" s="1"/>
  <c r="H52" s="1"/>
  <c r="J52" s="1"/>
  <c r="H51"/>
  <c r="J51" s="1"/>
  <c r="G51"/>
  <c r="E5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I15"/>
  <c r="G15"/>
  <c r="E28" s="1"/>
  <c r="G28" s="1"/>
  <c r="H28" s="1"/>
  <c r="J28" s="1"/>
  <c r="E15"/>
  <c r="G12"/>
  <c r="H12" s="1"/>
  <c r="J12" s="1"/>
  <c r="E12"/>
  <c r="E11"/>
  <c r="G11" s="1"/>
  <c r="H11" s="1"/>
  <c r="J11" s="1"/>
  <c r="G10"/>
  <c r="H10" s="1"/>
  <c r="J10" s="1"/>
  <c r="E10"/>
  <c r="K9"/>
  <c r="G9"/>
  <c r="E9"/>
  <c r="K8"/>
  <c r="I8"/>
  <c r="E8"/>
  <c r="G8" s="1"/>
  <c r="K7"/>
  <c r="I7"/>
  <c r="G7"/>
  <c r="E7"/>
  <c r="F171" i="15"/>
  <c r="F170"/>
  <c r="F169"/>
  <c r="F168"/>
  <c r="G168" s="1"/>
  <c r="F167"/>
  <c r="F166"/>
  <c r="F165"/>
  <c r="F164"/>
  <c r="E163"/>
  <c r="G163" s="1"/>
  <c r="G162"/>
  <c r="E162"/>
  <c r="G161"/>
  <c r="E161"/>
  <c r="G160"/>
  <c r="E160"/>
  <c r="J140"/>
  <c r="H140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G135"/>
  <c r="H135" s="1"/>
  <c r="J135" s="1"/>
  <c r="E135"/>
  <c r="E134"/>
  <c r="G134" s="1"/>
  <c r="H133"/>
  <c r="J133" s="1"/>
  <c r="G133"/>
  <c r="E133"/>
  <c r="G132"/>
  <c r="H132" s="1"/>
  <c r="J132" s="1"/>
  <c r="E132"/>
  <c r="H131"/>
  <c r="J131" s="1"/>
  <c r="G131"/>
  <c r="E131"/>
  <c r="G130"/>
  <c r="I133" s="1"/>
  <c r="E130"/>
  <c r="J127"/>
  <c r="H127"/>
  <c r="G127"/>
  <c r="E127"/>
  <c r="H126"/>
  <c r="J126" s="1"/>
  <c r="G126"/>
  <c r="E126"/>
  <c r="J125"/>
  <c r="H125"/>
  <c r="G125"/>
  <c r="E125"/>
  <c r="H124"/>
  <c r="J124" s="1"/>
  <c r="G124"/>
  <c r="E124"/>
  <c r="J123"/>
  <c r="H123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H110"/>
  <c r="J110" s="1"/>
  <c r="G110"/>
  <c r="E110"/>
  <c r="G109"/>
  <c r="G112" s="1"/>
  <c r="E109"/>
  <c r="E108"/>
  <c r="E107"/>
  <c r="H106"/>
  <c r="J106" s="1"/>
  <c r="G106"/>
  <c r="E106"/>
  <c r="J105"/>
  <c r="H105"/>
  <c r="G105"/>
  <c r="E105"/>
  <c r="H104"/>
  <c r="J104" s="1"/>
  <c r="G104"/>
  <c r="G107" s="1"/>
  <c r="H107" s="1"/>
  <c r="J107" s="1"/>
  <c r="E104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G119" s="1"/>
  <c r="H119" s="1"/>
  <c r="J119" s="1"/>
  <c r="E95"/>
  <c r="E94"/>
  <c r="H93"/>
  <c r="J93" s="1"/>
  <c r="G93"/>
  <c r="E93"/>
  <c r="G92"/>
  <c r="G94" s="1"/>
  <c r="H94" s="1"/>
  <c r="J94" s="1"/>
  <c r="E92"/>
  <c r="H90"/>
  <c r="J90" s="1"/>
  <c r="G90"/>
  <c r="E90"/>
  <c r="G89"/>
  <c r="H89" s="1"/>
  <c r="J89" s="1"/>
  <c r="E89"/>
  <c r="H88"/>
  <c r="J88" s="1"/>
  <c r="G88"/>
  <c r="E88"/>
  <c r="G87"/>
  <c r="H87" s="1"/>
  <c r="J87" s="1"/>
  <c r="E87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H70"/>
  <c r="G69"/>
  <c r="H69" s="1"/>
  <c r="J69" s="1"/>
  <c r="E69"/>
  <c r="E171" s="1"/>
  <c r="H68"/>
  <c r="J68" s="1"/>
  <c r="G68"/>
  <c r="E68"/>
  <c r="E170" s="1"/>
  <c r="G67"/>
  <c r="H67" s="1"/>
  <c r="J67" s="1"/>
  <c r="E67"/>
  <c r="E169" s="1"/>
  <c r="G169" s="1"/>
  <c r="H66"/>
  <c r="J66" s="1"/>
  <c r="G66"/>
  <c r="E66"/>
  <c r="E168" s="1"/>
  <c r="G65"/>
  <c r="H65" s="1"/>
  <c r="J65" s="1"/>
  <c r="E65"/>
  <c r="E167" s="1"/>
  <c r="G167" s="1"/>
  <c r="H64"/>
  <c r="J64" s="1"/>
  <c r="G64"/>
  <c r="E64"/>
  <c r="E166" s="1"/>
  <c r="G63"/>
  <c r="H63" s="1"/>
  <c r="J63" s="1"/>
  <c r="E63"/>
  <c r="E165" s="1"/>
  <c r="G165" s="1"/>
  <c r="H62"/>
  <c r="J62" s="1"/>
  <c r="G62"/>
  <c r="E62"/>
  <c r="E164" s="1"/>
  <c r="G164" s="1"/>
  <c r="G58"/>
  <c r="H58" s="1"/>
  <c r="J58" s="1"/>
  <c r="E58"/>
  <c r="H57"/>
  <c r="J57" s="1"/>
  <c r="G57"/>
  <c r="E57"/>
  <c r="G56"/>
  <c r="H56" s="1"/>
  <c r="J56" s="1"/>
  <c r="E56"/>
  <c r="H55"/>
  <c r="J55" s="1"/>
  <c r="G55"/>
  <c r="E55"/>
  <c r="G54"/>
  <c r="H54" s="1"/>
  <c r="J54" s="1"/>
  <c r="E54"/>
  <c r="H53"/>
  <c r="J53" s="1"/>
  <c r="G53"/>
  <c r="E53"/>
  <c r="G52"/>
  <c r="H52" s="1"/>
  <c r="J52" s="1"/>
  <c r="E52"/>
  <c r="H51"/>
  <c r="J51" s="1"/>
  <c r="G51"/>
  <c r="E51"/>
  <c r="G50"/>
  <c r="H50" s="1"/>
  <c r="J50" s="1"/>
  <c r="E50"/>
  <c r="H49"/>
  <c r="J49" s="1"/>
  <c r="G49"/>
  <c r="G59" s="1"/>
  <c r="H59" s="1"/>
  <c r="J59" s="1"/>
  <c r="E49"/>
  <c r="G46"/>
  <c r="H46" s="1"/>
  <c r="J46" s="1"/>
  <c r="E46"/>
  <c r="E45"/>
  <c r="G45" s="1"/>
  <c r="H45" s="1"/>
  <c r="J45" s="1"/>
  <c r="G44"/>
  <c r="H44" s="1"/>
  <c r="J44" s="1"/>
  <c r="E44"/>
  <c r="E43"/>
  <c r="G43" s="1"/>
  <c r="H43" s="1"/>
  <c r="J43" s="1"/>
  <c r="G42"/>
  <c r="H42" s="1"/>
  <c r="J42" s="1"/>
  <c r="E42"/>
  <c r="E41"/>
  <c r="G41" s="1"/>
  <c r="G40"/>
  <c r="H40" s="1"/>
  <c r="J40" s="1"/>
  <c r="E40"/>
  <c r="E39"/>
  <c r="G39" s="1"/>
  <c r="G38"/>
  <c r="H38" s="1"/>
  <c r="J38" s="1"/>
  <c r="E38"/>
  <c r="E37"/>
  <c r="G37" s="1"/>
  <c r="G36"/>
  <c r="G150" s="1"/>
  <c r="E36"/>
  <c r="E35"/>
  <c r="G35" s="1"/>
  <c r="E29"/>
  <c r="G29" s="1"/>
  <c r="H29" s="1"/>
  <c r="J29" s="1"/>
  <c r="J24"/>
  <c r="H24"/>
  <c r="E24"/>
  <c r="J23"/>
  <c r="H23"/>
  <c r="E23"/>
  <c r="G22"/>
  <c r="H22" s="1"/>
  <c r="J22" s="1"/>
  <c r="E22"/>
  <c r="G19"/>
  <c r="E30" s="1"/>
  <c r="G30" s="1"/>
  <c r="H30" s="1"/>
  <c r="J30" s="1"/>
  <c r="E19"/>
  <c r="I18"/>
  <c r="H18"/>
  <c r="J18" s="1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H8"/>
  <c r="J8" s="1"/>
  <c r="G8"/>
  <c r="E27" s="1"/>
  <c r="G27" s="1"/>
  <c r="E8"/>
  <c r="I7"/>
  <c r="H7"/>
  <c r="J7" s="1"/>
  <c r="I9" s="1"/>
  <c r="G7"/>
  <c r="E7"/>
  <c r="F171" i="13"/>
  <c r="F170"/>
  <c r="F169"/>
  <c r="F168"/>
  <c r="F167"/>
  <c r="F166"/>
  <c r="E166"/>
  <c r="G166" s="1"/>
  <c r="F165"/>
  <c r="E165"/>
  <c r="G165" s="1"/>
  <c r="F164"/>
  <c r="G163"/>
  <c r="G162"/>
  <c r="G161"/>
  <c r="G160"/>
  <c r="O141"/>
  <c r="E140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O129"/>
  <c r="E127"/>
  <c r="G127" s="1"/>
  <c r="E126"/>
  <c r="G126" s="1"/>
  <c r="E125"/>
  <c r="G125" s="1"/>
  <c r="E124"/>
  <c r="G124" s="1"/>
  <c r="E123"/>
  <c r="G123" s="1"/>
  <c r="O122"/>
  <c r="O121"/>
  <c r="G116"/>
  <c r="H116" s="1"/>
  <c r="J116" s="1"/>
  <c r="E115"/>
  <c r="G115" s="1"/>
  <c r="E114"/>
  <c r="G114" s="1"/>
  <c r="O113"/>
  <c r="J113"/>
  <c r="E111"/>
  <c r="G111" s="1"/>
  <c r="E110"/>
  <c r="G110" s="1"/>
  <c r="E109"/>
  <c r="G109" s="1"/>
  <c r="O108"/>
  <c r="G106"/>
  <c r="H106" s="1"/>
  <c r="J106" s="1"/>
  <c r="E106"/>
  <c r="G105"/>
  <c r="O105" s="1"/>
  <c r="E105"/>
  <c r="E104"/>
  <c r="G104" s="1"/>
  <c r="O103"/>
  <c r="O102"/>
  <c r="G100"/>
  <c r="O100" s="1"/>
  <c r="E100"/>
  <c r="E99"/>
  <c r="G99" s="1"/>
  <c r="E98"/>
  <c r="G98" s="1"/>
  <c r="E97"/>
  <c r="G97" s="1"/>
  <c r="E96"/>
  <c r="G96" s="1"/>
  <c r="E95"/>
  <c r="G95" s="1"/>
  <c r="E94"/>
  <c r="G93"/>
  <c r="H93" s="1"/>
  <c r="J93" s="1"/>
  <c r="E93"/>
  <c r="G92"/>
  <c r="O92" s="1"/>
  <c r="E92"/>
  <c r="O9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G83"/>
  <c r="H83" s="1"/>
  <c r="J83" s="1"/>
  <c r="E83"/>
  <c r="G82"/>
  <c r="O82" s="1"/>
  <c r="E82"/>
  <c r="E81"/>
  <c r="G81" s="1"/>
  <c r="E80"/>
  <c r="G80" s="1"/>
  <c r="E79"/>
  <c r="G79" s="1"/>
  <c r="E78"/>
  <c r="G78" s="1"/>
  <c r="E77"/>
  <c r="G77" s="1"/>
  <c r="E76"/>
  <c r="G76" s="1"/>
  <c r="G75"/>
  <c r="H75" s="1"/>
  <c r="J75" s="1"/>
  <c r="E75"/>
  <c r="G74"/>
  <c r="O74" s="1"/>
  <c r="E74"/>
  <c r="E73"/>
  <c r="G73" s="1"/>
  <c r="E72"/>
  <c r="G72" s="1"/>
  <c r="O71"/>
  <c r="O70"/>
  <c r="H70"/>
  <c r="J70" s="1"/>
  <c r="G69"/>
  <c r="H69" s="1"/>
  <c r="J69" s="1"/>
  <c r="E69"/>
  <c r="E171" s="1"/>
  <c r="G68"/>
  <c r="O68" s="1"/>
  <c r="E68"/>
  <c r="E170" s="1"/>
  <c r="E67"/>
  <c r="G67" s="1"/>
  <c r="E66"/>
  <c r="E168" s="1"/>
  <c r="G168" s="1"/>
  <c r="E65"/>
  <c r="E167" s="1"/>
  <c r="G167" s="1"/>
  <c r="E64"/>
  <c r="G64" s="1"/>
  <c r="E63"/>
  <c r="G63" s="1"/>
  <c r="E62"/>
  <c r="E164" s="1"/>
  <c r="O61"/>
  <c r="E58"/>
  <c r="G58" s="1"/>
  <c r="G57"/>
  <c r="H57" s="1"/>
  <c r="J57" s="1"/>
  <c r="E57"/>
  <c r="G56"/>
  <c r="O56" s="1"/>
  <c r="E56"/>
  <c r="E55"/>
  <c r="G55" s="1"/>
  <c r="E54"/>
  <c r="G54" s="1"/>
  <c r="E53"/>
  <c r="G53" s="1"/>
  <c r="E52"/>
  <c r="G52" s="1"/>
  <c r="E51"/>
  <c r="G51" s="1"/>
  <c r="E50"/>
  <c r="G50" s="1"/>
  <c r="G49"/>
  <c r="E49"/>
  <c r="O48"/>
  <c r="E46"/>
  <c r="G46" s="1"/>
  <c r="E45"/>
  <c r="G45" s="1"/>
  <c r="E44"/>
  <c r="G44" s="1"/>
  <c r="E43"/>
  <c r="G43" s="1"/>
  <c r="E42"/>
  <c r="G42" s="1"/>
  <c r="E41"/>
  <c r="G41" s="1"/>
  <c r="G40"/>
  <c r="H40" s="1"/>
  <c r="J40" s="1"/>
  <c r="E40"/>
  <c r="G39"/>
  <c r="O39" s="1"/>
  <c r="E39"/>
  <c r="G38"/>
  <c r="H38" s="1"/>
  <c r="J38" s="1"/>
  <c r="E38"/>
  <c r="E37"/>
  <c r="G37" s="1"/>
  <c r="E36"/>
  <c r="G36" s="1"/>
  <c r="E35"/>
  <c r="G35" s="1"/>
  <c r="O34"/>
  <c r="O33"/>
  <c r="E31"/>
  <c r="G31" s="1"/>
  <c r="P30"/>
  <c r="P29"/>
  <c r="G29"/>
  <c r="H29" s="1"/>
  <c r="J29" s="1"/>
  <c r="E29"/>
  <c r="P28"/>
  <c r="O26"/>
  <c r="O25"/>
  <c r="O24"/>
  <c r="H24"/>
  <c r="J24" s="1"/>
  <c r="E24"/>
  <c r="O23"/>
  <c r="J23"/>
  <c r="H23"/>
  <c r="E23"/>
  <c r="E22"/>
  <c r="G22" s="1"/>
  <c r="O21"/>
  <c r="H19"/>
  <c r="J19" s="1"/>
  <c r="G19"/>
  <c r="G118" s="1"/>
  <c r="E19"/>
  <c r="O18"/>
  <c r="I18"/>
  <c r="G18"/>
  <c r="G20" s="1"/>
  <c r="E18"/>
  <c r="O17"/>
  <c r="O16"/>
  <c r="E15"/>
  <c r="G15" s="1"/>
  <c r="O14"/>
  <c r="E12"/>
  <c r="G12" s="1"/>
  <c r="E11"/>
  <c r="G11" s="1"/>
  <c r="E10"/>
  <c r="G10" s="1"/>
  <c r="E9"/>
  <c r="G9" s="1"/>
  <c r="I8"/>
  <c r="G8"/>
  <c r="O8" s="1"/>
  <c r="E8"/>
  <c r="I7"/>
  <c r="E7"/>
  <c r="G7" s="1"/>
  <c r="J3"/>
  <c r="I3"/>
  <c r="H3"/>
  <c r="G3"/>
  <c r="F171" i="14"/>
  <c r="G171" s="1"/>
  <c r="E171"/>
  <c r="F170"/>
  <c r="G170" s="1"/>
  <c r="E170"/>
  <c r="F169"/>
  <c r="G169" s="1"/>
  <c r="E169"/>
  <c r="G168"/>
  <c r="F168"/>
  <c r="E168"/>
  <c r="G167"/>
  <c r="F167"/>
  <c r="E167"/>
  <c r="F166"/>
  <c r="E166"/>
  <c r="G166" s="1"/>
  <c r="F165"/>
  <c r="G165" s="1"/>
  <c r="E165"/>
  <c r="F164"/>
  <c r="G164" s="1"/>
  <c r="E164"/>
  <c r="G163"/>
  <c r="G162"/>
  <c r="G161"/>
  <c r="G160"/>
  <c r="H140"/>
  <c r="J140" s="1"/>
  <c r="G140"/>
  <c r="H139"/>
  <c r="J139" s="1"/>
  <c r="G139"/>
  <c r="G138"/>
  <c r="H138" s="1"/>
  <c r="J138" s="1"/>
  <c r="G137"/>
  <c r="H137" s="1"/>
  <c r="J137" s="1"/>
  <c r="H136"/>
  <c r="J136" s="1"/>
  <c r="G136"/>
  <c r="G135"/>
  <c r="H135" s="1"/>
  <c r="J135" s="1"/>
  <c r="G134"/>
  <c r="I136" s="1"/>
  <c r="H133"/>
  <c r="J133" s="1"/>
  <c r="G133"/>
  <c r="H132"/>
  <c r="J132" s="1"/>
  <c r="G132"/>
  <c r="H131"/>
  <c r="J131" s="1"/>
  <c r="G131"/>
  <c r="G130"/>
  <c r="H130" s="1"/>
  <c r="J130" s="1"/>
  <c r="G127"/>
  <c r="H127" s="1"/>
  <c r="J127" s="1"/>
  <c r="G126"/>
  <c r="H126" s="1"/>
  <c r="J126" s="1"/>
  <c r="G125"/>
  <c r="H125" s="1"/>
  <c r="J125" s="1"/>
  <c r="H124"/>
  <c r="J124" s="1"/>
  <c r="G124"/>
  <c r="H123"/>
  <c r="J123" s="1"/>
  <c r="G123"/>
  <c r="E120"/>
  <c r="E119"/>
  <c r="E118"/>
  <c r="G117"/>
  <c r="H117" s="1"/>
  <c r="J117" s="1"/>
  <c r="H116"/>
  <c r="J116" s="1"/>
  <c r="G116"/>
  <c r="H115"/>
  <c r="J115" s="1"/>
  <c r="G115"/>
  <c r="H114"/>
  <c r="J114" s="1"/>
  <c r="G114"/>
  <c r="J113"/>
  <c r="H113"/>
  <c r="H111"/>
  <c r="J111" s="1"/>
  <c r="G111"/>
  <c r="J110"/>
  <c r="H110"/>
  <c r="G110"/>
  <c r="J109"/>
  <c r="H109"/>
  <c r="G109"/>
  <c r="G112" s="1"/>
  <c r="H108"/>
  <c r="H107"/>
  <c r="J107" s="1"/>
  <c r="G107"/>
  <c r="H106"/>
  <c r="J106" s="1"/>
  <c r="G106"/>
  <c r="H105"/>
  <c r="J105" s="1"/>
  <c r="G105"/>
  <c r="J104"/>
  <c r="H104"/>
  <c r="G104"/>
  <c r="G100"/>
  <c r="H100" s="1"/>
  <c r="J100" s="1"/>
  <c r="G99"/>
  <c r="H99" s="1"/>
  <c r="J99" s="1"/>
  <c r="G98"/>
  <c r="H98" s="1"/>
  <c r="J98" s="1"/>
  <c r="H97"/>
  <c r="J97" s="1"/>
  <c r="G97"/>
  <c r="H96"/>
  <c r="J96" s="1"/>
  <c r="G96"/>
  <c r="G101" s="1"/>
  <c r="H101" s="1"/>
  <c r="J101" s="1"/>
  <c r="H95"/>
  <c r="J95" s="1"/>
  <c r="G95"/>
  <c r="F119" s="1"/>
  <c r="J93"/>
  <c r="H93"/>
  <c r="G93"/>
  <c r="G92"/>
  <c r="G94" s="1"/>
  <c r="H94" s="1"/>
  <c r="J94" s="1"/>
  <c r="G90"/>
  <c r="H90" s="1"/>
  <c r="J90" s="1"/>
  <c r="G89"/>
  <c r="H89" s="1"/>
  <c r="J89" s="1"/>
  <c r="H88"/>
  <c r="J88" s="1"/>
  <c r="G88"/>
  <c r="H87"/>
  <c r="J87" s="1"/>
  <c r="G87"/>
  <c r="H86"/>
  <c r="J86" s="1"/>
  <c r="G86"/>
  <c r="J84"/>
  <c r="H84"/>
  <c r="G84"/>
  <c r="G83"/>
  <c r="H83" s="1"/>
  <c r="J83" s="1"/>
  <c r="G82"/>
  <c r="H82" s="1"/>
  <c r="J82" s="1"/>
  <c r="G81"/>
  <c r="H81" s="1"/>
  <c r="J81" s="1"/>
  <c r="H80"/>
  <c r="J80" s="1"/>
  <c r="G80"/>
  <c r="H79"/>
  <c r="J79" s="1"/>
  <c r="G79"/>
  <c r="H78"/>
  <c r="J78" s="1"/>
  <c r="G78"/>
  <c r="J77"/>
  <c r="H77"/>
  <c r="G77"/>
  <c r="J76"/>
  <c r="H76"/>
  <c r="G76"/>
  <c r="G75"/>
  <c r="H75" s="1"/>
  <c r="J75" s="1"/>
  <c r="G74"/>
  <c r="H74" s="1"/>
  <c r="J74" s="1"/>
  <c r="G73"/>
  <c r="H73" s="1"/>
  <c r="J73" s="1"/>
  <c r="H72"/>
  <c r="J72" s="1"/>
  <c r="G72"/>
  <c r="G85" s="1"/>
  <c r="H85" s="1"/>
  <c r="J85" s="1"/>
  <c r="H70"/>
  <c r="J70" s="1"/>
  <c r="G70"/>
  <c r="H69"/>
  <c r="J69" s="1"/>
  <c r="G69"/>
  <c r="J68"/>
  <c r="H68"/>
  <c r="G68"/>
  <c r="J67"/>
  <c r="H67"/>
  <c r="G67"/>
  <c r="G66"/>
  <c r="H66" s="1"/>
  <c r="J66" s="1"/>
  <c r="G65"/>
  <c r="H65" s="1"/>
  <c r="J65" s="1"/>
  <c r="G64"/>
  <c r="H64" s="1"/>
  <c r="J64" s="1"/>
  <c r="H63"/>
  <c r="J63" s="1"/>
  <c r="G63"/>
  <c r="H62"/>
  <c r="J62" s="1"/>
  <c r="G62"/>
  <c r="H58"/>
  <c r="J58" s="1"/>
  <c r="G58"/>
  <c r="J57"/>
  <c r="H57"/>
  <c r="G57"/>
  <c r="J56"/>
  <c r="H56"/>
  <c r="G56"/>
  <c r="G55"/>
  <c r="H55" s="1"/>
  <c r="J55" s="1"/>
  <c r="G54"/>
  <c r="H54" s="1"/>
  <c r="J54" s="1"/>
  <c r="G53"/>
  <c r="H53" s="1"/>
  <c r="J53" s="1"/>
  <c r="H52"/>
  <c r="J52" s="1"/>
  <c r="G52"/>
  <c r="H51"/>
  <c r="J51" s="1"/>
  <c r="G51"/>
  <c r="H50"/>
  <c r="J50" s="1"/>
  <c r="G50"/>
  <c r="J49"/>
  <c r="H49"/>
  <c r="G49"/>
  <c r="G59" s="1"/>
  <c r="H59" s="1"/>
  <c r="J59" s="1"/>
  <c r="G46"/>
  <c r="H46" s="1"/>
  <c r="J46" s="1"/>
  <c r="G45"/>
  <c r="H45" s="1"/>
  <c r="J45" s="1"/>
  <c r="G44"/>
  <c r="H44" s="1"/>
  <c r="J44" s="1"/>
  <c r="H43"/>
  <c r="J43" s="1"/>
  <c r="G43"/>
  <c r="H42"/>
  <c r="J42" s="1"/>
  <c r="G42"/>
  <c r="H41"/>
  <c r="J41" s="1"/>
  <c r="G41"/>
  <c r="G144" s="1"/>
  <c r="J40"/>
  <c r="H40"/>
  <c r="G40"/>
  <c r="J39"/>
  <c r="H39"/>
  <c r="G39"/>
  <c r="G146" s="1"/>
  <c r="G38"/>
  <c r="G148" s="1"/>
  <c r="G37"/>
  <c r="H37" s="1"/>
  <c r="J37" s="1"/>
  <c r="G36"/>
  <c r="H36" s="1"/>
  <c r="J36" s="1"/>
  <c r="H35"/>
  <c r="J35" s="1"/>
  <c r="G35"/>
  <c r="G47" s="1"/>
  <c r="E31"/>
  <c r="G31" s="1"/>
  <c r="H31" s="1"/>
  <c r="J31" s="1"/>
  <c r="E29"/>
  <c r="G29" s="1"/>
  <c r="H29" s="1"/>
  <c r="J29" s="1"/>
  <c r="E27"/>
  <c r="G27" s="1"/>
  <c r="J24"/>
  <c r="H24"/>
  <c r="J23"/>
  <c r="H23"/>
  <c r="H22"/>
  <c r="J22" s="1"/>
  <c r="G22"/>
  <c r="G20"/>
  <c r="H20" s="1"/>
  <c r="J20" s="1"/>
  <c r="G19"/>
  <c r="H19" s="1"/>
  <c r="J19" s="1"/>
  <c r="I18"/>
  <c r="H18"/>
  <c r="J18" s="1"/>
  <c r="G18"/>
  <c r="G15"/>
  <c r="G128" s="1"/>
  <c r="H128" s="1"/>
  <c r="J128" s="1"/>
  <c r="J12"/>
  <c r="H12"/>
  <c r="G12"/>
  <c r="G11"/>
  <c r="H11" s="1"/>
  <c r="J11" s="1"/>
  <c r="G10"/>
  <c r="G13" s="1"/>
  <c r="H9"/>
  <c r="J9" s="1"/>
  <c r="G9"/>
  <c r="O8"/>
  <c r="I8"/>
  <c r="H8"/>
  <c r="J8" s="1"/>
  <c r="G8"/>
  <c r="O7"/>
  <c r="I7"/>
  <c r="G7"/>
  <c r="F171" i="12"/>
  <c r="F170"/>
  <c r="F169"/>
  <c r="F168"/>
  <c r="F167"/>
  <c r="F166"/>
  <c r="G165"/>
  <c r="E165"/>
  <c r="G164"/>
  <c r="G163"/>
  <c r="G162"/>
  <c r="G161"/>
  <c r="G160"/>
  <c r="P141"/>
  <c r="G140"/>
  <c r="H140" s="1"/>
  <c r="J140" s="1"/>
  <c r="E140"/>
  <c r="G139"/>
  <c r="H139" s="1"/>
  <c r="J139" s="1"/>
  <c r="E139"/>
  <c r="E138"/>
  <c r="G138" s="1"/>
  <c r="G137"/>
  <c r="I138" s="1"/>
  <c r="E137"/>
  <c r="H136"/>
  <c r="J136" s="1"/>
  <c r="G136"/>
  <c r="P136" s="1"/>
  <c r="E136"/>
  <c r="E135"/>
  <c r="G135" s="1"/>
  <c r="P134"/>
  <c r="G134"/>
  <c r="H134" s="1"/>
  <c r="J134" s="1"/>
  <c r="E134"/>
  <c r="H133"/>
  <c r="J133" s="1"/>
  <c r="G133"/>
  <c r="P133" s="1"/>
  <c r="E133"/>
  <c r="E132"/>
  <c r="G132" s="1"/>
  <c r="P131"/>
  <c r="G131"/>
  <c r="H131" s="1"/>
  <c r="J131" s="1"/>
  <c r="E131"/>
  <c r="G130"/>
  <c r="I133" s="1"/>
  <c r="E130"/>
  <c r="P129"/>
  <c r="G127"/>
  <c r="H127" s="1"/>
  <c r="J127" s="1"/>
  <c r="E127"/>
  <c r="E126"/>
  <c r="G126" s="1"/>
  <c r="E125"/>
  <c r="G125" s="1"/>
  <c r="E124"/>
  <c r="G124" s="1"/>
  <c r="E123"/>
  <c r="G123" s="1"/>
  <c r="P122"/>
  <c r="P121"/>
  <c r="P116"/>
  <c r="G116"/>
  <c r="H116" s="1"/>
  <c r="J116" s="1"/>
  <c r="E115"/>
  <c r="G115" s="1"/>
  <c r="E114"/>
  <c r="G114" s="1"/>
  <c r="P113"/>
  <c r="J113"/>
  <c r="E111"/>
  <c r="G111" s="1"/>
  <c r="E110"/>
  <c r="G110" s="1"/>
  <c r="E109"/>
  <c r="G109" s="1"/>
  <c r="P108"/>
  <c r="P106"/>
  <c r="G106"/>
  <c r="H106" s="1"/>
  <c r="J106" s="1"/>
  <c r="E106"/>
  <c r="G105"/>
  <c r="H105" s="1"/>
  <c r="J105" s="1"/>
  <c r="E105"/>
  <c r="G104"/>
  <c r="G107" s="1"/>
  <c r="E104"/>
  <c r="P103"/>
  <c r="P102"/>
  <c r="G100"/>
  <c r="H100" s="1"/>
  <c r="J100" s="1"/>
  <c r="E100"/>
  <c r="G99"/>
  <c r="H99" s="1"/>
  <c r="J99" s="1"/>
  <c r="E99"/>
  <c r="E98"/>
  <c r="G98" s="1"/>
  <c r="E97"/>
  <c r="G97" s="1"/>
  <c r="E96"/>
  <c r="G96" s="1"/>
  <c r="E95"/>
  <c r="G95" s="1"/>
  <c r="E94"/>
  <c r="E93"/>
  <c r="G93" s="1"/>
  <c r="G92"/>
  <c r="H92" s="1"/>
  <c r="J92" s="1"/>
  <c r="E92"/>
  <c r="P9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4"/>
  <c r="G84" s="1"/>
  <c r="E83"/>
  <c r="G83" s="1"/>
  <c r="G82"/>
  <c r="H82" s="1"/>
  <c r="J82" s="1"/>
  <c r="E82"/>
  <c r="G81"/>
  <c r="H81" s="1"/>
  <c r="J81" s="1"/>
  <c r="E81"/>
  <c r="P80"/>
  <c r="G80"/>
  <c r="H80" s="1"/>
  <c r="J80" s="1"/>
  <c r="E80"/>
  <c r="E79"/>
  <c r="G79" s="1"/>
  <c r="E78"/>
  <c r="G78" s="1"/>
  <c r="E77"/>
  <c r="G77" s="1"/>
  <c r="E76"/>
  <c r="G76" s="1"/>
  <c r="P75"/>
  <c r="H75"/>
  <c r="J75" s="1"/>
  <c r="G75"/>
  <c r="E75"/>
  <c r="G74"/>
  <c r="H74" s="1"/>
  <c r="J74" s="1"/>
  <c r="E74"/>
  <c r="G73"/>
  <c r="H73" s="1"/>
  <c r="J73" s="1"/>
  <c r="E73"/>
  <c r="P72"/>
  <c r="G72"/>
  <c r="H72" s="1"/>
  <c r="J72" s="1"/>
  <c r="E72"/>
  <c r="P71"/>
  <c r="P70"/>
  <c r="H70"/>
  <c r="J70" s="1"/>
  <c r="P69"/>
  <c r="H69"/>
  <c r="J69" s="1"/>
  <c r="G69"/>
  <c r="E69"/>
  <c r="E171" s="1"/>
  <c r="G171" s="1"/>
  <c r="G68"/>
  <c r="H68" s="1"/>
  <c r="J68" s="1"/>
  <c r="E68"/>
  <c r="E170" s="1"/>
  <c r="G67"/>
  <c r="H67" s="1"/>
  <c r="J67" s="1"/>
  <c r="E67"/>
  <c r="E169" s="1"/>
  <c r="P66"/>
  <c r="G66"/>
  <c r="H66" s="1"/>
  <c r="J66" s="1"/>
  <c r="E66"/>
  <c r="E168" s="1"/>
  <c r="E65"/>
  <c r="E167" s="1"/>
  <c r="E64"/>
  <c r="E166" s="1"/>
  <c r="G166" s="1"/>
  <c r="H63"/>
  <c r="J63" s="1"/>
  <c r="G63"/>
  <c r="P63" s="1"/>
  <c r="G62"/>
  <c r="H62" s="1"/>
  <c r="J62" s="1"/>
  <c r="E62"/>
  <c r="P61"/>
  <c r="G58"/>
  <c r="H58" s="1"/>
  <c r="J58" s="1"/>
  <c r="E58"/>
  <c r="G57"/>
  <c r="H57" s="1"/>
  <c r="J57" s="1"/>
  <c r="E57"/>
  <c r="E56"/>
  <c r="G56" s="1"/>
  <c r="E55"/>
  <c r="G55" s="1"/>
  <c r="E54"/>
  <c r="G54" s="1"/>
  <c r="H53"/>
  <c r="J53" s="1"/>
  <c r="G53"/>
  <c r="P53" s="1"/>
  <c r="G52"/>
  <c r="H52" s="1"/>
  <c r="J52" s="1"/>
  <c r="E52"/>
  <c r="E51"/>
  <c r="G51" s="1"/>
  <c r="E50"/>
  <c r="G50" s="1"/>
  <c r="E49"/>
  <c r="G49" s="1"/>
  <c r="P48"/>
  <c r="E46"/>
  <c r="G46" s="1"/>
  <c r="P45"/>
  <c r="G45"/>
  <c r="H45" s="1"/>
  <c r="J45" s="1"/>
  <c r="E45"/>
  <c r="G44"/>
  <c r="H44" s="1"/>
  <c r="J44" s="1"/>
  <c r="E44"/>
  <c r="E43"/>
  <c r="G43" s="1"/>
  <c r="E42"/>
  <c r="G42" s="1"/>
  <c r="E41"/>
  <c r="G41" s="1"/>
  <c r="E40"/>
  <c r="G40" s="1"/>
  <c r="E39"/>
  <c r="G39" s="1"/>
  <c r="P38"/>
  <c r="H38"/>
  <c r="J38" s="1"/>
  <c r="G38"/>
  <c r="G148" s="1"/>
  <c r="E38"/>
  <c r="P37"/>
  <c r="G37"/>
  <c r="H37" s="1"/>
  <c r="J37" s="1"/>
  <c r="E37"/>
  <c r="G36"/>
  <c r="H36" s="1"/>
  <c r="J36" s="1"/>
  <c r="E36"/>
  <c r="G35"/>
  <c r="H35" s="1"/>
  <c r="J35" s="1"/>
  <c r="E35"/>
  <c r="P34"/>
  <c r="P33"/>
  <c r="O31"/>
  <c r="P29"/>
  <c r="G29"/>
  <c r="H29" s="1"/>
  <c r="J29" s="1"/>
  <c r="E29"/>
  <c r="P26"/>
  <c r="P25"/>
  <c r="P24"/>
  <c r="H24"/>
  <c r="J24" s="1"/>
  <c r="E24"/>
  <c r="P23"/>
  <c r="H23"/>
  <c r="J23" s="1"/>
  <c r="E23"/>
  <c r="E22"/>
  <c r="G22" s="1"/>
  <c r="P21"/>
  <c r="E19"/>
  <c r="G19" s="1"/>
  <c r="H18"/>
  <c r="J18" s="1"/>
  <c r="G18"/>
  <c r="E31" s="1"/>
  <c r="G31" s="1"/>
  <c r="E18"/>
  <c r="P17"/>
  <c r="P16"/>
  <c r="E15"/>
  <c r="G15" s="1"/>
  <c r="P14"/>
  <c r="E12"/>
  <c r="G12" s="1"/>
  <c r="E11"/>
  <c r="G11" s="1"/>
  <c r="H10"/>
  <c r="J10" s="1"/>
  <c r="G10"/>
  <c r="P10" s="1"/>
  <c r="E9"/>
  <c r="G9" s="1"/>
  <c r="E8"/>
  <c r="G8" s="1"/>
  <c r="E7"/>
  <c r="G7" s="1"/>
  <c r="G191" i="11"/>
  <c r="G190"/>
  <c r="G193" s="1"/>
  <c r="G189"/>
  <c r="G187"/>
  <c r="G186"/>
  <c r="G185"/>
  <c r="G184"/>
  <c r="G181"/>
  <c r="G180"/>
  <c r="G182" s="1"/>
  <c r="G179"/>
  <c r="F171"/>
  <c r="F170"/>
  <c r="G170" s="1"/>
  <c r="E170"/>
  <c r="F169"/>
  <c r="G169" s="1"/>
  <c r="E169"/>
  <c r="F168"/>
  <c r="E168"/>
  <c r="G168" s="1"/>
  <c r="F167"/>
  <c r="G166"/>
  <c r="E166"/>
  <c r="G165"/>
  <c r="F165"/>
  <c r="E164"/>
  <c r="G164" s="1"/>
  <c r="G163"/>
  <c r="G162"/>
  <c r="G161"/>
  <c r="G160"/>
  <c r="G172" s="1"/>
  <c r="G140"/>
  <c r="H140" s="1"/>
  <c r="J140" s="1"/>
  <c r="E140"/>
  <c r="E139"/>
  <c r="G139" s="1"/>
  <c r="H139" s="1"/>
  <c r="H138"/>
  <c r="J138" s="1"/>
  <c r="G138"/>
  <c r="E138"/>
  <c r="G137"/>
  <c r="I138" s="1"/>
  <c r="E137"/>
  <c r="I136"/>
  <c r="H136"/>
  <c r="J136" s="1"/>
  <c r="G136"/>
  <c r="E136"/>
  <c r="H135"/>
  <c r="J135" s="1"/>
  <c r="G135"/>
  <c r="E135"/>
  <c r="J134"/>
  <c r="H134"/>
  <c r="G134"/>
  <c r="E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G123"/>
  <c r="H123" s="1"/>
  <c r="J123" s="1"/>
  <c r="E123"/>
  <c r="G117"/>
  <c r="H117" s="1"/>
  <c r="J117" s="1"/>
  <c r="J116"/>
  <c r="H116"/>
  <c r="G116"/>
  <c r="H115"/>
  <c r="J115" s="1"/>
  <c r="G115"/>
  <c r="E115"/>
  <c r="J114"/>
  <c r="H114"/>
  <c r="G114"/>
  <c r="E114"/>
  <c r="J113"/>
  <c r="J111"/>
  <c r="H111"/>
  <c r="G111"/>
  <c r="E111"/>
  <c r="H110"/>
  <c r="J110" s="1"/>
  <c r="G110"/>
  <c r="E110"/>
  <c r="J109"/>
  <c r="H109"/>
  <c r="G109"/>
  <c r="G112" s="1"/>
  <c r="E109"/>
  <c r="H106"/>
  <c r="J106" s="1"/>
  <c r="G106"/>
  <c r="E106"/>
  <c r="G105"/>
  <c r="H105" s="1"/>
  <c r="J105" s="1"/>
  <c r="E105"/>
  <c r="H104"/>
  <c r="J104" s="1"/>
  <c r="G104"/>
  <c r="G107" s="1"/>
  <c r="H107" s="1"/>
  <c r="J107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J84"/>
  <c r="H84"/>
  <c r="G84"/>
  <c r="E84"/>
  <c r="H83"/>
  <c r="J83" s="1"/>
  <c r="G83"/>
  <c r="E83"/>
  <c r="J82"/>
  <c r="H82"/>
  <c r="G82"/>
  <c r="E82"/>
  <c r="H81"/>
  <c r="J81" s="1"/>
  <c r="G81"/>
  <c r="E81"/>
  <c r="J80"/>
  <c r="H80"/>
  <c r="G80"/>
  <c r="E80"/>
  <c r="H79"/>
  <c r="J79" s="1"/>
  <c r="G79"/>
  <c r="E79"/>
  <c r="J78"/>
  <c r="H78"/>
  <c r="G78"/>
  <c r="E78"/>
  <c r="H77"/>
  <c r="J77" s="1"/>
  <c r="G77"/>
  <c r="E77"/>
  <c r="J76"/>
  <c r="H76"/>
  <c r="G76"/>
  <c r="E76"/>
  <c r="H75"/>
  <c r="J75" s="1"/>
  <c r="G75"/>
  <c r="E75"/>
  <c r="J74"/>
  <c r="H74"/>
  <c r="G74"/>
  <c r="E74"/>
  <c r="H73"/>
  <c r="J73" s="1"/>
  <c r="G73"/>
  <c r="E73"/>
  <c r="J72"/>
  <c r="H72"/>
  <c r="G72"/>
  <c r="G85" s="1"/>
  <c r="H85" s="1"/>
  <c r="J85" s="1"/>
  <c r="E72"/>
  <c r="H69"/>
  <c r="J69" s="1"/>
  <c r="G69"/>
  <c r="E69"/>
  <c r="E171" s="1"/>
  <c r="G171" s="1"/>
  <c r="J68"/>
  <c r="H68"/>
  <c r="G68"/>
  <c r="E68"/>
  <c r="H67"/>
  <c r="J67" s="1"/>
  <c r="G67"/>
  <c r="E67"/>
  <c r="J66"/>
  <c r="H66"/>
  <c r="G66"/>
  <c r="E66"/>
  <c r="H65"/>
  <c r="J65" s="1"/>
  <c r="G65"/>
  <c r="E65"/>
  <c r="E167" s="1"/>
  <c r="G167" s="1"/>
  <c r="J64"/>
  <c r="H64"/>
  <c r="G64"/>
  <c r="E64"/>
  <c r="H63"/>
  <c r="J63" s="1"/>
  <c r="G63"/>
  <c r="E63"/>
  <c r="J62"/>
  <c r="H62"/>
  <c r="G62"/>
  <c r="E62"/>
  <c r="H58"/>
  <c r="J58" s="1"/>
  <c r="G58"/>
  <c r="E58"/>
  <c r="J57"/>
  <c r="H57"/>
  <c r="G57"/>
  <c r="E57"/>
  <c r="H56"/>
  <c r="J56" s="1"/>
  <c r="G56"/>
  <c r="E56"/>
  <c r="J55"/>
  <c r="H55"/>
  <c r="G55"/>
  <c r="E55"/>
  <c r="H54"/>
  <c r="J54" s="1"/>
  <c r="G54"/>
  <c r="E54"/>
  <c r="J53"/>
  <c r="H53"/>
  <c r="G53"/>
  <c r="E53"/>
  <c r="H52"/>
  <c r="J52" s="1"/>
  <c r="G52"/>
  <c r="E52"/>
  <c r="J51"/>
  <c r="H51"/>
  <c r="G51"/>
  <c r="E51"/>
  <c r="H50"/>
  <c r="J50" s="1"/>
  <c r="G50"/>
  <c r="E50"/>
  <c r="J49"/>
  <c r="H49"/>
  <c r="G49"/>
  <c r="G59" s="1"/>
  <c r="H59" s="1"/>
  <c r="J59" s="1"/>
  <c r="E49"/>
  <c r="H46"/>
  <c r="J46" s="1"/>
  <c r="G46"/>
  <c r="E46"/>
  <c r="G45"/>
  <c r="H45" s="1"/>
  <c r="J45" s="1"/>
  <c r="E45"/>
  <c r="H44"/>
  <c r="J44" s="1"/>
  <c r="G44"/>
  <c r="E44"/>
  <c r="G43"/>
  <c r="H43" s="1"/>
  <c r="J43" s="1"/>
  <c r="E43"/>
  <c r="H42"/>
  <c r="J42" s="1"/>
  <c r="G42"/>
  <c r="E42"/>
  <c r="G41"/>
  <c r="G144" s="1"/>
  <c r="E41"/>
  <c r="H40"/>
  <c r="J40" s="1"/>
  <c r="G40"/>
  <c r="E40"/>
  <c r="G39"/>
  <c r="G146" s="1"/>
  <c r="E39"/>
  <c r="H38"/>
  <c r="J38" s="1"/>
  <c r="G38"/>
  <c r="G148" s="1"/>
  <c r="E38"/>
  <c r="G37"/>
  <c r="G152" s="1"/>
  <c r="E37"/>
  <c r="H36"/>
  <c r="J36" s="1"/>
  <c r="G36"/>
  <c r="G150" s="1"/>
  <c r="E36"/>
  <c r="G35"/>
  <c r="G47" s="1"/>
  <c r="E35"/>
  <c r="E31"/>
  <c r="G31" s="1"/>
  <c r="H31" s="1"/>
  <c r="J31" s="1"/>
  <c r="E29"/>
  <c r="G29" s="1"/>
  <c r="H29" s="1"/>
  <c r="J29" s="1"/>
  <c r="J24"/>
  <c r="H24"/>
  <c r="E24"/>
  <c r="J23"/>
  <c r="H23"/>
  <c r="E23"/>
  <c r="H22"/>
  <c r="J22" s="1"/>
  <c r="G22"/>
  <c r="E22"/>
  <c r="H19"/>
  <c r="J19" s="1"/>
  <c r="G19"/>
  <c r="E30" s="1"/>
  <c r="G30" s="1"/>
  <c r="H30" s="1"/>
  <c r="J30" s="1"/>
  <c r="E19"/>
  <c r="J18"/>
  <c r="H18"/>
  <c r="G18"/>
  <c r="G20" s="1"/>
  <c r="H20" s="1"/>
  <c r="J20" s="1"/>
  <c r="I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G8"/>
  <c r="H8" s="1"/>
  <c r="J8" s="1"/>
  <c r="E8"/>
  <c r="E7"/>
  <c r="G7" s="1"/>
  <c r="F171" i="10"/>
  <c r="G171" s="1"/>
  <c r="I171" s="1"/>
  <c r="E171"/>
  <c r="F170"/>
  <c r="G170" s="1"/>
  <c r="I170" s="1"/>
  <c r="E170"/>
  <c r="F169"/>
  <c r="G169" s="1"/>
  <c r="I169" s="1"/>
  <c r="E169"/>
  <c r="G168"/>
  <c r="I168" s="1"/>
  <c r="F168"/>
  <c r="E168"/>
  <c r="F167"/>
  <c r="G167" s="1"/>
  <c r="I167" s="1"/>
  <c r="E167"/>
  <c r="G166"/>
  <c r="I166" s="1"/>
  <c r="F166"/>
  <c r="E166"/>
  <c r="F165"/>
  <c r="G165" s="1"/>
  <c r="I165" s="1"/>
  <c r="E165"/>
  <c r="G164"/>
  <c r="I164" s="1"/>
  <c r="F164"/>
  <c r="E164"/>
  <c r="E163"/>
  <c r="G163" s="1"/>
  <c r="I163" s="1"/>
  <c r="E162"/>
  <c r="G162" s="1"/>
  <c r="I162" s="1"/>
  <c r="I161"/>
  <c r="G161"/>
  <c r="E161"/>
  <c r="E160"/>
  <c r="G160" s="1"/>
  <c r="I160" s="1"/>
  <c r="E140"/>
  <c r="G140" s="1"/>
  <c r="H140" s="1"/>
  <c r="J140" s="1"/>
  <c r="G139"/>
  <c r="H139" s="1"/>
  <c r="J139" s="1"/>
  <c r="E139"/>
  <c r="G138"/>
  <c r="H138" s="1"/>
  <c r="J138" s="1"/>
  <c r="E138"/>
  <c r="H137"/>
  <c r="J137" s="1"/>
  <c r="G137"/>
  <c r="I138" s="1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G106"/>
  <c r="H106" s="1"/>
  <c r="J106" s="1"/>
  <c r="E106"/>
  <c r="H105"/>
  <c r="J105" s="1"/>
  <c r="G105"/>
  <c r="E105"/>
  <c r="G104"/>
  <c r="H104" s="1"/>
  <c r="J104" s="1"/>
  <c r="E104"/>
  <c r="E100"/>
  <c r="G100" s="1"/>
  <c r="H100" s="1"/>
  <c r="J100" s="1"/>
  <c r="G99"/>
  <c r="H99" s="1"/>
  <c r="J99" s="1"/>
  <c r="E99"/>
  <c r="E98"/>
  <c r="G98" s="1"/>
  <c r="H98" s="1"/>
  <c r="J98" s="1"/>
  <c r="G97"/>
  <c r="H97" s="1"/>
  <c r="J97" s="1"/>
  <c r="E97"/>
  <c r="E96"/>
  <c r="G96" s="1"/>
  <c r="H96" s="1"/>
  <c r="J96" s="1"/>
  <c r="G95"/>
  <c r="E95"/>
  <c r="E94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E12"/>
  <c r="G12" s="1"/>
  <c r="H12" s="1"/>
  <c r="J12" s="1"/>
  <c r="G11"/>
  <c r="H11" s="1"/>
  <c r="J11" s="1"/>
  <c r="E11"/>
  <c r="E10"/>
  <c r="G10" s="1"/>
  <c r="H10" s="1"/>
  <c r="J10" s="1"/>
  <c r="H9"/>
  <c r="J9" s="1"/>
  <c r="G9"/>
  <c r="E9"/>
  <c r="G8"/>
  <c r="E27" s="1"/>
  <c r="G27" s="1"/>
  <c r="E8"/>
  <c r="I7"/>
  <c r="E7"/>
  <c r="G7" s="1"/>
  <c r="F171" i="9"/>
  <c r="G171" s="1"/>
  <c r="I171" s="1"/>
  <c r="E171"/>
  <c r="F170"/>
  <c r="G170" s="1"/>
  <c r="I170" s="1"/>
  <c r="E170"/>
  <c r="F169"/>
  <c r="G169" s="1"/>
  <c r="I169" s="1"/>
  <c r="E169"/>
  <c r="F168"/>
  <c r="G168" s="1"/>
  <c r="I168" s="1"/>
  <c r="E168"/>
  <c r="F167"/>
  <c r="G167" s="1"/>
  <c r="I167" s="1"/>
  <c r="E167"/>
  <c r="F166"/>
  <c r="G166" s="1"/>
  <c r="I166" s="1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I161"/>
  <c r="G161"/>
  <c r="E161"/>
  <c r="E160"/>
  <c r="G160" s="1"/>
  <c r="I160" s="1"/>
  <c r="E140"/>
  <c r="G140" s="1"/>
  <c r="H140" s="1"/>
  <c r="J140" s="1"/>
  <c r="G139"/>
  <c r="H139" s="1"/>
  <c r="J139" s="1"/>
  <c r="E139"/>
  <c r="G138"/>
  <c r="H138" s="1"/>
  <c r="J138" s="1"/>
  <c r="E138"/>
  <c r="H137"/>
  <c r="J137" s="1"/>
  <c r="G137"/>
  <c r="I138" s="1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H106"/>
  <c r="J106" s="1"/>
  <c r="G106"/>
  <c r="E106"/>
  <c r="H105"/>
  <c r="J105" s="1"/>
  <c r="G105"/>
  <c r="E105"/>
  <c r="H104"/>
  <c r="J104" s="1"/>
  <c r="G104"/>
  <c r="G107" s="1"/>
  <c r="H107" s="1"/>
  <c r="J107" s="1"/>
  <c r="E104"/>
  <c r="G100"/>
  <c r="H100" s="1"/>
  <c r="J100" s="1"/>
  <c r="E100"/>
  <c r="G99"/>
  <c r="H99" s="1"/>
  <c r="J99" s="1"/>
  <c r="E99"/>
  <c r="G98"/>
  <c r="H98" s="1"/>
  <c r="J98" s="1"/>
  <c r="E98"/>
  <c r="G97"/>
  <c r="H97" s="1"/>
  <c r="J97" s="1"/>
  <c r="E97"/>
  <c r="G96"/>
  <c r="H96" s="1"/>
  <c r="J96" s="1"/>
  <c r="E96"/>
  <c r="G95"/>
  <c r="G101" s="1"/>
  <c r="H101" s="1"/>
  <c r="J101" s="1"/>
  <c r="E95"/>
  <c r="E94"/>
  <c r="G93"/>
  <c r="H93" s="1"/>
  <c r="J93" s="1"/>
  <c r="E93"/>
  <c r="G92"/>
  <c r="G94" s="1"/>
  <c r="H94" s="1"/>
  <c r="J94" s="1"/>
  <c r="E92"/>
  <c r="G90"/>
  <c r="H90" s="1"/>
  <c r="J90" s="1"/>
  <c r="E90"/>
  <c r="G89"/>
  <c r="H89" s="1"/>
  <c r="J89" s="1"/>
  <c r="E89"/>
  <c r="G88"/>
  <c r="H88" s="1"/>
  <c r="J88" s="1"/>
  <c r="E88"/>
  <c r="G87"/>
  <c r="H87" s="1"/>
  <c r="J87" s="1"/>
  <c r="E87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G18"/>
  <c r="E31" s="1"/>
  <c r="G31" s="1"/>
  <c r="H31" s="1"/>
  <c r="E18"/>
  <c r="G15"/>
  <c r="E15"/>
  <c r="G12"/>
  <c r="H12" s="1"/>
  <c r="J12" s="1"/>
  <c r="E12"/>
  <c r="G11"/>
  <c r="H11" s="1"/>
  <c r="J11" s="1"/>
  <c r="E11"/>
  <c r="G10"/>
  <c r="H10" s="1"/>
  <c r="J10" s="1"/>
  <c r="E10"/>
  <c r="E9"/>
  <c r="G9" s="1"/>
  <c r="H8"/>
  <c r="J8" s="1"/>
  <c r="G8"/>
  <c r="E27" s="1"/>
  <c r="G27" s="1"/>
  <c r="E8"/>
  <c r="I7"/>
  <c r="E7"/>
  <c r="G7" s="1"/>
  <c r="F171" i="8"/>
  <c r="G171" s="1"/>
  <c r="I171" s="1"/>
  <c r="E171"/>
  <c r="F170"/>
  <c r="G170" s="1"/>
  <c r="I170" s="1"/>
  <c r="E170"/>
  <c r="F169"/>
  <c r="G169" s="1"/>
  <c r="I169" s="1"/>
  <c r="E169"/>
  <c r="F168"/>
  <c r="G168" s="1"/>
  <c r="I168" s="1"/>
  <c r="E168"/>
  <c r="F167"/>
  <c r="G167" s="1"/>
  <c r="I167" s="1"/>
  <c r="E167"/>
  <c r="F166"/>
  <c r="G166" s="1"/>
  <c r="I166" s="1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I161"/>
  <c r="G161"/>
  <c r="E161"/>
  <c r="E160"/>
  <c r="G160" s="1"/>
  <c r="I160" s="1"/>
  <c r="E140"/>
  <c r="G140" s="1"/>
  <c r="H139"/>
  <c r="J139" s="1"/>
  <c r="G139"/>
  <c r="E139"/>
  <c r="G138"/>
  <c r="H138" s="1"/>
  <c r="J138" s="1"/>
  <c r="E138"/>
  <c r="H137"/>
  <c r="J137" s="1"/>
  <c r="G137"/>
  <c r="E137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G114"/>
  <c r="H114" s="1"/>
  <c r="J114" s="1"/>
  <c r="E114"/>
  <c r="J113"/>
  <c r="G111"/>
  <c r="H111" s="1"/>
  <c r="J111" s="1"/>
  <c r="E111"/>
  <c r="E110"/>
  <c r="G110" s="1"/>
  <c r="H110" s="1"/>
  <c r="J110" s="1"/>
  <c r="G109"/>
  <c r="H109" s="1"/>
  <c r="J109" s="1"/>
  <c r="E109"/>
  <c r="E106"/>
  <c r="G106" s="1"/>
  <c r="H106" s="1"/>
  <c r="J106" s="1"/>
  <c r="E105"/>
  <c r="G105" s="1"/>
  <c r="H105" s="1"/>
  <c r="J105" s="1"/>
  <c r="G104"/>
  <c r="H104" s="1"/>
  <c r="J104" s="1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F119" s="1"/>
  <c r="E96"/>
  <c r="H95"/>
  <c r="J95" s="1"/>
  <c r="G95"/>
  <c r="G119" s="1"/>
  <c r="H119" s="1"/>
  <c r="J119" s="1"/>
  <c r="E95"/>
  <c r="E94"/>
  <c r="H93"/>
  <c r="J93" s="1"/>
  <c r="G93"/>
  <c r="E93"/>
  <c r="G92"/>
  <c r="G94" s="1"/>
  <c r="H94" s="1"/>
  <c r="J94" s="1"/>
  <c r="E92"/>
  <c r="H90"/>
  <c r="J90" s="1"/>
  <c r="G90"/>
  <c r="E90"/>
  <c r="G89"/>
  <c r="H89" s="1"/>
  <c r="J89" s="1"/>
  <c r="E89"/>
  <c r="H88"/>
  <c r="J88" s="1"/>
  <c r="G88"/>
  <c r="E88"/>
  <c r="G87"/>
  <c r="H87" s="1"/>
  <c r="J87" s="1"/>
  <c r="E87"/>
  <c r="E86"/>
  <c r="G86" s="1"/>
  <c r="H86" s="1"/>
  <c r="J86" s="1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G59" s="1"/>
  <c r="H59" s="1"/>
  <c r="J59" s="1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18"/>
  <c r="G15"/>
  <c r="E28" s="1"/>
  <c r="G28" s="1"/>
  <c r="H28" s="1"/>
  <c r="J28" s="1"/>
  <c r="E15"/>
  <c r="G12"/>
  <c r="H12" s="1"/>
  <c r="J12" s="1"/>
  <c r="E12"/>
  <c r="E11"/>
  <c r="G11" s="1"/>
  <c r="H11" s="1"/>
  <c r="J11" s="1"/>
  <c r="G10"/>
  <c r="H10" s="1"/>
  <c r="J10" s="1"/>
  <c r="E10"/>
  <c r="E9"/>
  <c r="G9" s="1"/>
  <c r="H8"/>
  <c r="J8" s="1"/>
  <c r="I9" s="1"/>
  <c r="G8"/>
  <c r="E27" s="1"/>
  <c r="G27" s="1"/>
  <c r="E8"/>
  <c r="I7"/>
  <c r="G7"/>
  <c r="E7"/>
  <c r="F171" i="7"/>
  <c r="G171" s="1"/>
  <c r="I171" s="1"/>
  <c r="E171"/>
  <c r="F170"/>
  <c r="G170" s="1"/>
  <c r="I170" s="1"/>
  <c r="E170"/>
  <c r="F169"/>
  <c r="G169" s="1"/>
  <c r="I169" s="1"/>
  <c r="E169"/>
  <c r="F168"/>
  <c r="G168" s="1"/>
  <c r="I168" s="1"/>
  <c r="E168"/>
  <c r="F167"/>
  <c r="G167" s="1"/>
  <c r="I167" s="1"/>
  <c r="E167"/>
  <c r="F166"/>
  <c r="G166" s="1"/>
  <c r="I166" s="1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I161"/>
  <c r="G161"/>
  <c r="E161"/>
  <c r="E160"/>
  <c r="G160" s="1"/>
  <c r="I160" s="1"/>
  <c r="E140"/>
  <c r="G140" s="1"/>
  <c r="H139"/>
  <c r="J139" s="1"/>
  <c r="G139"/>
  <c r="E139"/>
  <c r="G138"/>
  <c r="H138" s="1"/>
  <c r="J138" s="1"/>
  <c r="E138"/>
  <c r="H137"/>
  <c r="J137" s="1"/>
  <c r="G137"/>
  <c r="E137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G114"/>
  <c r="H114" s="1"/>
  <c r="J114" s="1"/>
  <c r="E114"/>
  <c r="J113"/>
  <c r="G111"/>
  <c r="H111" s="1"/>
  <c r="J111" s="1"/>
  <c r="E111"/>
  <c r="E110"/>
  <c r="G110" s="1"/>
  <c r="H110" s="1"/>
  <c r="J110" s="1"/>
  <c r="G109"/>
  <c r="H109" s="1"/>
  <c r="J109" s="1"/>
  <c r="E109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J84"/>
  <c r="H84"/>
  <c r="G84"/>
  <c r="E84"/>
  <c r="G83"/>
  <c r="H83" s="1"/>
  <c r="J83" s="1"/>
  <c r="E83"/>
  <c r="J82"/>
  <c r="H82"/>
  <c r="G82"/>
  <c r="E82"/>
  <c r="G81"/>
  <c r="H81" s="1"/>
  <c r="J81" s="1"/>
  <c r="E81"/>
  <c r="J80"/>
  <c r="H80"/>
  <c r="G80"/>
  <c r="E80"/>
  <c r="G79"/>
  <c r="H79" s="1"/>
  <c r="J79" s="1"/>
  <c r="E79"/>
  <c r="J78"/>
  <c r="H78"/>
  <c r="G78"/>
  <c r="E78"/>
  <c r="G77"/>
  <c r="H77" s="1"/>
  <c r="J77" s="1"/>
  <c r="E77"/>
  <c r="J76"/>
  <c r="H76"/>
  <c r="G76"/>
  <c r="E76"/>
  <c r="G75"/>
  <c r="H75" s="1"/>
  <c r="J75" s="1"/>
  <c r="E75"/>
  <c r="J74"/>
  <c r="H74"/>
  <c r="G74"/>
  <c r="E74"/>
  <c r="G73"/>
  <c r="H73" s="1"/>
  <c r="J73" s="1"/>
  <c r="E73"/>
  <c r="J72"/>
  <c r="H72"/>
  <c r="G72"/>
  <c r="G85" s="1"/>
  <c r="H85" s="1"/>
  <c r="J85" s="1"/>
  <c r="E72"/>
  <c r="G69"/>
  <c r="H69" s="1"/>
  <c r="J69" s="1"/>
  <c r="E69"/>
  <c r="J68"/>
  <c r="H68"/>
  <c r="G68"/>
  <c r="E68"/>
  <c r="G67"/>
  <c r="H67" s="1"/>
  <c r="J67" s="1"/>
  <c r="E67"/>
  <c r="J66"/>
  <c r="H66"/>
  <c r="G66"/>
  <c r="E66"/>
  <c r="G65"/>
  <c r="H65" s="1"/>
  <c r="J65" s="1"/>
  <c r="E65"/>
  <c r="J64"/>
  <c r="H64"/>
  <c r="G64"/>
  <c r="E64"/>
  <c r="G63"/>
  <c r="H63" s="1"/>
  <c r="J63" s="1"/>
  <c r="E63"/>
  <c r="J62"/>
  <c r="H62"/>
  <c r="G62"/>
  <c r="E62"/>
  <c r="G58"/>
  <c r="H58" s="1"/>
  <c r="J58" s="1"/>
  <c r="E58"/>
  <c r="J57"/>
  <c r="H57"/>
  <c r="G57"/>
  <c r="E57"/>
  <c r="G56"/>
  <c r="H56" s="1"/>
  <c r="J56" s="1"/>
  <c r="E56"/>
  <c r="J55"/>
  <c r="H55"/>
  <c r="G55"/>
  <c r="E55"/>
  <c r="G54"/>
  <c r="H54" s="1"/>
  <c r="J54" s="1"/>
  <c r="E54"/>
  <c r="J53"/>
  <c r="H53"/>
  <c r="G53"/>
  <c r="E53"/>
  <c r="G52"/>
  <c r="H52" s="1"/>
  <c r="J52" s="1"/>
  <c r="E52"/>
  <c r="J51"/>
  <c r="H51"/>
  <c r="G51"/>
  <c r="E51"/>
  <c r="G50"/>
  <c r="H50" s="1"/>
  <c r="J50" s="1"/>
  <c r="E50"/>
  <c r="J49"/>
  <c r="H49"/>
  <c r="G49"/>
  <c r="G59" s="1"/>
  <c r="H59" s="1"/>
  <c r="J59" s="1"/>
  <c r="E49"/>
  <c r="H46"/>
  <c r="J46" s="1"/>
  <c r="G46"/>
  <c r="E46"/>
  <c r="E45"/>
  <c r="G45" s="1"/>
  <c r="H45" s="1"/>
  <c r="J45" s="1"/>
  <c r="H44"/>
  <c r="J44" s="1"/>
  <c r="G44"/>
  <c r="E44"/>
  <c r="E43"/>
  <c r="G43" s="1"/>
  <c r="H43" s="1"/>
  <c r="J43" s="1"/>
  <c r="H42"/>
  <c r="J42" s="1"/>
  <c r="G42"/>
  <c r="E42"/>
  <c r="E41"/>
  <c r="G41" s="1"/>
  <c r="H40"/>
  <c r="J40" s="1"/>
  <c r="G40"/>
  <c r="E40"/>
  <c r="E39"/>
  <c r="G39" s="1"/>
  <c r="H38"/>
  <c r="J38" s="1"/>
  <c r="G38"/>
  <c r="G148" s="1"/>
  <c r="E38"/>
  <c r="E37"/>
  <c r="G37" s="1"/>
  <c r="H36"/>
  <c r="J36" s="1"/>
  <c r="G36"/>
  <c r="G150" s="1"/>
  <c r="E36"/>
  <c r="E35"/>
  <c r="G35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I18"/>
  <c r="I20" s="1"/>
  <c r="H18"/>
  <c r="J18" s="1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G8"/>
  <c r="H8" s="1"/>
  <c r="J8" s="1"/>
  <c r="I9" s="1"/>
  <c r="E8"/>
  <c r="I7"/>
  <c r="E7"/>
  <c r="G7" s="1"/>
  <c r="E7" i="33"/>
  <c r="G7"/>
  <c r="H7"/>
  <c r="J7" s="1"/>
  <c r="I7"/>
  <c r="E8"/>
  <c r="G8" s="1"/>
  <c r="E9"/>
  <c r="G9"/>
  <c r="H9" s="1"/>
  <c r="J9" s="1"/>
  <c r="E10"/>
  <c r="G10" s="1"/>
  <c r="E11"/>
  <c r="G11" s="1"/>
  <c r="H11" s="1"/>
  <c r="J11" s="1"/>
  <c r="E12"/>
  <c r="G12" s="1"/>
  <c r="H12" s="1"/>
  <c r="J12" s="1"/>
  <c r="E15"/>
  <c r="G15" s="1"/>
  <c r="E18"/>
  <c r="G18"/>
  <c r="H18"/>
  <c r="J18" s="1"/>
  <c r="I18"/>
  <c r="E19"/>
  <c r="G19"/>
  <c r="G20" s="1"/>
  <c r="H20" s="1"/>
  <c r="J20" s="1"/>
  <c r="I20" s="1"/>
  <c r="H19"/>
  <c r="J19" s="1"/>
  <c r="E22"/>
  <c r="G22"/>
  <c r="H22"/>
  <c r="J22" s="1"/>
  <c r="E23"/>
  <c r="H23"/>
  <c r="J23" s="1"/>
  <c r="E24"/>
  <c r="H24"/>
  <c r="J24"/>
  <c r="E29"/>
  <c r="G29" s="1"/>
  <c r="H29" s="1"/>
  <c r="J29" s="1"/>
  <c r="E30"/>
  <c r="G30" s="1"/>
  <c r="H30" s="1"/>
  <c r="J30" s="1"/>
  <c r="E31"/>
  <c r="G31" s="1"/>
  <c r="H31" s="1"/>
  <c r="E35"/>
  <c r="G35"/>
  <c r="G47" s="1"/>
  <c r="H35"/>
  <c r="J35" s="1"/>
  <c r="E36"/>
  <c r="G36"/>
  <c r="H36" s="1"/>
  <c r="J36" s="1"/>
  <c r="E37"/>
  <c r="G37"/>
  <c r="H37"/>
  <c r="J37" s="1"/>
  <c r="E38"/>
  <c r="G38"/>
  <c r="H38" s="1"/>
  <c r="J38" s="1"/>
  <c r="E39"/>
  <c r="G39"/>
  <c r="H39"/>
  <c r="J39" s="1"/>
  <c r="E40"/>
  <c r="G40"/>
  <c r="H40" s="1"/>
  <c r="J40" s="1"/>
  <c r="E41"/>
  <c r="G41"/>
  <c r="H41"/>
  <c r="J41" s="1"/>
  <c r="E42"/>
  <c r="G42"/>
  <c r="E43"/>
  <c r="G43"/>
  <c r="H43"/>
  <c r="J43" s="1"/>
  <c r="E44"/>
  <c r="G44"/>
  <c r="H44" s="1"/>
  <c r="J44" s="1"/>
  <c r="E45"/>
  <c r="G45"/>
  <c r="H45"/>
  <c r="J45" s="1"/>
  <c r="E46"/>
  <c r="G46"/>
  <c r="H46" s="1"/>
  <c r="J46" s="1"/>
  <c r="E49"/>
  <c r="G49" s="1"/>
  <c r="E50"/>
  <c r="G50" s="1"/>
  <c r="H50" s="1"/>
  <c r="J50" s="1"/>
  <c r="E51"/>
  <c r="G51" s="1"/>
  <c r="E52"/>
  <c r="G52" s="1"/>
  <c r="E53"/>
  <c r="G53" s="1"/>
  <c r="E54"/>
  <c r="G54" s="1"/>
  <c r="H54" s="1"/>
  <c r="J54" s="1"/>
  <c r="E55"/>
  <c r="G55" s="1"/>
  <c r="H55" s="1"/>
  <c r="J55" s="1"/>
  <c r="E56"/>
  <c r="G56" s="1"/>
  <c r="H56" s="1"/>
  <c r="J56" s="1"/>
  <c r="E57"/>
  <c r="G57" s="1"/>
  <c r="H57" s="1"/>
  <c r="J57" s="1"/>
  <c r="E58"/>
  <c r="G58" s="1"/>
  <c r="H58" s="1"/>
  <c r="J58" s="1"/>
  <c r="E62"/>
  <c r="G62" s="1"/>
  <c r="H62" s="1"/>
  <c r="J62" s="1"/>
  <c r="E63"/>
  <c r="G63" s="1"/>
  <c r="H63" s="1"/>
  <c r="J63" s="1"/>
  <c r="E64"/>
  <c r="G64" s="1"/>
  <c r="H64" s="1"/>
  <c r="J64" s="1"/>
  <c r="E65"/>
  <c r="G65" s="1"/>
  <c r="H65" s="1"/>
  <c r="J65" s="1"/>
  <c r="E66"/>
  <c r="G66" s="1"/>
  <c r="H66" s="1"/>
  <c r="J66" s="1"/>
  <c r="E67"/>
  <c r="G67" s="1"/>
  <c r="H67" s="1"/>
  <c r="J67" s="1"/>
  <c r="E68"/>
  <c r="G68" s="1"/>
  <c r="H68" s="1"/>
  <c r="J68" s="1"/>
  <c r="E69"/>
  <c r="G69" s="1"/>
  <c r="H69" s="1"/>
  <c r="J69" s="1"/>
  <c r="E72"/>
  <c r="G72" s="1"/>
  <c r="E73"/>
  <c r="G73" s="1"/>
  <c r="H73" s="1"/>
  <c r="J73" s="1"/>
  <c r="E74"/>
  <c r="G74" s="1"/>
  <c r="H74" s="1"/>
  <c r="J74" s="1"/>
  <c r="E75"/>
  <c r="G75" s="1"/>
  <c r="H75" s="1"/>
  <c r="J75" s="1"/>
  <c r="E76"/>
  <c r="G76" s="1"/>
  <c r="H76" s="1"/>
  <c r="J76" s="1"/>
  <c r="E77"/>
  <c r="G77" s="1"/>
  <c r="H77" s="1"/>
  <c r="J77" s="1"/>
  <c r="E78"/>
  <c r="G78" s="1"/>
  <c r="H78" s="1"/>
  <c r="J78" s="1"/>
  <c r="E79"/>
  <c r="G79" s="1"/>
  <c r="H79" s="1"/>
  <c r="J79" s="1"/>
  <c r="E80"/>
  <c r="G80" s="1"/>
  <c r="H80" s="1"/>
  <c r="J80" s="1"/>
  <c r="E81"/>
  <c r="G81" s="1"/>
  <c r="H81" s="1"/>
  <c r="J81" s="1"/>
  <c r="E82"/>
  <c r="G82" s="1"/>
  <c r="H82" s="1"/>
  <c r="J82" s="1"/>
  <c r="E83"/>
  <c r="G83" s="1"/>
  <c r="H83" s="1"/>
  <c r="J83" s="1"/>
  <c r="E84"/>
  <c r="G84" s="1"/>
  <c r="H84" s="1"/>
  <c r="J84" s="1"/>
  <c r="E85"/>
  <c r="E86"/>
  <c r="G86" s="1"/>
  <c r="E87"/>
  <c r="G87"/>
  <c r="H87"/>
  <c r="J87" s="1"/>
  <c r="E88"/>
  <c r="G88"/>
  <c r="H88" s="1"/>
  <c r="J88" s="1"/>
  <c r="E89"/>
  <c r="G89"/>
  <c r="H89"/>
  <c r="J89" s="1"/>
  <c r="E90"/>
  <c r="G90"/>
  <c r="H90" s="1"/>
  <c r="J90" s="1"/>
  <c r="E92"/>
  <c r="G92"/>
  <c r="G94" s="1"/>
  <c r="H94" s="1"/>
  <c r="J94" s="1"/>
  <c r="H92"/>
  <c r="J92" s="1"/>
  <c r="E93"/>
  <c r="G93"/>
  <c r="H93" s="1"/>
  <c r="J93" s="1"/>
  <c r="E95"/>
  <c r="G95" s="1"/>
  <c r="E96"/>
  <c r="G96" s="1"/>
  <c r="H96" s="1"/>
  <c r="J96" s="1"/>
  <c r="E97"/>
  <c r="G97" s="1"/>
  <c r="H97" s="1"/>
  <c r="J97" s="1"/>
  <c r="E98"/>
  <c r="G98" s="1"/>
  <c r="H98" s="1"/>
  <c r="J98" s="1"/>
  <c r="E99"/>
  <c r="G99" s="1"/>
  <c r="H99" s="1"/>
  <c r="J99" s="1"/>
  <c r="E100"/>
  <c r="G100" s="1"/>
  <c r="H100" s="1"/>
  <c r="J100" s="1"/>
  <c r="E104"/>
  <c r="G104" s="1"/>
  <c r="E105"/>
  <c r="G105" s="1"/>
  <c r="H105" s="1"/>
  <c r="J105" s="1"/>
  <c r="E106"/>
  <c r="G106" s="1"/>
  <c r="H106" s="1"/>
  <c r="J106" s="1"/>
  <c r="E107"/>
  <c r="E108"/>
  <c r="E109"/>
  <c r="G109" s="1"/>
  <c r="E110"/>
  <c r="G110" s="1"/>
  <c r="H110" s="1"/>
  <c r="J110" s="1"/>
  <c r="E111"/>
  <c r="G111" s="1"/>
  <c r="H111" s="1"/>
  <c r="J111" s="1"/>
  <c r="E112"/>
  <c r="E113"/>
  <c r="J113"/>
  <c r="E114"/>
  <c r="G114"/>
  <c r="E115"/>
  <c r="G115" s="1"/>
  <c r="H115" s="1"/>
  <c r="J115" s="1"/>
  <c r="G116"/>
  <c r="H116"/>
  <c r="J116" s="1"/>
  <c r="F118"/>
  <c r="E123"/>
  <c r="G123" s="1"/>
  <c r="H123" s="1"/>
  <c r="J123" s="1"/>
  <c r="E124"/>
  <c r="G124" s="1"/>
  <c r="H124" s="1"/>
  <c r="J124" s="1"/>
  <c r="E125"/>
  <c r="G125" s="1"/>
  <c r="H125" s="1"/>
  <c r="J125" s="1"/>
  <c r="E126"/>
  <c r="G126" s="1"/>
  <c r="H126" s="1"/>
  <c r="J126" s="1"/>
  <c r="E127"/>
  <c r="G127" s="1"/>
  <c r="H127" s="1"/>
  <c r="J127" s="1"/>
  <c r="E130"/>
  <c r="G130" s="1"/>
  <c r="H130" s="1"/>
  <c r="J130" s="1"/>
  <c r="E131"/>
  <c r="G131" s="1"/>
  <c r="H131" s="1"/>
  <c r="J131" s="1"/>
  <c r="E132"/>
  <c r="G132" s="1"/>
  <c r="E133"/>
  <c r="G133" s="1"/>
  <c r="H133" s="1"/>
  <c r="J133" s="1"/>
  <c r="E134"/>
  <c r="G134" s="1"/>
  <c r="H134" s="1"/>
  <c r="J134" s="1"/>
  <c r="E135"/>
  <c r="G135" s="1"/>
  <c r="H135" s="1"/>
  <c r="J135" s="1"/>
  <c r="E136"/>
  <c r="G136" s="1"/>
  <c r="E137"/>
  <c r="G137"/>
  <c r="H137"/>
  <c r="J137" s="1"/>
  <c r="E138"/>
  <c r="G138"/>
  <c r="H138" s="1"/>
  <c r="J138" s="1"/>
  <c r="E139"/>
  <c r="G139"/>
  <c r="H139"/>
  <c r="J139" s="1"/>
  <c r="E140"/>
  <c r="G140" s="1"/>
  <c r="E160"/>
  <c r="G160" s="1"/>
  <c r="I160" s="1"/>
  <c r="E161"/>
  <c r="G161"/>
  <c r="I161"/>
  <c r="E162"/>
  <c r="G162" s="1"/>
  <c r="I162" s="1"/>
  <c r="E163"/>
  <c r="G163" s="1"/>
  <c r="I163" s="1"/>
  <c r="E164"/>
  <c r="F164"/>
  <c r="G164" s="1"/>
  <c r="I164" s="1"/>
  <c r="E165"/>
  <c r="F165"/>
  <c r="G165" s="1"/>
  <c r="I165" s="1"/>
  <c r="E166"/>
  <c r="F166"/>
  <c r="G166" s="1"/>
  <c r="I166" s="1"/>
  <c r="E167"/>
  <c r="F167"/>
  <c r="G167" s="1"/>
  <c r="I167" s="1"/>
  <c r="E168"/>
  <c r="F168"/>
  <c r="G168" s="1"/>
  <c r="I168" s="1"/>
  <c r="E169"/>
  <c r="F169"/>
  <c r="G169" s="1"/>
  <c r="I169" s="1"/>
  <c r="E170"/>
  <c r="F170"/>
  <c r="G170" s="1"/>
  <c r="I170" s="1"/>
  <c r="E171"/>
  <c r="F171"/>
  <c r="G171" s="1"/>
  <c r="I171" s="1"/>
  <c r="G171" i="5"/>
  <c r="I171" s="1"/>
  <c r="F171"/>
  <c r="E171"/>
  <c r="I170"/>
  <c r="G170"/>
  <c r="F170"/>
  <c r="E170"/>
  <c r="G169"/>
  <c r="I169" s="1"/>
  <c r="F169"/>
  <c r="E169"/>
  <c r="I168"/>
  <c r="G168"/>
  <c r="F168"/>
  <c r="E168"/>
  <c r="G167"/>
  <c r="I167" s="1"/>
  <c r="F167"/>
  <c r="E167"/>
  <c r="I166"/>
  <c r="G166"/>
  <c r="F166"/>
  <c r="E166"/>
  <c r="G165"/>
  <c r="I165" s="1"/>
  <c r="F165"/>
  <c r="E165"/>
  <c r="I164"/>
  <c r="G164"/>
  <c r="F164"/>
  <c r="E164"/>
  <c r="E163"/>
  <c r="G163" s="1"/>
  <c r="I163" s="1"/>
  <c r="G162"/>
  <c r="I162" s="1"/>
  <c r="E162"/>
  <c r="E161"/>
  <c r="G161" s="1"/>
  <c r="I161" s="1"/>
  <c r="G160"/>
  <c r="I160" s="1"/>
  <c r="E160"/>
  <c r="E140"/>
  <c r="G140" s="1"/>
  <c r="E139"/>
  <c r="G139" s="1"/>
  <c r="H139" s="1"/>
  <c r="J139" s="1"/>
  <c r="G138"/>
  <c r="H138" s="1"/>
  <c r="J138" s="1"/>
  <c r="E138"/>
  <c r="E137"/>
  <c r="G137" s="1"/>
  <c r="H137" s="1"/>
  <c r="J137" s="1"/>
  <c r="G136"/>
  <c r="H136" s="1"/>
  <c r="J136" s="1"/>
  <c r="E136"/>
  <c r="G135"/>
  <c r="H135" s="1"/>
  <c r="J135" s="1"/>
  <c r="E135"/>
  <c r="H134"/>
  <c r="J134" s="1"/>
  <c r="G134"/>
  <c r="E134"/>
  <c r="G133"/>
  <c r="H133" s="1"/>
  <c r="J133" s="1"/>
  <c r="E133"/>
  <c r="H132"/>
  <c r="J132" s="1"/>
  <c r="G132"/>
  <c r="I135" s="1"/>
  <c r="E132"/>
  <c r="G131"/>
  <c r="H131" s="1"/>
  <c r="J131" s="1"/>
  <c r="E131"/>
  <c r="H130"/>
  <c r="J130" s="1"/>
  <c r="G130"/>
  <c r="E130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G123"/>
  <c r="H123" s="1"/>
  <c r="J123" s="1"/>
  <c r="E123"/>
  <c r="G117"/>
  <c r="H117" s="1"/>
  <c r="J117" s="1"/>
  <c r="J116"/>
  <c r="H116"/>
  <c r="G116"/>
  <c r="H115"/>
  <c r="J115" s="1"/>
  <c r="G115"/>
  <c r="E115"/>
  <c r="H114"/>
  <c r="J114" s="1"/>
  <c r="G114"/>
  <c r="E114"/>
  <c r="H113"/>
  <c r="J113" s="1"/>
  <c r="E111"/>
  <c r="G111" s="1"/>
  <c r="H111" s="1"/>
  <c r="J111" s="1"/>
  <c r="E110"/>
  <c r="G110" s="1"/>
  <c r="H110" s="1"/>
  <c r="J110" s="1"/>
  <c r="E109"/>
  <c r="G109" s="1"/>
  <c r="H108"/>
  <c r="E106"/>
  <c r="G106" s="1"/>
  <c r="H106" s="1"/>
  <c r="J106" s="1"/>
  <c r="E105"/>
  <c r="G105" s="1"/>
  <c r="H105" s="1"/>
  <c r="J105" s="1"/>
  <c r="E104"/>
  <c r="G104" s="1"/>
  <c r="H100"/>
  <c r="J100" s="1"/>
  <c r="G100"/>
  <c r="E100"/>
  <c r="H99"/>
  <c r="J99" s="1"/>
  <c r="G99"/>
  <c r="E99"/>
  <c r="H98"/>
  <c r="J98" s="1"/>
  <c r="G98"/>
  <c r="E98"/>
  <c r="H97"/>
  <c r="J97" s="1"/>
  <c r="G97"/>
  <c r="E97"/>
  <c r="H96"/>
  <c r="J96" s="1"/>
  <c r="G96"/>
  <c r="E96"/>
  <c r="H95"/>
  <c r="J95" s="1"/>
  <c r="G95"/>
  <c r="F119" s="1"/>
  <c r="E95"/>
  <c r="G93"/>
  <c r="H93" s="1"/>
  <c r="J93" s="1"/>
  <c r="E93"/>
  <c r="G92"/>
  <c r="G94" s="1"/>
  <c r="H94" s="1"/>
  <c r="J94" s="1"/>
  <c r="E92"/>
  <c r="I90"/>
  <c r="K90" s="1"/>
  <c r="H90"/>
  <c r="J90" s="1"/>
  <c r="G90"/>
  <c r="G89"/>
  <c r="H89" s="1"/>
  <c r="J88"/>
  <c r="H88"/>
  <c r="G88"/>
  <c r="H87"/>
  <c r="J87" s="1"/>
  <c r="G87"/>
  <c r="G86"/>
  <c r="H86" s="1"/>
  <c r="J86" s="1"/>
  <c r="J84"/>
  <c r="H84"/>
  <c r="G84"/>
  <c r="H83"/>
  <c r="J83" s="1"/>
  <c r="G83"/>
  <c r="G82"/>
  <c r="H82" s="1"/>
  <c r="J82" s="1"/>
  <c r="G81"/>
  <c r="H81" s="1"/>
  <c r="J81" s="1"/>
  <c r="J80"/>
  <c r="H80"/>
  <c r="G80"/>
  <c r="H79"/>
  <c r="J79" s="1"/>
  <c r="G79"/>
  <c r="G78"/>
  <c r="H78" s="1"/>
  <c r="J78" s="1"/>
  <c r="G77"/>
  <c r="H77" s="1"/>
  <c r="J77" s="1"/>
  <c r="J76"/>
  <c r="H76"/>
  <c r="G76"/>
  <c r="H75"/>
  <c r="J75" s="1"/>
  <c r="G75"/>
  <c r="G74"/>
  <c r="G85" s="1"/>
  <c r="H85" s="1"/>
  <c r="J85" s="1"/>
  <c r="G73"/>
  <c r="H73" s="1"/>
  <c r="J73" s="1"/>
  <c r="J72"/>
  <c r="H72"/>
  <c r="G72"/>
  <c r="H69"/>
  <c r="J69" s="1"/>
  <c r="G69"/>
  <c r="G68"/>
  <c r="H68" s="1"/>
  <c r="J68" s="1"/>
  <c r="G67"/>
  <c r="H67" s="1"/>
  <c r="J67" s="1"/>
  <c r="J66"/>
  <c r="H66"/>
  <c r="G66"/>
  <c r="H65"/>
  <c r="J65" s="1"/>
  <c r="G65"/>
  <c r="G64"/>
  <c r="H64" s="1"/>
  <c r="J64" s="1"/>
  <c r="G63"/>
  <c r="H63" s="1"/>
  <c r="J63" s="1"/>
  <c r="E62"/>
  <c r="G62" s="1"/>
  <c r="H62" s="1"/>
  <c r="J62" s="1"/>
  <c r="H58"/>
  <c r="J58" s="1"/>
  <c r="G58"/>
  <c r="O58" s="1"/>
  <c r="H57"/>
  <c r="J57" s="1"/>
  <c r="G57"/>
  <c r="O57" s="1"/>
  <c r="H56"/>
  <c r="J56" s="1"/>
  <c r="G56"/>
  <c r="O56" s="1"/>
  <c r="H55"/>
  <c r="J55" s="1"/>
  <c r="G55"/>
  <c r="O55" s="1"/>
  <c r="H54"/>
  <c r="J54" s="1"/>
  <c r="G54"/>
  <c r="O54" s="1"/>
  <c r="H53"/>
  <c r="J53" s="1"/>
  <c r="G53"/>
  <c r="O53" s="1"/>
  <c r="H52"/>
  <c r="J52" s="1"/>
  <c r="G52"/>
  <c r="O52" s="1"/>
  <c r="H51"/>
  <c r="J51" s="1"/>
  <c r="G51"/>
  <c r="O51" s="1"/>
  <c r="H50"/>
  <c r="J50" s="1"/>
  <c r="G50"/>
  <c r="O50" s="1"/>
  <c r="H49"/>
  <c r="J49" s="1"/>
  <c r="G49"/>
  <c r="G59" s="1"/>
  <c r="H59" s="1"/>
  <c r="J59" s="1"/>
  <c r="O48"/>
  <c r="H46"/>
  <c r="J46" s="1"/>
  <c r="G46"/>
  <c r="O46" s="1"/>
  <c r="H45"/>
  <c r="J45" s="1"/>
  <c r="G45"/>
  <c r="O45" s="1"/>
  <c r="H44"/>
  <c r="J44" s="1"/>
  <c r="G44"/>
  <c r="O44" s="1"/>
  <c r="H43"/>
  <c r="J43" s="1"/>
  <c r="G43"/>
  <c r="O43" s="1"/>
  <c r="H42"/>
  <c r="J42" s="1"/>
  <c r="G42"/>
  <c r="O42" s="1"/>
  <c r="H41"/>
  <c r="J41" s="1"/>
  <c r="G41"/>
  <c r="G144" s="1"/>
  <c r="H40"/>
  <c r="J40" s="1"/>
  <c r="G40"/>
  <c r="O40" s="1"/>
  <c r="H39"/>
  <c r="J39" s="1"/>
  <c r="G39"/>
  <c r="G146" s="1"/>
  <c r="H38"/>
  <c r="J38" s="1"/>
  <c r="G38"/>
  <c r="G148" s="1"/>
  <c r="H37"/>
  <c r="J37" s="1"/>
  <c r="G37"/>
  <c r="G152" s="1"/>
  <c r="G36"/>
  <c r="H36" s="1"/>
  <c r="J36" s="1"/>
  <c r="G35"/>
  <c r="O35" s="1"/>
  <c r="E29"/>
  <c r="G29" s="1"/>
  <c r="H29" s="1"/>
  <c r="J29" s="1"/>
  <c r="J24"/>
  <c r="H24"/>
  <c r="E24"/>
  <c r="H23"/>
  <c r="J23" s="1"/>
  <c r="E23"/>
  <c r="G22"/>
  <c r="H22" s="1"/>
  <c r="J22" s="1"/>
  <c r="E22"/>
  <c r="G19"/>
  <c r="E30" s="1"/>
  <c r="G30" s="1"/>
  <c r="H30" s="1"/>
  <c r="J30" s="1"/>
  <c r="I18"/>
  <c r="G18"/>
  <c r="G20" s="1"/>
  <c r="H20" s="1"/>
  <c r="J20" s="1"/>
  <c r="I20" s="1"/>
  <c r="G15"/>
  <c r="E28" s="1"/>
  <c r="G28" s="1"/>
  <c r="H28" s="1"/>
  <c r="J28" s="1"/>
  <c r="G13"/>
  <c r="H13" s="1"/>
  <c r="J13" s="1"/>
  <c r="G12"/>
  <c r="H12" s="1"/>
  <c r="J12" s="1"/>
  <c r="J11"/>
  <c r="H11"/>
  <c r="G11"/>
  <c r="H10"/>
  <c r="J10" s="1"/>
  <c r="G10"/>
  <c r="H9"/>
  <c r="J9" s="1"/>
  <c r="G9"/>
  <c r="G8"/>
  <c r="H8" s="1"/>
  <c r="J8" s="1"/>
  <c r="I9" s="1"/>
  <c r="I7"/>
  <c r="G7"/>
  <c r="F171" i="4"/>
  <c r="E171"/>
  <c r="F170"/>
  <c r="E170"/>
  <c r="F169"/>
  <c r="E169"/>
  <c r="F168"/>
  <c r="E168"/>
  <c r="G168" s="1"/>
  <c r="I168" s="1"/>
  <c r="F167"/>
  <c r="G167" s="1"/>
  <c r="I167" s="1"/>
  <c r="E167"/>
  <c r="F166"/>
  <c r="E166"/>
  <c r="G166" s="1"/>
  <c r="I166" s="1"/>
  <c r="F165"/>
  <c r="E165"/>
  <c r="G164"/>
  <c r="I164" s="1"/>
  <c r="F164"/>
  <c r="E164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E139"/>
  <c r="G139" s="1"/>
  <c r="H139" s="1"/>
  <c r="J139" s="1"/>
  <c r="E138"/>
  <c r="G138" s="1"/>
  <c r="H138" s="1"/>
  <c r="J138" s="1"/>
  <c r="G137"/>
  <c r="H137" s="1"/>
  <c r="J137" s="1"/>
  <c r="E137"/>
  <c r="G136"/>
  <c r="H136" s="1"/>
  <c r="J136" s="1"/>
  <c r="E136"/>
  <c r="E135"/>
  <c r="G135" s="1"/>
  <c r="H135" s="1"/>
  <c r="J135" s="1"/>
  <c r="G134"/>
  <c r="H134" s="1"/>
  <c r="J134" s="1"/>
  <c r="E134"/>
  <c r="E133"/>
  <c r="G133" s="1"/>
  <c r="H133" s="1"/>
  <c r="J133" s="1"/>
  <c r="G132"/>
  <c r="H132" s="1"/>
  <c r="J132" s="1"/>
  <c r="E132"/>
  <c r="E131"/>
  <c r="G131" s="1"/>
  <c r="H131" s="1"/>
  <c r="J131" s="1"/>
  <c r="G130"/>
  <c r="H130" s="1"/>
  <c r="J130" s="1"/>
  <c r="E130"/>
  <c r="G127"/>
  <c r="H127" s="1"/>
  <c r="J127" s="1"/>
  <c r="E127"/>
  <c r="G126"/>
  <c r="H126" s="1"/>
  <c r="J126" s="1"/>
  <c r="E126"/>
  <c r="G125"/>
  <c r="H125" s="1"/>
  <c r="J125" s="1"/>
  <c r="E125"/>
  <c r="G124"/>
  <c r="H124" s="1"/>
  <c r="J124" s="1"/>
  <c r="E124"/>
  <c r="G123"/>
  <c r="H123" s="1"/>
  <c r="J123" s="1"/>
  <c r="E123"/>
  <c r="H116"/>
  <c r="J116" s="1"/>
  <c r="G116"/>
  <c r="E115"/>
  <c r="G115" s="1"/>
  <c r="H115" s="1"/>
  <c r="J115" s="1"/>
  <c r="G114"/>
  <c r="G117" s="1"/>
  <c r="H117" s="1"/>
  <c r="J117" s="1"/>
  <c r="E114"/>
  <c r="J113"/>
  <c r="G111"/>
  <c r="H111" s="1"/>
  <c r="J111" s="1"/>
  <c r="E111"/>
  <c r="G110"/>
  <c r="H110" s="1"/>
  <c r="J110" s="1"/>
  <c r="E110"/>
  <c r="E109"/>
  <c r="G109" s="1"/>
  <c r="E106"/>
  <c r="G106" s="1"/>
  <c r="H106" s="1"/>
  <c r="J106" s="1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G97"/>
  <c r="H97" s="1"/>
  <c r="J97" s="1"/>
  <c r="E97"/>
  <c r="E96"/>
  <c r="G96" s="1"/>
  <c r="H96" s="1"/>
  <c r="J96" s="1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E88"/>
  <c r="G88" s="1"/>
  <c r="H88" s="1"/>
  <c r="J88" s="1"/>
  <c r="E87"/>
  <c r="G87" s="1"/>
  <c r="H87" s="1"/>
  <c r="J87" s="1"/>
  <c r="E86"/>
  <c r="G86" s="1"/>
  <c r="H86" s="1"/>
  <c r="J86" s="1"/>
  <c r="G84"/>
  <c r="H84" s="1"/>
  <c r="J84" s="1"/>
  <c r="E84"/>
  <c r="E83"/>
  <c r="G83" s="1"/>
  <c r="H83" s="1"/>
  <c r="J83" s="1"/>
  <c r="E82"/>
  <c r="G82" s="1"/>
  <c r="H82" s="1"/>
  <c r="J82" s="1"/>
  <c r="G81"/>
  <c r="H81" s="1"/>
  <c r="J81" s="1"/>
  <c r="E81"/>
  <c r="G80"/>
  <c r="H80" s="1"/>
  <c r="J80" s="1"/>
  <c r="E80"/>
  <c r="E79"/>
  <c r="G79" s="1"/>
  <c r="H79" s="1"/>
  <c r="J79" s="1"/>
  <c r="E78"/>
  <c r="G78" s="1"/>
  <c r="H78" s="1"/>
  <c r="J78" s="1"/>
  <c r="G77"/>
  <c r="H77" s="1"/>
  <c r="J77" s="1"/>
  <c r="E77"/>
  <c r="G76"/>
  <c r="H76" s="1"/>
  <c r="J76" s="1"/>
  <c r="E76"/>
  <c r="E75"/>
  <c r="G75" s="1"/>
  <c r="H75" s="1"/>
  <c r="J75" s="1"/>
  <c r="E74"/>
  <c r="G74" s="1"/>
  <c r="H74" s="1"/>
  <c r="J74" s="1"/>
  <c r="G73"/>
  <c r="H73" s="1"/>
  <c r="J73" s="1"/>
  <c r="E73"/>
  <c r="G72"/>
  <c r="H72" s="1"/>
  <c r="J72" s="1"/>
  <c r="E72"/>
  <c r="E69"/>
  <c r="G69" s="1"/>
  <c r="H69" s="1"/>
  <c r="J69" s="1"/>
  <c r="E68"/>
  <c r="G68" s="1"/>
  <c r="H68" s="1"/>
  <c r="J68" s="1"/>
  <c r="G67"/>
  <c r="H67" s="1"/>
  <c r="J67" s="1"/>
  <c r="E67"/>
  <c r="G66"/>
  <c r="H66" s="1"/>
  <c r="J66" s="1"/>
  <c r="E66"/>
  <c r="E65"/>
  <c r="G65" s="1"/>
  <c r="H65" s="1"/>
  <c r="J65" s="1"/>
  <c r="E64"/>
  <c r="G64" s="1"/>
  <c r="H64" s="1"/>
  <c r="J64" s="1"/>
  <c r="G63"/>
  <c r="H63" s="1"/>
  <c r="J63" s="1"/>
  <c r="E63"/>
  <c r="G62"/>
  <c r="H62" s="1"/>
  <c r="J62" s="1"/>
  <c r="E62"/>
  <c r="E58"/>
  <c r="G58" s="1"/>
  <c r="G57"/>
  <c r="O57" s="1"/>
  <c r="E57"/>
  <c r="E56"/>
  <c r="G56" s="1"/>
  <c r="E55"/>
  <c r="G55" s="1"/>
  <c r="O55" s="1"/>
  <c r="E54"/>
  <c r="G54" s="1"/>
  <c r="H54" s="1"/>
  <c r="J54" s="1"/>
  <c r="E53"/>
  <c r="G53" s="1"/>
  <c r="E52"/>
  <c r="G52" s="1"/>
  <c r="E51"/>
  <c r="G51" s="1"/>
  <c r="G50"/>
  <c r="O50" s="1"/>
  <c r="E50"/>
  <c r="E49"/>
  <c r="G49" s="1"/>
  <c r="O48"/>
  <c r="E46"/>
  <c r="G46" s="1"/>
  <c r="E45"/>
  <c r="G45" s="1"/>
  <c r="E44"/>
  <c r="G44" s="1"/>
  <c r="G43"/>
  <c r="O43" s="1"/>
  <c r="E43"/>
  <c r="E42"/>
  <c r="G42" s="1"/>
  <c r="E41"/>
  <c r="G41" s="1"/>
  <c r="O41" s="1"/>
  <c r="G40"/>
  <c r="H40" s="1"/>
  <c r="J40" s="1"/>
  <c r="E39"/>
  <c r="G39" s="1"/>
  <c r="G38"/>
  <c r="G148" s="1"/>
  <c r="E38"/>
  <c r="E37"/>
  <c r="G37" s="1"/>
  <c r="E36"/>
  <c r="G36" s="1"/>
  <c r="E35"/>
  <c r="G35" s="1"/>
  <c r="E29"/>
  <c r="G29" s="1"/>
  <c r="H29" s="1"/>
  <c r="J29" s="1"/>
  <c r="J24"/>
  <c r="H24"/>
  <c r="E24"/>
  <c r="H23"/>
  <c r="J23" s="1"/>
  <c r="E23"/>
  <c r="G22"/>
  <c r="H22" s="1"/>
  <c r="J22" s="1"/>
  <c r="E22"/>
  <c r="G19"/>
  <c r="H19" s="1"/>
  <c r="J19" s="1"/>
  <c r="E19"/>
  <c r="I18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E27" s="1"/>
  <c r="G27" s="1"/>
  <c r="I7"/>
  <c r="G7"/>
  <c r="H7" s="1"/>
  <c r="J7" s="1"/>
  <c r="E7"/>
  <c r="F171" i="3"/>
  <c r="E171"/>
  <c r="G171" s="1"/>
  <c r="F170"/>
  <c r="E170"/>
  <c r="G170" s="1"/>
  <c r="F169"/>
  <c r="E169"/>
  <c r="G169" s="1"/>
  <c r="F168"/>
  <c r="G168" s="1"/>
  <c r="E168"/>
  <c r="F167"/>
  <c r="G167" s="1"/>
  <c r="E167"/>
  <c r="F166"/>
  <c r="G166" s="1"/>
  <c r="E166"/>
  <c r="F165"/>
  <c r="G165" s="1"/>
  <c r="E165"/>
  <c r="F164"/>
  <c r="G164" s="1"/>
  <c r="E164"/>
  <c r="G163"/>
  <c r="E163"/>
  <c r="E162"/>
  <c r="G162" s="1"/>
  <c r="E161"/>
  <c r="G161" s="1"/>
  <c r="G160"/>
  <c r="E160"/>
  <c r="E140"/>
  <c r="G140" s="1"/>
  <c r="H140" s="1"/>
  <c r="J140" s="1"/>
  <c r="E139"/>
  <c r="G139" s="1"/>
  <c r="I140" s="1"/>
  <c r="E138"/>
  <c r="G138" s="1"/>
  <c r="H138" s="1"/>
  <c r="J138" s="1"/>
  <c r="E137"/>
  <c r="G137" s="1"/>
  <c r="H137" s="1"/>
  <c r="J137" s="1"/>
  <c r="G136"/>
  <c r="H136" s="1"/>
  <c r="J136" s="1"/>
  <c r="E136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G125"/>
  <c r="H125" s="1"/>
  <c r="J125" s="1"/>
  <c r="E125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G110"/>
  <c r="H110" s="1"/>
  <c r="J110" s="1"/>
  <c r="E110"/>
  <c r="E109"/>
  <c r="G109" s="1"/>
  <c r="G106"/>
  <c r="H106" s="1"/>
  <c r="J106" s="1"/>
  <c r="E106"/>
  <c r="E105"/>
  <c r="G105" s="1"/>
  <c r="G104"/>
  <c r="H104" s="1"/>
  <c r="J104" s="1"/>
  <c r="E104"/>
  <c r="G100"/>
  <c r="H100" s="1"/>
  <c r="J100" s="1"/>
  <c r="E100"/>
  <c r="G99"/>
  <c r="H99" s="1"/>
  <c r="J99" s="1"/>
  <c r="E99"/>
  <c r="G98"/>
  <c r="H98" s="1"/>
  <c r="J98" s="1"/>
  <c r="E98"/>
  <c r="G97"/>
  <c r="H97" s="1"/>
  <c r="J97" s="1"/>
  <c r="E97"/>
  <c r="G96"/>
  <c r="H96" s="1"/>
  <c r="J96" s="1"/>
  <c r="E96"/>
  <c r="G95"/>
  <c r="E95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G45"/>
  <c r="H45" s="1"/>
  <c r="J45" s="1"/>
  <c r="E45"/>
  <c r="E44"/>
  <c r="G44" s="1"/>
  <c r="H44" s="1"/>
  <c r="J44" s="1"/>
  <c r="E43"/>
  <c r="G43" s="1"/>
  <c r="H43" s="1"/>
  <c r="J43" s="1"/>
  <c r="E42"/>
  <c r="G42" s="1"/>
  <c r="H42" s="1"/>
  <c r="J42" s="1"/>
  <c r="G41"/>
  <c r="E41"/>
  <c r="E40"/>
  <c r="G40" s="1"/>
  <c r="H40" s="1"/>
  <c r="J40" s="1"/>
  <c r="E39"/>
  <c r="G39" s="1"/>
  <c r="G146" s="1"/>
  <c r="E38"/>
  <c r="G38" s="1"/>
  <c r="G37"/>
  <c r="G152" s="1"/>
  <c r="E37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J31" s="1"/>
  <c r="E18"/>
  <c r="E15"/>
  <c r="G15" s="1"/>
  <c r="J12"/>
  <c r="H12"/>
  <c r="E12"/>
  <c r="E11"/>
  <c r="G11" s="1"/>
  <c r="H11" s="1"/>
  <c r="J11" s="1"/>
  <c r="E10"/>
  <c r="G10" s="1"/>
  <c r="H10" s="1"/>
  <c r="J10" s="1"/>
  <c r="E9"/>
  <c r="G9" s="1"/>
  <c r="G13" s="1"/>
  <c r="E8"/>
  <c r="G8" s="1"/>
  <c r="I7"/>
  <c r="E7"/>
  <c r="G7" s="1"/>
  <c r="G171" i="2"/>
  <c r="F171"/>
  <c r="E171"/>
  <c r="F170"/>
  <c r="E170"/>
  <c r="G170" s="1"/>
  <c r="F169"/>
  <c r="G169" s="1"/>
  <c r="E169"/>
  <c r="G168"/>
  <c r="F168"/>
  <c r="E168"/>
  <c r="F167"/>
  <c r="G167" s="1"/>
  <c r="E167"/>
  <c r="F166"/>
  <c r="G166" s="1"/>
  <c r="E166"/>
  <c r="G165"/>
  <c r="F165"/>
  <c r="E165"/>
  <c r="G164"/>
  <c r="F164"/>
  <c r="E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H132"/>
  <c r="J132" s="1"/>
  <c r="G132"/>
  <c r="I135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E120"/>
  <c r="E119"/>
  <c r="E118"/>
  <c r="G117"/>
  <c r="H117" s="1"/>
  <c r="J117" s="1"/>
  <c r="G116"/>
  <c r="H116" s="1"/>
  <c r="J116" s="1"/>
  <c r="G115"/>
  <c r="H115" s="1"/>
  <c r="J115" s="1"/>
  <c r="H114"/>
  <c r="J114" s="1"/>
  <c r="G114"/>
  <c r="J113"/>
  <c r="G111"/>
  <c r="H111" s="1"/>
  <c r="J111" s="1"/>
  <c r="H110"/>
  <c r="J110" s="1"/>
  <c r="G110"/>
  <c r="H109"/>
  <c r="J109" s="1"/>
  <c r="G109"/>
  <c r="G112" s="1"/>
  <c r="G106"/>
  <c r="H106" s="1"/>
  <c r="J106" s="1"/>
  <c r="G105"/>
  <c r="H105" s="1"/>
  <c r="J105" s="1"/>
  <c r="G104"/>
  <c r="G107" s="1"/>
  <c r="H107" s="1"/>
  <c r="J107" s="1"/>
  <c r="G100"/>
  <c r="H100" s="1"/>
  <c r="J100" s="1"/>
  <c r="H99"/>
  <c r="J99" s="1"/>
  <c r="G99"/>
  <c r="H98"/>
  <c r="J98" s="1"/>
  <c r="G98"/>
  <c r="H97"/>
  <c r="J97" s="1"/>
  <c r="G97"/>
  <c r="G96"/>
  <c r="H96" s="1"/>
  <c r="J96" s="1"/>
  <c r="J95"/>
  <c r="H95"/>
  <c r="G95"/>
  <c r="F119" s="1"/>
  <c r="G94"/>
  <c r="H93"/>
  <c r="J93" s="1"/>
  <c r="G93"/>
  <c r="H92"/>
  <c r="J92" s="1"/>
  <c r="G92"/>
  <c r="H90"/>
  <c r="J90" s="1"/>
  <c r="G90"/>
  <c r="G89"/>
  <c r="H89" s="1"/>
  <c r="J89" s="1"/>
  <c r="G88"/>
  <c r="H88" s="1"/>
  <c r="J88" s="1"/>
  <c r="G87"/>
  <c r="H87" s="1"/>
  <c r="J87" s="1"/>
  <c r="G86"/>
  <c r="H86" s="1"/>
  <c r="J86" s="1"/>
  <c r="H84"/>
  <c r="J84" s="1"/>
  <c r="G84"/>
  <c r="H83"/>
  <c r="J83" s="1"/>
  <c r="G83"/>
  <c r="H82"/>
  <c r="J82" s="1"/>
  <c r="G82"/>
  <c r="G81"/>
  <c r="H81" s="1"/>
  <c r="J81" s="1"/>
  <c r="J80"/>
  <c r="H80"/>
  <c r="G80"/>
  <c r="G79"/>
  <c r="H79" s="1"/>
  <c r="J79" s="1"/>
  <c r="G78"/>
  <c r="H78" s="1"/>
  <c r="J78" s="1"/>
  <c r="G77"/>
  <c r="H77" s="1"/>
  <c r="J77" s="1"/>
  <c r="H76"/>
  <c r="J76" s="1"/>
  <c r="G76"/>
  <c r="H75"/>
  <c r="J75" s="1"/>
  <c r="G75"/>
  <c r="H74"/>
  <c r="J74" s="1"/>
  <c r="G74"/>
  <c r="G73"/>
  <c r="H73" s="1"/>
  <c r="J73" s="1"/>
  <c r="J72"/>
  <c r="H72"/>
  <c r="G72"/>
  <c r="G85" s="1"/>
  <c r="H85" s="1"/>
  <c r="J85" s="1"/>
  <c r="H70"/>
  <c r="J70" s="1"/>
  <c r="G69"/>
  <c r="H69" s="1"/>
  <c r="J69" s="1"/>
  <c r="G68"/>
  <c r="H68" s="1"/>
  <c r="J68" s="1"/>
  <c r="H67"/>
  <c r="J67" s="1"/>
  <c r="G67"/>
  <c r="G66"/>
  <c r="H66" s="1"/>
  <c r="J66" s="1"/>
  <c r="G65"/>
  <c r="H65" s="1"/>
  <c r="J65" s="1"/>
  <c r="J64"/>
  <c r="H64"/>
  <c r="G64"/>
  <c r="H63"/>
  <c r="J63" s="1"/>
  <c r="G63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G54"/>
  <c r="H54" s="1"/>
  <c r="J54" s="1"/>
  <c r="G53"/>
  <c r="H53" s="1"/>
  <c r="J53" s="1"/>
  <c r="G52"/>
  <c r="H52" s="1"/>
  <c r="J52" s="1"/>
  <c r="G51"/>
  <c r="H51" s="1"/>
  <c r="J51" s="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G146" s="1"/>
  <c r="H38"/>
  <c r="J38" s="1"/>
  <c r="G38"/>
  <c r="G148" s="1"/>
  <c r="H37"/>
  <c r="J37" s="1"/>
  <c r="G37"/>
  <c r="G152" s="1"/>
  <c r="G36"/>
  <c r="G150" s="1"/>
  <c r="G35"/>
  <c r="G142" s="1"/>
  <c r="H23"/>
  <c r="J23" s="1"/>
  <c r="G22"/>
  <c r="G24" s="1"/>
  <c r="G19"/>
  <c r="E30" s="1"/>
  <c r="G30" s="1"/>
  <c r="H30" s="1"/>
  <c r="J30" s="1"/>
  <c r="G18"/>
  <c r="G20" s="1"/>
  <c r="H20" s="1"/>
  <c r="J20" s="1"/>
  <c r="I20" s="1"/>
  <c r="G15"/>
  <c r="E28" s="1"/>
  <c r="G28" s="1"/>
  <c r="H28" s="1"/>
  <c r="J28" s="1"/>
  <c r="G12"/>
  <c r="H12" s="1"/>
  <c r="J12" s="1"/>
  <c r="G11"/>
  <c r="H11" s="1"/>
  <c r="J11" s="1"/>
  <c r="G10"/>
  <c r="H10" s="1"/>
  <c r="J10" s="1"/>
  <c r="G9"/>
  <c r="G13" s="1"/>
  <c r="G8"/>
  <c r="H8" s="1"/>
  <c r="J8" s="1"/>
  <c r="I9" s="1"/>
  <c r="G7"/>
  <c r="H7" s="1"/>
  <c r="J7" s="1"/>
  <c r="G128" i="43" l="1"/>
  <c r="E28"/>
  <c r="G28" s="1"/>
  <c r="H28" s="1"/>
  <c r="J28" s="1"/>
  <c r="H15"/>
  <c r="J15" s="1"/>
  <c r="I16" s="1"/>
  <c r="G149"/>
  <c r="H149" s="1"/>
  <c r="J149" s="1"/>
  <c r="H148"/>
  <c r="J148" s="1"/>
  <c r="G144"/>
  <c r="H41"/>
  <c r="J41" s="1"/>
  <c r="E27"/>
  <c r="G27" s="1"/>
  <c r="H8"/>
  <c r="J8" s="1"/>
  <c r="G152"/>
  <c r="H37"/>
  <c r="J37" s="1"/>
  <c r="H7"/>
  <c r="J7" s="1"/>
  <c r="I9" s="1"/>
  <c r="H104"/>
  <c r="J104" s="1"/>
  <c r="G107"/>
  <c r="H107" s="1"/>
  <c r="J107" s="1"/>
  <c r="I138"/>
  <c r="H137"/>
  <c r="J137" s="1"/>
  <c r="G150"/>
  <c r="H36"/>
  <c r="J36" s="1"/>
  <c r="G117"/>
  <c r="H117" s="1"/>
  <c r="J117" s="1"/>
  <c r="H114"/>
  <c r="J114" s="1"/>
  <c r="I133"/>
  <c r="H130"/>
  <c r="J130" s="1"/>
  <c r="G94"/>
  <c r="H94" s="1"/>
  <c r="J94" s="1"/>
  <c r="H92"/>
  <c r="J92" s="1"/>
  <c r="H112"/>
  <c r="J112" s="1"/>
  <c r="F120"/>
  <c r="G120"/>
  <c r="H120" s="1"/>
  <c r="J120" s="1"/>
  <c r="G168"/>
  <c r="G172" s="1"/>
  <c r="I136"/>
  <c r="H134"/>
  <c r="J134" s="1"/>
  <c r="H18"/>
  <c r="J18" s="1"/>
  <c r="G101"/>
  <c r="H101" s="1"/>
  <c r="J101" s="1"/>
  <c r="F119"/>
  <c r="G146"/>
  <c r="G13"/>
  <c r="I13" s="1"/>
  <c r="E30"/>
  <c r="G30" s="1"/>
  <c r="H30" s="1"/>
  <c r="J30" s="1"/>
  <c r="H19"/>
  <c r="J19" s="1"/>
  <c r="G85"/>
  <c r="H85" s="1"/>
  <c r="J85" s="1"/>
  <c r="H109"/>
  <c r="J109" s="1"/>
  <c r="G118"/>
  <c r="H118" s="1"/>
  <c r="J118" s="1"/>
  <c r="G47"/>
  <c r="G142"/>
  <c r="E28" i="30"/>
  <c r="G28" s="1"/>
  <c r="H28" s="1"/>
  <c r="J28" s="1"/>
  <c r="H15"/>
  <c r="J15" s="1"/>
  <c r="I16" s="1"/>
  <c r="G128"/>
  <c r="H7"/>
  <c r="J7" s="1"/>
  <c r="I9" s="1"/>
  <c r="H72"/>
  <c r="J72" s="1"/>
  <c r="G85"/>
  <c r="H85" s="1"/>
  <c r="J85" s="1"/>
  <c r="G119"/>
  <c r="H119" s="1"/>
  <c r="J119" s="1"/>
  <c r="H95"/>
  <c r="J95" s="1"/>
  <c r="F119"/>
  <c r="G101"/>
  <c r="H101" s="1"/>
  <c r="J101" s="1"/>
  <c r="H152"/>
  <c r="J152" s="1"/>
  <c r="G153"/>
  <c r="H153" s="1"/>
  <c r="J153" s="1"/>
  <c r="H144"/>
  <c r="J144" s="1"/>
  <c r="G145"/>
  <c r="H145" s="1"/>
  <c r="J145" s="1"/>
  <c r="G112"/>
  <c r="H109"/>
  <c r="J109" s="1"/>
  <c r="I20"/>
  <c r="G94"/>
  <c r="H94" s="1"/>
  <c r="J94" s="1"/>
  <c r="H92"/>
  <c r="J92" s="1"/>
  <c r="G13"/>
  <c r="I13" s="1"/>
  <c r="G172"/>
  <c r="G117"/>
  <c r="H117" s="1"/>
  <c r="J117" s="1"/>
  <c r="H114"/>
  <c r="J114" s="1"/>
  <c r="I136"/>
  <c r="H134"/>
  <c r="J134" s="1"/>
  <c r="H47"/>
  <c r="J47" s="1"/>
  <c r="G59"/>
  <c r="H59" s="1"/>
  <c r="J59" s="1"/>
  <c r="G107"/>
  <c r="H107" s="1"/>
  <c r="J107" s="1"/>
  <c r="G146"/>
  <c r="G20"/>
  <c r="H20" s="1"/>
  <c r="J20" s="1"/>
  <c r="G148"/>
  <c r="H9"/>
  <c r="J9" s="1"/>
  <c r="H19"/>
  <c r="J19" s="1"/>
  <c r="E27"/>
  <c r="G27" s="1"/>
  <c r="H35"/>
  <c r="J35" s="1"/>
  <c r="H37"/>
  <c r="J37" s="1"/>
  <c r="H41"/>
  <c r="J41" s="1"/>
  <c r="G118"/>
  <c r="H118" s="1"/>
  <c r="J118" s="1"/>
  <c r="H137"/>
  <c r="J137" s="1"/>
  <c r="F118"/>
  <c r="I133"/>
  <c r="G142"/>
  <c r="G150"/>
  <c r="F118" i="29"/>
  <c r="N118" s="1"/>
  <c r="G118"/>
  <c r="H118" s="1"/>
  <c r="J118" s="1"/>
  <c r="G20"/>
  <c r="H20" s="1"/>
  <c r="J20" s="1"/>
  <c r="E30"/>
  <c r="G30" s="1"/>
  <c r="H30" s="1"/>
  <c r="J30" s="1"/>
  <c r="H19"/>
  <c r="J19" s="1"/>
  <c r="H152"/>
  <c r="J152" s="1"/>
  <c r="G153"/>
  <c r="H153" s="1"/>
  <c r="J153" s="1"/>
  <c r="I136"/>
  <c r="H134"/>
  <c r="J134" s="1"/>
  <c r="G165"/>
  <c r="G171"/>
  <c r="G101"/>
  <c r="H101" s="1"/>
  <c r="J101" s="1"/>
  <c r="F119"/>
  <c r="N119" s="1"/>
  <c r="G119"/>
  <c r="H119" s="1"/>
  <c r="J119" s="1"/>
  <c r="H95"/>
  <c r="J95" s="1"/>
  <c r="G13"/>
  <c r="H9"/>
  <c r="J9" s="1"/>
  <c r="H39"/>
  <c r="J39" s="1"/>
  <c r="G146"/>
  <c r="H150"/>
  <c r="J150" s="1"/>
  <c r="G151"/>
  <c r="H151" s="1"/>
  <c r="J151" s="1"/>
  <c r="G59"/>
  <c r="H59" s="1"/>
  <c r="J59" s="1"/>
  <c r="H49"/>
  <c r="J49" s="1"/>
  <c r="H112"/>
  <c r="J112" s="1"/>
  <c r="F120"/>
  <c r="N120" s="1"/>
  <c r="G120"/>
  <c r="H120" s="1"/>
  <c r="J120" s="1"/>
  <c r="I20"/>
  <c r="G149"/>
  <c r="H149" s="1"/>
  <c r="J149" s="1"/>
  <c r="H148"/>
  <c r="J148" s="1"/>
  <c r="I9"/>
  <c r="I138"/>
  <c r="E27"/>
  <c r="G27" s="1"/>
  <c r="H8"/>
  <c r="J8" s="1"/>
  <c r="G47"/>
  <c r="G142"/>
  <c r="H35"/>
  <c r="J35" s="1"/>
  <c r="G144"/>
  <c r="H41"/>
  <c r="J41" s="1"/>
  <c r="G107"/>
  <c r="H107" s="1"/>
  <c r="J107" s="1"/>
  <c r="H104"/>
  <c r="J104" s="1"/>
  <c r="H114"/>
  <c r="J114" s="1"/>
  <c r="G117"/>
  <c r="H117" s="1"/>
  <c r="J117" s="1"/>
  <c r="G85"/>
  <c r="H85" s="1"/>
  <c r="J85" s="1"/>
  <c r="H72"/>
  <c r="J72" s="1"/>
  <c r="H92"/>
  <c r="J92" s="1"/>
  <c r="G94"/>
  <c r="H94" s="1"/>
  <c r="J94" s="1"/>
  <c r="G166"/>
  <c r="G69"/>
  <c r="H69" s="1"/>
  <c r="J69" s="1"/>
  <c r="E164"/>
  <c r="G164" s="1"/>
  <c r="G172" s="1"/>
  <c r="H38"/>
  <c r="J38" s="1"/>
  <c r="G64"/>
  <c r="H64" s="1"/>
  <c r="J64" s="1"/>
  <c r="E28"/>
  <c r="G28" s="1"/>
  <c r="H28" s="1"/>
  <c r="J28" s="1"/>
  <c r="H36"/>
  <c r="J36" s="1"/>
  <c r="H137"/>
  <c r="J137" s="1"/>
  <c r="I133"/>
  <c r="G68"/>
  <c r="H68" s="1"/>
  <c r="J68" s="1"/>
  <c r="F119" i="28"/>
  <c r="G101"/>
  <c r="H101" s="1"/>
  <c r="J101" s="1"/>
  <c r="G119"/>
  <c r="H119" s="1"/>
  <c r="J119" s="1"/>
  <c r="H95"/>
  <c r="J95" s="1"/>
  <c r="G13"/>
  <c r="H9"/>
  <c r="J9" s="1"/>
  <c r="G148"/>
  <c r="H38"/>
  <c r="J38" s="1"/>
  <c r="H123"/>
  <c r="J123" s="1"/>
  <c r="I123"/>
  <c r="E27"/>
  <c r="G27" s="1"/>
  <c r="H8"/>
  <c r="J8" s="1"/>
  <c r="I9" s="1"/>
  <c r="H152"/>
  <c r="J152" s="1"/>
  <c r="G153"/>
  <c r="H153" s="1"/>
  <c r="J153" s="1"/>
  <c r="I138"/>
  <c r="H137"/>
  <c r="J137" s="1"/>
  <c r="H15"/>
  <c r="J15" s="1"/>
  <c r="I16" s="1"/>
  <c r="G128"/>
  <c r="H128" s="1"/>
  <c r="J128" s="1"/>
  <c r="E28"/>
  <c r="G28" s="1"/>
  <c r="H28" s="1"/>
  <c r="J28" s="1"/>
  <c r="G150"/>
  <c r="H36"/>
  <c r="J36" s="1"/>
  <c r="H144"/>
  <c r="J144" s="1"/>
  <c r="G145"/>
  <c r="H145" s="1"/>
  <c r="J145" s="1"/>
  <c r="H114"/>
  <c r="J114" s="1"/>
  <c r="G117"/>
  <c r="H117" s="1"/>
  <c r="J117" s="1"/>
  <c r="I133"/>
  <c r="H130"/>
  <c r="J130" s="1"/>
  <c r="H7"/>
  <c r="J7" s="1"/>
  <c r="I13"/>
  <c r="H47"/>
  <c r="J47" s="1"/>
  <c r="G60"/>
  <c r="H60" s="1"/>
  <c r="J60" s="1"/>
  <c r="G168"/>
  <c r="G172" s="1"/>
  <c r="G85"/>
  <c r="H85" s="1"/>
  <c r="J85" s="1"/>
  <c r="H72"/>
  <c r="J72" s="1"/>
  <c r="I136"/>
  <c r="H134"/>
  <c r="J134" s="1"/>
  <c r="G146"/>
  <c r="E30"/>
  <c r="G30" s="1"/>
  <c r="H30" s="1"/>
  <c r="J30" s="1"/>
  <c r="H18"/>
  <c r="J18" s="1"/>
  <c r="H49"/>
  <c r="J49" s="1"/>
  <c r="H105"/>
  <c r="J105" s="1"/>
  <c r="G112"/>
  <c r="G20"/>
  <c r="H20" s="1"/>
  <c r="J20" s="1"/>
  <c r="I20" s="1"/>
  <c r="G142"/>
  <c r="H19"/>
  <c r="J19" s="1"/>
  <c r="H35"/>
  <c r="J35" s="1"/>
  <c r="H37"/>
  <c r="J37" s="1"/>
  <c r="H41"/>
  <c r="J41" s="1"/>
  <c r="H92"/>
  <c r="J92" s="1"/>
  <c r="G118"/>
  <c r="H118" s="1"/>
  <c r="J118" s="1"/>
  <c r="G94" i="27"/>
  <c r="H94" s="1"/>
  <c r="J94" s="1"/>
  <c r="H92"/>
  <c r="J92" s="1"/>
  <c r="H109"/>
  <c r="J109" s="1"/>
  <c r="G112"/>
  <c r="H134"/>
  <c r="J134" s="1"/>
  <c r="I136"/>
  <c r="G146"/>
  <c r="G171"/>
  <c r="H27"/>
  <c r="J27" s="1"/>
  <c r="G170"/>
  <c r="L21"/>
  <c r="H11"/>
  <c r="J11" s="1"/>
  <c r="G148"/>
  <c r="H38"/>
  <c r="J38" s="1"/>
  <c r="I133"/>
  <c r="H130"/>
  <c r="J130" s="1"/>
  <c r="H152"/>
  <c r="J152" s="1"/>
  <c r="G153"/>
  <c r="H153" s="1"/>
  <c r="J153" s="1"/>
  <c r="H72"/>
  <c r="J72" s="1"/>
  <c r="G85"/>
  <c r="H85" s="1"/>
  <c r="J85" s="1"/>
  <c r="G168"/>
  <c r="H7"/>
  <c r="J7" s="1"/>
  <c r="I13"/>
  <c r="N42"/>
  <c r="H42"/>
  <c r="J42" s="1"/>
  <c r="G150"/>
  <c r="H36"/>
  <c r="J36" s="1"/>
  <c r="H95"/>
  <c r="J95" s="1"/>
  <c r="F119"/>
  <c r="G101"/>
  <c r="H101" s="1"/>
  <c r="J101" s="1"/>
  <c r="G119"/>
  <c r="H119" s="1"/>
  <c r="J119" s="1"/>
  <c r="G13"/>
  <c r="G144"/>
  <c r="G166"/>
  <c r="H47"/>
  <c r="J47" s="1"/>
  <c r="F118"/>
  <c r="G20"/>
  <c r="H20" s="1"/>
  <c r="J20" s="1"/>
  <c r="I20" s="1"/>
  <c r="G118"/>
  <c r="H118" s="1"/>
  <c r="J118" s="1"/>
  <c r="E30"/>
  <c r="G30" s="1"/>
  <c r="H30" s="1"/>
  <c r="J30" s="1"/>
  <c r="H19"/>
  <c r="J19" s="1"/>
  <c r="G59"/>
  <c r="H59" s="1"/>
  <c r="J59" s="1"/>
  <c r="H49"/>
  <c r="J49" s="1"/>
  <c r="E28"/>
  <c r="G28" s="1"/>
  <c r="H28" s="1"/>
  <c r="J28" s="1"/>
  <c r="G117"/>
  <c r="H117" s="1"/>
  <c r="J117" s="1"/>
  <c r="E164"/>
  <c r="G164" s="1"/>
  <c r="G172" s="1"/>
  <c r="H9"/>
  <c r="J9" s="1"/>
  <c r="G64"/>
  <c r="H64" s="1"/>
  <c r="J64" s="1"/>
  <c r="G66"/>
  <c r="H66" s="1"/>
  <c r="J66" s="1"/>
  <c r="G68"/>
  <c r="H68" s="1"/>
  <c r="J68" s="1"/>
  <c r="G107"/>
  <c r="H107" s="1"/>
  <c r="J107" s="1"/>
  <c r="H137"/>
  <c r="J137" s="1"/>
  <c r="G142"/>
  <c r="H15"/>
  <c r="J15" s="1"/>
  <c r="I16" s="1"/>
  <c r="H35"/>
  <c r="J35" s="1"/>
  <c r="H37"/>
  <c r="J37" s="1"/>
  <c r="H39"/>
  <c r="J39" s="1"/>
  <c r="H41"/>
  <c r="J41" s="1"/>
  <c r="H152" i="40"/>
  <c r="J152" s="1"/>
  <c r="G153"/>
  <c r="H153" s="1"/>
  <c r="J153" s="1"/>
  <c r="G172"/>
  <c r="F120"/>
  <c r="G120"/>
  <c r="H120" s="1"/>
  <c r="J120" s="1"/>
  <c r="H112"/>
  <c r="J112" s="1"/>
  <c r="H142"/>
  <c r="J142" s="1"/>
  <c r="G143"/>
  <c r="H143" s="1"/>
  <c r="J143" s="1"/>
  <c r="G47"/>
  <c r="G85"/>
  <c r="H85" s="1"/>
  <c r="J85" s="1"/>
  <c r="O38"/>
  <c r="O46"/>
  <c r="H49"/>
  <c r="J49" s="1"/>
  <c r="O55"/>
  <c r="G59"/>
  <c r="N86"/>
  <c r="H93"/>
  <c r="J93" s="1"/>
  <c r="H95"/>
  <c r="J95" s="1"/>
  <c r="H110"/>
  <c r="J110" s="1"/>
  <c r="E27"/>
  <c r="G27" s="1"/>
  <c r="G117"/>
  <c r="H117" s="1"/>
  <c r="J117" s="1"/>
  <c r="G119"/>
  <c r="H119" s="1"/>
  <c r="J119" s="1"/>
  <c r="G148"/>
  <c r="I13"/>
  <c r="G101"/>
  <c r="H101" s="1"/>
  <c r="J101" s="1"/>
  <c r="H137"/>
  <c r="J137" s="1"/>
  <c r="O8"/>
  <c r="O42"/>
  <c r="O51"/>
  <c r="G147"/>
  <c r="H147" s="1"/>
  <c r="J147" s="1"/>
  <c r="O37"/>
  <c r="G144"/>
  <c r="E28" i="25"/>
  <c r="G28" s="1"/>
  <c r="H28" s="1"/>
  <c r="J28" s="1"/>
  <c r="H15"/>
  <c r="J15" s="1"/>
  <c r="G128"/>
  <c r="H128" s="1"/>
  <c r="J128" s="1"/>
  <c r="H36"/>
  <c r="J36" s="1"/>
  <c r="G150"/>
  <c r="I138"/>
  <c r="H137"/>
  <c r="J137" s="1"/>
  <c r="G171"/>
  <c r="G142"/>
  <c r="G47"/>
  <c r="H35"/>
  <c r="J35" s="1"/>
  <c r="H104"/>
  <c r="J104" s="1"/>
  <c r="G107"/>
  <c r="H107" s="1"/>
  <c r="J107" s="1"/>
  <c r="G170"/>
  <c r="E30"/>
  <c r="G30" s="1"/>
  <c r="H30" s="1"/>
  <c r="J30" s="1"/>
  <c r="F118"/>
  <c r="G118"/>
  <c r="H118" s="1"/>
  <c r="J118" s="1"/>
  <c r="H19"/>
  <c r="J19" s="1"/>
  <c r="H49"/>
  <c r="J49" s="1"/>
  <c r="G59"/>
  <c r="H59" s="1"/>
  <c r="J59" s="1"/>
  <c r="I20"/>
  <c r="I136"/>
  <c r="H134"/>
  <c r="J134" s="1"/>
  <c r="G13"/>
  <c r="H39"/>
  <c r="J39" s="1"/>
  <c r="G146"/>
  <c r="H109"/>
  <c r="J109" s="1"/>
  <c r="G112"/>
  <c r="H38"/>
  <c r="J38" s="1"/>
  <c r="G148"/>
  <c r="G144"/>
  <c r="H27"/>
  <c r="J27" s="1"/>
  <c r="G32"/>
  <c r="H32" s="1"/>
  <c r="J32" s="1"/>
  <c r="G152"/>
  <c r="H37"/>
  <c r="J37" s="1"/>
  <c r="I16"/>
  <c r="H18"/>
  <c r="J18" s="1"/>
  <c r="G62"/>
  <c r="H62" s="1"/>
  <c r="J62" s="1"/>
  <c r="G66"/>
  <c r="H66" s="1"/>
  <c r="J66" s="1"/>
  <c r="G68"/>
  <c r="H68" s="1"/>
  <c r="J68" s="1"/>
  <c r="G101"/>
  <c r="H101" s="1"/>
  <c r="J101" s="1"/>
  <c r="H8"/>
  <c r="J8" s="1"/>
  <c r="I9" s="1"/>
  <c r="G20"/>
  <c r="H20" s="1"/>
  <c r="J20" s="1"/>
  <c r="H132"/>
  <c r="J132" s="1"/>
  <c r="E169"/>
  <c r="G169" s="1"/>
  <c r="G172" s="1"/>
  <c r="I13"/>
  <c r="E171"/>
  <c r="H9"/>
  <c r="J9" s="1"/>
  <c r="G63"/>
  <c r="H63" s="1"/>
  <c r="J63" s="1"/>
  <c r="G65"/>
  <c r="H65" s="1"/>
  <c r="J65" s="1"/>
  <c r="H7"/>
  <c r="J7" s="1"/>
  <c r="H35" i="24"/>
  <c r="J35" s="1"/>
  <c r="G142"/>
  <c r="G47"/>
  <c r="G171"/>
  <c r="H72"/>
  <c r="J72" s="1"/>
  <c r="G85"/>
  <c r="H85" s="1"/>
  <c r="J85" s="1"/>
  <c r="I9"/>
  <c r="H41"/>
  <c r="J41" s="1"/>
  <c r="G144"/>
  <c r="I16"/>
  <c r="H27"/>
  <c r="J27" s="1"/>
  <c r="H15"/>
  <c r="J15" s="1"/>
  <c r="E28"/>
  <c r="G28" s="1"/>
  <c r="H28" s="1"/>
  <c r="J28" s="1"/>
  <c r="G128"/>
  <c r="H128" s="1"/>
  <c r="J128" s="1"/>
  <c r="G168"/>
  <c r="H39"/>
  <c r="J39" s="1"/>
  <c r="G146"/>
  <c r="G59"/>
  <c r="H59" s="1"/>
  <c r="J59" s="1"/>
  <c r="H49"/>
  <c r="J49" s="1"/>
  <c r="F119"/>
  <c r="G101"/>
  <c r="H101" s="1"/>
  <c r="J101" s="1"/>
  <c r="G119"/>
  <c r="H119" s="1"/>
  <c r="J119" s="1"/>
  <c r="H95"/>
  <c r="J95" s="1"/>
  <c r="G167"/>
  <c r="H38"/>
  <c r="J38" s="1"/>
  <c r="G148"/>
  <c r="H7"/>
  <c r="J7" s="1"/>
  <c r="I13"/>
  <c r="H37"/>
  <c r="J37" s="1"/>
  <c r="G152"/>
  <c r="G112"/>
  <c r="H109"/>
  <c r="J109" s="1"/>
  <c r="I20"/>
  <c r="G150"/>
  <c r="H36"/>
  <c r="J36" s="1"/>
  <c r="G94"/>
  <c r="H94" s="1"/>
  <c r="J94" s="1"/>
  <c r="H92"/>
  <c r="J92" s="1"/>
  <c r="G13"/>
  <c r="E164"/>
  <c r="G164" s="1"/>
  <c r="G172" s="1"/>
  <c r="H9"/>
  <c r="J9" s="1"/>
  <c r="H19"/>
  <c r="J19" s="1"/>
  <c r="G63"/>
  <c r="H63" s="1"/>
  <c r="J63" s="1"/>
  <c r="G65"/>
  <c r="H65" s="1"/>
  <c r="J65" s="1"/>
  <c r="G67"/>
  <c r="H67" s="1"/>
  <c r="J67" s="1"/>
  <c r="G69"/>
  <c r="H69" s="1"/>
  <c r="J69" s="1"/>
  <c r="G118"/>
  <c r="H118" s="1"/>
  <c r="J118" s="1"/>
  <c r="F118"/>
  <c r="E166"/>
  <c r="G166" s="1"/>
  <c r="E168"/>
  <c r="G68"/>
  <c r="H68" s="1"/>
  <c r="J68" s="1"/>
  <c r="H105"/>
  <c r="J105" s="1"/>
  <c r="O22" i="23"/>
  <c r="H22"/>
  <c r="J22" s="1"/>
  <c r="H52"/>
  <c r="J52" s="1"/>
  <c r="O52"/>
  <c r="H124"/>
  <c r="J124" s="1"/>
  <c r="O124"/>
  <c r="H39"/>
  <c r="J39" s="1"/>
  <c r="O39"/>
  <c r="G146"/>
  <c r="H43"/>
  <c r="J43" s="1"/>
  <c r="O43"/>
  <c r="O51"/>
  <c r="G59"/>
  <c r="H51"/>
  <c r="J51" s="1"/>
  <c r="H96"/>
  <c r="J96" s="1"/>
  <c r="O96"/>
  <c r="H100"/>
  <c r="J100" s="1"/>
  <c r="O100"/>
  <c r="O123"/>
  <c r="H123"/>
  <c r="J123" s="1"/>
  <c r="H136"/>
  <c r="J136" s="1"/>
  <c r="O136"/>
  <c r="O7"/>
  <c r="H7"/>
  <c r="J7" s="1"/>
  <c r="E30"/>
  <c r="G30" s="1"/>
  <c r="F118"/>
  <c r="H19"/>
  <c r="J19" s="1"/>
  <c r="G118"/>
  <c r="O19"/>
  <c r="H35"/>
  <c r="J35" s="1"/>
  <c r="G142"/>
  <c r="G47"/>
  <c r="O35"/>
  <c r="O42"/>
  <c r="H42"/>
  <c r="J42" s="1"/>
  <c r="H88"/>
  <c r="J88" s="1"/>
  <c r="O88"/>
  <c r="H92"/>
  <c r="J92" s="1"/>
  <c r="G94"/>
  <c r="O92"/>
  <c r="O99"/>
  <c r="H99"/>
  <c r="J99" s="1"/>
  <c r="G117"/>
  <c r="H114"/>
  <c r="J114" s="1"/>
  <c r="O114"/>
  <c r="O135"/>
  <c r="I136"/>
  <c r="H135"/>
  <c r="J135" s="1"/>
  <c r="G85"/>
  <c r="G170"/>
  <c r="H64"/>
  <c r="J64" s="1"/>
  <c r="O64"/>
  <c r="H79"/>
  <c r="J79" s="1"/>
  <c r="O79"/>
  <c r="H83"/>
  <c r="J83" s="1"/>
  <c r="O83"/>
  <c r="O87"/>
  <c r="H87"/>
  <c r="J87" s="1"/>
  <c r="H31"/>
  <c r="O31"/>
  <c r="H75"/>
  <c r="J75" s="1"/>
  <c r="O75"/>
  <c r="O82"/>
  <c r="H82"/>
  <c r="J82" s="1"/>
  <c r="G112"/>
  <c r="H29"/>
  <c r="J29" s="1"/>
  <c r="O29"/>
  <c r="O74"/>
  <c r="H74"/>
  <c r="J74" s="1"/>
  <c r="H105"/>
  <c r="J105" s="1"/>
  <c r="O105"/>
  <c r="O104"/>
  <c r="G107"/>
  <c r="H104"/>
  <c r="J104" s="1"/>
  <c r="H133"/>
  <c r="J133" s="1"/>
  <c r="O133"/>
  <c r="O138"/>
  <c r="H138"/>
  <c r="J138" s="1"/>
  <c r="H56"/>
  <c r="J56" s="1"/>
  <c r="O56"/>
  <c r="O111"/>
  <c r="H111"/>
  <c r="J111" s="1"/>
  <c r="O132"/>
  <c r="I133"/>
  <c r="H132"/>
  <c r="J132" s="1"/>
  <c r="I138"/>
  <c r="G20"/>
  <c r="G68"/>
  <c r="O72"/>
  <c r="G101"/>
  <c r="O109"/>
  <c r="O9"/>
  <c r="H11"/>
  <c r="J11" s="1"/>
  <c r="G13"/>
  <c r="H15"/>
  <c r="J15" s="1"/>
  <c r="I16" s="1"/>
  <c r="H18"/>
  <c r="J18" s="1"/>
  <c r="H37"/>
  <c r="J37" s="1"/>
  <c r="H45"/>
  <c r="J45" s="1"/>
  <c r="H54"/>
  <c r="J54" s="1"/>
  <c r="G63"/>
  <c r="H66"/>
  <c r="J66" s="1"/>
  <c r="H77"/>
  <c r="J77" s="1"/>
  <c r="H90"/>
  <c r="J90" s="1"/>
  <c r="H126"/>
  <c r="J126" s="1"/>
  <c r="G128"/>
  <c r="G144"/>
  <c r="G148"/>
  <c r="G150"/>
  <c r="G152"/>
  <c r="O12"/>
  <c r="O38"/>
  <c r="O46"/>
  <c r="O55"/>
  <c r="O67"/>
  <c r="O78"/>
  <c r="E166"/>
  <c r="G166" s="1"/>
  <c r="G172" s="1"/>
  <c r="E27"/>
  <c r="G27" s="1"/>
  <c r="O137"/>
  <c r="O140"/>
  <c r="H95"/>
  <c r="J95" s="1"/>
  <c r="G119"/>
  <c r="H137"/>
  <c r="J137" s="1"/>
  <c r="O18"/>
  <c r="E28"/>
  <c r="G28" s="1"/>
  <c r="H37" i="22"/>
  <c r="J37" s="1"/>
  <c r="L37"/>
  <c r="G152"/>
  <c r="H52"/>
  <c r="J52" s="1"/>
  <c r="L52"/>
  <c r="H114"/>
  <c r="J114" s="1"/>
  <c r="G117"/>
  <c r="H117" s="1"/>
  <c r="J117" s="1"/>
  <c r="G171"/>
  <c r="L171" s="1"/>
  <c r="G118"/>
  <c r="H118" s="1"/>
  <c r="J118" s="1"/>
  <c r="H19"/>
  <c r="J19" s="1"/>
  <c r="E30"/>
  <c r="G30" s="1"/>
  <c r="H30" s="1"/>
  <c r="J30" s="1"/>
  <c r="F118"/>
  <c r="L36"/>
  <c r="G150"/>
  <c r="H36"/>
  <c r="J36" s="1"/>
  <c r="H43"/>
  <c r="J43" s="1"/>
  <c r="L43"/>
  <c r="H51"/>
  <c r="J51" s="1"/>
  <c r="L51"/>
  <c r="G170"/>
  <c r="L170" s="1"/>
  <c r="G142"/>
  <c r="H35"/>
  <c r="J35" s="1"/>
  <c r="G47"/>
  <c r="L35"/>
  <c r="H42"/>
  <c r="J42" s="1"/>
  <c r="L42"/>
  <c r="L50"/>
  <c r="H50"/>
  <c r="J50" s="1"/>
  <c r="G85"/>
  <c r="H85" s="1"/>
  <c r="J85" s="1"/>
  <c r="H72"/>
  <c r="J72" s="1"/>
  <c r="H104"/>
  <c r="J104" s="1"/>
  <c r="G107"/>
  <c r="H107" s="1"/>
  <c r="J107" s="1"/>
  <c r="H138"/>
  <c r="J138" s="1"/>
  <c r="I138"/>
  <c r="I20"/>
  <c r="G169"/>
  <c r="L169" s="1"/>
  <c r="G13"/>
  <c r="H9"/>
  <c r="J9" s="1"/>
  <c r="G59"/>
  <c r="H49"/>
  <c r="J49" s="1"/>
  <c r="L49"/>
  <c r="H40"/>
  <c r="J40" s="1"/>
  <c r="L40"/>
  <c r="L58"/>
  <c r="H58"/>
  <c r="J58" s="1"/>
  <c r="G172"/>
  <c r="L160"/>
  <c r="G167"/>
  <c r="L167" s="1"/>
  <c r="E27"/>
  <c r="G27" s="1"/>
  <c r="H8"/>
  <c r="J8" s="1"/>
  <c r="I9" s="1"/>
  <c r="L8"/>
  <c r="G147"/>
  <c r="H147" s="1"/>
  <c r="J147" s="1"/>
  <c r="H146"/>
  <c r="J146" s="1"/>
  <c r="L46"/>
  <c r="H46"/>
  <c r="J46" s="1"/>
  <c r="H54"/>
  <c r="J54" s="1"/>
  <c r="L54"/>
  <c r="G166"/>
  <c r="L166" s="1"/>
  <c r="E28"/>
  <c r="G28" s="1"/>
  <c r="H28" s="1"/>
  <c r="J28" s="1"/>
  <c r="G128"/>
  <c r="H128" s="1"/>
  <c r="J128" s="1"/>
  <c r="H15"/>
  <c r="J15" s="1"/>
  <c r="I16" s="1"/>
  <c r="H45"/>
  <c r="J45" s="1"/>
  <c r="L45"/>
  <c r="G120"/>
  <c r="H120" s="1"/>
  <c r="J120" s="1"/>
  <c r="H112"/>
  <c r="J112" s="1"/>
  <c r="F120"/>
  <c r="G165"/>
  <c r="L165" s="1"/>
  <c r="L7"/>
  <c r="I13"/>
  <c r="H7"/>
  <c r="J7" s="1"/>
  <c r="H38"/>
  <c r="J38" s="1"/>
  <c r="L38"/>
  <c r="G148"/>
  <c r="G164"/>
  <c r="L164" s="1"/>
  <c r="L39"/>
  <c r="L44"/>
  <c r="L53"/>
  <c r="H55"/>
  <c r="J55" s="1"/>
  <c r="G144"/>
  <c r="H41"/>
  <c r="J41" s="1"/>
  <c r="I136"/>
  <c r="H39"/>
  <c r="J39" s="1"/>
  <c r="H95"/>
  <c r="J95" s="1"/>
  <c r="H110"/>
  <c r="J110" s="1"/>
  <c r="G119"/>
  <c r="H119" s="1"/>
  <c r="J119" s="1"/>
  <c r="G20"/>
  <c r="H20" s="1"/>
  <c r="J20" s="1"/>
  <c r="G101"/>
  <c r="H101" s="1"/>
  <c r="J101" s="1"/>
  <c r="H92"/>
  <c r="J92" s="1"/>
  <c r="H42" i="21"/>
  <c r="J42" s="1"/>
  <c r="L42"/>
  <c r="H46"/>
  <c r="J46" s="1"/>
  <c r="L46"/>
  <c r="H114"/>
  <c r="J114" s="1"/>
  <c r="G117"/>
  <c r="H117" s="1"/>
  <c r="J117" s="1"/>
  <c r="G148"/>
  <c r="H38"/>
  <c r="J38" s="1"/>
  <c r="L38"/>
  <c r="L45"/>
  <c r="H45"/>
  <c r="J45" s="1"/>
  <c r="H112"/>
  <c r="J112" s="1"/>
  <c r="F120"/>
  <c r="G120"/>
  <c r="H120" s="1"/>
  <c r="J120" s="1"/>
  <c r="E28"/>
  <c r="G28" s="1"/>
  <c r="H28" s="1"/>
  <c r="J28" s="1"/>
  <c r="G128"/>
  <c r="H128" s="1"/>
  <c r="J128" s="1"/>
  <c r="H15"/>
  <c r="J15" s="1"/>
  <c r="I16" s="1"/>
  <c r="L37"/>
  <c r="G152"/>
  <c r="H37"/>
  <c r="J37" s="1"/>
  <c r="H51"/>
  <c r="J51" s="1"/>
  <c r="L51"/>
  <c r="H55"/>
  <c r="J55" s="1"/>
  <c r="L55"/>
  <c r="I138"/>
  <c r="H137"/>
  <c r="J137" s="1"/>
  <c r="G32"/>
  <c r="H32" s="1"/>
  <c r="J32" s="1"/>
  <c r="H27"/>
  <c r="J27" s="1"/>
  <c r="L54"/>
  <c r="H54"/>
  <c r="J54" s="1"/>
  <c r="I13"/>
  <c r="H7"/>
  <c r="J7" s="1"/>
  <c r="L7"/>
  <c r="L160"/>
  <c r="L172" s="1"/>
  <c r="G172"/>
  <c r="G13"/>
  <c r="H9"/>
  <c r="J9" s="1"/>
  <c r="G143"/>
  <c r="H143" s="1"/>
  <c r="J143" s="1"/>
  <c r="H142"/>
  <c r="J142" s="1"/>
  <c r="H146"/>
  <c r="J146" s="1"/>
  <c r="G147"/>
  <c r="H147" s="1"/>
  <c r="J147" s="1"/>
  <c r="L35"/>
  <c r="G47"/>
  <c r="H19"/>
  <c r="J19" s="1"/>
  <c r="H40"/>
  <c r="J40" s="1"/>
  <c r="H49"/>
  <c r="J49" s="1"/>
  <c r="H57"/>
  <c r="J57" s="1"/>
  <c r="G59"/>
  <c r="H92"/>
  <c r="J92" s="1"/>
  <c r="H109"/>
  <c r="J109" s="1"/>
  <c r="G150"/>
  <c r="L41"/>
  <c r="L50"/>
  <c r="L58"/>
  <c r="G85"/>
  <c r="H85" s="1"/>
  <c r="J85" s="1"/>
  <c r="G118"/>
  <c r="H118" s="1"/>
  <c r="J118" s="1"/>
  <c r="F118"/>
  <c r="G144"/>
  <c r="L39"/>
  <c r="G119"/>
  <c r="H119" s="1"/>
  <c r="J119" s="1"/>
  <c r="G101"/>
  <c r="H101" s="1"/>
  <c r="J101" s="1"/>
  <c r="G13" i="20"/>
  <c r="H9"/>
  <c r="J9" s="1"/>
  <c r="I136"/>
  <c r="H135"/>
  <c r="J135" s="1"/>
  <c r="E28"/>
  <c r="G28" s="1"/>
  <c r="H28" s="1"/>
  <c r="J28" s="1"/>
  <c r="G128"/>
  <c r="H128" s="1"/>
  <c r="J128" s="1"/>
  <c r="H15"/>
  <c r="J15" s="1"/>
  <c r="I16" s="1"/>
  <c r="G152"/>
  <c r="H37"/>
  <c r="J37" s="1"/>
  <c r="G144"/>
  <c r="H41"/>
  <c r="J41" s="1"/>
  <c r="H131"/>
  <c r="J131" s="1"/>
  <c r="I133"/>
  <c r="G59"/>
  <c r="H59" s="1"/>
  <c r="J59" s="1"/>
  <c r="H150"/>
  <c r="J150" s="1"/>
  <c r="G151"/>
  <c r="H151" s="1"/>
  <c r="J151" s="1"/>
  <c r="H27"/>
  <c r="J27" s="1"/>
  <c r="E30"/>
  <c r="G30" s="1"/>
  <c r="H30" s="1"/>
  <c r="J30" s="1"/>
  <c r="F118"/>
  <c r="G118"/>
  <c r="H118" s="1"/>
  <c r="J118" s="1"/>
  <c r="H19"/>
  <c r="J19" s="1"/>
  <c r="H47"/>
  <c r="J47" s="1"/>
  <c r="G146"/>
  <c r="H39"/>
  <c r="J39" s="1"/>
  <c r="H114"/>
  <c r="J114" s="1"/>
  <c r="G117"/>
  <c r="H117" s="1"/>
  <c r="J117" s="1"/>
  <c r="H7"/>
  <c r="J7" s="1"/>
  <c r="I13"/>
  <c r="H104"/>
  <c r="J104" s="1"/>
  <c r="G107"/>
  <c r="H107" s="1"/>
  <c r="J107" s="1"/>
  <c r="G148"/>
  <c r="G20"/>
  <c r="H20" s="1"/>
  <c r="J20" s="1"/>
  <c r="I20" s="1"/>
  <c r="G112"/>
  <c r="G119"/>
  <c r="H119" s="1"/>
  <c r="J119" s="1"/>
  <c r="G167"/>
  <c r="G171"/>
  <c r="G64"/>
  <c r="H64" s="1"/>
  <c r="J64" s="1"/>
  <c r="G66"/>
  <c r="H66" s="1"/>
  <c r="J66" s="1"/>
  <c r="G68"/>
  <c r="H68" s="1"/>
  <c r="J68" s="1"/>
  <c r="G101"/>
  <c r="H101" s="1"/>
  <c r="J101" s="1"/>
  <c r="E167"/>
  <c r="E171"/>
  <c r="E31"/>
  <c r="G31" s="1"/>
  <c r="H31" s="1"/>
  <c r="H137"/>
  <c r="J137" s="1"/>
  <c r="G166"/>
  <c r="G172" s="1"/>
  <c r="G170"/>
  <c r="H35"/>
  <c r="J35" s="1"/>
  <c r="H92"/>
  <c r="J92" s="1"/>
  <c r="G142"/>
  <c r="G169"/>
  <c r="G63"/>
  <c r="H63" s="1"/>
  <c r="J63" s="1"/>
  <c r="G67"/>
  <c r="H67" s="1"/>
  <c r="J67" s="1"/>
  <c r="G152" i="19"/>
  <c r="H37"/>
  <c r="J37" s="1"/>
  <c r="G85"/>
  <c r="H85" s="1"/>
  <c r="J85" s="1"/>
  <c r="H73"/>
  <c r="J73" s="1"/>
  <c r="G20"/>
  <c r="H20" s="1"/>
  <c r="J20" s="1"/>
  <c r="I20" s="1"/>
  <c r="H150"/>
  <c r="J150" s="1"/>
  <c r="G151"/>
  <c r="H151" s="1"/>
  <c r="J151" s="1"/>
  <c r="H39"/>
  <c r="J39" s="1"/>
  <c r="G146"/>
  <c r="H8"/>
  <c r="J8" s="1"/>
  <c r="E27"/>
  <c r="G27" s="1"/>
  <c r="H95"/>
  <c r="J95" s="1"/>
  <c r="F119"/>
  <c r="G101"/>
  <c r="H101" s="1"/>
  <c r="J101" s="1"/>
  <c r="G119"/>
  <c r="H119" s="1"/>
  <c r="J119" s="1"/>
  <c r="I138"/>
  <c r="H137"/>
  <c r="J137" s="1"/>
  <c r="G47"/>
  <c r="H35"/>
  <c r="J35" s="1"/>
  <c r="I133"/>
  <c r="H130"/>
  <c r="J130" s="1"/>
  <c r="E30"/>
  <c r="G30" s="1"/>
  <c r="H30" s="1"/>
  <c r="J30" s="1"/>
  <c r="F118"/>
  <c r="G118"/>
  <c r="H118" s="1"/>
  <c r="J118" s="1"/>
  <c r="H19"/>
  <c r="J19" s="1"/>
  <c r="G149"/>
  <c r="H149" s="1"/>
  <c r="J149" s="1"/>
  <c r="H148"/>
  <c r="J148" s="1"/>
  <c r="G144"/>
  <c r="H41"/>
  <c r="J41" s="1"/>
  <c r="G94"/>
  <c r="H94" s="1"/>
  <c r="J94" s="1"/>
  <c r="H92"/>
  <c r="J92" s="1"/>
  <c r="H109"/>
  <c r="J109" s="1"/>
  <c r="G112"/>
  <c r="I136"/>
  <c r="H134"/>
  <c r="J134" s="1"/>
  <c r="G62"/>
  <c r="H62" s="1"/>
  <c r="J62" s="1"/>
  <c r="G64"/>
  <c r="H64" s="1"/>
  <c r="J64" s="1"/>
  <c r="G66"/>
  <c r="H66" s="1"/>
  <c r="J66" s="1"/>
  <c r="G68"/>
  <c r="H68" s="1"/>
  <c r="J68" s="1"/>
  <c r="G117"/>
  <c r="H117" s="1"/>
  <c r="J117" s="1"/>
  <c r="E168"/>
  <c r="I13"/>
  <c r="G49"/>
  <c r="G142" s="1"/>
  <c r="G107"/>
  <c r="H107" s="1"/>
  <c r="J107" s="1"/>
  <c r="G167"/>
  <c r="G172" s="1"/>
  <c r="G171"/>
  <c r="E167"/>
  <c r="E171"/>
  <c r="G166"/>
  <c r="G170"/>
  <c r="H7"/>
  <c r="J7" s="1"/>
  <c r="I9" s="1"/>
  <c r="G63"/>
  <c r="H63" s="1"/>
  <c r="J63" s="1"/>
  <c r="G67"/>
  <c r="H67" s="1"/>
  <c r="J67" s="1"/>
  <c r="G128"/>
  <c r="H128" s="1"/>
  <c r="J128" s="1"/>
  <c r="G169"/>
  <c r="G152" i="17"/>
  <c r="H37"/>
  <c r="J37" s="1"/>
  <c r="H13"/>
  <c r="J13" s="1"/>
  <c r="H36"/>
  <c r="J36" s="1"/>
  <c r="G150"/>
  <c r="I16"/>
  <c r="G170"/>
  <c r="I13"/>
  <c r="H7"/>
  <c r="J7" s="1"/>
  <c r="I9" s="1"/>
  <c r="G47"/>
  <c r="H35"/>
  <c r="J35" s="1"/>
  <c r="I133"/>
  <c r="H130"/>
  <c r="J130" s="1"/>
  <c r="I136"/>
  <c r="H134"/>
  <c r="J134" s="1"/>
  <c r="G144"/>
  <c r="H41"/>
  <c r="J41" s="1"/>
  <c r="H72"/>
  <c r="J72" s="1"/>
  <c r="G85"/>
  <c r="H85" s="1"/>
  <c r="J85" s="1"/>
  <c r="F119"/>
  <c r="G101"/>
  <c r="H101" s="1"/>
  <c r="J101" s="1"/>
  <c r="G119"/>
  <c r="H119" s="1"/>
  <c r="J119" s="1"/>
  <c r="H95"/>
  <c r="J95" s="1"/>
  <c r="E30"/>
  <c r="G30" s="1"/>
  <c r="H30" s="1"/>
  <c r="J30" s="1"/>
  <c r="F118"/>
  <c r="G118"/>
  <c r="H118" s="1"/>
  <c r="J118" s="1"/>
  <c r="H19"/>
  <c r="J19" s="1"/>
  <c r="G166"/>
  <c r="H27"/>
  <c r="J27" s="1"/>
  <c r="G32"/>
  <c r="H32" s="1"/>
  <c r="J32" s="1"/>
  <c r="H39"/>
  <c r="J39" s="1"/>
  <c r="G146"/>
  <c r="I138"/>
  <c r="H137"/>
  <c r="J137" s="1"/>
  <c r="H38"/>
  <c r="J38" s="1"/>
  <c r="G148"/>
  <c r="G20"/>
  <c r="H20" s="1"/>
  <c r="J20" s="1"/>
  <c r="I20" s="1"/>
  <c r="G94"/>
  <c r="H94" s="1"/>
  <c r="J94" s="1"/>
  <c r="H18"/>
  <c r="J18" s="1"/>
  <c r="G62"/>
  <c r="H62" s="1"/>
  <c r="J62" s="1"/>
  <c r="G64"/>
  <c r="H64" s="1"/>
  <c r="J64" s="1"/>
  <c r="G66"/>
  <c r="H66" s="1"/>
  <c r="J66" s="1"/>
  <c r="G68"/>
  <c r="H68" s="1"/>
  <c r="J68" s="1"/>
  <c r="G49"/>
  <c r="G112"/>
  <c r="G117"/>
  <c r="H117" s="1"/>
  <c r="J117" s="1"/>
  <c r="E169"/>
  <c r="G169" s="1"/>
  <c r="E171"/>
  <c r="G171" s="1"/>
  <c r="G172" s="1"/>
  <c r="H9"/>
  <c r="J9" s="1"/>
  <c r="G63"/>
  <c r="H63" s="1"/>
  <c r="J63" s="1"/>
  <c r="G65"/>
  <c r="H65" s="1"/>
  <c r="J65" s="1"/>
  <c r="H92"/>
  <c r="J92" s="1"/>
  <c r="G128"/>
  <c r="H128" s="1"/>
  <c r="J128" s="1"/>
  <c r="H36" i="18"/>
  <c r="J36" s="1"/>
  <c r="G150"/>
  <c r="I9"/>
  <c r="I138"/>
  <c r="G171"/>
  <c r="H7"/>
  <c r="J7" s="1"/>
  <c r="G143"/>
  <c r="H143" s="1"/>
  <c r="J143" s="1"/>
  <c r="H19"/>
  <c r="J19" s="1"/>
  <c r="E30"/>
  <c r="G30" s="1"/>
  <c r="H30" s="1"/>
  <c r="J30" s="1"/>
  <c r="F118"/>
  <c r="G118"/>
  <c r="H118" s="1"/>
  <c r="J118" s="1"/>
  <c r="G47"/>
  <c r="H35"/>
  <c r="J35" s="1"/>
  <c r="H72"/>
  <c r="J72" s="1"/>
  <c r="G85"/>
  <c r="H85" s="1"/>
  <c r="J85" s="1"/>
  <c r="H104"/>
  <c r="J104" s="1"/>
  <c r="G107"/>
  <c r="H107" s="1"/>
  <c r="J107" s="1"/>
  <c r="G144"/>
  <c r="H41"/>
  <c r="J41" s="1"/>
  <c r="G20"/>
  <c r="H20" s="1"/>
  <c r="J20" s="1"/>
  <c r="I20" s="1"/>
  <c r="H112"/>
  <c r="J112" s="1"/>
  <c r="F120"/>
  <c r="G120"/>
  <c r="H120" s="1"/>
  <c r="J120" s="1"/>
  <c r="G117"/>
  <c r="H117" s="1"/>
  <c r="J117" s="1"/>
  <c r="H114"/>
  <c r="J114" s="1"/>
  <c r="H130"/>
  <c r="J130" s="1"/>
  <c r="I133"/>
  <c r="H9"/>
  <c r="J9" s="1"/>
  <c r="G13"/>
  <c r="G146"/>
  <c r="H39"/>
  <c r="J39" s="1"/>
  <c r="H49"/>
  <c r="J49" s="1"/>
  <c r="G59"/>
  <c r="H59" s="1"/>
  <c r="J59" s="1"/>
  <c r="H38"/>
  <c r="J38" s="1"/>
  <c r="G148"/>
  <c r="H8"/>
  <c r="J8" s="1"/>
  <c r="E27"/>
  <c r="G27" s="1"/>
  <c r="G152"/>
  <c r="H37"/>
  <c r="J37" s="1"/>
  <c r="G101"/>
  <c r="H101" s="1"/>
  <c r="J101" s="1"/>
  <c r="F119"/>
  <c r="E31"/>
  <c r="H137"/>
  <c r="J137" s="1"/>
  <c r="H15"/>
  <c r="J15" s="1"/>
  <c r="I16" s="1"/>
  <c r="H92"/>
  <c r="J92" s="1"/>
  <c r="H109"/>
  <c r="J109" s="1"/>
  <c r="E166"/>
  <c r="G166" s="1"/>
  <c r="G172" s="1"/>
  <c r="H18"/>
  <c r="J18" s="1"/>
  <c r="G128"/>
  <c r="H128" s="1"/>
  <c r="J128" s="1"/>
  <c r="E168"/>
  <c r="G168" s="1"/>
  <c r="I136"/>
  <c r="H95"/>
  <c r="J95" s="1"/>
  <c r="E170"/>
  <c r="G170" s="1"/>
  <c r="G62"/>
  <c r="H62" s="1"/>
  <c r="J62" s="1"/>
  <c r="E27" i="16"/>
  <c r="G27" s="1"/>
  <c r="H8"/>
  <c r="J8" s="1"/>
  <c r="H104"/>
  <c r="J104" s="1"/>
  <c r="G107"/>
  <c r="H107" s="1"/>
  <c r="J107" s="1"/>
  <c r="G144"/>
  <c r="H41"/>
  <c r="J41" s="1"/>
  <c r="G94"/>
  <c r="H94" s="1"/>
  <c r="J94" s="1"/>
  <c r="H92"/>
  <c r="J92" s="1"/>
  <c r="I136"/>
  <c r="H134"/>
  <c r="J134" s="1"/>
  <c r="H109"/>
  <c r="J109" s="1"/>
  <c r="G112"/>
  <c r="I9"/>
  <c r="H39"/>
  <c r="J39" s="1"/>
  <c r="G146"/>
  <c r="H72"/>
  <c r="J72" s="1"/>
  <c r="G85"/>
  <c r="H85" s="1"/>
  <c r="J85" s="1"/>
  <c r="H38"/>
  <c r="J38" s="1"/>
  <c r="G148"/>
  <c r="G13"/>
  <c r="G167"/>
  <c r="G152"/>
  <c r="H37"/>
  <c r="J37" s="1"/>
  <c r="H36"/>
  <c r="J36" s="1"/>
  <c r="G150"/>
  <c r="F119"/>
  <c r="G101"/>
  <c r="H101" s="1"/>
  <c r="J101" s="1"/>
  <c r="G119"/>
  <c r="H119" s="1"/>
  <c r="J119" s="1"/>
  <c r="H95"/>
  <c r="J95" s="1"/>
  <c r="I138"/>
  <c r="H137"/>
  <c r="J137" s="1"/>
  <c r="E30"/>
  <c r="G30" s="1"/>
  <c r="H30" s="1"/>
  <c r="J30" s="1"/>
  <c r="F118"/>
  <c r="G118"/>
  <c r="H118" s="1"/>
  <c r="J118" s="1"/>
  <c r="H19"/>
  <c r="J19" s="1"/>
  <c r="G47"/>
  <c r="H35"/>
  <c r="J35" s="1"/>
  <c r="G164"/>
  <c r="H7"/>
  <c r="J7" s="1"/>
  <c r="H18"/>
  <c r="J18" s="1"/>
  <c r="G62"/>
  <c r="H62" s="1"/>
  <c r="J62" s="1"/>
  <c r="G64"/>
  <c r="H64" s="1"/>
  <c r="J64" s="1"/>
  <c r="G66"/>
  <c r="H66" s="1"/>
  <c r="J66" s="1"/>
  <c r="G68"/>
  <c r="H68" s="1"/>
  <c r="J68" s="1"/>
  <c r="G20"/>
  <c r="H20" s="1"/>
  <c r="J20" s="1"/>
  <c r="I20" s="1"/>
  <c r="G49"/>
  <c r="G142" s="1"/>
  <c r="H130"/>
  <c r="J130" s="1"/>
  <c r="E169"/>
  <c r="G169" s="1"/>
  <c r="I13"/>
  <c r="E171"/>
  <c r="G171" s="1"/>
  <c r="H9"/>
  <c r="J9" s="1"/>
  <c r="G63"/>
  <c r="H63" s="1"/>
  <c r="J63" s="1"/>
  <c r="G65"/>
  <c r="H65" s="1"/>
  <c r="J65" s="1"/>
  <c r="H15"/>
  <c r="J15" s="1"/>
  <c r="I16" s="1"/>
  <c r="G128"/>
  <c r="H128" s="1"/>
  <c r="J128" s="1"/>
  <c r="G171" i="15"/>
  <c r="G13"/>
  <c r="I13" s="1"/>
  <c r="H9"/>
  <c r="J9" s="1"/>
  <c r="H114"/>
  <c r="J114" s="1"/>
  <c r="G117"/>
  <c r="H117" s="1"/>
  <c r="J117" s="1"/>
  <c r="I20"/>
  <c r="G170"/>
  <c r="G152"/>
  <c r="H37"/>
  <c r="J37" s="1"/>
  <c r="H112"/>
  <c r="J112" s="1"/>
  <c r="F120"/>
  <c r="G120"/>
  <c r="H120" s="1"/>
  <c r="J120" s="1"/>
  <c r="I136"/>
  <c r="H134"/>
  <c r="J134" s="1"/>
  <c r="H150"/>
  <c r="J150" s="1"/>
  <c r="G151"/>
  <c r="H151" s="1"/>
  <c r="J151" s="1"/>
  <c r="H27"/>
  <c r="J27" s="1"/>
  <c r="G144"/>
  <c r="H41"/>
  <c r="J41" s="1"/>
  <c r="E28"/>
  <c r="G28" s="1"/>
  <c r="H28" s="1"/>
  <c r="J28" s="1"/>
  <c r="G128"/>
  <c r="H15"/>
  <c r="J15" s="1"/>
  <c r="I16" s="1"/>
  <c r="G142"/>
  <c r="G47"/>
  <c r="H35"/>
  <c r="J35" s="1"/>
  <c r="G172"/>
  <c r="G166"/>
  <c r="I138"/>
  <c r="H137"/>
  <c r="J137" s="1"/>
  <c r="G146"/>
  <c r="H39"/>
  <c r="J39" s="1"/>
  <c r="F119"/>
  <c r="H19"/>
  <c r="J19" s="1"/>
  <c r="E31"/>
  <c r="G31" s="1"/>
  <c r="H31" s="1"/>
  <c r="J31" s="1"/>
  <c r="H92"/>
  <c r="J92" s="1"/>
  <c r="H109"/>
  <c r="J109" s="1"/>
  <c r="H130"/>
  <c r="J130" s="1"/>
  <c r="G85"/>
  <c r="H85" s="1"/>
  <c r="J85" s="1"/>
  <c r="G148"/>
  <c r="G118"/>
  <c r="H118" s="1"/>
  <c r="J118" s="1"/>
  <c r="H36"/>
  <c r="J36" s="1"/>
  <c r="G101"/>
  <c r="H101" s="1"/>
  <c r="J101" s="1"/>
  <c r="H98" i="13"/>
  <c r="J98" s="1"/>
  <c r="O98"/>
  <c r="H10"/>
  <c r="J10" s="1"/>
  <c r="O10"/>
  <c r="H20"/>
  <c r="J20" s="1"/>
  <c r="I20" s="1"/>
  <c r="O20"/>
  <c r="H55"/>
  <c r="J55" s="1"/>
  <c r="O55"/>
  <c r="H63"/>
  <c r="J63" s="1"/>
  <c r="O63"/>
  <c r="G119"/>
  <c r="G101"/>
  <c r="H95"/>
  <c r="J95" s="1"/>
  <c r="F119"/>
  <c r="O95"/>
  <c r="H110"/>
  <c r="J110" s="1"/>
  <c r="O110"/>
  <c r="O131"/>
  <c r="H131"/>
  <c r="J131" s="1"/>
  <c r="H139"/>
  <c r="J139" s="1"/>
  <c r="O139"/>
  <c r="G171"/>
  <c r="H42"/>
  <c r="J42" s="1"/>
  <c r="O42"/>
  <c r="H77"/>
  <c r="J77" s="1"/>
  <c r="O77"/>
  <c r="O125"/>
  <c r="H125"/>
  <c r="J125" s="1"/>
  <c r="H9"/>
  <c r="J9" s="1"/>
  <c r="G13"/>
  <c r="O9"/>
  <c r="H22"/>
  <c r="J22" s="1"/>
  <c r="O22"/>
  <c r="H46"/>
  <c r="J46" s="1"/>
  <c r="O46"/>
  <c r="H54"/>
  <c r="J54" s="1"/>
  <c r="O54"/>
  <c r="H81"/>
  <c r="J81" s="1"/>
  <c r="O81"/>
  <c r="G112"/>
  <c r="H109"/>
  <c r="J109" s="1"/>
  <c r="O109"/>
  <c r="I133"/>
  <c r="H130"/>
  <c r="J130" s="1"/>
  <c r="O130"/>
  <c r="H138"/>
  <c r="J138" s="1"/>
  <c r="O138"/>
  <c r="G164"/>
  <c r="G170"/>
  <c r="O31"/>
  <c r="H31"/>
  <c r="J31" s="1"/>
  <c r="H45"/>
  <c r="J45" s="1"/>
  <c r="O45"/>
  <c r="O137"/>
  <c r="I138"/>
  <c r="H137"/>
  <c r="J137" s="1"/>
  <c r="O44"/>
  <c r="H44"/>
  <c r="J44" s="1"/>
  <c r="H52"/>
  <c r="J52" s="1"/>
  <c r="O52"/>
  <c r="H58"/>
  <c r="J58" s="1"/>
  <c r="O58"/>
  <c r="H73"/>
  <c r="J73" s="1"/>
  <c r="O73"/>
  <c r="O79"/>
  <c r="H79"/>
  <c r="J79" s="1"/>
  <c r="O115"/>
  <c r="H115"/>
  <c r="J115" s="1"/>
  <c r="H127"/>
  <c r="J127" s="1"/>
  <c r="O127"/>
  <c r="H136"/>
  <c r="J136" s="1"/>
  <c r="O136"/>
  <c r="O53"/>
  <c r="H53"/>
  <c r="J53" s="1"/>
  <c r="H80"/>
  <c r="J80" s="1"/>
  <c r="O80"/>
  <c r="O15"/>
  <c r="E28"/>
  <c r="G28" s="1"/>
  <c r="G128"/>
  <c r="O128" s="1"/>
  <c r="H15"/>
  <c r="H118"/>
  <c r="J118" s="1"/>
  <c r="O118"/>
  <c r="H43"/>
  <c r="J43" s="1"/>
  <c r="O43"/>
  <c r="H51"/>
  <c r="J51" s="1"/>
  <c r="O51"/>
  <c r="H67"/>
  <c r="J67" s="1"/>
  <c r="O67"/>
  <c r="G85"/>
  <c r="H72"/>
  <c r="J72" s="1"/>
  <c r="O72"/>
  <c r="H78"/>
  <c r="J78" s="1"/>
  <c r="O78"/>
  <c r="H84"/>
  <c r="J84" s="1"/>
  <c r="O84"/>
  <c r="H99"/>
  <c r="J99" s="1"/>
  <c r="O99"/>
  <c r="H114"/>
  <c r="J114" s="1"/>
  <c r="O114"/>
  <c r="G117"/>
  <c r="H126"/>
  <c r="J126" s="1"/>
  <c r="O126"/>
  <c r="H135"/>
  <c r="J135" s="1"/>
  <c r="O135"/>
  <c r="G152"/>
  <c r="H37"/>
  <c r="J37" s="1"/>
  <c r="O37"/>
  <c r="H50"/>
  <c r="J50" s="1"/>
  <c r="O50"/>
  <c r="O7"/>
  <c r="P7"/>
  <c r="H7"/>
  <c r="J7" s="1"/>
  <c r="I9" s="1"/>
  <c r="H12"/>
  <c r="J12" s="1"/>
  <c r="O12"/>
  <c r="O36"/>
  <c r="G150"/>
  <c r="H36"/>
  <c r="J36" s="1"/>
  <c r="H41"/>
  <c r="J41" s="1"/>
  <c r="O41"/>
  <c r="G144"/>
  <c r="H76"/>
  <c r="J76" s="1"/>
  <c r="O76"/>
  <c r="O97"/>
  <c r="H97"/>
  <c r="J97" s="1"/>
  <c r="H124"/>
  <c r="J124" s="1"/>
  <c r="O124"/>
  <c r="H133"/>
  <c r="J133" s="1"/>
  <c r="O133"/>
  <c r="G59"/>
  <c r="O134"/>
  <c r="I136"/>
  <c r="H134"/>
  <c r="J134" s="1"/>
  <c r="O11"/>
  <c r="H11"/>
  <c r="J11" s="1"/>
  <c r="H35"/>
  <c r="J35" s="1"/>
  <c r="G142"/>
  <c r="G47"/>
  <c r="O35"/>
  <c r="H64"/>
  <c r="J64" s="1"/>
  <c r="O64"/>
  <c r="H96"/>
  <c r="J96" s="1"/>
  <c r="O96"/>
  <c r="H104"/>
  <c r="J104" s="1"/>
  <c r="O104"/>
  <c r="G107"/>
  <c r="O111"/>
  <c r="H111"/>
  <c r="J111" s="1"/>
  <c r="H123"/>
  <c r="J123" s="1"/>
  <c r="O123"/>
  <c r="H132"/>
  <c r="J132" s="1"/>
  <c r="O132"/>
  <c r="O140"/>
  <c r="H140"/>
  <c r="J140" s="1"/>
  <c r="H18"/>
  <c r="J18" s="1"/>
  <c r="O19"/>
  <c r="E30"/>
  <c r="G30" s="1"/>
  <c r="G62"/>
  <c r="G94"/>
  <c r="H8"/>
  <c r="J8" s="1"/>
  <c r="H39"/>
  <c r="J39" s="1"/>
  <c r="H56"/>
  <c r="J56" s="1"/>
  <c r="G65"/>
  <c r="H68"/>
  <c r="J68" s="1"/>
  <c r="H74"/>
  <c r="J74" s="1"/>
  <c r="H82"/>
  <c r="J82" s="1"/>
  <c r="H92"/>
  <c r="J92" s="1"/>
  <c r="H100"/>
  <c r="J100" s="1"/>
  <c r="H105"/>
  <c r="J105" s="1"/>
  <c r="E169"/>
  <c r="G169" s="1"/>
  <c r="G172" s="1"/>
  <c r="E27"/>
  <c r="O29"/>
  <c r="O40"/>
  <c r="O49"/>
  <c r="O57"/>
  <c r="O69"/>
  <c r="O75"/>
  <c r="O83"/>
  <c r="O93"/>
  <c r="O106"/>
  <c r="O116"/>
  <c r="O38"/>
  <c r="H49"/>
  <c r="J49" s="1"/>
  <c r="G66"/>
  <c r="G146"/>
  <c r="G148"/>
  <c r="F118"/>
  <c r="H47" i="14"/>
  <c r="J47" s="1"/>
  <c r="G60"/>
  <c r="H60" s="1"/>
  <c r="J60" s="1"/>
  <c r="H112"/>
  <c r="J112" s="1"/>
  <c r="F120"/>
  <c r="G120"/>
  <c r="H120" s="1"/>
  <c r="J120" s="1"/>
  <c r="G32"/>
  <c r="H32" s="1"/>
  <c r="J32" s="1"/>
  <c r="H27"/>
  <c r="J27" s="1"/>
  <c r="H146"/>
  <c r="J146" s="1"/>
  <c r="G147"/>
  <c r="H147" s="1"/>
  <c r="J147" s="1"/>
  <c r="G172"/>
  <c r="H13"/>
  <c r="J13" s="1"/>
  <c r="I13"/>
  <c r="H148"/>
  <c r="J148" s="1"/>
  <c r="G149"/>
  <c r="H149" s="1"/>
  <c r="J149" s="1"/>
  <c r="I9"/>
  <c r="I20"/>
  <c r="G145"/>
  <c r="H145" s="1"/>
  <c r="J145" s="1"/>
  <c r="H144"/>
  <c r="J144" s="1"/>
  <c r="N7"/>
  <c r="I138"/>
  <c r="G142"/>
  <c r="G150"/>
  <c r="H38"/>
  <c r="J38" s="1"/>
  <c r="H92"/>
  <c r="J92" s="1"/>
  <c r="I133"/>
  <c r="G152"/>
  <c r="H7"/>
  <c r="J7" s="1"/>
  <c r="G118"/>
  <c r="H118" s="1"/>
  <c r="J118" s="1"/>
  <c r="H10"/>
  <c r="J10" s="1"/>
  <c r="F118"/>
  <c r="E28"/>
  <c r="G28" s="1"/>
  <c r="H28" s="1"/>
  <c r="J28" s="1"/>
  <c r="E30"/>
  <c r="G30" s="1"/>
  <c r="H30" s="1"/>
  <c r="J30" s="1"/>
  <c r="G119"/>
  <c r="H119" s="1"/>
  <c r="J119" s="1"/>
  <c r="H134"/>
  <c r="J134" s="1"/>
  <c r="H15"/>
  <c r="J15" s="1"/>
  <c r="I16" s="1"/>
  <c r="H11" i="12"/>
  <c r="J11" s="1"/>
  <c r="P11"/>
  <c r="H42"/>
  <c r="J42" s="1"/>
  <c r="P42"/>
  <c r="H54"/>
  <c r="J54" s="1"/>
  <c r="P54"/>
  <c r="H77"/>
  <c r="J77" s="1"/>
  <c r="P77"/>
  <c r="P114"/>
  <c r="G117"/>
  <c r="H114"/>
  <c r="J114" s="1"/>
  <c r="H125"/>
  <c r="J125" s="1"/>
  <c r="P125"/>
  <c r="G170"/>
  <c r="P19"/>
  <c r="G20"/>
  <c r="E30"/>
  <c r="G30" s="1"/>
  <c r="F118"/>
  <c r="H19"/>
  <c r="J19" s="1"/>
  <c r="G118"/>
  <c r="P55"/>
  <c r="H55"/>
  <c r="J55" s="1"/>
  <c r="H95"/>
  <c r="J95" s="1"/>
  <c r="F119"/>
  <c r="P95"/>
  <c r="G119"/>
  <c r="G101"/>
  <c r="H31"/>
  <c r="J31" s="1"/>
  <c r="P31"/>
  <c r="P41"/>
  <c r="G144"/>
  <c r="H41"/>
  <c r="J41" s="1"/>
  <c r="P46"/>
  <c r="H46"/>
  <c r="J46" s="1"/>
  <c r="H76"/>
  <c r="J76" s="1"/>
  <c r="P76"/>
  <c r="P93"/>
  <c r="H93"/>
  <c r="J93" s="1"/>
  <c r="P124"/>
  <c r="H124"/>
  <c r="J124" s="1"/>
  <c r="P138"/>
  <c r="H138"/>
  <c r="J138" s="1"/>
  <c r="G169"/>
  <c r="H126"/>
  <c r="J126" s="1"/>
  <c r="P126"/>
  <c r="H40"/>
  <c r="J40" s="1"/>
  <c r="P40"/>
  <c r="H123"/>
  <c r="J123" s="1"/>
  <c r="P123"/>
  <c r="G168"/>
  <c r="P135"/>
  <c r="H135"/>
  <c r="J135" s="1"/>
  <c r="G13"/>
  <c r="P9"/>
  <c r="H9"/>
  <c r="J9" s="1"/>
  <c r="H39"/>
  <c r="J39" s="1"/>
  <c r="G146"/>
  <c r="P39"/>
  <c r="H111"/>
  <c r="J111" s="1"/>
  <c r="P111"/>
  <c r="G167"/>
  <c r="G172" s="1"/>
  <c r="H115"/>
  <c r="J115" s="1"/>
  <c r="P115"/>
  <c r="H8"/>
  <c r="J8" s="1"/>
  <c r="P8"/>
  <c r="E27"/>
  <c r="G27" s="1"/>
  <c r="H98"/>
  <c r="J98" s="1"/>
  <c r="P98"/>
  <c r="H107"/>
  <c r="J107" s="1"/>
  <c r="P107"/>
  <c r="P110"/>
  <c r="H110"/>
  <c r="J110" s="1"/>
  <c r="P12"/>
  <c r="H12"/>
  <c r="J12" s="1"/>
  <c r="G59"/>
  <c r="H49"/>
  <c r="J49" s="1"/>
  <c r="P49"/>
  <c r="P78"/>
  <c r="H78"/>
  <c r="J78" s="1"/>
  <c r="O9"/>
  <c r="I13"/>
  <c r="H7"/>
  <c r="J7" s="1"/>
  <c r="I9" s="1"/>
  <c r="P7"/>
  <c r="G128"/>
  <c r="P128" s="1"/>
  <c r="H15"/>
  <c r="J15" s="1"/>
  <c r="I16" s="1"/>
  <c r="E28"/>
  <c r="G28" s="1"/>
  <c r="P15"/>
  <c r="H22"/>
  <c r="J22" s="1"/>
  <c r="P22"/>
  <c r="H51"/>
  <c r="J51" s="1"/>
  <c r="P51"/>
  <c r="H84"/>
  <c r="J84" s="1"/>
  <c r="P84"/>
  <c r="H97"/>
  <c r="J97" s="1"/>
  <c r="P97"/>
  <c r="H109"/>
  <c r="J109" s="1"/>
  <c r="P109"/>
  <c r="G112"/>
  <c r="H43"/>
  <c r="J43" s="1"/>
  <c r="P43"/>
  <c r="P148"/>
  <c r="G149"/>
  <c r="H148"/>
  <c r="J148" s="1"/>
  <c r="P50"/>
  <c r="H50"/>
  <c r="J50" s="1"/>
  <c r="H56"/>
  <c r="J56" s="1"/>
  <c r="P56"/>
  <c r="H79"/>
  <c r="J79" s="1"/>
  <c r="P79"/>
  <c r="P83"/>
  <c r="H83"/>
  <c r="J83" s="1"/>
  <c r="P96"/>
  <c r="H96"/>
  <c r="J96" s="1"/>
  <c r="P132"/>
  <c r="H132"/>
  <c r="J132" s="1"/>
  <c r="P36"/>
  <c r="P44"/>
  <c r="P58"/>
  <c r="P62"/>
  <c r="P67"/>
  <c r="P73"/>
  <c r="P81"/>
  <c r="G85"/>
  <c r="P99"/>
  <c r="P104"/>
  <c r="P127"/>
  <c r="P130"/>
  <c r="P139"/>
  <c r="G142"/>
  <c r="G150"/>
  <c r="G152"/>
  <c r="G64"/>
  <c r="H104"/>
  <c r="J104" s="1"/>
  <c r="H130"/>
  <c r="J130" s="1"/>
  <c r="I136"/>
  <c r="P68"/>
  <c r="P74"/>
  <c r="P82"/>
  <c r="P92"/>
  <c r="P100"/>
  <c r="P105"/>
  <c r="P137"/>
  <c r="P140"/>
  <c r="P18"/>
  <c r="G94"/>
  <c r="P35"/>
  <c r="G47"/>
  <c r="P52"/>
  <c r="P57"/>
  <c r="G65"/>
  <c r="H137"/>
  <c r="J137" s="1"/>
  <c r="H112" i="11"/>
  <c r="J112" s="1"/>
  <c r="F120"/>
  <c r="G120"/>
  <c r="H120" s="1"/>
  <c r="J120" s="1"/>
  <c r="G151"/>
  <c r="H151" s="1"/>
  <c r="J151" s="1"/>
  <c r="H150"/>
  <c r="J150" s="1"/>
  <c r="H146"/>
  <c r="J146" s="1"/>
  <c r="G147"/>
  <c r="H147" s="1"/>
  <c r="J147" s="1"/>
  <c r="F119"/>
  <c r="F196"/>
  <c r="G196" s="1"/>
  <c r="H196" s="1"/>
  <c r="G119"/>
  <c r="H119" s="1"/>
  <c r="J119" s="1"/>
  <c r="G101"/>
  <c r="H101" s="1"/>
  <c r="J101" s="1"/>
  <c r="H95"/>
  <c r="J95" s="1"/>
  <c r="H130"/>
  <c r="J130" s="1"/>
  <c r="I133"/>
  <c r="G13"/>
  <c r="I13" s="1"/>
  <c r="H9"/>
  <c r="J9" s="1"/>
  <c r="G60"/>
  <c r="H60" s="1"/>
  <c r="J60" s="1"/>
  <c r="H47"/>
  <c r="J47" s="1"/>
  <c r="H148"/>
  <c r="J148" s="1"/>
  <c r="G149"/>
  <c r="H149" s="1"/>
  <c r="J149" s="1"/>
  <c r="H144"/>
  <c r="J144" s="1"/>
  <c r="G145"/>
  <c r="H145" s="1"/>
  <c r="J145" s="1"/>
  <c r="G94"/>
  <c r="H94" s="1"/>
  <c r="J94" s="1"/>
  <c r="H92"/>
  <c r="J92" s="1"/>
  <c r="F194"/>
  <c r="G194" s="1"/>
  <c r="H194" s="1"/>
  <c r="I59"/>
  <c r="H7"/>
  <c r="J7" s="1"/>
  <c r="I9" s="1"/>
  <c r="H152"/>
  <c r="J152" s="1"/>
  <c r="G153"/>
  <c r="H153" s="1"/>
  <c r="J153" s="1"/>
  <c r="J139"/>
  <c r="F198"/>
  <c r="E28"/>
  <c r="G28" s="1"/>
  <c r="H28" s="1"/>
  <c r="J28" s="1"/>
  <c r="H15"/>
  <c r="J15" s="1"/>
  <c r="I16" s="1"/>
  <c r="G128"/>
  <c r="H35"/>
  <c r="J35" s="1"/>
  <c r="H37"/>
  <c r="J37" s="1"/>
  <c r="H39"/>
  <c r="J39" s="1"/>
  <c r="H41"/>
  <c r="J41" s="1"/>
  <c r="G118"/>
  <c r="H118" s="1"/>
  <c r="J118" s="1"/>
  <c r="H137"/>
  <c r="J137" s="1"/>
  <c r="G198"/>
  <c r="H198" s="1"/>
  <c r="E27"/>
  <c r="G27" s="1"/>
  <c r="F118"/>
  <c r="G142"/>
  <c r="H39" i="10"/>
  <c r="J39" s="1"/>
  <c r="G146"/>
  <c r="G59"/>
  <c r="H59" s="1"/>
  <c r="J59" s="1"/>
  <c r="H49"/>
  <c r="J49" s="1"/>
  <c r="H27"/>
  <c r="J27" s="1"/>
  <c r="G32"/>
  <c r="H32" s="1"/>
  <c r="J32" s="1"/>
  <c r="G128"/>
  <c r="E28"/>
  <c r="G28" s="1"/>
  <c r="H28" s="1"/>
  <c r="J28" s="1"/>
  <c r="H15"/>
  <c r="J15" s="1"/>
  <c r="I16" s="1"/>
  <c r="G148"/>
  <c r="H38"/>
  <c r="J38" s="1"/>
  <c r="G94"/>
  <c r="H94" s="1"/>
  <c r="J94" s="1"/>
  <c r="H92"/>
  <c r="J92" s="1"/>
  <c r="H114"/>
  <c r="J114" s="1"/>
  <c r="G117"/>
  <c r="H117" s="1"/>
  <c r="J117" s="1"/>
  <c r="H37"/>
  <c r="J37" s="1"/>
  <c r="G152"/>
  <c r="G150"/>
  <c r="H36"/>
  <c r="J36" s="1"/>
  <c r="H134"/>
  <c r="J134" s="1"/>
  <c r="I136"/>
  <c r="I13"/>
  <c r="O7"/>
  <c r="H7"/>
  <c r="J7" s="1"/>
  <c r="I9" s="1"/>
  <c r="G142"/>
  <c r="H35"/>
  <c r="J35" s="1"/>
  <c r="G47"/>
  <c r="G101"/>
  <c r="H101" s="1"/>
  <c r="J101" s="1"/>
  <c r="F118"/>
  <c r="H19"/>
  <c r="J19" s="1"/>
  <c r="G118"/>
  <c r="H118" s="1"/>
  <c r="J118" s="1"/>
  <c r="E30"/>
  <c r="G30" s="1"/>
  <c r="H30" s="1"/>
  <c r="J30" s="1"/>
  <c r="H109"/>
  <c r="J109" s="1"/>
  <c r="G112"/>
  <c r="I133"/>
  <c r="H132"/>
  <c r="J132" s="1"/>
  <c r="H41"/>
  <c r="J41" s="1"/>
  <c r="G144"/>
  <c r="H72"/>
  <c r="J72" s="1"/>
  <c r="G85"/>
  <c r="H85" s="1"/>
  <c r="J85" s="1"/>
  <c r="G13"/>
  <c r="G107"/>
  <c r="H107" s="1"/>
  <c r="J107" s="1"/>
  <c r="H8"/>
  <c r="J8" s="1"/>
  <c r="G119"/>
  <c r="H119" s="1"/>
  <c r="J119" s="1"/>
  <c r="F119"/>
  <c r="H18"/>
  <c r="J18" s="1"/>
  <c r="G20"/>
  <c r="H20" s="1"/>
  <c r="J20" s="1"/>
  <c r="I20" s="1"/>
  <c r="H95"/>
  <c r="J95" s="1"/>
  <c r="H27" i="9"/>
  <c r="J27" s="1"/>
  <c r="G150"/>
  <c r="H36"/>
  <c r="J36" s="1"/>
  <c r="H134"/>
  <c r="J134" s="1"/>
  <c r="I136"/>
  <c r="G142"/>
  <c r="H35"/>
  <c r="J35" s="1"/>
  <c r="G47"/>
  <c r="H109"/>
  <c r="J109" s="1"/>
  <c r="G112"/>
  <c r="I133"/>
  <c r="H132"/>
  <c r="J132" s="1"/>
  <c r="H41"/>
  <c r="J41" s="1"/>
  <c r="G144"/>
  <c r="H72"/>
  <c r="J72" s="1"/>
  <c r="G85"/>
  <c r="H85" s="1"/>
  <c r="J85" s="1"/>
  <c r="F118"/>
  <c r="H19"/>
  <c r="J19" s="1"/>
  <c r="G118"/>
  <c r="H118" s="1"/>
  <c r="J118" s="1"/>
  <c r="E30"/>
  <c r="G30" s="1"/>
  <c r="H30" s="1"/>
  <c r="J30" s="1"/>
  <c r="I13"/>
  <c r="O7"/>
  <c r="H7"/>
  <c r="J7" s="1"/>
  <c r="I9" s="1"/>
  <c r="H39"/>
  <c r="J39" s="1"/>
  <c r="G146"/>
  <c r="G13"/>
  <c r="H9"/>
  <c r="J9" s="1"/>
  <c r="G148"/>
  <c r="H38"/>
  <c r="J38" s="1"/>
  <c r="H114"/>
  <c r="J114" s="1"/>
  <c r="G117"/>
  <c r="H117" s="1"/>
  <c r="J117" s="1"/>
  <c r="G128"/>
  <c r="G59"/>
  <c r="H59" s="1"/>
  <c r="J59" s="1"/>
  <c r="H49"/>
  <c r="J49" s="1"/>
  <c r="H37"/>
  <c r="J37" s="1"/>
  <c r="G152"/>
  <c r="H15"/>
  <c r="J15" s="1"/>
  <c r="I16" s="1"/>
  <c r="H92"/>
  <c r="J92" s="1"/>
  <c r="G119"/>
  <c r="H119" s="1"/>
  <c r="J119" s="1"/>
  <c r="E28"/>
  <c r="G28" s="1"/>
  <c r="H28" s="1"/>
  <c r="J28" s="1"/>
  <c r="F119"/>
  <c r="H18"/>
  <c r="J18" s="1"/>
  <c r="G20"/>
  <c r="H20" s="1"/>
  <c r="J20" s="1"/>
  <c r="I20" s="1"/>
  <c r="H95"/>
  <c r="J95" s="1"/>
  <c r="H27" i="8"/>
  <c r="J27" s="1"/>
  <c r="H136"/>
  <c r="J136" s="1"/>
  <c r="I136"/>
  <c r="G148"/>
  <c r="H38"/>
  <c r="J38" s="1"/>
  <c r="G152"/>
  <c r="H37"/>
  <c r="J37" s="1"/>
  <c r="E30"/>
  <c r="G30" s="1"/>
  <c r="H30" s="1"/>
  <c r="J30" s="1"/>
  <c r="F118"/>
  <c r="G118"/>
  <c r="H118" s="1"/>
  <c r="J118" s="1"/>
  <c r="H19"/>
  <c r="J19" s="1"/>
  <c r="G150"/>
  <c r="H36"/>
  <c r="J36" s="1"/>
  <c r="G142"/>
  <c r="G47"/>
  <c r="H35"/>
  <c r="J35" s="1"/>
  <c r="I133"/>
  <c r="H132"/>
  <c r="J132" s="1"/>
  <c r="G20"/>
  <c r="H20" s="1"/>
  <c r="J20" s="1"/>
  <c r="I20" s="1"/>
  <c r="H9"/>
  <c r="J9" s="1"/>
  <c r="G13"/>
  <c r="G144"/>
  <c r="H41"/>
  <c r="J41" s="1"/>
  <c r="I139"/>
  <c r="H140"/>
  <c r="J140" s="1"/>
  <c r="G146"/>
  <c r="H39"/>
  <c r="J39" s="1"/>
  <c r="H7"/>
  <c r="J7" s="1"/>
  <c r="E31"/>
  <c r="G31" s="1"/>
  <c r="H31" s="1"/>
  <c r="G101"/>
  <c r="H101" s="1"/>
  <c r="J101" s="1"/>
  <c r="G128"/>
  <c r="H128" s="1"/>
  <c r="J128" s="1"/>
  <c r="H15"/>
  <c r="J15" s="1"/>
  <c r="I16" s="1"/>
  <c r="H92"/>
  <c r="J92" s="1"/>
  <c r="H96"/>
  <c r="J96" s="1"/>
  <c r="G107"/>
  <c r="H107" s="1"/>
  <c r="J107" s="1"/>
  <c r="G85"/>
  <c r="H85" s="1"/>
  <c r="J85" s="1"/>
  <c r="G112"/>
  <c r="G117"/>
  <c r="H117" s="1"/>
  <c r="J117" s="1"/>
  <c r="H18"/>
  <c r="J18" s="1"/>
  <c r="H49"/>
  <c r="J49" s="1"/>
  <c r="G152" i="7"/>
  <c r="H37"/>
  <c r="J37" s="1"/>
  <c r="G144"/>
  <c r="H41"/>
  <c r="J41" s="1"/>
  <c r="H104"/>
  <c r="J104" s="1"/>
  <c r="G107"/>
  <c r="H107" s="1"/>
  <c r="J107" s="1"/>
  <c r="I13"/>
  <c r="H7"/>
  <c r="J7" s="1"/>
  <c r="E28"/>
  <c r="G28" s="1"/>
  <c r="H28" s="1"/>
  <c r="J28" s="1"/>
  <c r="H15"/>
  <c r="J15" s="1"/>
  <c r="I16" s="1"/>
  <c r="G128"/>
  <c r="H128" s="1"/>
  <c r="J128" s="1"/>
  <c r="G94"/>
  <c r="H94" s="1"/>
  <c r="J94" s="1"/>
  <c r="H92"/>
  <c r="J92" s="1"/>
  <c r="H150"/>
  <c r="J150" s="1"/>
  <c r="G151"/>
  <c r="H151" s="1"/>
  <c r="J151" s="1"/>
  <c r="I133"/>
  <c r="H132"/>
  <c r="J132" s="1"/>
  <c r="E30"/>
  <c r="G30" s="1"/>
  <c r="H30" s="1"/>
  <c r="J30" s="1"/>
  <c r="F118"/>
  <c r="H19"/>
  <c r="J19" s="1"/>
  <c r="G118"/>
  <c r="H118" s="1"/>
  <c r="J118" s="1"/>
  <c r="G142"/>
  <c r="G47"/>
  <c r="H35"/>
  <c r="J35" s="1"/>
  <c r="G146"/>
  <c r="H39"/>
  <c r="J39" s="1"/>
  <c r="G13"/>
  <c r="H9"/>
  <c r="J9" s="1"/>
  <c r="H148"/>
  <c r="J148" s="1"/>
  <c r="G149"/>
  <c r="H149" s="1"/>
  <c r="J149" s="1"/>
  <c r="H95"/>
  <c r="J95" s="1"/>
  <c r="F119"/>
  <c r="G119"/>
  <c r="H119" s="1"/>
  <c r="J119" s="1"/>
  <c r="G101"/>
  <c r="H101" s="1"/>
  <c r="J101" s="1"/>
  <c r="I139"/>
  <c r="H140"/>
  <c r="J140" s="1"/>
  <c r="H136"/>
  <c r="J136" s="1"/>
  <c r="I136"/>
  <c r="E27"/>
  <c r="G27" s="1"/>
  <c r="E31"/>
  <c r="G31" s="1"/>
  <c r="H31" s="1"/>
  <c r="G112"/>
  <c r="G117"/>
  <c r="H117" s="1"/>
  <c r="J117" s="1"/>
  <c r="G13" i="33"/>
  <c r="H10"/>
  <c r="J10" s="1"/>
  <c r="G144"/>
  <c r="H132"/>
  <c r="J132" s="1"/>
  <c r="I133"/>
  <c r="G107"/>
  <c r="H107" s="1"/>
  <c r="J107" s="1"/>
  <c r="H104"/>
  <c r="J104" s="1"/>
  <c r="I13"/>
  <c r="G128"/>
  <c r="H128" s="1"/>
  <c r="J128" s="1"/>
  <c r="E28"/>
  <c r="G28" s="1"/>
  <c r="H28" s="1"/>
  <c r="J28" s="1"/>
  <c r="H15"/>
  <c r="J15" s="1"/>
  <c r="I16" s="1"/>
  <c r="N86"/>
  <c r="H86"/>
  <c r="J86" s="1"/>
  <c r="H49"/>
  <c r="J49" s="1"/>
  <c r="G59"/>
  <c r="H59" s="1"/>
  <c r="J59" s="1"/>
  <c r="G142"/>
  <c r="H95"/>
  <c r="J95" s="1"/>
  <c r="G119"/>
  <c r="H119" s="1"/>
  <c r="J119" s="1"/>
  <c r="G101"/>
  <c r="H101" s="1"/>
  <c r="J101" s="1"/>
  <c r="F119"/>
  <c r="H8"/>
  <c r="J8" s="1"/>
  <c r="I9" s="1"/>
  <c r="E27"/>
  <c r="G27" s="1"/>
  <c r="I136"/>
  <c r="H136"/>
  <c r="J136" s="1"/>
  <c r="H72"/>
  <c r="J72" s="1"/>
  <c r="G85"/>
  <c r="H85" s="1"/>
  <c r="J85" s="1"/>
  <c r="G152"/>
  <c r="H51"/>
  <c r="J51" s="1"/>
  <c r="G117"/>
  <c r="H117" s="1"/>
  <c r="J117" s="1"/>
  <c r="H140"/>
  <c r="J140" s="1"/>
  <c r="I139"/>
  <c r="G112"/>
  <c r="H109"/>
  <c r="J109" s="1"/>
  <c r="G148"/>
  <c r="H52"/>
  <c r="J52" s="1"/>
  <c r="G60"/>
  <c r="H47"/>
  <c r="J47" s="1"/>
  <c r="H53"/>
  <c r="J53" s="1"/>
  <c r="G146"/>
  <c r="G118"/>
  <c r="H118" s="1"/>
  <c r="J118" s="1"/>
  <c r="G150"/>
  <c r="H114"/>
  <c r="J114" s="1"/>
  <c r="H42"/>
  <c r="J42" s="1"/>
  <c r="G145" i="5"/>
  <c r="H145" s="1"/>
  <c r="J145" s="1"/>
  <c r="H144"/>
  <c r="J144" s="1"/>
  <c r="I172"/>
  <c r="H104"/>
  <c r="J104" s="1"/>
  <c r="G107"/>
  <c r="H107" s="1"/>
  <c r="J107" s="1"/>
  <c r="H146"/>
  <c r="J146" s="1"/>
  <c r="G147"/>
  <c r="H147" s="1"/>
  <c r="J147" s="1"/>
  <c r="H140"/>
  <c r="J140" s="1"/>
  <c r="I140"/>
  <c r="I89"/>
  <c r="K89" s="1"/>
  <c r="J89"/>
  <c r="H148"/>
  <c r="J148" s="1"/>
  <c r="G149"/>
  <c r="H149" s="1"/>
  <c r="J149" s="1"/>
  <c r="H109"/>
  <c r="J109" s="1"/>
  <c r="G112"/>
  <c r="G153"/>
  <c r="H153" s="1"/>
  <c r="J153" s="1"/>
  <c r="H152"/>
  <c r="J152" s="1"/>
  <c r="O37"/>
  <c r="O59" s="1"/>
  <c r="O39"/>
  <c r="O41"/>
  <c r="G142"/>
  <c r="G150"/>
  <c r="H7"/>
  <c r="J7" s="1"/>
  <c r="H15"/>
  <c r="J15" s="1"/>
  <c r="I16" s="1"/>
  <c r="H19"/>
  <c r="J19" s="1"/>
  <c r="E27"/>
  <c r="G27" s="1"/>
  <c r="E31"/>
  <c r="G31" s="1"/>
  <c r="H31" s="1"/>
  <c r="J31" s="1"/>
  <c r="H35"/>
  <c r="J35" s="1"/>
  <c r="G118"/>
  <c r="H118" s="1"/>
  <c r="J118" s="1"/>
  <c r="F118"/>
  <c r="G128"/>
  <c r="H128" s="1"/>
  <c r="J128" s="1"/>
  <c r="I138"/>
  <c r="G47"/>
  <c r="I13"/>
  <c r="O38"/>
  <c r="O49"/>
  <c r="G101"/>
  <c r="H101" s="1"/>
  <c r="J101" s="1"/>
  <c r="H18"/>
  <c r="J18" s="1"/>
  <c r="H74"/>
  <c r="J74" s="1"/>
  <c r="H92"/>
  <c r="J92" s="1"/>
  <c r="G119"/>
  <c r="H119" s="1"/>
  <c r="J119" s="1"/>
  <c r="O49" i="4"/>
  <c r="H49"/>
  <c r="J49" s="1"/>
  <c r="G112"/>
  <c r="H109"/>
  <c r="J109" s="1"/>
  <c r="G146"/>
  <c r="H39"/>
  <c r="J39" s="1"/>
  <c r="O53"/>
  <c r="H53"/>
  <c r="J53" s="1"/>
  <c r="O44"/>
  <c r="H44"/>
  <c r="J44" s="1"/>
  <c r="O58"/>
  <c r="H58"/>
  <c r="J58" s="1"/>
  <c r="G101" i="3"/>
  <c r="H101" s="1"/>
  <c r="J101" s="1"/>
  <c r="H18" i="4"/>
  <c r="J18" s="1"/>
  <c r="H57"/>
  <c r="J57" s="1"/>
  <c r="G171"/>
  <c r="I171" s="1"/>
  <c r="E31"/>
  <c r="G31" s="1"/>
  <c r="H31" s="1"/>
  <c r="J31" s="1"/>
  <c r="H43"/>
  <c r="J43" s="1"/>
  <c r="G170"/>
  <c r="I170" s="1"/>
  <c r="E30"/>
  <c r="G30" s="1"/>
  <c r="H30" s="1"/>
  <c r="J30" s="1"/>
  <c r="G119" i="3"/>
  <c r="H119" s="1"/>
  <c r="J119" s="1"/>
  <c r="H38" i="4"/>
  <c r="J38" s="1"/>
  <c r="H114"/>
  <c r="J114" s="1"/>
  <c r="G169"/>
  <c r="I169" s="1"/>
  <c r="I135"/>
  <c r="H50"/>
  <c r="J50" s="1"/>
  <c r="G165"/>
  <c r="I165" s="1"/>
  <c r="G85"/>
  <c r="H85" s="1"/>
  <c r="J85" s="1"/>
  <c r="H45"/>
  <c r="J45" s="1"/>
  <c r="O45"/>
  <c r="G13"/>
  <c r="H9"/>
  <c r="J9" s="1"/>
  <c r="H37"/>
  <c r="J37" s="1"/>
  <c r="G152"/>
  <c r="O37"/>
  <c r="I89"/>
  <c r="K89" s="1"/>
  <c r="J89"/>
  <c r="H27"/>
  <c r="J27" s="1"/>
  <c r="G150"/>
  <c r="H36"/>
  <c r="J36" s="1"/>
  <c r="H112"/>
  <c r="J112" s="1"/>
  <c r="F120"/>
  <c r="G120"/>
  <c r="H120" s="1"/>
  <c r="J120" s="1"/>
  <c r="H140"/>
  <c r="J140" s="1"/>
  <c r="I140"/>
  <c r="I172"/>
  <c r="I20"/>
  <c r="F119"/>
  <c r="H148"/>
  <c r="J148" s="1"/>
  <c r="G149"/>
  <c r="H149" s="1"/>
  <c r="J149" s="1"/>
  <c r="G47"/>
  <c r="H35"/>
  <c r="J35" s="1"/>
  <c r="O35"/>
  <c r="G142"/>
  <c r="H46"/>
  <c r="J46" s="1"/>
  <c r="O46"/>
  <c r="H146"/>
  <c r="J146" s="1"/>
  <c r="G147"/>
  <c r="H147" s="1"/>
  <c r="J147" s="1"/>
  <c r="G128"/>
  <c r="H128" s="1"/>
  <c r="J128" s="1"/>
  <c r="E28"/>
  <c r="G28" s="1"/>
  <c r="H28" s="1"/>
  <c r="J28" s="1"/>
  <c r="H15"/>
  <c r="J15" s="1"/>
  <c r="I16" s="1"/>
  <c r="H56"/>
  <c r="J56" s="1"/>
  <c r="O56"/>
  <c r="G94"/>
  <c r="H94" s="1"/>
  <c r="J94" s="1"/>
  <c r="H92"/>
  <c r="J92" s="1"/>
  <c r="O52"/>
  <c r="H52"/>
  <c r="J52" s="1"/>
  <c r="H51"/>
  <c r="J51" s="1"/>
  <c r="O51"/>
  <c r="G59"/>
  <c r="H59" s="1"/>
  <c r="J59" s="1"/>
  <c r="H42"/>
  <c r="J42" s="1"/>
  <c r="O42"/>
  <c r="O39"/>
  <c r="H8"/>
  <c r="J8" s="1"/>
  <c r="I9" s="1"/>
  <c r="H41"/>
  <c r="J41" s="1"/>
  <c r="H55"/>
  <c r="J55" s="1"/>
  <c r="I90"/>
  <c r="K90" s="1"/>
  <c r="H95"/>
  <c r="J95" s="1"/>
  <c r="G118"/>
  <c r="H118" s="1"/>
  <c r="J118" s="1"/>
  <c r="G101"/>
  <c r="H101" s="1"/>
  <c r="J101" s="1"/>
  <c r="F118"/>
  <c r="G144"/>
  <c r="G107"/>
  <c r="H107" s="1"/>
  <c r="J107" s="1"/>
  <c r="I138"/>
  <c r="I13"/>
  <c r="O40"/>
  <c r="O54"/>
  <c r="O38"/>
  <c r="G119"/>
  <c r="H119" s="1"/>
  <c r="J119" s="1"/>
  <c r="H146" i="3"/>
  <c r="J146" s="1"/>
  <c r="G147"/>
  <c r="H147" s="1"/>
  <c r="J147" s="1"/>
  <c r="H92"/>
  <c r="J92" s="1"/>
  <c r="G94"/>
  <c r="H94" s="1"/>
  <c r="J94" s="1"/>
  <c r="E27"/>
  <c r="G27" s="1"/>
  <c r="H8"/>
  <c r="J8" s="1"/>
  <c r="I9" s="1"/>
  <c r="O16"/>
  <c r="G128"/>
  <c r="H128" s="1"/>
  <c r="J128" s="1"/>
  <c r="E28"/>
  <c r="G28" s="1"/>
  <c r="H28" s="1"/>
  <c r="J28" s="1"/>
  <c r="H15"/>
  <c r="J15" s="1"/>
  <c r="I16" s="1"/>
  <c r="G148"/>
  <c r="H38"/>
  <c r="J38" s="1"/>
  <c r="H152"/>
  <c r="J152" s="1"/>
  <c r="G153"/>
  <c r="H153" s="1"/>
  <c r="J153" s="1"/>
  <c r="G85"/>
  <c r="H85" s="1"/>
  <c r="J85" s="1"/>
  <c r="H72"/>
  <c r="J72" s="1"/>
  <c r="G112"/>
  <c r="H109"/>
  <c r="J109" s="1"/>
  <c r="H13"/>
  <c r="J13" s="1"/>
  <c r="H7"/>
  <c r="J7" s="1"/>
  <c r="I13"/>
  <c r="G150"/>
  <c r="H36"/>
  <c r="J36" s="1"/>
  <c r="G59"/>
  <c r="H59" s="1"/>
  <c r="J59" s="1"/>
  <c r="H49"/>
  <c r="J49" s="1"/>
  <c r="H19"/>
  <c r="J19" s="1"/>
  <c r="F118"/>
  <c r="G118"/>
  <c r="H118" s="1"/>
  <c r="J118" s="1"/>
  <c r="E30"/>
  <c r="G30" s="1"/>
  <c r="H30" s="1"/>
  <c r="J30" s="1"/>
  <c r="G117"/>
  <c r="H117" s="1"/>
  <c r="J117" s="1"/>
  <c r="H114"/>
  <c r="J114" s="1"/>
  <c r="G107"/>
  <c r="H107" s="1"/>
  <c r="J107" s="1"/>
  <c r="H105"/>
  <c r="J105" s="1"/>
  <c r="I133"/>
  <c r="H132"/>
  <c r="J132" s="1"/>
  <c r="G144"/>
  <c r="G47"/>
  <c r="F119"/>
  <c r="H139"/>
  <c r="J139" s="1"/>
  <c r="H18"/>
  <c r="J18" s="1"/>
  <c r="H95"/>
  <c r="J95" s="1"/>
  <c r="G142"/>
  <c r="G20"/>
  <c r="H20" s="1"/>
  <c r="J20" s="1"/>
  <c r="I20" s="1"/>
  <c r="H9"/>
  <c r="J9" s="1"/>
  <c r="H35"/>
  <c r="J35" s="1"/>
  <c r="H37"/>
  <c r="J37" s="1"/>
  <c r="H39"/>
  <c r="J39" s="1"/>
  <c r="H41"/>
  <c r="J41" s="1"/>
  <c r="I138"/>
  <c r="H13" i="2"/>
  <c r="J13" s="1"/>
  <c r="H112"/>
  <c r="J112" s="1"/>
  <c r="F120"/>
  <c r="G120"/>
  <c r="H120" s="1"/>
  <c r="J120" s="1"/>
  <c r="H148"/>
  <c r="J148" s="1"/>
  <c r="G149"/>
  <c r="H149" s="1"/>
  <c r="J149" s="1"/>
  <c r="G153"/>
  <c r="H153" s="1"/>
  <c r="J153" s="1"/>
  <c r="H152"/>
  <c r="J152" s="1"/>
  <c r="H150"/>
  <c r="J150" s="1"/>
  <c r="G151"/>
  <c r="H151" s="1"/>
  <c r="J151" s="1"/>
  <c r="H142"/>
  <c r="J142" s="1"/>
  <c r="G143"/>
  <c r="H143" s="1"/>
  <c r="J143" s="1"/>
  <c r="H24"/>
  <c r="J24" s="1"/>
  <c r="E29"/>
  <c r="G29" s="1"/>
  <c r="H29" s="1"/>
  <c r="J29" s="1"/>
  <c r="H146"/>
  <c r="J146" s="1"/>
  <c r="G147"/>
  <c r="H147" s="1"/>
  <c r="J147" s="1"/>
  <c r="H15"/>
  <c r="J15" s="1"/>
  <c r="I16" s="1"/>
  <c r="H39"/>
  <c r="J39" s="1"/>
  <c r="G59"/>
  <c r="H59" s="1"/>
  <c r="J59" s="1"/>
  <c r="H104"/>
  <c r="J104" s="1"/>
  <c r="I138"/>
  <c r="H9"/>
  <c r="J9" s="1"/>
  <c r="H19"/>
  <c r="J19" s="1"/>
  <c r="H36"/>
  <c r="J36" s="1"/>
  <c r="G47"/>
  <c r="I140"/>
  <c r="G144"/>
  <c r="H22"/>
  <c r="J22" s="1"/>
  <c r="G118"/>
  <c r="H118" s="1"/>
  <c r="J118" s="1"/>
  <c r="I13"/>
  <c r="E27"/>
  <c r="G27" s="1"/>
  <c r="E31"/>
  <c r="G31" s="1"/>
  <c r="H31" s="1"/>
  <c r="F118"/>
  <c r="H18"/>
  <c r="J18" s="1"/>
  <c r="H35"/>
  <c r="J35" s="1"/>
  <c r="G101"/>
  <c r="H101" s="1"/>
  <c r="J101" s="1"/>
  <c r="G119"/>
  <c r="H119" s="1"/>
  <c r="J119" s="1"/>
  <c r="G128"/>
  <c r="H128" s="1"/>
  <c r="J128" s="1"/>
  <c r="J2" i="47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H152" i="43" l="1"/>
  <c r="J152" s="1"/>
  <c r="G153"/>
  <c r="H153" s="1"/>
  <c r="J153" s="1"/>
  <c r="G60"/>
  <c r="H47"/>
  <c r="J47" s="1"/>
  <c r="H150"/>
  <c r="J150" s="1"/>
  <c r="G151"/>
  <c r="H151" s="1"/>
  <c r="J151" s="1"/>
  <c r="H142"/>
  <c r="J142" s="1"/>
  <c r="G143"/>
  <c r="H143" s="1"/>
  <c r="J143" s="1"/>
  <c r="H146"/>
  <c r="J146" s="1"/>
  <c r="G147"/>
  <c r="H147" s="1"/>
  <c r="J147" s="1"/>
  <c r="H144"/>
  <c r="J144" s="1"/>
  <c r="G145"/>
  <c r="H145" s="1"/>
  <c r="J145" s="1"/>
  <c r="H13"/>
  <c r="J13" s="1"/>
  <c r="H27"/>
  <c r="J27" s="1"/>
  <c r="G32"/>
  <c r="H32" s="1"/>
  <c r="J32" s="1"/>
  <c r="H146" i="30"/>
  <c r="J146" s="1"/>
  <c r="G147"/>
  <c r="H147" s="1"/>
  <c r="J147" s="1"/>
  <c r="H112"/>
  <c r="J112" s="1"/>
  <c r="F120"/>
  <c r="G120"/>
  <c r="H120" s="1"/>
  <c r="J120" s="1"/>
  <c r="G149"/>
  <c r="H149" s="1"/>
  <c r="J149" s="1"/>
  <c r="H148"/>
  <c r="J148" s="1"/>
  <c r="G60"/>
  <c r="H142"/>
  <c r="J142" s="1"/>
  <c r="G143"/>
  <c r="H143" s="1"/>
  <c r="J143" s="1"/>
  <c r="H27"/>
  <c r="J27" s="1"/>
  <c r="G32"/>
  <c r="H32" s="1"/>
  <c r="J32" s="1"/>
  <c r="H150"/>
  <c r="J150" s="1"/>
  <c r="G151"/>
  <c r="H151" s="1"/>
  <c r="J151" s="1"/>
  <c r="I60"/>
  <c r="H13"/>
  <c r="J13" s="1"/>
  <c r="H27" i="29"/>
  <c r="J27" s="1"/>
  <c r="G32"/>
  <c r="H32" s="1"/>
  <c r="J32" s="1"/>
  <c r="H146"/>
  <c r="J146" s="1"/>
  <c r="G147"/>
  <c r="H147" s="1"/>
  <c r="J147" s="1"/>
  <c r="H47"/>
  <c r="J47" s="1"/>
  <c r="G60"/>
  <c r="H142"/>
  <c r="J142" s="1"/>
  <c r="G143"/>
  <c r="H143" s="1"/>
  <c r="J143" s="1"/>
  <c r="H144"/>
  <c r="J144" s="1"/>
  <c r="G145"/>
  <c r="H145" s="1"/>
  <c r="J145" s="1"/>
  <c r="H13"/>
  <c r="J13" s="1"/>
  <c r="I13"/>
  <c r="I60"/>
  <c r="H27" i="28"/>
  <c r="J27" s="1"/>
  <c r="G32"/>
  <c r="H32" s="1"/>
  <c r="J32" s="1"/>
  <c r="F120"/>
  <c r="G120"/>
  <c r="H120" s="1"/>
  <c r="J120" s="1"/>
  <c r="H112"/>
  <c r="J112" s="1"/>
  <c r="I60"/>
  <c r="H13"/>
  <c r="J13" s="1"/>
  <c r="H150"/>
  <c r="J150" s="1"/>
  <c r="G151"/>
  <c r="H151" s="1"/>
  <c r="J151" s="1"/>
  <c r="H142"/>
  <c r="J142" s="1"/>
  <c r="G143"/>
  <c r="H143" s="1"/>
  <c r="J143" s="1"/>
  <c r="G149"/>
  <c r="H149" s="1"/>
  <c r="J149" s="1"/>
  <c r="H148"/>
  <c r="J148" s="1"/>
  <c r="H146"/>
  <c r="J146" s="1"/>
  <c r="G147"/>
  <c r="H147" s="1"/>
  <c r="J147" s="1"/>
  <c r="I59"/>
  <c r="H142" i="27"/>
  <c r="J142" s="1"/>
  <c r="G143"/>
  <c r="H143" s="1"/>
  <c r="J143" s="1"/>
  <c r="G32"/>
  <c r="H32" s="1"/>
  <c r="J32" s="1"/>
  <c r="H13"/>
  <c r="J13" s="1"/>
  <c r="H112"/>
  <c r="J112" s="1"/>
  <c r="F120"/>
  <c r="G120"/>
  <c r="H120" s="1"/>
  <c r="J120" s="1"/>
  <c r="H144"/>
  <c r="J144" s="1"/>
  <c r="G145"/>
  <c r="H145" s="1"/>
  <c r="J145" s="1"/>
  <c r="H150"/>
  <c r="J150" s="1"/>
  <c r="G151"/>
  <c r="H151" s="1"/>
  <c r="J151" s="1"/>
  <c r="G149"/>
  <c r="H149" s="1"/>
  <c r="J149" s="1"/>
  <c r="H148"/>
  <c r="J148" s="1"/>
  <c r="H146"/>
  <c r="J146" s="1"/>
  <c r="G147"/>
  <c r="H147" s="1"/>
  <c r="J147" s="1"/>
  <c r="G60"/>
  <c r="I60" s="1"/>
  <c r="H144" i="40"/>
  <c r="J144" s="1"/>
  <c r="G145"/>
  <c r="H145" s="1"/>
  <c r="J145" s="1"/>
  <c r="H47"/>
  <c r="J47" s="1"/>
  <c r="O47"/>
  <c r="G60"/>
  <c r="G32"/>
  <c r="H32" s="1"/>
  <c r="J32" s="1"/>
  <c r="H27"/>
  <c r="J27" s="1"/>
  <c r="G149"/>
  <c r="H149" s="1"/>
  <c r="J149" s="1"/>
  <c r="H148"/>
  <c r="J148" s="1"/>
  <c r="O59"/>
  <c r="H59"/>
  <c r="J59" s="1"/>
  <c r="H13" i="25"/>
  <c r="J13" s="1"/>
  <c r="I60"/>
  <c r="H142"/>
  <c r="J142" s="1"/>
  <c r="G143"/>
  <c r="H143" s="1"/>
  <c r="J143" s="1"/>
  <c r="G60"/>
  <c r="H47"/>
  <c r="J47" s="1"/>
  <c r="H146"/>
  <c r="J146" s="1"/>
  <c r="G147"/>
  <c r="H147" s="1"/>
  <c r="J147" s="1"/>
  <c r="H152"/>
  <c r="J152" s="1"/>
  <c r="G153"/>
  <c r="H153" s="1"/>
  <c r="J153" s="1"/>
  <c r="H112"/>
  <c r="J112" s="1"/>
  <c r="F120"/>
  <c r="G120"/>
  <c r="H120" s="1"/>
  <c r="J120" s="1"/>
  <c r="H150"/>
  <c r="J150" s="1"/>
  <c r="G151"/>
  <c r="H151" s="1"/>
  <c r="J151" s="1"/>
  <c r="G149"/>
  <c r="H149" s="1"/>
  <c r="J149" s="1"/>
  <c r="H148"/>
  <c r="J148" s="1"/>
  <c r="H144"/>
  <c r="J144" s="1"/>
  <c r="G145"/>
  <c r="H145" s="1"/>
  <c r="J145" s="1"/>
  <c r="H144" i="24"/>
  <c r="J144" s="1"/>
  <c r="G145"/>
  <c r="H145" s="1"/>
  <c r="J145" s="1"/>
  <c r="H13"/>
  <c r="J13" s="1"/>
  <c r="H152"/>
  <c r="J152" s="1"/>
  <c r="G153"/>
  <c r="H153" s="1"/>
  <c r="J153" s="1"/>
  <c r="H146"/>
  <c r="J146" s="1"/>
  <c r="G147"/>
  <c r="H147" s="1"/>
  <c r="J147" s="1"/>
  <c r="H142"/>
  <c r="J142" s="1"/>
  <c r="G143"/>
  <c r="H143" s="1"/>
  <c r="J143" s="1"/>
  <c r="H112"/>
  <c r="J112" s="1"/>
  <c r="F120"/>
  <c r="G120"/>
  <c r="H120" s="1"/>
  <c r="J120" s="1"/>
  <c r="G60"/>
  <c r="H47"/>
  <c r="J47" s="1"/>
  <c r="G149"/>
  <c r="H149" s="1"/>
  <c r="J149" s="1"/>
  <c r="H148"/>
  <c r="J148" s="1"/>
  <c r="G32"/>
  <c r="H32" s="1"/>
  <c r="J32" s="1"/>
  <c r="H150"/>
  <c r="J150" s="1"/>
  <c r="G151"/>
  <c r="H151" s="1"/>
  <c r="J151" s="1"/>
  <c r="O27" i="23"/>
  <c r="G32"/>
  <c r="H27"/>
  <c r="J27" s="1"/>
  <c r="O152"/>
  <c r="G153"/>
  <c r="H152"/>
  <c r="J152" s="1"/>
  <c r="O94"/>
  <c r="H94"/>
  <c r="J94" s="1"/>
  <c r="O142"/>
  <c r="G143"/>
  <c r="H142"/>
  <c r="J142" s="1"/>
  <c r="O146"/>
  <c r="G147"/>
  <c r="H146"/>
  <c r="J146" s="1"/>
  <c r="O13"/>
  <c r="H13"/>
  <c r="J13" s="1"/>
  <c r="O47"/>
  <c r="G60"/>
  <c r="H47"/>
  <c r="J47" s="1"/>
  <c r="H20"/>
  <c r="J20" s="1"/>
  <c r="I20" s="1"/>
  <c r="O20"/>
  <c r="H112"/>
  <c r="J112" s="1"/>
  <c r="F120"/>
  <c r="O112"/>
  <c r="G120"/>
  <c r="H85"/>
  <c r="J85" s="1"/>
  <c r="O85"/>
  <c r="H30"/>
  <c r="J30" s="1"/>
  <c r="O30"/>
  <c r="H68"/>
  <c r="J68" s="1"/>
  <c r="O68"/>
  <c r="O107"/>
  <c r="H107"/>
  <c r="J107" s="1"/>
  <c r="H119"/>
  <c r="J119" s="1"/>
  <c r="O119"/>
  <c r="O128"/>
  <c r="H128"/>
  <c r="J128" s="1"/>
  <c r="H117"/>
  <c r="J117" s="1"/>
  <c r="O117"/>
  <c r="O59"/>
  <c r="H59"/>
  <c r="J59" s="1"/>
  <c r="O144"/>
  <c r="G145"/>
  <c r="H144"/>
  <c r="J144" s="1"/>
  <c r="H101"/>
  <c r="J101" s="1"/>
  <c r="O101"/>
  <c r="O118"/>
  <c r="H118"/>
  <c r="J118" s="1"/>
  <c r="O148"/>
  <c r="G149"/>
  <c r="H148"/>
  <c r="J148" s="1"/>
  <c r="I13"/>
  <c r="H28"/>
  <c r="J28" s="1"/>
  <c r="O28"/>
  <c r="O150"/>
  <c r="G151"/>
  <c r="H150"/>
  <c r="J150" s="1"/>
  <c r="O63"/>
  <c r="H63"/>
  <c r="J63" s="1"/>
  <c r="H144" i="22"/>
  <c r="J144" s="1"/>
  <c r="G145"/>
  <c r="H145" s="1"/>
  <c r="J145" s="1"/>
  <c r="H27"/>
  <c r="J27" s="1"/>
  <c r="G32"/>
  <c r="H32" s="1"/>
  <c r="J32" s="1"/>
  <c r="H148"/>
  <c r="J148" s="1"/>
  <c r="G149"/>
  <c r="H149" s="1"/>
  <c r="J149" s="1"/>
  <c r="H152"/>
  <c r="J152" s="1"/>
  <c r="G153"/>
  <c r="H153" s="1"/>
  <c r="J153" s="1"/>
  <c r="H13"/>
  <c r="J13" s="1"/>
  <c r="H142"/>
  <c r="J142" s="1"/>
  <c r="G143"/>
  <c r="H143" s="1"/>
  <c r="J143" s="1"/>
  <c r="H150"/>
  <c r="J150" s="1"/>
  <c r="G151"/>
  <c r="H151" s="1"/>
  <c r="J151" s="1"/>
  <c r="H59"/>
  <c r="J59" s="1"/>
  <c r="L59"/>
  <c r="H47"/>
  <c r="J47" s="1"/>
  <c r="L47"/>
  <c r="G60"/>
  <c r="I60" s="1"/>
  <c r="L59" i="21"/>
  <c r="H59"/>
  <c r="J59" s="1"/>
  <c r="H144"/>
  <c r="J144" s="1"/>
  <c r="G145"/>
  <c r="H145" s="1"/>
  <c r="J145" s="1"/>
  <c r="H152"/>
  <c r="J152" s="1"/>
  <c r="G153"/>
  <c r="H153" s="1"/>
  <c r="J153" s="1"/>
  <c r="G151"/>
  <c r="H151" s="1"/>
  <c r="J151" s="1"/>
  <c r="H150"/>
  <c r="J150" s="1"/>
  <c r="H47"/>
  <c r="J47" s="1"/>
  <c r="L47"/>
  <c r="G60"/>
  <c r="H13"/>
  <c r="J13" s="1"/>
  <c r="H148"/>
  <c r="J148" s="1"/>
  <c r="G149"/>
  <c r="H149" s="1"/>
  <c r="J149" s="1"/>
  <c r="H146" i="20"/>
  <c r="J146" s="1"/>
  <c r="G147"/>
  <c r="H147" s="1"/>
  <c r="J147" s="1"/>
  <c r="H13"/>
  <c r="J13" s="1"/>
  <c r="H144"/>
  <c r="J144" s="1"/>
  <c r="G145"/>
  <c r="H145" s="1"/>
  <c r="J145" s="1"/>
  <c r="G32"/>
  <c r="H32" s="1"/>
  <c r="J32" s="1"/>
  <c r="G149"/>
  <c r="H149" s="1"/>
  <c r="J149" s="1"/>
  <c r="H148"/>
  <c r="J148" s="1"/>
  <c r="H142"/>
  <c r="J142" s="1"/>
  <c r="G143"/>
  <c r="H143" s="1"/>
  <c r="J143" s="1"/>
  <c r="F120"/>
  <c r="H112"/>
  <c r="J112" s="1"/>
  <c r="G120"/>
  <c r="H120" s="1"/>
  <c r="J120" s="1"/>
  <c r="G60"/>
  <c r="H152"/>
  <c r="J152" s="1"/>
  <c r="G153"/>
  <c r="H153" s="1"/>
  <c r="J153" s="1"/>
  <c r="H142" i="19"/>
  <c r="J142" s="1"/>
  <c r="G143"/>
  <c r="H143" s="1"/>
  <c r="J143" s="1"/>
  <c r="H144"/>
  <c r="J144" s="1"/>
  <c r="G145"/>
  <c r="H145" s="1"/>
  <c r="J145" s="1"/>
  <c r="H152"/>
  <c r="J152" s="1"/>
  <c r="G153"/>
  <c r="H153" s="1"/>
  <c r="J153" s="1"/>
  <c r="H146"/>
  <c r="J146" s="1"/>
  <c r="G147"/>
  <c r="H147" s="1"/>
  <c r="J147" s="1"/>
  <c r="H47"/>
  <c r="J47" s="1"/>
  <c r="G32"/>
  <c r="H32" s="1"/>
  <c r="J32" s="1"/>
  <c r="H27"/>
  <c r="J27" s="1"/>
  <c r="H112"/>
  <c r="J112" s="1"/>
  <c r="F120"/>
  <c r="G120"/>
  <c r="H120" s="1"/>
  <c r="J120" s="1"/>
  <c r="G59"/>
  <c r="H59" s="1"/>
  <c r="J59" s="1"/>
  <c r="H49"/>
  <c r="J49" s="1"/>
  <c r="H152" i="17"/>
  <c r="J152" s="1"/>
  <c r="G153"/>
  <c r="H153" s="1"/>
  <c r="J153" s="1"/>
  <c r="G59"/>
  <c r="H59" s="1"/>
  <c r="J59" s="1"/>
  <c r="H49"/>
  <c r="J49" s="1"/>
  <c r="G149"/>
  <c r="H149" s="1"/>
  <c r="J149" s="1"/>
  <c r="H148"/>
  <c r="J148" s="1"/>
  <c r="F120"/>
  <c r="G120"/>
  <c r="H120" s="1"/>
  <c r="J120" s="1"/>
  <c r="H112"/>
  <c r="J112" s="1"/>
  <c r="H144"/>
  <c r="J144" s="1"/>
  <c r="G145"/>
  <c r="H145" s="1"/>
  <c r="J145" s="1"/>
  <c r="H146"/>
  <c r="J146" s="1"/>
  <c r="G147"/>
  <c r="H147" s="1"/>
  <c r="J147" s="1"/>
  <c r="G60"/>
  <c r="H47"/>
  <c r="J47" s="1"/>
  <c r="G142"/>
  <c r="H150"/>
  <c r="J150" s="1"/>
  <c r="G151"/>
  <c r="H151" s="1"/>
  <c r="J151" s="1"/>
  <c r="K31" i="18"/>
  <c r="G31"/>
  <c r="H31" s="1"/>
  <c r="G149"/>
  <c r="H149" s="1"/>
  <c r="J149" s="1"/>
  <c r="H148"/>
  <c r="J148" s="1"/>
  <c r="H13"/>
  <c r="J13" s="1"/>
  <c r="H150"/>
  <c r="J150" s="1"/>
  <c r="G151"/>
  <c r="H151" s="1"/>
  <c r="J151" s="1"/>
  <c r="H146"/>
  <c r="J146" s="1"/>
  <c r="G147"/>
  <c r="H147" s="1"/>
  <c r="J147" s="1"/>
  <c r="H27"/>
  <c r="J27" s="1"/>
  <c r="G32"/>
  <c r="H32" s="1"/>
  <c r="J32" s="1"/>
  <c r="H152"/>
  <c r="J152" s="1"/>
  <c r="G153"/>
  <c r="H153" s="1"/>
  <c r="J153" s="1"/>
  <c r="G60"/>
  <c r="H47"/>
  <c r="J47" s="1"/>
  <c r="H144"/>
  <c r="J144" s="1"/>
  <c r="G145"/>
  <c r="H145" s="1"/>
  <c r="J145" s="1"/>
  <c r="I13"/>
  <c r="H142" i="16"/>
  <c r="J142" s="1"/>
  <c r="G143"/>
  <c r="H143" s="1"/>
  <c r="J143" s="1"/>
  <c r="G172"/>
  <c r="H144"/>
  <c r="J144" s="1"/>
  <c r="G145"/>
  <c r="H145" s="1"/>
  <c r="J145" s="1"/>
  <c r="H47"/>
  <c r="J47" s="1"/>
  <c r="H146"/>
  <c r="J146" s="1"/>
  <c r="G147"/>
  <c r="H147" s="1"/>
  <c r="J147" s="1"/>
  <c r="H27"/>
  <c r="J27" s="1"/>
  <c r="G32"/>
  <c r="H32" s="1"/>
  <c r="J32" s="1"/>
  <c r="H152"/>
  <c r="J152" s="1"/>
  <c r="G153"/>
  <c r="H153" s="1"/>
  <c r="J153" s="1"/>
  <c r="G59"/>
  <c r="H59" s="1"/>
  <c r="J59" s="1"/>
  <c r="H49"/>
  <c r="J49" s="1"/>
  <c r="H150"/>
  <c r="J150" s="1"/>
  <c r="G151"/>
  <c r="H151" s="1"/>
  <c r="J151" s="1"/>
  <c r="F120"/>
  <c r="G120"/>
  <c r="H120" s="1"/>
  <c r="J120" s="1"/>
  <c r="H112"/>
  <c r="J112" s="1"/>
  <c r="G149"/>
  <c r="H149" s="1"/>
  <c r="J149" s="1"/>
  <c r="H148"/>
  <c r="J148" s="1"/>
  <c r="H13"/>
  <c r="J13" s="1"/>
  <c r="G149" i="15"/>
  <c r="H149" s="1"/>
  <c r="J149" s="1"/>
  <c r="H148"/>
  <c r="J148" s="1"/>
  <c r="H142"/>
  <c r="J142" s="1"/>
  <c r="G143"/>
  <c r="H143" s="1"/>
  <c r="J143" s="1"/>
  <c r="H152"/>
  <c r="J152" s="1"/>
  <c r="G153"/>
  <c r="H153" s="1"/>
  <c r="J153" s="1"/>
  <c r="G60"/>
  <c r="I60" s="1"/>
  <c r="H47"/>
  <c r="J47" s="1"/>
  <c r="H13"/>
  <c r="J13" s="1"/>
  <c r="G32"/>
  <c r="H32" s="1"/>
  <c r="J32" s="1"/>
  <c r="H144"/>
  <c r="J144" s="1"/>
  <c r="G145"/>
  <c r="H145" s="1"/>
  <c r="J145" s="1"/>
  <c r="H146"/>
  <c r="J146" s="1"/>
  <c r="G147"/>
  <c r="H147" s="1"/>
  <c r="J147" s="1"/>
  <c r="H13" i="13"/>
  <c r="J13" s="1"/>
  <c r="O13"/>
  <c r="H62"/>
  <c r="J62" s="1"/>
  <c r="O62"/>
  <c r="J15"/>
  <c r="I16" s="1"/>
  <c r="H128"/>
  <c r="P27"/>
  <c r="G27"/>
  <c r="H94"/>
  <c r="J94" s="1"/>
  <c r="O94"/>
  <c r="H85"/>
  <c r="J85" s="1"/>
  <c r="O85"/>
  <c r="H66"/>
  <c r="J66" s="1"/>
  <c r="O66"/>
  <c r="H119"/>
  <c r="J119" s="1"/>
  <c r="O119"/>
  <c r="H146"/>
  <c r="J146" s="1"/>
  <c r="O146"/>
  <c r="G147"/>
  <c r="H142"/>
  <c r="J142" s="1"/>
  <c r="O142"/>
  <c r="G143"/>
  <c r="H144"/>
  <c r="J144" s="1"/>
  <c r="O144"/>
  <c r="G145"/>
  <c r="H101"/>
  <c r="J101" s="1"/>
  <c r="O101"/>
  <c r="H152"/>
  <c r="J152" s="1"/>
  <c r="O152"/>
  <c r="G153"/>
  <c r="H148"/>
  <c r="J148" s="1"/>
  <c r="O148"/>
  <c r="G149"/>
  <c r="O107"/>
  <c r="H107"/>
  <c r="J107" s="1"/>
  <c r="G60"/>
  <c r="I60" s="1"/>
  <c r="H47"/>
  <c r="J47" s="1"/>
  <c r="O47"/>
  <c r="H59"/>
  <c r="J59" s="1"/>
  <c r="O59"/>
  <c r="O117"/>
  <c r="H117"/>
  <c r="J117" s="1"/>
  <c r="O65"/>
  <c r="H65"/>
  <c r="J65" s="1"/>
  <c r="H28"/>
  <c r="J28" s="1"/>
  <c r="O28"/>
  <c r="H30"/>
  <c r="J30" s="1"/>
  <c r="O30"/>
  <c r="H150"/>
  <c r="J150" s="1"/>
  <c r="O150"/>
  <c r="G151"/>
  <c r="H112"/>
  <c r="J112" s="1"/>
  <c r="F120"/>
  <c r="G120"/>
  <c r="O112"/>
  <c r="I13"/>
  <c r="G153" i="14"/>
  <c r="H153" s="1"/>
  <c r="J153" s="1"/>
  <c r="H152"/>
  <c r="J152" s="1"/>
  <c r="I59"/>
  <c r="I60"/>
  <c r="H142"/>
  <c r="J142" s="1"/>
  <c r="G143"/>
  <c r="H143" s="1"/>
  <c r="J143" s="1"/>
  <c r="H150"/>
  <c r="J150" s="1"/>
  <c r="G151"/>
  <c r="H151" s="1"/>
  <c r="J151" s="1"/>
  <c r="H119" i="12"/>
  <c r="J119" s="1"/>
  <c r="P119"/>
  <c r="H117"/>
  <c r="J117" s="1"/>
  <c r="P117"/>
  <c r="H94"/>
  <c r="J94" s="1"/>
  <c r="P94"/>
  <c r="P142"/>
  <c r="G143"/>
  <c r="H142"/>
  <c r="J142" s="1"/>
  <c r="G32"/>
  <c r="H27"/>
  <c r="J27" s="1"/>
  <c r="P27"/>
  <c r="P101"/>
  <c r="H101"/>
  <c r="J101" s="1"/>
  <c r="P150"/>
  <c r="G151"/>
  <c r="H150"/>
  <c r="J150" s="1"/>
  <c r="F120"/>
  <c r="G120"/>
  <c r="P112"/>
  <c r="H112"/>
  <c r="J112" s="1"/>
  <c r="H59"/>
  <c r="J59" s="1"/>
  <c r="P59"/>
  <c r="H118"/>
  <c r="J118" s="1"/>
  <c r="P118"/>
  <c r="H47"/>
  <c r="J47" s="1"/>
  <c r="G60"/>
  <c r="P47"/>
  <c r="P152"/>
  <c r="G153"/>
  <c r="H152"/>
  <c r="J152" s="1"/>
  <c r="H85"/>
  <c r="J85" s="1"/>
  <c r="P85"/>
  <c r="H13"/>
  <c r="J13" s="1"/>
  <c r="P13"/>
  <c r="I60"/>
  <c r="P30"/>
  <c r="H30"/>
  <c r="J30" s="1"/>
  <c r="P64"/>
  <c r="H64"/>
  <c r="J64" s="1"/>
  <c r="P144"/>
  <c r="G145"/>
  <c r="H144"/>
  <c r="J144" s="1"/>
  <c r="P146"/>
  <c r="G147"/>
  <c r="H146"/>
  <c r="J146" s="1"/>
  <c r="H65"/>
  <c r="J65" s="1"/>
  <c r="P65"/>
  <c r="H149"/>
  <c r="J149" s="1"/>
  <c r="P149"/>
  <c r="H28"/>
  <c r="J28" s="1"/>
  <c r="P28"/>
  <c r="H20"/>
  <c r="J20" s="1"/>
  <c r="I20" s="1"/>
  <c r="P20"/>
  <c r="G32" i="11"/>
  <c r="H32" s="1"/>
  <c r="J32" s="1"/>
  <c r="H27"/>
  <c r="J27" s="1"/>
  <c r="G143"/>
  <c r="H143" s="1"/>
  <c r="J143" s="1"/>
  <c r="H142"/>
  <c r="J142" s="1"/>
  <c r="I60"/>
  <c r="H13"/>
  <c r="J13" s="1"/>
  <c r="G145" i="10"/>
  <c r="H145" s="1"/>
  <c r="J145" s="1"/>
  <c r="H144"/>
  <c r="J144" s="1"/>
  <c r="G153"/>
  <c r="H153" s="1"/>
  <c r="J153" s="1"/>
  <c r="H152"/>
  <c r="J152" s="1"/>
  <c r="H142"/>
  <c r="J142" s="1"/>
  <c r="G143"/>
  <c r="H143" s="1"/>
  <c r="J143" s="1"/>
  <c r="H150"/>
  <c r="J150" s="1"/>
  <c r="G151"/>
  <c r="H151" s="1"/>
  <c r="J151" s="1"/>
  <c r="H148"/>
  <c r="J148" s="1"/>
  <c r="G149"/>
  <c r="H149" s="1"/>
  <c r="J149" s="1"/>
  <c r="H146"/>
  <c r="J146" s="1"/>
  <c r="G147"/>
  <c r="H147" s="1"/>
  <c r="J147" s="1"/>
  <c r="H13"/>
  <c r="J13" s="1"/>
  <c r="F120"/>
  <c r="G120"/>
  <c r="H120" s="1"/>
  <c r="J120" s="1"/>
  <c r="H112"/>
  <c r="J112" s="1"/>
  <c r="G60"/>
  <c r="I60" s="1"/>
  <c r="H47"/>
  <c r="J47" s="1"/>
  <c r="G60" i="9"/>
  <c r="H47"/>
  <c r="J47" s="1"/>
  <c r="G32"/>
  <c r="H32" s="1"/>
  <c r="J32" s="1"/>
  <c r="F120"/>
  <c r="G120"/>
  <c r="H120" s="1"/>
  <c r="J120" s="1"/>
  <c r="H112"/>
  <c r="J112" s="1"/>
  <c r="H150"/>
  <c r="J150" s="1"/>
  <c r="G151"/>
  <c r="H151" s="1"/>
  <c r="J151" s="1"/>
  <c r="H146"/>
  <c r="J146" s="1"/>
  <c r="G147"/>
  <c r="H147" s="1"/>
  <c r="J147" s="1"/>
  <c r="H13"/>
  <c r="J13" s="1"/>
  <c r="I60"/>
  <c r="G153"/>
  <c r="H153" s="1"/>
  <c r="J153" s="1"/>
  <c r="H152"/>
  <c r="J152" s="1"/>
  <c r="H148"/>
  <c r="J148" s="1"/>
  <c r="G149"/>
  <c r="H149" s="1"/>
  <c r="J149" s="1"/>
  <c r="G145"/>
  <c r="H145" s="1"/>
  <c r="J145" s="1"/>
  <c r="H144"/>
  <c r="J144" s="1"/>
  <c r="H142"/>
  <c r="J142" s="1"/>
  <c r="G143"/>
  <c r="H143" s="1"/>
  <c r="J143" s="1"/>
  <c r="G153" i="8"/>
  <c r="H153" s="1"/>
  <c r="J153" s="1"/>
  <c r="H152"/>
  <c r="J152" s="1"/>
  <c r="H112"/>
  <c r="J112" s="1"/>
  <c r="F120"/>
  <c r="G120"/>
  <c r="H120" s="1"/>
  <c r="J120" s="1"/>
  <c r="H13"/>
  <c r="J13" s="1"/>
  <c r="I13"/>
  <c r="I60"/>
  <c r="H142"/>
  <c r="J142" s="1"/>
  <c r="G143"/>
  <c r="H143" s="1"/>
  <c r="J143" s="1"/>
  <c r="G145"/>
  <c r="H145" s="1"/>
  <c r="J145" s="1"/>
  <c r="H144"/>
  <c r="J144" s="1"/>
  <c r="G60"/>
  <c r="H47"/>
  <c r="J47" s="1"/>
  <c r="G32"/>
  <c r="H32" s="1"/>
  <c r="J32" s="1"/>
  <c r="H146"/>
  <c r="J146" s="1"/>
  <c r="G147"/>
  <c r="H147" s="1"/>
  <c r="J147" s="1"/>
  <c r="H150"/>
  <c r="J150" s="1"/>
  <c r="G151"/>
  <c r="H151" s="1"/>
  <c r="J151" s="1"/>
  <c r="H148"/>
  <c r="J148" s="1"/>
  <c r="G149"/>
  <c r="H149" s="1"/>
  <c r="J149" s="1"/>
  <c r="H142" i="7"/>
  <c r="J142" s="1"/>
  <c r="G143"/>
  <c r="H143" s="1"/>
  <c r="J143" s="1"/>
  <c r="H27"/>
  <c r="J27" s="1"/>
  <c r="G32"/>
  <c r="H32" s="1"/>
  <c r="J32" s="1"/>
  <c r="G60"/>
  <c r="H47"/>
  <c r="J47" s="1"/>
  <c r="G153"/>
  <c r="H153" s="1"/>
  <c r="J153" s="1"/>
  <c r="H152"/>
  <c r="J152" s="1"/>
  <c r="H146"/>
  <c r="J146" s="1"/>
  <c r="G147"/>
  <c r="H147" s="1"/>
  <c r="J147" s="1"/>
  <c r="H112"/>
  <c r="J112" s="1"/>
  <c r="F120"/>
  <c r="G120"/>
  <c r="H120" s="1"/>
  <c r="J120" s="1"/>
  <c r="G145"/>
  <c r="H145" s="1"/>
  <c r="J145" s="1"/>
  <c r="H144"/>
  <c r="J144" s="1"/>
  <c r="I60"/>
  <c r="H13"/>
  <c r="J13" s="1"/>
  <c r="F120" i="33"/>
  <c r="H112"/>
  <c r="J112" s="1"/>
  <c r="G120"/>
  <c r="H120" s="1"/>
  <c r="J120" s="1"/>
  <c r="G143"/>
  <c r="H143" s="1"/>
  <c r="J143" s="1"/>
  <c r="H142"/>
  <c r="J142" s="1"/>
  <c r="G151"/>
  <c r="H151" s="1"/>
  <c r="J151" s="1"/>
  <c r="H150"/>
  <c r="J150" s="1"/>
  <c r="H13"/>
  <c r="J13" s="1"/>
  <c r="I60"/>
  <c r="G149"/>
  <c r="H149" s="1"/>
  <c r="J149" s="1"/>
  <c r="H148"/>
  <c r="J148" s="1"/>
  <c r="I59"/>
  <c r="H60"/>
  <c r="J60" s="1"/>
  <c r="G153"/>
  <c r="H153" s="1"/>
  <c r="J153" s="1"/>
  <c r="H152"/>
  <c r="J152" s="1"/>
  <c r="G145"/>
  <c r="H145" s="1"/>
  <c r="J145" s="1"/>
  <c r="H144"/>
  <c r="J144" s="1"/>
  <c r="G32"/>
  <c r="H32" s="1"/>
  <c r="J32" s="1"/>
  <c r="H27"/>
  <c r="J27" s="1"/>
  <c r="H146"/>
  <c r="J146" s="1"/>
  <c r="G147"/>
  <c r="H147" s="1"/>
  <c r="J147" s="1"/>
  <c r="H142" i="5"/>
  <c r="J142" s="1"/>
  <c r="G143"/>
  <c r="H143" s="1"/>
  <c r="J143" s="1"/>
  <c r="H150"/>
  <c r="J150" s="1"/>
  <c r="G151"/>
  <c r="H151" s="1"/>
  <c r="J151" s="1"/>
  <c r="H112"/>
  <c r="J112" s="1"/>
  <c r="F120"/>
  <c r="G120"/>
  <c r="H120" s="1"/>
  <c r="J120" s="1"/>
  <c r="G60"/>
  <c r="H47"/>
  <c r="J47" s="1"/>
  <c r="H27"/>
  <c r="J27" s="1"/>
  <c r="G32"/>
  <c r="H32" s="1"/>
  <c r="J32" s="1"/>
  <c r="G32" i="4"/>
  <c r="H32" s="1"/>
  <c r="J32" s="1"/>
  <c r="G145"/>
  <c r="H145" s="1"/>
  <c r="J145" s="1"/>
  <c r="H144"/>
  <c r="J144" s="1"/>
  <c r="H47"/>
  <c r="J47" s="1"/>
  <c r="G60"/>
  <c r="G153"/>
  <c r="H153" s="1"/>
  <c r="J153" s="1"/>
  <c r="H152"/>
  <c r="J152" s="1"/>
  <c r="H142"/>
  <c r="J142" s="1"/>
  <c r="G143"/>
  <c r="H143" s="1"/>
  <c r="J143" s="1"/>
  <c r="H13"/>
  <c r="J13" s="1"/>
  <c r="I60"/>
  <c r="H150"/>
  <c r="J150" s="1"/>
  <c r="G151"/>
  <c r="H151" s="1"/>
  <c r="J151" s="1"/>
  <c r="O59"/>
  <c r="H144" i="3"/>
  <c r="J144" s="1"/>
  <c r="G145"/>
  <c r="H145" s="1"/>
  <c r="J145" s="1"/>
  <c r="H47"/>
  <c r="J47" s="1"/>
  <c r="G60"/>
  <c r="G151"/>
  <c r="H151" s="1"/>
  <c r="J151" s="1"/>
  <c r="H150"/>
  <c r="J150" s="1"/>
  <c r="H112"/>
  <c r="J112" s="1"/>
  <c r="F120"/>
  <c r="G120"/>
  <c r="H120" s="1"/>
  <c r="J120" s="1"/>
  <c r="G149"/>
  <c r="H149" s="1"/>
  <c r="J149" s="1"/>
  <c r="H148"/>
  <c r="J148" s="1"/>
  <c r="G143"/>
  <c r="H143" s="1"/>
  <c r="J143" s="1"/>
  <c r="H142"/>
  <c r="J142" s="1"/>
  <c r="H27"/>
  <c r="J27" s="1"/>
  <c r="G32"/>
  <c r="H32" s="1"/>
  <c r="J32" s="1"/>
  <c r="H27" i="2"/>
  <c r="J27" s="1"/>
  <c r="G32"/>
  <c r="H32" s="1"/>
  <c r="J32" s="1"/>
  <c r="G60"/>
  <c r="H47"/>
  <c r="J47" s="1"/>
  <c r="G145"/>
  <c r="H145" s="1"/>
  <c r="J145" s="1"/>
  <c r="H144"/>
  <c r="J144" s="1"/>
  <c r="H60" i="43" l="1"/>
  <c r="J60" s="1"/>
  <c r="I59"/>
  <c r="I60"/>
  <c r="H60" i="30"/>
  <c r="J60" s="1"/>
  <c r="I59"/>
  <c r="H60" i="29"/>
  <c r="J60" s="1"/>
  <c r="I59"/>
  <c r="H60" i="27"/>
  <c r="J60" s="1"/>
  <c r="I59"/>
  <c r="I59" i="40"/>
  <c r="H60"/>
  <c r="J60" s="1"/>
  <c r="O60"/>
  <c r="O61" s="1"/>
  <c r="I60"/>
  <c r="H60" i="25"/>
  <c r="J60" s="1"/>
  <c r="I59"/>
  <c r="H60" i="24"/>
  <c r="J60" s="1"/>
  <c r="I59"/>
  <c r="I60"/>
  <c r="H151" i="23"/>
  <c r="J151" s="1"/>
  <c r="O151"/>
  <c r="H120"/>
  <c r="J120" s="1"/>
  <c r="O120"/>
  <c r="H143"/>
  <c r="J143" s="1"/>
  <c r="O143"/>
  <c r="H32"/>
  <c r="J32" s="1"/>
  <c r="O32"/>
  <c r="H149"/>
  <c r="J149" s="1"/>
  <c r="O149"/>
  <c r="H60"/>
  <c r="J60" s="1"/>
  <c r="O60"/>
  <c r="I59"/>
  <c r="H145"/>
  <c r="J145" s="1"/>
  <c r="O145"/>
  <c r="H147"/>
  <c r="J147" s="1"/>
  <c r="O147"/>
  <c r="H153"/>
  <c r="J153" s="1"/>
  <c r="O153"/>
  <c r="I60"/>
  <c r="L60" i="22"/>
  <c r="H60"/>
  <c r="J60" s="1"/>
  <c r="I59"/>
  <c r="H60" i="21"/>
  <c r="J60" s="1"/>
  <c r="L60"/>
  <c r="I59"/>
  <c r="I60"/>
  <c r="H60" i="20"/>
  <c r="J60" s="1"/>
  <c r="I59"/>
  <c r="I60"/>
  <c r="G60" i="19"/>
  <c r="H60" i="17"/>
  <c r="J60" s="1"/>
  <c r="I60"/>
  <c r="I59"/>
  <c r="H142"/>
  <c r="J142" s="1"/>
  <c r="G143"/>
  <c r="H143" s="1"/>
  <c r="J143" s="1"/>
  <c r="H60" i="18"/>
  <c r="J60" s="1"/>
  <c r="I59"/>
  <c r="I60"/>
  <c r="G60" i="16"/>
  <c r="H60" i="15"/>
  <c r="J60" s="1"/>
  <c r="I59"/>
  <c r="O27" i="13"/>
  <c r="G32"/>
  <c r="H27"/>
  <c r="J27" s="1"/>
  <c r="H149"/>
  <c r="J149" s="1"/>
  <c r="O149"/>
  <c r="H145"/>
  <c r="J145" s="1"/>
  <c r="O145"/>
  <c r="H151"/>
  <c r="J151" s="1"/>
  <c r="O151"/>
  <c r="H147"/>
  <c r="J147" s="1"/>
  <c r="O147"/>
  <c r="H60"/>
  <c r="J60" s="1"/>
  <c r="O60"/>
  <c r="I59"/>
  <c r="O120"/>
  <c r="H120"/>
  <c r="J120" s="1"/>
  <c r="H153"/>
  <c r="J153" s="1"/>
  <c r="O153"/>
  <c r="H143"/>
  <c r="J143" s="1"/>
  <c r="O143"/>
  <c r="H143" i="12"/>
  <c r="J143" s="1"/>
  <c r="P143"/>
  <c r="H145"/>
  <c r="J145" s="1"/>
  <c r="P145"/>
  <c r="H32"/>
  <c r="J32" s="1"/>
  <c r="P32"/>
  <c r="H151"/>
  <c r="J151" s="1"/>
  <c r="P151"/>
  <c r="P60"/>
  <c r="H60"/>
  <c r="J60" s="1"/>
  <c r="I59"/>
  <c r="H120"/>
  <c r="J120" s="1"/>
  <c r="P120"/>
  <c r="H147"/>
  <c r="J147" s="1"/>
  <c r="P147"/>
  <c r="H153"/>
  <c r="J153" s="1"/>
  <c r="P153"/>
  <c r="H60" i="10"/>
  <c r="J60" s="1"/>
  <c r="I59"/>
  <c r="H60" i="9"/>
  <c r="J60" s="1"/>
  <c r="I59"/>
  <c r="H60" i="8"/>
  <c r="J60" s="1"/>
  <c r="I59"/>
  <c r="H60" i="7"/>
  <c r="J60" s="1"/>
  <c r="I59"/>
  <c r="H60" i="5"/>
  <c r="J60" s="1"/>
  <c r="O60"/>
  <c r="I59"/>
  <c r="I60"/>
  <c r="O60" i="4"/>
  <c r="H60"/>
  <c r="J60" s="1"/>
  <c r="I59"/>
  <c r="H60" i="3"/>
  <c r="J60" s="1"/>
  <c r="I60"/>
  <c r="I59"/>
  <c r="H60" i="2"/>
  <c r="J60" s="1"/>
  <c r="I60"/>
  <c r="I59"/>
  <c r="H60" i="19" l="1"/>
  <c r="J60" s="1"/>
  <c r="I59"/>
  <c r="I60"/>
  <c r="H60" i="16"/>
  <c r="J60" s="1"/>
  <c r="I59"/>
  <c r="I60"/>
  <c r="H32" i="13"/>
  <c r="J32" s="1"/>
  <c r="O32"/>
  <c r="AD42" i="44"/>
  <c r="AD38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G9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Q34" i="44" l="1"/>
  <c r="G160" i="31" l="1"/>
  <c r="G163"/>
  <c r="G162"/>
  <c r="G161"/>
  <c r="F171"/>
  <c r="F170"/>
  <c r="F169"/>
  <c r="F168"/>
  <c r="F167"/>
  <c r="F166"/>
  <c r="F165"/>
  <c r="G165"/>
  <c r="F164"/>
  <c r="G164" s="1"/>
  <c r="R4" i="44" l="1"/>
  <c r="R11" l="1"/>
  <c r="R9"/>
  <c r="R10"/>
  <c r="R8"/>
  <c r="BF34" i="1"/>
  <c r="BI34" s="1"/>
  <c r="BE34"/>
  <c r="BD34"/>
  <c r="BC34"/>
  <c r="BB34"/>
  <c r="BA34"/>
  <c r="AM34"/>
  <c r="T34"/>
  <c r="E34" l="1"/>
  <c r="F34"/>
  <c r="D34"/>
  <c r="D33"/>
  <c r="H90" i="31" l="1"/>
  <c r="N90" s="1"/>
  <c r="H89"/>
  <c r="N89" s="1"/>
  <c r="R12" i="44"/>
  <c r="R7"/>
  <c r="R5"/>
  <c r="R6"/>
  <c r="J89" i="31" l="1"/>
  <c r="J90"/>
  <c r="G88" l="1"/>
  <c r="G86"/>
  <c r="Q32" i="44"/>
  <c r="O30"/>
  <c r="Q27"/>
  <c r="O27"/>
  <c r="Q26"/>
  <c r="O26"/>
  <c r="Q10"/>
  <c r="Q7"/>
  <c r="Q12"/>
  <c r="G87" i="31"/>
  <c r="Q9" i="44"/>
  <c r="Q11"/>
  <c r="O32"/>
  <c r="P26" l="1"/>
  <c r="R26"/>
  <c r="R27"/>
  <c r="P27"/>
  <c r="P34"/>
  <c r="O13"/>
  <c r="O12"/>
  <c r="O11"/>
  <c r="O10"/>
  <c r="O9"/>
  <c r="P8"/>
  <c r="Q8"/>
  <c r="O8"/>
  <c r="P7"/>
  <c r="O7"/>
  <c r="O6"/>
  <c r="Q6"/>
  <c r="Q5"/>
  <c r="P5"/>
  <c r="P4"/>
  <c r="P6"/>
  <c r="O5"/>
  <c r="O4"/>
  <c r="Q4"/>
  <c r="O33"/>
  <c r="O31"/>
  <c r="O29"/>
  <c r="O28"/>
  <c r="O25"/>
  <c r="O24"/>
  <c r="O23"/>
  <c r="O22"/>
  <c r="O21"/>
  <c r="O20"/>
  <c r="O19"/>
  <c r="O18"/>
  <c r="O17"/>
  <c r="O16"/>
  <c r="O15"/>
  <c r="O14"/>
  <c r="P9"/>
  <c r="Q24"/>
  <c r="P15"/>
  <c r="R15"/>
  <c r="R25"/>
  <c r="P25"/>
  <c r="R14"/>
  <c r="P14"/>
  <c r="R24"/>
  <c r="P24"/>
  <c r="Q20"/>
  <c r="Q16"/>
  <c r="R33"/>
  <c r="P33"/>
  <c r="R13"/>
  <c r="P13"/>
  <c r="R22"/>
  <c r="P22"/>
  <c r="Q13"/>
  <c r="Q19"/>
  <c r="R28"/>
  <c r="P28"/>
  <c r="Q30"/>
  <c r="P31"/>
  <c r="R31"/>
  <c r="O34"/>
  <c r="R20"/>
  <c r="P20"/>
  <c r="Q14"/>
  <c r="R34"/>
  <c r="Q15"/>
  <c r="R18"/>
  <c r="P18"/>
  <c r="Q21"/>
  <c r="Q23"/>
  <c r="Q31"/>
  <c r="Q33"/>
  <c r="Q28"/>
  <c r="R16"/>
  <c r="P16"/>
  <c r="P12"/>
  <c r="R29"/>
  <c r="P29"/>
  <c r="R17"/>
  <c r="P17"/>
  <c r="R32"/>
  <c r="P32"/>
  <c r="P23"/>
  <c r="R23"/>
  <c r="P19"/>
  <c r="R19"/>
  <c r="Q18"/>
  <c r="Q17"/>
  <c r="R21"/>
  <c r="P21"/>
  <c r="P10"/>
  <c r="P11"/>
  <c r="Q29"/>
  <c r="Q25"/>
  <c r="Q22"/>
  <c r="R30"/>
  <c r="P30"/>
  <c r="H88" i="31" l="1"/>
  <c r="N88" s="1"/>
  <c r="H87"/>
  <c r="N87" s="1"/>
  <c r="H86"/>
  <c r="N86" s="1"/>
  <c r="J86" l="1"/>
  <c r="J87"/>
  <c r="J88"/>
  <c r="M12" i="44" l="1"/>
  <c r="L14" i="45"/>
  <c r="S12" i="44"/>
  <c r="T12"/>
  <c r="AJ12"/>
  <c r="AI12"/>
  <c r="L13" i="45" l="1"/>
  <c r="N27" i="31" l="1"/>
  <c r="A3" i="46"/>
  <c r="G79" i="31"/>
  <c r="G131"/>
  <c r="G132"/>
  <c r="G133"/>
  <c r="G135"/>
  <c r="G136"/>
  <c r="G137"/>
  <c r="G139"/>
  <c r="G140"/>
  <c r="G130"/>
  <c r="G125"/>
  <c r="G123"/>
  <c r="G105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31"/>
  <c r="G31" s="1"/>
  <c r="M34" i="1"/>
  <c r="AU34"/>
  <c r="AQ34"/>
  <c r="AH13" i="45"/>
  <c r="AI34" i="44"/>
  <c r="AC34" i="1"/>
  <c r="AX34"/>
  <c r="AP34"/>
  <c r="E27" i="31"/>
  <c r="G27" s="1"/>
  <c r="AZ34" i="1"/>
  <c r="AJ34" i="44"/>
  <c r="AW34" i="1"/>
  <c r="AR34"/>
  <c r="AH34"/>
  <c r="AT34"/>
  <c r="AH14" i="45"/>
  <c r="E30" i="31"/>
  <c r="G30" s="1"/>
  <c r="AY34" i="1"/>
  <c r="S34" i="44"/>
  <c r="T34"/>
  <c r="I34" i="1"/>
  <c r="AB34"/>
  <c r="AD34"/>
  <c r="AA34"/>
  <c r="G68" i="31"/>
  <c r="G170"/>
  <c r="G67"/>
  <c r="G66"/>
  <c r="G168"/>
  <c r="G64"/>
  <c r="G166"/>
  <c r="M34" i="44"/>
  <c r="BG34" i="1"/>
  <c r="AV34"/>
  <c r="AS34"/>
  <c r="G34"/>
  <c r="H34"/>
  <c r="K34" s="1"/>
  <c r="X34"/>
  <c r="AL34"/>
  <c r="AO34" s="1"/>
  <c r="AI34"/>
  <c r="Y34"/>
  <c r="W3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BM34" i="1" l="1"/>
  <c r="N28" i="31"/>
  <c r="BN34" i="1"/>
  <c r="AE34"/>
  <c r="G172" i="31"/>
  <c r="BJ34" i="1"/>
  <c r="AF34"/>
  <c r="BK34"/>
  <c r="I13" i="31"/>
  <c r="G32"/>
  <c r="G143"/>
  <c r="G145"/>
  <c r="G149"/>
  <c r="F120"/>
  <c r="G120"/>
  <c r="G60"/>
  <c r="G153"/>
  <c r="G147"/>
  <c r="G151"/>
  <c r="AG34" i="1" l="1"/>
  <c r="I60" i="31"/>
  <c r="I59"/>
  <c r="AI24" i="45" l="1"/>
  <c r="AI26"/>
  <c r="S22" i="44" l="1"/>
  <c r="F4" i="45" l="1"/>
  <c r="E4"/>
  <c r="D4"/>
  <c r="J4" i="1" l="1"/>
  <c r="F2" i="47" s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M14" i="44" l="1"/>
  <c r="G33" i="1"/>
  <c r="G14" i="45" l="1"/>
  <c r="G22"/>
  <c r="G21"/>
  <c r="G20"/>
  <c r="G18"/>
  <c r="G16"/>
  <c r="H14"/>
  <c r="H22"/>
  <c r="H21"/>
  <c r="H20"/>
  <c r="H18"/>
  <c r="H17"/>
  <c r="H16"/>
  <c r="I14"/>
  <c r="I13"/>
  <c r="I22"/>
  <c r="I20"/>
  <c r="I18"/>
  <c r="I16"/>
  <c r="J14"/>
  <c r="J13"/>
  <c r="J22"/>
  <c r="J21"/>
  <c r="J20"/>
  <c r="J18"/>
  <c r="J17"/>
  <c r="J16"/>
  <c r="K14"/>
  <c r="K13"/>
  <c r="K22"/>
  <c r="K21"/>
  <c r="K20"/>
  <c r="K17"/>
  <c r="K16"/>
  <c r="L22"/>
  <c r="L21"/>
  <c r="L20"/>
  <c r="L18"/>
  <c r="L17"/>
  <c r="L16"/>
  <c r="M14"/>
  <c r="M13"/>
  <c r="M22"/>
  <c r="M21"/>
  <c r="M18"/>
  <c r="M17"/>
  <c r="N13"/>
  <c r="P14"/>
  <c r="P22"/>
  <c r="P21"/>
  <c r="P20"/>
  <c r="P18"/>
  <c r="P17"/>
  <c r="P16"/>
  <c r="Q14"/>
  <c r="Q13"/>
  <c r="Q22"/>
  <c r="Q21"/>
  <c r="Q20"/>
  <c r="Q18"/>
  <c r="Q17"/>
  <c r="Q16"/>
  <c r="R14"/>
  <c r="R13"/>
  <c r="R22"/>
  <c r="R21"/>
  <c r="R20"/>
  <c r="R18"/>
  <c r="R17"/>
  <c r="R16"/>
  <c r="S14"/>
  <c r="S22"/>
  <c r="S21"/>
  <c r="S20"/>
  <c r="S18"/>
  <c r="S17"/>
  <c r="S16"/>
  <c r="T14"/>
  <c r="T22"/>
  <c r="T21"/>
  <c r="T20"/>
  <c r="T18"/>
  <c r="T17"/>
  <c r="T16"/>
  <c r="U14"/>
  <c r="U13"/>
  <c r="U22"/>
  <c r="U21"/>
  <c r="U20"/>
  <c r="U18"/>
  <c r="U17"/>
  <c r="U16"/>
  <c r="V14"/>
  <c r="V22"/>
  <c r="V21"/>
  <c r="V20"/>
  <c r="V18"/>
  <c r="V17"/>
  <c r="V16"/>
  <c r="W14"/>
  <c r="W22"/>
  <c r="W21"/>
  <c r="W20"/>
  <c r="W18"/>
  <c r="W17"/>
  <c r="W16"/>
  <c r="X14"/>
  <c r="X22"/>
  <c r="X21"/>
  <c r="X20"/>
  <c r="X18"/>
  <c r="X17"/>
  <c r="X16"/>
  <c r="Z14"/>
  <c r="Z13"/>
  <c r="Z22"/>
  <c r="Z21"/>
  <c r="Z20"/>
  <c r="Z18"/>
  <c r="Z17"/>
  <c r="Z16"/>
  <c r="AA14"/>
  <c r="AA22"/>
  <c r="AA21"/>
  <c r="AA20"/>
  <c r="AA18"/>
  <c r="AA17"/>
  <c r="AA16"/>
  <c r="AB14"/>
  <c r="AB22"/>
  <c r="AB21"/>
  <c r="AB20"/>
  <c r="AB18"/>
  <c r="AB17"/>
  <c r="AB16"/>
  <c r="AC14"/>
  <c r="AC13"/>
  <c r="AC22"/>
  <c r="AC21"/>
  <c r="AC20"/>
  <c r="AC18"/>
  <c r="AC17"/>
  <c r="AC16"/>
  <c r="AD14"/>
  <c r="AD22"/>
  <c r="AD21"/>
  <c r="AD20"/>
  <c r="AD18"/>
  <c r="AD17"/>
  <c r="AD16"/>
  <c r="AE14"/>
  <c r="AE22"/>
  <c r="AE21"/>
  <c r="AE20"/>
  <c r="AE18"/>
  <c r="AE17"/>
  <c r="AE16"/>
  <c r="AG14"/>
  <c r="AG13"/>
  <c r="AG22"/>
  <c r="AG21"/>
  <c r="AG20"/>
  <c r="AG18"/>
  <c r="AG17"/>
  <c r="AG16"/>
  <c r="AH22"/>
  <c r="AH21"/>
  <c r="AH20"/>
  <c r="AH18"/>
  <c r="AH17"/>
  <c r="AH16"/>
  <c r="F14"/>
  <c r="F13"/>
  <c r="F22"/>
  <c r="F21"/>
  <c r="F20"/>
  <c r="F18"/>
  <c r="F17"/>
  <c r="F16"/>
  <c r="D14"/>
  <c r="D13"/>
  <c r="E14"/>
  <c r="E22"/>
  <c r="E21"/>
  <c r="E20"/>
  <c r="E18"/>
  <c r="E17"/>
  <c r="E16"/>
  <c r="G13" l="1"/>
  <c r="E13"/>
  <c r="N14"/>
  <c r="Y22"/>
  <c r="H13"/>
  <c r="Y16"/>
  <c r="AF14"/>
  <c r="AF13"/>
  <c r="AE13"/>
  <c r="AD13"/>
  <c r="AB13"/>
  <c r="AA13"/>
  <c r="Y14"/>
  <c r="Y13"/>
  <c r="Y21"/>
  <c r="Y18"/>
  <c r="Y17"/>
  <c r="X13"/>
  <c r="W13"/>
  <c r="V13"/>
  <c r="T13"/>
  <c r="S13"/>
  <c r="O14"/>
  <c r="P13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N18"/>
  <c r="N17"/>
  <c r="N22"/>
  <c r="N16"/>
  <c r="N21"/>
  <c r="M16"/>
  <c r="M20"/>
  <c r="I21"/>
  <c r="K18"/>
  <c r="I17"/>
  <c r="G17"/>
  <c r="Y20"/>
  <c r="H114" i="31" l="1"/>
  <c r="J114" l="1"/>
  <c r="N114"/>
  <c r="BF33" i="1" l="1"/>
  <c r="BI33" s="1"/>
  <c r="BE33"/>
  <c r="BD33"/>
  <c r="BC33"/>
  <c r="BB33"/>
  <c r="BA33"/>
  <c r="T33"/>
  <c r="F33"/>
  <c r="K31" i="47" s="1"/>
  <c r="E33" i="1"/>
  <c r="H11"/>
  <c r="K11" s="1"/>
  <c r="H12"/>
  <c r="K12" s="1"/>
  <c r="H13"/>
  <c r="K13" s="1"/>
  <c r="H33" l="1"/>
  <c r="K33" s="1"/>
  <c r="H18"/>
  <c r="K18" s="1"/>
  <c r="H27"/>
  <c r="K27" s="1"/>
  <c r="H28"/>
  <c r="K28" s="1"/>
  <c r="H30"/>
  <c r="K30" s="1"/>
  <c r="H14"/>
  <c r="K14" s="1"/>
  <c r="H31"/>
  <c r="K31" s="1"/>
  <c r="H23"/>
  <c r="K23" s="1"/>
  <c r="H15"/>
  <c r="K15" s="1"/>
  <c r="H25"/>
  <c r="K25" s="1"/>
  <c r="H17"/>
  <c r="K17" s="1"/>
  <c r="H26"/>
  <c r="K26" s="1"/>
  <c r="H19"/>
  <c r="K19" s="1"/>
  <c r="H20"/>
  <c r="K20" s="1"/>
  <c r="H29"/>
  <c r="K29" s="1"/>
  <c r="H21"/>
  <c r="K21" s="1"/>
  <c r="H22"/>
  <c r="K22" s="1"/>
  <c r="H32"/>
  <c r="K32" s="1"/>
  <c r="H24"/>
  <c r="K24" s="1"/>
  <c r="H16"/>
  <c r="K16" s="1"/>
  <c r="H4"/>
  <c r="K4" s="1"/>
  <c r="H10"/>
  <c r="K10" s="1"/>
  <c r="H9"/>
  <c r="K9" s="1"/>
  <c r="H8"/>
  <c r="K8" s="1"/>
  <c r="H7"/>
  <c r="K7" s="1"/>
  <c r="H6"/>
  <c r="K6" s="1"/>
  <c r="H5"/>
  <c r="K5" s="1"/>
  <c r="W5" i="45" l="1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G35" l="1"/>
  <c r="N27" i="44" l="1"/>
  <c r="AI27" l="1"/>
  <c r="AL27"/>
  <c r="AJ27"/>
  <c r="AG27"/>
  <c r="AF27"/>
  <c r="AE27"/>
  <c r="AD27"/>
  <c r="AC27"/>
  <c r="AA12" i="45"/>
  <c r="AA26" s="1"/>
  <c r="AA10"/>
  <c r="AA9"/>
  <c r="AA8"/>
  <c r="AA28" s="1"/>
  <c r="AA7"/>
  <c r="AA27" i="44"/>
  <c r="L27"/>
  <c r="K27"/>
  <c r="J27"/>
  <c r="I27"/>
  <c r="H27"/>
  <c r="G27"/>
  <c r="F27"/>
  <c r="E27"/>
  <c r="D27"/>
  <c r="Z27"/>
  <c r="Y27"/>
  <c r="X27"/>
  <c r="W27"/>
  <c r="V27"/>
  <c r="U27"/>
  <c r="T27"/>
  <c r="S27"/>
  <c r="M27"/>
  <c r="AA29" i="45" l="1"/>
  <c r="AA30" s="1"/>
  <c r="AA5"/>
  <c r="AK27" i="44"/>
  <c r="AM27" s="1"/>
  <c r="AA24" i="45"/>
  <c r="AA6"/>
  <c r="M27" i="1"/>
  <c r="G25" i="47" s="1"/>
  <c r="AB27" i="44"/>
  <c r="AH27" l="1"/>
  <c r="AO27" s="1"/>
  <c r="S10" i="45" l="1"/>
  <c r="AW9" i="1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AA33" i="1"/>
  <c r="AC33"/>
  <c r="AD33"/>
  <c r="AJ33" i="44"/>
  <c r="AD33"/>
  <c r="AE33"/>
  <c r="AF33"/>
  <c r="AG33"/>
  <c r="AG12" i="45"/>
  <c r="AG26" s="1"/>
  <c r="AG7"/>
  <c r="C33" i="44"/>
  <c r="D33"/>
  <c r="E33"/>
  <c r="F33"/>
  <c r="G33"/>
  <c r="H33"/>
  <c r="I33"/>
  <c r="J33"/>
  <c r="K33"/>
  <c r="L33"/>
  <c r="N33"/>
  <c r="AA33"/>
  <c r="B33"/>
  <c r="BG33" i="1"/>
  <c r="AA12" i="44"/>
  <c r="X27" i="1"/>
  <c r="Y27"/>
  <c r="M21" i="44"/>
  <c r="BC20" i="1"/>
  <c r="BE20"/>
  <c r="AD18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AW13" i="1"/>
  <c r="AB12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BK27" i="1"/>
  <c r="AZ27"/>
  <c r="AR27"/>
  <c r="AS27"/>
  <c r="AW27"/>
  <c r="AY27"/>
  <c r="AG22" i="44"/>
  <c r="AF22"/>
  <c r="AE22"/>
  <c r="V8" i="45"/>
  <c r="V28" s="1"/>
  <c r="V12"/>
  <c r="V26" s="1"/>
  <c r="AI14" i="44"/>
  <c r="BD14" i="1"/>
  <c r="BE14"/>
  <c r="BF14"/>
  <c r="BG14"/>
  <c r="BH14"/>
  <c r="M9" i="45"/>
  <c r="M12"/>
  <c r="M26" s="1"/>
  <c r="C13" i="44"/>
  <c r="D13"/>
  <c r="E13"/>
  <c r="F13"/>
  <c r="G13"/>
  <c r="H13"/>
  <c r="I13"/>
  <c r="J13"/>
  <c r="K13"/>
  <c r="L13"/>
  <c r="N13"/>
  <c r="AA13"/>
  <c r="BC13" i="1"/>
  <c r="BD13"/>
  <c r="BE13"/>
  <c r="BF13"/>
  <c r="BG13"/>
  <c r="BH13"/>
  <c r="M13" i="44"/>
  <c r="AW10" i="1"/>
  <c r="BA10"/>
  <c r="BB10"/>
  <c r="BC10"/>
  <c r="BD10"/>
  <c r="BE10"/>
  <c r="BF10"/>
  <c r="BH10"/>
  <c r="M10" i="44"/>
  <c r="S10"/>
  <c r="T10"/>
  <c r="U10"/>
  <c r="V10"/>
  <c r="W10"/>
  <c r="X10"/>
  <c r="Y10"/>
  <c r="C10"/>
  <c r="D10"/>
  <c r="E10"/>
  <c r="F10"/>
  <c r="G10"/>
  <c r="H10"/>
  <c r="I10"/>
  <c r="J10"/>
  <c r="K10"/>
  <c r="L10"/>
  <c r="N10"/>
  <c r="J7" i="45"/>
  <c r="J8"/>
  <c r="J28" s="1"/>
  <c r="J12"/>
  <c r="J26" s="1"/>
  <c r="AD10" i="44"/>
  <c r="AE10"/>
  <c r="AF10"/>
  <c r="AG10"/>
  <c r="AB10" i="1"/>
  <c r="AC10"/>
  <c r="AJ10" i="44"/>
  <c r="AK10"/>
  <c r="AL10" i="1"/>
  <c r="AI10" i="44"/>
  <c r="F12" i="45"/>
  <c r="F26" s="1"/>
  <c r="F8"/>
  <c r="F28" s="1"/>
  <c r="A5" i="46"/>
  <c r="F5" i="45"/>
  <c r="AU6" i="1"/>
  <c r="BB6"/>
  <c r="BD6"/>
  <c r="BH6"/>
  <c r="M6" i="44"/>
  <c r="S6"/>
  <c r="T6"/>
  <c r="U6"/>
  <c r="V6"/>
  <c r="W6"/>
  <c r="X6"/>
  <c r="Y6"/>
  <c r="B6"/>
  <c r="C6"/>
  <c r="D6"/>
  <c r="E6"/>
  <c r="F6"/>
  <c r="G6"/>
  <c r="H6"/>
  <c r="I6"/>
  <c r="J6"/>
  <c r="K6"/>
  <c r="L6"/>
  <c r="N6"/>
  <c r="AA6"/>
  <c r="F7" i="45"/>
  <c r="AD6" i="44"/>
  <c r="AE6"/>
  <c r="AF6"/>
  <c r="AG6"/>
  <c r="AB6" i="1"/>
  <c r="AD6"/>
  <c r="AJ6" i="44"/>
  <c r="AK6"/>
  <c r="AL6" i="1"/>
  <c r="AI6" i="44"/>
  <c r="J16" i="35"/>
  <c r="U11" i="44"/>
  <c r="A6" i="46"/>
  <c r="C24" i="44"/>
  <c r="D24"/>
  <c r="E24"/>
  <c r="F24"/>
  <c r="G24"/>
  <c r="H24"/>
  <c r="I24"/>
  <c r="J24"/>
  <c r="K24"/>
  <c r="L24"/>
  <c r="N24"/>
  <c r="BB19" i="1"/>
  <c r="BD19"/>
  <c r="BE19"/>
  <c r="BF19"/>
  <c r="BG19"/>
  <c r="BH19"/>
  <c r="M19" i="44"/>
  <c r="AW19" i="1"/>
  <c r="AJ15" i="44"/>
  <c r="AI15"/>
  <c r="N16"/>
  <c r="L16"/>
  <c r="K16"/>
  <c r="J16"/>
  <c r="I16"/>
  <c r="H16"/>
  <c r="G16"/>
  <c r="F16"/>
  <c r="E16"/>
  <c r="D16"/>
  <c r="C16"/>
  <c r="B12"/>
  <c r="N11"/>
  <c r="L11"/>
  <c r="K11"/>
  <c r="J11"/>
  <c r="I11"/>
  <c r="H11"/>
  <c r="G11"/>
  <c r="F11"/>
  <c r="E11"/>
  <c r="D11"/>
  <c r="C11"/>
  <c r="B11"/>
  <c r="N9"/>
  <c r="L9"/>
  <c r="K9"/>
  <c r="J9"/>
  <c r="I9"/>
  <c r="H9"/>
  <c r="G9"/>
  <c r="F9"/>
  <c r="E9"/>
  <c r="D9"/>
  <c r="C9"/>
  <c r="B9"/>
  <c r="N8"/>
  <c r="L8"/>
  <c r="K8"/>
  <c r="J8"/>
  <c r="I8"/>
  <c r="H8"/>
  <c r="G8"/>
  <c r="F8"/>
  <c r="E8"/>
  <c r="D8"/>
  <c r="C8"/>
  <c r="B8"/>
  <c r="AA7"/>
  <c r="N7"/>
  <c r="L7"/>
  <c r="K7"/>
  <c r="J7"/>
  <c r="I7"/>
  <c r="H7"/>
  <c r="G7"/>
  <c r="F7"/>
  <c r="C7"/>
  <c r="B7"/>
  <c r="N5"/>
  <c r="L5"/>
  <c r="K5"/>
  <c r="J5"/>
  <c r="I5"/>
  <c r="H5"/>
  <c r="G5"/>
  <c r="F5"/>
  <c r="E5"/>
  <c r="D5"/>
  <c r="C5"/>
  <c r="B5"/>
  <c r="AA13" i="1"/>
  <c r="AB13"/>
  <c r="AD13"/>
  <c r="AJ13" i="44"/>
  <c r="AL13" i="1"/>
  <c r="AD13" i="44"/>
  <c r="AE13"/>
  <c r="AF13"/>
  <c r="AG13"/>
  <c r="AD11"/>
  <c r="AE11"/>
  <c r="AF11"/>
  <c r="AG11"/>
  <c r="BL36" i="1"/>
  <c r="D32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J32" i="44"/>
  <c r="T32"/>
  <c r="AL31" i="1"/>
  <c r="AK31" i="44"/>
  <c r="AJ31"/>
  <c r="AD31" i="1"/>
  <c r="AC31"/>
  <c r="AB31"/>
  <c r="AA31"/>
  <c r="AG31" i="44"/>
  <c r="AF31"/>
  <c r="AE31"/>
  <c r="AD31"/>
  <c r="AC31"/>
  <c r="AE12" i="45"/>
  <c r="AE26" s="1"/>
  <c r="AE8"/>
  <c r="AE28" s="1"/>
  <c r="AE7"/>
  <c r="AA31" i="44"/>
  <c r="N31"/>
  <c r="L31"/>
  <c r="K31"/>
  <c r="J31"/>
  <c r="I31"/>
  <c r="H31"/>
  <c r="G31"/>
  <c r="F31"/>
  <c r="E31"/>
  <c r="D31"/>
  <c r="C31"/>
  <c r="B31"/>
  <c r="Z31"/>
  <c r="Y31"/>
  <c r="X31"/>
  <c r="W31"/>
  <c r="V31"/>
  <c r="U31"/>
  <c r="T31"/>
  <c r="M31"/>
  <c r="BH31" i="1"/>
  <c r="BG31"/>
  <c r="BE31"/>
  <c r="BB31"/>
  <c r="BA31"/>
  <c r="AW31"/>
  <c r="AJ30" i="44"/>
  <c r="AC30" i="1"/>
  <c r="AB30"/>
  <c r="AA30"/>
  <c r="AG30" i="44"/>
  <c r="AF30"/>
  <c r="AE30"/>
  <c r="AD30"/>
  <c r="AD12" i="45"/>
  <c r="AD26" s="1"/>
  <c r="AD9"/>
  <c r="AD8"/>
  <c r="AD28" s="1"/>
  <c r="AD7"/>
  <c r="N30" i="44"/>
  <c r="L30"/>
  <c r="K30"/>
  <c r="J30"/>
  <c r="I30"/>
  <c r="H30"/>
  <c r="G30"/>
  <c r="F30"/>
  <c r="E30"/>
  <c r="D30"/>
  <c r="C30"/>
  <c r="B30"/>
  <c r="BG30" i="1"/>
  <c r="BE30"/>
  <c r="AQ30"/>
  <c r="AL29"/>
  <c r="AJ29" i="44"/>
  <c r="AD29" i="1"/>
  <c r="AC29"/>
  <c r="AB29"/>
  <c r="AA29"/>
  <c r="AG29" i="44"/>
  <c r="AF29"/>
  <c r="AE29"/>
  <c r="AD29"/>
  <c r="AC12" i="45"/>
  <c r="AC26" s="1"/>
  <c r="AC8"/>
  <c r="AC28" s="1"/>
  <c r="AC7"/>
  <c r="N29" i="44"/>
  <c r="L29"/>
  <c r="K29"/>
  <c r="J29"/>
  <c r="I29"/>
  <c r="H29"/>
  <c r="G29"/>
  <c r="F29"/>
  <c r="E29"/>
  <c r="D29"/>
  <c r="C29"/>
  <c r="B29"/>
  <c r="BG29" i="1"/>
  <c r="BE29"/>
  <c r="BD29"/>
  <c r="BB29"/>
  <c r="BA29"/>
  <c r="AI28" i="44"/>
  <c r="AL28"/>
  <c r="AK28"/>
  <c r="AJ28"/>
  <c r="AD28" i="1"/>
  <c r="AC28"/>
  <c r="AB28"/>
  <c r="AA28"/>
  <c r="AG28" i="44"/>
  <c r="AF28"/>
  <c r="AE28"/>
  <c r="AD28"/>
  <c r="AB12" i="45"/>
  <c r="AB26" s="1"/>
  <c r="AB8"/>
  <c r="AB28" s="1"/>
  <c r="AB7"/>
  <c r="N28" i="44"/>
  <c r="L28"/>
  <c r="K28"/>
  <c r="J28"/>
  <c r="I28"/>
  <c r="H28"/>
  <c r="G28"/>
  <c r="F28"/>
  <c r="E28"/>
  <c r="D28"/>
  <c r="C28"/>
  <c r="B28"/>
  <c r="BH28" i="1"/>
  <c r="BG28"/>
  <c r="BF28"/>
  <c r="BD28"/>
  <c r="BC28"/>
  <c r="BB28"/>
  <c r="BA28"/>
  <c r="AM28"/>
  <c r="AL27"/>
  <c r="AD27"/>
  <c r="AB27"/>
  <c r="AA27"/>
  <c r="AP27"/>
  <c r="BH27"/>
  <c r="BG27"/>
  <c r="BF27"/>
  <c r="BD27"/>
  <c r="BB27"/>
  <c r="BI27"/>
  <c r="BA27"/>
  <c r="AQ27"/>
  <c r="AL28"/>
  <c r="AJ26" i="44"/>
  <c r="AD26" i="1"/>
  <c r="AC26"/>
  <c r="AB26"/>
  <c r="AA26"/>
  <c r="AG26" i="44"/>
  <c r="AF26"/>
  <c r="AE26"/>
  <c r="AD26"/>
  <c r="Z12" i="45"/>
  <c r="Z26" s="1"/>
  <c r="Z8"/>
  <c r="Z28" s="1"/>
  <c r="Z7"/>
  <c r="N26" i="44"/>
  <c r="L26"/>
  <c r="K26"/>
  <c r="J26"/>
  <c r="I26"/>
  <c r="H26"/>
  <c r="G26"/>
  <c r="F26"/>
  <c r="E26"/>
  <c r="D26"/>
  <c r="M26"/>
  <c r="BH26" i="1"/>
  <c r="BG26"/>
  <c r="BF26"/>
  <c r="BE26"/>
  <c r="BD26"/>
  <c r="BC26"/>
  <c r="BB26"/>
  <c r="BA26"/>
  <c r="AW26"/>
  <c r="AL24"/>
  <c r="AL24" i="44"/>
  <c r="AJ24"/>
  <c r="AD24" i="1"/>
  <c r="AB24"/>
  <c r="AA24"/>
  <c r="AG24" i="44"/>
  <c r="AF24"/>
  <c r="AE24"/>
  <c r="AD24"/>
  <c r="X12" i="45"/>
  <c r="X26" s="1"/>
  <c r="X8"/>
  <c r="X28" s="1"/>
  <c r="X7"/>
  <c r="B24" i="44"/>
  <c r="AL23" i="1"/>
  <c r="AL23" i="44"/>
  <c r="AJ23"/>
  <c r="AD23" i="1"/>
  <c r="AB23"/>
  <c r="AA23"/>
  <c r="AG23" i="44"/>
  <c r="AF23"/>
  <c r="AE23"/>
  <c r="AD23"/>
  <c r="W12" i="45"/>
  <c r="W26" s="1"/>
  <c r="W8"/>
  <c r="W28" s="1"/>
  <c r="W7"/>
  <c r="N23" i="44"/>
  <c r="L23"/>
  <c r="K23"/>
  <c r="J23"/>
  <c r="I23"/>
  <c r="H23"/>
  <c r="G23"/>
  <c r="F23"/>
  <c r="E23"/>
  <c r="D23"/>
  <c r="C23"/>
  <c r="B23"/>
  <c r="AL22" i="1"/>
  <c r="AJ22" i="44"/>
  <c r="AD22" i="1"/>
  <c r="AB22"/>
  <c r="AA22"/>
  <c r="AD22" i="44"/>
  <c r="V7" i="45"/>
  <c r="N22" i="44"/>
  <c r="L22"/>
  <c r="K22"/>
  <c r="J22"/>
  <c r="I22"/>
  <c r="H22"/>
  <c r="G22"/>
  <c r="F22"/>
  <c r="E22"/>
  <c r="D22"/>
  <c r="C22"/>
  <c r="B22"/>
  <c r="BH22" i="1"/>
  <c r="BG22"/>
  <c r="BF22"/>
  <c r="BE22"/>
  <c r="BD22"/>
  <c r="BB22"/>
  <c r="BA22"/>
  <c r="AJ21" i="44"/>
  <c r="AG21"/>
  <c r="AF21"/>
  <c r="AE21"/>
  <c r="AD21"/>
  <c r="U12" i="45"/>
  <c r="U26" s="1"/>
  <c r="U8"/>
  <c r="U28" s="1"/>
  <c r="U7"/>
  <c r="N21" i="44"/>
  <c r="L21"/>
  <c r="K21"/>
  <c r="J21"/>
  <c r="I21"/>
  <c r="H21"/>
  <c r="G21"/>
  <c r="F21"/>
  <c r="E21"/>
  <c r="D21"/>
  <c r="C21"/>
  <c r="BH21" i="1"/>
  <c r="BG21"/>
  <c r="BD21"/>
  <c r="BB21"/>
  <c r="AW21"/>
  <c r="AI20" i="44"/>
  <c r="AJ20"/>
  <c r="AG20"/>
  <c r="AF20"/>
  <c r="AE20"/>
  <c r="AD20"/>
  <c r="T12" i="45"/>
  <c r="T26" s="1"/>
  <c r="T8"/>
  <c r="T7"/>
  <c r="N20" i="44"/>
  <c r="L20"/>
  <c r="K20"/>
  <c r="J20"/>
  <c r="I20"/>
  <c r="H20"/>
  <c r="G20"/>
  <c r="F20"/>
  <c r="E20"/>
  <c r="D20"/>
  <c r="C20"/>
  <c r="M20"/>
  <c r="BF20" i="1"/>
  <c r="BD20"/>
  <c r="BB20"/>
  <c r="AL19"/>
  <c r="AJ19" i="44"/>
  <c r="AD19" i="1"/>
  <c r="AC19"/>
  <c r="AB19"/>
  <c r="AA19"/>
  <c r="AG19" i="44"/>
  <c r="AF19"/>
  <c r="AE19"/>
  <c r="AD19"/>
  <c r="S12" i="45"/>
  <c r="S26" s="1"/>
  <c r="S8"/>
  <c r="S28" s="1"/>
  <c r="S7"/>
  <c r="N19" i="44"/>
  <c r="L19"/>
  <c r="K19"/>
  <c r="J19"/>
  <c r="I19"/>
  <c r="H19"/>
  <c r="G19"/>
  <c r="F19"/>
  <c r="E19"/>
  <c r="D19"/>
  <c r="C19"/>
  <c r="B19"/>
  <c r="Z19"/>
  <c r="Y19"/>
  <c r="X19"/>
  <c r="W19"/>
  <c r="V19"/>
  <c r="T19"/>
  <c r="S19"/>
  <c r="AL18" i="1"/>
  <c r="AJ18" i="44"/>
  <c r="AB18" i="1"/>
  <c r="AA18"/>
  <c r="AG18" i="44"/>
  <c r="AF18"/>
  <c r="AE18"/>
  <c r="AD18"/>
  <c r="R12" i="45"/>
  <c r="R26" s="1"/>
  <c r="R8"/>
  <c r="R28" s="1"/>
  <c r="R7"/>
  <c r="N18" i="44"/>
  <c r="L18"/>
  <c r="K18"/>
  <c r="J18"/>
  <c r="I18"/>
  <c r="H18"/>
  <c r="G18"/>
  <c r="F18"/>
  <c r="E18"/>
  <c r="D18"/>
  <c r="B18"/>
  <c r="Y18"/>
  <c r="X18"/>
  <c r="W18"/>
  <c r="V18"/>
  <c r="U18"/>
  <c r="T18"/>
  <c r="S18"/>
  <c r="M18"/>
  <c r="BH18" i="1"/>
  <c r="BG18"/>
  <c r="BF18"/>
  <c r="BE18"/>
  <c r="BD18"/>
  <c r="BB18"/>
  <c r="BI18"/>
  <c r="AZ18"/>
  <c r="AL17"/>
  <c r="AJ17" i="44"/>
  <c r="AD17" i="1"/>
  <c r="AB17"/>
  <c r="AA17"/>
  <c r="AG17" i="44"/>
  <c r="AF17"/>
  <c r="AE17"/>
  <c r="AD17"/>
  <c r="Q12" i="45"/>
  <c r="Q26" s="1"/>
  <c r="Q8"/>
  <c r="Q28" s="1"/>
  <c r="Q7"/>
  <c r="BH17" i="1"/>
  <c r="BF17"/>
  <c r="BE17"/>
  <c r="BD17"/>
  <c r="BB17"/>
  <c r="BA17"/>
  <c r="AL16"/>
  <c r="AL16" i="44"/>
  <c r="AJ16"/>
  <c r="AD16" i="1"/>
  <c r="AC16"/>
  <c r="AB16"/>
  <c r="AA16"/>
  <c r="AG16" i="44"/>
  <c r="AF16"/>
  <c r="AE16"/>
  <c r="AD16"/>
  <c r="P12" i="45"/>
  <c r="P26" s="1"/>
  <c r="P10"/>
  <c r="P8"/>
  <c r="P28" s="1"/>
  <c r="P7"/>
  <c r="BH16" i="1"/>
  <c r="BG16"/>
  <c r="BF16"/>
  <c r="BE16"/>
  <c r="BD16"/>
  <c r="BB16"/>
  <c r="BA16"/>
  <c r="BA14"/>
  <c r="AC13" i="44"/>
  <c r="BA13" i="1"/>
  <c r="AA12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AL11"/>
  <c r="AJ11" i="44"/>
  <c r="AD11" i="1"/>
  <c r="AC11"/>
  <c r="AB11"/>
  <c r="AA11"/>
  <c r="K12" i="45"/>
  <c r="K26" s="1"/>
  <c r="K9"/>
  <c r="K8"/>
  <c r="K28" s="1"/>
  <c r="K7"/>
  <c r="Y11" i="44"/>
  <c r="X11"/>
  <c r="W11"/>
  <c r="V11"/>
  <c r="T11"/>
  <c r="S11"/>
  <c r="M11"/>
  <c r="BH11" i="1"/>
  <c r="BG11"/>
  <c r="BF11"/>
  <c r="BE11"/>
  <c r="BD11"/>
  <c r="BB11"/>
  <c r="AW11"/>
  <c r="AI9" i="44"/>
  <c r="AL9" i="1"/>
  <c r="AK9" i="44"/>
  <c r="AJ9"/>
  <c r="AD9" i="1"/>
  <c r="AC9"/>
  <c r="AB9"/>
  <c r="AG9" i="44"/>
  <c r="AF9"/>
  <c r="AE9"/>
  <c r="AD9"/>
  <c r="I12" i="45"/>
  <c r="I26" s="1"/>
  <c r="I9"/>
  <c r="I8"/>
  <c r="I28" s="1"/>
  <c r="I7"/>
  <c r="Y9" i="44"/>
  <c r="X9"/>
  <c r="W9"/>
  <c r="V9"/>
  <c r="U9"/>
  <c r="T9"/>
  <c r="S9"/>
  <c r="M9"/>
  <c r="BH9" i="1"/>
  <c r="BG9"/>
  <c r="BF9"/>
  <c r="BE9"/>
  <c r="BD9"/>
  <c r="BC9"/>
  <c r="BA9"/>
  <c r="AA8"/>
  <c r="AB8"/>
  <c r="AD8"/>
  <c r="AJ8" i="44"/>
  <c r="AD8"/>
  <c r="AE8"/>
  <c r="AF8"/>
  <c r="AG8"/>
  <c r="H12" i="45"/>
  <c r="H26" s="1"/>
  <c r="H8"/>
  <c r="H28" s="1"/>
  <c r="H7"/>
  <c r="T8" i="44"/>
  <c r="U8"/>
  <c r="V8"/>
  <c r="W8"/>
  <c r="X8"/>
  <c r="Y8"/>
  <c r="Z8"/>
  <c r="S8"/>
  <c r="BB8" i="1"/>
  <c r="BC8"/>
  <c r="BD8"/>
  <c r="BE8"/>
  <c r="BF8"/>
  <c r="BG8"/>
  <c r="BH8"/>
  <c r="M8" i="44"/>
  <c r="BA8" i="1"/>
  <c r="AW8"/>
  <c r="AC7"/>
  <c r="AJ7" i="44"/>
  <c r="AK7"/>
  <c r="AD7"/>
  <c r="AE7"/>
  <c r="AF7"/>
  <c r="AG7"/>
  <c r="G8" i="45"/>
  <c r="G28" s="1"/>
  <c r="G12"/>
  <c r="G26" s="1"/>
  <c r="G7"/>
  <c r="T7" i="44"/>
  <c r="U7"/>
  <c r="V7"/>
  <c r="W7"/>
  <c r="X7"/>
  <c r="Y7"/>
  <c r="S7"/>
  <c r="BC7" i="1"/>
  <c r="BD7"/>
  <c r="BE7"/>
  <c r="BF7"/>
  <c r="BH7"/>
  <c r="M7" i="44"/>
  <c r="AW7" i="1"/>
  <c r="AL30"/>
  <c r="AC27"/>
  <c r="AU27"/>
  <c r="AU21"/>
  <c r="U19" i="44"/>
  <c r="AK5"/>
  <c r="AJ5"/>
  <c r="AD5" i="1"/>
  <c r="AB5"/>
  <c r="AG5" i="44"/>
  <c r="AF5"/>
  <c r="AE5"/>
  <c r="AD5"/>
  <c r="E12" i="45"/>
  <c r="E26" s="1"/>
  <c r="E8"/>
  <c r="E28" s="1"/>
  <c r="E7"/>
  <c r="Y5" i="44"/>
  <c r="X5"/>
  <c r="W5"/>
  <c r="V5"/>
  <c r="U5"/>
  <c r="T5"/>
  <c r="S5"/>
  <c r="BD23" i="1"/>
  <c r="BP35"/>
  <c r="BQ35" s="1"/>
  <c r="BP36"/>
  <c r="BQ36" s="1"/>
  <c r="F32"/>
  <c r="K30" i="47" s="1"/>
  <c r="F31" i="1"/>
  <c r="K29" i="47" s="1"/>
  <c r="F30" i="1"/>
  <c r="K28" i="47" s="1"/>
  <c r="F29" i="1"/>
  <c r="K27" i="47" s="1"/>
  <c r="F28" i="1"/>
  <c r="K26" i="47" s="1"/>
  <c r="F27" i="1"/>
  <c r="K25" i="47" s="1"/>
  <c r="F26" i="1"/>
  <c r="K24" i="47" s="1"/>
  <c r="F25" i="1"/>
  <c r="K23" i="47" s="1"/>
  <c r="F24" i="1"/>
  <c r="K22" i="47" s="1"/>
  <c r="F23" i="1"/>
  <c r="K21" i="47" s="1"/>
  <c r="F22" i="1"/>
  <c r="K20" i="47" s="1"/>
  <c r="F21" i="1"/>
  <c r="K19" i="47" s="1"/>
  <c r="F20" i="1"/>
  <c r="K18" i="47" s="1"/>
  <c r="F19" i="1"/>
  <c r="K17" i="47" s="1"/>
  <c r="F18" i="1"/>
  <c r="K16" i="47" s="1"/>
  <c r="F17" i="1"/>
  <c r="K15" i="47" s="1"/>
  <c r="F16" i="1"/>
  <c r="K14" i="47" s="1"/>
  <c r="F15" i="1"/>
  <c r="K13" i="47" s="1"/>
  <c r="F14" i="1"/>
  <c r="K12" i="47" s="1"/>
  <c r="F13" i="1"/>
  <c r="K11" i="47" s="1"/>
  <c r="F12" i="1"/>
  <c r="K10" i="47" s="1"/>
  <c r="F11" i="1"/>
  <c r="K9" i="47" s="1"/>
  <c r="F10" i="1"/>
  <c r="K8" i="47" s="1"/>
  <c r="F9" i="1"/>
  <c r="K7" i="47" s="1"/>
  <c r="F8" i="1"/>
  <c r="K6" i="47" s="1"/>
  <c r="F7" i="1"/>
  <c r="K5" i="47" s="1"/>
  <c r="F6" i="1"/>
  <c r="K4" i="47" s="1"/>
  <c r="F5" i="1"/>
  <c r="K3" i="47" s="1"/>
  <c r="F4" i="1"/>
  <c r="K2" i="47" s="1"/>
  <c r="AI4" i="44"/>
  <c r="AJ4"/>
  <c r="AB4" i="1"/>
  <c r="I111" i="4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7" i="1"/>
  <c r="C37"/>
  <c r="B37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BN36" i="1"/>
  <c r="E3" i="41"/>
  <c r="F3"/>
  <c r="G3"/>
  <c r="H3"/>
  <c r="AH29" i="45" l="1"/>
  <c r="AH30" s="1"/>
  <c r="AB33" i="1"/>
  <c r="B27" i="44"/>
  <c r="C27"/>
  <c r="B26"/>
  <c r="C26"/>
  <c r="A7" i="46"/>
  <c r="AW33" i="1"/>
  <c r="AT33"/>
  <c r="AQ33"/>
  <c r="M29" i="44"/>
  <c r="M30"/>
  <c r="AW30" i="1"/>
  <c r="M28" i="44"/>
  <c r="M16"/>
  <c r="M17"/>
  <c r="BC17" i="1"/>
  <c r="BC16"/>
  <c r="AW17"/>
  <c r="AW16"/>
  <c r="M5" i="44"/>
  <c r="AW5" i="1"/>
  <c r="A4" i="46"/>
  <c r="AM5" i="1"/>
  <c r="AI5" i="44"/>
  <c r="AM8" i="1"/>
  <c r="AI8" i="44"/>
  <c r="AM11" i="1"/>
  <c r="AO11" s="1"/>
  <c r="AI11" i="44"/>
  <c r="T17"/>
  <c r="AM18" i="1"/>
  <c r="AI18" i="44"/>
  <c r="AM19" i="1"/>
  <c r="AO19" s="1"/>
  <c r="AI19" i="44"/>
  <c r="BA20" i="1"/>
  <c r="S20" i="44"/>
  <c r="T28" i="45"/>
  <c r="AD20" i="1"/>
  <c r="AL20"/>
  <c r="AB21"/>
  <c r="AW22"/>
  <c r="BB23"/>
  <c r="S23" i="44"/>
  <c r="BG25" i="1"/>
  <c r="AF25" i="44"/>
  <c r="BB24" i="1"/>
  <c r="T24" i="44"/>
  <c r="T13"/>
  <c r="S13"/>
  <c r="AM17" i="1"/>
  <c r="AI17" i="44"/>
  <c r="AW20" i="1"/>
  <c r="X21" i="44"/>
  <c r="AA21" i="1"/>
  <c r="AI21" i="44"/>
  <c r="BE23" i="1"/>
  <c r="BB25"/>
  <c r="BF25"/>
  <c r="AD25"/>
  <c r="AL25"/>
  <c r="S32" i="44"/>
  <c r="BG24" i="1"/>
  <c r="S33" i="44"/>
  <c r="AM7" i="1"/>
  <c r="AI7" i="44"/>
  <c r="AM16" i="1"/>
  <c r="AI16" i="44"/>
  <c r="AB20" i="1"/>
  <c r="BA21"/>
  <c r="W21" i="44"/>
  <c r="AD21" i="1"/>
  <c r="AL21"/>
  <c r="BH23"/>
  <c r="BE25"/>
  <c r="AD25" i="44"/>
  <c r="AC25" i="1"/>
  <c r="AM13"/>
  <c r="AO13" s="1"/>
  <c r="AI13" i="44"/>
  <c r="T16"/>
  <c r="BH24" i="1"/>
  <c r="AW6"/>
  <c r="T33" i="44"/>
  <c r="AL33" i="1"/>
  <c r="AJ34"/>
  <c r="AK34" s="1"/>
  <c r="S15" i="44"/>
  <c r="S16"/>
  <c r="T20"/>
  <c r="AA20" i="1"/>
  <c r="V21" i="44"/>
  <c r="AC21" i="1"/>
  <c r="AL21" i="44"/>
  <c r="BG23" i="1"/>
  <c r="T23" i="44"/>
  <c r="S24"/>
  <c r="BH25" i="1"/>
  <c r="AG25" i="44"/>
  <c r="AJ14"/>
  <c r="T15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AM26" i="1"/>
  <c r="AI26" i="44"/>
  <c r="AM25" i="1"/>
  <c r="AI25" i="44"/>
  <c r="AL25"/>
  <c r="AJ25"/>
  <c r="AB25" i="1"/>
  <c r="AA25"/>
  <c r="AE25" i="44"/>
  <c r="Y12" i="45"/>
  <c r="Y26" s="1"/>
  <c r="Y8"/>
  <c r="Y28" s="1"/>
  <c r="Y7"/>
  <c r="N25" i="44"/>
  <c r="L25"/>
  <c r="K25"/>
  <c r="J25"/>
  <c r="I25"/>
  <c r="H25"/>
  <c r="G25"/>
  <c r="F25"/>
  <c r="E25"/>
  <c r="D25"/>
  <c r="C25"/>
  <c r="B25"/>
  <c r="M25"/>
  <c r="BD25" i="1"/>
  <c r="BC25"/>
  <c r="BA25"/>
  <c r="AM24"/>
  <c r="AI24" i="44"/>
  <c r="M24"/>
  <c r="BD24" i="1"/>
  <c r="BC24"/>
  <c r="BA24"/>
  <c r="AW24"/>
  <c r="AM23"/>
  <c r="AO23" s="1"/>
  <c r="AI23" i="44"/>
  <c r="AM22" i="1"/>
  <c r="AO22" s="1"/>
  <c r="AI22" i="44"/>
  <c r="M22"/>
  <c r="M23"/>
  <c r="BC23" i="1"/>
  <c r="BA23"/>
  <c r="AW23"/>
  <c r="Z21" i="44"/>
  <c r="M15"/>
  <c r="Z13"/>
  <c r="Y13"/>
  <c r="X13"/>
  <c r="W13"/>
  <c r="V13"/>
  <c r="U13"/>
  <c r="BH4" i="1"/>
  <c r="AY4"/>
  <c r="BI4"/>
  <c r="BG4"/>
  <c r="U4" i="44"/>
  <c r="AG4"/>
  <c r="V4"/>
  <c r="X4"/>
  <c r="N31" i="31"/>
  <c r="N30"/>
  <c r="AX4" i="1"/>
  <c r="T4" i="44"/>
  <c r="AM4" i="1"/>
  <c r="M4" i="44"/>
  <c r="AZ4" i="1"/>
  <c r="W4" i="44"/>
  <c r="S4"/>
  <c r="Y4"/>
  <c r="AA4" i="1"/>
  <c r="AL4" i="44"/>
  <c r="B4"/>
  <c r="Z33"/>
  <c r="Y33"/>
  <c r="X33"/>
  <c r="W33"/>
  <c r="V33"/>
  <c r="U33"/>
  <c r="M33"/>
  <c r="M32"/>
  <c r="S31"/>
  <c r="BD31" i="1"/>
  <c r="AW29"/>
  <c r="S30" i="44"/>
  <c r="W30"/>
  <c r="V30"/>
  <c r="Z30"/>
  <c r="U30"/>
  <c r="Y30"/>
  <c r="T30"/>
  <c r="X30"/>
  <c r="T29"/>
  <c r="X29"/>
  <c r="S29"/>
  <c r="W29"/>
  <c r="V29"/>
  <c r="Z29"/>
  <c r="U29"/>
  <c r="Y29"/>
  <c r="T28"/>
  <c r="X28"/>
  <c r="S28"/>
  <c r="W28"/>
  <c r="V28"/>
  <c r="Z28"/>
  <c r="I28" i="1"/>
  <c r="E26" i="47" s="1"/>
  <c r="U28" i="44"/>
  <c r="Y28"/>
  <c r="V26"/>
  <c r="Z26"/>
  <c r="U26"/>
  <c r="Y26"/>
  <c r="T26"/>
  <c r="X26"/>
  <c r="S26"/>
  <c r="W26"/>
  <c r="Z24"/>
  <c r="Y24"/>
  <c r="X24"/>
  <c r="W24"/>
  <c r="V24"/>
  <c r="U24"/>
  <c r="Z23"/>
  <c r="Y23"/>
  <c r="X23"/>
  <c r="W23"/>
  <c r="V23"/>
  <c r="U23"/>
  <c r="T22"/>
  <c r="S21"/>
  <c r="T21"/>
  <c r="Z22"/>
  <c r="Y22"/>
  <c r="X22"/>
  <c r="W22"/>
  <c r="V22"/>
  <c r="U22"/>
  <c r="Y21"/>
  <c r="U21"/>
  <c r="Z20"/>
  <c r="Y20"/>
  <c r="X20"/>
  <c r="W20"/>
  <c r="V20"/>
  <c r="U20"/>
  <c r="I17" i="35"/>
  <c r="Y17" i="44"/>
  <c r="X17"/>
  <c r="W17"/>
  <c r="V17"/>
  <c r="U17"/>
  <c r="S17"/>
  <c r="I16" i="35"/>
  <c r="Y16" i="44"/>
  <c r="X16"/>
  <c r="W16"/>
  <c r="V16"/>
  <c r="U16"/>
  <c r="Y15"/>
  <c r="W15"/>
  <c r="V15"/>
  <c r="U15"/>
  <c r="M8" i="45"/>
  <c r="M28" s="1"/>
  <c r="M7"/>
  <c r="BH32" i="1"/>
  <c r="U32" i="44"/>
  <c r="Y32"/>
  <c r="AF12" i="45"/>
  <c r="AF26" s="1"/>
  <c r="AD32" i="44"/>
  <c r="AC32" i="1"/>
  <c r="AL32" i="44"/>
  <c r="J32"/>
  <c r="F32"/>
  <c r="AW32" i="1"/>
  <c r="BG32"/>
  <c r="X32" i="44"/>
  <c r="AF7" i="45"/>
  <c r="AF10"/>
  <c r="AG32" i="44"/>
  <c r="AB32" i="1"/>
  <c r="AK32" i="44"/>
  <c r="K32"/>
  <c r="G32"/>
  <c r="C32"/>
  <c r="D5" i="45"/>
  <c r="BB32" i="1"/>
  <c r="W32" i="44"/>
  <c r="B32"/>
  <c r="AF9" i="45"/>
  <c r="AF32" i="44"/>
  <c r="L32"/>
  <c r="H32"/>
  <c r="D32"/>
  <c r="BH37" i="1"/>
  <c r="V32" i="44"/>
  <c r="Z32"/>
  <c r="AE32"/>
  <c r="AL32" i="1"/>
  <c r="N32" i="44"/>
  <c r="I32"/>
  <c r="E32"/>
  <c r="J15"/>
  <c r="F15"/>
  <c r="AE15"/>
  <c r="AU24" i="1"/>
  <c r="BA15"/>
  <c r="BD15"/>
  <c r="BH15"/>
  <c r="O8" i="45"/>
  <c r="O28" s="1"/>
  <c r="K15" i="44"/>
  <c r="G15"/>
  <c r="C15"/>
  <c r="AF15"/>
  <c r="BE15" i="1"/>
  <c r="O7" i="45"/>
  <c r="O12"/>
  <c r="O26" s="1"/>
  <c r="L15" i="44"/>
  <c r="H15"/>
  <c r="D15"/>
  <c r="AG15"/>
  <c r="AW15" i="1"/>
  <c r="AD15" i="44"/>
  <c r="AA15" i="1"/>
  <c r="N15" i="44"/>
  <c r="I15"/>
  <c r="E15"/>
  <c r="AB15" i="1"/>
  <c r="AL15"/>
  <c r="AD15"/>
  <c r="AM15"/>
  <c r="AC15"/>
  <c r="BF15"/>
  <c r="C14" i="44"/>
  <c r="K14"/>
  <c r="AM14" i="1"/>
  <c r="N12" i="45"/>
  <c r="N26" s="1"/>
  <c r="AD14" i="44"/>
  <c r="F14"/>
  <c r="J14"/>
  <c r="AB14" i="1"/>
  <c r="N7" i="45"/>
  <c r="AG14" i="44"/>
  <c r="E14"/>
  <c r="I14"/>
  <c r="N14"/>
  <c r="AW14" i="1"/>
  <c r="AC14"/>
  <c r="AE14" i="44"/>
  <c r="G14"/>
  <c r="AF14"/>
  <c r="AA14" i="1"/>
  <c r="D14" i="44"/>
  <c r="H14"/>
  <c r="L14"/>
  <c r="AL14" i="1"/>
  <c r="AO14" s="1"/>
  <c r="AD14"/>
  <c r="N8" i="45"/>
  <c r="N28" s="1"/>
  <c r="T5"/>
  <c r="U6"/>
  <c r="Y21" i="1"/>
  <c r="U10" i="45"/>
  <c r="AI21" i="1"/>
  <c r="AK21" i="44"/>
  <c r="AH22" i="1"/>
  <c r="AH24"/>
  <c r="AI25"/>
  <c r="AK25" i="44"/>
  <c r="AI26" i="1"/>
  <c r="AK26" i="44"/>
  <c r="AF8" i="45"/>
  <c r="AF28" s="1"/>
  <c r="AH13" i="1"/>
  <c r="X15"/>
  <c r="O9" i="45"/>
  <c r="AI15" i="1"/>
  <c r="AK15" i="44"/>
  <c r="G5" i="45"/>
  <c r="J6"/>
  <c r="Y13" i="1"/>
  <c r="M10" i="45"/>
  <c r="M29" s="1"/>
  <c r="AH14" i="1"/>
  <c r="AJ12"/>
  <c r="AL12" i="44"/>
  <c r="AS33" i="1"/>
  <c r="M5" i="45"/>
  <c r="AD5"/>
  <c r="Y8" i="1"/>
  <c r="H10" i="45"/>
  <c r="AJ17" i="1"/>
  <c r="AL17" i="44"/>
  <c r="AH19" i="1"/>
  <c r="T6" i="45"/>
  <c r="BF21" i="1"/>
  <c r="L5" i="45"/>
  <c r="U5"/>
  <c r="X5"/>
  <c r="AC5"/>
  <c r="AI8" i="1"/>
  <c r="AK8" i="44"/>
  <c r="AJ9" i="1"/>
  <c r="AL9" i="44"/>
  <c r="AM9" s="1"/>
  <c r="Y11" i="1"/>
  <c r="K10" i="45"/>
  <c r="K24" s="1"/>
  <c r="AJ11" i="1"/>
  <c r="AL11" i="44"/>
  <c r="N6" i="45"/>
  <c r="P6"/>
  <c r="Y17" i="1"/>
  <c r="Q10" i="45"/>
  <c r="AI17" i="1"/>
  <c r="AK17" i="44"/>
  <c r="AJ20" i="1"/>
  <c r="AL20" i="44"/>
  <c r="X21" i="1"/>
  <c r="U9" i="45"/>
  <c r="U29" s="1"/>
  <c r="U30" s="1"/>
  <c r="AH21" i="1"/>
  <c r="AI23"/>
  <c r="AK23" i="44"/>
  <c r="AM23" s="1"/>
  <c r="AH25" i="1"/>
  <c r="AH26"/>
  <c r="AH31"/>
  <c r="AI13"/>
  <c r="AK13" i="44"/>
  <c r="Y15" i="1"/>
  <c r="O10" i="45"/>
  <c r="AJ15" i="1"/>
  <c r="AL15" i="44"/>
  <c r="AH10" i="1"/>
  <c r="X10"/>
  <c r="J9" i="45"/>
  <c r="T14" i="44"/>
  <c r="AI14" i="1"/>
  <c r="AK14" i="44"/>
  <c r="P5" i="45"/>
  <c r="S14" i="44"/>
  <c r="Q6" i="45"/>
  <c r="K5"/>
  <c r="O5"/>
  <c r="R5"/>
  <c r="S5"/>
  <c r="V5"/>
  <c r="AB5"/>
  <c r="AE5"/>
  <c r="H6"/>
  <c r="AJ8" i="1"/>
  <c r="AL8" i="44"/>
  <c r="I6" i="45"/>
  <c r="Y9" i="1"/>
  <c r="I10" i="45"/>
  <c r="I29" s="1"/>
  <c r="I30" s="1"/>
  <c r="AI11" i="1"/>
  <c r="AK11" i="44"/>
  <c r="Y12" i="1"/>
  <c r="L10" i="45"/>
  <c r="M6"/>
  <c r="Y14" i="1"/>
  <c r="N10" i="45"/>
  <c r="AI16" i="1"/>
  <c r="AK16" i="44"/>
  <c r="X17" i="1"/>
  <c r="Q9" i="45"/>
  <c r="AH17" i="1"/>
  <c r="AW18"/>
  <c r="Y18"/>
  <c r="R10" i="45"/>
  <c r="AJ18" i="1"/>
  <c r="AL18" i="44"/>
  <c r="AJ19" i="1"/>
  <c r="AL19" i="44"/>
  <c r="Y20" i="1"/>
  <c r="T10" i="45"/>
  <c r="AI20" i="1"/>
  <c r="AK20" i="44"/>
  <c r="AJ22" i="1"/>
  <c r="AL22" i="44"/>
  <c r="AH23" i="1"/>
  <c r="AH30"/>
  <c r="AJ13"/>
  <c r="AL13" i="44"/>
  <c r="S6" i="45"/>
  <c r="BF24" i="1"/>
  <c r="Y10"/>
  <c r="J10" i="45"/>
  <c r="AJ14" i="1"/>
  <c r="AL14" i="44"/>
  <c r="AH12" i="1"/>
  <c r="AY33"/>
  <c r="AU33"/>
  <c r="AZ33"/>
  <c r="X19"/>
  <c r="S9" i="45"/>
  <c r="H5"/>
  <c r="O6"/>
  <c r="AH18" i="1"/>
  <c r="I5" i="45"/>
  <c r="N5"/>
  <c r="Q5"/>
  <c r="X8" i="1"/>
  <c r="H9" i="45"/>
  <c r="K6"/>
  <c r="AH11" i="1"/>
  <c r="L6" i="45"/>
  <c r="X12" i="1"/>
  <c r="L9" i="45"/>
  <c r="X14" i="1"/>
  <c r="N9" i="45"/>
  <c r="N29" s="1"/>
  <c r="X16" i="1"/>
  <c r="P9" i="45"/>
  <c r="AH16" i="1"/>
  <c r="R6" i="45"/>
  <c r="X18" i="1"/>
  <c r="R9" i="45"/>
  <c r="AI18" i="1"/>
  <c r="AK18" i="44"/>
  <c r="AI19" i="1"/>
  <c r="AK19" i="44"/>
  <c r="X20" i="1"/>
  <c r="T9" i="45"/>
  <c r="AH20" i="1"/>
  <c r="AI22"/>
  <c r="AK22" i="44"/>
  <c r="AI24" i="1"/>
  <c r="AK24" i="44"/>
  <c r="AJ26" i="1"/>
  <c r="AL26" i="44"/>
  <c r="AH29" i="1"/>
  <c r="BF6"/>
  <c r="AJ10"/>
  <c r="AL10" i="44"/>
  <c r="J5" i="45"/>
  <c r="AI12" i="1"/>
  <c r="AK12" i="44"/>
  <c r="AV33" i="1"/>
  <c r="AR33"/>
  <c r="BG6"/>
  <c r="BG7"/>
  <c r="AJ7"/>
  <c r="AL7" i="44"/>
  <c r="AM7" s="1"/>
  <c r="X7" i="1"/>
  <c r="G9" i="45"/>
  <c r="G6"/>
  <c r="Y7" i="1"/>
  <c r="G10" i="45"/>
  <c r="F6"/>
  <c r="X6" i="1"/>
  <c r="F9" i="45"/>
  <c r="AJ6" i="1"/>
  <c r="AL6" i="44"/>
  <c r="AM6" s="1"/>
  <c r="Y6" i="1"/>
  <c r="F10" i="45"/>
  <c r="D7"/>
  <c r="AK4" i="44"/>
  <c r="D8" i="45"/>
  <c r="D28" s="1"/>
  <c r="AJ5" i="1"/>
  <c r="AL5" i="44"/>
  <c r="AM5" s="1"/>
  <c r="AH4" i="1"/>
  <c r="D9" i="45"/>
  <c r="D12"/>
  <c r="D26" s="1"/>
  <c r="AX33" i="1"/>
  <c r="AH5" i="45"/>
  <c r="AM34" i="44"/>
  <c r="AG5" i="45"/>
  <c r="AH6"/>
  <c r="AH24"/>
  <c r="AG8"/>
  <c r="AG28" s="1"/>
  <c r="AH33" i="1"/>
  <c r="AF5" i="45"/>
  <c r="AJ33" i="1"/>
  <c r="AL33" i="44"/>
  <c r="AI33" i="1"/>
  <c r="AK33" i="44"/>
  <c r="Y33" i="1"/>
  <c r="AG10" i="45"/>
  <c r="X33" i="1"/>
  <c r="AG9" i="45"/>
  <c r="AG6"/>
  <c r="AF6"/>
  <c r="AJ31" i="1"/>
  <c r="AL31" i="44"/>
  <c r="Y31" i="1"/>
  <c r="AE10" i="45"/>
  <c r="X31" i="1"/>
  <c r="AE9" i="45"/>
  <c r="BF31" i="1"/>
  <c r="AE6" i="45"/>
  <c r="AJ30" i="1"/>
  <c r="AL30" i="44"/>
  <c r="AI30" i="1"/>
  <c r="AK30" i="44"/>
  <c r="Y30" i="1"/>
  <c r="AD10" i="45"/>
  <c r="AD24" s="1"/>
  <c r="BF30" i="1"/>
  <c r="BF29"/>
  <c r="BC30"/>
  <c r="AD6" i="45"/>
  <c r="AJ29" i="1"/>
  <c r="AL29" i="44"/>
  <c r="AI29" i="1"/>
  <c r="AK29" i="44"/>
  <c r="Y29" i="1"/>
  <c r="AC10" i="45"/>
  <c r="X29" i="1"/>
  <c r="AC9" i="45"/>
  <c r="AC6"/>
  <c r="AM28" i="44"/>
  <c r="Y28" i="1"/>
  <c r="AB10" i="45"/>
  <c r="X28" i="1"/>
  <c r="AB9" i="45"/>
  <c r="AB6"/>
  <c r="Y5"/>
  <c r="Z5"/>
  <c r="Y26" i="1"/>
  <c r="Z10" i="45"/>
  <c r="X26" i="1"/>
  <c r="Z9" i="45"/>
  <c r="Z6"/>
  <c r="Y25" i="1"/>
  <c r="Y10" i="45"/>
  <c r="X25" i="1"/>
  <c r="Y9" i="45"/>
  <c r="Y6"/>
  <c r="Y24" i="1"/>
  <c r="X10" i="45"/>
  <c r="X24" i="1"/>
  <c r="X9" i="45"/>
  <c r="X6"/>
  <c r="Y23" i="1"/>
  <c r="W10" i="45"/>
  <c r="Y22" i="1"/>
  <c r="V10" i="45"/>
  <c r="X23" i="1"/>
  <c r="W9" i="45"/>
  <c r="X22" i="1"/>
  <c r="V9" i="45"/>
  <c r="W6"/>
  <c r="V6"/>
  <c r="D10"/>
  <c r="D6"/>
  <c r="Y5" i="1"/>
  <c r="E10" i="45"/>
  <c r="E5"/>
  <c r="X5" i="1"/>
  <c r="E9" i="45"/>
  <c r="E6"/>
  <c r="W4" i="1"/>
  <c r="X4"/>
  <c r="AA4" i="44"/>
  <c r="E11" i="35"/>
  <c r="G11" s="1"/>
  <c r="W19" i="1"/>
  <c r="W8"/>
  <c r="W9"/>
  <c r="W30"/>
  <c r="W18"/>
  <c r="W20"/>
  <c r="W23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AL5" i="1"/>
  <c r="AH8"/>
  <c r="AH7"/>
  <c r="AL7"/>
  <c r="AM6"/>
  <c r="AO6" s="1"/>
  <c r="AH9"/>
  <c r="AA7"/>
  <c r="AH5"/>
  <c r="AL8"/>
  <c r="AO8" s="1"/>
  <c r="AM9"/>
  <c r="AO9" s="1"/>
  <c r="AH6"/>
  <c r="AC33" i="44"/>
  <c r="AP33" i="1"/>
  <c r="AA9"/>
  <c r="AE9" s="1"/>
  <c r="AI10"/>
  <c r="AM10"/>
  <c r="AO10" s="1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6" i="44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AV3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AE4" i="44"/>
  <c r="H6" i="35"/>
  <c r="AP8" i="1"/>
  <c r="AC8" i="44"/>
  <c r="AP9" i="1"/>
  <c r="AC9" i="44"/>
  <c r="AP12" i="1"/>
  <c r="AC12" i="44"/>
  <c r="H17" i="35"/>
  <c r="H18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J4"/>
  <c r="C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I4"/>
  <c r="AP5" i="1"/>
  <c r="AC5" i="44"/>
  <c r="AB19"/>
  <c r="M19" i="1"/>
  <c r="M20"/>
  <c r="AB20" i="44"/>
  <c r="BH20" i="1"/>
  <c r="AP20"/>
  <c r="AC20" i="44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K4"/>
  <c r="E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F4"/>
  <c r="H5" i="35"/>
  <c r="AP7" i="1"/>
  <c r="AC7" i="44"/>
  <c r="H11" i="35"/>
  <c r="AP15" i="1"/>
  <c r="AC15" i="44"/>
  <c r="AP16" i="1"/>
  <c r="AC16" i="44"/>
  <c r="AP19" i="1"/>
  <c r="AC19" i="44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L4"/>
  <c r="G4"/>
  <c r="BK5" i="1"/>
  <c r="AA5" i="44"/>
  <c r="BK9" i="1"/>
  <c r="AA9" i="44"/>
  <c r="M14" i="35"/>
  <c r="O14" s="1"/>
  <c r="B14" i="44"/>
  <c r="BK14" i="1"/>
  <c r="AA14" i="44"/>
  <c r="BK33" i="1"/>
  <c r="AA34" i="44"/>
  <c r="AC34"/>
  <c r="D4"/>
  <c r="AF4"/>
  <c r="AP4" i="1"/>
  <c r="AC4" i="44"/>
  <c r="AB4"/>
  <c r="H9" i="35"/>
  <c r="AB12" i="44"/>
  <c r="H12" i="35"/>
  <c r="AP13" i="1"/>
  <c r="AP14"/>
  <c r="AC14" i="44"/>
  <c r="BK20" i="1"/>
  <c r="AA20" i="44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N4"/>
  <c r="H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AD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O34" i="1"/>
  <c r="M4"/>
  <c r="M18"/>
  <c r="M10"/>
  <c r="L28"/>
  <c r="W13"/>
  <c r="G8" i="35"/>
  <c r="Q37" i="1"/>
  <c r="I27"/>
  <c r="E25" i="47" s="1"/>
  <c r="AO24" i="1"/>
  <c r="P21"/>
  <c r="V30"/>
  <c r="V34"/>
  <c r="V21"/>
  <c r="V9"/>
  <c r="V8"/>
  <c r="V33"/>
  <c r="AT4"/>
  <c r="AJ27"/>
  <c r="AJ28"/>
  <c r="O27"/>
  <c r="P24"/>
  <c r="BB37"/>
  <c r="BF37"/>
  <c r="V31"/>
  <c r="V28"/>
  <c r="V7"/>
  <c r="AE29"/>
  <c r="BC32"/>
  <c r="V6"/>
  <c r="AS23"/>
  <c r="G20" i="42"/>
  <c r="E30" s="1"/>
  <c r="G30" s="1"/>
  <c r="P34" i="1"/>
  <c r="I29"/>
  <c r="E27" i="47" s="1"/>
  <c r="W16" i="1"/>
  <c r="P12"/>
  <c r="I10" i="47" s="1"/>
  <c r="E37" i="1"/>
  <c r="BD37"/>
  <c r="AO18"/>
  <c r="E18" i="35"/>
  <c r="G18" s="1"/>
  <c r="BC19" i="1"/>
  <c r="AA37"/>
  <c r="U37"/>
  <c r="AO17"/>
  <c r="P16"/>
  <c r="AT27"/>
  <c r="BG17"/>
  <c r="AZ26"/>
  <c r="I24"/>
  <c r="E22" i="47" s="1"/>
  <c r="BH30" i="1"/>
  <c r="AC13"/>
  <c r="AE13" s="1"/>
  <c r="M17"/>
  <c r="G15" i="47" s="1"/>
  <c r="BC27" i="1"/>
  <c r="V26"/>
  <c r="P17"/>
  <c r="X30"/>
  <c r="E9" i="35"/>
  <c r="G9" s="1"/>
  <c r="V25" i="1"/>
  <c r="Z34"/>
  <c r="V29"/>
  <c r="V18"/>
  <c r="V14"/>
  <c r="V32"/>
  <c r="P9"/>
  <c r="I7" i="47" s="1"/>
  <c r="BE37" i="1"/>
  <c r="D37"/>
  <c r="J37"/>
  <c r="AZ28"/>
  <c r="I26"/>
  <c r="E24" i="47" s="1"/>
  <c r="BH29" i="1"/>
  <c r="P10"/>
  <c r="I8" i="47" s="1"/>
  <c r="AE16" i="1"/>
  <c r="BC15"/>
  <c r="M14"/>
  <c r="V13"/>
  <c r="AO12"/>
  <c r="W11"/>
  <c r="BK12"/>
  <c r="AV12"/>
  <c r="P11"/>
  <c r="M11"/>
  <c r="BK11"/>
  <c r="M11" i="35"/>
  <c r="O11" s="1"/>
  <c r="BC11" i="1"/>
  <c r="W10"/>
  <c r="I10"/>
  <c r="E8" i="47" s="1"/>
  <c r="BG10" i="1"/>
  <c r="BB14"/>
  <c r="AZ30"/>
  <c r="AR5"/>
  <c r="AZ13"/>
  <c r="AA10"/>
  <c r="AJ25"/>
  <c r="L17" i="35"/>
  <c r="AQ4" i="1"/>
  <c r="AC17"/>
  <c r="AE17" s="1"/>
  <c r="AJ24"/>
  <c r="AZ14"/>
  <c r="AS16"/>
  <c r="AC22"/>
  <c r="AE22" s="1"/>
  <c r="AR18"/>
  <c r="AZ20"/>
  <c r="AH15"/>
  <c r="AD10"/>
  <c r="BB13"/>
  <c r="AS13"/>
  <c r="AI27"/>
  <c r="AI28"/>
  <c r="I12"/>
  <c r="E10" i="47" s="1"/>
  <c r="AR23" i="1"/>
  <c r="AJ23"/>
  <c r="AK23" s="1"/>
  <c r="AS26"/>
  <c r="AQ28"/>
  <c r="X13"/>
  <c r="AV27"/>
  <c r="AB37"/>
  <c r="AR31"/>
  <c r="AM27"/>
  <c r="AO27" s="1"/>
  <c r="I22"/>
  <c r="E20" i="47" s="1"/>
  <c r="BD4" i="1"/>
  <c r="V20"/>
  <c r="I25"/>
  <c r="E23" i="47" s="1"/>
  <c r="BB30" i="1"/>
  <c r="AL37"/>
  <c r="V12"/>
  <c r="V11"/>
  <c r="BA11"/>
  <c r="M12"/>
  <c r="AX12"/>
  <c r="AQ19"/>
  <c r="AC23"/>
  <c r="AE23" s="1"/>
  <c r="BI29"/>
  <c r="AD12"/>
  <c r="AE12" s="1"/>
  <c r="AJ4"/>
  <c r="AC20"/>
  <c r="I30"/>
  <c r="E28" i="47" s="1"/>
  <c r="AT10" i="1"/>
  <c r="AV29"/>
  <c r="AV30"/>
  <c r="BG15"/>
  <c r="W15"/>
  <c r="AQ23"/>
  <c r="BF23"/>
  <c r="AT26"/>
  <c r="BD30"/>
  <c r="AI31"/>
  <c r="M12" i="35"/>
  <c r="O12" s="1"/>
  <c r="I7" i="1"/>
  <c r="E5" i="47" s="1"/>
  <c r="AZ10" i="1"/>
  <c r="AT29"/>
  <c r="AS4"/>
  <c r="BC18"/>
  <c r="AZ22"/>
  <c r="V27"/>
  <c r="AE26"/>
  <c r="O8" i="35"/>
  <c r="V10" i="1"/>
  <c r="F37"/>
  <c r="V5"/>
  <c r="AE11"/>
  <c r="AO28"/>
  <c r="V24"/>
  <c r="V15"/>
  <c r="V22"/>
  <c r="AO16"/>
  <c r="AE19"/>
  <c r="G109" i="42"/>
  <c r="G110" s="1"/>
  <c r="AM37" i="1"/>
  <c r="P18"/>
  <c r="I16" i="47" s="1"/>
  <c r="N37" i="1"/>
  <c r="AD37"/>
  <c r="D35"/>
  <c r="M9"/>
  <c r="BB9"/>
  <c r="AI9"/>
  <c r="M9" i="35"/>
  <c r="O9" s="1"/>
  <c r="AQ9" i="1"/>
  <c r="AC8"/>
  <c r="AE8" s="1"/>
  <c r="AT8"/>
  <c r="M8"/>
  <c r="AS12"/>
  <c r="T37"/>
  <c r="V17"/>
  <c r="X9"/>
  <c r="AQ11"/>
  <c r="X11"/>
  <c r="AR17"/>
  <c r="W12"/>
  <c r="E14" i="35"/>
  <c r="G14" s="1"/>
  <c r="W14" i="1"/>
  <c r="BI15"/>
  <c r="AZ25"/>
  <c r="W26"/>
  <c r="BE28"/>
  <c r="BE27"/>
  <c r="W27"/>
  <c r="Z27" s="1"/>
  <c r="W28"/>
  <c r="BC29"/>
  <c r="AD30"/>
  <c r="AE30" s="1"/>
  <c r="Y19"/>
  <c r="BC14"/>
  <c r="AT24"/>
  <c r="AX27"/>
  <c r="Y16"/>
  <c r="AJ16"/>
  <c r="AQ18"/>
  <c r="L18" i="35"/>
  <c r="V19" i="1"/>
  <c r="AE27"/>
  <c r="AE28"/>
  <c r="AZ9"/>
  <c r="M13"/>
  <c r="BB15"/>
  <c r="K8" i="35"/>
  <c r="V16" i="1"/>
  <c r="H4" i="35"/>
  <c r="AR11" i="1"/>
  <c r="I17"/>
  <c r="E15" i="47" s="1"/>
  <c r="AQ21" i="1"/>
  <c r="BC21"/>
  <c r="AS28"/>
  <c r="AV11"/>
  <c r="BJ11" s="1"/>
  <c r="AQ14"/>
  <c r="M16"/>
  <c r="BA18"/>
  <c r="BA37" s="1"/>
  <c r="AJ21"/>
  <c r="AW25"/>
  <c r="AH28"/>
  <c r="AH27"/>
  <c r="AR8"/>
  <c r="BD12"/>
  <c r="I16"/>
  <c r="E14" i="47" s="1"/>
  <c r="AC18" i="1"/>
  <c r="AS20"/>
  <c r="AR22"/>
  <c r="I23"/>
  <c r="E21" i="47" s="1"/>
  <c r="AT13" i="1"/>
  <c r="AC24"/>
  <c r="AE24" s="1"/>
  <c r="V23"/>
  <c r="AL26"/>
  <c r="AV9"/>
  <c r="BJ9" s="1"/>
  <c r="AR12"/>
  <c r="AQ16"/>
  <c r="BI16"/>
  <c r="BI17"/>
  <c r="W17"/>
  <c r="I19"/>
  <c r="E17" i="47" s="1"/>
  <c r="I14" i="1"/>
  <c r="E12" i="47" s="1"/>
  <c r="I119" i="42"/>
  <c r="G13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F38" i="1"/>
  <c r="F35"/>
  <c r="F39" s="1"/>
  <c r="W5"/>
  <c r="E5" i="35"/>
  <c r="G5" s="1"/>
  <c r="AI5" i="1"/>
  <c r="AC5"/>
  <c r="AA5"/>
  <c r="M5" i="35"/>
  <c r="O5" s="1"/>
  <c r="BC5" i="1"/>
  <c r="BB4"/>
  <c r="AX5"/>
  <c r="AV5"/>
  <c r="BJ5" s="1"/>
  <c r="AT5"/>
  <c r="AZ5"/>
  <c r="I5"/>
  <c r="E3" i="47" s="1"/>
  <c r="AI4" i="1"/>
  <c r="BA4"/>
  <c r="AU4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F36" i="1"/>
  <c r="I124" i="42"/>
  <c r="I122"/>
  <c r="G95"/>
  <c r="G84"/>
  <c r="G107"/>
  <c r="G108" s="1"/>
  <c r="G58"/>
  <c r="G103"/>
  <c r="G104" s="1"/>
  <c r="G105"/>
  <c r="G106" s="1"/>
  <c r="G111"/>
  <c r="G112" s="1"/>
  <c r="G46"/>
  <c r="E27"/>
  <c r="G27" s="1"/>
  <c r="Y32" i="1"/>
  <c r="BK31"/>
  <c r="AP31"/>
  <c r="X32"/>
  <c r="W32"/>
  <c r="P31"/>
  <c r="I29" i="47" s="1"/>
  <c r="AM32" i="1"/>
  <c r="AJ32"/>
  <c r="AI32"/>
  <c r="AH32"/>
  <c r="AD32"/>
  <c r="AE31"/>
  <c r="AA32"/>
  <c r="BF32"/>
  <c r="BE32"/>
  <c r="BD32"/>
  <c r="BC31"/>
  <c r="BI32"/>
  <c r="BA32"/>
  <c r="AX32"/>
  <c r="AV32"/>
  <c r="AU32"/>
  <c r="AT31"/>
  <c r="AZ32"/>
  <c r="I32"/>
  <c r="E30" i="47" s="1"/>
  <c r="BJ14" i="1" l="1"/>
  <c r="I24" i="45"/>
  <c r="I8" i="1"/>
  <c r="E6" i="47" s="1"/>
  <c r="O13" i="1"/>
  <c r="G11" i="47"/>
  <c r="O12" i="1"/>
  <c r="G10" i="47"/>
  <c r="M10" s="1"/>
  <c r="S16" i="1"/>
  <c r="I14" i="47"/>
  <c r="R21" i="1"/>
  <c r="I19" i="47"/>
  <c r="O4" i="1"/>
  <c r="G2" i="47"/>
  <c r="O33" i="1"/>
  <c r="G31" i="47"/>
  <c r="L9" i="1"/>
  <c r="E7" i="47"/>
  <c r="M15" i="1"/>
  <c r="M30" i="45"/>
  <c r="O14" i="1"/>
  <c r="G12" i="47"/>
  <c r="O24" i="1"/>
  <c r="G22" i="47"/>
  <c r="AO7" i="1"/>
  <c r="L29" i="45"/>
  <c r="L30" s="1"/>
  <c r="AO25" i="1"/>
  <c r="O7"/>
  <c r="G5" i="47"/>
  <c r="O32" i="1"/>
  <c r="G30" i="47"/>
  <c r="O28" i="1"/>
  <c r="G26" i="47"/>
  <c r="L11" i="1"/>
  <c r="E9" i="47"/>
  <c r="T29" i="45"/>
  <c r="T30" s="1"/>
  <c r="S11" i="1"/>
  <c r="I9" i="47"/>
  <c r="O10" i="1"/>
  <c r="G8" i="47"/>
  <c r="M8" s="1"/>
  <c r="O31" i="1"/>
  <c r="G29" i="47"/>
  <c r="R24" i="1"/>
  <c r="I22" i="47"/>
  <c r="M22" s="1"/>
  <c r="O29" i="1"/>
  <c r="G27" i="47"/>
  <c r="O23" i="1"/>
  <c r="G21" i="47"/>
  <c r="O8" i="1"/>
  <c r="G6" i="47"/>
  <c r="O22" i="1"/>
  <c r="G20" i="47"/>
  <c r="O6" i="1"/>
  <c r="G4" i="47"/>
  <c r="O16" i="1"/>
  <c r="G14" i="47"/>
  <c r="O11" i="1"/>
  <c r="G9" i="47"/>
  <c r="O26" i="1"/>
  <c r="G24" i="47"/>
  <c r="O20" i="1"/>
  <c r="G18" i="47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B15" i="44"/>
  <c r="AS37" i="1"/>
  <c r="BJ16"/>
  <c r="H29" i="45"/>
  <c r="H30" s="1"/>
  <c r="BM28" i="1"/>
  <c r="BN28"/>
  <c r="I13" i="35"/>
  <c r="AO15" i="1"/>
  <c r="AE14"/>
  <c r="AO33"/>
  <c r="BJ22"/>
  <c r="AW37"/>
  <c r="AJ37"/>
  <c r="Q29" i="45"/>
  <c r="Q30" s="1"/>
  <c r="R29"/>
  <c r="R30" s="1"/>
  <c r="BC37" i="1"/>
  <c r="Z16" i="44"/>
  <c r="Z15"/>
  <c r="Z14" i="1"/>
  <c r="N30" i="45"/>
  <c r="AO5" i="1"/>
  <c r="BL4"/>
  <c r="AE21"/>
  <c r="H106" i="31"/>
  <c r="H115"/>
  <c r="N115" s="1"/>
  <c r="H110"/>
  <c r="J110" s="1"/>
  <c r="H104"/>
  <c r="N104" s="1"/>
  <c r="E24" i="45"/>
  <c r="E29"/>
  <c r="E30" s="1"/>
  <c r="W24"/>
  <c r="W29"/>
  <c r="W30" s="1"/>
  <c r="H119" i="31"/>
  <c r="J119" s="1"/>
  <c r="H118"/>
  <c r="J118" s="1"/>
  <c r="AE20" i="1"/>
  <c r="Z29" i="45"/>
  <c r="Z30" s="1"/>
  <c r="O29"/>
  <c r="O30" s="1"/>
  <c r="H116" i="31"/>
  <c r="J116" s="1"/>
  <c r="H117"/>
  <c r="N117" s="1"/>
  <c r="H111"/>
  <c r="J111" s="1"/>
  <c r="H107"/>
  <c r="N107" s="1"/>
  <c r="P24" i="45"/>
  <c r="P29"/>
  <c r="P30" s="1"/>
  <c r="S25" i="44"/>
  <c r="J29" i="45"/>
  <c r="J30" s="1"/>
  <c r="K29"/>
  <c r="K30" s="1"/>
  <c r="T24"/>
  <c r="H112" i="31"/>
  <c r="N112" s="1"/>
  <c r="H105"/>
  <c r="N105" s="1"/>
  <c r="H109"/>
  <c r="N109" s="1"/>
  <c r="V24" i="45"/>
  <c r="V29"/>
  <c r="V30" s="1"/>
  <c r="H120" i="31"/>
  <c r="N120" s="1"/>
  <c r="S24" i="45"/>
  <c r="S29"/>
  <c r="S30" s="1"/>
  <c r="BP4" i="1"/>
  <c r="BN4"/>
  <c r="AO20"/>
  <c r="D29" i="45"/>
  <c r="D30" s="1"/>
  <c r="G29"/>
  <c r="G30" s="1"/>
  <c r="T25" i="44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AO26" i="1"/>
  <c r="Y29" i="45"/>
  <c r="Y30" s="1"/>
  <c r="AE25" i="1"/>
  <c r="X29" i="45"/>
  <c r="X30" s="1"/>
  <c r="Z25" i="44"/>
  <c r="Y25"/>
  <c r="X25"/>
  <c r="W25"/>
  <c r="V25"/>
  <c r="U25"/>
  <c r="P25" i="1"/>
  <c r="BJ24"/>
  <c r="AH4" i="44"/>
  <c r="Z21" i="1"/>
  <c r="Y37"/>
  <c r="AO15" i="44"/>
  <c r="M24" i="45"/>
  <c r="I14" i="35"/>
  <c r="Z14" i="44"/>
  <c r="H13" i="35"/>
  <c r="K13" s="1"/>
  <c r="AI37" i="1"/>
  <c r="AO4"/>
  <c r="Z7"/>
  <c r="N29" i="31"/>
  <c r="J115"/>
  <c r="N116"/>
  <c r="J109"/>
  <c r="N111"/>
  <c r="J106"/>
  <c r="N106"/>
  <c r="N110"/>
  <c r="BJ33" i="1"/>
  <c r="AF33"/>
  <c r="BJ29"/>
  <c r="AM31" i="44"/>
  <c r="U24" i="45"/>
  <c r="Z22" i="1"/>
  <c r="BJ21"/>
  <c r="AM21" i="44"/>
  <c r="AK19" i="1"/>
  <c r="Z20"/>
  <c r="AK17"/>
  <c r="Z18"/>
  <c r="Z17" i="44"/>
  <c r="O24" i="45"/>
  <c r="H16" i="35"/>
  <c r="K16" s="1"/>
  <c r="AE15" i="1"/>
  <c r="I15" i="35"/>
  <c r="H15"/>
  <c r="X15" i="44"/>
  <c r="AM11"/>
  <c r="AK8" i="1"/>
  <c r="AM25" i="44"/>
  <c r="AM20"/>
  <c r="R24" i="45"/>
  <c r="AH37" i="1"/>
  <c r="AK26"/>
  <c r="AF24" i="45"/>
  <c r="AM32" i="44"/>
  <c r="M5" i="1"/>
  <c r="BJ6"/>
  <c r="Z6"/>
  <c r="AK21"/>
  <c r="BJ18"/>
  <c r="Y24" i="45"/>
  <c r="X37" i="1"/>
  <c r="AK20"/>
  <c r="Q24" i="45"/>
  <c r="Z5" i="1"/>
  <c r="K11" i="35"/>
  <c r="AB5" i="44"/>
  <c r="AH5" s="1"/>
  <c r="AM4"/>
  <c r="AK18" i="1"/>
  <c r="Z17"/>
  <c r="AM17" i="44"/>
  <c r="AM16"/>
  <c r="AK11" i="1"/>
  <c r="W14" i="44"/>
  <c r="Y14"/>
  <c r="X14"/>
  <c r="V14"/>
  <c r="U14"/>
  <c r="Z24" i="45"/>
  <c r="AK15" i="1"/>
  <c r="AM15" i="44"/>
  <c r="N24" i="45"/>
  <c r="AK14" i="1"/>
  <c r="AK13"/>
  <c r="BN13"/>
  <c r="L13"/>
  <c r="BM13"/>
  <c r="AK12"/>
  <c r="Z12"/>
  <c r="AH11" i="44"/>
  <c r="L24" i="45"/>
  <c r="AK9" i="1"/>
  <c r="J24" i="45"/>
  <c r="H24"/>
  <c r="AK22" i="1"/>
  <c r="X24" i="45"/>
  <c r="AM10" i="44"/>
  <c r="AH7"/>
  <c r="AM8"/>
  <c r="I15" i="1"/>
  <c r="H14" i="35"/>
  <c r="Z29" i="1"/>
  <c r="AK29"/>
  <c r="AG24" i="45"/>
  <c r="AM24" i="44"/>
  <c r="AM22"/>
  <c r="AM18"/>
  <c r="Z9" i="1"/>
  <c r="Z15"/>
  <c r="Z10"/>
  <c r="L18"/>
  <c r="AE24" i="45"/>
  <c r="AM19" i="44"/>
  <c r="AK16" i="1"/>
  <c r="AK24"/>
  <c r="AK25"/>
  <c r="AK10"/>
  <c r="Z8"/>
  <c r="AM12" i="44"/>
  <c r="AM26"/>
  <c r="AM14"/>
  <c r="AM13"/>
  <c r="AK7" i="1"/>
  <c r="F24" i="45"/>
  <c r="G24"/>
  <c r="T4" i="1"/>
  <c r="V4" s="1"/>
  <c r="Z4"/>
  <c r="D24" i="45"/>
  <c r="AK33" i="1"/>
  <c r="AM33" i="44"/>
  <c r="Z33" i="1"/>
  <c r="AK31"/>
  <c r="Z31"/>
  <c r="BP31"/>
  <c r="BQ31" s="1"/>
  <c r="BJ31"/>
  <c r="BJ42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AF18"/>
  <c r="K9" i="35"/>
  <c r="BN27" i="1"/>
  <c r="AH33" i="44"/>
  <c r="AO33" s="1"/>
  <c r="AF21" i="1"/>
  <c r="BG20"/>
  <c r="BL20" s="1"/>
  <c r="Z19"/>
  <c r="AK5"/>
  <c r="K17" i="35"/>
  <c r="AH32" i="44"/>
  <c r="AO32" s="1"/>
  <c r="BP24" i="1"/>
  <c r="BQ24" s="1"/>
  <c r="AV37"/>
  <c r="BL28"/>
  <c r="AF28"/>
  <c r="AG28" s="1"/>
  <c r="BP28"/>
  <c r="BQ28" s="1"/>
  <c r="AX37"/>
  <c r="AH16" i="44"/>
  <c r="AO16" s="1"/>
  <c r="K18" i="35"/>
  <c r="BP21" i="1"/>
  <c r="BP23"/>
  <c r="BQ23" s="1"/>
  <c r="K5" i="35"/>
  <c r="AK6" i="1"/>
  <c r="AF19"/>
  <c r="AF15"/>
  <c r="AH17" i="44"/>
  <c r="AO17" s="1"/>
  <c r="AH19"/>
  <c r="AO19" s="1"/>
  <c r="Z30" i="1"/>
  <c r="AH8" i="44"/>
  <c r="AU37" i="1"/>
  <c r="K12" i="35"/>
  <c r="AT37" i="1"/>
  <c r="AH15" i="44"/>
  <c r="O17" i="35"/>
  <c r="AH13" i="44"/>
  <c r="BP13" i="1"/>
  <c r="BQ13" s="1"/>
  <c r="BP14"/>
  <c r="AH24" i="44"/>
  <c r="AO24" s="1"/>
  <c r="AH6"/>
  <c r="K7" i="35"/>
  <c r="AF16" i="1"/>
  <c r="AG16" s="1"/>
  <c r="AH10" i="44"/>
  <c r="BJ32" i="1"/>
  <c r="BM18"/>
  <c r="AH18" i="44"/>
  <c r="AO18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K4" i="35"/>
  <c r="BP18" i="1"/>
  <c r="BP17"/>
  <c r="BQ17" s="1"/>
  <c r="BP19"/>
  <c r="BQ19" s="1"/>
  <c r="I21"/>
  <c r="BJ4"/>
  <c r="AH12" i="44"/>
  <c r="AF7" i="1"/>
  <c r="BJ7"/>
  <c r="AR2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BN20" i="1"/>
  <c r="P4"/>
  <c r="AH20" i="44"/>
  <c r="AO20" s="1"/>
  <c r="AH29"/>
  <c r="AO29" s="1"/>
  <c r="AH23"/>
  <c r="AO23" s="1"/>
  <c r="AH25"/>
  <c r="AO25" s="1"/>
  <c r="AH21"/>
  <c r="AO21" s="1"/>
  <c r="O18" i="35"/>
  <c r="M37" i="1"/>
  <c r="BN29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Z13"/>
  <c r="P28"/>
  <c r="BP7"/>
  <c r="P20"/>
  <c r="S21"/>
  <c r="P15"/>
  <c r="P26"/>
  <c r="I31"/>
  <c r="P6"/>
  <c r="AK4"/>
  <c r="BP27"/>
  <c r="BQ27" s="1"/>
  <c r="S24"/>
  <c r="P23"/>
  <c r="R11"/>
  <c r="Z16"/>
  <c r="P22"/>
  <c r="P8"/>
  <c r="I6" i="47" s="1"/>
  <c r="G31" i="42"/>
  <c r="P13" i="1"/>
  <c r="BP30"/>
  <c r="BQ30" s="1"/>
  <c r="L29"/>
  <c r="P29"/>
  <c r="I27" i="47" s="1"/>
  <c r="Z11" i="1"/>
  <c r="AC37"/>
  <c r="L22"/>
  <c r="AO37"/>
  <c r="AJ35"/>
  <c r="R16"/>
  <c r="S17"/>
  <c r="AR37"/>
  <c r="O17"/>
  <c r="O37" s="1"/>
  <c r="BG37"/>
  <c r="L26"/>
  <c r="L24"/>
  <c r="BO24"/>
  <c r="P19"/>
  <c r="I17" i="47" s="1"/>
  <c r="AK28" i="1"/>
  <c r="V37"/>
  <c r="AF17"/>
  <c r="AG17" s="1"/>
  <c r="AH35"/>
  <c r="BP15"/>
  <c r="P14"/>
  <c r="BP12"/>
  <c r="BQ12" s="1"/>
  <c r="S12"/>
  <c r="R12"/>
  <c r="AE10"/>
  <c r="AF10"/>
  <c r="L10"/>
  <c r="L12"/>
  <c r="S10"/>
  <c r="R10"/>
  <c r="P30"/>
  <c r="I28" i="47" s="1"/>
  <c r="W37" i="1"/>
  <c r="AG19"/>
  <c r="L30"/>
  <c r="P27"/>
  <c r="I25" i="47" s="1"/>
  <c r="M25" s="1"/>
  <c r="AF29" i="1"/>
  <c r="AG29" s="1"/>
  <c r="BP29"/>
  <c r="BQ29" s="1"/>
  <c r="L25"/>
  <c r="AF23"/>
  <c r="AG23" s="1"/>
  <c r="AK27"/>
  <c r="L7"/>
  <c r="AQ37"/>
  <c r="AF11"/>
  <c r="AG11" s="1"/>
  <c r="BP11"/>
  <c r="BQ11" s="1"/>
  <c r="L14"/>
  <c r="L23"/>
  <c r="L16"/>
  <c r="L17"/>
  <c r="I37"/>
  <c r="R25"/>
  <c r="P7"/>
  <c r="P5"/>
  <c r="AE18"/>
  <c r="AE37" s="1"/>
  <c r="AF9"/>
  <c r="AG9" s="1"/>
  <c r="BP9"/>
  <c r="BQ9" s="1"/>
  <c r="L19"/>
  <c r="R18"/>
  <c r="S18"/>
  <c r="P37"/>
  <c r="R9"/>
  <c r="S9"/>
  <c r="BP25"/>
  <c r="AE7"/>
  <c r="S34"/>
  <c r="R34"/>
  <c r="BO34" s="1"/>
  <c r="AE6"/>
  <c r="BP6"/>
  <c r="AF6"/>
  <c r="L6"/>
  <c r="AE5"/>
  <c r="AF5"/>
  <c r="BP5"/>
  <c r="L5"/>
  <c r="AE4"/>
  <c r="BR4" s="1"/>
  <c r="AL36"/>
  <c r="AF4"/>
  <c r="L4"/>
  <c r="AE33"/>
  <c r="S33"/>
  <c r="L34"/>
  <c r="AO32"/>
  <c r="AE32"/>
  <c r="G59" i="42"/>
  <c r="I59" s="1"/>
  <c r="Z32" i="1"/>
  <c r="P32"/>
  <c r="I30" i="47" s="1"/>
  <c r="AK32" i="1"/>
  <c r="AF32"/>
  <c r="BP32"/>
  <c r="R31"/>
  <c r="S31"/>
  <c r="L32"/>
  <c r="J105" i="31" l="1"/>
  <c r="M14" i="47"/>
  <c r="M6"/>
  <c r="M28"/>
  <c r="M27"/>
  <c r="M30"/>
  <c r="N119" i="31"/>
  <c r="M17" i="47"/>
  <c r="R26" i="1"/>
  <c r="I24" i="47"/>
  <c r="M24" s="1"/>
  <c r="BN31" i="1"/>
  <c r="E29" i="47"/>
  <c r="M29" s="1"/>
  <c r="S28" i="1"/>
  <c r="I26" i="47"/>
  <c r="M26" s="1"/>
  <c r="BL15" i="1"/>
  <c r="E13" i="47"/>
  <c r="M9"/>
  <c r="R23" i="1"/>
  <c r="BO23" s="1"/>
  <c r="I21" i="47"/>
  <c r="M21" s="1"/>
  <c r="O5" i="1"/>
  <c r="G3" i="47"/>
  <c r="S20" i="1"/>
  <c r="I18" i="47"/>
  <c r="M18" s="1"/>
  <c r="O15" i="1"/>
  <c r="G13" i="47"/>
  <c r="BQ14" i="1"/>
  <c r="R22"/>
  <c r="BO22" s="1"/>
  <c r="I20" i="47"/>
  <c r="M20" s="1"/>
  <c r="S25" i="1"/>
  <c r="I23" i="47"/>
  <c r="M23" s="1"/>
  <c r="N118" i="31"/>
  <c r="S7" i="1"/>
  <c r="I5" i="47"/>
  <c r="M5" s="1"/>
  <c r="L21" i="1"/>
  <c r="E19" i="47"/>
  <c r="M19" s="1"/>
  <c r="S14" i="1"/>
  <c r="I12" i="47"/>
  <c r="M12" s="1"/>
  <c r="R33" i="1"/>
  <c r="BO33" s="1"/>
  <c r="I31" i="47"/>
  <c r="M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AG14" i="1"/>
  <c r="J120" i="31"/>
  <c r="AG21" i="1"/>
  <c r="J112" i="31"/>
  <c r="J104"/>
  <c r="J117"/>
  <c r="AM36" i="1"/>
  <c r="BQ21"/>
  <c r="Z37"/>
  <c r="AK37"/>
  <c r="K14" i="35"/>
  <c r="BQ5" i="1"/>
  <c r="J107" i="31"/>
  <c r="BQ4" i="1"/>
  <c r="BQ32"/>
  <c r="BQ25"/>
  <c r="AG25"/>
  <c r="BQ18"/>
  <c r="BQ15"/>
  <c r="AG15"/>
  <c r="BQ10"/>
  <c r="BQ6"/>
  <c r="BQ7"/>
  <c r="L15"/>
  <c r="K15" i="35"/>
  <c r="M36" i="1"/>
  <c r="AG33"/>
  <c r="R4"/>
  <c r="BO4" s="1"/>
  <c r="AF20"/>
  <c r="AG20" s="1"/>
  <c r="BM15"/>
  <c r="L37"/>
  <c r="BN15"/>
  <c r="BM21"/>
  <c r="BP20"/>
  <c r="BQ20" s="1"/>
  <c r="BJ20"/>
  <c r="BN21"/>
  <c r="BO21"/>
  <c r="BP37"/>
  <c r="BM37"/>
  <c r="BO11"/>
  <c r="BL21"/>
  <c r="BO9"/>
  <c r="AG7"/>
  <c r="BL31"/>
  <c r="BL37"/>
  <c r="L31"/>
  <c r="BM31"/>
  <c r="S26"/>
  <c r="R20"/>
  <c r="BO20" s="1"/>
  <c r="R15"/>
  <c r="R6"/>
  <c r="BO6" s="1"/>
  <c r="R28"/>
  <c r="BO28" s="1"/>
  <c r="BO31"/>
  <c r="S13"/>
  <c r="S23"/>
  <c r="S22"/>
  <c r="R29"/>
  <c r="BO29" s="1"/>
  <c r="S29"/>
  <c r="R8"/>
  <c r="BO8" s="1"/>
  <c r="S8"/>
  <c r="R14"/>
  <c r="BO14" s="1"/>
  <c r="AF37"/>
  <c r="BO16"/>
  <c r="R19"/>
  <c r="BO19" s="1"/>
  <c r="S19"/>
  <c r="S37"/>
  <c r="AG18"/>
  <c r="AG37" s="1"/>
  <c r="BO26"/>
  <c r="BO12"/>
  <c r="BO10"/>
  <c r="AG10"/>
  <c r="BO25"/>
  <c r="R27"/>
  <c r="BO27" s="1"/>
  <c r="S27"/>
  <c r="R30"/>
  <c r="BO30" s="1"/>
  <c r="S30"/>
  <c r="R5"/>
  <c r="BO5" s="1"/>
  <c r="R7"/>
  <c r="BO7" s="1"/>
  <c r="H70" i="31"/>
  <c r="N70" s="1"/>
  <c r="H69" i="42"/>
  <c r="K37" i="1"/>
  <c r="BO17"/>
  <c r="R37"/>
  <c r="BO18"/>
  <c r="P36"/>
  <c r="AG6"/>
  <c r="AG5"/>
  <c r="AG4"/>
  <c r="AG32"/>
  <c r="I58" i="42"/>
  <c r="S32" i="1"/>
  <c r="R32"/>
  <c r="BO32" s="1"/>
  <c r="M3" i="47" l="1"/>
  <c r="M13"/>
  <c r="BO15" i="1"/>
  <c r="H31" i="31"/>
  <c r="BO37" i="1"/>
  <c r="H22" i="31" l="1"/>
  <c r="J22" s="1"/>
  <c r="H22" i="42"/>
  <c r="J22" s="1"/>
  <c r="H119"/>
  <c r="J119" s="1"/>
  <c r="H133" i="31" l="1"/>
  <c r="J133" s="1"/>
  <c r="H24" i="42"/>
  <c r="J24" s="1"/>
  <c r="H24" i="31"/>
  <c r="J24" s="1"/>
  <c r="H88" i="42" l="1"/>
  <c r="J88" s="1"/>
  <c r="H94" i="31"/>
  <c r="H117" i="42"/>
  <c r="J117" s="1"/>
  <c r="H76"/>
  <c r="J76" s="1"/>
  <c r="H77" i="31"/>
  <c r="H68"/>
  <c r="H67" i="42"/>
  <c r="J67" s="1"/>
  <c r="H57" i="31"/>
  <c r="H56" i="42"/>
  <c r="J56" s="1"/>
  <c r="H44"/>
  <c r="J44" s="1"/>
  <c r="H45" i="31"/>
  <c r="H11" i="42"/>
  <c r="J11" s="1"/>
  <c r="H19"/>
  <c r="J19" s="1"/>
  <c r="H126"/>
  <c r="J126" s="1"/>
  <c r="H124"/>
  <c r="J124" s="1"/>
  <c r="H80"/>
  <c r="J80" s="1"/>
  <c r="H81" i="31"/>
  <c r="H43"/>
  <c r="H42" i="42"/>
  <c r="J42" s="1"/>
  <c r="H12"/>
  <c r="J12" s="1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81"/>
  <c r="N81"/>
  <c r="J77"/>
  <c r="N77"/>
  <c r="BH33" i="1"/>
  <c r="H27" i="31"/>
  <c r="H29" i="42"/>
  <c r="J29" s="1"/>
  <c r="H23"/>
  <c r="J23" s="1"/>
  <c r="H23" i="31"/>
  <c r="J23" s="1"/>
  <c r="H18" i="42"/>
  <c r="J18" s="1"/>
  <c r="H123"/>
  <c r="J123" s="1"/>
  <c r="H116"/>
  <c r="J116" s="1"/>
  <c r="H122"/>
  <c r="J122" s="1"/>
  <c r="H86"/>
  <c r="J86" s="1"/>
  <c r="H92" i="31"/>
  <c r="H63" i="42"/>
  <c r="J63" s="1"/>
  <c r="H64" i="31"/>
  <c r="H62"/>
  <c r="H61" i="42"/>
  <c r="J61" s="1"/>
  <c r="H37"/>
  <c r="J37" s="1"/>
  <c r="H39"/>
  <c r="J39" s="1"/>
  <c r="H34"/>
  <c r="J34" s="1"/>
  <c r="H9"/>
  <c r="J9" s="1"/>
  <c r="H121"/>
  <c r="J121" s="1"/>
  <c r="H118"/>
  <c r="J118" s="1"/>
  <c r="H125" i="31"/>
  <c r="H99" i="42"/>
  <c r="J99" s="1"/>
  <c r="H127" i="31"/>
  <c r="H101" i="42"/>
  <c r="J101" s="1"/>
  <c r="H100"/>
  <c r="J100" s="1"/>
  <c r="H126" i="31"/>
  <c r="H124"/>
  <c r="H98" i="42"/>
  <c r="J98" s="1"/>
  <c r="H97"/>
  <c r="J97" s="1"/>
  <c r="H123" i="31"/>
  <c r="H94" i="42"/>
  <c r="J94" s="1"/>
  <c r="H100" i="31"/>
  <c r="H93" i="42"/>
  <c r="J93" s="1"/>
  <c r="H99" i="31"/>
  <c r="H98"/>
  <c r="H92" i="42"/>
  <c r="J92" s="1"/>
  <c r="H97" i="31"/>
  <c r="H91" i="42"/>
  <c r="J91" s="1"/>
  <c r="H90"/>
  <c r="J90" s="1"/>
  <c r="H96" i="31"/>
  <c r="H95" i="42"/>
  <c r="J95" s="1"/>
  <c r="H101" i="31"/>
  <c r="H83"/>
  <c r="H82" i="42"/>
  <c r="J82" s="1"/>
  <c r="H81"/>
  <c r="J81" s="1"/>
  <c r="H82" i="31"/>
  <c r="H80"/>
  <c r="H79" i="42"/>
  <c r="J79" s="1"/>
  <c r="H77"/>
  <c r="J77" s="1"/>
  <c r="H78" i="31"/>
  <c r="H79"/>
  <c r="H78" i="42"/>
  <c r="J78" s="1"/>
  <c r="H75"/>
  <c r="J75" s="1"/>
  <c r="H76" i="31"/>
  <c r="H73" i="42"/>
  <c r="J73" s="1"/>
  <c r="H74" i="31"/>
  <c r="H74" i="42"/>
  <c r="J74" s="1"/>
  <c r="H75" i="31"/>
  <c r="H67"/>
  <c r="H66" i="42"/>
  <c r="J66" s="1"/>
  <c r="H66" i="31"/>
  <c r="H65" i="42"/>
  <c r="J65" s="1"/>
  <c r="H64"/>
  <c r="J64" s="1"/>
  <c r="H65" i="31"/>
  <c r="H62" i="42"/>
  <c r="J62" s="1"/>
  <c r="H63" i="31"/>
  <c r="H57" i="42"/>
  <c r="J57" s="1"/>
  <c r="H52"/>
  <c r="J52" s="1"/>
  <c r="H53" i="31"/>
  <c r="H52"/>
  <c r="H51" i="42"/>
  <c r="J51" s="1"/>
  <c r="H51" i="31"/>
  <c r="H50" i="42"/>
  <c r="J50" s="1"/>
  <c r="H49" i="31"/>
  <c r="H48" i="42"/>
  <c r="J48" s="1"/>
  <c r="H58"/>
  <c r="J58" s="1"/>
  <c r="H59" i="31"/>
  <c r="H45" i="42"/>
  <c r="J45" s="1"/>
  <c r="H46" i="31"/>
  <c r="H103" i="42"/>
  <c r="J103" s="1"/>
  <c r="H105"/>
  <c r="J105" s="1"/>
  <c r="H38"/>
  <c r="J38" s="1"/>
  <c r="H111"/>
  <c r="J111" s="1"/>
  <c r="H10"/>
  <c r="J10" s="1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H152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H29"/>
  <c r="H55" i="42"/>
  <c r="J55" s="1"/>
  <c r="H56" i="31"/>
  <c r="H50"/>
  <c r="H49" i="42"/>
  <c r="J49" s="1"/>
  <c r="H35"/>
  <c r="J35" s="1"/>
  <c r="H36"/>
  <c r="J36" s="1"/>
  <c r="H43"/>
  <c r="J43" s="1"/>
  <c r="H44" i="31"/>
  <c r="H20"/>
  <c r="H125" i="42"/>
  <c r="J125" s="1"/>
  <c r="H120"/>
  <c r="J120" s="1"/>
  <c r="H134" i="31"/>
  <c r="H89" i="42"/>
  <c r="J89" s="1"/>
  <c r="H95" i="31"/>
  <c r="H93"/>
  <c r="H87" i="42"/>
  <c r="J87" s="1"/>
  <c r="H84" i="31"/>
  <c r="H83" i="42"/>
  <c r="J83" s="1"/>
  <c r="H84"/>
  <c r="J84" s="1"/>
  <c r="H85" i="31"/>
  <c r="H72" i="42"/>
  <c r="J72" s="1"/>
  <c r="H73" i="31"/>
  <c r="H71" i="42"/>
  <c r="J71" s="1"/>
  <c r="H72" i="31"/>
  <c r="H69"/>
  <c r="H68" i="42"/>
  <c r="J68" s="1"/>
  <c r="H54"/>
  <c r="J54" s="1"/>
  <c r="H55" i="31"/>
  <c r="H53" i="42"/>
  <c r="J53" s="1"/>
  <c r="H54" i="31"/>
  <c r="H109" i="42"/>
  <c r="J109" s="1"/>
  <c r="H42" i="31"/>
  <c r="H41" i="42"/>
  <c r="J41" s="1"/>
  <c r="H40"/>
  <c r="J40" s="1"/>
  <c r="H41" i="31"/>
  <c r="H107" i="42"/>
  <c r="J107" s="1"/>
  <c r="H28"/>
  <c r="J28" s="1"/>
  <c r="H15"/>
  <c r="J15" s="1"/>
  <c r="I16" s="1"/>
  <c r="H15" i="31"/>
  <c r="J15" s="1"/>
  <c r="I16" s="1"/>
  <c r="H13" i="42"/>
  <c r="J13" s="1"/>
  <c r="H104"/>
  <c r="J104" s="1"/>
  <c r="H106"/>
  <c r="J106" s="1"/>
  <c r="H108"/>
  <c r="J108" s="1"/>
  <c r="H110"/>
  <c r="J110" s="1"/>
  <c r="H114"/>
  <c r="J114" s="1"/>
  <c r="H7"/>
  <c r="J7" s="1"/>
  <c r="I9" s="1"/>
  <c r="H112"/>
  <c r="J112" s="1"/>
  <c r="J58" i="31" l="1"/>
  <c r="BH34" i="1"/>
  <c r="BL34" s="1"/>
  <c r="H146" i="31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72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J134"/>
  <c r="J29"/>
  <c r="H32"/>
  <c r="H20" i="42"/>
  <c r="J20" s="1"/>
  <c r="J20" i="31"/>
  <c r="H30" i="42"/>
  <c r="J30" s="1"/>
  <c r="H46"/>
  <c r="J46" s="1"/>
  <c r="H47" i="31"/>
  <c r="H31" i="42"/>
  <c r="J31" s="1"/>
  <c r="H27"/>
  <c r="J27" s="1"/>
  <c r="BP34" i="1" l="1"/>
  <c r="BQ34" s="1"/>
  <c r="J47" i="31"/>
  <c r="N47"/>
  <c r="J32"/>
  <c r="H60"/>
  <c r="H59" i="42"/>
  <c r="J59" s="1"/>
  <c r="J60" i="31" l="1"/>
  <c r="N60"/>
  <c r="H8" l="1"/>
  <c r="J8" s="1"/>
  <c r="I18" i="42" l="1"/>
  <c r="I20" s="1"/>
  <c r="I18" i="31"/>
  <c r="I20" s="1"/>
  <c r="H149" l="1"/>
  <c r="J149" s="1"/>
  <c r="H147"/>
  <c r="J147" s="1"/>
  <c r="H151"/>
  <c r="I33" i="1"/>
  <c r="E31" i="47" s="1"/>
  <c r="M31" s="1"/>
  <c r="H145" i="31"/>
  <c r="H7"/>
  <c r="H143"/>
  <c r="H153"/>
  <c r="J153" l="1"/>
  <c r="J7"/>
  <c r="I9" s="1"/>
  <c r="J151"/>
  <c r="J143"/>
  <c r="L33" i="1"/>
  <c r="BN33"/>
  <c r="I38"/>
  <c r="BM33"/>
  <c r="BL33"/>
  <c r="I35"/>
  <c r="J145" i="31"/>
  <c r="BN35" i="1" l="1"/>
  <c r="BL35"/>
</calcChain>
</file>

<file path=xl/comments1.xml><?xml version="1.0" encoding="utf-8"?>
<comments xmlns="http://schemas.openxmlformats.org/spreadsheetml/2006/main">
  <authors>
    <author>Aparna.dindore</author>
  </authors>
  <commentList>
    <comment ref="F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comments2.xml><?xml version="1.0" encoding="utf-8"?>
<comments xmlns="http://schemas.openxmlformats.org/spreadsheetml/2006/main">
  <authors>
    <author>Aparna.dindore</author>
  </authors>
  <commentList>
    <comment ref="E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sharedStrings.xml><?xml version="1.0" encoding="utf-8"?>
<sst xmlns="http://schemas.openxmlformats.org/spreadsheetml/2006/main" count="10205" uniqueCount="323">
  <si>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</si>
  <si>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</si>
  <si>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</si>
  <si>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</si>
  <si>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</si>
  <si>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</si>
  <si>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</si>
  <si>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</si>
  <si>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</si>
  <si>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</si>
  <si>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</si>
  <si>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</si>
  <si>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</si>
  <si>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</si>
  <si>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</si>
  <si>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</si>
  <si>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</si>
  <si>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</si>
  <si>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</si>
  <si>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</si>
  <si>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</si>
  <si>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</si>
  <si>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</si>
  <si>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</si>
  <si>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</si>
  <si>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</si>
  <si>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</si>
  <si>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</si>
  <si>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</si>
  <si>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</si>
  <si>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</si>
  <si>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</si>
  <si>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</si>
  <si>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</si>
  <si>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</si>
  <si>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</si>
  <si>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</si>
  <si>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</si>
  <si>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</si>
  <si>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</si>
  <si>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</si>
  <si>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</si>
  <si>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</si>
  <si>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</si>
  <si>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</si>
  <si>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</si>
  <si>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</si>
  <si>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</si>
  <si>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</si>
  <si>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</si>
  <si>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</si>
  <si>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</si>
  <si>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</si>
  <si>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</si>
  <si>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</si>
  <si>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</si>
  <si>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</si>
  <si>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</si>
  <si>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</si>
  <si>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</si>
  <si>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</si>
  <si>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</si>
  <si>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</si>
  <si>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</si>
  <si>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</si>
  <si>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</si>
  <si>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</si>
  <si>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</si>
  <si>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</si>
  <si>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</si>
  <si>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</si>
  <si>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</si>
  <si>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</si>
  <si>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</si>
  <si>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</si>
  <si>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</si>
  <si>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</si>
  <si>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</si>
  <si>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</si>
  <si>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</si>
  <si>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</si>
  <si>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</si>
  <si>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</si>
  <si>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</si>
  <si>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</si>
  <si>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</si>
  <si>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</si>
  <si>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</si>
  <si>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</si>
  <si>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</si>
  <si>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</si>
  <si>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</si>
  <si>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</si>
  <si>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</si>
  <si>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</si>
  <si>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</si>
  <si>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</si>
  <si>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</si>
  <si>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</si>
  <si>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</si>
  <si>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</si>
  <si>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</si>
  <si>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</si>
  <si>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</si>
  <si>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</si>
  <si>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</si>
  <si>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</si>
  <si>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</si>
  <si>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</si>
  <si>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</si>
  <si>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</si>
  <si>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</si>
  <si>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</si>
  <si>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</si>
  <si>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</si>
  <si>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</si>
  <si>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</si>
  <si>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</si>
  <si>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</si>
  <si>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</si>
  <si>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</si>
  <si>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</si>
  <si>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</si>
  <si>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</si>
  <si>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</si>
  <si>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</si>
  <si>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</si>
  <si>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</si>
  <si>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</si>
  <si>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</si>
  <si>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</si>
  <si>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</si>
  <si>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</si>
  <si>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</si>
  <si>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</si>
  <si>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</si>
  <si>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</si>
  <si>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</si>
  <si>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</si>
  <si>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</si>
  <si>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</si>
  <si>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</si>
  <si>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</si>
  <si>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</si>
  <si>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</si>
  <si>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</si>
  <si>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</si>
  <si>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</si>
  <si>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</si>
  <si>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</si>
  <si>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</si>
  <si>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</si>
  <si>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</si>
  <si>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</si>
  <si>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</si>
  <si>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</si>
  <si>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</si>
  <si>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</si>
  <si>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</si>
  <si>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</si>
  <si>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</si>
  <si>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</si>
  <si>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</si>
  <si>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</si>
  <si>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</si>
  <si>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</si>
  <si>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</si>
  <si>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</si>
  <si>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</si>
  <si>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</si>
  <si>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</si>
  <si>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</si>
  <si>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</si>
  <si>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</si>
  <si>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</si>
  <si>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</si>
  <si>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</si>
  <si>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</si>
  <si>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</si>
  <si>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</si>
  <si>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</si>
  <si>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</si>
  <si>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</si>
  <si>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</si>
  <si>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</si>
  <si>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</si>
  <si>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</si>
  <si>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</si>
  <si>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</si>
  <si>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</si>
  <si>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</si>
  <si>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</si>
  <si>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</si>
  <si>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</si>
  <si>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</si>
  <si>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</si>
  <si>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</si>
  <si>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</si>
  <si>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</si>
  <si>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</si>
  <si>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</si>
  <si>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</si>
  <si>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</si>
  <si>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</si>
  <si>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</si>
  <si>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</si>
  <si>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</si>
  <si>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</si>
  <si>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</si>
  <si>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</si>
  <si>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</si>
  <si>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</si>
  <si>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</si>
  <si>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</si>
  <si>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</si>
  <si>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</si>
  <si>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</si>
  <si>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</si>
  <si>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</si>
  <si>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</si>
  <si>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</si>
  <si>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</si>
  <si>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</si>
  <si>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</si>
  <si>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</si>
  <si>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</si>
  <si>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</si>
  <si>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</si>
  <si>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</si>
  <si>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</si>
  <si>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</si>
  <si>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</si>
  <si>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</si>
  <si>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</si>
  <si>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</si>
  <si>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</si>
  <si>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</si>
  <si>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</si>
  <si>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</si>
  <si>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</si>
  <si>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</si>
  <si>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</si>
  <si>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</si>
  <si>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</si>
  <si>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</si>
  <si>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</si>
  <si>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</si>
  <si>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</si>
  <si>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</si>
  <si>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</si>
  <si>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</si>
  <si>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</si>
  <si>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</si>
  <si>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</si>
  <si>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</si>
  <si>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</si>
  <si>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</si>
  <si>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</si>
  <si>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</si>
  <si>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</si>
  <si>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</si>
  <si>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</si>
  <si>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</si>
  <si>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</si>
  <si>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</si>
  <si>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</si>
  <si>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</si>
  <si>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</si>
  <si>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</si>
  <si>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</si>
  <si>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</si>
  <si>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</si>
  <si>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</si>
  <si>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</si>
  <si>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</si>
  <si>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</si>
  <si>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</si>
  <si>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</si>
  <si>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</si>
  <si>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</si>
  <si>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</si>
  <si>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10th</t>
  </si>
  <si>
    <t>*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</si>
  <si>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</si>
  <si>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</si>
  <si>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</si>
  <si>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</si>
  <si>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</si>
  <si>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</si>
  <si>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</si>
  <si>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</si>
  <si>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</si>
  <si>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</si>
  <si>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Prepaired by--- Ramesh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</si>
  <si>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</si>
  <si>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</si>
  <si>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</si>
  <si>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</si>
  <si>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</si>
  <si>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</si>
  <si>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</si>
  <si>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</si>
  <si>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</si>
  <si>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</si>
  <si>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</si>
  <si>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</si>
  <si>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</si>
  <si>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</si>
  <si>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</si>
  <si>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</si>
  <si>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</si>
  <si>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</si>
  <si>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</si>
  <si>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</si>
  <si>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</si>
  <si>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</si>
  <si>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</si>
  <si>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</si>
  <si>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</si>
  <si>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 xml:space="preserve">Prepaired by--- Devendra </t>
  </si>
  <si>
    <t xml:space="preserve">Prepaired by--- Devendra  </t>
  </si>
  <si>
    <t>Prepaired by--- Nilesh</t>
  </si>
  <si>
    <t>xx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</si>
</sst>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6"/>
      <name val="Arial"/>
      <family val="2"/>
    </font>
    <font>
      <sz val="16"/>
      <color theme="1"/>
      <name val="Cambria"/>
      <family val="2"/>
      <scheme val="major"/>
    </font>
    <font>
      <sz val="16"/>
      <name val="Arial"/>
      <family val="2"/>
    </font>
    <font>
      <i/>
      <sz val="16"/>
      <color theme="0"/>
      <name val="Arial"/>
      <family val="2"/>
    </font>
    <font>
      <sz val="16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93" fillId="0" borderId="0" applyNumberFormat="0" applyFill="0" applyBorder="0" applyAlignment="0" applyProtection="0"/>
    <xf numFmtId="0" fontId="1" fillId="0" borderId="0"/>
  </cellStyleXfs>
  <cellXfs count="1728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/>
    <xf numFmtId="0" fontId="11" fillId="0" borderId="1" xfId="1" applyFont="1" applyFill="1" applyBorder="1" applyAlignment="1"/>
    <xf numFmtId="165" fontId="11" fillId="0" borderId="1" xfId="1" applyNumberFormat="1" applyFont="1" applyBorder="1" applyAlignment="1"/>
    <xf numFmtId="2" fontId="11" fillId="2" borderId="1" xfId="1" applyNumberFormat="1" applyFont="1" applyFill="1" applyBorder="1" applyAlignment="1"/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0" fontId="11" fillId="14" borderId="1" xfId="1" applyFont="1" applyFill="1" applyBorder="1" applyAlignment="1"/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11" fillId="0" borderId="2" xfId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0" fontId="11" fillId="0" borderId="21" xfId="1" applyFont="1" applyBorder="1" applyAlignment="1"/>
    <xf numFmtId="0" fontId="11" fillId="0" borderId="15" xfId="1" applyFont="1" applyBorder="1" applyAlignment="1"/>
    <xf numFmtId="0" fontId="11" fillId="0" borderId="22" xfId="1" applyFont="1" applyBorder="1" applyAlignment="1"/>
    <xf numFmtId="0" fontId="11" fillId="0" borderId="7" xfId="1" applyFont="1" applyBorder="1" applyAlignment="1"/>
    <xf numFmtId="0" fontId="11" fillId="0" borderId="23" xfId="1" applyFont="1" applyBorder="1" applyAlignment="1"/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11" fillId="0" borderId="3" xfId="1" applyFont="1" applyBorder="1" applyAlignment="1"/>
    <xf numFmtId="0" fontId="11" fillId="0" borderId="24" xfId="1" applyFont="1" applyBorder="1" applyAlignment="1"/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4" fillId="2" borderId="1" xfId="5" applyNumberFormat="1" applyFont="1" applyFill="1" applyBorder="1" applyAlignment="1">
      <alignment horizontal="center" vertical="center"/>
    </xf>
    <xf numFmtId="1" fontId="54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1" fontId="11" fillId="2" borderId="1" xfId="1" quotePrefix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9" fontId="11" fillId="0" borderId="1" xfId="1" applyNumberFormat="1" applyFont="1" applyBorder="1" applyAlignment="1"/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left"/>
    </xf>
    <xf numFmtId="0" fontId="17" fillId="15" borderId="1" xfId="3" applyFont="1" applyFill="1" applyBorder="1" applyAlignment="1">
      <alignment horizontal="center" vertical="center"/>
    </xf>
    <xf numFmtId="0" fontId="17" fillId="15" borderId="1" xfId="3" applyFont="1" applyFill="1" applyBorder="1" applyAlignment="1">
      <alignment horizontal="center"/>
    </xf>
    <xf numFmtId="1" fontId="17" fillId="2" borderId="7" xfId="5" applyNumberFormat="1" applyFont="1" applyFill="1" applyBorder="1" applyAlignment="1">
      <alignment horizontal="center" vertical="center"/>
    </xf>
    <xf numFmtId="0" fontId="17" fillId="16" borderId="2" xfId="3" applyFont="1" applyFill="1" applyBorder="1" applyAlignment="1">
      <alignment horizontal="center"/>
    </xf>
    <xf numFmtId="0" fontId="17" fillId="16" borderId="3" xfId="3" applyFont="1" applyFill="1" applyBorder="1" applyAlignment="1">
      <alignment horizontal="center"/>
    </xf>
    <xf numFmtId="0" fontId="17" fillId="16" borderId="4" xfId="3" applyFont="1" applyFill="1" applyBorder="1" applyAlignment="1">
      <alignment horizontal="center"/>
    </xf>
    <xf numFmtId="0" fontId="27" fillId="15" borderId="1" xfId="3" applyFont="1" applyFill="1" applyBorder="1" applyAlignment="1">
      <alignment horizontal="center"/>
    </xf>
    <xf numFmtId="1" fontId="27" fillId="15" borderId="1" xfId="3" applyNumberFormat="1" applyFont="1" applyFill="1" applyBorder="1" applyAlignment="1">
      <alignment horizontal="center"/>
    </xf>
    <xf numFmtId="0" fontId="17" fillId="16" borderId="2" xfId="3" applyFont="1" applyFill="1" applyBorder="1" applyAlignment="1">
      <alignment horizontal="center" vertical="center"/>
    </xf>
    <xf numFmtId="0" fontId="17" fillId="16" borderId="3" xfId="3" applyFont="1" applyFill="1" applyBorder="1" applyAlignment="1">
      <alignment horizontal="center" vertical="center"/>
    </xf>
    <xf numFmtId="0" fontId="17" fillId="16" borderId="4" xfId="3" applyFont="1" applyFill="1" applyBorder="1" applyAlignment="1">
      <alignment horizontal="center" vertical="center"/>
    </xf>
    <xf numFmtId="0" fontId="18" fillId="15" borderId="1" xfId="3" applyFont="1" applyFill="1" applyBorder="1" applyAlignment="1"/>
    <xf numFmtId="0" fontId="18" fillId="15" borderId="2" xfId="3" applyFont="1" applyFill="1" applyBorder="1" applyAlignment="1"/>
    <xf numFmtId="0" fontId="18" fillId="15" borderId="3" xfId="3" applyFont="1" applyFill="1" applyBorder="1" applyAlignment="1"/>
    <xf numFmtId="0" fontId="17" fillId="15" borderId="3" xfId="3" applyFont="1" applyFill="1" applyBorder="1" applyAlignment="1"/>
    <xf numFmtId="0" fontId="17" fillId="15" borderId="4" xfId="3" applyFont="1" applyFill="1" applyBorder="1" applyAlignment="1">
      <alignment vertical="center"/>
    </xf>
    <xf numFmtId="0" fontId="16" fillId="15" borderId="1" xfId="3" applyFont="1" applyFill="1" applyBorder="1" applyAlignment="1"/>
    <xf numFmtId="0" fontId="18" fillId="2" borderId="1" xfId="4" applyFont="1" applyFill="1" applyBorder="1" applyAlignment="1"/>
    <xf numFmtId="0" fontId="23" fillId="16" borderId="1" xfId="4" applyFont="1" applyFill="1" applyBorder="1"/>
    <xf numFmtId="0" fontId="22" fillId="16" borderId="1" xfId="0" applyFont="1" applyFill="1" applyBorder="1"/>
    <xf numFmtId="1" fontId="16" fillId="8" borderId="1" xfId="3" applyNumberFormat="1" applyFont="1" applyFill="1" applyBorder="1" applyAlignment="1">
      <alignment horizontal="center"/>
    </xf>
    <xf numFmtId="0" fontId="17" fillId="15" borderId="3" xfId="3" applyFont="1" applyFill="1" applyBorder="1" applyAlignment="1">
      <alignment horizontal="center"/>
    </xf>
    <xf numFmtId="1" fontId="27" fillId="2" borderId="1" xfId="3" applyNumberFormat="1" applyFont="1" applyFill="1" applyBorder="1" applyAlignment="1">
      <alignment horizontal="center"/>
    </xf>
    <xf numFmtId="0" fontId="17" fillId="0" borderId="2" xfId="4" applyFont="1" applyBorder="1"/>
    <xf numFmtId="9" fontId="17" fillId="8" borderId="1" xfId="6" applyNumberFormat="1" applyFont="1" applyFill="1" applyBorder="1" applyAlignment="1">
      <alignment horizontal="center"/>
    </xf>
    <xf numFmtId="1" fontId="17" fillId="15" borderId="1" xfId="5" applyNumberFormat="1" applyFont="1" applyFill="1" applyBorder="1" applyAlignment="1">
      <alignment horizontal="center"/>
    </xf>
    <xf numFmtId="0" fontId="57" fillId="0" borderId="0" xfId="0" applyFont="1"/>
    <xf numFmtId="0" fontId="59" fillId="2" borderId="6" xfId="3" applyFont="1" applyFill="1" applyBorder="1" applyAlignment="1">
      <alignment horizontal="center" vertical="center"/>
    </xf>
    <xf numFmtId="0" fontId="57" fillId="0" borderId="0" xfId="0" applyFont="1" applyBorder="1"/>
    <xf numFmtId="164" fontId="59" fillId="2" borderId="6" xfId="3" applyNumberFormat="1" applyFont="1" applyFill="1" applyBorder="1" applyAlignment="1">
      <alignment horizontal="center"/>
    </xf>
    <xf numFmtId="164" fontId="56" fillId="2" borderId="6" xfId="3" applyNumberFormat="1" applyFont="1" applyFill="1" applyBorder="1" applyAlignment="1">
      <alignment horizontal="center" vertical="center" wrapText="1" shrinkToFit="1"/>
    </xf>
    <xf numFmtId="0" fontId="56" fillId="2" borderId="6" xfId="3" applyFont="1" applyFill="1" applyBorder="1" applyAlignment="1">
      <alignment horizontal="center" vertical="center"/>
    </xf>
    <xf numFmtId="1" fontId="56" fillId="2" borderId="6" xfId="5" applyNumberFormat="1" applyFont="1" applyFill="1" applyBorder="1" applyAlignment="1" applyProtection="1">
      <alignment horizontal="center"/>
    </xf>
    <xf numFmtId="0" fontId="56" fillId="2" borderId="6" xfId="3" applyFont="1" applyFill="1" applyBorder="1" applyAlignment="1">
      <alignment horizontal="center"/>
    </xf>
    <xf numFmtId="2" fontId="56" fillId="2" borderId="6" xfId="5" applyNumberFormat="1" applyFont="1" applyFill="1" applyBorder="1" applyAlignment="1" applyProtection="1">
      <alignment horizontal="center"/>
    </xf>
    <xf numFmtId="165" fontId="56" fillId="2" borderId="6" xfId="6" applyNumberFormat="1" applyFont="1" applyFill="1" applyBorder="1" applyAlignment="1">
      <alignment horizontal="center"/>
    </xf>
    <xf numFmtId="164" fontId="56" fillId="2" borderId="6" xfId="5" applyNumberFormat="1" applyFont="1" applyFill="1" applyBorder="1" applyAlignment="1" applyProtection="1">
      <alignment horizontal="center"/>
    </xf>
    <xf numFmtId="0" fontId="58" fillId="0" borderId="0" xfId="0" applyFont="1" applyBorder="1"/>
    <xf numFmtId="0" fontId="58" fillId="0" borderId="0" xfId="0" applyFont="1"/>
    <xf numFmtId="164" fontId="56" fillId="2" borderId="6" xfId="3" applyNumberFormat="1" applyFont="1" applyFill="1" applyBorder="1" applyAlignment="1">
      <alignment horizontal="center"/>
    </xf>
    <xf numFmtId="164" fontId="56" fillId="2" borderId="0" xfId="5" applyNumberFormat="1" applyFont="1" applyFill="1" applyBorder="1" applyAlignment="1" applyProtection="1">
      <alignment horizontal="center"/>
    </xf>
    <xf numFmtId="0" fontId="60" fillId="0" borderId="0" xfId="4" applyFont="1"/>
    <xf numFmtId="1" fontId="57" fillId="0" borderId="0" xfId="0" applyNumberFormat="1" applyFont="1" applyAlignment="1">
      <alignment horizontal="center"/>
    </xf>
    <xf numFmtId="1" fontId="57" fillId="0" borderId="0" xfId="0" applyNumberFormat="1" applyFont="1"/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left"/>
    </xf>
    <xf numFmtId="164" fontId="16" fillId="8" borderId="3" xfId="5" applyNumberFormat="1" applyFont="1" applyFill="1" applyBorder="1" applyAlignment="1" applyProtection="1">
      <alignment horizontal="center" vertical="top"/>
    </xf>
    <xf numFmtId="1" fontId="17" fillId="8" borderId="3" xfId="5" applyNumberFormat="1" applyFont="1" applyFill="1" applyBorder="1" applyAlignment="1" applyProtection="1">
      <alignment horizontal="center"/>
    </xf>
    <xf numFmtId="0" fontId="61" fillId="0" borderId="30" xfId="4" applyFont="1" applyBorder="1" applyAlignment="1">
      <alignment vertical="center" wrapText="1"/>
    </xf>
    <xf numFmtId="0" fontId="61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62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5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4" fillId="0" borderId="1" xfId="0" applyFont="1" applyFill="1" applyBorder="1"/>
    <xf numFmtId="0" fontId="65" fillId="0" borderId="0" xfId="0" applyFont="1" applyBorder="1"/>
    <xf numFmtId="0" fontId="65" fillId="0" borderId="1" xfId="0" applyFont="1" applyBorder="1" applyAlignment="1">
      <alignment horizontal="center"/>
    </xf>
    <xf numFmtId="1" fontId="65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5" fillId="0" borderId="1" xfId="0" applyNumberFormat="1" applyFont="1" applyFill="1" applyBorder="1" applyAlignment="1">
      <alignment horizont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0" borderId="0" xfId="0" applyFont="1" applyFill="1"/>
    <xf numFmtId="0" fontId="64" fillId="0" borderId="0" xfId="0" applyFont="1" applyFill="1"/>
    <xf numFmtId="1" fontId="64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5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4" fillId="0" borderId="1" xfId="0" applyNumberFormat="1" applyFont="1" applyFill="1" applyBorder="1" applyAlignment="1">
      <alignment horizontal="center"/>
    </xf>
    <xf numFmtId="0" fontId="65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5" fillId="0" borderId="4" xfId="0" applyFont="1" applyBorder="1" applyAlignment="1">
      <alignment horizontal="center"/>
    </xf>
    <xf numFmtId="0" fontId="64" fillId="0" borderId="4" xfId="0" applyFont="1" applyFill="1" applyBorder="1"/>
    <xf numFmtId="0" fontId="65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5" fillId="0" borderId="0" xfId="0" applyNumberFormat="1" applyFont="1" applyFill="1" applyAlignment="1">
      <alignment horizontal="center"/>
    </xf>
    <xf numFmtId="1" fontId="65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1" fontId="16" fillId="2" borderId="1" xfId="3" applyNumberFormat="1" applyFont="1" applyFill="1" applyBorder="1" applyAlignment="1">
      <alignment horizontal="center"/>
    </xf>
    <xf numFmtId="0" fontId="63" fillId="0" borderId="1" xfId="0" applyFont="1" applyBorder="1"/>
    <xf numFmtId="9" fontId="63" fillId="0" borderId="1" xfId="0" applyNumberFormat="1" applyFont="1" applyBorder="1"/>
    <xf numFmtId="1" fontId="63" fillId="0" borderId="1" xfId="0" applyNumberFormat="1" applyFont="1" applyBorder="1"/>
    <xf numFmtId="0" fontId="0" fillId="0" borderId="0" xfId="0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6" fillId="15" borderId="1" xfId="3" applyFont="1" applyFill="1" applyBorder="1" applyAlignment="1"/>
    <xf numFmtId="0" fontId="72" fillId="0" borderId="0" xfId="0" applyFont="1"/>
    <xf numFmtId="2" fontId="73" fillId="8" borderId="1" xfId="3" applyNumberFormat="1" applyFont="1" applyFill="1" applyBorder="1" applyAlignment="1">
      <alignment horizontal="center"/>
    </xf>
    <xf numFmtId="0" fontId="76" fillId="0" borderId="0" xfId="0" applyFont="1"/>
    <xf numFmtId="0" fontId="74" fillId="0" borderId="0" xfId="0" applyFont="1"/>
    <xf numFmtId="0" fontId="66" fillId="15" borderId="1" xfId="3" applyFont="1" applyFill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/>
    </xf>
    <xf numFmtId="0" fontId="67" fillId="9" borderId="1" xfId="3" applyFont="1" applyFill="1" applyBorder="1" applyAlignment="1">
      <alignment horizontal="center" vertical="center"/>
    </xf>
    <xf numFmtId="10" fontId="67" fillId="9" borderId="1" xfId="3" applyNumberFormat="1" applyFont="1" applyFill="1" applyBorder="1" applyAlignment="1">
      <alignment horizontal="center"/>
    </xf>
    <xf numFmtId="1" fontId="67" fillId="9" borderId="1" xfId="3" applyNumberFormat="1" applyFont="1" applyFill="1" applyBorder="1" applyAlignment="1">
      <alignment horizontal="center"/>
    </xf>
    <xf numFmtId="2" fontId="67" fillId="9" borderId="1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center"/>
    </xf>
    <xf numFmtId="0" fontId="75" fillId="0" borderId="0" xfId="0" applyFont="1"/>
    <xf numFmtId="2" fontId="73" fillId="2" borderId="1" xfId="3" applyNumberFormat="1" applyFont="1" applyFill="1" applyBorder="1" applyAlignment="1">
      <alignment horizontal="center" vertical="center"/>
    </xf>
    <xf numFmtId="164" fontId="73" fillId="8" borderId="1" xfId="3" applyNumberFormat="1" applyFont="1" applyFill="1" applyBorder="1" applyAlignment="1">
      <alignment horizontal="center" wrapText="1" shrinkToFit="1"/>
    </xf>
    <xf numFmtId="2" fontId="73" fillId="8" borderId="1" xfId="3" applyNumberFormat="1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 vertical="center"/>
    </xf>
    <xf numFmtId="0" fontId="73" fillId="2" borderId="1" xfId="3" applyNumberFormat="1" applyFont="1" applyFill="1" applyBorder="1" applyAlignment="1">
      <alignment horizontal="center"/>
    </xf>
    <xf numFmtId="2" fontId="73" fillId="8" borderId="8" xfId="3" applyNumberFormat="1" applyFont="1" applyFill="1" applyBorder="1" applyAlignment="1">
      <alignment horizontal="center"/>
    </xf>
    <xf numFmtId="1" fontId="73" fillId="2" borderId="7" xfId="5" applyNumberFormat="1" applyFont="1" applyFill="1" applyBorder="1" applyAlignment="1">
      <alignment horizontal="center" vertical="center"/>
    </xf>
    <xf numFmtId="1" fontId="73" fillId="2" borderId="8" xfId="3" applyNumberFormat="1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3" fillId="8" borderId="1" xfId="5" applyNumberFormat="1" applyFont="1" applyFill="1" applyBorder="1" applyAlignment="1">
      <alignment horizontal="center" vertical="center"/>
    </xf>
    <xf numFmtId="2" fontId="73" fillId="2" borderId="1" xfId="3" applyNumberFormat="1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0" fontId="73" fillId="2" borderId="1" xfId="4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2" fontId="73" fillId="12" borderId="1" xfId="3" applyNumberFormat="1" applyFont="1" applyFill="1" applyBorder="1" applyAlignment="1">
      <alignment horizontal="center"/>
    </xf>
    <xf numFmtId="1" fontId="78" fillId="15" borderId="1" xfId="3" applyNumberFormat="1" applyFont="1" applyFill="1" applyBorder="1" applyAlignment="1">
      <alignment horizontal="center"/>
    </xf>
    <xf numFmtId="0" fontId="73" fillId="0" borderId="1" xfId="4" applyFont="1" applyBorder="1"/>
    <xf numFmtId="0" fontId="80" fillId="8" borderId="1" xfId="3" applyFont="1" applyFill="1" applyBorder="1" applyAlignment="1">
      <alignment horizontal="center"/>
    </xf>
    <xf numFmtId="164" fontId="80" fillId="8" borderId="1" xfId="5" applyNumberFormat="1" applyFont="1" applyFill="1" applyBorder="1" applyAlignment="1">
      <alignment horizontal="center" vertical="center"/>
    </xf>
    <xf numFmtId="1" fontId="73" fillId="12" borderId="1" xfId="5" applyNumberFormat="1" applyFont="1" applyFill="1" applyBorder="1" applyAlignment="1" applyProtection="1">
      <alignment horizontal="center"/>
    </xf>
    <xf numFmtId="0" fontId="80" fillId="2" borderId="1" xfId="4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2" fontId="82" fillId="8" borderId="1" xfId="3" applyNumberFormat="1" applyFont="1" applyFill="1" applyBorder="1" applyAlignment="1">
      <alignment horizontal="center"/>
    </xf>
    <xf numFmtId="164" fontId="78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2" fillId="8" borderId="1" xfId="5" applyNumberFormat="1" applyFont="1" applyFill="1" applyBorder="1" applyAlignment="1">
      <alignment horizontal="center" vertical="center"/>
    </xf>
    <xf numFmtId="2" fontId="73" fillId="8" borderId="1" xfId="9" applyNumberFormat="1" applyFont="1" applyFill="1" applyBorder="1" applyAlignment="1">
      <alignment horizontal="center"/>
    </xf>
    <xf numFmtId="168" fontId="78" fillId="8" borderId="1" xfId="5" applyNumberFormat="1" applyFont="1" applyFill="1" applyBorder="1" applyAlignment="1" applyProtection="1">
      <alignment horizontal="center" vertical="center"/>
    </xf>
    <xf numFmtId="164" fontId="81" fillId="8" borderId="1" xfId="5" applyNumberFormat="1" applyFont="1" applyFill="1" applyBorder="1" applyAlignment="1" applyProtection="1">
      <alignment horizontal="center"/>
    </xf>
    <xf numFmtId="1" fontId="82" fillId="0" borderId="1" xfId="4" applyNumberFormat="1" applyFont="1" applyBorder="1" applyAlignment="1">
      <alignment horizontal="center"/>
    </xf>
    <xf numFmtId="2" fontId="81" fillId="8" borderId="1" xfId="3" applyNumberFormat="1" applyFont="1" applyFill="1" applyBorder="1" applyAlignment="1">
      <alignment horizontal="right"/>
    </xf>
    <xf numFmtId="1" fontId="82" fillId="8" borderId="1" xfId="3" applyNumberFormat="1" applyFont="1" applyFill="1" applyBorder="1" applyAlignment="1">
      <alignment horizontal="center" vertical="center"/>
    </xf>
    <xf numFmtId="0" fontId="80" fillId="2" borderId="1" xfId="3" applyFont="1" applyFill="1" applyBorder="1" applyAlignment="1">
      <alignment horizontal="center"/>
    </xf>
    <xf numFmtId="169" fontId="80" fillId="8" borderId="1" xfId="5" applyNumberFormat="1" applyFont="1" applyFill="1" applyBorder="1" applyAlignment="1" applyProtection="1">
      <alignment horizontal="center" vertical="center"/>
    </xf>
    <xf numFmtId="1" fontId="80" fillId="2" borderId="1" xfId="3" applyNumberFormat="1" applyFont="1" applyFill="1" applyBorder="1" applyAlignment="1">
      <alignment horizontal="center" vertical="top"/>
    </xf>
    <xf numFmtId="0" fontId="73" fillId="0" borderId="1" xfId="4" applyFont="1" applyBorder="1" applyAlignment="1">
      <alignment horizontal="center" vertical="center"/>
    </xf>
    <xf numFmtId="0" fontId="73" fillId="8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vertical="center"/>
    </xf>
    <xf numFmtId="0" fontId="73" fillId="15" borderId="1" xfId="3" applyFont="1" applyFill="1" applyBorder="1" applyAlignment="1"/>
    <xf numFmtId="1" fontId="73" fillId="2" borderId="1" xfId="3" applyNumberFormat="1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 vertical="top"/>
    </xf>
    <xf numFmtId="0" fontId="73" fillId="2" borderId="1" xfId="4" applyFont="1" applyFill="1" applyBorder="1" applyAlignment="1">
      <alignment horizontal="left"/>
    </xf>
    <xf numFmtId="0" fontId="73" fillId="2" borderId="1" xfId="4" applyFont="1" applyFill="1" applyBorder="1" applyAlignment="1"/>
    <xf numFmtId="0" fontId="79" fillId="2" borderId="1" xfId="4" applyFont="1" applyFill="1" applyBorder="1" applyAlignment="1">
      <alignment horizontal="center" wrapText="1"/>
    </xf>
    <xf numFmtId="0" fontId="79" fillId="0" borderId="1" xfId="4" applyFont="1" applyFill="1" applyBorder="1" applyAlignment="1">
      <alignment horizontal="center" wrapText="1"/>
    </xf>
    <xf numFmtId="0" fontId="79" fillId="0" borderId="1" xfId="4" applyFont="1" applyBorder="1" applyAlignment="1">
      <alignment horizontal="center" wrapText="1"/>
    </xf>
    <xf numFmtId="0" fontId="79" fillId="2" borderId="1" xfId="4" applyFont="1" applyFill="1" applyBorder="1" applyAlignment="1">
      <alignment horizontal="center"/>
    </xf>
    <xf numFmtId="0" fontId="73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43" fontId="73" fillId="8" borderId="1" xfId="7" applyFont="1" applyFill="1" applyBorder="1" applyAlignment="1">
      <alignment horizontal="right" wrapText="1"/>
    </xf>
    <xf numFmtId="2" fontId="73" fillId="10" borderId="25" xfId="3" applyNumberFormat="1" applyFont="1" applyFill="1" applyBorder="1" applyAlignment="1">
      <alignment horizontal="center" vertical="center"/>
    </xf>
    <xf numFmtId="0" fontId="79" fillId="10" borderId="25" xfId="4" applyFont="1" applyFill="1" applyBorder="1" applyAlignment="1">
      <alignment horizontal="center" vertical="center"/>
    </xf>
    <xf numFmtId="1" fontId="73" fillId="10" borderId="25" xfId="5" applyNumberFormat="1" applyFont="1" applyFill="1" applyBorder="1" applyAlignment="1">
      <alignment horizontal="center" vertical="center"/>
    </xf>
    <xf numFmtId="1" fontId="73" fillId="10" borderId="25" xfId="3" applyNumberFormat="1" applyFont="1" applyFill="1" applyBorder="1" applyAlignment="1">
      <alignment horizontal="center" vertical="center"/>
    </xf>
    <xf numFmtId="0" fontId="78" fillId="10" borderId="0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1" fontId="78" fillId="0" borderId="1" xfId="0" applyNumberFormat="1" applyFont="1" applyBorder="1" applyAlignment="1">
      <alignment horizontal="center"/>
    </xf>
    <xf numFmtId="0" fontId="78" fillId="0" borderId="1" xfId="0" applyFont="1" applyFill="1" applyBorder="1" applyAlignment="1">
      <alignment horizontal="center"/>
    </xf>
    <xf numFmtId="0" fontId="78" fillId="0" borderId="1" xfId="0" applyFont="1" applyFill="1" applyBorder="1"/>
    <xf numFmtId="1" fontId="78" fillId="0" borderId="1" xfId="0" applyNumberFormat="1" applyFont="1" applyFill="1" applyBorder="1" applyAlignment="1">
      <alignment horizontal="center"/>
    </xf>
    <xf numFmtId="1" fontId="73" fillId="0" borderId="1" xfId="5" applyNumberFormat="1" applyFont="1" applyFill="1" applyBorder="1" applyAlignment="1" applyProtection="1">
      <alignment horizontal="center"/>
    </xf>
    <xf numFmtId="0" fontId="78" fillId="0" borderId="0" xfId="0" applyFont="1"/>
    <xf numFmtId="1" fontId="78" fillId="0" borderId="0" xfId="0" applyNumberFormat="1" applyFont="1" applyAlignment="1">
      <alignment horizontal="center"/>
    </xf>
    <xf numFmtId="1" fontId="78" fillId="0" borderId="0" xfId="0" applyNumberFormat="1" applyFont="1"/>
    <xf numFmtId="1" fontId="73" fillId="15" borderId="1" xfId="5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78" fillId="0" borderId="1" xfId="0" applyFont="1" applyBorder="1"/>
    <xf numFmtId="9" fontId="73" fillId="8" borderId="1" xfId="6" applyNumberFormat="1" applyFont="1" applyFill="1" applyBorder="1" applyAlignment="1">
      <alignment horizontal="center"/>
    </xf>
    <xf numFmtId="165" fontId="73" fillId="0" borderId="1" xfId="6" applyNumberFormat="1" applyFont="1" applyFill="1" applyBorder="1" applyAlignment="1"/>
    <xf numFmtId="1" fontId="73" fillId="8" borderId="1" xfId="5" applyNumberFormat="1" applyFont="1" applyFill="1" applyBorder="1" applyAlignment="1">
      <alignment horizontal="right"/>
    </xf>
    <xf numFmtId="0" fontId="83" fillId="0" borderId="0" xfId="0" applyFont="1"/>
    <xf numFmtId="1" fontId="83" fillId="0" borderId="0" xfId="0" applyNumberFormat="1" applyFont="1" applyAlignment="1">
      <alignment horizontal="center"/>
    </xf>
    <xf numFmtId="1" fontId="83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73" fillId="8" borderId="15" xfId="3" applyNumberFormat="1" applyFont="1" applyFill="1" applyBorder="1" applyAlignment="1">
      <alignment horizontal="center" wrapText="1" shrinkToFit="1"/>
    </xf>
    <xf numFmtId="0" fontId="73" fillId="15" borderId="15" xfId="3" applyFont="1" applyFill="1" applyBorder="1" applyAlignment="1">
      <alignment horizontal="center"/>
    </xf>
    <xf numFmtId="1" fontId="73" fillId="8" borderId="15" xfId="5" applyNumberFormat="1" applyFont="1" applyFill="1" applyBorder="1" applyAlignment="1" applyProtection="1">
      <alignment horizontal="center"/>
    </xf>
    <xf numFmtId="1" fontId="73" fillId="2" borderId="15" xfId="5" applyNumberFormat="1" applyFont="1" applyFill="1" applyBorder="1" applyAlignment="1" applyProtection="1">
      <alignment horizontal="center"/>
    </xf>
    <xf numFmtId="1" fontId="73" fillId="15" borderId="15" xfId="3" applyNumberFormat="1" applyFont="1" applyFill="1" applyBorder="1" applyAlignment="1">
      <alignment horizontal="center" vertical="center"/>
    </xf>
    <xf numFmtId="0" fontId="73" fillId="15" borderId="15" xfId="3" applyFont="1" applyFill="1" applyBorder="1" applyAlignment="1"/>
    <xf numFmtId="0" fontId="73" fillId="2" borderId="15" xfId="4" applyFont="1" applyFill="1" applyBorder="1" applyAlignment="1"/>
    <xf numFmtId="1" fontId="73" fillId="10" borderId="31" xfId="5" applyNumberFormat="1" applyFont="1" applyFill="1" applyBorder="1" applyAlignment="1" applyProtection="1">
      <alignment horizontal="center" vertical="center"/>
    </xf>
    <xf numFmtId="1" fontId="78" fillId="0" borderId="15" xfId="0" applyNumberFormat="1" applyFont="1" applyBorder="1" applyAlignment="1">
      <alignment horizontal="center"/>
    </xf>
    <xf numFmtId="1" fontId="78" fillId="0" borderId="15" xfId="0" applyNumberFormat="1" applyFont="1" applyFill="1" applyBorder="1" applyAlignment="1">
      <alignment horizontal="center"/>
    </xf>
    <xf numFmtId="0" fontId="78" fillId="0" borderId="0" xfId="0" applyFont="1" applyBorder="1"/>
    <xf numFmtId="1" fontId="78" fillId="0" borderId="0" xfId="0" applyNumberFormat="1" applyFont="1" applyBorder="1" applyAlignment="1">
      <alignment horizontal="center"/>
    </xf>
    <xf numFmtId="1" fontId="78" fillId="0" borderId="35" xfId="0" applyNumberFormat="1" applyFont="1" applyBorder="1"/>
    <xf numFmtId="0" fontId="78" fillId="15" borderId="15" xfId="3" applyFont="1" applyFill="1" applyBorder="1" applyAlignment="1">
      <alignment horizontal="center"/>
    </xf>
    <xf numFmtId="1" fontId="73" fillId="15" borderId="15" xfId="5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center"/>
    </xf>
    <xf numFmtId="9" fontId="73" fillId="8" borderId="7" xfId="6" applyNumberFormat="1" applyFont="1" applyFill="1" applyBorder="1" applyAlignment="1">
      <alignment horizontal="center"/>
    </xf>
    <xf numFmtId="1" fontId="73" fillId="8" borderId="7" xfId="3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right"/>
    </xf>
    <xf numFmtId="1" fontId="73" fillId="8" borderId="23" xfId="5" applyNumberFormat="1" applyFont="1" applyFill="1" applyBorder="1" applyAlignment="1" applyProtection="1">
      <alignment horizontal="center"/>
    </xf>
    <xf numFmtId="9" fontId="67" fillId="9" borderId="21" xfId="3" applyNumberFormat="1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0" fillId="16" borderId="1" xfId="0" applyFont="1" applyFill="1" applyBorder="1"/>
    <xf numFmtId="0" fontId="72" fillId="0" borderId="0" xfId="0" applyFont="1" applyBorder="1"/>
    <xf numFmtId="0" fontId="75" fillId="0" borderId="1" xfId="0" applyFont="1" applyFill="1" applyBorder="1" applyAlignment="1">
      <alignment horizontal="left"/>
    </xf>
    <xf numFmtId="166" fontId="67" fillId="9" borderId="21" xfId="3" applyNumberFormat="1" applyFont="1" applyFill="1" applyBorder="1" applyAlignment="1">
      <alignment horizontal="left"/>
    </xf>
    <xf numFmtId="0" fontId="67" fillId="9" borderId="21" xfId="3" applyFont="1" applyFill="1" applyBorder="1"/>
    <xf numFmtId="0" fontId="67" fillId="8" borderId="21" xfId="3" applyFont="1" applyFill="1" applyBorder="1" applyAlignment="1">
      <alignment horizontal="center" vertical="center"/>
    </xf>
    <xf numFmtId="0" fontId="67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0" fontId="67" fillId="8" borderId="28" xfId="3" applyFont="1" applyFill="1" applyBorder="1" applyAlignment="1">
      <alignment horizontal="left" vertical="center"/>
    </xf>
    <xf numFmtId="0" fontId="67" fillId="8" borderId="5" xfId="3" applyFont="1" applyFill="1" applyBorder="1" applyAlignment="1">
      <alignment horizontal="left" vertical="center"/>
    </xf>
    <xf numFmtId="0" fontId="67" fillId="8" borderId="13" xfId="3" applyFont="1" applyFill="1" applyBorder="1" applyAlignment="1">
      <alignment horizontal="left" vertical="center"/>
    </xf>
    <xf numFmtId="167" fontId="67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0" fontId="67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0" fontId="67" fillId="2" borderId="21" xfId="3" applyFont="1" applyFill="1" applyBorder="1" applyAlignment="1">
      <alignment horizontal="left" vertical="center"/>
    </xf>
    <xf numFmtId="0" fontId="66" fillId="2" borderId="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/>
    </xf>
    <xf numFmtId="0" fontId="67" fillId="16" borderId="21" xfId="3" applyFont="1" applyFill="1" applyBorder="1" applyAlignment="1">
      <alignment horizontal="center" vertical="center"/>
    </xf>
    <xf numFmtId="0" fontId="66" fillId="16" borderId="1" xfId="3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center"/>
    </xf>
    <xf numFmtId="0" fontId="77" fillId="2" borderId="3" xfId="3" applyFont="1" applyFill="1" applyBorder="1" applyAlignment="1">
      <alignment horizontal="center"/>
    </xf>
    <xf numFmtId="0" fontId="77" fillId="2" borderId="4" xfId="3" applyFont="1" applyFill="1" applyBorder="1" applyAlignment="1">
      <alignment horizontal="center"/>
    </xf>
    <xf numFmtId="0" fontId="77" fillId="16" borderId="16" xfId="3" applyFont="1" applyFill="1" applyBorder="1" applyAlignment="1">
      <alignment horizontal="center"/>
    </xf>
    <xf numFmtId="0" fontId="77" fillId="16" borderId="3" xfId="3" applyFont="1" applyFill="1" applyBorder="1" applyAlignment="1">
      <alignment horizontal="center"/>
    </xf>
    <xf numFmtId="0" fontId="77" fillId="16" borderId="4" xfId="3" applyFont="1" applyFill="1" applyBorder="1" applyAlignment="1">
      <alignment horizontal="center"/>
    </xf>
    <xf numFmtId="0" fontId="67" fillId="15" borderId="21" xfId="3" applyFont="1" applyFill="1" applyBorder="1" applyAlignment="1">
      <alignment horizontal="left"/>
    </xf>
    <xf numFmtId="2" fontId="67" fillId="8" borderId="21" xfId="3" applyNumberFormat="1" applyFont="1" applyFill="1" applyBorder="1" applyAlignment="1">
      <alignment horizontal="left" vertical="center"/>
    </xf>
    <xf numFmtId="2" fontId="66" fillId="8" borderId="1" xfId="3" applyNumberFormat="1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justify"/>
    </xf>
    <xf numFmtId="0" fontId="67" fillId="15" borderId="21" xfId="3" applyFont="1" applyFill="1" applyBorder="1" applyAlignment="1"/>
    <xf numFmtId="0" fontId="67" fillId="0" borderId="21" xfId="4" applyFont="1" applyBorder="1" applyAlignment="1">
      <alignment vertical="center"/>
    </xf>
    <xf numFmtId="0" fontId="66" fillId="0" borderId="1" xfId="4" applyFont="1" applyBorder="1" applyAlignment="1">
      <alignment vertical="center"/>
    </xf>
    <xf numFmtId="0" fontId="69" fillId="16" borderId="21" xfId="4" applyFont="1" applyFill="1" applyBorder="1"/>
    <xf numFmtId="0" fontId="67" fillId="15" borderId="21" xfId="3" applyFont="1" applyFill="1" applyBorder="1" applyAlignment="1">
      <alignment horizontal="center"/>
    </xf>
    <xf numFmtId="0" fontId="67" fillId="10" borderId="33" xfId="3" applyFont="1" applyFill="1" applyBorder="1" applyAlignment="1">
      <alignment horizontal="center" vertical="center"/>
    </xf>
    <xf numFmtId="0" fontId="67" fillId="10" borderId="0" xfId="3" applyFont="1" applyFill="1" applyBorder="1" applyAlignment="1">
      <alignment horizontal="center" vertical="center"/>
    </xf>
    <xf numFmtId="0" fontId="67" fillId="0" borderId="21" xfId="4" applyFont="1" applyBorder="1"/>
    <xf numFmtId="0" fontId="67" fillId="15" borderId="21" xfId="3" applyFont="1" applyFill="1" applyBorder="1" applyAlignment="1">
      <alignment horizontal="center" vertical="center"/>
    </xf>
    <xf numFmtId="9" fontId="73" fillId="9" borderId="1" xfId="4" applyNumberFormat="1" applyFont="1" applyFill="1" applyBorder="1"/>
    <xf numFmtId="0" fontId="73" fillId="9" borderId="1" xfId="3" applyFont="1" applyFill="1" applyBorder="1" applyAlignment="1"/>
    <xf numFmtId="1" fontId="67" fillId="9" borderId="15" xfId="3" applyNumberFormat="1" applyFont="1" applyFill="1" applyBorder="1" applyAlignment="1">
      <alignment horizontal="center" vertical="center"/>
    </xf>
    <xf numFmtId="0" fontId="67" fillId="9" borderId="1" xfId="3" applyFont="1" applyFill="1" applyBorder="1" applyAlignment="1">
      <alignment horizontal="left"/>
    </xf>
    <xf numFmtId="1" fontId="67" fillId="9" borderId="15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left"/>
    </xf>
    <xf numFmtId="0" fontId="73" fillId="8" borderId="8" xfId="3" applyFont="1" applyFill="1" applyBorder="1" applyAlignment="1">
      <alignment horizontal="center"/>
    </xf>
    <xf numFmtId="44" fontId="82" fillId="8" borderId="1" xfId="8" applyFont="1" applyFill="1" applyBorder="1" applyAlignment="1">
      <alignment horizontal="center"/>
    </xf>
    <xf numFmtId="0" fontId="82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 vertical="center"/>
    </xf>
    <xf numFmtId="0" fontId="73" fillId="10" borderId="32" xfId="3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/>
    </xf>
    <xf numFmtId="0" fontId="83" fillId="0" borderId="4" xfId="0" applyFont="1" applyFill="1" applyBorder="1"/>
    <xf numFmtId="0" fontId="78" fillId="0" borderId="4" xfId="0" applyFont="1" applyFill="1" applyBorder="1" applyAlignment="1">
      <alignment horizontal="center"/>
    </xf>
    <xf numFmtId="0" fontId="73" fillId="8" borderId="7" xfId="3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/>
    </xf>
    <xf numFmtId="1" fontId="87" fillId="12" borderId="0" xfId="0" applyNumberFormat="1" applyFont="1" applyFill="1"/>
    <xf numFmtId="1" fontId="87" fillId="0" borderId="0" xfId="0" applyNumberFormat="1" applyFont="1"/>
    <xf numFmtId="0" fontId="72" fillId="9" borderId="1" xfId="3" applyFont="1" applyFill="1" applyBorder="1" applyAlignment="1">
      <alignment horizontal="center" vertical="center"/>
    </xf>
    <xf numFmtId="2" fontId="72" fillId="9" borderId="1" xfId="3" applyNumberFormat="1" applyFont="1" applyFill="1" applyBorder="1" applyAlignment="1">
      <alignment horizont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2" fontId="78" fillId="8" borderId="8" xfId="3" applyNumberFormat="1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vertical="center"/>
    </xf>
    <xf numFmtId="0" fontId="78" fillId="2" borderId="1" xfId="4" applyFont="1" applyFill="1" applyBorder="1" applyAlignment="1"/>
    <xf numFmtId="0" fontId="78" fillId="0" borderId="1" xfId="3" applyFont="1" applyFill="1" applyBorder="1" applyAlignment="1">
      <alignment horizontal="center"/>
    </xf>
    <xf numFmtId="0" fontId="78" fillId="10" borderId="25" xfId="4" applyFont="1" applyFill="1" applyBorder="1" applyAlignment="1">
      <alignment horizontal="center" vertical="center"/>
    </xf>
    <xf numFmtId="0" fontId="78" fillId="12" borderId="1" xfId="4" applyFont="1" applyFill="1" applyBorder="1" applyAlignment="1">
      <alignment horizontal="center"/>
    </xf>
    <xf numFmtId="2" fontId="78" fillId="8" borderId="7" xfId="3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" fontId="73" fillId="0" borderId="1" xfId="5" applyNumberFormat="1" applyFont="1" applyFill="1" applyBorder="1" applyAlignment="1">
      <alignment horizontal="center" vertical="center"/>
    </xf>
    <xf numFmtId="0" fontId="73" fillId="0" borderId="1" xfId="4" applyFont="1" applyFill="1" applyBorder="1" applyAlignment="1">
      <alignment horizontal="center" vertical="center"/>
    </xf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10" borderId="25" xfId="4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0" borderId="1" xfId="0" applyFont="1" applyFill="1" applyBorder="1" applyAlignment="1">
      <alignment horizontal="center"/>
    </xf>
    <xf numFmtId="1" fontId="73" fillId="0" borderId="1" xfId="0" applyNumberFormat="1" applyFont="1" applyFill="1" applyBorder="1" applyAlignment="1">
      <alignment horizontal="center"/>
    </xf>
    <xf numFmtId="0" fontId="73" fillId="0" borderId="0" xfId="0" applyFont="1" applyBorder="1"/>
    <xf numFmtId="0" fontId="88" fillId="0" borderId="0" xfId="0" applyFont="1"/>
    <xf numFmtId="0" fontId="73" fillId="0" borderId="0" xfId="0" applyFont="1"/>
    <xf numFmtId="1" fontId="89" fillId="20" borderId="1" xfId="5" applyNumberFormat="1" applyFont="1" applyFill="1" applyBorder="1" applyAlignment="1">
      <alignment horizontal="center" vertical="center"/>
    </xf>
    <xf numFmtId="0" fontId="85" fillId="21" borderId="21" xfId="3" applyFont="1" applyFill="1" applyBorder="1" applyAlignment="1">
      <alignment horizontal="left"/>
    </xf>
    <xf numFmtId="0" fontId="84" fillId="21" borderId="1" xfId="3" applyFont="1" applyFill="1" applyBorder="1" applyAlignment="1">
      <alignment horizontal="left"/>
    </xf>
    <xf numFmtId="0" fontId="89" fillId="21" borderId="1" xfId="3" applyFont="1" applyFill="1" applyBorder="1" applyAlignment="1">
      <alignment horizontal="center"/>
    </xf>
    <xf numFmtId="0" fontId="89" fillId="21" borderId="1" xfId="4" applyFont="1" applyFill="1" applyBorder="1" applyAlignment="1">
      <alignment horizontal="center"/>
    </xf>
    <xf numFmtId="1" fontId="89" fillId="21" borderId="1" xfId="5" applyNumberFormat="1" applyFont="1" applyFill="1" applyBorder="1" applyAlignment="1">
      <alignment horizontal="center" vertical="center"/>
    </xf>
    <xf numFmtId="1" fontId="89" fillId="21" borderId="1" xfId="3" applyNumberFormat="1" applyFont="1" applyFill="1" applyBorder="1" applyAlignment="1">
      <alignment horizontal="center"/>
    </xf>
    <xf numFmtId="0" fontId="89" fillId="21" borderId="1" xfId="3" applyNumberFormat="1" applyFont="1" applyFill="1" applyBorder="1" applyAlignment="1">
      <alignment horizontal="center"/>
    </xf>
    <xf numFmtId="1" fontId="89" fillId="21" borderId="15" xfId="5" applyNumberFormat="1" applyFont="1" applyFill="1" applyBorder="1" applyAlignment="1" applyProtection="1">
      <alignment horizontal="center"/>
    </xf>
    <xf numFmtId="0" fontId="85" fillId="21" borderId="21" xfId="3" applyFont="1" applyFill="1" applyBorder="1" applyAlignment="1">
      <alignment horizontal="left" vertical="center"/>
    </xf>
    <xf numFmtId="0" fontId="84" fillId="21" borderId="1" xfId="3" applyFont="1" applyFill="1" applyBorder="1" applyAlignment="1">
      <alignment horizontal="left" vertical="center"/>
    </xf>
    <xf numFmtId="2" fontId="89" fillId="21" borderId="1" xfId="3" applyNumberFormat="1" applyFont="1" applyFill="1" applyBorder="1" applyAlignment="1">
      <alignment horizontal="center"/>
    </xf>
    <xf numFmtId="0" fontId="72" fillId="8" borderId="2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center"/>
    </xf>
    <xf numFmtId="1" fontId="78" fillId="20" borderId="1" xfId="5" applyNumberFormat="1" applyFont="1" applyFill="1" applyBorder="1" applyAlignment="1">
      <alignment horizontal="center" vertical="center"/>
    </xf>
    <xf numFmtId="1" fontId="78" fillId="8" borderId="1" xfId="3" applyNumberFormat="1" applyFont="1" applyFill="1" applyBorder="1" applyAlignment="1">
      <alignment horizontal="center"/>
    </xf>
    <xf numFmtId="0" fontId="78" fillId="2" borderId="1" xfId="3" applyNumberFormat="1" applyFont="1" applyFill="1" applyBorder="1" applyAlignment="1">
      <alignment horizontal="center"/>
    </xf>
    <xf numFmtId="1" fontId="78" fillId="8" borderId="15" xfId="5" applyNumberFormat="1" applyFont="1" applyFill="1" applyBorder="1" applyAlignment="1" applyProtection="1">
      <alignment horizontal="center"/>
    </xf>
    <xf numFmtId="0" fontId="72" fillId="8" borderId="28" xfId="3" applyFont="1" applyFill="1" applyBorder="1" applyAlignment="1">
      <alignment horizontal="left" vertical="center"/>
    </xf>
    <xf numFmtId="0" fontId="72" fillId="8" borderId="5" xfId="3" applyFont="1" applyFill="1" applyBorder="1" applyAlignment="1">
      <alignment horizontal="left" vertical="center"/>
    </xf>
    <xf numFmtId="0" fontId="72" fillId="8" borderId="13" xfId="3" applyFont="1" applyFill="1" applyBorder="1" applyAlignment="1">
      <alignment horizontal="left" vertical="center"/>
    </xf>
    <xf numFmtId="0" fontId="78" fillId="8" borderId="8" xfId="3" applyFont="1" applyFill="1" applyBorder="1" applyAlignment="1">
      <alignment horizontal="center"/>
    </xf>
    <xf numFmtId="1" fontId="78" fillId="2" borderId="8" xfId="3" applyNumberFormat="1" applyFont="1" applyFill="1" applyBorder="1" applyAlignment="1">
      <alignment horizontal="center"/>
    </xf>
    <xf numFmtId="167" fontId="72" fillId="8" borderId="21" xfId="3" applyNumberFormat="1" applyFont="1" applyFill="1" applyBorder="1" applyAlignment="1">
      <alignment vertical="center"/>
    </xf>
    <xf numFmtId="167" fontId="74" fillId="8" borderId="1" xfId="3" applyNumberFormat="1" applyFont="1" applyFill="1" applyBorder="1" applyAlignment="1">
      <alignment vertical="center"/>
    </xf>
    <xf numFmtId="1" fontId="78" fillId="2" borderId="1" xfId="5" applyNumberFormat="1" applyFont="1" applyFill="1" applyBorder="1" applyAlignment="1">
      <alignment horizontal="center" vertical="center"/>
    </xf>
    <xf numFmtId="1" fontId="78" fillId="12" borderId="1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0" fontId="72" fillId="16" borderId="21" xfId="3" applyFont="1" applyFill="1" applyBorder="1" applyAlignment="1">
      <alignment horizontal="center"/>
    </xf>
    <xf numFmtId="0" fontId="74" fillId="16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0" fontId="78" fillId="0" borderId="1" xfId="4" applyFont="1" applyBorder="1"/>
    <xf numFmtId="164" fontId="78" fillId="20" borderId="1" xfId="5" applyNumberFormat="1" applyFont="1" applyFill="1" applyBorder="1" applyAlignment="1">
      <alignment horizontal="center" vertical="center"/>
    </xf>
    <xf numFmtId="1" fontId="78" fillId="12" borderId="1" xfId="5" applyNumberFormat="1" applyFont="1" applyFill="1" applyBorder="1" applyAlignment="1" applyProtection="1">
      <alignment horizontal="center"/>
    </xf>
    <xf numFmtId="1" fontId="73" fillId="8" borderId="1" xfId="9" applyNumberFormat="1" applyFont="1" applyFill="1" applyBorder="1" applyAlignment="1">
      <alignment horizontal="center"/>
    </xf>
    <xf numFmtId="0" fontId="73" fillId="21" borderId="1" xfId="4" applyFont="1" applyFill="1" applyBorder="1" applyAlignment="1">
      <alignment horizontal="center"/>
    </xf>
    <xf numFmtId="0" fontId="79" fillId="12" borderId="1" xfId="4" applyFont="1" applyFill="1" applyBorder="1" applyAlignment="1">
      <alignment horizontal="center"/>
    </xf>
    <xf numFmtId="1" fontId="78" fillId="2" borderId="8" xfId="5" applyNumberFormat="1" applyFont="1" applyFill="1" applyBorder="1" applyAlignment="1">
      <alignment horizontal="center" vertical="center"/>
    </xf>
    <xf numFmtId="0" fontId="78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81" fillId="0" borderId="1" xfId="4" applyFont="1" applyBorder="1" applyAlignment="1">
      <alignment horizontal="center"/>
    </xf>
    <xf numFmtId="1" fontId="87" fillId="0" borderId="5" xfId="0" applyNumberFormat="1" applyFont="1" applyBorder="1"/>
    <xf numFmtId="0" fontId="81" fillId="0" borderId="1" xfId="0" applyFont="1" applyFill="1" applyBorder="1" applyAlignment="1">
      <alignment horizontal="center"/>
    </xf>
    <xf numFmtId="0" fontId="81" fillId="8" borderId="1" xfId="3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4" applyFont="1" applyBorder="1" applyAlignment="1">
      <alignment horizontal="center" wrapText="1"/>
    </xf>
    <xf numFmtId="2" fontId="81" fillId="8" borderId="1" xfId="3" applyNumberFormat="1" applyFont="1" applyFill="1" applyBorder="1" applyAlignment="1">
      <alignment horizontal="center"/>
    </xf>
    <xf numFmtId="2" fontId="81" fillId="8" borderId="8" xfId="3" applyNumberFormat="1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0" fontId="81" fillId="0" borderId="1" xfId="4" applyFont="1" applyBorder="1" applyAlignment="1">
      <alignment horizontal="center" vertical="center"/>
    </xf>
    <xf numFmtId="2" fontId="81" fillId="8" borderId="1" xfId="3" applyNumberFormat="1" applyFont="1" applyFill="1" applyBorder="1" applyAlignment="1">
      <alignment horizontal="center" vertical="center"/>
    </xf>
    <xf numFmtId="0" fontId="81" fillId="12" borderId="1" xfId="4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 vertical="center"/>
    </xf>
    <xf numFmtId="1" fontId="81" fillId="2" borderId="1" xfId="3" applyNumberFormat="1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/>
    </xf>
    <xf numFmtId="0" fontId="78" fillId="12" borderId="1" xfId="0" applyFont="1" applyFill="1" applyBorder="1" applyAlignment="1">
      <alignment horizontal="center"/>
    </xf>
    <xf numFmtId="0" fontId="81" fillId="0" borderId="1" xfId="3" applyFont="1" applyFill="1" applyBorder="1" applyAlignment="1">
      <alignment horizontal="center"/>
    </xf>
    <xf numFmtId="0" fontId="81" fillId="0" borderId="1" xfId="4" applyFont="1" applyFill="1" applyBorder="1" applyAlignment="1">
      <alignment horizontal="center" wrapText="1"/>
    </xf>
    <xf numFmtId="0" fontId="81" fillId="2" borderId="1" xfId="4" applyFont="1" applyFill="1" applyBorder="1" applyAlignment="1">
      <alignment horizontal="center" wrapText="1"/>
    </xf>
    <xf numFmtId="1" fontId="73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1" fontId="73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73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7" fillId="0" borderId="0" xfId="0" applyNumberFormat="1" applyFont="1" applyFill="1"/>
    <xf numFmtId="1" fontId="87" fillId="0" borderId="5" xfId="0" applyNumberFormat="1" applyFont="1" applyFill="1" applyBorder="1"/>
    <xf numFmtId="0" fontId="90" fillId="0" borderId="0" xfId="0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1" fontId="90" fillId="0" borderId="0" xfId="0" applyNumberFormat="1" applyFont="1" applyFill="1" applyAlignment="1">
      <alignment horizontal="center"/>
    </xf>
    <xf numFmtId="1" fontId="92" fillId="0" borderId="0" xfId="0" applyNumberFormat="1" applyFont="1" applyFill="1" applyAlignment="1">
      <alignment horizontal="center"/>
    </xf>
    <xf numFmtId="1" fontId="92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90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90" fillId="12" borderId="0" xfId="0" applyNumberFormat="1" applyFont="1" applyFill="1" applyAlignment="1">
      <alignment horizontal="center"/>
    </xf>
    <xf numFmtId="0" fontId="69" fillId="0" borderId="21" xfId="4" applyFont="1" applyFill="1" applyBorder="1"/>
    <xf numFmtId="0" fontId="70" fillId="0" borderId="1" xfId="0" applyFont="1" applyFill="1" applyBorder="1"/>
    <xf numFmtId="0" fontId="73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7" fillId="9" borderId="1" xfId="3" applyNumberFormat="1" applyFont="1" applyFill="1" applyBorder="1" applyAlignment="1">
      <alignment horizontal="center" vertical="center"/>
    </xf>
    <xf numFmtId="1" fontId="73" fillId="8" borderId="8" xfId="3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3" fillId="15" borderId="1" xfId="3" applyNumberFormat="1" applyFont="1" applyFill="1" applyBorder="1" applyAlignment="1">
      <alignment horizontal="center"/>
    </xf>
    <xf numFmtId="1" fontId="73" fillId="21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 vertical="center"/>
    </xf>
    <xf numFmtId="1" fontId="73" fillId="0" borderId="1" xfId="4" applyNumberFormat="1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vertical="center"/>
    </xf>
    <xf numFmtId="1" fontId="73" fillId="0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/>
    <xf numFmtId="1" fontId="73" fillId="2" borderId="1" xfId="4" applyNumberFormat="1" applyFont="1" applyFill="1" applyBorder="1" applyAlignment="1">
      <alignment horizontal="center" wrapText="1"/>
    </xf>
    <xf numFmtId="1" fontId="73" fillId="0" borderId="1" xfId="4" applyNumberFormat="1" applyFont="1" applyFill="1" applyBorder="1" applyAlignment="1">
      <alignment horizontal="center" wrapText="1"/>
    </xf>
    <xf numFmtId="1" fontId="73" fillId="0" borderId="1" xfId="4" applyNumberFormat="1" applyFont="1" applyBorder="1" applyAlignment="1">
      <alignment horizontal="center" wrapText="1"/>
    </xf>
    <xf numFmtId="1" fontId="78" fillId="0" borderId="1" xfId="3" applyNumberFormat="1" applyFont="1" applyFill="1" applyBorder="1" applyAlignment="1">
      <alignment horizontal="center"/>
    </xf>
    <xf numFmtId="1" fontId="73" fillId="10" borderId="25" xfId="4" applyNumberFormat="1" applyFont="1" applyFill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1" fontId="73" fillId="0" borderId="0" xfId="0" applyNumberFormat="1" applyFont="1" applyBorder="1"/>
    <xf numFmtId="1" fontId="73" fillId="12" borderId="1" xfId="4" applyNumberFormat="1" applyFont="1" applyFill="1" applyBorder="1" applyAlignment="1">
      <alignment horizontal="center"/>
    </xf>
    <xf numFmtId="1" fontId="88" fillId="0" borderId="0" xfId="0" applyNumberFormat="1" applyFont="1"/>
    <xf numFmtId="1" fontId="73" fillId="0" borderId="0" xfId="0" applyNumberFormat="1" applyFont="1"/>
    <xf numFmtId="1" fontId="89" fillId="21" borderId="1" xfId="4" applyNumberFormat="1" applyFont="1" applyFill="1" applyBorder="1" applyAlignment="1">
      <alignment horizontal="center"/>
    </xf>
    <xf numFmtId="1" fontId="78" fillId="0" borderId="1" xfId="4" applyNumberFormat="1" applyFont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80" fillId="2" borderId="1" xfId="4" applyNumberFormat="1" applyFont="1" applyFill="1" applyBorder="1" applyAlignment="1">
      <alignment horizontal="center"/>
    </xf>
    <xf numFmtId="1" fontId="82" fillId="8" borderId="1" xfId="3" applyNumberFormat="1" applyFont="1" applyFill="1" applyBorder="1" applyAlignment="1">
      <alignment horizontal="center"/>
    </xf>
    <xf numFmtId="1" fontId="80" fillId="2" borderId="1" xfId="3" applyNumberFormat="1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 wrapText="1"/>
    </xf>
    <xf numFmtId="1" fontId="79" fillId="0" borderId="1" xfId="4" applyNumberFormat="1" applyFont="1" applyFill="1" applyBorder="1" applyAlignment="1">
      <alignment horizontal="center" wrapText="1"/>
    </xf>
    <xf numFmtId="1" fontId="79" fillId="0" borderId="1" xfId="4" applyNumberFormat="1" applyFont="1" applyBorder="1" applyAlignment="1">
      <alignment horizontal="center" wrapText="1"/>
    </xf>
    <xf numFmtId="1" fontId="79" fillId="2" borderId="1" xfId="4" applyNumberFormat="1" applyFont="1" applyFill="1" applyBorder="1" applyAlignment="1">
      <alignment horizontal="center"/>
    </xf>
    <xf numFmtId="1" fontId="79" fillId="10" borderId="25" xfId="4" applyNumberFormat="1" applyFont="1" applyFill="1" applyBorder="1" applyAlignment="1">
      <alignment horizontal="center" vertical="center"/>
    </xf>
    <xf numFmtId="1" fontId="78" fillId="0" borderId="0" xfId="0" applyNumberFormat="1" applyFont="1" applyBorder="1"/>
    <xf numFmtId="1" fontId="79" fillId="0" borderId="1" xfId="4" applyNumberFormat="1" applyFont="1" applyFill="1" applyBorder="1" applyAlignment="1">
      <alignment horizontal="center"/>
    </xf>
    <xf numFmtId="1" fontId="79" fillId="12" borderId="1" xfId="4" applyNumberFormat="1" applyFont="1" applyFill="1" applyBorder="1" applyAlignment="1">
      <alignment horizontal="center"/>
    </xf>
    <xf numFmtId="0" fontId="94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93" fillId="0" borderId="0" xfId="16" applyAlignment="1" applyProtection="1"/>
    <xf numFmtId="1" fontId="13" fillId="0" borderId="0" xfId="2" applyNumberFormat="1" applyAlignment="1" applyProtection="1"/>
    <xf numFmtId="1" fontId="73" fillId="12" borderId="1" xfId="5" applyNumberFormat="1" applyFont="1" applyFill="1" applyBorder="1" applyAlignment="1">
      <alignment horizontal="center" vertical="center"/>
    </xf>
    <xf numFmtId="1" fontId="73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7" fillId="12" borderId="21" xfId="3" applyFont="1" applyFill="1" applyBorder="1" applyAlignment="1">
      <alignment horizontal="left"/>
    </xf>
    <xf numFmtId="0" fontId="67" fillId="12" borderId="1" xfId="3" applyFont="1" applyFill="1" applyBorder="1" applyAlignment="1">
      <alignment horizontal="left"/>
    </xf>
    <xf numFmtId="2" fontId="73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4" fillId="0" borderId="0" xfId="0" applyNumberFormat="1" applyFont="1" applyFill="1"/>
    <xf numFmtId="1" fontId="81" fillId="12" borderId="1" xfId="5" applyNumberFormat="1" applyFont="1" applyFill="1" applyBorder="1" applyAlignment="1">
      <alignment horizontal="center" vertical="center"/>
    </xf>
    <xf numFmtId="0" fontId="78" fillId="0" borderId="4" xfId="0" applyFont="1" applyFill="1" applyBorder="1"/>
    <xf numFmtId="1" fontId="11" fillId="12" borderId="1" xfId="1" applyNumberFormat="1" applyFont="1" applyFill="1" applyBorder="1" applyAlignment="1">
      <alignment vertical="center" wrapText="1"/>
    </xf>
    <xf numFmtId="1" fontId="96" fillId="0" borderId="1" xfId="0" applyNumberFormat="1" applyFont="1" applyFill="1" applyBorder="1" applyAlignment="1">
      <alignment horizontal="center" wrapText="1"/>
    </xf>
    <xf numFmtId="0" fontId="73" fillId="12" borderId="1" xfId="0" applyFont="1" applyFill="1" applyBorder="1" applyAlignment="1">
      <alignment horizontal="center"/>
    </xf>
    <xf numFmtId="0" fontId="72" fillId="0" borderId="1" xfId="0" applyFont="1" applyBorder="1"/>
    <xf numFmtId="0" fontId="74" fillId="0" borderId="1" xfId="0" applyFont="1" applyBorder="1"/>
    <xf numFmtId="0" fontId="67" fillId="0" borderId="1" xfId="4" applyFont="1" applyBorder="1" applyAlignment="1">
      <alignment vertical="center"/>
    </xf>
    <xf numFmtId="0" fontId="84" fillId="2" borderId="1" xfId="3" applyFont="1" applyFill="1" applyBorder="1" applyAlignment="1">
      <alignment horizontal="left"/>
    </xf>
    <xf numFmtId="0" fontId="89" fillId="2" borderId="1" xfId="3" applyFont="1" applyFill="1" applyBorder="1" applyAlignment="1">
      <alignment horizontal="center"/>
    </xf>
    <xf numFmtId="0" fontId="89" fillId="2" borderId="1" xfId="4" applyFont="1" applyFill="1" applyBorder="1" applyAlignment="1">
      <alignment horizontal="center"/>
    </xf>
    <xf numFmtId="0" fontId="85" fillId="2" borderId="21" xfId="3" applyFont="1" applyFill="1" applyBorder="1" applyAlignment="1">
      <alignment horizontal="left" vertical="center"/>
    </xf>
    <xf numFmtId="0" fontId="84" fillId="2" borderId="1" xfId="3" applyFont="1" applyFill="1" applyBorder="1" applyAlignment="1">
      <alignment horizontal="left" vertical="center"/>
    </xf>
    <xf numFmtId="0" fontId="67" fillId="2" borderId="21" xfId="3" applyFont="1" applyFill="1" applyBorder="1" applyAlignment="1">
      <alignment horizontal="left"/>
    </xf>
    <xf numFmtId="0" fontId="66" fillId="2" borderId="1" xfId="3" applyFont="1" applyFill="1" applyBorder="1" applyAlignment="1">
      <alignment horizontal="left"/>
    </xf>
    <xf numFmtId="0" fontId="72" fillId="2" borderId="1" xfId="0" applyFont="1" applyFill="1" applyBorder="1"/>
    <xf numFmtId="0" fontId="74" fillId="2" borderId="1" xfId="0" applyFont="1" applyFill="1" applyBorder="1"/>
    <xf numFmtId="0" fontId="67" fillId="2" borderId="1" xfId="4" applyFont="1" applyFill="1" applyBorder="1" applyAlignment="1">
      <alignment vertical="center"/>
    </xf>
    <xf numFmtId="0" fontId="66" fillId="2" borderId="1" xfId="4" applyFont="1" applyFill="1" applyBorder="1" applyAlignment="1">
      <alignment vertical="center"/>
    </xf>
    <xf numFmtId="0" fontId="72" fillId="2" borderId="0" xfId="0" applyFont="1" applyFill="1"/>
    <xf numFmtId="0" fontId="74" fillId="2" borderId="0" xfId="0" applyFont="1" applyFill="1"/>
    <xf numFmtId="0" fontId="78" fillId="2" borderId="0" xfId="0" applyFont="1" applyFill="1"/>
    <xf numFmtId="0" fontId="73" fillId="2" borderId="0" xfId="0" applyFont="1" applyFill="1"/>
    <xf numFmtId="1" fontId="78" fillId="2" borderId="0" xfId="0" applyNumberFormat="1" applyFont="1" applyFill="1"/>
    <xf numFmtId="0" fontId="73" fillId="2" borderId="1" xfId="0" applyFont="1" applyFill="1" applyBorder="1" applyAlignment="1">
      <alignment horizontal="center"/>
    </xf>
    <xf numFmtId="1" fontId="65" fillId="0" borderId="1" xfId="0" applyNumberFormat="1" applyFont="1" applyFill="1" applyBorder="1"/>
    <xf numFmtId="0" fontId="65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8" fillId="0" borderId="0" xfId="0" applyFont="1"/>
    <xf numFmtId="166" fontId="99" fillId="9" borderId="21" xfId="3" applyNumberFormat="1" applyFont="1" applyFill="1" applyBorder="1" applyAlignment="1">
      <alignment horizontal="left"/>
    </xf>
    <xf numFmtId="0" fontId="99" fillId="9" borderId="1" xfId="3" applyFont="1" applyFill="1" applyBorder="1" applyAlignment="1">
      <alignment horizontal="center"/>
    </xf>
    <xf numFmtId="9" fontId="99" fillId="9" borderId="1" xfId="4" applyNumberFormat="1" applyFont="1" applyFill="1" applyBorder="1"/>
    <xf numFmtId="0" fontId="99" fillId="9" borderId="1" xfId="3" applyFont="1" applyFill="1" applyBorder="1" applyAlignment="1">
      <alignment horizontal="center" vertical="center"/>
    </xf>
    <xf numFmtId="1" fontId="99" fillId="9" borderId="15" xfId="3" applyNumberFormat="1" applyFont="1" applyFill="1" applyBorder="1" applyAlignment="1">
      <alignment horizontal="center" vertical="center"/>
    </xf>
    <xf numFmtId="9" fontId="99" fillId="9" borderId="21" xfId="3" applyNumberFormat="1" applyFont="1" applyFill="1" applyBorder="1" applyAlignment="1">
      <alignment horizontal="left"/>
    </xf>
    <xf numFmtId="0" fontId="99" fillId="9" borderId="1" xfId="3" applyFont="1" applyFill="1" applyBorder="1" applyAlignment="1">
      <alignment horizontal="left"/>
    </xf>
    <xf numFmtId="0" fontId="99" fillId="9" borderId="1" xfId="3" applyFont="1" applyFill="1" applyBorder="1" applyAlignment="1"/>
    <xf numFmtId="10" fontId="99" fillId="9" borderId="1" xfId="3" applyNumberFormat="1" applyFont="1" applyFill="1" applyBorder="1" applyAlignment="1">
      <alignment horizontal="center"/>
    </xf>
    <xf numFmtId="1" fontId="99" fillId="9" borderId="1" xfId="3" applyNumberFormat="1" applyFont="1" applyFill="1" applyBorder="1" applyAlignment="1">
      <alignment horizontal="center"/>
    </xf>
    <xf numFmtId="1" fontId="99" fillId="9" borderId="15" xfId="3" applyNumberFormat="1" applyFont="1" applyFill="1" applyBorder="1" applyAlignment="1">
      <alignment horizontal="center"/>
    </xf>
    <xf numFmtId="0" fontId="100" fillId="2" borderId="0" xfId="3" applyFont="1" applyFill="1" applyBorder="1" applyAlignment="1">
      <alignment horizontal="center" vertical="center"/>
    </xf>
    <xf numFmtId="0" fontId="98" fillId="0" borderId="0" xfId="0" applyFont="1" applyBorder="1"/>
    <xf numFmtId="0" fontId="99" fillId="9" borderId="21" xfId="3" applyFont="1" applyFill="1" applyBorder="1"/>
    <xf numFmtId="9" fontId="99" fillId="9" borderId="1" xfId="3" applyNumberFormat="1" applyFont="1" applyFill="1" applyBorder="1" applyAlignment="1">
      <alignment horizontal="left"/>
    </xf>
    <xf numFmtId="2" fontId="99" fillId="9" borderId="1" xfId="3" applyNumberFormat="1" applyFont="1" applyFill="1" applyBorder="1" applyAlignment="1">
      <alignment horizontal="center"/>
    </xf>
    <xf numFmtId="9" fontId="99" fillId="9" borderId="1" xfId="3" applyNumberFormat="1" applyFont="1" applyFill="1" applyBorder="1" applyAlignment="1">
      <alignment horizontal="center"/>
    </xf>
    <xf numFmtId="164" fontId="100" fillId="2" borderId="0" xfId="3" applyNumberFormat="1" applyFont="1" applyFill="1" applyBorder="1" applyAlignment="1">
      <alignment horizontal="center"/>
    </xf>
    <xf numFmtId="0" fontId="99" fillId="8" borderId="21" xfId="3" applyFont="1" applyFill="1" applyBorder="1" applyAlignment="1">
      <alignment horizontal="center" vertical="center"/>
    </xf>
    <xf numFmtId="0" fontId="99" fillId="8" borderId="1" xfId="3" applyFont="1" applyFill="1" applyBorder="1" applyAlignment="1">
      <alignment horizontal="center" vertical="center"/>
    </xf>
    <xf numFmtId="2" fontId="99" fillId="2" borderId="1" xfId="3" applyNumberFormat="1" applyFont="1" applyFill="1" applyBorder="1" applyAlignment="1">
      <alignment horizontal="center" vertical="center"/>
    </xf>
    <xf numFmtId="164" fontId="99" fillId="8" borderId="1" xfId="3" applyNumberFormat="1" applyFont="1" applyFill="1" applyBorder="1" applyAlignment="1">
      <alignment horizontal="center" wrapText="1" shrinkToFit="1"/>
    </xf>
    <xf numFmtId="2" fontId="99" fillId="8" borderId="1" xfId="3" applyNumberFormat="1" applyFont="1" applyFill="1" applyBorder="1" applyAlignment="1">
      <alignment horizontal="center" vertical="center"/>
    </xf>
    <xf numFmtId="1" fontId="99" fillId="8" borderId="1" xfId="3" applyNumberFormat="1" applyFont="1" applyFill="1" applyBorder="1" applyAlignment="1">
      <alignment horizontal="center" vertical="center"/>
    </xf>
    <xf numFmtId="164" fontId="99" fillId="8" borderId="15" xfId="3" applyNumberFormat="1" applyFont="1" applyFill="1" applyBorder="1" applyAlignment="1">
      <alignment horizontal="center" wrapText="1" shrinkToFit="1"/>
    </xf>
    <xf numFmtId="164" fontId="101" fillId="2" borderId="0" xfId="3" applyNumberFormat="1" applyFont="1" applyFill="1" applyBorder="1" applyAlignment="1">
      <alignment horizontal="center" vertical="center" wrapText="1" shrinkToFit="1"/>
    </xf>
    <xf numFmtId="0" fontId="99" fillId="15" borderId="1" xfId="3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/>
    </xf>
    <xf numFmtId="0" fontId="99" fillId="15" borderId="15" xfId="3" applyFont="1" applyFill="1" applyBorder="1" applyAlignment="1">
      <alignment horizontal="center"/>
    </xf>
    <xf numFmtId="0" fontId="101" fillId="2" borderId="0" xfId="3" applyFont="1" applyFill="1" applyBorder="1" applyAlignment="1">
      <alignment horizontal="center" vertical="center"/>
    </xf>
    <xf numFmtId="0" fontId="99" fillId="8" borderId="21" xfId="3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1" fontId="99" fillId="2" borderId="1" xfId="5" applyNumberFormat="1" applyFont="1" applyFill="1" applyBorder="1" applyAlignment="1">
      <alignment horizontal="center" vertical="center"/>
    </xf>
    <xf numFmtId="1" fontId="99" fillId="8" borderId="1" xfId="3" applyNumberFormat="1" applyFont="1" applyFill="1" applyBorder="1" applyAlignment="1">
      <alignment horizontal="center"/>
    </xf>
    <xf numFmtId="0" fontId="99" fillId="2" borderId="1" xfId="3" applyNumberFormat="1" applyFont="1" applyFill="1" applyBorder="1" applyAlignment="1">
      <alignment horizontal="center"/>
    </xf>
    <xf numFmtId="1" fontId="99" fillId="8" borderId="15" xfId="5" applyNumberFormat="1" applyFont="1" applyFill="1" applyBorder="1" applyAlignment="1" applyProtection="1">
      <alignment horizontal="center"/>
    </xf>
    <xf numFmtId="2" fontId="103" fillId="8" borderId="11" xfId="3" applyNumberFormat="1" applyFont="1" applyFill="1" applyBorder="1" applyAlignment="1">
      <alignment horizontal="center"/>
    </xf>
    <xf numFmtId="1" fontId="98" fillId="0" borderId="0" xfId="0" applyNumberFormat="1" applyFont="1"/>
    <xf numFmtId="0" fontId="99" fillId="8" borderId="28" xfId="3" applyFont="1" applyFill="1" applyBorder="1" applyAlignment="1">
      <alignment horizontal="left" vertical="center"/>
    </xf>
    <xf numFmtId="0" fontId="99" fillId="8" borderId="5" xfId="3" applyFont="1" applyFill="1" applyBorder="1" applyAlignment="1">
      <alignment horizontal="left" vertical="center"/>
    </xf>
    <xf numFmtId="0" fontId="99" fillId="8" borderId="13" xfId="3" applyFont="1" applyFill="1" applyBorder="1" applyAlignment="1">
      <alignment horizontal="left" vertical="center"/>
    </xf>
    <xf numFmtId="0" fontId="99" fillId="8" borderId="8" xfId="3" applyFont="1" applyFill="1" applyBorder="1" applyAlignment="1">
      <alignment horizontal="center"/>
    </xf>
    <xf numFmtId="2" fontId="99" fillId="8" borderId="8" xfId="3" applyNumberFormat="1" applyFont="1" applyFill="1" applyBorder="1" applyAlignment="1">
      <alignment horizontal="center"/>
    </xf>
    <xf numFmtId="1" fontId="99" fillId="2" borderId="7" xfId="5" applyNumberFormat="1" applyFont="1" applyFill="1" applyBorder="1" applyAlignment="1">
      <alignment horizontal="center" vertical="center"/>
    </xf>
    <xf numFmtId="1" fontId="99" fillId="2" borderId="8" xfId="3" applyNumberFormat="1" applyFont="1" applyFill="1" applyBorder="1" applyAlignment="1">
      <alignment horizontal="center"/>
    </xf>
    <xf numFmtId="2" fontId="103" fillId="8" borderId="1" xfId="3" applyNumberFormat="1" applyFont="1" applyFill="1" applyBorder="1" applyAlignment="1">
      <alignment horizontal="center"/>
    </xf>
    <xf numFmtId="2" fontId="98" fillId="0" borderId="0" xfId="0" applyNumberFormat="1" applyFont="1"/>
    <xf numFmtId="167" fontId="99" fillId="8" borderId="21" xfId="3" applyNumberFormat="1" applyFont="1" applyFill="1" applyBorder="1" applyAlignment="1">
      <alignment vertical="center"/>
    </xf>
    <xf numFmtId="167" fontId="99" fillId="8" borderId="1" xfId="3" applyNumberFormat="1" applyFont="1" applyFill="1" applyBorder="1" applyAlignment="1">
      <alignment vertical="center"/>
    </xf>
    <xf numFmtId="0" fontId="99" fillId="0" borderId="1" xfId="4" applyFont="1" applyBorder="1" applyAlignment="1">
      <alignment horizontal="center"/>
    </xf>
    <xf numFmtId="1" fontId="99" fillId="12" borderId="1" xfId="3" applyNumberFormat="1" applyFont="1" applyFill="1" applyBorder="1" applyAlignment="1">
      <alignment horizontal="center"/>
    </xf>
    <xf numFmtId="1" fontId="101" fillId="2" borderId="0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99" fillId="16" borderId="21" xfId="3" applyFont="1" applyFill="1" applyBorder="1" applyAlignment="1">
      <alignment horizontal="center"/>
    </xf>
    <xf numFmtId="0" fontId="99" fillId="16" borderId="1" xfId="3" applyFont="1" applyFill="1" applyBorder="1" applyAlignment="1">
      <alignment horizontal="center"/>
    </xf>
    <xf numFmtId="1" fontId="99" fillId="8" borderId="1" xfId="5" applyNumberFormat="1" applyFont="1" applyFill="1" applyBorder="1" applyAlignment="1">
      <alignment horizontal="center" vertical="center"/>
    </xf>
    <xf numFmtId="2" fontId="99" fillId="2" borderId="1" xfId="3" applyNumberFormat="1" applyFont="1" applyFill="1" applyBorder="1" applyAlignment="1">
      <alignment horizontal="center"/>
    </xf>
    <xf numFmtId="0" fontId="104" fillId="15" borderId="1" xfId="3" applyFont="1" applyFill="1" applyBorder="1" applyAlignment="1">
      <alignment horizontal="center"/>
    </xf>
    <xf numFmtId="0" fontId="101" fillId="2" borderId="0" xfId="3" applyFont="1" applyFill="1" applyBorder="1" applyAlignment="1">
      <alignment horizontal="center"/>
    </xf>
    <xf numFmtId="0" fontId="99" fillId="8" borderId="21" xfId="3" applyFont="1" applyFill="1" applyBorder="1" applyAlignment="1">
      <alignment horizontal="left"/>
    </xf>
    <xf numFmtId="0" fontId="99" fillId="8" borderId="1" xfId="3" applyFont="1" applyFill="1" applyBorder="1" applyAlignment="1">
      <alignment horizontal="left"/>
    </xf>
    <xf numFmtId="0" fontId="105" fillId="0" borderId="1" xfId="4" applyFont="1" applyBorder="1" applyAlignment="1">
      <alignment horizontal="center"/>
    </xf>
    <xf numFmtId="0" fontId="99" fillId="2" borderId="21" xfId="3" applyFont="1" applyFill="1" applyBorder="1" applyAlignment="1">
      <alignment horizontal="left" vertical="center"/>
    </xf>
    <xf numFmtId="0" fontId="99" fillId="2" borderId="1" xfId="3" applyFont="1" applyFill="1" applyBorder="1" applyAlignment="1">
      <alignment horizontal="left" vertical="center"/>
    </xf>
    <xf numFmtId="0" fontId="99" fillId="2" borderId="1" xfId="3" applyFont="1" applyFill="1" applyBorder="1" applyAlignment="1">
      <alignment horizontal="center"/>
    </xf>
    <xf numFmtId="0" fontId="99" fillId="2" borderId="1" xfId="4" applyFont="1" applyFill="1" applyBorder="1" applyAlignment="1">
      <alignment horizontal="center"/>
    </xf>
    <xf numFmtId="1" fontId="99" fillId="2" borderId="1" xfId="3" applyNumberFormat="1" applyFont="1" applyFill="1" applyBorder="1" applyAlignment="1">
      <alignment horizontal="center"/>
    </xf>
    <xf numFmtId="2" fontId="99" fillId="12" borderId="1" xfId="3" applyNumberFormat="1" applyFont="1" applyFill="1" applyBorder="1" applyAlignment="1">
      <alignment horizontal="center"/>
    </xf>
    <xf numFmtId="1" fontId="99" fillId="2" borderId="15" xfId="5" applyNumberFormat="1" applyFont="1" applyFill="1" applyBorder="1" applyAlignment="1" applyProtection="1">
      <alignment horizontal="center"/>
    </xf>
    <xf numFmtId="1" fontId="104" fillId="15" borderId="1" xfId="3" applyNumberFormat="1" applyFont="1" applyFill="1" applyBorder="1" applyAlignment="1">
      <alignment horizontal="center"/>
    </xf>
    <xf numFmtId="0" fontId="99" fillId="0" borderId="1" xfId="4" applyFont="1" applyBorder="1"/>
    <xf numFmtId="0" fontId="106" fillId="8" borderId="1" xfId="3" applyFont="1" applyFill="1" applyBorder="1" applyAlignment="1">
      <alignment horizontal="center"/>
    </xf>
    <xf numFmtId="164" fontId="106" fillId="8" borderId="1" xfId="5" applyNumberFormat="1" applyFont="1" applyFill="1" applyBorder="1" applyAlignment="1">
      <alignment horizontal="center" vertical="center"/>
    </xf>
    <xf numFmtId="1" fontId="99" fillId="12" borderId="1" xfId="5" applyNumberFormat="1" applyFont="1" applyFill="1" applyBorder="1" applyAlignment="1" applyProtection="1">
      <alignment horizontal="center"/>
    </xf>
    <xf numFmtId="0" fontId="99" fillId="16" borderId="21" xfId="3" applyFont="1" applyFill="1" applyBorder="1" applyAlignment="1">
      <alignment horizontal="center" vertical="center"/>
    </xf>
    <xf numFmtId="0" fontId="99" fillId="16" borderId="1" xfId="3" applyFont="1" applyFill="1" applyBorder="1" applyAlignment="1">
      <alignment horizontal="center" vertical="center"/>
    </xf>
    <xf numFmtId="0" fontId="106" fillId="2" borderId="1" xfId="4" applyFont="1" applyFill="1" applyBorder="1" applyAlignment="1">
      <alignment horizontal="center"/>
    </xf>
    <xf numFmtId="0" fontId="104" fillId="15" borderId="1" xfId="3" applyFont="1" applyFill="1" applyBorder="1" applyAlignment="1">
      <alignment horizontal="center" vertical="center"/>
    </xf>
    <xf numFmtId="1" fontId="99" fillId="15" borderId="1" xfId="3" applyNumberFormat="1" applyFont="1" applyFill="1" applyBorder="1" applyAlignment="1">
      <alignment horizontal="center" vertical="center"/>
    </xf>
    <xf numFmtId="0" fontId="107" fillId="15" borderId="1" xfId="3" applyFont="1" applyFill="1" applyBorder="1" applyAlignment="1">
      <alignment horizontal="center" vertical="center"/>
    </xf>
    <xf numFmtId="1" fontId="99" fillId="15" borderId="15" xfId="3" applyNumberFormat="1" applyFont="1" applyFill="1" applyBorder="1" applyAlignment="1">
      <alignment horizontal="center" vertical="center"/>
    </xf>
    <xf numFmtId="0" fontId="108" fillId="0" borderId="0" xfId="0" applyFont="1" applyBorder="1"/>
    <xf numFmtId="0" fontId="108" fillId="0" borderId="0" xfId="0" applyFont="1"/>
    <xf numFmtId="0" fontId="109" fillId="2" borderId="16" xfId="3" applyFont="1" applyFill="1" applyBorder="1" applyAlignment="1">
      <alignment horizontal="center"/>
    </xf>
    <xf numFmtId="0" fontId="109" fillId="2" borderId="3" xfId="3" applyFont="1" applyFill="1" applyBorder="1" applyAlignment="1">
      <alignment horizontal="center"/>
    </xf>
    <xf numFmtId="0" fontId="109" fillId="2" borderId="4" xfId="3" applyFont="1" applyFill="1" applyBorder="1" applyAlignment="1">
      <alignment horizontal="center"/>
    </xf>
    <xf numFmtId="44" fontId="109" fillId="8" borderId="1" xfId="8" applyFont="1" applyFill="1" applyBorder="1" applyAlignment="1">
      <alignment horizontal="center"/>
    </xf>
    <xf numFmtId="2" fontId="109" fillId="8" borderId="1" xfId="3" applyNumberFormat="1" applyFont="1" applyFill="1" applyBorder="1" applyAlignment="1">
      <alignment horizontal="center"/>
    </xf>
    <xf numFmtId="164" fontId="104" fillId="8" borderId="1" xfId="3" applyNumberFormat="1" applyFont="1" applyFill="1" applyBorder="1" applyAlignment="1">
      <alignment horizontal="center"/>
    </xf>
    <xf numFmtId="1" fontId="107" fillId="8" borderId="1" xfId="3" applyNumberFormat="1" applyFont="1" applyFill="1" applyBorder="1" applyAlignment="1">
      <alignment horizontal="center"/>
    </xf>
    <xf numFmtId="0" fontId="109" fillId="8" borderId="1" xfId="3" applyFont="1" applyFill="1" applyBorder="1" applyAlignment="1">
      <alignment horizontal="center"/>
    </xf>
    <xf numFmtId="1" fontId="109" fillId="8" borderId="1" xfId="5" applyNumberFormat="1" applyFont="1" applyFill="1" applyBorder="1" applyAlignment="1">
      <alignment horizontal="center" vertical="center"/>
    </xf>
    <xf numFmtId="168" fontId="104" fillId="8" borderId="1" xfId="5" applyNumberFormat="1" applyFont="1" applyFill="1" applyBorder="1" applyAlignment="1" applyProtection="1">
      <alignment horizontal="center" vertical="center"/>
    </xf>
    <xf numFmtId="164" fontId="107" fillId="8" borderId="1" xfId="5" applyNumberFormat="1" applyFont="1" applyFill="1" applyBorder="1" applyAlignment="1" applyProtection="1">
      <alignment horizontal="center"/>
    </xf>
    <xf numFmtId="2" fontId="107" fillId="8" borderId="1" xfId="3" applyNumberFormat="1" applyFont="1" applyFill="1" applyBorder="1" applyAlignment="1">
      <alignment horizontal="right"/>
    </xf>
    <xf numFmtId="0" fontId="109" fillId="16" borderId="16" xfId="3" applyFont="1" applyFill="1" applyBorder="1" applyAlignment="1">
      <alignment horizontal="center"/>
    </xf>
    <xf numFmtId="0" fontId="109" fillId="16" borderId="3" xfId="3" applyFont="1" applyFill="1" applyBorder="1" applyAlignment="1">
      <alignment horizontal="center"/>
    </xf>
    <xf numFmtId="0" fontId="109" fillId="16" borderId="4" xfId="3" applyFont="1" applyFill="1" applyBorder="1" applyAlignment="1">
      <alignment horizontal="center"/>
    </xf>
    <xf numFmtId="0" fontId="106" fillId="2" borderId="1" xfId="3" applyFont="1" applyFill="1" applyBorder="1" applyAlignment="1">
      <alignment horizontal="center"/>
    </xf>
    <xf numFmtId="169" fontId="106" fillId="8" borderId="1" xfId="5" applyNumberFormat="1" applyFont="1" applyFill="1" applyBorder="1" applyAlignment="1" applyProtection="1">
      <alignment horizontal="center" vertical="center"/>
    </xf>
    <xf numFmtId="1" fontId="106" fillId="2" borderId="1" xfId="3" applyNumberFormat="1" applyFont="1" applyFill="1" applyBorder="1" applyAlignment="1">
      <alignment horizontal="center" vertical="top"/>
    </xf>
    <xf numFmtId="0" fontId="99" fillId="15" borderId="21" xfId="3" applyFont="1" applyFill="1" applyBorder="1" applyAlignment="1">
      <alignment horizontal="left"/>
    </xf>
    <xf numFmtId="0" fontId="99" fillId="15" borderId="1" xfId="3" applyFont="1" applyFill="1" applyBorder="1" applyAlignment="1">
      <alignment horizontal="left"/>
    </xf>
    <xf numFmtId="0" fontId="99" fillId="0" borderId="1" xfId="4" applyFont="1" applyBorder="1" applyAlignment="1">
      <alignment horizontal="center" vertical="center"/>
    </xf>
    <xf numFmtId="2" fontId="99" fillId="8" borderId="21" xfId="3" applyNumberFormat="1" applyFont="1" applyFill="1" applyBorder="1" applyAlignment="1">
      <alignment horizontal="left" vertical="center"/>
    </xf>
    <xf numFmtId="2" fontId="99" fillId="8" borderId="1" xfId="3" applyNumberFormat="1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left" vertical="justify"/>
    </xf>
    <xf numFmtId="0" fontId="99" fillId="15" borderId="21" xfId="3" applyFont="1" applyFill="1" applyBorder="1" applyAlignment="1"/>
    <xf numFmtId="0" fontId="99" fillId="15" borderId="1" xfId="3" applyFont="1" applyFill="1" applyBorder="1" applyAlignment="1"/>
    <xf numFmtId="0" fontId="99" fillId="15" borderId="1" xfId="3" applyFont="1" applyFill="1" applyBorder="1" applyAlignment="1">
      <alignment vertical="center"/>
    </xf>
    <xf numFmtId="0" fontId="99" fillId="15" borderId="15" xfId="3" applyFont="1" applyFill="1" applyBorder="1" applyAlignment="1"/>
    <xf numFmtId="0" fontId="99" fillId="0" borderId="21" xfId="4" applyFont="1" applyBorder="1" applyAlignment="1">
      <alignment vertical="center"/>
    </xf>
    <xf numFmtId="0" fontId="99" fillId="0" borderId="1" xfId="4" applyFont="1" applyBorder="1" applyAlignment="1">
      <alignment vertical="center"/>
    </xf>
    <xf numFmtId="1" fontId="99" fillId="2" borderId="1" xfId="3" applyNumberFormat="1" applyFont="1" applyFill="1" applyBorder="1" applyAlignment="1">
      <alignment horizontal="center" vertical="center"/>
    </xf>
    <xf numFmtId="164" fontId="99" fillId="2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 vertical="top"/>
    </xf>
    <xf numFmtId="2" fontId="101" fillId="2" borderId="0" xfId="5" applyNumberFormat="1" applyFont="1" applyFill="1" applyBorder="1" applyAlignment="1" applyProtection="1">
      <alignment horizontal="center"/>
    </xf>
    <xf numFmtId="165" fontId="101" fillId="2" borderId="0" xfId="6" applyNumberFormat="1" applyFont="1" applyFill="1" applyBorder="1" applyAlignment="1">
      <alignment horizontal="center"/>
    </xf>
    <xf numFmtId="0" fontId="99" fillId="2" borderId="1" xfId="4" applyFont="1" applyFill="1" applyBorder="1" applyAlignment="1">
      <alignment horizontal="left"/>
    </xf>
    <xf numFmtId="0" fontId="99" fillId="2" borderId="1" xfId="4" applyFont="1" applyFill="1" applyBorder="1" applyAlignment="1"/>
    <xf numFmtId="0" fontId="99" fillId="2" borderId="15" xfId="4" applyFont="1" applyFill="1" applyBorder="1" applyAlignment="1"/>
    <xf numFmtId="0" fontId="105" fillId="2" borderId="1" xfId="4" applyFont="1" applyFill="1" applyBorder="1" applyAlignment="1">
      <alignment horizontal="center" wrapText="1"/>
    </xf>
    <xf numFmtId="0" fontId="105" fillId="0" borderId="1" xfId="4" applyFont="1" applyFill="1" applyBorder="1" applyAlignment="1">
      <alignment horizontal="center" wrapText="1"/>
    </xf>
    <xf numFmtId="0" fontId="105" fillId="0" borderId="1" xfId="4" applyFont="1" applyBorder="1" applyAlignment="1">
      <alignment horizontal="center" wrapText="1"/>
    </xf>
    <xf numFmtId="0" fontId="99" fillId="0" borderId="21" xfId="4" applyFont="1" applyBorder="1" applyAlignment="1">
      <alignment horizontal="left"/>
    </xf>
    <xf numFmtId="0" fontId="105" fillId="2" borderId="1" xfId="4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 vertical="center"/>
    </xf>
    <xf numFmtId="0" fontId="105" fillId="0" borderId="21" xfId="4" applyFont="1" applyBorder="1" applyAlignment="1">
      <alignment horizontal="left"/>
    </xf>
    <xf numFmtId="0" fontId="105" fillId="0" borderId="1" xfId="4" applyFont="1" applyBorder="1" applyAlignment="1">
      <alignment horizontal="left"/>
    </xf>
    <xf numFmtId="0" fontId="99" fillId="0" borderId="1" xfId="3" applyFont="1" applyFill="1" applyBorder="1" applyAlignment="1">
      <alignment horizontal="center"/>
    </xf>
    <xf numFmtId="164" fontId="101" fillId="2" borderId="0" xfId="5" applyNumberFormat="1" applyFont="1" applyFill="1" applyBorder="1" applyAlignment="1" applyProtection="1">
      <alignment horizontal="center"/>
    </xf>
    <xf numFmtId="0" fontId="107" fillId="16" borderId="21" xfId="4" applyFont="1" applyFill="1" applyBorder="1"/>
    <xf numFmtId="0" fontId="107" fillId="16" borderId="1" xfId="0" applyFont="1" applyFill="1" applyBorder="1"/>
    <xf numFmtId="0" fontId="103" fillId="0" borderId="0" xfId="0" applyFont="1" applyBorder="1"/>
    <xf numFmtId="0" fontId="103" fillId="0" borderId="0" xfId="0" applyFont="1"/>
    <xf numFmtId="0" fontId="107" fillId="0" borderId="21" xfId="4" applyFont="1" applyFill="1" applyBorder="1"/>
    <xf numFmtId="0" fontId="107" fillId="0" borderId="1" xfId="0" applyFont="1" applyFill="1" applyBorder="1"/>
    <xf numFmtId="0" fontId="99" fillId="0" borderId="1" xfId="4" applyFont="1" applyFill="1" applyBorder="1"/>
    <xf numFmtId="0" fontId="104" fillId="0" borderId="1" xfId="3" applyFont="1" applyFill="1" applyBorder="1" applyAlignment="1">
      <alignment horizontal="center"/>
    </xf>
    <xf numFmtId="1" fontId="99" fillId="0" borderId="1" xfId="3" applyNumberFormat="1" applyFont="1" applyFill="1" applyBorder="1" applyAlignment="1">
      <alignment horizontal="center"/>
    </xf>
    <xf numFmtId="1" fontId="99" fillId="0" borderId="1" xfId="5" applyNumberFormat="1" applyFont="1" applyFill="1" applyBorder="1" applyAlignment="1">
      <alignment horizontal="center" vertical="center"/>
    </xf>
    <xf numFmtId="1" fontId="99" fillId="0" borderId="15" xfId="5" applyNumberFormat="1" applyFont="1" applyFill="1" applyBorder="1" applyAlignment="1" applyProtection="1">
      <alignment horizontal="center"/>
    </xf>
    <xf numFmtId="164" fontId="101" fillId="0" borderId="0" xfId="5" applyNumberFormat="1" applyFont="1" applyFill="1" applyBorder="1" applyAlignment="1" applyProtection="1">
      <alignment horizontal="center"/>
    </xf>
    <xf numFmtId="0" fontId="103" fillId="0" borderId="0" xfId="0" applyFont="1" applyFill="1" applyBorder="1"/>
    <xf numFmtId="0" fontId="103" fillId="0" borderId="0" xfId="0" applyFont="1" applyFill="1"/>
    <xf numFmtId="0" fontId="99" fillId="15" borderId="21" xfId="3" applyFont="1" applyFill="1" applyBorder="1" applyAlignment="1">
      <alignment horizontal="center"/>
    </xf>
    <xf numFmtId="164" fontId="101" fillId="2" borderId="0" xfId="3" applyNumberFormat="1" applyFont="1" applyFill="1" applyBorder="1" applyAlignment="1">
      <alignment horizontal="center"/>
    </xf>
    <xf numFmtId="1" fontId="104" fillId="2" borderId="1" xfId="3" applyNumberFormat="1" applyFont="1" applyFill="1" applyBorder="1" applyAlignment="1">
      <alignment horizontal="center"/>
    </xf>
    <xf numFmtId="43" fontId="99" fillId="8" borderId="1" xfId="7" applyFont="1" applyFill="1" applyBorder="1" applyAlignment="1">
      <alignment horizontal="right" wrapText="1"/>
    </xf>
    <xf numFmtId="0" fontId="99" fillId="10" borderId="33" xfId="3" applyFont="1" applyFill="1" applyBorder="1" applyAlignment="1">
      <alignment horizontal="center" vertical="center"/>
    </xf>
    <xf numFmtId="0" fontId="99" fillId="10" borderId="0" xfId="3" applyFont="1" applyFill="1" applyBorder="1" applyAlignment="1">
      <alignment horizontal="center" vertical="center"/>
    </xf>
    <xf numFmtId="0" fontId="99" fillId="10" borderId="32" xfId="3" applyFont="1" applyFill="1" applyBorder="1" applyAlignment="1">
      <alignment horizontal="center" vertical="center"/>
    </xf>
    <xf numFmtId="2" fontId="99" fillId="10" borderId="25" xfId="3" applyNumberFormat="1" applyFont="1" applyFill="1" applyBorder="1" applyAlignment="1">
      <alignment horizontal="center" vertical="center"/>
    </xf>
    <xf numFmtId="0" fontId="105" fillId="10" borderId="25" xfId="4" applyFont="1" applyFill="1" applyBorder="1" applyAlignment="1">
      <alignment horizontal="center" vertical="center"/>
    </xf>
    <xf numFmtId="1" fontId="99" fillId="10" borderId="25" xfId="5" applyNumberFormat="1" applyFont="1" applyFill="1" applyBorder="1" applyAlignment="1">
      <alignment horizontal="center" vertical="center"/>
    </xf>
    <xf numFmtId="1" fontId="99" fillId="10" borderId="25" xfId="3" applyNumberFormat="1" applyFont="1" applyFill="1" applyBorder="1" applyAlignment="1">
      <alignment horizontal="center" vertical="center"/>
    </xf>
    <xf numFmtId="0" fontId="104" fillId="10" borderId="0" xfId="0" applyFont="1" applyFill="1" applyBorder="1" applyAlignment="1">
      <alignment horizontal="center" vertical="center"/>
    </xf>
    <xf numFmtId="1" fontId="99" fillId="10" borderId="31" xfId="5" applyNumberFormat="1" applyFont="1" applyFill="1" applyBorder="1" applyAlignment="1" applyProtection="1">
      <alignment horizontal="center" vertical="center"/>
    </xf>
    <xf numFmtId="0" fontId="104" fillId="0" borderId="0" xfId="0" applyFont="1" applyBorder="1"/>
    <xf numFmtId="0" fontId="104" fillId="0" borderId="4" xfId="0" applyFont="1" applyBorder="1" applyAlignment="1">
      <alignment horizontal="center"/>
    </xf>
    <xf numFmtId="0" fontId="104" fillId="0" borderId="1" xfId="0" applyFont="1" applyBorder="1" applyAlignment="1">
      <alignment horizontal="center"/>
    </xf>
    <xf numFmtId="1" fontId="104" fillId="0" borderId="1" xfId="0" applyNumberFormat="1" applyFont="1" applyBorder="1" applyAlignment="1">
      <alignment horizontal="center"/>
    </xf>
    <xf numFmtId="1" fontId="104" fillId="0" borderId="15" xfId="0" applyNumberFormat="1" applyFont="1" applyBorder="1" applyAlignment="1">
      <alignment horizontal="center"/>
    </xf>
    <xf numFmtId="0" fontId="104" fillId="0" borderId="1" xfId="0" applyFont="1" applyBorder="1" applyAlignment="1">
      <alignment horizontal="left"/>
    </xf>
    <xf numFmtId="0" fontId="104" fillId="0" borderId="1" xfId="0" applyFont="1" applyFill="1" applyBorder="1" applyAlignment="1">
      <alignment horizontal="center"/>
    </xf>
    <xf numFmtId="0" fontId="95" fillId="0" borderId="1" xfId="0" applyFont="1" applyFill="1" applyBorder="1" applyAlignment="1">
      <alignment horizontal="left"/>
    </xf>
    <xf numFmtId="0" fontId="95" fillId="0" borderId="4" xfId="0" applyFont="1" applyFill="1" applyBorder="1"/>
    <xf numFmtId="0" fontId="108" fillId="0" borderId="0" xfId="0" applyFont="1" applyFill="1"/>
    <xf numFmtId="0" fontId="104" fillId="0" borderId="1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center"/>
    </xf>
    <xf numFmtId="0" fontId="104" fillId="0" borderId="1" xfId="0" applyFont="1" applyFill="1" applyBorder="1"/>
    <xf numFmtId="1" fontId="104" fillId="0" borderId="1" xfId="0" applyNumberFormat="1" applyFont="1" applyFill="1" applyBorder="1" applyAlignment="1">
      <alignment horizontal="center"/>
    </xf>
    <xf numFmtId="1" fontId="104" fillId="0" borderId="15" xfId="0" applyNumberFormat="1" applyFont="1" applyFill="1" applyBorder="1" applyAlignment="1">
      <alignment horizontal="center"/>
    </xf>
    <xf numFmtId="1" fontId="104" fillId="0" borderId="0" xfId="0" applyNumberFormat="1" applyFont="1" applyBorder="1" applyAlignment="1">
      <alignment horizontal="center"/>
    </xf>
    <xf numFmtId="1" fontId="104" fillId="0" borderId="35" xfId="0" applyNumberFormat="1" applyFont="1" applyBorder="1"/>
    <xf numFmtId="0" fontId="104" fillId="15" borderId="15" xfId="3" applyFont="1" applyFill="1" applyBorder="1" applyAlignment="1">
      <alignment horizontal="center"/>
    </xf>
    <xf numFmtId="0" fontId="99" fillId="12" borderId="1" xfId="4" applyFont="1" applyFill="1" applyBorder="1" applyAlignment="1">
      <alignment horizontal="center"/>
    </xf>
    <xf numFmtId="0" fontId="99" fillId="0" borderId="21" xfId="4" applyFont="1" applyBorder="1"/>
    <xf numFmtId="0" fontId="99" fillId="15" borderId="21" xfId="3" applyFont="1" applyFill="1" applyBorder="1" applyAlignment="1">
      <alignment horizontal="center" vertical="center"/>
    </xf>
    <xf numFmtId="1" fontId="99" fillId="15" borderId="1" xfId="5" applyNumberFormat="1" applyFont="1" applyFill="1" applyBorder="1" applyAlignment="1">
      <alignment horizontal="center"/>
    </xf>
    <xf numFmtId="1" fontId="99" fillId="15" borderId="15" xfId="5" applyNumberFormat="1" applyFont="1" applyFill="1" applyBorder="1" applyAlignment="1">
      <alignment horizontal="center"/>
    </xf>
    <xf numFmtId="0" fontId="105" fillId="0" borderId="1" xfId="4" applyFont="1" applyFill="1" applyBorder="1" applyAlignment="1">
      <alignment horizontal="center"/>
    </xf>
    <xf numFmtId="0" fontId="104" fillId="0" borderId="1" xfId="0" applyFont="1" applyBorder="1"/>
    <xf numFmtId="9" fontId="99" fillId="8" borderId="1" xfId="6" applyNumberFormat="1" applyFont="1" applyFill="1" applyBorder="1" applyAlignment="1">
      <alignment horizontal="center"/>
    </xf>
    <xf numFmtId="165" fontId="99" fillId="0" borderId="1" xfId="6" applyNumberFormat="1" applyFont="1" applyFill="1" applyBorder="1" applyAlignment="1"/>
    <xf numFmtId="1" fontId="99" fillId="8" borderId="1" xfId="5" applyNumberFormat="1" applyFont="1" applyFill="1" applyBorder="1" applyAlignment="1">
      <alignment horizontal="right"/>
    </xf>
    <xf numFmtId="0" fontId="111" fillId="0" borderId="0" xfId="4" applyFont="1"/>
    <xf numFmtId="0" fontId="99" fillId="8" borderId="7" xfId="3" applyFont="1" applyFill="1" applyBorder="1" applyAlignment="1">
      <alignment horizontal="center"/>
    </xf>
    <xf numFmtId="2" fontId="99" fillId="8" borderId="7" xfId="3" applyNumberFormat="1" applyFont="1" applyFill="1" applyBorder="1" applyAlignment="1">
      <alignment horizontal="center"/>
    </xf>
    <xf numFmtId="9" fontId="99" fillId="8" borderId="7" xfId="6" applyNumberFormat="1" applyFont="1" applyFill="1" applyBorder="1" applyAlignment="1">
      <alignment horizontal="center"/>
    </xf>
    <xf numFmtId="2" fontId="99" fillId="8" borderId="7" xfId="3" applyNumberFormat="1" applyFont="1" applyFill="1" applyBorder="1" applyAlignment="1">
      <alignment horizontal="right"/>
    </xf>
    <xf numFmtId="1" fontId="99" fillId="8" borderId="23" xfId="5" applyNumberFormat="1" applyFont="1" applyFill="1" applyBorder="1" applyAlignment="1" applyProtection="1">
      <alignment horizontal="center"/>
    </xf>
    <xf numFmtId="0" fontId="95" fillId="0" borderId="0" xfId="0" applyFont="1"/>
    <xf numFmtId="1" fontId="95" fillId="0" borderId="0" xfId="0" applyNumberFormat="1" applyFont="1" applyAlignment="1">
      <alignment horizontal="center"/>
    </xf>
    <xf numFmtId="1" fontId="95" fillId="0" borderId="0" xfId="0" applyNumberFormat="1" applyFont="1"/>
    <xf numFmtId="0" fontId="104" fillId="0" borderId="0" xfId="0" applyFont="1"/>
    <xf numFmtId="1" fontId="104" fillId="0" borderId="0" xfId="0" applyNumberFormat="1" applyFont="1" applyAlignment="1">
      <alignment horizontal="center"/>
    </xf>
    <xf numFmtId="1" fontId="104" fillId="0" borderId="0" xfId="0" applyNumberFormat="1" applyFont="1"/>
    <xf numFmtId="0" fontId="98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3" fillId="0" borderId="0" xfId="0" applyFont="1" applyFill="1" applyAlignment="1">
      <alignment horizontal="center" vertical="center"/>
    </xf>
    <xf numFmtId="1" fontId="103" fillId="0" borderId="0" xfId="0" applyNumberFormat="1" applyFont="1" applyFill="1" applyAlignment="1">
      <alignment horizontal="center" vertical="center"/>
    </xf>
    <xf numFmtId="0" fontId="108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center" vertical="center"/>
    </xf>
    <xf numFmtId="1" fontId="99" fillId="0" borderId="1" xfId="0" applyNumberFormat="1" applyFont="1" applyBorder="1" applyAlignment="1">
      <alignment horizontal="center"/>
    </xf>
    <xf numFmtId="1" fontId="99" fillId="12" borderId="1" xfId="5" applyNumberFormat="1" applyFont="1" applyFill="1" applyBorder="1" applyAlignment="1">
      <alignment horizontal="center" vertical="center"/>
    </xf>
    <xf numFmtId="174" fontId="103" fillId="0" borderId="0" xfId="0" applyNumberFormat="1" applyFont="1" applyFill="1" applyAlignment="1">
      <alignment horizontal="center" vertical="center"/>
    </xf>
    <xf numFmtId="171" fontId="98" fillId="0" borderId="0" xfId="0" applyNumberFormat="1" applyFont="1" applyAlignment="1">
      <alignment horizontal="center" vertical="center"/>
    </xf>
    <xf numFmtId="164" fontId="98" fillId="0" borderId="0" xfId="0" applyNumberFormat="1" applyFont="1" applyAlignment="1">
      <alignment horizontal="center" vertical="center"/>
    </xf>
    <xf numFmtId="9" fontId="99" fillId="9" borderId="1" xfId="4" applyNumberFormat="1" applyFont="1" applyFill="1" applyBorder="1" applyAlignment="1">
      <alignment horizontal="center"/>
    </xf>
    <xf numFmtId="164" fontId="80" fillId="12" borderId="1" xfId="5" applyNumberFormat="1" applyFont="1" applyFill="1" applyBorder="1" applyAlignment="1">
      <alignment horizontal="center" vertical="center"/>
    </xf>
    <xf numFmtId="2" fontId="78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3" fillId="12" borderId="1" xfId="0" applyFont="1" applyFill="1" applyBorder="1"/>
    <xf numFmtId="1" fontId="87" fillId="0" borderId="0" xfId="0" applyNumberFormat="1" applyFont="1" applyBorder="1"/>
    <xf numFmtId="1" fontId="73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13" fillId="9" borderId="1" xfId="3" applyNumberFormat="1" applyFont="1" applyFill="1" applyBorder="1" applyAlignment="1">
      <alignment horizontal="center"/>
    </xf>
    <xf numFmtId="0" fontId="73" fillId="2" borderId="1" xfId="4" applyFont="1" applyFill="1" applyBorder="1" applyAlignment="1">
      <alignment horizontal="center" vertical="center"/>
    </xf>
    <xf numFmtId="164" fontId="80" fillId="2" borderId="1" xfId="5" applyNumberFormat="1" applyFont="1" applyFill="1" applyBorder="1" applyAlignment="1">
      <alignment horizontal="center" vertical="center"/>
    </xf>
    <xf numFmtId="1" fontId="89" fillId="2" borderId="1" xfId="5" applyNumberFormat="1" applyFont="1" applyFill="1" applyBorder="1" applyAlignment="1">
      <alignment horizontal="center" vertical="center"/>
    </xf>
    <xf numFmtId="0" fontId="114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4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5" fillId="0" borderId="1" xfId="0" applyNumberFormat="1" applyFont="1" applyFill="1" applyBorder="1" applyAlignment="1">
      <alignment horizontal="center" wrapText="1"/>
    </xf>
    <xf numFmtId="1" fontId="114" fillId="0" borderId="0" xfId="0" applyNumberFormat="1" applyFont="1"/>
    <xf numFmtId="1" fontId="114" fillId="0" borderId="0" xfId="0" applyNumberFormat="1" applyFont="1" applyFill="1"/>
    <xf numFmtId="1" fontId="96" fillId="0" borderId="1" xfId="0" applyNumberFormat="1" applyFont="1" applyBorder="1" applyAlignment="1">
      <alignment horizontal="center" wrapText="1"/>
    </xf>
    <xf numFmtId="1" fontId="115" fillId="0" borderId="1" xfId="0" applyNumberFormat="1" applyFont="1" applyBorder="1" applyAlignment="1">
      <alignment horizontal="center" wrapText="1"/>
    </xf>
    <xf numFmtId="1" fontId="89" fillId="2" borderId="1" xfId="3" applyNumberFormat="1" applyFont="1" applyFill="1" applyBorder="1" applyAlignment="1">
      <alignment horizontal="center"/>
    </xf>
    <xf numFmtId="1" fontId="89" fillId="2" borderId="15" xfId="5" applyNumberFormat="1" applyFont="1" applyFill="1" applyBorder="1" applyAlignment="1" applyProtection="1">
      <alignment horizontal="center"/>
    </xf>
    <xf numFmtId="169" fontId="80" fillId="8" borderId="1" xfId="5" applyNumberFormat="1" applyFont="1" applyFill="1" applyBorder="1" applyAlignment="1" applyProtection="1">
      <alignment vertical="center"/>
    </xf>
    <xf numFmtId="1" fontId="73" fillId="22" borderId="1" xfId="5" applyNumberFormat="1" applyFont="1" applyFill="1" applyBorder="1" applyAlignment="1">
      <alignment horizontal="center" vertical="center"/>
    </xf>
    <xf numFmtId="0" fontId="73" fillId="12" borderId="1" xfId="4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1" fontId="73" fillId="10" borderId="1" xfId="5" applyNumberFormat="1" applyFont="1" applyFill="1" applyBorder="1" applyAlignment="1">
      <alignment horizontal="center" vertical="center"/>
    </xf>
    <xf numFmtId="1" fontId="73" fillId="17" borderId="1" xfId="5" applyNumberFormat="1" applyFont="1" applyFill="1" applyBorder="1" applyAlignment="1">
      <alignment horizontal="center" vertical="center"/>
    </xf>
    <xf numFmtId="0" fontId="79" fillId="10" borderId="1" xfId="4" applyFont="1" applyFill="1" applyBorder="1" applyAlignment="1">
      <alignment horizontal="center"/>
    </xf>
    <xf numFmtId="0" fontId="79" fillId="22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73" fillId="17" borderId="1" xfId="4" applyFont="1" applyFill="1" applyBorder="1" applyAlignment="1">
      <alignment horizontal="center"/>
    </xf>
    <xf numFmtId="0" fontId="66" fillId="2" borderId="1" xfId="3" applyFont="1" applyFill="1" applyBorder="1" applyAlignment="1">
      <alignment horizontal="left" vertical="justify"/>
    </xf>
    <xf numFmtId="0" fontId="73" fillId="12" borderId="1" xfId="3" applyNumberFormat="1" applyFont="1" applyFill="1" applyBorder="1" applyAlignment="1">
      <alignment horizontal="center"/>
    </xf>
    <xf numFmtId="1" fontId="96" fillId="2" borderId="1" xfId="0" applyNumberFormat="1" applyFont="1" applyFill="1" applyBorder="1" applyAlignment="1">
      <alignment horizontal="center" wrapText="1"/>
    </xf>
    <xf numFmtId="1" fontId="96" fillId="12" borderId="1" xfId="0" applyNumberFormat="1" applyFont="1" applyFill="1" applyBorder="1" applyAlignment="1">
      <alignment horizontal="center" wrapText="1"/>
    </xf>
    <xf numFmtId="0" fontId="63" fillId="0" borderId="1" xfId="0" applyFont="1" applyFill="1" applyBorder="1" applyAlignment="1">
      <alignment vertical="center" wrapText="1"/>
    </xf>
    <xf numFmtId="0" fontId="63" fillId="0" borderId="1" xfId="0" applyFont="1" applyFill="1" applyBorder="1"/>
    <xf numFmtId="9" fontId="17" fillId="9" borderId="1" xfId="4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 wrapText="1"/>
    </xf>
    <xf numFmtId="0" fontId="67" fillId="0" borderId="21" xfId="3" applyFont="1" applyFill="1" applyBorder="1" applyAlignment="1">
      <alignment horizontal="left"/>
    </xf>
    <xf numFmtId="0" fontId="67" fillId="0" borderId="1" xfId="3" applyFont="1" applyFill="1" applyBorder="1" applyAlignment="1">
      <alignment horizontal="left"/>
    </xf>
    <xf numFmtId="2" fontId="73" fillId="0" borderId="1" xfId="3" applyNumberFormat="1" applyFont="1" applyFill="1" applyBorder="1" applyAlignment="1">
      <alignment horizontal="right"/>
    </xf>
    <xf numFmtId="1" fontId="116" fillId="0" borderId="0" xfId="0" applyNumberFormat="1" applyFont="1"/>
    <xf numFmtId="1" fontId="117" fillId="0" borderId="0" xfId="0" applyNumberFormat="1" applyFont="1"/>
    <xf numFmtId="49" fontId="104" fillId="0" borderId="0" xfId="0" applyNumberFormat="1" applyFont="1"/>
    <xf numFmtId="1" fontId="118" fillId="0" borderId="1" xfId="0" applyNumberFormat="1" applyFont="1" applyFill="1" applyBorder="1" applyAlignment="1">
      <alignment horizontal="center" wrapText="1"/>
    </xf>
    <xf numFmtId="170" fontId="103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4" fillId="15" borderId="0" xfId="0" applyFont="1" applyFill="1"/>
    <xf numFmtId="1" fontId="114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4" fillId="0" borderId="0" xfId="0" applyFont="1" applyBorder="1"/>
    <xf numFmtId="0" fontId="120" fillId="0" borderId="1" xfId="0" applyFont="1" applyBorder="1"/>
    <xf numFmtId="0" fontId="114" fillId="0" borderId="1" xfId="0" applyFont="1" applyBorder="1"/>
    <xf numFmtId="0" fontId="114" fillId="22" borderId="1" xfId="0" applyFont="1" applyFill="1" applyBorder="1"/>
    <xf numFmtId="0" fontId="119" fillId="0" borderId="1" xfId="0" applyFont="1" applyBorder="1"/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2" fontId="121" fillId="21" borderId="1" xfId="3" applyNumberFormat="1" applyFont="1" applyFill="1" applyBorder="1" applyAlignment="1">
      <alignment horizontal="center"/>
    </xf>
    <xf numFmtId="1" fontId="121" fillId="8" borderId="1" xfId="3" applyNumberFormat="1" applyFont="1" applyFill="1" applyBorder="1" applyAlignment="1">
      <alignment horizontal="center"/>
    </xf>
    <xf numFmtId="2" fontId="121" fillId="2" borderId="1" xfId="3" applyNumberFormat="1" applyFont="1" applyFill="1" applyBorder="1" applyAlignment="1">
      <alignment horizontal="center"/>
    </xf>
    <xf numFmtId="1" fontId="121" fillId="8" borderId="15" xfId="5" applyNumberFormat="1" applyFont="1" applyFill="1" applyBorder="1" applyAlignment="1" applyProtection="1">
      <alignment horizontal="center"/>
    </xf>
    <xf numFmtId="0" fontId="121" fillId="15" borderId="1" xfId="3" applyFont="1" applyFill="1" applyBorder="1" applyAlignment="1">
      <alignment horizontal="center"/>
    </xf>
    <xf numFmtId="0" fontId="121" fillId="15" borderId="15" xfId="3" applyFont="1" applyFill="1" applyBorder="1" applyAlignment="1">
      <alignment horizontal="center"/>
    </xf>
    <xf numFmtId="0" fontId="121" fillId="2" borderId="1" xfId="3" applyNumberFormat="1" applyFont="1" applyFill="1" applyBorder="1" applyAlignment="1">
      <alignment horizontal="center"/>
    </xf>
    <xf numFmtId="0" fontId="121" fillId="8" borderId="1" xfId="3" applyFont="1" applyFill="1" applyBorder="1" applyAlignment="1">
      <alignment horizontal="center"/>
    </xf>
    <xf numFmtId="1" fontId="121" fillId="15" borderId="1" xfId="3" applyNumberFormat="1" applyFont="1" applyFill="1" applyBorder="1" applyAlignment="1">
      <alignment horizontal="center"/>
    </xf>
    <xf numFmtId="0" fontId="121" fillId="21" borderId="1" xfId="3" applyFont="1" applyFill="1" applyBorder="1" applyAlignment="1">
      <alignment horizontal="center"/>
    </xf>
    <xf numFmtId="1" fontId="121" fillId="21" borderId="1" xfId="4" applyNumberFormat="1" applyFont="1" applyFill="1" applyBorder="1" applyAlignment="1">
      <alignment horizontal="center"/>
    </xf>
    <xf numFmtId="0" fontId="122" fillId="0" borderId="0" xfId="2" applyFont="1" applyAlignment="1" applyProtection="1"/>
    <xf numFmtId="2" fontId="122" fillId="0" borderId="0" xfId="2" applyNumberFormat="1" applyFont="1" applyAlignment="1" applyProtection="1"/>
    <xf numFmtId="0" fontId="67" fillId="0" borderId="21" xfId="3" applyFont="1" applyFill="1" applyBorder="1" applyAlignment="1">
      <alignment horizontal="left" vertical="center"/>
    </xf>
    <xf numFmtId="0" fontId="66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6" fillId="0" borderId="1" xfId="3" applyFont="1" applyFill="1" applyBorder="1" applyAlignment="1">
      <alignment horizontal="left" vertical="center"/>
    </xf>
    <xf numFmtId="1" fontId="73" fillId="0" borderId="1" xfId="3" applyNumberFormat="1" applyFont="1" applyFill="1" applyBorder="1" applyAlignment="1">
      <alignment horizontal="center" vertical="center"/>
    </xf>
    <xf numFmtId="2" fontId="67" fillId="0" borderId="21" xfId="3" applyNumberFormat="1" applyFont="1" applyFill="1" applyBorder="1" applyAlignment="1">
      <alignment horizontal="left" vertical="center"/>
    </xf>
    <xf numFmtId="2" fontId="66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4" fillId="17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23" fillId="0" borderId="36" xfId="17" applyFont="1" applyBorder="1" applyAlignment="1">
      <alignment horizontal="center"/>
    </xf>
    <xf numFmtId="0" fontId="124" fillId="0" borderId="36" xfId="17" applyFont="1" applyBorder="1" applyAlignment="1">
      <alignment horizontal="center"/>
    </xf>
    <xf numFmtId="1" fontId="124" fillId="0" borderId="36" xfId="17" applyNumberFormat="1" applyFont="1" applyBorder="1" applyAlignment="1">
      <alignment horizontal="center"/>
    </xf>
    <xf numFmtId="1" fontId="123" fillId="0" borderId="36" xfId="17" applyNumberFormat="1" applyFont="1" applyBorder="1" applyAlignment="1">
      <alignment horizontal="center" wrapText="1"/>
    </xf>
    <xf numFmtId="0" fontId="123" fillId="0" borderId="36" xfId="17" applyFont="1" applyBorder="1" applyAlignment="1">
      <alignment horizontal="center" wrapText="1"/>
    </xf>
    <xf numFmtId="0" fontId="123" fillId="0" borderId="0" xfId="17" applyFont="1" applyAlignment="1">
      <alignment wrapText="1"/>
    </xf>
    <xf numFmtId="0" fontId="123" fillId="0" borderId="0" xfId="17" applyFont="1"/>
    <xf numFmtId="0" fontId="15" fillId="0" borderId="0" xfId="17" applyFont="1" applyAlignment="1">
      <alignment horizontal="center"/>
    </xf>
    <xf numFmtId="0" fontId="96" fillId="0" borderId="0" xfId="17" applyFont="1" applyAlignment="1">
      <alignment horizontal="center"/>
    </xf>
    <xf numFmtId="1" fontId="96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67" fillId="0" borderId="1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99" fillId="0" borderId="1" xfId="4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75" fillId="0" borderId="1" xfId="0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166" fontId="18" fillId="9" borderId="2" xfId="3" applyNumberFormat="1" applyFont="1" applyFill="1" applyBorder="1" applyAlignment="1">
      <alignment horizontal="left"/>
    </xf>
    <xf numFmtId="164" fontId="73" fillId="0" borderId="1" xfId="5" applyNumberFormat="1" applyFont="1" applyFill="1" applyBorder="1" applyAlignment="1" applyProtection="1">
      <alignment horizontal="center" vertical="top"/>
    </xf>
    <xf numFmtId="0" fontId="73" fillId="0" borderId="1" xfId="4" applyFont="1" applyFill="1" applyBorder="1" applyAlignment="1"/>
    <xf numFmtId="0" fontId="73" fillId="0" borderId="15" xfId="4" applyFont="1" applyFill="1" applyBorder="1" applyAlignment="1"/>
    <xf numFmtId="2" fontId="81" fillId="0" borderId="1" xfId="3" applyNumberFormat="1" applyFont="1" applyFill="1" applyBorder="1" applyAlignment="1">
      <alignment horizontal="right"/>
    </xf>
    <xf numFmtId="0" fontId="67" fillId="0" borderId="21" xfId="4" applyFont="1" applyFill="1" applyBorder="1" applyAlignment="1">
      <alignment horizontal="left"/>
    </xf>
    <xf numFmtId="0" fontId="67" fillId="0" borderId="1" xfId="4" applyFont="1" applyFill="1" applyBorder="1" applyAlignment="1">
      <alignment horizontal="left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14" fillId="16" borderId="5" xfId="0" applyFont="1" applyFill="1" applyBorder="1" applyAlignment="1">
      <alignment horizontal="center"/>
    </xf>
    <xf numFmtId="0" fontId="114" fillId="17" borderId="5" xfId="0" applyFont="1" applyFill="1" applyBorder="1" applyAlignment="1">
      <alignment horizontal="center"/>
    </xf>
    <xf numFmtId="0" fontId="114" fillId="19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71" fillId="0" borderId="16" xfId="4" applyFont="1" applyFill="1" applyBorder="1" applyAlignment="1">
      <alignment horizontal="left"/>
    </xf>
    <xf numFmtId="0" fontId="71" fillId="0" borderId="3" xfId="4" applyFont="1" applyFill="1" applyBorder="1" applyAlignment="1">
      <alignment horizontal="left"/>
    </xf>
    <xf numFmtId="0" fontId="71" fillId="0" borderId="4" xfId="4" applyFont="1" applyFill="1" applyBorder="1" applyAlignment="1">
      <alignment horizontal="left"/>
    </xf>
    <xf numFmtId="0" fontId="71" fillId="0" borderId="16" xfId="4" applyFont="1" applyBorder="1" applyAlignment="1">
      <alignment horizontal="left"/>
    </xf>
    <xf numFmtId="0" fontId="71" fillId="0" borderId="3" xfId="4" applyFont="1" applyBorder="1" applyAlignment="1">
      <alignment horizontal="left"/>
    </xf>
    <xf numFmtId="0" fontId="71" fillId="0" borderId="4" xfId="4" applyFont="1" applyBorder="1" applyAlignment="1">
      <alignment horizontal="left"/>
    </xf>
    <xf numFmtId="0" fontId="67" fillId="0" borderId="16" xfId="4" applyFont="1" applyFill="1" applyBorder="1" applyAlignment="1">
      <alignment horizontal="left"/>
    </xf>
    <xf numFmtId="0" fontId="67" fillId="0" borderId="3" xfId="4" applyFont="1" applyFill="1" applyBorder="1" applyAlignment="1">
      <alignment horizontal="left"/>
    </xf>
    <xf numFmtId="0" fontId="67" fillId="0" borderId="4" xfId="4" applyFont="1" applyFill="1" applyBorder="1" applyAlignment="1">
      <alignment horizontal="left"/>
    </xf>
    <xf numFmtId="0" fontId="55" fillId="23" borderId="16" xfId="4" applyFont="1" applyFill="1" applyBorder="1" applyAlignment="1">
      <alignment horizontal="left"/>
    </xf>
    <xf numFmtId="0" fontId="55" fillId="23" borderId="3" xfId="4" applyFont="1" applyFill="1" applyBorder="1" applyAlignment="1">
      <alignment horizontal="left"/>
    </xf>
    <xf numFmtId="0" fontId="55" fillId="23" borderId="29" xfId="4" applyFont="1" applyFill="1" applyBorder="1" applyAlignment="1">
      <alignment horizontal="left"/>
    </xf>
    <xf numFmtId="0" fontId="72" fillId="0" borderId="16" xfId="0" applyFont="1" applyFill="1" applyBorder="1" applyAlignment="1">
      <alignment horizontal="left"/>
    </xf>
    <xf numFmtId="0" fontId="72" fillId="0" borderId="4" xfId="0" applyFont="1" applyFill="1" applyBorder="1" applyAlignment="1">
      <alignment horizontal="left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5" fillId="0" borderId="16" xfId="0" applyFont="1" applyBorder="1" applyAlignment="1">
      <alignment horizontal="left"/>
    </xf>
    <xf numFmtId="0" fontId="75" fillId="0" borderId="4" xfId="0" applyFont="1" applyBorder="1" applyAlignment="1">
      <alignment horizontal="left"/>
    </xf>
    <xf numFmtId="0" fontId="75" fillId="18" borderId="16" xfId="0" applyFont="1" applyFill="1" applyBorder="1" applyAlignment="1">
      <alignment horizontal="left"/>
    </xf>
    <xf numFmtId="0" fontId="75" fillId="18" borderId="4" xfId="0" applyFont="1" applyFill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5" fillId="17" borderId="16" xfId="0" applyFont="1" applyFill="1" applyBorder="1" applyAlignment="1">
      <alignment horizontal="left"/>
    </xf>
    <xf numFmtId="0" fontId="75" fillId="17" borderId="4" xfId="0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7" fillId="8" borderId="16" xfId="3" applyFont="1" applyFill="1" applyBorder="1" applyAlignment="1">
      <alignment horizontal="left"/>
    </xf>
    <xf numFmtId="0" fontId="67" fillId="8" borderId="3" xfId="3" applyFont="1" applyFill="1" applyBorder="1" applyAlignment="1">
      <alignment horizontal="left"/>
    </xf>
    <xf numFmtId="0" fontId="67" fillId="8" borderId="4" xfId="3" applyFont="1" applyFill="1" applyBorder="1" applyAlignment="1">
      <alignment horizontal="left"/>
    </xf>
    <xf numFmtId="0" fontId="67" fillId="8" borderId="27" xfId="3" applyFont="1" applyFill="1" applyBorder="1" applyAlignment="1">
      <alignment horizontal="left"/>
    </xf>
    <xf numFmtId="0" fontId="67" fillId="8" borderId="10" xfId="3" applyFont="1" applyFill="1" applyBorder="1" applyAlignment="1">
      <alignment horizontal="left"/>
    </xf>
    <xf numFmtId="0" fontId="67" fillId="8" borderId="11" xfId="3" applyFont="1" applyFill="1" applyBorder="1" applyAlignment="1">
      <alignment horizontal="left"/>
    </xf>
    <xf numFmtId="0" fontId="66" fillId="15" borderId="16" xfId="3" applyFont="1" applyFill="1" applyBorder="1" applyAlignment="1">
      <alignment horizontal="center"/>
    </xf>
    <xf numFmtId="0" fontId="66" fillId="15" borderId="4" xfId="3" applyFont="1" applyFill="1" applyBorder="1" applyAlignment="1">
      <alignment horizontal="center"/>
    </xf>
    <xf numFmtId="0" fontId="86" fillId="8" borderId="19" xfId="3" applyFont="1" applyFill="1" applyBorder="1" applyAlignment="1">
      <alignment horizontal="center"/>
    </xf>
    <xf numFmtId="0" fontId="86" fillId="8" borderId="14" xfId="3" applyFont="1" applyFill="1" applyBorder="1" applyAlignment="1">
      <alignment horizontal="center"/>
    </xf>
    <xf numFmtId="0" fontId="86" fillId="8" borderId="20" xfId="3" applyFont="1" applyFill="1" applyBorder="1" applyAlignment="1">
      <alignment horizontal="center"/>
    </xf>
    <xf numFmtId="0" fontId="84" fillId="15" borderId="16" xfId="3" applyFont="1" applyFill="1" applyBorder="1" applyAlignment="1">
      <alignment horizontal="center" vertical="center"/>
    </xf>
    <xf numFmtId="0" fontId="84" fillId="15" borderId="3" xfId="3" applyFont="1" applyFill="1" applyBorder="1" applyAlignment="1">
      <alignment horizontal="center" vertical="center"/>
    </xf>
    <xf numFmtId="0" fontId="84" fillId="15" borderId="4" xfId="3" applyFont="1" applyFill="1" applyBorder="1" applyAlignment="1">
      <alignment horizontal="center" vertical="center"/>
    </xf>
    <xf numFmtId="0" fontId="84" fillId="15" borderId="16" xfId="3" applyFont="1" applyFill="1" applyBorder="1" applyAlignment="1">
      <alignment horizontal="center"/>
    </xf>
    <xf numFmtId="0" fontId="84" fillId="15" borderId="3" xfId="3" applyFont="1" applyFill="1" applyBorder="1" applyAlignment="1">
      <alignment horizontal="center"/>
    </xf>
    <xf numFmtId="0" fontId="84" fillId="15" borderId="4" xfId="3" applyFont="1" applyFill="1" applyBorder="1" applyAlignment="1">
      <alignment horizontal="center"/>
    </xf>
    <xf numFmtId="0" fontId="67" fillId="9" borderId="2" xfId="3" applyFont="1" applyFill="1" applyBorder="1" applyAlignment="1">
      <alignment horizontal="center"/>
    </xf>
    <xf numFmtId="0" fontId="67" fillId="9" borderId="4" xfId="3" applyFont="1" applyFill="1" applyBorder="1" applyAlignment="1">
      <alignment horizontal="center"/>
    </xf>
    <xf numFmtId="0" fontId="85" fillId="15" borderId="16" xfId="3" applyFont="1" applyFill="1" applyBorder="1" applyAlignment="1">
      <alignment horizontal="center" vertical="center"/>
    </xf>
    <xf numFmtId="0" fontId="85" fillId="15" borderId="3" xfId="3" applyFont="1" applyFill="1" applyBorder="1" applyAlignment="1">
      <alignment horizontal="center" vertical="center"/>
    </xf>
    <xf numFmtId="0" fontId="85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6" fillId="15" borderId="16" xfId="3" applyFont="1" applyFill="1" applyBorder="1" applyAlignment="1">
      <alignment horizontal="left"/>
    </xf>
    <xf numFmtId="0" fontId="66" fillId="15" borderId="3" xfId="3" applyFont="1" applyFill="1" applyBorder="1" applyAlignment="1">
      <alignment horizontal="left"/>
    </xf>
    <xf numFmtId="0" fontId="66" fillId="15" borderId="4" xfId="3" applyFont="1" applyFill="1" applyBorder="1" applyAlignment="1">
      <alignment horizontal="left"/>
    </xf>
    <xf numFmtId="0" fontId="66" fillId="16" borderId="16" xfId="3" applyFont="1" applyFill="1" applyBorder="1" applyAlignment="1">
      <alignment horizontal="left"/>
    </xf>
    <xf numFmtId="0" fontId="66" fillId="16" borderId="3" xfId="3" applyFont="1" applyFill="1" applyBorder="1" applyAlignment="1">
      <alignment horizontal="left"/>
    </xf>
    <xf numFmtId="0" fontId="66" fillId="16" borderId="4" xfId="3" applyFont="1" applyFill="1" applyBorder="1" applyAlignment="1">
      <alignment horizontal="left"/>
    </xf>
    <xf numFmtId="0" fontId="67" fillId="17" borderId="28" xfId="0" applyFont="1" applyFill="1" applyBorder="1" applyAlignment="1">
      <alignment horizontal="center"/>
    </xf>
    <xf numFmtId="0" fontId="67" fillId="17" borderId="5" xfId="0" applyFont="1" applyFill="1" applyBorder="1" applyAlignment="1">
      <alignment horizontal="center"/>
    </xf>
    <xf numFmtId="0" fontId="75" fillId="0" borderId="3" xfId="0" applyFont="1" applyBorder="1" applyAlignment="1">
      <alignment horizontal="left"/>
    </xf>
    <xf numFmtId="0" fontId="112" fillId="0" borderId="2" xfId="0" applyFont="1" applyBorder="1" applyAlignment="1">
      <alignment horizontal="center"/>
    </xf>
    <xf numFmtId="0" fontId="112" fillId="0" borderId="3" xfId="0" applyFont="1" applyBorder="1" applyAlignment="1">
      <alignment horizontal="center"/>
    </xf>
    <xf numFmtId="0" fontId="112" fillId="0" borderId="4" xfId="0" applyFont="1" applyBorder="1" applyAlignment="1">
      <alignment horizontal="center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55" fillId="15" borderId="16" xfId="4" applyFont="1" applyFill="1" applyBorder="1" applyAlignment="1">
      <alignment horizontal="left"/>
    </xf>
    <xf numFmtId="0" fontId="55" fillId="15" borderId="3" xfId="4" applyFont="1" applyFill="1" applyBorder="1" applyAlignment="1">
      <alignment horizontal="left"/>
    </xf>
    <xf numFmtId="0" fontId="55" fillId="15" borderId="29" xfId="4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2" fillId="8" borderId="16" xfId="3" applyFont="1" applyFill="1" applyBorder="1" applyAlignment="1">
      <alignment horizontal="left"/>
    </xf>
    <xf numFmtId="0" fontId="72" fillId="8" borderId="3" xfId="3" applyFont="1" applyFill="1" applyBorder="1" applyAlignment="1">
      <alignment horizontal="left"/>
    </xf>
    <xf numFmtId="0" fontId="72" fillId="8" borderId="4" xfId="3" applyFont="1" applyFill="1" applyBorder="1" applyAlignment="1">
      <alignment horizontal="left"/>
    </xf>
    <xf numFmtId="0" fontId="67" fillId="2" borderId="1" xfId="4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4" fillId="17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36" fillId="8" borderId="5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16" borderId="2" xfId="3" applyFont="1" applyFill="1" applyBorder="1" applyAlignment="1">
      <alignment horizontal="left"/>
    </xf>
    <xf numFmtId="0" fontId="17" fillId="16" borderId="3" xfId="3" applyFont="1" applyFill="1" applyBorder="1" applyAlignment="1">
      <alignment horizontal="left"/>
    </xf>
    <xf numFmtId="0" fontId="17" fillId="16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8" fillId="15" borderId="2" xfId="4" applyFont="1" applyFill="1" applyBorder="1" applyAlignment="1">
      <alignment horizontal="left"/>
    </xf>
    <xf numFmtId="0" fontId="18" fillId="15" borderId="3" xfId="4" applyFont="1" applyFill="1" applyBorder="1" applyAlignment="1">
      <alignment horizontal="left"/>
    </xf>
    <xf numFmtId="0" fontId="18" fillId="15" borderId="4" xfId="4" applyFont="1" applyFill="1" applyBorder="1" applyAlignment="1">
      <alignment horizontal="left"/>
    </xf>
    <xf numFmtId="0" fontId="17" fillId="2" borderId="2" xfId="4" applyFont="1" applyFill="1" applyBorder="1" applyAlignment="1">
      <alignment horizontal="left"/>
    </xf>
    <xf numFmtId="0" fontId="17" fillId="2" borderId="3" xfId="4" applyFont="1" applyFill="1" applyBorder="1" applyAlignment="1">
      <alignment horizontal="left"/>
    </xf>
    <xf numFmtId="0" fontId="17" fillId="2" borderId="4" xfId="4" applyFont="1" applyFill="1" applyBorder="1" applyAlignment="1">
      <alignment horizontal="left"/>
    </xf>
    <xf numFmtId="0" fontId="32" fillId="15" borderId="17" xfId="3" applyFont="1" applyFill="1" applyBorder="1" applyAlignment="1">
      <alignment horizontal="center" vertical="center"/>
    </xf>
    <xf numFmtId="0" fontId="32" fillId="15" borderId="14" xfId="3" applyFont="1" applyFill="1" applyBorder="1" applyAlignment="1">
      <alignment horizontal="center" vertical="center"/>
    </xf>
    <xf numFmtId="0" fontId="32" fillId="15" borderId="18" xfId="3" applyFont="1" applyFill="1" applyBorder="1" applyAlignment="1">
      <alignment horizontal="center" vertical="center"/>
    </xf>
    <xf numFmtId="0" fontId="32" fillId="15" borderId="2" xfId="3" applyFont="1" applyFill="1" applyBorder="1" applyAlignment="1">
      <alignment horizontal="center"/>
    </xf>
    <xf numFmtId="0" fontId="32" fillId="15" borderId="3" xfId="3" applyFont="1" applyFill="1" applyBorder="1" applyAlignment="1">
      <alignment horizontal="center"/>
    </xf>
    <xf numFmtId="0" fontId="32" fillId="15" borderId="4" xfId="3" applyFont="1" applyFill="1" applyBorder="1" applyAlignment="1">
      <alignment horizontal="center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99" fillId="0" borderId="1" xfId="4" applyFont="1" applyBorder="1" applyAlignment="1">
      <alignment horizontal="left"/>
    </xf>
    <xf numFmtId="0" fontId="104" fillId="0" borderId="16" xfId="0" applyFont="1" applyBorder="1" applyAlignment="1">
      <alignment horizontal="left"/>
    </xf>
    <xf numFmtId="0" fontId="104" fillId="0" borderId="4" xfId="0" applyFont="1" applyBorder="1" applyAlignment="1">
      <alignment horizontal="left"/>
    </xf>
    <xf numFmtId="0" fontId="95" fillId="0" borderId="16" xfId="0" applyFont="1" applyBorder="1" applyAlignment="1">
      <alignment horizontal="left"/>
    </xf>
    <xf numFmtId="0" fontId="95" fillId="0" borderId="4" xfId="0" applyFont="1" applyBorder="1" applyAlignment="1">
      <alignment horizontal="left"/>
    </xf>
    <xf numFmtId="0" fontId="95" fillId="18" borderId="16" xfId="0" applyFont="1" applyFill="1" applyBorder="1" applyAlignment="1">
      <alignment horizontal="left"/>
    </xf>
    <xf numFmtId="0" fontId="95" fillId="18" borderId="4" xfId="0" applyFont="1" applyFill="1" applyBorder="1" applyAlignment="1">
      <alignment horizontal="left"/>
    </xf>
    <xf numFmtId="0" fontId="104" fillId="0" borderId="16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left"/>
    </xf>
    <xf numFmtId="0" fontId="104" fillId="18" borderId="16" xfId="0" applyFont="1" applyFill="1" applyBorder="1" applyAlignment="1">
      <alignment horizontal="left"/>
    </xf>
    <xf numFmtId="0" fontId="104" fillId="18" borderId="4" xfId="0" applyFont="1" applyFill="1" applyBorder="1" applyAlignment="1">
      <alignment horizontal="left"/>
    </xf>
    <xf numFmtId="0" fontId="95" fillId="17" borderId="16" xfId="0" applyFont="1" applyFill="1" applyBorder="1" applyAlignment="1">
      <alignment horizontal="left"/>
    </xf>
    <xf numFmtId="0" fontId="95" fillId="17" borderId="4" xfId="0" applyFont="1" applyFill="1" applyBorder="1" applyAlignment="1">
      <alignment horizontal="left"/>
    </xf>
    <xf numFmtId="0" fontId="99" fillId="8" borderId="16" xfId="3" applyFont="1" applyFill="1" applyBorder="1" applyAlignment="1">
      <alignment horizontal="left"/>
    </xf>
    <xf numFmtId="0" fontId="99" fillId="8" borderId="3" xfId="3" applyFont="1" applyFill="1" applyBorder="1" applyAlignment="1">
      <alignment horizontal="left"/>
    </xf>
    <xf numFmtId="0" fontId="99" fillId="8" borderId="4" xfId="3" applyFont="1" applyFill="1" applyBorder="1" applyAlignment="1">
      <alignment horizontal="left"/>
    </xf>
    <xf numFmtId="0" fontId="99" fillId="8" borderId="27" xfId="3" applyFont="1" applyFill="1" applyBorder="1" applyAlignment="1">
      <alignment horizontal="left"/>
    </xf>
    <xf numFmtId="0" fontId="99" fillId="8" borderId="10" xfId="3" applyFont="1" applyFill="1" applyBorder="1" applyAlignment="1">
      <alignment horizontal="left"/>
    </xf>
    <xf numFmtId="0" fontId="99" fillId="8" borderId="11" xfId="3" applyFont="1" applyFill="1" applyBorder="1" applyAlignment="1">
      <alignment horizontal="left"/>
    </xf>
    <xf numFmtId="0" fontId="99" fillId="0" borderId="16" xfId="4" applyFont="1" applyBorder="1" applyAlignment="1">
      <alignment horizontal="left"/>
    </xf>
    <xf numFmtId="0" fontId="99" fillId="0" borderId="3" xfId="4" applyFont="1" applyBorder="1" applyAlignment="1">
      <alignment horizontal="left"/>
    </xf>
    <xf numFmtId="0" fontId="99" fillId="0" borderId="4" xfId="4" applyFont="1" applyBorder="1" applyAlignment="1">
      <alignment horizontal="left"/>
    </xf>
    <xf numFmtId="0" fontId="99" fillId="16" borderId="16" xfId="3" applyFont="1" applyFill="1" applyBorder="1" applyAlignment="1">
      <alignment horizontal="left"/>
    </xf>
    <xf numFmtId="0" fontId="99" fillId="16" borderId="3" xfId="3" applyFont="1" applyFill="1" applyBorder="1" applyAlignment="1">
      <alignment horizontal="left"/>
    </xf>
    <xf numFmtId="0" fontId="99" fillId="16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left"/>
    </xf>
    <xf numFmtId="0" fontId="99" fillId="15" borderId="3" xfId="3" applyFont="1" applyFill="1" applyBorder="1" applyAlignment="1">
      <alignment horizontal="left"/>
    </xf>
    <xf numFmtId="0" fontId="99" fillId="15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9" fillId="17" borderId="28" xfId="0" applyFont="1" applyFill="1" applyBorder="1" applyAlignment="1">
      <alignment horizontal="center"/>
    </xf>
    <xf numFmtId="0" fontId="99" fillId="17" borderId="5" xfId="0" applyFont="1" applyFill="1" applyBorder="1" applyAlignment="1">
      <alignment horizontal="center"/>
    </xf>
    <xf numFmtId="0" fontId="95" fillId="0" borderId="3" xfId="0" applyFont="1" applyBorder="1" applyAlignment="1">
      <alignment horizontal="left"/>
    </xf>
    <xf numFmtId="0" fontId="105" fillId="0" borderId="16" xfId="4" applyFont="1" applyBorder="1" applyAlignment="1">
      <alignment horizontal="left"/>
    </xf>
    <xf numFmtId="0" fontId="105" fillId="0" borderId="3" xfId="4" applyFont="1" applyBorder="1" applyAlignment="1">
      <alignment horizontal="left"/>
    </xf>
    <xf numFmtId="0" fontId="105" fillId="0" borderId="4" xfId="4" applyFont="1" applyBorder="1" applyAlignment="1">
      <alignment horizontal="left"/>
    </xf>
    <xf numFmtId="0" fontId="110" fillId="15" borderId="16" xfId="4" applyFont="1" applyFill="1" applyBorder="1" applyAlignment="1">
      <alignment horizontal="left"/>
    </xf>
    <xf numFmtId="0" fontId="110" fillId="15" borderId="3" xfId="4" applyFont="1" applyFill="1" applyBorder="1" applyAlignment="1">
      <alignment horizontal="left"/>
    </xf>
    <xf numFmtId="0" fontId="110" fillId="15" borderId="29" xfId="4" applyFont="1" applyFill="1" applyBorder="1" applyAlignment="1">
      <alignment horizontal="left"/>
    </xf>
    <xf numFmtId="0" fontId="99" fillId="2" borderId="16" xfId="4" applyFont="1" applyFill="1" applyBorder="1" applyAlignment="1">
      <alignment horizontal="left"/>
    </xf>
    <xf numFmtId="0" fontId="99" fillId="2" borderId="3" xfId="4" applyFont="1" applyFill="1" applyBorder="1" applyAlignment="1">
      <alignment horizontal="left"/>
    </xf>
    <xf numFmtId="0" fontId="99" fillId="2" borderId="4" xfId="4" applyFont="1" applyFill="1" applyBorder="1" applyAlignment="1">
      <alignment horizontal="left"/>
    </xf>
    <xf numFmtId="0" fontId="97" fillId="8" borderId="19" xfId="3" applyFont="1" applyFill="1" applyBorder="1" applyAlignment="1">
      <alignment horizontal="center"/>
    </xf>
    <xf numFmtId="0" fontId="97" fillId="8" borderId="14" xfId="3" applyFont="1" applyFill="1" applyBorder="1" applyAlignment="1">
      <alignment horizontal="center"/>
    </xf>
    <xf numFmtId="0" fontId="97" fillId="8" borderId="20" xfId="3" applyFont="1" applyFill="1" applyBorder="1" applyAlignment="1">
      <alignment horizontal="center"/>
    </xf>
    <xf numFmtId="0" fontId="102" fillId="15" borderId="16" xfId="3" applyFont="1" applyFill="1" applyBorder="1" applyAlignment="1">
      <alignment horizontal="center" vertical="center"/>
    </xf>
    <xf numFmtId="0" fontId="102" fillId="15" borderId="3" xfId="3" applyFont="1" applyFill="1" applyBorder="1" applyAlignment="1">
      <alignment horizontal="center" vertical="center"/>
    </xf>
    <xf numFmtId="0" fontId="102" fillId="15" borderId="4" xfId="3" applyFont="1" applyFill="1" applyBorder="1" applyAlignment="1">
      <alignment horizontal="center" vertical="center"/>
    </xf>
    <xf numFmtId="0" fontId="102" fillId="15" borderId="16" xfId="3" applyFont="1" applyFill="1" applyBorder="1" applyAlignment="1">
      <alignment horizontal="center"/>
    </xf>
    <xf numFmtId="0" fontId="102" fillId="15" borderId="3" xfId="3" applyFont="1" applyFill="1" applyBorder="1" applyAlignment="1">
      <alignment horizontal="center"/>
    </xf>
    <xf numFmtId="0" fontId="102" fillId="15" borderId="4" xfId="3" applyFont="1" applyFill="1" applyBorder="1" applyAlignment="1">
      <alignment horizontal="center"/>
    </xf>
    <xf numFmtId="0" fontId="99" fillId="9" borderId="2" xfId="3" applyFont="1" applyFill="1" applyBorder="1" applyAlignment="1">
      <alignment horizontal="center"/>
    </xf>
    <xf numFmtId="0" fontId="99" fillId="9" borderId="4" xfId="3" applyFont="1" applyFill="1" applyBorder="1" applyAlignment="1">
      <alignment horizontal="center"/>
    </xf>
    <xf numFmtId="0" fontId="101" fillId="2" borderId="16" xfId="3" applyFont="1" applyFill="1" applyBorder="1" applyAlignment="1">
      <alignment horizontal="center" vertical="justify"/>
    </xf>
    <xf numFmtId="0" fontId="101" fillId="2" borderId="3" xfId="3" applyFont="1" applyFill="1" applyBorder="1" applyAlignment="1">
      <alignment horizontal="center" vertical="justify"/>
    </xf>
    <xf numFmtId="0" fontId="101" fillId="2" borderId="29" xfId="3" applyFont="1" applyFill="1" applyBorder="1" applyAlignment="1">
      <alignment horizontal="center" vertical="justify"/>
    </xf>
    <xf numFmtId="0" fontId="75" fillId="18" borderId="21" xfId="0" applyFont="1" applyFill="1" applyBorder="1" applyAlignment="1">
      <alignment horizontal="left"/>
    </xf>
    <xf numFmtId="0" fontId="75" fillId="18" borderId="1" xfId="0" applyFont="1" applyFill="1" applyBorder="1" applyAlignment="1">
      <alignment horizontal="left"/>
    </xf>
    <xf numFmtId="0" fontId="72" fillId="0" borderId="21" xfId="0" applyFont="1" applyFill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5" fillId="17" borderId="21" xfId="0" applyFont="1" applyFill="1" applyBorder="1" applyAlignment="1">
      <alignment horizontal="left"/>
    </xf>
    <xf numFmtId="0" fontId="75" fillId="17" borderId="1" xfId="0" applyFont="1" applyFill="1" applyBorder="1" applyAlignment="1">
      <alignment horizontal="left"/>
    </xf>
    <xf numFmtId="0" fontId="75" fillId="0" borderId="2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84" fillId="15" borderId="21" xfId="3" applyFont="1" applyFill="1" applyBorder="1" applyAlignment="1">
      <alignment horizontal="center" vertical="center"/>
    </xf>
    <xf numFmtId="0" fontId="84" fillId="15" borderId="1" xfId="3" applyFont="1" applyFill="1" applyBorder="1" applyAlignment="1">
      <alignment horizontal="center" vertical="center"/>
    </xf>
    <xf numFmtId="0" fontId="84" fillId="15" borderId="21" xfId="3" applyFont="1" applyFill="1" applyBorder="1" applyAlignment="1">
      <alignment horizontal="center"/>
    </xf>
    <xf numFmtId="0" fontId="84" fillId="15" borderId="1" xfId="3" applyFont="1" applyFill="1" applyBorder="1" applyAlignment="1">
      <alignment horizontal="center"/>
    </xf>
    <xf numFmtId="0" fontId="55" fillId="15" borderId="21" xfId="4" applyFont="1" applyFill="1" applyBorder="1" applyAlignment="1">
      <alignment horizontal="left"/>
    </xf>
    <xf numFmtId="0" fontId="55" fillId="15" borderId="1" xfId="4" applyFont="1" applyFill="1" applyBorder="1" applyAlignment="1">
      <alignment horizontal="left"/>
    </xf>
    <xf numFmtId="0" fontId="55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7" fillId="0" borderId="21" xfId="4" applyFont="1" applyBorder="1" applyAlignment="1">
      <alignment horizontal="left"/>
    </xf>
    <xf numFmtId="0" fontId="67" fillId="2" borderId="21" xfId="4" applyFont="1" applyFill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71" fillId="0" borderId="1" xfId="4" applyFont="1" applyBorder="1" applyAlignment="1">
      <alignment horizontal="left"/>
    </xf>
    <xf numFmtId="0" fontId="66" fillId="16" borderId="21" xfId="3" applyFont="1" applyFill="1" applyBorder="1" applyAlignment="1">
      <alignment horizontal="left"/>
    </xf>
    <xf numFmtId="0" fontId="66" fillId="16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center"/>
    </xf>
    <xf numFmtId="0" fontId="66" fillId="15" borderId="1" xfId="3" applyFont="1" applyFill="1" applyBorder="1" applyAlignment="1">
      <alignment horizontal="center"/>
    </xf>
    <xf numFmtId="0" fontId="67" fillId="17" borderId="34" xfId="0" applyFont="1" applyFill="1" applyBorder="1" applyAlignment="1">
      <alignment horizontal="center"/>
    </xf>
    <xf numFmtId="0" fontId="67" fillId="17" borderId="0" xfId="0" applyFont="1" applyFill="1" applyBorder="1" applyAlignment="1">
      <alignment horizontal="center"/>
    </xf>
    <xf numFmtId="0" fontId="67" fillId="8" borderId="22" xfId="3" applyFont="1" applyFill="1" applyBorder="1" applyAlignment="1">
      <alignment horizontal="left"/>
    </xf>
    <xf numFmtId="0" fontId="67" fillId="8" borderId="7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  <xf numFmtId="0" fontId="75" fillId="12" borderId="16" xfId="0" applyFont="1" applyFill="1" applyBorder="1" applyAlignment="1">
      <alignment horizontal="left"/>
    </xf>
    <xf numFmtId="0" fontId="75" fillId="12" borderId="4" xfId="0" applyFont="1" applyFill="1" applyBorder="1" applyAlignment="1">
      <alignment horizontal="left"/>
    </xf>
    <xf numFmtId="0" fontId="75" fillId="12" borderId="1" xfId="0" applyFont="1" applyFill="1" applyBorder="1" applyAlignment="1">
      <alignment horizontal="left"/>
    </xf>
    <xf numFmtId="0" fontId="78" fillId="12" borderId="4" xfId="0" applyFont="1" applyFill="1" applyBorder="1" applyAlignment="1">
      <alignment horizontal="center"/>
    </xf>
    <xf numFmtId="1" fontId="78" fillId="12" borderId="1" xfId="0" applyNumberFormat="1" applyFont="1" applyFill="1" applyBorder="1" applyAlignment="1">
      <alignment horizontal="center"/>
    </xf>
    <xf numFmtId="1" fontId="78" fillId="12" borderId="15" xfId="0" applyNumberFormat="1" applyFont="1" applyFill="1" applyBorder="1" applyAlignment="1">
      <alignment horizontal="center"/>
    </xf>
    <xf numFmtId="0" fontId="65" fillId="12" borderId="0" xfId="0" applyFont="1" applyFill="1"/>
    <xf numFmtId="0" fontId="81" fillId="12" borderId="1" xfId="4" applyFont="1" applyFill="1" applyBorder="1" applyAlignment="1">
      <alignment horizontal="center"/>
    </xf>
    <xf numFmtId="43" fontId="73" fillId="12" borderId="1" xfId="7" applyFont="1" applyFill="1" applyBorder="1" applyAlignment="1">
      <alignment horizontal="right" wrapText="1"/>
    </xf>
    <xf numFmtId="164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2" fontId="51" fillId="0" borderId="0" xfId="5" applyNumberFormat="1" applyFont="1" applyFill="1" applyBorder="1" applyAlignment="1" applyProtection="1">
      <alignment horizontal="center"/>
    </xf>
    <xf numFmtId="0" fontId="67" fillId="0" borderId="21" xfId="4" applyFont="1" applyFill="1" applyBorder="1"/>
    <xf numFmtId="0" fontId="75" fillId="0" borderId="16" xfId="0" applyFont="1" applyFill="1" applyBorder="1" applyAlignment="1">
      <alignment horizontal="left"/>
    </xf>
    <xf numFmtId="0" fontId="75" fillId="0" borderId="4" xfId="0" applyFont="1" applyFill="1" applyBorder="1" applyAlignment="1">
      <alignment horizontal="left"/>
    </xf>
    <xf numFmtId="0" fontId="67" fillId="12" borderId="21" xfId="3" applyFont="1" applyFill="1" applyBorder="1" applyAlignment="1">
      <alignment horizontal="left" vertical="center"/>
    </xf>
    <xf numFmtId="0" fontId="66" fillId="12" borderId="1" xfId="3" applyFont="1" applyFill="1" applyBorder="1" applyAlignment="1">
      <alignment horizontal="left" vertical="justify"/>
    </xf>
    <xf numFmtId="2" fontId="73" fillId="2" borderId="1" xfId="3" applyNumberFormat="1" applyFont="1" applyFill="1" applyBorder="1" applyAlignment="1">
      <alignment horizontal="right"/>
    </xf>
    <xf numFmtId="0" fontId="50" fillId="2" borderId="0" xfId="0" applyFont="1" applyFill="1" applyBorder="1"/>
    <xf numFmtId="0" fontId="50" fillId="2" borderId="0" xfId="0" applyFont="1" applyFill="1"/>
    <xf numFmtId="1" fontId="90" fillId="2" borderId="0" xfId="0" applyNumberFormat="1" applyFont="1" applyFill="1" applyAlignment="1">
      <alignment horizontal="center"/>
    </xf>
    <xf numFmtId="173" fontId="50" fillId="2" borderId="0" xfId="0" applyNumberFormat="1" applyFont="1" applyFill="1" applyAlignment="1">
      <alignment horizontal="center"/>
    </xf>
    <xf numFmtId="1" fontId="50" fillId="2" borderId="0" xfId="0" applyNumberFormat="1" applyFont="1" applyFill="1"/>
    <xf numFmtId="0" fontId="71" fillId="0" borderId="21" xfId="4" applyFont="1" applyFill="1" applyBorder="1" applyAlignment="1">
      <alignment horizontal="left"/>
    </xf>
    <xf numFmtId="0" fontId="68" fillId="0" borderId="1" xfId="4" applyFont="1" applyFill="1" applyBorder="1" applyAlignment="1">
      <alignment horizontal="left"/>
    </xf>
    <xf numFmtId="0" fontId="72" fillId="12" borderId="1" xfId="0" applyFont="1" applyFill="1" applyBorder="1"/>
    <xf numFmtId="0" fontId="74" fillId="12" borderId="1" xfId="0" applyFont="1" applyFill="1" applyBorder="1"/>
    <xf numFmtId="0" fontId="73" fillId="12" borderId="1" xfId="3" applyFont="1" applyFill="1" applyBorder="1" applyAlignment="1">
      <alignment horizontal="center" vertical="center"/>
    </xf>
    <xf numFmtId="1" fontId="78" fillId="12" borderId="0" xfId="0" applyNumberFormat="1" applyFont="1" applyFill="1" applyAlignment="1">
      <alignment horizontal="center"/>
    </xf>
    <xf numFmtId="0" fontId="78" fillId="12" borderId="0" xfId="0" applyFont="1" applyFill="1"/>
    <xf numFmtId="0" fontId="50" fillId="12" borderId="0" xfId="0" applyFont="1" applyFill="1" applyAlignment="1">
      <alignment horizontal="center"/>
    </xf>
    <xf numFmtId="0" fontId="16" fillId="12" borderId="1" xfId="4" applyFont="1" applyFill="1" applyBorder="1" applyAlignment="1">
      <alignment horizontal="center" vertical="center"/>
    </xf>
    <xf numFmtId="2" fontId="34" fillId="2" borderId="7" xfId="5" applyNumberFormat="1" applyFont="1" applyFill="1" applyBorder="1" applyAlignment="1">
      <alignment horizontal="center" vertical="center"/>
    </xf>
    <xf numFmtId="0" fontId="33" fillId="12" borderId="1" xfId="4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0" fontId="104" fillId="2" borderId="1" xfId="0" applyFont="1" applyFill="1" applyBorder="1"/>
    <xf numFmtId="0" fontId="99" fillId="2" borderId="1" xfId="0" applyFont="1" applyFill="1" applyBorder="1" applyAlignment="1">
      <alignment horizontal="center"/>
    </xf>
    <xf numFmtId="0" fontId="99" fillId="2" borderId="1" xfId="4" applyFont="1" applyFill="1" applyBorder="1" applyAlignment="1">
      <alignment vertical="center"/>
    </xf>
    <xf numFmtId="0" fontId="99" fillId="2" borderId="1" xfId="4" applyFont="1" applyFill="1" applyBorder="1" applyAlignment="1">
      <alignment horizontal="left"/>
    </xf>
    <xf numFmtId="0" fontId="104" fillId="2" borderId="0" xfId="0" applyFont="1" applyFill="1"/>
    <xf numFmtId="1" fontId="104" fillId="2" borderId="0" xfId="0" applyNumberFormat="1" applyFont="1" applyFill="1"/>
    <xf numFmtId="2" fontId="73" fillId="2" borderId="1" xfId="4" applyNumberFormat="1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 vertic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HLP'!$AE$4:$AE$34</c:f>
              <c:numCache>
                <c:formatCode>0</c:formatCode>
                <c:ptCount val="31"/>
                <c:pt idx="0">
                  <c:v>23.730000000003201</c:v>
                </c:pt>
                <c:pt idx="1">
                  <c:v>24</c:v>
                </c:pt>
                <c:pt idx="2">
                  <c:v>24</c:v>
                </c:pt>
                <c:pt idx="3">
                  <c:v>23.979999999999563</c:v>
                </c:pt>
                <c:pt idx="4">
                  <c:v>24</c:v>
                </c:pt>
                <c:pt idx="5">
                  <c:v>24</c:v>
                </c:pt>
                <c:pt idx="6">
                  <c:v>24.470000000001164</c:v>
                </c:pt>
                <c:pt idx="7">
                  <c:v>23.529999999998836</c:v>
                </c:pt>
                <c:pt idx="8">
                  <c:v>23.529999999998836</c:v>
                </c:pt>
                <c:pt idx="9">
                  <c:v>46.5</c:v>
                </c:pt>
                <c:pt idx="10">
                  <c:v>23.5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24.229999999999563</c:v>
                </c:pt>
                <c:pt idx="17">
                  <c:v>23.990000000001601</c:v>
                </c:pt>
                <c:pt idx="18">
                  <c:v>24.19999999999709</c:v>
                </c:pt>
                <c:pt idx="19">
                  <c:v>24.06000000000131</c:v>
                </c:pt>
                <c:pt idx="20">
                  <c:v>24.080000000001746</c:v>
                </c:pt>
                <c:pt idx="21">
                  <c:v>24.039999999997235</c:v>
                </c:pt>
                <c:pt idx="22">
                  <c:v>24.430000000000291</c:v>
                </c:pt>
                <c:pt idx="23">
                  <c:v>24.200000000000728</c:v>
                </c:pt>
                <c:pt idx="24">
                  <c:v>24.06000000000131</c:v>
                </c:pt>
                <c:pt idx="25">
                  <c:v>23.809999999997672</c:v>
                </c:pt>
                <c:pt idx="26">
                  <c:v>24.010000000002037</c:v>
                </c:pt>
                <c:pt idx="27">
                  <c:v>24.110000000000582</c:v>
                </c:pt>
                <c:pt idx="28">
                  <c:v>24.029999999998836</c:v>
                </c:pt>
                <c:pt idx="29">
                  <c:v>24.180000000000291</c:v>
                </c:pt>
                <c:pt idx="30">
                  <c:v>-2354.1100000000079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96896256"/>
        <c:axId val="196981504"/>
      </c:lineChart>
      <c:catAx>
        <c:axId val="196896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81504"/>
        <c:crosses val="autoZero"/>
        <c:auto val="1"/>
        <c:lblAlgn val="ctr"/>
        <c:lblOffset val="100"/>
      </c:catAx>
      <c:valAx>
        <c:axId val="19698150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9689625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HLP'!$AK$4:$AK$34</c:f>
              <c:numCache>
                <c:formatCode>0</c:formatCode>
                <c:ptCount val="31"/>
                <c:pt idx="0">
                  <c:v>8.7000000000116415</c:v>
                </c:pt>
                <c:pt idx="1">
                  <c:v>9.6599999999962165</c:v>
                </c:pt>
                <c:pt idx="2">
                  <c:v>7.6999999999970896</c:v>
                </c:pt>
                <c:pt idx="3">
                  <c:v>0</c:v>
                </c:pt>
                <c:pt idx="4">
                  <c:v>8.7549999999973807</c:v>
                </c:pt>
                <c:pt idx="5">
                  <c:v>6.9250000000029104</c:v>
                </c:pt>
                <c:pt idx="6">
                  <c:v>8.9700000000011642</c:v>
                </c:pt>
                <c:pt idx="7">
                  <c:v>0.25</c:v>
                </c:pt>
                <c:pt idx="8">
                  <c:v>0.25</c:v>
                </c:pt>
                <c:pt idx="9">
                  <c:v>16.599999999994907</c:v>
                </c:pt>
                <c:pt idx="10">
                  <c:v>8.5100000000056752</c:v>
                </c:pt>
                <c:pt idx="11">
                  <c:v>0</c:v>
                </c:pt>
                <c:pt idx="12">
                  <c:v>8.1000000000058208</c:v>
                </c:pt>
                <c:pt idx="13">
                  <c:v>-9.0000000011059456E-2</c:v>
                </c:pt>
                <c:pt idx="14">
                  <c:v>-9.0000000011059456E-2</c:v>
                </c:pt>
                <c:pt idx="15">
                  <c:v>-9.0000000011059456E-2</c:v>
                </c:pt>
                <c:pt idx="16">
                  <c:v>8.6700000000128057</c:v>
                </c:pt>
                <c:pt idx="17">
                  <c:v>5.8100000000013097</c:v>
                </c:pt>
                <c:pt idx="18">
                  <c:v>7.9199999999982538</c:v>
                </c:pt>
                <c:pt idx="19">
                  <c:v>6.0200000000004366</c:v>
                </c:pt>
                <c:pt idx="20">
                  <c:v>8.1299999999937427</c:v>
                </c:pt>
                <c:pt idx="21">
                  <c:v>0</c:v>
                </c:pt>
                <c:pt idx="22">
                  <c:v>7.9900000000052387</c:v>
                </c:pt>
                <c:pt idx="23">
                  <c:v>6.0099999999947613</c:v>
                </c:pt>
                <c:pt idx="24">
                  <c:v>6.0099999999947613</c:v>
                </c:pt>
                <c:pt idx="25">
                  <c:v>-0.2000000000007276</c:v>
                </c:pt>
                <c:pt idx="26">
                  <c:v>7</c:v>
                </c:pt>
                <c:pt idx="27">
                  <c:v>9.0100000000020373</c:v>
                </c:pt>
                <c:pt idx="28">
                  <c:v>7.7099999999991269</c:v>
                </c:pt>
                <c:pt idx="29">
                  <c:v>6.2700000000004366</c:v>
                </c:pt>
                <c:pt idx="30">
                  <c:v>-325.39999999999714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6807552"/>
        <c:axId val="6809088"/>
      </c:lineChart>
      <c:catAx>
        <c:axId val="680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09088"/>
        <c:crosses val="autoZero"/>
        <c:auto val="1"/>
        <c:lblAlgn val="ctr"/>
        <c:lblOffset val="100"/>
      </c:catAx>
      <c:valAx>
        <c:axId val="680908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0755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492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HLP'!$P$4:$P$34</c:f>
              <c:numCache>
                <c:formatCode>0</c:formatCode>
                <c:ptCount val="31"/>
                <c:pt idx="0">
                  <c:v>195</c:v>
                </c:pt>
                <c:pt idx="1">
                  <c:v>185</c:v>
                </c:pt>
                <c:pt idx="2">
                  <c:v>133</c:v>
                </c:pt>
                <c:pt idx="3">
                  <c:v>137</c:v>
                </c:pt>
                <c:pt idx="4">
                  <c:v>149</c:v>
                </c:pt>
                <c:pt idx="5">
                  <c:v>162</c:v>
                </c:pt>
                <c:pt idx="6">
                  <c:v>155</c:v>
                </c:pt>
                <c:pt idx="7">
                  <c:v>153</c:v>
                </c:pt>
                <c:pt idx="8">
                  <c:v>153</c:v>
                </c:pt>
                <c:pt idx="9">
                  <c:v>266</c:v>
                </c:pt>
                <c:pt idx="10">
                  <c:v>236</c:v>
                </c:pt>
                <c:pt idx="11">
                  <c:v>192</c:v>
                </c:pt>
                <c:pt idx="12">
                  <c:v>153</c:v>
                </c:pt>
                <c:pt idx="13">
                  <c:v>123</c:v>
                </c:pt>
                <c:pt idx="14">
                  <c:v>112</c:v>
                </c:pt>
                <c:pt idx="15">
                  <c:v>112</c:v>
                </c:pt>
                <c:pt idx="16">
                  <c:v>155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158</c:v>
                </c:pt>
                <c:pt idx="21">
                  <c:v>171</c:v>
                </c:pt>
                <c:pt idx="22">
                  <c:v>155</c:v>
                </c:pt>
                <c:pt idx="23">
                  <c:v>174</c:v>
                </c:pt>
                <c:pt idx="24">
                  <c:v>155</c:v>
                </c:pt>
                <c:pt idx="25">
                  <c:v>125</c:v>
                </c:pt>
                <c:pt idx="26">
                  <c:v>137</c:v>
                </c:pt>
                <c:pt idx="27">
                  <c:v>195</c:v>
                </c:pt>
                <c:pt idx="28">
                  <c:v>201</c:v>
                </c:pt>
                <c:pt idx="29">
                  <c:v>197</c:v>
                </c:pt>
                <c:pt idx="30">
                  <c:v>197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6822144"/>
        <c:axId val="6852608"/>
      </c:lineChart>
      <c:catAx>
        <c:axId val="682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52608"/>
        <c:crosses val="autoZero"/>
        <c:auto val="1"/>
        <c:lblAlgn val="ctr"/>
        <c:lblOffset val="100"/>
      </c:catAx>
      <c:valAx>
        <c:axId val="685260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2214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485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HLP'!$M$4:$M$34</c:f>
              <c:numCache>
                <c:formatCode>0</c:formatCode>
                <c:ptCount val="31"/>
                <c:pt idx="0">
                  <c:v>497.53900000010617</c:v>
                </c:pt>
                <c:pt idx="1">
                  <c:v>706.53900000010617</c:v>
                </c:pt>
                <c:pt idx="2">
                  <c:v>445.85999999986961</c:v>
                </c:pt>
                <c:pt idx="3">
                  <c:v>331.51399999996647</c:v>
                </c:pt>
                <c:pt idx="4">
                  <c:v>465.09400000004098</c:v>
                </c:pt>
                <c:pt idx="5">
                  <c:v>617.47399999992922</c:v>
                </c:pt>
                <c:pt idx="6">
                  <c:v>527.36800000001676</c:v>
                </c:pt>
                <c:pt idx="7">
                  <c:v>379.03900000010617</c:v>
                </c:pt>
                <c:pt idx="8">
                  <c:v>379.03900000010617</c:v>
                </c:pt>
                <c:pt idx="9">
                  <c:v>1342.3789999999572</c:v>
                </c:pt>
                <c:pt idx="10">
                  <c:v>508</c:v>
                </c:pt>
                <c:pt idx="11">
                  <c:v>370</c:v>
                </c:pt>
                <c:pt idx="12">
                  <c:v>618.60100000002421</c:v>
                </c:pt>
                <c:pt idx="13">
                  <c:v>361.77600000007078</c:v>
                </c:pt>
                <c:pt idx="14">
                  <c:v>414.62800000002608</c:v>
                </c:pt>
                <c:pt idx="15">
                  <c:v>414.62800000002608</c:v>
                </c:pt>
                <c:pt idx="16">
                  <c:v>529.87600000016391</c:v>
                </c:pt>
                <c:pt idx="17">
                  <c:v>636.7699999997858</c:v>
                </c:pt>
                <c:pt idx="18">
                  <c:v>563.12000000011176</c:v>
                </c:pt>
                <c:pt idx="19">
                  <c:v>640</c:v>
                </c:pt>
                <c:pt idx="20">
                  <c:v>733</c:v>
                </c:pt>
                <c:pt idx="21">
                  <c:v>386</c:v>
                </c:pt>
                <c:pt idx="22">
                  <c:v>695.03000000002794</c:v>
                </c:pt>
                <c:pt idx="23">
                  <c:v>613.16999999992549</c:v>
                </c:pt>
                <c:pt idx="24">
                  <c:v>516.88000000012107</c:v>
                </c:pt>
                <c:pt idx="25">
                  <c:v>411.92499999981374</c:v>
                </c:pt>
                <c:pt idx="26">
                  <c:v>532.6840000001248</c:v>
                </c:pt>
                <c:pt idx="27">
                  <c:v>805.71699999994598</c:v>
                </c:pt>
                <c:pt idx="28">
                  <c:v>795.00800000014715</c:v>
                </c:pt>
                <c:pt idx="29">
                  <c:v>675.18699999991804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6864896"/>
        <c:axId val="6866432"/>
      </c:lineChart>
      <c:catAx>
        <c:axId val="686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66432"/>
        <c:crosses val="autoZero"/>
        <c:auto val="1"/>
        <c:lblAlgn val="ctr"/>
        <c:lblOffset val="100"/>
      </c:catAx>
      <c:valAx>
        <c:axId val="686643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6489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081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HLP'!$AT$4:$AT$34</c:f>
              <c:numCache>
                <c:formatCode>0</c:formatCode>
                <c:ptCount val="31"/>
                <c:pt idx="0">
                  <c:v>4085.2800000000279</c:v>
                </c:pt>
                <c:pt idx="1">
                  <c:v>3998.4000000000233</c:v>
                </c:pt>
                <c:pt idx="2">
                  <c:v>3926.640000000014</c:v>
                </c:pt>
                <c:pt idx="3">
                  <c:v>3726.8800000000047</c:v>
                </c:pt>
                <c:pt idx="4">
                  <c:v>3882</c:v>
                </c:pt>
                <c:pt idx="5">
                  <c:v>3868.9599999999627</c:v>
                </c:pt>
                <c:pt idx="6">
                  <c:v>4012.5600000000559</c:v>
                </c:pt>
                <c:pt idx="7">
                  <c:v>4130.7199999999721</c:v>
                </c:pt>
                <c:pt idx="8">
                  <c:v>4130.7199999999721</c:v>
                </c:pt>
                <c:pt idx="9">
                  <c:v>8066.8499999999767</c:v>
                </c:pt>
                <c:pt idx="10">
                  <c:v>657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4110</c:v>
                </c:pt>
                <c:pt idx="11">
                  <c:v>3991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2150.2800000000002</c:v>
                </c:pt>
                <c:pt idx="17">
                  <c:v>629.7199999999998</c:v>
                </c:pt>
                <c:pt idx="18">
                  <c:v>174.94</c:v>
                </c:pt>
                <c:pt idx="19">
                  <c:v>0</c:v>
                </c:pt>
                <c:pt idx="20">
                  <c:v>3992.05</c:v>
                </c:pt>
                <c:pt idx="21">
                  <c:v>3993.62</c:v>
                </c:pt>
                <c:pt idx="22">
                  <c:v>4059.2100000000009</c:v>
                </c:pt>
                <c:pt idx="23">
                  <c:v>4093.3599999999988</c:v>
                </c:pt>
                <c:pt idx="24">
                  <c:v>4174.3300000000017</c:v>
                </c:pt>
                <c:pt idx="25">
                  <c:v>3992.4709999999977</c:v>
                </c:pt>
                <c:pt idx="26">
                  <c:v>4133.768</c:v>
                </c:pt>
                <c:pt idx="27">
                  <c:v>4127.4940000000024</c:v>
                </c:pt>
                <c:pt idx="28">
                  <c:v>4153.9759999999951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6888448"/>
        <c:axId val="6890240"/>
      </c:lineChart>
      <c:catAx>
        <c:axId val="688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90240"/>
        <c:crosses val="autoZero"/>
        <c:auto val="1"/>
        <c:lblAlgn val="ctr"/>
        <c:lblOffset val="100"/>
      </c:catAx>
      <c:valAx>
        <c:axId val="689024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8844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HLP'!$AQ$4:$AQ$34</c:f>
              <c:numCache>
                <c:formatCode>0</c:formatCode>
                <c:ptCount val="31"/>
                <c:pt idx="0">
                  <c:v>2733.5600000000559</c:v>
                </c:pt>
                <c:pt idx="1">
                  <c:v>2528.0799999999581</c:v>
                </c:pt>
                <c:pt idx="2">
                  <c:v>2530.8000000000466</c:v>
                </c:pt>
                <c:pt idx="3">
                  <c:v>2485.5599999999395</c:v>
                </c:pt>
                <c:pt idx="4">
                  <c:v>2595.5300000000279</c:v>
                </c:pt>
                <c:pt idx="5">
                  <c:v>2481.3100000000559</c:v>
                </c:pt>
                <c:pt idx="6">
                  <c:v>2497.359999999986</c:v>
                </c:pt>
                <c:pt idx="7">
                  <c:v>2675.8399999999674</c:v>
                </c:pt>
                <c:pt idx="8">
                  <c:v>2675.8399999999674</c:v>
                </c:pt>
                <c:pt idx="9">
                  <c:v>4846.4899999999907</c:v>
                </c:pt>
                <c:pt idx="10">
                  <c:v>483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0.67000000004190952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-54838.400000000023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6931584"/>
        <c:axId val="6933120"/>
      </c:lineChart>
      <c:catAx>
        <c:axId val="693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33120"/>
        <c:crosses val="autoZero"/>
        <c:auto val="1"/>
        <c:lblAlgn val="ctr"/>
        <c:lblOffset val="100"/>
      </c:catAx>
      <c:valAx>
        <c:axId val="693312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315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HLP'!$F$4:$F$34</c:f>
              <c:numCache>
                <c:formatCode>0%</c:formatCode>
                <c:ptCount val="3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0.25</c:v>
                </c:pt>
                <c:pt idx="5">
                  <c:v>0.25</c:v>
                </c:pt>
                <c:pt idx="6">
                  <c:v>0.54</c:v>
                </c:pt>
                <c:pt idx="7">
                  <c:v>0.45</c:v>
                </c:pt>
                <c:pt idx="8">
                  <c:v>0.45</c:v>
                </c:pt>
                <c:pt idx="9">
                  <c:v>0.19</c:v>
                </c:pt>
                <c:pt idx="10">
                  <c:v>0.22</c:v>
                </c:pt>
                <c:pt idx="11">
                  <c:v>0.25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34024064"/>
        <c:axId val="34038144"/>
      </c:lineChart>
      <c:catAx>
        <c:axId val="3402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38144"/>
        <c:crosses val="autoZero"/>
        <c:auto val="1"/>
        <c:lblAlgn val="ctr"/>
        <c:lblOffset val="100"/>
      </c:catAx>
      <c:valAx>
        <c:axId val="340381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340240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690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690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690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HLP'!$I$4:$I$34</c:f>
              <c:numCache>
                <c:formatCode>0</c:formatCode>
                <c:ptCount val="31"/>
                <c:pt idx="0">
                  <c:v>18574</c:v>
                </c:pt>
                <c:pt idx="1">
                  <c:v>19432</c:v>
                </c:pt>
                <c:pt idx="2">
                  <c:v>18137</c:v>
                </c:pt>
                <c:pt idx="3">
                  <c:v>17671</c:v>
                </c:pt>
                <c:pt idx="4">
                  <c:v>18057</c:v>
                </c:pt>
                <c:pt idx="5">
                  <c:v>18605</c:v>
                </c:pt>
                <c:pt idx="6">
                  <c:v>18512</c:v>
                </c:pt>
                <c:pt idx="7">
                  <c:v>19582</c:v>
                </c:pt>
                <c:pt idx="8">
                  <c:v>19582</c:v>
                </c:pt>
                <c:pt idx="9">
                  <c:v>37064</c:v>
                </c:pt>
                <c:pt idx="10">
                  <c:v>17244</c:v>
                </c:pt>
                <c:pt idx="11">
                  <c:v>17812</c:v>
                </c:pt>
                <c:pt idx="12">
                  <c:v>17390</c:v>
                </c:pt>
                <c:pt idx="13">
                  <c:v>18088</c:v>
                </c:pt>
                <c:pt idx="14">
                  <c:v>19222</c:v>
                </c:pt>
                <c:pt idx="15">
                  <c:v>19222</c:v>
                </c:pt>
                <c:pt idx="16">
                  <c:v>19868</c:v>
                </c:pt>
                <c:pt idx="17">
                  <c:v>19329</c:v>
                </c:pt>
                <c:pt idx="18">
                  <c:v>19338</c:v>
                </c:pt>
                <c:pt idx="19">
                  <c:v>18874</c:v>
                </c:pt>
                <c:pt idx="20">
                  <c:v>19287</c:v>
                </c:pt>
                <c:pt idx="21">
                  <c:v>19321</c:v>
                </c:pt>
                <c:pt idx="22">
                  <c:v>17852</c:v>
                </c:pt>
                <c:pt idx="23">
                  <c:v>17644</c:v>
                </c:pt>
                <c:pt idx="24">
                  <c:v>18314</c:v>
                </c:pt>
                <c:pt idx="25">
                  <c:v>18294</c:v>
                </c:pt>
                <c:pt idx="26">
                  <c:v>19216</c:v>
                </c:pt>
                <c:pt idx="27">
                  <c:v>19557</c:v>
                </c:pt>
                <c:pt idx="28">
                  <c:v>21144</c:v>
                </c:pt>
                <c:pt idx="29">
                  <c:v>21224</c:v>
                </c:pt>
                <c:pt idx="30">
                  <c:v>-1578501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34063104"/>
        <c:axId val="34064640"/>
      </c:lineChart>
      <c:catAx>
        <c:axId val="340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64640"/>
        <c:crosses val="autoZero"/>
        <c:auto val="1"/>
        <c:lblAlgn val="ctr"/>
        <c:lblOffset val="100"/>
      </c:catAx>
      <c:valAx>
        <c:axId val="3406464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6310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5.4400000000000546</c:v>
                </c:pt>
                <c:pt idx="1">
                  <c:v>6.0599999999991496</c:v>
                </c:pt>
                <c:pt idx="2">
                  <c:v>4.25</c:v>
                </c:pt>
                <c:pt idx="3">
                  <c:v>5.1899999999999409</c:v>
                </c:pt>
                <c:pt idx="4">
                  <c:v>5.1200000000000045</c:v>
                </c:pt>
                <c:pt idx="5">
                  <c:v>4.9800000000000182</c:v>
                </c:pt>
                <c:pt idx="6">
                  <c:v>5.4800000000000182</c:v>
                </c:pt>
                <c:pt idx="7">
                  <c:v>6.1000000000000227</c:v>
                </c:pt>
                <c:pt idx="8">
                  <c:v>6.1000000000000227</c:v>
                </c:pt>
                <c:pt idx="9">
                  <c:v>9.9800000000000182</c:v>
                </c:pt>
                <c:pt idx="10">
                  <c:v>5.4199999999999591</c:v>
                </c:pt>
                <c:pt idx="11">
                  <c:v>5.9900000000000091</c:v>
                </c:pt>
                <c:pt idx="12">
                  <c:v>5.1200000000004593</c:v>
                </c:pt>
                <c:pt idx="13">
                  <c:v>6.0199999999995271</c:v>
                </c:pt>
                <c:pt idx="14">
                  <c:v>6.5800000000000409</c:v>
                </c:pt>
                <c:pt idx="15">
                  <c:v>6.5800000000000409</c:v>
                </c:pt>
                <c:pt idx="16">
                  <c:v>5.6900000000000546</c:v>
                </c:pt>
                <c:pt idx="17">
                  <c:v>5.5899999999999181</c:v>
                </c:pt>
                <c:pt idx="18">
                  <c:v>5.8800000000001091</c:v>
                </c:pt>
                <c:pt idx="19">
                  <c:v>5.9900000000000091</c:v>
                </c:pt>
                <c:pt idx="20">
                  <c:v>5.8500000000000227</c:v>
                </c:pt>
                <c:pt idx="21">
                  <c:v>6.0599999999999454</c:v>
                </c:pt>
                <c:pt idx="22">
                  <c:v>5.2200000000000273</c:v>
                </c:pt>
                <c:pt idx="23">
                  <c:v>5.42999999999995</c:v>
                </c:pt>
                <c:pt idx="24">
                  <c:v>5.2200000000000273</c:v>
                </c:pt>
                <c:pt idx="25">
                  <c:v>5.8199999999999363</c:v>
                </c:pt>
                <c:pt idx="26">
                  <c:v>5.5500000000000682</c:v>
                </c:pt>
                <c:pt idx="27">
                  <c:v>5.6699999999999591</c:v>
                </c:pt>
                <c:pt idx="28">
                  <c:v>5.8600000000000136</c:v>
                </c:pt>
                <c:pt idx="29">
                  <c:v>5.5499999999999545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34080640"/>
        <c:axId val="34082176"/>
      </c:lineChart>
      <c:catAx>
        <c:axId val="3408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82176"/>
        <c:crosses val="autoZero"/>
        <c:auto val="1"/>
        <c:lblAlgn val="ctr"/>
        <c:lblOffset val="100"/>
      </c:catAx>
      <c:valAx>
        <c:axId val="3408217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806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4526E-2"/>
          <c:w val="0.84489954093854802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191.29700000002049</c:v>
                </c:pt>
                <c:pt idx="1">
                  <c:v>170.83399999991525</c:v>
                </c:pt>
                <c:pt idx="2">
                  <c:v>168.70600000000559</c:v>
                </c:pt>
                <c:pt idx="3">
                  <c:v>191.96999999997206</c:v>
                </c:pt>
                <c:pt idx="4">
                  <c:v>213.67300000006799</c:v>
                </c:pt>
                <c:pt idx="5">
                  <c:v>213.67300000006799</c:v>
                </c:pt>
                <c:pt idx="6">
                  <c:v>351.63699999998789</c:v>
                </c:pt>
                <c:pt idx="7">
                  <c:v>193</c:v>
                </c:pt>
                <c:pt idx="8">
                  <c:v>206</c:v>
                </c:pt>
                <c:pt idx="9">
                  <c:v>178.24100000003818</c:v>
                </c:pt>
                <c:pt idx="10">
                  <c:v>208.28899999998976</c:v>
                </c:pt>
                <c:pt idx="11">
                  <c:v>230.36999999999534</c:v>
                </c:pt>
                <c:pt idx="12">
                  <c:v>230.36999999999534</c:v>
                </c:pt>
                <c:pt idx="13">
                  <c:v>202.00899999996182</c:v>
                </c:pt>
                <c:pt idx="14">
                  <c:v>199.52000000001863</c:v>
                </c:pt>
                <c:pt idx="15">
                  <c:v>213.11999999999534</c:v>
                </c:pt>
                <c:pt idx="16">
                  <c:v>212.32999999995809</c:v>
                </c:pt>
                <c:pt idx="17">
                  <c:v>209.08000000007451</c:v>
                </c:pt>
                <c:pt idx="18">
                  <c:v>214.13000000000466</c:v>
                </c:pt>
                <c:pt idx="19">
                  <c:v>186.21999999997206</c:v>
                </c:pt>
                <c:pt idx="20">
                  <c:v>194.23999999999069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117.21699999994598</c:v>
                </c:pt>
                <c:pt idx="1">
                  <c:v>157.02000000012049</c:v>
                </c:pt>
                <c:pt idx="2">
                  <c:v>370.77799999991112</c:v>
                </c:pt>
                <c:pt idx="3">
                  <c:v>232.62800000006246</c:v>
                </c:pt>
                <c:pt idx="4">
                  <c:v>74.826000000022759</c:v>
                </c:pt>
                <c:pt idx="5">
                  <c:v>74.826000000022759</c:v>
                </c:pt>
                <c:pt idx="6">
                  <c:v>811.45199999997567</c:v>
                </c:pt>
                <c:pt idx="7">
                  <c:v>221</c:v>
                </c:pt>
                <c:pt idx="8">
                  <c:v>78</c:v>
                </c:pt>
                <c:pt idx="9">
                  <c:v>369.83999999998741</c:v>
                </c:pt>
                <c:pt idx="10">
                  <c:v>74.297000000078697</c:v>
                </c:pt>
                <c:pt idx="11">
                  <c:v>82.268000000032771</c:v>
                </c:pt>
                <c:pt idx="12">
                  <c:v>82.268000000032771</c:v>
                </c:pt>
                <c:pt idx="13">
                  <c:v>249.95700000020588</c:v>
                </c:pt>
                <c:pt idx="14">
                  <c:v>350.70999999975902</c:v>
                </c:pt>
                <c:pt idx="15">
                  <c:v>250.00000000011823</c:v>
                </c:pt>
                <c:pt idx="16">
                  <c:v>346.8900000000358</c:v>
                </c:pt>
                <c:pt idx="17">
                  <c:v>411.09999999991851</c:v>
                </c:pt>
                <c:pt idx="18">
                  <c:v>91.639999999997599</c:v>
                </c:pt>
                <c:pt idx="19">
                  <c:v>419.16000000007625</c:v>
                </c:pt>
                <c:pt idx="20">
                  <c:v>338.73999999991793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0</c:v>
                </c:pt>
                <c:pt idx="1">
                  <c:v>114.54000000000815</c:v>
                </c:pt>
                <c:pt idx="2">
                  <c:v>60.39000000001397</c:v>
                </c:pt>
                <c:pt idx="3">
                  <c:v>75.569999999977881</c:v>
                </c:pt>
                <c:pt idx="4">
                  <c:v>65.740000000019791</c:v>
                </c:pt>
                <c:pt idx="5">
                  <c:v>65.740000000019791</c:v>
                </c:pt>
                <c:pt idx="6">
                  <c:v>138.98999999999069</c:v>
                </c:pt>
                <c:pt idx="7">
                  <c:v>68</c:v>
                </c:pt>
                <c:pt idx="8">
                  <c:v>65</c:v>
                </c:pt>
                <c:pt idx="9">
                  <c:v>46.720000000001164</c:v>
                </c:pt>
                <c:pt idx="10">
                  <c:v>54.190000000002328</c:v>
                </c:pt>
                <c:pt idx="11">
                  <c:v>79.290000000008149</c:v>
                </c:pt>
                <c:pt idx="12">
                  <c:v>79.290000000008149</c:v>
                </c:pt>
                <c:pt idx="13">
                  <c:v>55.209999999991851</c:v>
                </c:pt>
                <c:pt idx="14">
                  <c:v>59.540000000008149</c:v>
                </c:pt>
                <c:pt idx="15">
                  <c:v>73</c:v>
                </c:pt>
                <c:pt idx="16">
                  <c:v>52.880000000004657</c:v>
                </c:pt>
                <c:pt idx="17">
                  <c:v>64.820000000006985</c:v>
                </c:pt>
                <c:pt idx="18">
                  <c:v>53.529999999998836</c:v>
                </c:pt>
                <c:pt idx="19">
                  <c:v>66.449999999982538</c:v>
                </c:pt>
                <c:pt idx="20">
                  <c:v>58.89000000001397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34600832"/>
        <c:axId val="34602368"/>
      </c:lineChart>
      <c:catAx>
        <c:axId val="3460083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34602368"/>
        <c:crosses val="autoZero"/>
        <c:auto val="1"/>
        <c:lblAlgn val="ctr"/>
        <c:lblOffset val="100"/>
      </c:catAx>
      <c:valAx>
        <c:axId val="3460236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346008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033" l="0.70000000000000062" r="0.70000000000000062" t="0.750000000000010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486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49</c:v>
                </c:pt>
                <c:pt idx="1">
                  <c:v>62</c:v>
                </c:pt>
                <c:pt idx="2">
                  <c:v>39</c:v>
                </c:pt>
                <c:pt idx="3">
                  <c:v>39</c:v>
                </c:pt>
                <c:pt idx="4">
                  <c:v>0</c:v>
                </c:pt>
                <c:pt idx="5">
                  <c:v>72</c:v>
                </c:pt>
                <c:pt idx="6">
                  <c:v>45</c:v>
                </c:pt>
                <c:pt idx="7">
                  <c:v>41</c:v>
                </c:pt>
                <c:pt idx="8">
                  <c:v>41</c:v>
                </c:pt>
                <c:pt idx="9">
                  <c:v>140</c:v>
                </c:pt>
                <c:pt idx="10">
                  <c:v>51</c:v>
                </c:pt>
                <c:pt idx="11">
                  <c:v>43</c:v>
                </c:pt>
                <c:pt idx="12">
                  <c:v>65</c:v>
                </c:pt>
                <c:pt idx="13">
                  <c:v>45</c:v>
                </c:pt>
                <c:pt idx="14">
                  <c:v>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06837120"/>
        <c:axId val="10683865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06955136"/>
        <c:axId val="106956672"/>
      </c:lineChart>
      <c:catAx>
        <c:axId val="1068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38656"/>
        <c:crosses val="autoZero"/>
        <c:auto val="1"/>
        <c:lblAlgn val="ctr"/>
        <c:lblOffset val="100"/>
      </c:catAx>
      <c:valAx>
        <c:axId val="10683865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37120"/>
        <c:crosses val="autoZero"/>
        <c:crossBetween val="between"/>
        <c:minorUnit val="50"/>
      </c:valAx>
      <c:catAx>
        <c:axId val="106955136"/>
        <c:scaling>
          <c:orientation val="minMax"/>
        </c:scaling>
        <c:delete val="1"/>
        <c:axPos val="b"/>
        <c:tickLblPos val="none"/>
        <c:crossAx val="106956672"/>
        <c:crosses val="autoZero"/>
        <c:auto val="1"/>
        <c:lblAlgn val="ctr"/>
        <c:lblOffset val="100"/>
      </c:catAx>
      <c:valAx>
        <c:axId val="10695667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5513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07161472"/>
        <c:axId val="107163008"/>
      </c:lineChart>
      <c:catAx>
        <c:axId val="10716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3008"/>
        <c:crosses val="autoZero"/>
        <c:auto val="1"/>
        <c:lblAlgn val="ctr"/>
        <c:lblOffset val="100"/>
      </c:catAx>
      <c:valAx>
        <c:axId val="107163008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614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07200512"/>
        <c:axId val="107202048"/>
      </c:lineChart>
      <c:catAx>
        <c:axId val="10720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02048"/>
        <c:crosses val="autoZero"/>
        <c:auto val="1"/>
        <c:lblAlgn val="ctr"/>
        <c:lblOffset val="100"/>
      </c:catAx>
      <c:valAx>
        <c:axId val="10720204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005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5773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15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07245568"/>
        <c:axId val="10724710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07248640"/>
        <c:axId val="107254528"/>
      </c:lineChart>
      <c:catAx>
        <c:axId val="10724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47104"/>
        <c:crosses val="autoZero"/>
        <c:auto val="1"/>
        <c:lblAlgn val="ctr"/>
        <c:lblOffset val="100"/>
      </c:catAx>
      <c:valAx>
        <c:axId val="10724710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45568"/>
        <c:crosses val="autoZero"/>
        <c:crossBetween val="between"/>
      </c:valAx>
      <c:catAx>
        <c:axId val="107248640"/>
        <c:scaling>
          <c:orientation val="minMax"/>
        </c:scaling>
        <c:delete val="1"/>
        <c:axPos val="b"/>
        <c:tickLblPos val="none"/>
        <c:crossAx val="107254528"/>
        <c:crosses val="autoZero"/>
        <c:auto val="1"/>
        <c:lblAlgn val="ctr"/>
        <c:lblOffset val="100"/>
      </c:catAx>
      <c:valAx>
        <c:axId val="10725452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48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610.59799999999814</c:v>
                </c:pt>
                <c:pt idx="1">
                  <c:v>567.23800000000119</c:v>
                </c:pt>
                <c:pt idx="2">
                  <c:v>493.41999999999462</c:v>
                </c:pt>
                <c:pt idx="3">
                  <c:v>561.54000000000451</c:v>
                </c:pt>
                <c:pt idx="4">
                  <c:v>0</c:v>
                </c:pt>
                <c:pt idx="5">
                  <c:v>522.8859999999986</c:v>
                </c:pt>
                <c:pt idx="6">
                  <c:v>603.5380000000041</c:v>
                </c:pt>
                <c:pt idx="7">
                  <c:v>644.40599999999904</c:v>
                </c:pt>
                <c:pt idx="8">
                  <c:v>644.40599999999904</c:v>
                </c:pt>
                <c:pt idx="9">
                  <c:v>1283.4219999999987</c:v>
                </c:pt>
                <c:pt idx="10">
                  <c:v>565</c:v>
                </c:pt>
                <c:pt idx="11">
                  <c:v>630</c:v>
                </c:pt>
                <c:pt idx="12">
                  <c:v>557.64199999999983</c:v>
                </c:pt>
                <c:pt idx="13">
                  <c:v>597.30000000000291</c:v>
                </c:pt>
                <c:pt idx="14">
                  <c:v>574.5789999999979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07376640"/>
        <c:axId val="10737817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07379712"/>
        <c:axId val="107401984"/>
      </c:lineChart>
      <c:catAx>
        <c:axId val="10737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78176"/>
        <c:crosses val="autoZero"/>
        <c:auto val="1"/>
        <c:lblAlgn val="ctr"/>
        <c:lblOffset val="100"/>
      </c:catAx>
      <c:valAx>
        <c:axId val="10737817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76640"/>
        <c:crosses val="autoZero"/>
        <c:crossBetween val="between"/>
        <c:majorUnit val="2"/>
      </c:valAx>
      <c:catAx>
        <c:axId val="107379712"/>
        <c:scaling>
          <c:orientation val="minMax"/>
        </c:scaling>
        <c:delete val="1"/>
        <c:axPos val="b"/>
        <c:tickLblPos val="none"/>
        <c:crossAx val="107401984"/>
        <c:crosses val="autoZero"/>
        <c:auto val="1"/>
        <c:lblAlgn val="ctr"/>
        <c:lblOffset val="100"/>
      </c:catAx>
      <c:valAx>
        <c:axId val="10740198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7971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69</xdr:row>
      <xdr:rowOff>28575</xdr:rowOff>
    </xdr:from>
    <xdr:to>
      <xdr:col>27</xdr:col>
      <xdr:colOff>476250</xdr:colOff>
      <xdr:row>82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83</xdr:row>
      <xdr:rowOff>0</xdr:rowOff>
    </xdr:from>
    <xdr:to>
      <xdr:col>27</xdr:col>
      <xdr:colOff>657225</xdr:colOff>
      <xdr:row>96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69</xdr:row>
      <xdr:rowOff>0</xdr:rowOff>
    </xdr:from>
    <xdr:to>
      <xdr:col>12</xdr:col>
      <xdr:colOff>266700</xdr:colOff>
      <xdr:row>83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54</xdr:row>
      <xdr:rowOff>85725</xdr:rowOff>
    </xdr:from>
    <xdr:to>
      <xdr:col>12</xdr:col>
      <xdr:colOff>228600</xdr:colOff>
      <xdr:row>68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54</xdr:row>
      <xdr:rowOff>95250</xdr:rowOff>
    </xdr:from>
    <xdr:to>
      <xdr:col>28</xdr:col>
      <xdr:colOff>219075</xdr:colOff>
      <xdr:row>68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96</xdr:row>
      <xdr:rowOff>123825</xdr:rowOff>
    </xdr:from>
    <xdr:to>
      <xdr:col>16</xdr:col>
      <xdr:colOff>219075</xdr:colOff>
      <xdr:row>110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38</xdr:row>
      <xdr:rowOff>163285</xdr:rowOff>
    </xdr:from>
    <xdr:to>
      <xdr:col>25</xdr:col>
      <xdr:colOff>435428</xdr:colOff>
      <xdr:row>52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40</xdr:row>
      <xdr:rowOff>0</xdr:rowOff>
    </xdr:from>
    <xdr:to>
      <xdr:col>12</xdr:col>
      <xdr:colOff>190500</xdr:colOff>
      <xdr:row>53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84</xdr:row>
      <xdr:rowOff>47625</xdr:rowOff>
    </xdr:from>
    <xdr:to>
      <xdr:col>12</xdr:col>
      <xdr:colOff>247650</xdr:colOff>
      <xdr:row>95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%20%20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0%20OCT%20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>
        <row r="7">
          <cell r="E7">
            <v>2105025</v>
          </cell>
          <cell r="F7">
            <v>2123599</v>
          </cell>
          <cell r="H7">
            <v>18574</v>
          </cell>
          <cell r="I7">
            <v>12000</v>
          </cell>
        </row>
        <row r="8">
          <cell r="E8">
            <v>2115441</v>
          </cell>
          <cell r="F8">
            <v>2134072</v>
          </cell>
          <cell r="H8">
            <v>18631</v>
          </cell>
          <cell r="I8">
            <v>12000</v>
          </cell>
        </row>
        <row r="9">
          <cell r="E9">
            <v>2017005.3</v>
          </cell>
          <cell r="F9">
            <v>2034943.5</v>
          </cell>
          <cell r="H9">
            <v>17938.199999999953</v>
          </cell>
        </row>
        <row r="10">
          <cell r="E10">
            <v>454609.79</v>
          </cell>
          <cell r="F10">
            <v>454609.79</v>
          </cell>
          <cell r="H10">
            <v>0</v>
          </cell>
        </row>
        <row r="11">
          <cell r="E11">
            <v>35390</v>
          </cell>
          <cell r="F11">
            <v>35390</v>
          </cell>
          <cell r="H11">
            <v>0</v>
          </cell>
        </row>
        <row r="12">
          <cell r="E12">
            <v>37630</v>
          </cell>
          <cell r="F12">
            <v>37630</v>
          </cell>
          <cell r="H12">
            <v>0</v>
          </cell>
        </row>
        <row r="13">
          <cell r="H13">
            <v>17938.199999999953</v>
          </cell>
        </row>
        <row r="15">
          <cell r="E15">
            <v>1530115.1939999999</v>
          </cell>
          <cell r="F15">
            <v>1530612.733</v>
          </cell>
          <cell r="H15">
            <v>497.53900000010617</v>
          </cell>
          <cell r="I15">
            <v>800</v>
          </cell>
        </row>
        <row r="18">
          <cell r="E18">
            <v>12</v>
          </cell>
          <cell r="F18">
            <v>14</v>
          </cell>
          <cell r="H18">
            <v>140</v>
          </cell>
          <cell r="I18">
            <v>65</v>
          </cell>
        </row>
        <row r="19">
          <cell r="E19">
            <v>128195</v>
          </cell>
          <cell r="F19">
            <v>128250</v>
          </cell>
          <cell r="H19">
            <v>55</v>
          </cell>
        </row>
        <row r="20">
          <cell r="H20">
            <v>195</v>
          </cell>
        </row>
        <row r="22">
          <cell r="E22">
            <v>2250</v>
          </cell>
          <cell r="F22">
            <v>2250</v>
          </cell>
          <cell r="H22">
            <v>0</v>
          </cell>
        </row>
        <row r="23">
          <cell r="E23">
            <v>2000</v>
          </cell>
          <cell r="F23">
            <v>2000</v>
          </cell>
          <cell r="H23">
            <v>0</v>
          </cell>
        </row>
        <row r="24">
          <cell r="E24">
            <v>4250</v>
          </cell>
          <cell r="F24">
            <v>4250</v>
          </cell>
        </row>
        <row r="27">
          <cell r="E27">
            <v>18631</v>
          </cell>
          <cell r="H27">
            <v>176994.5</v>
          </cell>
        </row>
        <row r="28">
          <cell r="E28">
            <v>497.53900000010617</v>
          </cell>
          <cell r="H28">
            <v>18160.173500003875</v>
          </cell>
        </row>
        <row r="29">
          <cell r="E29">
            <v>0</v>
          </cell>
          <cell r="H29">
            <v>0</v>
          </cell>
        </row>
        <row r="30">
          <cell r="E30">
            <v>55</v>
          </cell>
          <cell r="H30">
            <v>7975</v>
          </cell>
        </row>
        <row r="31">
          <cell r="E31">
            <v>140</v>
          </cell>
          <cell r="H31">
            <v>11200</v>
          </cell>
        </row>
        <row r="32">
          <cell r="H32">
            <v>214329.67350000388</v>
          </cell>
        </row>
        <row r="35">
          <cell r="E35">
            <v>603343.47</v>
          </cell>
          <cell r="F35">
            <v>606077.03</v>
          </cell>
          <cell r="H35">
            <v>2733.5600000000559</v>
          </cell>
        </row>
        <row r="36">
          <cell r="E36">
            <v>211359.95</v>
          </cell>
          <cell r="F36">
            <v>211824</v>
          </cell>
          <cell r="H36">
            <v>464.04999999998836</v>
          </cell>
        </row>
        <row r="37">
          <cell r="E37">
            <v>399844.19</v>
          </cell>
          <cell r="F37">
            <v>401369.35</v>
          </cell>
          <cell r="H37">
            <v>1525.1599999999744</v>
          </cell>
        </row>
        <row r="38">
          <cell r="E38">
            <v>150714</v>
          </cell>
          <cell r="F38">
            <v>150714</v>
          </cell>
          <cell r="H38">
            <v>0</v>
          </cell>
        </row>
        <row r="39">
          <cell r="E39">
            <v>872124.71</v>
          </cell>
          <cell r="F39">
            <v>876209.99</v>
          </cell>
          <cell r="H39">
            <v>4085.2800000000279</v>
          </cell>
        </row>
        <row r="40">
          <cell r="E40">
            <v>0</v>
          </cell>
          <cell r="F40">
            <v>0</v>
          </cell>
          <cell r="H40">
            <v>0</v>
          </cell>
        </row>
        <row r="41">
          <cell r="E41">
            <v>300127.96999999997</v>
          </cell>
          <cell r="F41">
            <v>300127.96999999997</v>
          </cell>
          <cell r="H41">
            <v>0</v>
          </cell>
        </row>
        <row r="42">
          <cell r="E42">
            <v>396197.47</v>
          </cell>
          <cell r="F42">
            <v>396197.47</v>
          </cell>
          <cell r="H42">
            <v>0</v>
          </cell>
        </row>
        <row r="43">
          <cell r="E43">
            <v>558324.06999999995</v>
          </cell>
          <cell r="F43">
            <v>560725.31000000006</v>
          </cell>
          <cell r="H43">
            <v>2401.2400000001071</v>
          </cell>
        </row>
        <row r="44">
          <cell r="E44">
            <v>0</v>
          </cell>
          <cell r="F44">
            <v>0</v>
          </cell>
          <cell r="H44">
            <v>0</v>
          </cell>
        </row>
        <row r="45">
          <cell r="E45">
            <v>614.48</v>
          </cell>
          <cell r="F45">
            <v>614.48</v>
          </cell>
          <cell r="H45">
            <v>0</v>
          </cell>
        </row>
        <row r="46">
          <cell r="E46">
            <v>187.49</v>
          </cell>
          <cell r="F46">
            <v>187.49</v>
          </cell>
          <cell r="H46">
            <v>0</v>
          </cell>
        </row>
        <row r="47">
          <cell r="H47">
            <v>11209.290000000154</v>
          </cell>
        </row>
        <row r="49">
          <cell r="E49">
            <v>11728.838</v>
          </cell>
          <cell r="F49">
            <v>11728.838</v>
          </cell>
          <cell r="H49">
            <v>0</v>
          </cell>
        </row>
        <row r="50">
          <cell r="E50">
            <v>263806.57</v>
          </cell>
          <cell r="F50">
            <v>264693.75</v>
          </cell>
          <cell r="H50">
            <v>887.17999999999302</v>
          </cell>
        </row>
        <row r="51">
          <cell r="E51">
            <v>0</v>
          </cell>
          <cell r="F51">
            <v>0</v>
          </cell>
          <cell r="H51">
            <v>0</v>
          </cell>
        </row>
        <row r="52">
          <cell r="E52">
            <v>318664.69</v>
          </cell>
          <cell r="F52">
            <v>320585.09000000003</v>
          </cell>
          <cell r="H52">
            <v>1920.4000000000233</v>
          </cell>
        </row>
        <row r="53">
          <cell r="E53">
            <v>16071</v>
          </cell>
          <cell r="F53">
            <v>16071</v>
          </cell>
          <cell r="H53">
            <v>0</v>
          </cell>
        </row>
        <row r="54">
          <cell r="E54">
            <v>1403.665</v>
          </cell>
          <cell r="F54">
            <v>1478.9247</v>
          </cell>
          <cell r="H54">
            <v>75.259700000000066</v>
          </cell>
        </row>
        <row r="55">
          <cell r="E55">
            <v>158493</v>
          </cell>
          <cell r="F55">
            <v>158492.63</v>
          </cell>
          <cell r="H55">
            <v>-0.36999999999534339</v>
          </cell>
        </row>
        <row r="56">
          <cell r="E56">
            <v>303989.78999999998</v>
          </cell>
          <cell r="F56">
            <v>307997.67</v>
          </cell>
          <cell r="H56">
            <v>4007.8800000000047</v>
          </cell>
        </row>
        <row r="57">
          <cell r="E57">
            <v>0</v>
          </cell>
          <cell r="F57">
            <v>0</v>
          </cell>
          <cell r="H57">
            <v>0</v>
          </cell>
        </row>
        <row r="58">
          <cell r="E58">
            <v>17464.271000000001</v>
          </cell>
          <cell r="F58">
            <v>17514.005000000001</v>
          </cell>
          <cell r="H58">
            <v>49.734000000000378</v>
          </cell>
        </row>
        <row r="59">
          <cell r="H59">
            <v>6940.0837000000265</v>
          </cell>
        </row>
        <row r="60">
          <cell r="H60">
            <v>18149.373700000178</v>
          </cell>
        </row>
        <row r="62">
          <cell r="E62">
            <v>20419.188999999998</v>
          </cell>
          <cell r="F62">
            <v>20419.188999999998</v>
          </cell>
          <cell r="H62">
            <v>0</v>
          </cell>
        </row>
        <row r="63">
          <cell r="E63">
            <v>298.45999999999998</v>
          </cell>
          <cell r="F63">
            <v>318.15600000000001</v>
          </cell>
          <cell r="H63">
            <v>19.696000000000026</v>
          </cell>
        </row>
        <row r="64">
          <cell r="E64">
            <v>76063.087</v>
          </cell>
          <cell r="F64">
            <v>76427.986999999994</v>
          </cell>
          <cell r="H64">
            <v>364.89999999999418</v>
          </cell>
        </row>
        <row r="65">
          <cell r="E65">
            <v>85159.263000000006</v>
          </cell>
          <cell r="F65">
            <v>85549.422999999995</v>
          </cell>
          <cell r="H65">
            <v>390.15999999998894</v>
          </cell>
        </row>
        <row r="66">
          <cell r="E66">
            <v>78187.957999999999</v>
          </cell>
          <cell r="F66">
            <v>78580.457999999999</v>
          </cell>
          <cell r="H66">
            <v>392.5</v>
          </cell>
        </row>
        <row r="67">
          <cell r="E67">
            <v>126056.5</v>
          </cell>
          <cell r="F67">
            <v>126734.88</v>
          </cell>
          <cell r="H67">
            <v>678.38000000000466</v>
          </cell>
        </row>
        <row r="68">
          <cell r="E68">
            <v>33399.868999999999</v>
          </cell>
          <cell r="F68">
            <v>33731.614999999998</v>
          </cell>
          <cell r="H68">
            <v>331.74599999999919</v>
          </cell>
        </row>
        <row r="69">
          <cell r="E69">
            <v>29252.365000000002</v>
          </cell>
          <cell r="F69">
            <v>29531.217000000001</v>
          </cell>
          <cell r="H69">
            <v>278.85199999999895</v>
          </cell>
        </row>
        <row r="72">
          <cell r="E72">
            <v>843933</v>
          </cell>
          <cell r="F72">
            <v>843945</v>
          </cell>
          <cell r="H72">
            <v>12</v>
          </cell>
        </row>
        <row r="73">
          <cell r="E73">
            <v>885215</v>
          </cell>
          <cell r="F73">
            <v>885215</v>
          </cell>
          <cell r="H73">
            <v>0</v>
          </cell>
        </row>
        <row r="74">
          <cell r="E74">
            <v>879636</v>
          </cell>
          <cell r="F74">
            <v>879652</v>
          </cell>
          <cell r="H74">
            <v>16</v>
          </cell>
        </row>
        <row r="75">
          <cell r="E75">
            <v>721366</v>
          </cell>
          <cell r="F75">
            <v>721527</v>
          </cell>
          <cell r="H75">
            <v>161</v>
          </cell>
        </row>
        <row r="76">
          <cell r="E76">
            <v>679652</v>
          </cell>
          <cell r="F76">
            <v>679712</v>
          </cell>
          <cell r="G76">
            <v>60</v>
          </cell>
          <cell r="H76">
            <v>60</v>
          </cell>
        </row>
        <row r="77">
          <cell r="E77">
            <v>692307</v>
          </cell>
          <cell r="F77">
            <v>692377</v>
          </cell>
          <cell r="G77">
            <v>70</v>
          </cell>
          <cell r="H77">
            <v>70</v>
          </cell>
        </row>
        <row r="78">
          <cell r="E78">
            <v>608014</v>
          </cell>
          <cell r="F78">
            <v>608343</v>
          </cell>
          <cell r="G78">
            <v>329</v>
          </cell>
          <cell r="H78">
            <v>329</v>
          </cell>
        </row>
        <row r="79">
          <cell r="E79">
            <v>792788</v>
          </cell>
          <cell r="F79">
            <v>792948</v>
          </cell>
          <cell r="G79">
            <v>160</v>
          </cell>
          <cell r="H79">
            <v>160</v>
          </cell>
        </row>
        <row r="80">
          <cell r="E80">
            <v>456865.04</v>
          </cell>
          <cell r="F80">
            <v>457168.04</v>
          </cell>
          <cell r="H80">
            <v>303</v>
          </cell>
        </row>
        <row r="81">
          <cell r="E81">
            <v>611122.28</v>
          </cell>
          <cell r="F81">
            <v>611204.28</v>
          </cell>
          <cell r="G81">
            <v>82</v>
          </cell>
          <cell r="H81">
            <v>82</v>
          </cell>
        </row>
        <row r="82">
          <cell r="E82">
            <v>103029.95</v>
          </cell>
          <cell r="F82">
            <v>103055.69</v>
          </cell>
          <cell r="G82">
            <v>25.740000000005239</v>
          </cell>
          <cell r="H82">
            <v>25.740000000005239</v>
          </cell>
        </row>
        <row r="83">
          <cell r="E83">
            <v>952243</v>
          </cell>
          <cell r="F83">
            <v>952689</v>
          </cell>
          <cell r="G83">
            <v>446</v>
          </cell>
          <cell r="H83">
            <v>446</v>
          </cell>
        </row>
        <row r="84">
          <cell r="E84">
            <v>366433</v>
          </cell>
          <cell r="F84">
            <v>367029</v>
          </cell>
          <cell r="G84">
            <v>596</v>
          </cell>
          <cell r="H84">
            <v>596</v>
          </cell>
        </row>
        <row r="86">
          <cell r="E86">
            <v>437026.5</v>
          </cell>
          <cell r="F86">
            <v>437049.04</v>
          </cell>
        </row>
        <row r="87">
          <cell r="E87">
            <v>76100</v>
          </cell>
          <cell r="F87">
            <v>76138</v>
          </cell>
        </row>
        <row r="88">
          <cell r="E88">
            <v>140128.46</v>
          </cell>
          <cell r="F88">
            <v>140183.75</v>
          </cell>
        </row>
        <row r="89">
          <cell r="E89">
            <v>54095.8</v>
          </cell>
          <cell r="F89">
            <v>54128</v>
          </cell>
          <cell r="H89">
            <v>32.19999999999709</v>
          </cell>
        </row>
        <row r="90">
          <cell r="E90">
            <v>2785.7</v>
          </cell>
          <cell r="F90">
            <v>2789</v>
          </cell>
          <cell r="H90">
            <v>3.3000000000001819</v>
          </cell>
        </row>
        <row r="92">
          <cell r="E92">
            <v>228650</v>
          </cell>
          <cell r="F92">
            <v>228755</v>
          </cell>
          <cell r="G92">
            <v>105</v>
          </cell>
          <cell r="H92">
            <v>105</v>
          </cell>
        </row>
        <row r="93">
          <cell r="E93">
            <v>158707</v>
          </cell>
          <cell r="F93">
            <v>158892</v>
          </cell>
          <cell r="G93">
            <v>185</v>
          </cell>
          <cell r="H93">
            <v>185</v>
          </cell>
        </row>
        <row r="95">
          <cell r="E95">
            <v>399886</v>
          </cell>
          <cell r="F95">
            <v>399934</v>
          </cell>
          <cell r="G95">
            <v>48</v>
          </cell>
          <cell r="H95">
            <v>48</v>
          </cell>
        </row>
        <row r="96">
          <cell r="E96">
            <v>98051</v>
          </cell>
          <cell r="F96">
            <v>98100</v>
          </cell>
          <cell r="G96">
            <v>49</v>
          </cell>
          <cell r="H96">
            <v>49</v>
          </cell>
        </row>
        <row r="97">
          <cell r="E97">
            <v>93565</v>
          </cell>
          <cell r="F97">
            <v>93579</v>
          </cell>
          <cell r="H97">
            <v>14</v>
          </cell>
        </row>
        <row r="98">
          <cell r="E98">
            <v>140928</v>
          </cell>
          <cell r="F98">
            <v>140960</v>
          </cell>
          <cell r="G98">
            <v>32</v>
          </cell>
          <cell r="H98">
            <v>32</v>
          </cell>
        </row>
        <row r="99">
          <cell r="E99">
            <v>4716</v>
          </cell>
          <cell r="F99">
            <v>4733</v>
          </cell>
          <cell r="H99">
            <v>17</v>
          </cell>
        </row>
        <row r="100">
          <cell r="E100">
            <v>3674</v>
          </cell>
          <cell r="F100">
            <v>3674</v>
          </cell>
          <cell r="G100">
            <v>0</v>
          </cell>
          <cell r="H100">
            <v>0</v>
          </cell>
        </row>
        <row r="101">
          <cell r="H101">
            <v>160</v>
          </cell>
        </row>
        <row r="104">
          <cell r="E104">
            <v>7010</v>
          </cell>
          <cell r="F104">
            <v>7010</v>
          </cell>
        </row>
        <row r="105">
          <cell r="E105">
            <v>34515</v>
          </cell>
          <cell r="F105">
            <v>34515</v>
          </cell>
        </row>
        <row r="106">
          <cell r="E106">
            <v>18626</v>
          </cell>
          <cell r="F106">
            <v>18629</v>
          </cell>
        </row>
        <row r="109">
          <cell r="E109">
            <v>49626</v>
          </cell>
          <cell r="F109">
            <v>49676</v>
          </cell>
        </row>
        <row r="110">
          <cell r="E110">
            <v>24106</v>
          </cell>
          <cell r="F110">
            <v>24156</v>
          </cell>
        </row>
        <row r="111">
          <cell r="E111">
            <v>3201</v>
          </cell>
          <cell r="F111">
            <v>3201</v>
          </cell>
        </row>
        <row r="114">
          <cell r="E114">
            <v>8282</v>
          </cell>
          <cell r="F114">
            <v>8302</v>
          </cell>
        </row>
        <row r="115">
          <cell r="E115">
            <v>6544</v>
          </cell>
          <cell r="F115">
            <v>6551</v>
          </cell>
        </row>
        <row r="118">
          <cell r="E118">
            <v>357005</v>
          </cell>
        </row>
        <row r="119">
          <cell r="E119">
            <v>600020</v>
          </cell>
        </row>
        <row r="120">
          <cell r="E120">
            <v>0</v>
          </cell>
        </row>
        <row r="121">
          <cell r="E121" t="str">
            <v xml:space="preserve"> </v>
          </cell>
        </row>
        <row r="123">
          <cell r="E123">
            <v>782924.88600000006</v>
          </cell>
          <cell r="F123">
            <v>783118.50800000003</v>
          </cell>
          <cell r="H123">
            <v>193.62199999997392</v>
          </cell>
        </row>
        <row r="124">
          <cell r="E124">
            <v>73581</v>
          </cell>
          <cell r="F124">
            <v>73581</v>
          </cell>
          <cell r="H124">
            <v>0</v>
          </cell>
        </row>
        <row r="125">
          <cell r="E125">
            <v>131106.22</v>
          </cell>
          <cell r="F125">
            <v>131169.64000000001</v>
          </cell>
          <cell r="H125">
            <v>63.420000000012806</v>
          </cell>
        </row>
        <row r="126">
          <cell r="E126">
            <v>55585.8</v>
          </cell>
          <cell r="F126">
            <v>55617.9</v>
          </cell>
          <cell r="H126">
            <v>32.099999999998545</v>
          </cell>
        </row>
        <row r="127">
          <cell r="E127">
            <v>8639</v>
          </cell>
          <cell r="F127">
            <v>8639</v>
          </cell>
          <cell r="H127">
            <v>0</v>
          </cell>
        </row>
        <row r="128">
          <cell r="H128">
            <v>208.3970000001209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31017.02</v>
          </cell>
          <cell r="H135">
            <v>24</v>
          </cell>
        </row>
        <row r="136">
          <cell r="F136">
            <v>21598.03</v>
          </cell>
          <cell r="H136">
            <v>0</v>
          </cell>
        </row>
        <row r="137">
          <cell r="F137">
            <v>24902.25</v>
          </cell>
          <cell r="H137">
            <v>0</v>
          </cell>
        </row>
        <row r="138">
          <cell r="F138">
            <v>69890.350000000006</v>
          </cell>
          <cell r="H138">
            <v>8.7000000000116415</v>
          </cell>
        </row>
        <row r="139">
          <cell r="F139">
            <v>781.87</v>
          </cell>
          <cell r="H139">
            <v>5.4400000000000546</v>
          </cell>
        </row>
        <row r="140">
          <cell r="F140">
            <v>4154.2700000000004</v>
          </cell>
          <cell r="H140">
            <v>0</v>
          </cell>
        </row>
        <row r="142">
          <cell r="H142">
            <v>5134.800000000163</v>
          </cell>
        </row>
        <row r="144">
          <cell r="H144">
            <v>4007.5100000000093</v>
          </cell>
        </row>
        <row r="145">
          <cell r="H145">
            <v>0.21575912565952457</v>
          </cell>
        </row>
        <row r="146">
          <cell r="H146">
            <v>4085.2800000000279</v>
          </cell>
        </row>
        <row r="147">
          <cell r="H147">
            <v>0.21994616130074449</v>
          </cell>
        </row>
        <row r="148">
          <cell r="H148">
            <v>1920.4000000000233</v>
          </cell>
        </row>
        <row r="149">
          <cell r="H149">
            <v>0.10339183805319389</v>
          </cell>
        </row>
        <row r="150">
          <cell r="H150">
            <v>1351.2299999999814</v>
          </cell>
        </row>
        <row r="151">
          <cell r="H151">
            <v>7.2748465597070169E-2</v>
          </cell>
        </row>
        <row r="152">
          <cell r="H152">
            <v>1525.1599999999744</v>
          </cell>
        </row>
        <row r="153">
          <cell r="H153">
            <v>8.2112630558844324E-2</v>
          </cell>
        </row>
        <row r="160">
          <cell r="F160">
            <v>21717.564999999999</v>
          </cell>
        </row>
        <row r="161">
          <cell r="F161">
            <v>13791.3</v>
          </cell>
        </row>
        <row r="162">
          <cell r="F162">
            <v>30657.753000000001</v>
          </cell>
        </row>
        <row r="163">
          <cell r="F163">
            <v>3055.6233000000002</v>
          </cell>
        </row>
        <row r="164">
          <cell r="F164">
            <v>20419.188999999998</v>
          </cell>
        </row>
        <row r="165">
          <cell r="F165">
            <v>318.15600000000001</v>
          </cell>
        </row>
        <row r="166">
          <cell r="F166">
            <v>76427.986999999994</v>
          </cell>
        </row>
        <row r="167">
          <cell r="F167">
            <v>85549.422999999995</v>
          </cell>
        </row>
        <row r="168">
          <cell r="F168">
            <v>78580.457999999999</v>
          </cell>
        </row>
        <row r="169">
          <cell r="F169">
            <v>126734.88</v>
          </cell>
        </row>
        <row r="170">
          <cell r="F170">
            <v>33731.614999999998</v>
          </cell>
        </row>
        <row r="171">
          <cell r="F171">
            <v>29531.217000000001</v>
          </cell>
        </row>
      </sheetData>
      <sheetData sheetId="4">
        <row r="7">
          <cell r="F7">
            <v>2143031</v>
          </cell>
          <cell r="H7">
            <v>38006</v>
          </cell>
        </row>
        <row r="8">
          <cell r="F8">
            <v>2153590</v>
          </cell>
          <cell r="H8">
            <v>38149</v>
          </cell>
        </row>
        <row r="9">
          <cell r="F9">
            <v>2053696.7</v>
          </cell>
          <cell r="H9">
            <v>36691.399999999907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36691.609999999928</v>
          </cell>
        </row>
        <row r="15">
          <cell r="F15">
            <v>1531319.2720000001</v>
          </cell>
          <cell r="H15">
            <v>1204.0780000002123</v>
          </cell>
        </row>
        <row r="18">
          <cell r="F18">
            <v>13</v>
          </cell>
          <cell r="H18">
            <v>270</v>
          </cell>
        </row>
        <row r="19">
          <cell r="F19">
            <v>128305</v>
          </cell>
          <cell r="H19">
            <v>110</v>
          </cell>
        </row>
        <row r="20">
          <cell r="H20">
            <v>380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362415.5</v>
          </cell>
        </row>
        <row r="28">
          <cell r="H28">
            <v>43948.84700000775</v>
          </cell>
        </row>
        <row r="29">
          <cell r="H29">
            <v>0</v>
          </cell>
        </row>
        <row r="30">
          <cell r="H30">
            <v>15950</v>
          </cell>
        </row>
        <row r="31">
          <cell r="H31">
            <v>21600</v>
          </cell>
        </row>
        <row r="32">
          <cell r="H32">
            <v>443914.34700000775</v>
          </cell>
        </row>
        <row r="35">
          <cell r="F35">
            <v>608605.11</v>
          </cell>
          <cell r="H35">
            <v>5261.640000000014</v>
          </cell>
        </row>
        <row r="36">
          <cell r="F36">
            <v>212419.21</v>
          </cell>
          <cell r="H36">
            <v>1059.2599999999802</v>
          </cell>
        </row>
        <row r="37">
          <cell r="F37">
            <v>402893.03</v>
          </cell>
          <cell r="H37">
            <v>3048.8400000000256</v>
          </cell>
        </row>
        <row r="38">
          <cell r="F38">
            <v>150714</v>
          </cell>
          <cell r="H38">
            <v>0</v>
          </cell>
        </row>
        <row r="39">
          <cell r="F39">
            <v>880208.39</v>
          </cell>
          <cell r="H39">
            <v>8083.6800000000512</v>
          </cell>
        </row>
        <row r="40"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563091.35</v>
          </cell>
          <cell r="H43">
            <v>4767.2800000000279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22219.660000000149</v>
          </cell>
        </row>
        <row r="49">
          <cell r="F49">
            <v>11728.852000000001</v>
          </cell>
          <cell r="H49">
            <v>1.4000000001033186E-2</v>
          </cell>
        </row>
        <row r="50">
          <cell r="F50">
            <v>266038.17</v>
          </cell>
          <cell r="H50">
            <v>2231.5999999999767</v>
          </cell>
        </row>
        <row r="51">
          <cell r="F51">
            <v>0</v>
          </cell>
          <cell r="H51">
            <v>0</v>
          </cell>
        </row>
        <row r="52">
          <cell r="F52">
            <v>322299.03000000003</v>
          </cell>
          <cell r="H52">
            <v>3634.3400000000256</v>
          </cell>
        </row>
        <row r="53">
          <cell r="F53">
            <v>16071</v>
          </cell>
          <cell r="H53">
            <v>0</v>
          </cell>
        </row>
        <row r="54">
          <cell r="F54">
            <v>1548.23</v>
          </cell>
          <cell r="H54">
            <v>144.56500000000005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312611.51</v>
          </cell>
          <cell r="H56">
            <v>8621.7200000000303</v>
          </cell>
        </row>
        <row r="57">
          <cell r="F57">
            <v>0</v>
          </cell>
          <cell r="H57">
            <v>0</v>
          </cell>
        </row>
        <row r="58">
          <cell r="F58">
            <v>17695.417000000001</v>
          </cell>
          <cell r="H58">
            <v>231.14600000000064</v>
          </cell>
        </row>
        <row r="59">
          <cell r="H59">
            <v>14863.115000000045</v>
          </cell>
        </row>
        <row r="60">
          <cell r="H60">
            <v>37082.775000000198</v>
          </cell>
        </row>
        <row r="62">
          <cell r="F62">
            <v>20419.188999999998</v>
          </cell>
          <cell r="H62">
            <v>0</v>
          </cell>
        </row>
        <row r="63">
          <cell r="F63">
            <v>337.52915000000002</v>
          </cell>
          <cell r="H63">
            <v>39.069150000000036</v>
          </cell>
        </row>
        <row r="64">
          <cell r="F64">
            <v>76786.263000000006</v>
          </cell>
          <cell r="H64">
            <v>723.17600000000675</v>
          </cell>
        </row>
        <row r="65">
          <cell r="F65">
            <v>85945.463000000003</v>
          </cell>
          <cell r="H65">
            <v>786.19999999999709</v>
          </cell>
        </row>
        <row r="66">
          <cell r="F66">
            <v>78976.558999999994</v>
          </cell>
          <cell r="H66">
            <v>788.60099999999511</v>
          </cell>
        </row>
        <row r="67">
          <cell r="F67">
            <v>127374.99</v>
          </cell>
          <cell r="H67">
            <v>1318.4900000000052</v>
          </cell>
        </row>
        <row r="68">
          <cell r="F68">
            <v>34045.735000000001</v>
          </cell>
          <cell r="H68">
            <v>645.8660000000018</v>
          </cell>
        </row>
        <row r="69">
          <cell r="F69">
            <v>29784.334999999999</v>
          </cell>
          <cell r="H69">
            <v>531.96999999999753</v>
          </cell>
        </row>
        <row r="72">
          <cell r="F72">
            <v>843954</v>
          </cell>
          <cell r="H72">
            <v>21</v>
          </cell>
        </row>
        <row r="73">
          <cell r="F73">
            <v>885215</v>
          </cell>
          <cell r="H73">
            <v>0</v>
          </cell>
        </row>
        <row r="74">
          <cell r="F74">
            <v>879672</v>
          </cell>
          <cell r="H74">
            <v>36</v>
          </cell>
        </row>
        <row r="75">
          <cell r="F75">
            <v>721704</v>
          </cell>
          <cell r="H75">
            <v>338</v>
          </cell>
        </row>
        <row r="76">
          <cell r="F76">
            <v>679796</v>
          </cell>
          <cell r="H76">
            <v>144</v>
          </cell>
        </row>
        <row r="77">
          <cell r="F77">
            <v>692442</v>
          </cell>
          <cell r="H77">
            <v>135</v>
          </cell>
        </row>
        <row r="78">
          <cell r="F78">
            <v>608600</v>
          </cell>
          <cell r="H78">
            <v>586</v>
          </cell>
        </row>
        <row r="79">
          <cell r="F79">
            <v>793121</v>
          </cell>
          <cell r="H79">
            <v>333</v>
          </cell>
        </row>
        <row r="80">
          <cell r="F80">
            <v>457462</v>
          </cell>
          <cell r="H80">
            <v>596.96000000002095</v>
          </cell>
        </row>
        <row r="81">
          <cell r="F81">
            <v>611299</v>
          </cell>
          <cell r="H81">
            <v>176.71999999997206</v>
          </cell>
        </row>
        <row r="82">
          <cell r="F82">
            <v>103074</v>
          </cell>
          <cell r="H82">
            <v>44.05000000000291</v>
          </cell>
        </row>
        <row r="83">
          <cell r="F83">
            <v>952959</v>
          </cell>
          <cell r="H83">
            <v>716</v>
          </cell>
        </row>
        <row r="84">
          <cell r="F84">
            <v>367631</v>
          </cell>
          <cell r="H84">
            <v>1198</v>
          </cell>
        </row>
        <row r="85">
          <cell r="H85">
            <v>2659.9899999999907</v>
          </cell>
        </row>
        <row r="86">
          <cell r="F86">
            <v>437193</v>
          </cell>
          <cell r="H86">
            <v>143.96000000002095</v>
          </cell>
        </row>
        <row r="87">
          <cell r="F87">
            <v>76183</v>
          </cell>
          <cell r="H87">
            <v>45</v>
          </cell>
        </row>
        <row r="88">
          <cell r="F88">
            <v>140263</v>
          </cell>
          <cell r="H88">
            <v>79.25</v>
          </cell>
        </row>
        <row r="89">
          <cell r="F89">
            <v>54179</v>
          </cell>
          <cell r="H89">
            <v>83.19999999999709</v>
          </cell>
        </row>
        <row r="90">
          <cell r="F90">
            <v>2794</v>
          </cell>
          <cell r="H90">
            <v>8.3000000000001819</v>
          </cell>
        </row>
        <row r="92">
          <cell r="F92">
            <v>228852</v>
          </cell>
          <cell r="H92">
            <v>202</v>
          </cell>
        </row>
        <row r="93">
          <cell r="F93">
            <v>159050</v>
          </cell>
          <cell r="H93">
            <v>343</v>
          </cell>
        </row>
        <row r="94">
          <cell r="H94">
            <v>255</v>
          </cell>
        </row>
        <row r="95">
          <cell r="F95">
            <v>399996</v>
          </cell>
          <cell r="H95">
            <v>110</v>
          </cell>
        </row>
        <row r="96">
          <cell r="F96">
            <v>98136</v>
          </cell>
          <cell r="H96">
            <v>85</v>
          </cell>
        </row>
        <row r="97">
          <cell r="F97">
            <v>93593</v>
          </cell>
          <cell r="H97">
            <v>28</v>
          </cell>
        </row>
        <row r="98">
          <cell r="F98">
            <v>140991</v>
          </cell>
          <cell r="H98">
            <v>63</v>
          </cell>
        </row>
        <row r="99">
          <cell r="F99">
            <v>4745</v>
          </cell>
          <cell r="H99">
            <v>29</v>
          </cell>
        </row>
        <row r="100">
          <cell r="F100">
            <v>3674</v>
          </cell>
          <cell r="H100">
            <v>0</v>
          </cell>
        </row>
        <row r="101">
          <cell r="H101">
            <v>315</v>
          </cell>
        </row>
        <row r="104">
          <cell r="F104">
            <v>7010</v>
          </cell>
        </row>
        <row r="105">
          <cell r="F105">
            <v>34528</v>
          </cell>
        </row>
        <row r="106">
          <cell r="F106">
            <v>18638</v>
          </cell>
        </row>
        <row r="109">
          <cell r="F109">
            <v>49784</v>
          </cell>
        </row>
        <row r="110">
          <cell r="F110">
            <v>24178</v>
          </cell>
        </row>
        <row r="111">
          <cell r="F111">
            <v>3211</v>
          </cell>
        </row>
        <row r="114">
          <cell r="F114">
            <v>8318</v>
          </cell>
        </row>
        <row r="115">
          <cell r="F115">
            <v>6559</v>
          </cell>
        </row>
        <row r="123">
          <cell r="F123">
            <v>783322.36600000004</v>
          </cell>
          <cell r="H123">
            <v>397.47999999998137</v>
          </cell>
        </row>
        <row r="124">
          <cell r="F124">
            <v>73581</v>
          </cell>
          <cell r="H124">
            <v>0</v>
          </cell>
        </row>
        <row r="125">
          <cell r="F125">
            <v>131233.99</v>
          </cell>
          <cell r="H125">
            <v>127.76999999998952</v>
          </cell>
        </row>
        <row r="126">
          <cell r="F126">
            <v>55639.5</v>
          </cell>
          <cell r="H126">
            <v>53.69999999999709</v>
          </cell>
        </row>
        <row r="127">
          <cell r="F127">
            <v>8639</v>
          </cell>
          <cell r="H127">
            <v>0</v>
          </cell>
        </row>
        <row r="128">
          <cell r="H128">
            <v>625.12800000024436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31041.02</v>
          </cell>
          <cell r="H135">
            <v>48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69891.89</v>
          </cell>
          <cell r="H138">
            <v>10.240000000005239</v>
          </cell>
        </row>
        <row r="139">
          <cell r="F139">
            <v>785.22</v>
          </cell>
          <cell r="H139">
            <v>8.7900000000000773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10028.934000000043</v>
          </cell>
        </row>
        <row r="143">
          <cell r="H143">
            <v>0.33397214064529346</v>
          </cell>
        </row>
        <row r="144">
          <cell r="H144">
            <v>8621.380000000092</v>
          </cell>
        </row>
        <row r="145">
          <cell r="H145">
            <v>0.45319582800617353</v>
          </cell>
        </row>
        <row r="146">
          <cell r="H146">
            <v>8083.6800000000512</v>
          </cell>
        </row>
        <row r="147">
          <cell r="H147">
            <v>0.4257098500615526</v>
          </cell>
        </row>
        <row r="148">
          <cell r="H148">
            <v>3634.3400000000256</v>
          </cell>
        </row>
        <row r="149">
          <cell r="H149">
            <v>0.19159377300584943</v>
          </cell>
        </row>
        <row r="150">
          <cell r="H150">
            <v>3290.8599999999569</v>
          </cell>
        </row>
        <row r="151">
          <cell r="H151">
            <v>0.17256474801781818</v>
          </cell>
        </row>
        <row r="152">
          <cell r="H152">
            <v>3048.8400000000256</v>
          </cell>
        </row>
        <row r="153">
          <cell r="H153">
            <v>0.16052349922908163</v>
          </cell>
        </row>
        <row r="160">
          <cell r="F160">
            <v>21795</v>
          </cell>
        </row>
        <row r="161">
          <cell r="F161">
            <v>13880</v>
          </cell>
        </row>
        <row r="162">
          <cell r="F162">
            <v>30917.352999999999</v>
          </cell>
        </row>
        <row r="163">
          <cell r="F163">
            <v>3069.5119</v>
          </cell>
        </row>
        <row r="164">
          <cell r="F164">
            <v>20419.188999999998</v>
          </cell>
        </row>
        <row r="165">
          <cell r="F165">
            <v>337.52915000000002</v>
          </cell>
        </row>
        <row r="166">
          <cell r="F166">
            <v>76786.263000000006</v>
          </cell>
        </row>
        <row r="167">
          <cell r="F167">
            <v>85945.463000000003</v>
          </cell>
        </row>
        <row r="168">
          <cell r="F168">
            <v>78976.558999999994</v>
          </cell>
        </row>
        <row r="169">
          <cell r="F169">
            <v>127374.99</v>
          </cell>
        </row>
        <row r="170">
          <cell r="F170">
            <v>34045.735000000001</v>
          </cell>
        </row>
        <row r="171">
          <cell r="F171">
            <v>29784.334999999999</v>
          </cell>
        </row>
      </sheetData>
      <sheetData sheetId="5">
        <row r="7">
          <cell r="H7">
            <v>56143</v>
          </cell>
        </row>
        <row r="8">
          <cell r="H8">
            <v>56349</v>
          </cell>
        </row>
        <row r="9">
          <cell r="H9">
            <v>54201.399999999907</v>
          </cell>
        </row>
        <row r="10">
          <cell r="H10">
            <v>0.21000000002095476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54201.609999999928</v>
          </cell>
        </row>
        <row r="15">
          <cell r="H15">
            <v>1649.938000000082</v>
          </cell>
        </row>
        <row r="18">
          <cell r="H18">
            <v>350</v>
          </cell>
        </row>
        <row r="19">
          <cell r="H19">
            <v>163</v>
          </cell>
        </row>
        <row r="20">
          <cell r="H20">
            <v>513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535315.5</v>
          </cell>
        </row>
        <row r="28">
          <cell r="H28">
            <v>60222.737000002991</v>
          </cell>
        </row>
        <row r="29">
          <cell r="H29">
            <v>0</v>
          </cell>
        </row>
        <row r="30">
          <cell r="H30">
            <v>23635</v>
          </cell>
        </row>
        <row r="31">
          <cell r="H31">
            <v>28000</v>
          </cell>
        </row>
        <row r="32">
          <cell r="H32">
            <v>647173.23700000299</v>
          </cell>
        </row>
        <row r="35">
          <cell r="H35">
            <v>7792.4400000000605</v>
          </cell>
        </row>
        <row r="36">
          <cell r="H36">
            <v>1611.9799999999814</v>
          </cell>
        </row>
        <row r="37">
          <cell r="H37">
            <v>4530.7600000000093</v>
          </cell>
        </row>
        <row r="38">
          <cell r="H38">
            <v>0</v>
          </cell>
        </row>
        <row r="39">
          <cell r="H39">
            <v>12010.320000000065</v>
          </cell>
        </row>
        <row r="40">
          <cell r="H40">
            <v>0</v>
          </cell>
        </row>
        <row r="41">
          <cell r="H41">
            <v>-6.9999999948777258E-2</v>
          </cell>
        </row>
        <row r="42">
          <cell r="H42">
            <v>0</v>
          </cell>
        </row>
        <row r="43">
          <cell r="H43">
            <v>7121.0400000000373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7">
          <cell r="H47">
            <v>33065.500000000204</v>
          </cell>
        </row>
        <row r="49">
          <cell r="H49">
            <v>1.2000000000625732E-2</v>
          </cell>
        </row>
        <row r="50">
          <cell r="H50">
            <v>3105.2000000000116</v>
          </cell>
        </row>
        <row r="51">
          <cell r="H51">
            <v>0</v>
          </cell>
        </row>
        <row r="52">
          <cell r="H52">
            <v>5417.140000000014</v>
          </cell>
        </row>
        <row r="53">
          <cell r="H53">
            <v>0</v>
          </cell>
        </row>
        <row r="54">
          <cell r="H54">
            <v>217.73260000000005</v>
          </cell>
        </row>
        <row r="55">
          <cell r="H55">
            <v>-0.26999999998952262</v>
          </cell>
        </row>
        <row r="56">
          <cell r="H56">
            <v>12715.880000000005</v>
          </cell>
        </row>
        <row r="57">
          <cell r="H57">
            <v>0</v>
          </cell>
        </row>
        <row r="58">
          <cell r="H58">
            <v>272.94399999999951</v>
          </cell>
        </row>
        <row r="59">
          <cell r="H59">
            <v>21728.638600000042</v>
          </cell>
        </row>
        <row r="60">
          <cell r="H60">
            <v>54794.138600000253</v>
          </cell>
        </row>
        <row r="62">
          <cell r="H62">
            <v>-0.1889999999984866</v>
          </cell>
        </row>
        <row r="63">
          <cell r="H63">
            <v>58.303070000000048</v>
          </cell>
        </row>
        <row r="64">
          <cell r="H64">
            <v>1090.9839999999967</v>
          </cell>
        </row>
        <row r="65">
          <cell r="H65">
            <v>1180.8959999999934</v>
          </cell>
        </row>
        <row r="66">
          <cell r="H66">
            <v>1165.3910000000033</v>
          </cell>
        </row>
        <row r="67">
          <cell r="H67">
            <v>1933.5200000000041</v>
          </cell>
        </row>
        <row r="68">
          <cell r="H68">
            <v>946.95000000000437</v>
          </cell>
        </row>
        <row r="69">
          <cell r="H69">
            <v>792.42599999999948</v>
          </cell>
        </row>
        <row r="72">
          <cell r="H72">
            <v>23</v>
          </cell>
        </row>
        <row r="73">
          <cell r="H73">
            <v>2</v>
          </cell>
        </row>
        <row r="74">
          <cell r="H74">
            <v>49</v>
          </cell>
        </row>
        <row r="75">
          <cell r="H75">
            <v>494</v>
          </cell>
        </row>
        <row r="76">
          <cell r="H76">
            <v>195</v>
          </cell>
        </row>
        <row r="77">
          <cell r="H77">
            <v>141</v>
          </cell>
        </row>
        <row r="78">
          <cell r="H78">
            <v>908</v>
          </cell>
        </row>
        <row r="79">
          <cell r="H79">
            <v>500</v>
          </cell>
        </row>
        <row r="80">
          <cell r="H80">
            <v>858.96000000002095</v>
          </cell>
        </row>
        <row r="81">
          <cell r="H81">
            <v>295.71999999997206</v>
          </cell>
        </row>
        <row r="82">
          <cell r="H82">
            <v>65.05000000000291</v>
          </cell>
        </row>
        <row r="83">
          <cell r="H83">
            <v>1187</v>
          </cell>
        </row>
        <row r="84">
          <cell r="H84">
            <v>1796</v>
          </cell>
        </row>
        <row r="85">
          <cell r="H85">
            <v>4849.9899999999907</v>
          </cell>
        </row>
        <row r="86">
          <cell r="H86">
            <v>255.96000000002095</v>
          </cell>
        </row>
        <row r="87">
          <cell r="H87">
            <v>90</v>
          </cell>
        </row>
        <row r="88">
          <cell r="H88">
            <v>127.25</v>
          </cell>
        </row>
        <row r="89">
          <cell r="H89">
            <v>132.19999999999709</v>
          </cell>
        </row>
        <row r="90">
          <cell r="H90">
            <v>13.300000000000182</v>
          </cell>
        </row>
        <row r="92">
          <cell r="H92">
            <v>257</v>
          </cell>
        </row>
        <row r="93">
          <cell r="H93">
            <v>527</v>
          </cell>
        </row>
        <row r="94">
          <cell r="H94">
            <v>494</v>
          </cell>
        </row>
        <row r="95">
          <cell r="H95">
            <v>149</v>
          </cell>
        </row>
        <row r="96">
          <cell r="H96">
            <v>127</v>
          </cell>
        </row>
        <row r="97">
          <cell r="H97">
            <v>42</v>
          </cell>
        </row>
        <row r="98">
          <cell r="H98">
            <v>86</v>
          </cell>
        </row>
        <row r="99">
          <cell r="H99">
            <v>37</v>
          </cell>
        </row>
        <row r="100">
          <cell r="H100">
            <v>0</v>
          </cell>
        </row>
        <row r="101">
          <cell r="H101">
            <v>441</v>
          </cell>
        </row>
        <row r="104">
          <cell r="H104">
            <v>60</v>
          </cell>
        </row>
        <row r="105">
          <cell r="H105">
            <v>70</v>
          </cell>
        </row>
        <row r="106">
          <cell r="H106">
            <v>332</v>
          </cell>
        </row>
        <row r="107">
          <cell r="H107">
            <v>163</v>
          </cell>
        </row>
        <row r="109">
          <cell r="H109">
            <v>131</v>
          </cell>
        </row>
        <row r="110">
          <cell r="H110">
            <v>66.740000000005239</v>
          </cell>
        </row>
        <row r="111">
          <cell r="H111">
            <v>446</v>
          </cell>
        </row>
        <row r="112">
          <cell r="H112">
            <v>686</v>
          </cell>
        </row>
        <row r="114">
          <cell r="H114">
            <v>10</v>
          </cell>
        </row>
        <row r="115">
          <cell r="H115">
            <v>108</v>
          </cell>
        </row>
        <row r="116">
          <cell r="H116">
            <v>185</v>
          </cell>
        </row>
        <row r="117">
          <cell r="H117">
            <v>61</v>
          </cell>
        </row>
        <row r="118">
          <cell r="H118">
            <v>157</v>
          </cell>
        </row>
        <row r="119">
          <cell r="H119">
            <v>135</v>
          </cell>
        </row>
        <row r="120">
          <cell r="H120">
            <v>90</v>
          </cell>
        </row>
        <row r="123">
          <cell r="F123">
            <v>783470.88300000003</v>
          </cell>
          <cell r="H123">
            <v>545.99699999997392</v>
          </cell>
        </row>
        <row r="124">
          <cell r="F124">
            <v>73581</v>
          </cell>
          <cell r="H124">
            <v>0</v>
          </cell>
        </row>
        <row r="125">
          <cell r="F125">
            <v>131286.76999999999</v>
          </cell>
          <cell r="H125">
            <v>180.54999999998836</v>
          </cell>
        </row>
        <row r="126">
          <cell r="F126">
            <v>55659.4</v>
          </cell>
          <cell r="H126">
            <v>73.599999999998545</v>
          </cell>
        </row>
        <row r="127">
          <cell r="F127">
            <v>8639</v>
          </cell>
          <cell r="H127">
            <v>0</v>
          </cell>
        </row>
        <row r="128">
          <cell r="H128">
            <v>849.79100000012113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31065.02</v>
          </cell>
          <cell r="H135">
            <v>72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69899.59</v>
          </cell>
          <cell r="H138">
            <v>17.940000000002328</v>
          </cell>
        </row>
        <row r="139">
          <cell r="F139">
            <v>789.47</v>
          </cell>
          <cell r="H139">
            <v>13.040000000000077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14913.492000000098</v>
          </cell>
        </row>
        <row r="143">
          <cell r="H143">
            <v>0.60328669101195032</v>
          </cell>
        </row>
        <row r="144">
          <cell r="H144">
            <v>12715.540000000066</v>
          </cell>
        </row>
        <row r="145">
          <cell r="H145">
            <v>0.6789310653662648</v>
          </cell>
        </row>
        <row r="146">
          <cell r="H146">
            <v>12010.320000000065</v>
          </cell>
        </row>
        <row r="147">
          <cell r="H147">
            <v>0.64220871977539806</v>
          </cell>
        </row>
        <row r="148">
          <cell r="H148">
            <v>5417.140000000014</v>
          </cell>
        </row>
        <row r="149">
          <cell r="H149">
            <v>0.28989007338628658</v>
          </cell>
        </row>
        <row r="150">
          <cell r="H150">
            <v>4717.179999999993</v>
          </cell>
        </row>
        <row r="151">
          <cell r="H151">
            <v>0.25120619919497184</v>
          </cell>
        </row>
        <row r="152">
          <cell r="H152">
            <v>4530.7600000000093</v>
          </cell>
        </row>
        <row r="153">
          <cell r="H153">
            <v>0.24223050700324406</v>
          </cell>
        </row>
      </sheetData>
      <sheetData sheetId="6">
        <row r="7">
          <cell r="F7">
            <v>2178839</v>
          </cell>
          <cell r="H7">
            <v>73814</v>
          </cell>
        </row>
        <row r="8">
          <cell r="F8">
            <v>2189519</v>
          </cell>
          <cell r="H8">
            <v>74078</v>
          </cell>
        </row>
        <row r="9">
          <cell r="F9">
            <v>2088058.3</v>
          </cell>
          <cell r="H9">
            <v>71053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71053.210000000021</v>
          </cell>
        </row>
        <row r="15">
          <cell r="F15">
            <v>1532096.6459999999</v>
          </cell>
          <cell r="H15">
            <v>1981.4520000000484</v>
          </cell>
        </row>
        <row r="18">
          <cell r="F18">
            <v>9</v>
          </cell>
          <cell r="H18">
            <v>440</v>
          </cell>
        </row>
        <row r="19">
          <cell r="F19">
            <v>128405</v>
          </cell>
          <cell r="H19">
            <v>210</v>
          </cell>
        </row>
        <row r="20">
          <cell r="H20">
            <v>650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703741</v>
          </cell>
        </row>
        <row r="28">
          <cell r="H28">
            <v>72322.998000001768</v>
          </cell>
        </row>
        <row r="29">
          <cell r="H29">
            <v>0</v>
          </cell>
        </row>
        <row r="30">
          <cell r="H30">
            <v>30450</v>
          </cell>
        </row>
        <row r="31">
          <cell r="H31">
            <v>35200</v>
          </cell>
        </row>
        <row r="32">
          <cell r="H32">
            <v>841713.99800000177</v>
          </cell>
        </row>
        <row r="35">
          <cell r="F35">
            <v>613621.47</v>
          </cell>
          <cell r="H35">
            <v>10278</v>
          </cell>
        </row>
        <row r="36">
          <cell r="F36">
            <v>213521.3</v>
          </cell>
          <cell r="H36">
            <v>2161.3499999999767</v>
          </cell>
        </row>
        <row r="37">
          <cell r="F37">
            <v>405829.8</v>
          </cell>
          <cell r="H37">
            <v>5985.609999999986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887861.91</v>
          </cell>
          <cell r="H39">
            <v>15737.20000000007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567788.79</v>
          </cell>
          <cell r="H43">
            <v>9464.7200000000885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43626.040000000183</v>
          </cell>
        </row>
        <row r="49">
          <cell r="F49">
            <v>11728.7</v>
          </cell>
          <cell r="H49">
            <v>-0.13799999999901047</v>
          </cell>
        </row>
        <row r="50">
          <cell r="F50">
            <v>267859.37</v>
          </cell>
          <cell r="H50">
            <v>4052.7999999999884</v>
          </cell>
        </row>
        <row r="51">
          <cell r="F51">
            <v>0</v>
          </cell>
          <cell r="H51">
            <v>0</v>
          </cell>
        </row>
        <row r="52">
          <cell r="F52">
            <v>325581.43</v>
          </cell>
          <cell r="H52">
            <v>6916.7399999999907</v>
          </cell>
        </row>
        <row r="53">
          <cell r="F53">
            <v>16071</v>
          </cell>
          <cell r="H53">
            <v>0</v>
          </cell>
        </row>
        <row r="54">
          <cell r="F54">
            <v>1692.7</v>
          </cell>
          <cell r="H54">
            <v>289.03500000000008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320581.43</v>
          </cell>
          <cell r="H56">
            <v>16591.640000000014</v>
          </cell>
        </row>
        <row r="57">
          <cell r="F57">
            <v>0</v>
          </cell>
          <cell r="H57">
            <v>0</v>
          </cell>
        </row>
        <row r="58">
          <cell r="F58">
            <v>17771.150000000001</v>
          </cell>
          <cell r="H58">
            <v>306.87900000000081</v>
          </cell>
        </row>
        <row r="59">
          <cell r="H59">
            <v>28156.686000000009</v>
          </cell>
        </row>
        <row r="60">
          <cell r="H60">
            <v>71782.726000000199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375.81</v>
          </cell>
          <cell r="H63">
            <v>77.350000000000023</v>
          </cell>
        </row>
        <row r="64">
          <cell r="F64">
            <v>77507.73</v>
          </cell>
          <cell r="H64">
            <v>1444.6429999999964</v>
          </cell>
        </row>
        <row r="65">
          <cell r="F65">
            <v>86703.73</v>
          </cell>
          <cell r="H65">
            <v>1544.4669999999896</v>
          </cell>
        </row>
        <row r="66">
          <cell r="F66">
            <v>79726.5</v>
          </cell>
          <cell r="H66">
            <v>1538.5420000000013</v>
          </cell>
        </row>
        <row r="67">
          <cell r="F67">
            <v>128562.41</v>
          </cell>
          <cell r="H67">
            <v>2505.9100000000035</v>
          </cell>
        </row>
        <row r="68">
          <cell r="F68">
            <v>34639.32</v>
          </cell>
          <cell r="H68">
            <v>1239.4510000000009</v>
          </cell>
        </row>
        <row r="69">
          <cell r="F69">
            <v>30245.71</v>
          </cell>
          <cell r="H69">
            <v>993.34499999999753</v>
          </cell>
        </row>
        <row r="72">
          <cell r="F72">
            <v>843961</v>
          </cell>
          <cell r="H72">
            <v>28</v>
          </cell>
        </row>
        <row r="73">
          <cell r="F73">
            <v>885218</v>
          </cell>
          <cell r="H73">
            <v>3</v>
          </cell>
        </row>
        <row r="74">
          <cell r="F74">
            <v>879701</v>
          </cell>
          <cell r="H74">
            <v>65</v>
          </cell>
        </row>
        <row r="75">
          <cell r="F75">
            <v>722006</v>
          </cell>
          <cell r="H75">
            <v>640</v>
          </cell>
        </row>
        <row r="76">
          <cell r="F76">
            <v>679908</v>
          </cell>
          <cell r="H76">
            <v>256</v>
          </cell>
        </row>
        <row r="77">
          <cell r="F77">
            <v>692457</v>
          </cell>
          <cell r="H77">
            <v>150</v>
          </cell>
        </row>
        <row r="78">
          <cell r="F78">
            <v>609131</v>
          </cell>
          <cell r="H78">
            <v>1117</v>
          </cell>
        </row>
        <row r="79">
          <cell r="F79">
            <v>793458</v>
          </cell>
          <cell r="H79">
            <v>670</v>
          </cell>
        </row>
        <row r="80">
          <cell r="F80">
            <v>457976</v>
          </cell>
          <cell r="H80">
            <v>1110.960000000021</v>
          </cell>
        </row>
        <row r="81">
          <cell r="F81">
            <v>611511</v>
          </cell>
          <cell r="H81">
            <v>388.71999999997206</v>
          </cell>
        </row>
        <row r="82">
          <cell r="F82">
            <v>103100</v>
          </cell>
          <cell r="H82">
            <v>70.05000000000291</v>
          </cell>
        </row>
        <row r="83">
          <cell r="F83">
            <v>953720</v>
          </cell>
          <cell r="H83">
            <v>1477</v>
          </cell>
        </row>
        <row r="84">
          <cell r="F84">
            <v>368808</v>
          </cell>
          <cell r="H84">
            <v>2375</v>
          </cell>
        </row>
        <row r="85">
          <cell r="H85">
            <v>6685.9899999999907</v>
          </cell>
        </row>
        <row r="86">
          <cell r="F86">
            <v>437464</v>
          </cell>
        </row>
        <row r="87">
          <cell r="F87">
            <v>76250</v>
          </cell>
        </row>
        <row r="88">
          <cell r="F88">
            <v>140379</v>
          </cell>
        </row>
        <row r="89">
          <cell r="F89">
            <v>54301</v>
          </cell>
        </row>
        <row r="90">
          <cell r="F90">
            <v>2801</v>
          </cell>
        </row>
        <row r="92">
          <cell r="F92">
            <v>228907</v>
          </cell>
          <cell r="H92">
            <v>312</v>
          </cell>
        </row>
        <row r="93">
          <cell r="F93">
            <v>159335</v>
          </cell>
          <cell r="H93">
            <v>812</v>
          </cell>
        </row>
        <row r="94">
          <cell r="H94">
            <v>834</v>
          </cell>
        </row>
        <row r="95">
          <cell r="F95">
            <v>400035</v>
          </cell>
          <cell r="H95">
            <v>188</v>
          </cell>
        </row>
        <row r="96">
          <cell r="F96">
            <v>98178</v>
          </cell>
          <cell r="H96">
            <v>169</v>
          </cell>
        </row>
        <row r="97">
          <cell r="F97">
            <v>93607</v>
          </cell>
          <cell r="H97">
            <v>56</v>
          </cell>
        </row>
        <row r="98">
          <cell r="F98">
            <v>141014</v>
          </cell>
          <cell r="H98">
            <v>109</v>
          </cell>
        </row>
        <row r="99">
          <cell r="F99">
            <v>4753</v>
          </cell>
          <cell r="H99">
            <v>45</v>
          </cell>
        </row>
        <row r="100">
          <cell r="F100">
            <v>3674</v>
          </cell>
          <cell r="H100">
            <v>0</v>
          </cell>
        </row>
        <row r="101">
          <cell r="H101">
            <v>567</v>
          </cell>
        </row>
        <row r="104">
          <cell r="F104">
            <v>7010</v>
          </cell>
        </row>
        <row r="105">
          <cell r="F105">
            <v>34528</v>
          </cell>
        </row>
        <row r="106">
          <cell r="F106">
            <v>18641</v>
          </cell>
        </row>
        <row r="107">
          <cell r="F107" t="str">
            <v>.</v>
          </cell>
        </row>
        <row r="109">
          <cell r="F109">
            <v>49865</v>
          </cell>
        </row>
        <row r="110">
          <cell r="F110">
            <v>24261</v>
          </cell>
        </row>
        <row r="111">
          <cell r="F111">
            <v>3221</v>
          </cell>
        </row>
        <row r="114">
          <cell r="F114">
            <v>8328</v>
          </cell>
        </row>
        <row r="115">
          <cell r="F115">
            <v>6562</v>
          </cell>
        </row>
        <row r="123">
          <cell r="F123">
            <v>783662.18</v>
          </cell>
          <cell r="H123">
            <v>737.29399999999441</v>
          </cell>
        </row>
        <row r="124">
          <cell r="F124">
            <v>73581</v>
          </cell>
          <cell r="H124">
            <v>0</v>
          </cell>
        </row>
        <row r="125">
          <cell r="F125">
            <v>131286.76999999999</v>
          </cell>
          <cell r="H125">
            <v>180.54999999998836</v>
          </cell>
        </row>
        <row r="126">
          <cell r="F126">
            <v>55682.400000000001</v>
          </cell>
          <cell r="H126">
            <v>96.599999999998545</v>
          </cell>
        </row>
        <row r="127">
          <cell r="F127">
            <v>8639</v>
          </cell>
          <cell r="H127">
            <v>0</v>
          </cell>
        </row>
        <row r="128">
          <cell r="H128">
            <v>967.00800000006711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31089</v>
          </cell>
          <cell r="H135">
            <v>95.979999999999563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69899.59</v>
          </cell>
          <cell r="H138">
            <v>17.940000000002328</v>
          </cell>
        </row>
        <row r="139">
          <cell r="F139">
            <v>794.66</v>
          </cell>
          <cell r="H139">
            <v>18.230000000000018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19742.582000000089</v>
          </cell>
        </row>
        <row r="143">
          <cell r="H143">
            <v>0.87656437761712214</v>
          </cell>
        </row>
        <row r="144">
          <cell r="H144">
            <v>16591.300000000076</v>
          </cell>
        </row>
        <row r="145">
          <cell r="H145">
            <v>0.89825990923475041</v>
          </cell>
        </row>
        <row r="146">
          <cell r="H146">
            <v>15737.20000000007</v>
          </cell>
        </row>
        <row r="147">
          <cell r="H147">
            <v>0.85311246036732857</v>
          </cell>
        </row>
        <row r="148">
          <cell r="H148">
            <v>6916.9400000000023</v>
          </cell>
        </row>
        <row r="149">
          <cell r="H149">
            <v>0.37476359497533013</v>
          </cell>
        </row>
        <row r="150">
          <cell r="H150">
            <v>6214.1499999999651</v>
          </cell>
        </row>
        <row r="151">
          <cell r="H151">
            <v>0.33591957138669681</v>
          </cell>
        </row>
        <row r="152">
          <cell r="H152">
            <v>5985.609999999986</v>
          </cell>
        </row>
        <row r="153">
          <cell r="H153">
            <v>0.32456031289990961</v>
          </cell>
        </row>
        <row r="160">
          <cell r="F160">
            <v>21869.789000000001</v>
          </cell>
        </row>
        <row r="161">
          <cell r="F161">
            <v>13973.157999999999</v>
          </cell>
        </row>
        <row r="162">
          <cell r="F162">
            <v>31173.109</v>
          </cell>
        </row>
        <row r="163">
          <cell r="F163">
            <v>3083.1990999999998</v>
          </cell>
        </row>
        <row r="164">
          <cell r="F164">
            <v>20419</v>
          </cell>
        </row>
        <row r="165">
          <cell r="F165">
            <v>375.81</v>
          </cell>
        </row>
        <row r="166">
          <cell r="F166">
            <v>77507.73</v>
          </cell>
        </row>
        <row r="167">
          <cell r="F167">
            <v>86703.73</v>
          </cell>
        </row>
        <row r="168">
          <cell r="F168">
            <v>79726.5</v>
          </cell>
        </row>
        <row r="169">
          <cell r="F169">
            <v>128562.41</v>
          </cell>
        </row>
        <row r="170">
          <cell r="F170">
            <v>34639.32</v>
          </cell>
        </row>
        <row r="171">
          <cell r="F171">
            <v>30245.71</v>
          </cell>
        </row>
      </sheetData>
      <sheetData sheetId="7">
        <row r="7">
          <cell r="F7">
            <v>2196896</v>
          </cell>
          <cell r="H7">
            <v>91871</v>
          </cell>
        </row>
        <row r="8">
          <cell r="F8">
            <v>2207663</v>
          </cell>
          <cell r="H8">
            <v>92222</v>
          </cell>
        </row>
        <row r="9">
          <cell r="F9">
            <v>2105684.9</v>
          </cell>
          <cell r="H9">
            <v>88679.59999999986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88679.809999999881</v>
          </cell>
        </row>
        <row r="15">
          <cell r="F15">
            <v>1532561.74</v>
          </cell>
          <cell r="H15">
            <v>2446.5460000000894</v>
          </cell>
        </row>
        <row r="18">
          <cell r="F18">
            <v>10</v>
          </cell>
          <cell r="H18">
            <v>540</v>
          </cell>
        </row>
        <row r="19">
          <cell r="F19">
            <v>128454</v>
          </cell>
          <cell r="H19">
            <v>259</v>
          </cell>
        </row>
        <row r="20">
          <cell r="H20">
            <v>799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876109</v>
          </cell>
        </row>
        <row r="28">
          <cell r="H28">
            <v>89298.929000003263</v>
          </cell>
        </row>
        <row r="29">
          <cell r="H29">
            <v>0</v>
          </cell>
        </row>
        <row r="30">
          <cell r="H30">
            <v>37555</v>
          </cell>
        </row>
        <row r="31">
          <cell r="H31">
            <v>43200</v>
          </cell>
        </row>
        <row r="32">
          <cell r="H32">
            <v>1046162.9290000033</v>
          </cell>
        </row>
        <row r="35">
          <cell r="F35">
            <v>616217</v>
          </cell>
          <cell r="H35">
            <v>12873.530000000028</v>
          </cell>
        </row>
        <row r="36">
          <cell r="F36">
            <v>214117.51</v>
          </cell>
          <cell r="H36">
            <v>2757.5599999999977</v>
          </cell>
        </row>
        <row r="37">
          <cell r="F37">
            <v>407330.99</v>
          </cell>
          <cell r="H37">
            <v>7486.7999999999884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891743.91</v>
          </cell>
          <cell r="H39">
            <v>19619.20000000007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570158.31000000006</v>
          </cell>
          <cell r="H43">
            <v>11834.240000000107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54570.420000000304</v>
          </cell>
        </row>
        <row r="49">
          <cell r="F49">
            <v>11728.838</v>
          </cell>
          <cell r="H49">
            <v>0</v>
          </cell>
        </row>
        <row r="50">
          <cell r="F50">
            <v>268767.84999999998</v>
          </cell>
          <cell r="H50">
            <v>4961.2799999999697</v>
          </cell>
        </row>
        <row r="51">
          <cell r="F51">
            <v>0</v>
          </cell>
          <cell r="H51">
            <v>0</v>
          </cell>
        </row>
        <row r="52">
          <cell r="F52">
            <v>327392.78999999998</v>
          </cell>
          <cell r="H52">
            <v>8728.0999999999767</v>
          </cell>
        </row>
        <row r="53">
          <cell r="F53">
            <v>16071</v>
          </cell>
          <cell r="H53">
            <v>0</v>
          </cell>
        </row>
        <row r="54">
          <cell r="F54">
            <v>1767.2130999999999</v>
          </cell>
          <cell r="H54">
            <v>363.54809999999998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324694.28999999998</v>
          </cell>
          <cell r="H56">
            <v>20704.5</v>
          </cell>
        </row>
        <row r="57">
          <cell r="F57">
            <v>0</v>
          </cell>
          <cell r="H57">
            <v>0</v>
          </cell>
        </row>
        <row r="58">
          <cell r="F58">
            <v>17806.665000000001</v>
          </cell>
          <cell r="H58">
            <v>342.39400000000023</v>
          </cell>
        </row>
        <row r="59">
          <cell r="H59">
            <v>35099.552099999957</v>
          </cell>
        </row>
        <row r="60">
          <cell r="H60">
            <v>89669.972100000276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395.38346999999999</v>
          </cell>
          <cell r="H63">
            <v>96.923470000000009</v>
          </cell>
        </row>
        <row r="64">
          <cell r="F64">
            <v>77883.743000000002</v>
          </cell>
          <cell r="H64">
            <v>1820.6560000000027</v>
          </cell>
        </row>
        <row r="65">
          <cell r="F65">
            <v>87132.438999999998</v>
          </cell>
          <cell r="H65">
            <v>1973.1759999999922</v>
          </cell>
        </row>
        <row r="66">
          <cell r="F66">
            <v>80121.767000000007</v>
          </cell>
          <cell r="H66">
            <v>1933.8090000000084</v>
          </cell>
        </row>
        <row r="67">
          <cell r="F67">
            <v>129170.88</v>
          </cell>
          <cell r="H67">
            <v>3114.3800000000047</v>
          </cell>
        </row>
        <row r="68">
          <cell r="F68">
            <v>34941.366999999998</v>
          </cell>
          <cell r="H68">
            <v>1541.4979999999996</v>
          </cell>
        </row>
        <row r="69">
          <cell r="F69">
            <v>30460.381000000001</v>
          </cell>
          <cell r="H69">
            <v>1208.0159999999996</v>
          </cell>
        </row>
        <row r="72">
          <cell r="F72">
            <v>843966</v>
          </cell>
          <cell r="H72">
            <v>33</v>
          </cell>
        </row>
        <row r="73">
          <cell r="F73">
            <v>885219</v>
          </cell>
          <cell r="H73">
            <v>4</v>
          </cell>
        </row>
        <row r="74">
          <cell r="F74">
            <v>879719</v>
          </cell>
          <cell r="H74">
            <v>83</v>
          </cell>
        </row>
        <row r="75">
          <cell r="F75">
            <v>722155</v>
          </cell>
          <cell r="H75">
            <v>789</v>
          </cell>
        </row>
        <row r="76">
          <cell r="F76">
            <v>679975</v>
          </cell>
          <cell r="H76">
            <v>323</v>
          </cell>
        </row>
        <row r="77">
          <cell r="F77">
            <v>692512</v>
          </cell>
          <cell r="H77">
            <v>205</v>
          </cell>
        </row>
        <row r="78">
          <cell r="F78">
            <v>609421</v>
          </cell>
          <cell r="H78">
            <v>1407</v>
          </cell>
        </row>
        <row r="79">
          <cell r="F79">
            <v>793601</v>
          </cell>
          <cell r="H79">
            <v>813</v>
          </cell>
        </row>
        <row r="80">
          <cell r="F80">
            <v>458275</v>
          </cell>
          <cell r="H80">
            <v>1409.960000000021</v>
          </cell>
        </row>
        <row r="81">
          <cell r="F81">
            <v>611590</v>
          </cell>
          <cell r="H81">
            <v>467.71999999997206</v>
          </cell>
        </row>
        <row r="82">
          <cell r="F82">
            <v>103123.92</v>
          </cell>
          <cell r="H82">
            <v>93.970000000001164</v>
          </cell>
        </row>
        <row r="83">
          <cell r="F83">
            <v>954096</v>
          </cell>
          <cell r="H83">
            <v>1853</v>
          </cell>
        </row>
        <row r="84">
          <cell r="F84">
            <v>369362</v>
          </cell>
          <cell r="H84">
            <v>2929</v>
          </cell>
        </row>
        <row r="85">
          <cell r="H85">
            <v>8745.9099999999889</v>
          </cell>
        </row>
        <row r="86">
          <cell r="F86">
            <v>437572</v>
          </cell>
        </row>
        <row r="87">
          <cell r="F87">
            <v>76253</v>
          </cell>
        </row>
        <row r="88">
          <cell r="F88">
            <v>140419</v>
          </cell>
        </row>
        <row r="89">
          <cell r="F89">
            <v>54353</v>
          </cell>
        </row>
        <row r="90">
          <cell r="F90">
            <v>2803</v>
          </cell>
        </row>
        <row r="92">
          <cell r="F92">
            <v>229035</v>
          </cell>
          <cell r="H92">
            <v>440</v>
          </cell>
        </row>
        <row r="93">
          <cell r="F93">
            <v>159463</v>
          </cell>
          <cell r="H93">
            <v>940</v>
          </cell>
        </row>
        <row r="94">
          <cell r="H94">
            <v>1090</v>
          </cell>
        </row>
        <row r="95">
          <cell r="F95">
            <v>400126</v>
          </cell>
          <cell r="H95">
            <v>279</v>
          </cell>
        </row>
        <row r="96">
          <cell r="F96">
            <v>98266</v>
          </cell>
          <cell r="H96">
            <v>257</v>
          </cell>
        </row>
        <row r="97">
          <cell r="F97">
            <v>93632</v>
          </cell>
          <cell r="H97">
            <v>81</v>
          </cell>
        </row>
        <row r="98">
          <cell r="F98">
            <v>141109</v>
          </cell>
          <cell r="H98">
            <v>204</v>
          </cell>
        </row>
        <row r="99">
          <cell r="F99">
            <v>4768</v>
          </cell>
          <cell r="H99">
            <v>60</v>
          </cell>
        </row>
        <row r="100">
          <cell r="F100">
            <v>3674</v>
          </cell>
          <cell r="H100">
            <v>0</v>
          </cell>
        </row>
        <row r="101">
          <cell r="H101">
            <v>881</v>
          </cell>
        </row>
        <row r="104">
          <cell r="F104">
            <v>7010</v>
          </cell>
        </row>
        <row r="105">
          <cell r="F105">
            <v>34529</v>
          </cell>
        </row>
        <row r="106">
          <cell r="F106">
            <v>18644</v>
          </cell>
        </row>
        <row r="109">
          <cell r="F109">
            <v>49940</v>
          </cell>
        </row>
        <row r="110">
          <cell r="F110">
            <v>24296</v>
          </cell>
        </row>
        <row r="111">
          <cell r="F111">
            <v>3221</v>
          </cell>
        </row>
        <row r="114">
          <cell r="F114">
            <v>8346</v>
          </cell>
        </row>
        <row r="115">
          <cell r="F115">
            <v>6571</v>
          </cell>
        </row>
        <row r="123">
          <cell r="F123">
            <v>783833.01399999997</v>
          </cell>
          <cell r="H123">
            <v>908.12799999990966</v>
          </cell>
        </row>
        <row r="124">
          <cell r="F124">
            <v>73581</v>
          </cell>
          <cell r="H124">
            <v>0</v>
          </cell>
        </row>
        <row r="125">
          <cell r="F125">
            <v>131401.31</v>
          </cell>
          <cell r="H125">
            <v>295.08999999999651</v>
          </cell>
        </row>
        <row r="126">
          <cell r="F126">
            <v>55705.1</v>
          </cell>
          <cell r="H126">
            <v>119.29999999999563</v>
          </cell>
        </row>
        <row r="127">
          <cell r="F127">
            <v>8639</v>
          </cell>
          <cell r="H127">
            <v>0</v>
          </cell>
        </row>
        <row r="128">
          <cell r="H128">
            <v>1124.0280000001876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31113</v>
          </cell>
          <cell r="H135">
            <v>119.97999999999956</v>
          </cell>
        </row>
        <row r="136">
          <cell r="F136">
            <v>21606.154999999999</v>
          </cell>
          <cell r="H136">
            <v>8.125</v>
          </cell>
        </row>
        <row r="137">
          <cell r="F137">
            <v>24902.25</v>
          </cell>
          <cell r="H137">
            <v>0</v>
          </cell>
        </row>
        <row r="138">
          <cell r="F138">
            <v>69908.34</v>
          </cell>
          <cell r="H138">
            <v>26.690000000002328</v>
          </cell>
        </row>
        <row r="139">
          <cell r="F139">
            <v>799.78</v>
          </cell>
          <cell r="H139">
            <v>23.350000000000023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24707.770000000135</v>
          </cell>
        </row>
        <row r="143">
          <cell r="H143">
            <v>1.1515374074670444</v>
          </cell>
        </row>
        <row r="144">
          <cell r="H144">
            <v>20704.090000000113</v>
          </cell>
        </row>
        <row r="145">
          <cell r="H145">
            <v>1.1260269801767695</v>
          </cell>
        </row>
        <row r="146">
          <cell r="H146">
            <v>19619.20000000007</v>
          </cell>
        </row>
        <row r="147">
          <cell r="H147">
            <v>1.0680983384201612</v>
          </cell>
        </row>
        <row r="148">
          <cell r="H148">
            <v>8728.2999999999884</v>
          </cell>
        </row>
        <row r="149">
          <cell r="H149">
            <v>0.47507704682225854</v>
          </cell>
        </row>
        <row r="150">
          <cell r="H150">
            <v>7718.8399999999674</v>
          </cell>
        </row>
        <row r="151">
          <cell r="H151">
            <v>0.41924958190893208</v>
          </cell>
        </row>
        <row r="152">
          <cell r="H152">
            <v>7486.7999999999884</v>
          </cell>
        </row>
        <row r="153">
          <cell r="H153">
            <v>0.40769649277475051</v>
          </cell>
        </row>
        <row r="160">
          <cell r="F160">
            <v>22020.422999999999</v>
          </cell>
        </row>
        <row r="161">
          <cell r="F161">
            <v>14147.539000000001</v>
          </cell>
        </row>
        <row r="162">
          <cell r="F162">
            <v>31643.850999999999</v>
          </cell>
        </row>
        <row r="163">
          <cell r="F163">
            <v>3111.78</v>
          </cell>
        </row>
        <row r="164">
          <cell r="F164">
            <v>20419</v>
          </cell>
        </row>
        <row r="165">
          <cell r="F165">
            <v>395.38346999999999</v>
          </cell>
        </row>
        <row r="166">
          <cell r="F166">
            <v>77883.743000000002</v>
          </cell>
        </row>
        <row r="167">
          <cell r="F167">
            <v>87132.438999999998</v>
          </cell>
        </row>
        <row r="168">
          <cell r="F168">
            <v>80121.767000000007</v>
          </cell>
        </row>
        <row r="169">
          <cell r="F169">
            <v>129170.88</v>
          </cell>
        </row>
        <row r="170">
          <cell r="F170">
            <v>34941.366999999998</v>
          </cell>
        </row>
        <row r="171">
          <cell r="F171">
            <v>30460.381000000001</v>
          </cell>
        </row>
      </sheetData>
      <sheetData sheetId="8">
        <row r="7">
          <cell r="F7">
            <v>2215501</v>
          </cell>
          <cell r="H7">
            <v>110476</v>
          </cell>
        </row>
        <row r="8">
          <cell r="F8">
            <v>2226361</v>
          </cell>
          <cell r="H8">
            <v>110920</v>
          </cell>
        </row>
        <row r="9">
          <cell r="F9">
            <v>2123651.2999999998</v>
          </cell>
          <cell r="H9">
            <v>106645.99999999977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106646.20999999979</v>
          </cell>
        </row>
        <row r="15">
          <cell r="F15">
            <v>1533179.2139999999</v>
          </cell>
          <cell r="H15">
            <v>3064.0200000000186</v>
          </cell>
        </row>
        <row r="18">
          <cell r="F18">
            <v>11</v>
          </cell>
          <cell r="H18">
            <v>650</v>
          </cell>
        </row>
        <row r="19">
          <cell r="F19">
            <v>128506</v>
          </cell>
          <cell r="H19">
            <v>311</v>
          </cell>
        </row>
        <row r="20">
          <cell r="H20">
            <v>961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1053740</v>
          </cell>
        </row>
        <row r="28">
          <cell r="H28">
            <v>111836.73000000068</v>
          </cell>
        </row>
        <row r="29">
          <cell r="H29">
            <v>0</v>
          </cell>
        </row>
        <row r="30">
          <cell r="H30">
            <v>45095</v>
          </cell>
        </row>
        <row r="31">
          <cell r="H31">
            <v>52000</v>
          </cell>
        </row>
        <row r="32">
          <cell r="H32">
            <v>1262671.7300000007</v>
          </cell>
        </row>
        <row r="35">
          <cell r="F35">
            <v>618698.31000000006</v>
          </cell>
          <cell r="H35">
            <v>15354.840000000084</v>
          </cell>
        </row>
        <row r="36">
          <cell r="F36">
            <v>214909.63</v>
          </cell>
          <cell r="H36">
            <v>3549.679999999993</v>
          </cell>
        </row>
        <row r="37">
          <cell r="F37">
            <v>408847.43</v>
          </cell>
          <cell r="H37">
            <v>9003.2399999999907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895612.87</v>
          </cell>
          <cell r="H39">
            <v>23488.160000000033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572565.15</v>
          </cell>
          <cell r="H43">
            <v>14241.080000000075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65636.270000000281</v>
          </cell>
        </row>
        <row r="49">
          <cell r="F49">
            <v>11728.38</v>
          </cell>
          <cell r="H49">
            <v>-0.45800000000053842</v>
          </cell>
        </row>
        <row r="50">
          <cell r="F50">
            <v>269690.23</v>
          </cell>
          <cell r="H50">
            <v>5883.6599999999744</v>
          </cell>
        </row>
        <row r="51">
          <cell r="F51">
            <v>0</v>
          </cell>
          <cell r="H51">
            <v>0</v>
          </cell>
        </row>
        <row r="52">
          <cell r="F52">
            <v>329160.19</v>
          </cell>
          <cell r="H52">
            <v>10495.5</v>
          </cell>
        </row>
        <row r="53">
          <cell r="F53">
            <v>16071</v>
          </cell>
          <cell r="H53">
            <v>0</v>
          </cell>
        </row>
        <row r="54">
          <cell r="F54">
            <v>1842.5495000000001</v>
          </cell>
          <cell r="H54">
            <v>438.88450000000012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328865.15000000002</v>
          </cell>
          <cell r="H56">
            <v>24875.360000000044</v>
          </cell>
        </row>
        <row r="57">
          <cell r="F57">
            <v>0</v>
          </cell>
          <cell r="H57">
            <v>0</v>
          </cell>
        </row>
        <row r="58">
          <cell r="F58">
            <v>17990.683000000001</v>
          </cell>
          <cell r="H58">
            <v>526.41200000000026</v>
          </cell>
        </row>
        <row r="59">
          <cell r="H59">
            <v>42219.088500000027</v>
          </cell>
        </row>
        <row r="60">
          <cell r="H60">
            <v>107855.35850000032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414.94</v>
          </cell>
          <cell r="H63">
            <v>116.48000000000002</v>
          </cell>
        </row>
        <row r="64">
          <cell r="F64">
            <v>78247.510999999999</v>
          </cell>
          <cell r="H64">
            <v>2184.4239999999991</v>
          </cell>
        </row>
        <row r="65">
          <cell r="F65">
            <v>87506.175000000003</v>
          </cell>
          <cell r="H65">
            <v>2346.9119999999966</v>
          </cell>
        </row>
        <row r="66">
          <cell r="F66">
            <v>80504.095000000001</v>
          </cell>
          <cell r="H66">
            <v>2316.1370000000024</v>
          </cell>
        </row>
        <row r="67">
          <cell r="F67">
            <v>129809.24</v>
          </cell>
          <cell r="H67">
            <v>3752.7400000000052</v>
          </cell>
        </row>
        <row r="68">
          <cell r="F68">
            <v>35253.822999999997</v>
          </cell>
          <cell r="H68">
            <v>1853.9539999999979</v>
          </cell>
        </row>
        <row r="69">
          <cell r="F69">
            <v>30670.811000000002</v>
          </cell>
          <cell r="H69">
            <v>1418.4459999999999</v>
          </cell>
        </row>
        <row r="72">
          <cell r="F72">
            <v>843974</v>
          </cell>
          <cell r="H72">
            <v>41</v>
          </cell>
        </row>
        <row r="73">
          <cell r="F73">
            <v>885220</v>
          </cell>
          <cell r="H73">
            <v>5</v>
          </cell>
        </row>
        <row r="74">
          <cell r="F74">
            <v>879736</v>
          </cell>
          <cell r="H74">
            <v>100</v>
          </cell>
        </row>
        <row r="75">
          <cell r="F75">
            <v>722305</v>
          </cell>
          <cell r="H75">
            <v>939</v>
          </cell>
        </row>
        <row r="76">
          <cell r="F76">
            <v>680050</v>
          </cell>
          <cell r="H76">
            <v>398</v>
          </cell>
        </row>
        <row r="77">
          <cell r="F77">
            <v>692554</v>
          </cell>
          <cell r="H77">
            <v>247</v>
          </cell>
        </row>
        <row r="78">
          <cell r="F78">
            <v>609738</v>
          </cell>
          <cell r="H78">
            <v>1724</v>
          </cell>
        </row>
        <row r="79">
          <cell r="F79">
            <v>793765</v>
          </cell>
          <cell r="H79">
            <v>977</v>
          </cell>
        </row>
        <row r="80">
          <cell r="F80">
            <v>458541.16</v>
          </cell>
          <cell r="H80">
            <v>1676.1199999999953</v>
          </cell>
        </row>
        <row r="81">
          <cell r="F81">
            <v>611708.64</v>
          </cell>
          <cell r="H81">
            <v>586.35999999998603</v>
          </cell>
        </row>
        <row r="82">
          <cell r="F82">
            <v>103129.03</v>
          </cell>
          <cell r="H82">
            <v>99.080000000001746</v>
          </cell>
        </row>
        <row r="83">
          <cell r="F83">
            <v>954485</v>
          </cell>
          <cell r="H83">
            <v>2242</v>
          </cell>
        </row>
        <row r="84">
          <cell r="F84">
            <v>369978</v>
          </cell>
          <cell r="H84">
            <v>3545</v>
          </cell>
        </row>
        <row r="85">
          <cell r="H85">
            <v>10914.819999999978</v>
          </cell>
        </row>
        <row r="86">
          <cell r="F86">
            <v>437690.04</v>
          </cell>
        </row>
        <row r="87">
          <cell r="F87">
            <v>76260</v>
          </cell>
        </row>
        <row r="88">
          <cell r="F88">
            <v>140491.20000000001</v>
          </cell>
        </row>
        <row r="89">
          <cell r="F89">
            <v>54425</v>
          </cell>
        </row>
        <row r="90">
          <cell r="F90">
            <v>2808.7</v>
          </cell>
        </row>
        <row r="92">
          <cell r="F92">
            <v>229140</v>
          </cell>
          <cell r="H92">
            <v>545</v>
          </cell>
        </row>
        <row r="93">
          <cell r="F93">
            <v>159626</v>
          </cell>
          <cell r="H93">
            <v>1103</v>
          </cell>
        </row>
        <row r="94">
          <cell r="H94">
            <v>1358</v>
          </cell>
        </row>
        <row r="95">
          <cell r="F95">
            <v>400198</v>
          </cell>
          <cell r="H95">
            <v>351</v>
          </cell>
        </row>
        <row r="96">
          <cell r="F96">
            <v>98310</v>
          </cell>
          <cell r="H96">
            <v>301</v>
          </cell>
        </row>
        <row r="97">
          <cell r="F97">
            <v>93701</v>
          </cell>
          <cell r="H97">
            <v>150</v>
          </cell>
        </row>
        <row r="98">
          <cell r="F98">
            <v>141149</v>
          </cell>
          <cell r="H98">
            <v>244</v>
          </cell>
        </row>
        <row r="99">
          <cell r="F99">
            <v>4773</v>
          </cell>
          <cell r="H99">
            <v>65</v>
          </cell>
        </row>
        <row r="100">
          <cell r="F100">
            <v>3674</v>
          </cell>
          <cell r="H100">
            <v>0</v>
          </cell>
        </row>
        <row r="101">
          <cell r="H101">
            <v>1111</v>
          </cell>
        </row>
        <row r="105">
          <cell r="F105">
            <v>34546</v>
          </cell>
        </row>
        <row r="106">
          <cell r="F106">
            <v>18649</v>
          </cell>
        </row>
        <row r="109">
          <cell r="F109">
            <v>50072</v>
          </cell>
        </row>
        <row r="110">
          <cell r="F110">
            <v>24339</v>
          </cell>
        </row>
        <row r="111">
          <cell r="F111">
            <v>3228</v>
          </cell>
        </row>
        <row r="114">
          <cell r="F114">
            <v>8353</v>
          </cell>
        </row>
        <row r="115">
          <cell r="F115">
            <v>6576</v>
          </cell>
        </row>
        <row r="123">
          <cell r="F123">
            <v>784001.72</v>
          </cell>
          <cell r="H123">
            <v>1076.8339999999152</v>
          </cell>
        </row>
        <row r="124">
          <cell r="F124">
            <v>73581</v>
          </cell>
          <cell r="H124">
            <v>0</v>
          </cell>
        </row>
        <row r="125">
          <cell r="F125">
            <v>131461.70000000001</v>
          </cell>
          <cell r="H125">
            <v>355.48000000001048</v>
          </cell>
        </row>
        <row r="126">
          <cell r="F126">
            <v>55722.7</v>
          </cell>
          <cell r="H126">
            <v>136.89999999999418</v>
          </cell>
        </row>
        <row r="127">
          <cell r="F127">
            <v>8639</v>
          </cell>
          <cell r="H127">
            <v>0</v>
          </cell>
        </row>
        <row r="128">
          <cell r="H128">
            <v>1494.8060000000987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31137</v>
          </cell>
          <cell r="H135">
            <v>143.97999999999956</v>
          </cell>
        </row>
        <row r="136">
          <cell r="F136">
            <v>21613.08</v>
          </cell>
          <cell r="H136">
            <v>15.05000000000291</v>
          </cell>
        </row>
        <row r="137">
          <cell r="F137">
            <v>24902.25</v>
          </cell>
          <cell r="H137">
            <v>0</v>
          </cell>
        </row>
        <row r="138">
          <cell r="F138">
            <v>69908.34</v>
          </cell>
          <cell r="H138">
            <v>26.690000000002328</v>
          </cell>
        </row>
        <row r="139">
          <cell r="F139">
            <v>804.76</v>
          </cell>
          <cell r="H139">
            <v>28.330000000000041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29595.46200000016</v>
          </cell>
        </row>
        <row r="143">
          <cell r="H143">
            <v>1.4142459266823102</v>
          </cell>
        </row>
        <row r="144">
          <cell r="H144">
            <v>24874.950000000157</v>
          </cell>
        </row>
        <row r="145">
          <cell r="H145">
            <v>1.3502065018107412</v>
          </cell>
        </row>
        <row r="146">
          <cell r="H146">
            <v>23488.160000000033</v>
          </cell>
        </row>
        <row r="147">
          <cell r="H147">
            <v>1.2760510393070175</v>
          </cell>
        </row>
        <row r="148">
          <cell r="H148">
            <v>10495.880000000005</v>
          </cell>
        </row>
        <row r="149">
          <cell r="H149">
            <v>0.57008269046644111</v>
          </cell>
        </row>
        <row r="150">
          <cell r="H150">
            <v>9433.3399999999674</v>
          </cell>
        </row>
        <row r="151">
          <cell r="H151">
            <v>0.51140222904679822</v>
          </cell>
        </row>
        <row r="152">
          <cell r="H152">
            <v>9003.2399999999907</v>
          </cell>
        </row>
        <row r="153">
          <cell r="H153">
            <v>0.48920361451621797</v>
          </cell>
        </row>
        <row r="160">
          <cell r="F160">
            <v>22096.091</v>
          </cell>
        </row>
        <row r="161">
          <cell r="F161">
            <v>14235.672</v>
          </cell>
        </row>
        <row r="162">
          <cell r="F162">
            <v>31875.190999999999</v>
          </cell>
        </row>
        <row r="163">
          <cell r="F163">
            <v>3120.5311000000002</v>
          </cell>
        </row>
        <row r="164">
          <cell r="F164">
            <v>20419</v>
          </cell>
        </row>
        <row r="165">
          <cell r="F165">
            <v>414.94</v>
          </cell>
        </row>
        <row r="166">
          <cell r="F166">
            <v>78247.510999999999</v>
          </cell>
        </row>
        <row r="167">
          <cell r="F167">
            <v>87506.175000000003</v>
          </cell>
        </row>
        <row r="168">
          <cell r="F168">
            <v>80504.095000000001</v>
          </cell>
        </row>
        <row r="169">
          <cell r="F169">
            <v>129809.24</v>
          </cell>
        </row>
        <row r="170">
          <cell r="F170">
            <v>35253.822999999997</v>
          </cell>
        </row>
        <row r="171">
          <cell r="F171">
            <v>30670.811000000002</v>
          </cell>
        </row>
      </sheetData>
      <sheetData sheetId="9">
        <row r="7">
          <cell r="F7">
            <v>2234013</v>
          </cell>
          <cell r="H7">
            <v>128988</v>
          </cell>
        </row>
        <row r="8">
          <cell r="F8">
            <v>2244938</v>
          </cell>
          <cell r="H8">
            <v>129497</v>
          </cell>
        </row>
        <row r="9">
          <cell r="F9">
            <v>2141511.2999999998</v>
          </cell>
          <cell r="H9">
            <v>124505.99999999977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124506.20999999979</v>
          </cell>
        </row>
        <row r="15">
          <cell r="F15">
            <v>1533706.5819999999</v>
          </cell>
          <cell r="H15">
            <v>3591.3880000000354</v>
          </cell>
        </row>
        <row r="18">
          <cell r="F18">
            <v>11</v>
          </cell>
          <cell r="H18">
            <v>760</v>
          </cell>
        </row>
        <row r="19">
          <cell r="F19">
            <v>128551</v>
          </cell>
          <cell r="H19">
            <v>356</v>
          </cell>
        </row>
        <row r="20">
          <cell r="H20">
            <v>1116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1230221.5</v>
          </cell>
        </row>
        <row r="28">
          <cell r="H28">
            <v>131085.66200000129</v>
          </cell>
        </row>
        <row r="29">
          <cell r="H29">
            <v>0</v>
          </cell>
        </row>
        <row r="30">
          <cell r="H30">
            <v>51620</v>
          </cell>
        </row>
        <row r="31">
          <cell r="H31">
            <v>60800</v>
          </cell>
        </row>
        <row r="32">
          <cell r="H32">
            <v>1473727.1620000014</v>
          </cell>
        </row>
        <row r="35">
          <cell r="F35">
            <v>621195.67000000004</v>
          </cell>
          <cell r="H35">
            <v>17852.20000000007</v>
          </cell>
        </row>
        <row r="36">
          <cell r="F36">
            <v>215532.85</v>
          </cell>
          <cell r="H36">
            <v>4172.8999999999942</v>
          </cell>
        </row>
        <row r="37">
          <cell r="F37">
            <v>410385.19</v>
          </cell>
          <cell r="H37">
            <v>10541</v>
          </cell>
        </row>
        <row r="38">
          <cell r="F38">
            <v>150714</v>
          </cell>
          <cell r="H38">
            <v>0</v>
          </cell>
        </row>
        <row r="39">
          <cell r="F39">
            <v>899625.43</v>
          </cell>
          <cell r="H39">
            <v>27500.720000000088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574902.63</v>
          </cell>
          <cell r="H43">
            <v>16578.560000000056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76644.27000000031</v>
          </cell>
        </row>
        <row r="49">
          <cell r="F49">
            <v>11728.38</v>
          </cell>
          <cell r="H49">
            <v>-0.45800000000053842</v>
          </cell>
        </row>
        <row r="50">
          <cell r="F50">
            <v>270636.57</v>
          </cell>
          <cell r="H50">
            <v>6830</v>
          </cell>
        </row>
        <row r="51">
          <cell r="F51">
            <v>0</v>
          </cell>
          <cell r="H51">
            <v>0</v>
          </cell>
        </row>
        <row r="52">
          <cell r="F52">
            <v>330862.53000000003</v>
          </cell>
          <cell r="H52">
            <v>12197.840000000026</v>
          </cell>
        </row>
        <row r="53">
          <cell r="F53">
            <v>16071</v>
          </cell>
          <cell r="H53">
            <v>0</v>
          </cell>
        </row>
        <row r="54">
          <cell r="F54">
            <v>1915.2147</v>
          </cell>
          <cell r="H54">
            <v>511.54970000000003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333140.39</v>
          </cell>
          <cell r="H56">
            <v>29150.600000000035</v>
          </cell>
        </row>
        <row r="57">
          <cell r="F57">
            <v>0</v>
          </cell>
          <cell r="H57">
            <v>0</v>
          </cell>
        </row>
        <row r="58">
          <cell r="F58">
            <v>18035.512999999999</v>
          </cell>
          <cell r="H58">
            <v>571.24199999999837</v>
          </cell>
        </row>
        <row r="59">
          <cell r="H59">
            <v>49260.503700000067</v>
          </cell>
        </row>
        <row r="60">
          <cell r="H60">
            <v>125904.7737000004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433.43</v>
          </cell>
          <cell r="H63">
            <v>134.97000000000003</v>
          </cell>
        </row>
        <row r="64">
          <cell r="F64">
            <v>78597.407000000007</v>
          </cell>
          <cell r="H64">
            <v>2534.320000000007</v>
          </cell>
        </row>
        <row r="65">
          <cell r="F65">
            <v>87898.743000000002</v>
          </cell>
          <cell r="H65">
            <v>2739.4799999999959</v>
          </cell>
        </row>
        <row r="66">
          <cell r="F66">
            <v>80882.663</v>
          </cell>
          <cell r="H66">
            <v>2694.7050000000017</v>
          </cell>
        </row>
        <row r="67">
          <cell r="F67">
            <v>130507.66</v>
          </cell>
          <cell r="H67">
            <v>4451.1600000000035</v>
          </cell>
        </row>
        <row r="68">
          <cell r="F68">
            <v>35579.347000000002</v>
          </cell>
          <cell r="H68">
            <v>2179.4780000000028</v>
          </cell>
        </row>
        <row r="69">
          <cell r="F69">
            <v>30948.825000000001</v>
          </cell>
          <cell r="H69">
            <v>1696.4599999999991</v>
          </cell>
        </row>
        <row r="72">
          <cell r="F72">
            <v>843984</v>
          </cell>
          <cell r="H72">
            <v>51</v>
          </cell>
        </row>
        <row r="73">
          <cell r="F73">
            <v>885221</v>
          </cell>
          <cell r="H73">
            <v>6</v>
          </cell>
        </row>
        <row r="74">
          <cell r="F74">
            <v>879751</v>
          </cell>
          <cell r="H74">
            <v>115</v>
          </cell>
        </row>
        <row r="75">
          <cell r="F75">
            <v>722462</v>
          </cell>
          <cell r="H75">
            <v>1096</v>
          </cell>
        </row>
        <row r="76">
          <cell r="F76">
            <v>680111</v>
          </cell>
          <cell r="H76">
            <v>459</v>
          </cell>
        </row>
        <row r="77">
          <cell r="F77">
            <v>692599</v>
          </cell>
          <cell r="H77">
            <v>292</v>
          </cell>
        </row>
        <row r="78">
          <cell r="F78">
            <v>610102</v>
          </cell>
          <cell r="H78">
            <v>2088</v>
          </cell>
        </row>
        <row r="79">
          <cell r="F79">
            <v>793911</v>
          </cell>
          <cell r="H79">
            <v>1123</v>
          </cell>
        </row>
        <row r="80">
          <cell r="F80">
            <v>458828.28</v>
          </cell>
          <cell r="H80">
            <v>1963.2400000000489</v>
          </cell>
        </row>
        <row r="81">
          <cell r="F81">
            <v>611823.31999999995</v>
          </cell>
          <cell r="H81">
            <v>701.03999999992084</v>
          </cell>
        </row>
        <row r="82">
          <cell r="F82">
            <v>103165.17</v>
          </cell>
          <cell r="H82">
            <v>135.22000000000116</v>
          </cell>
        </row>
        <row r="83">
          <cell r="F83">
            <v>954817</v>
          </cell>
          <cell r="H83">
            <v>2574</v>
          </cell>
        </row>
        <row r="84">
          <cell r="F84">
            <v>370402</v>
          </cell>
          <cell r="H84">
            <v>3969</v>
          </cell>
        </row>
        <row r="85">
          <cell r="H85">
            <v>12907.759999999966</v>
          </cell>
        </row>
        <row r="86">
          <cell r="F86">
            <v>437840.44</v>
          </cell>
        </row>
        <row r="87">
          <cell r="F87">
            <v>76277.399999999994</v>
          </cell>
        </row>
        <row r="88">
          <cell r="F88">
            <v>140516.85999999999</v>
          </cell>
        </row>
        <row r="89">
          <cell r="F89">
            <v>54474.2</v>
          </cell>
        </row>
        <row r="90">
          <cell r="F90">
            <v>2811.1</v>
          </cell>
        </row>
        <row r="92">
          <cell r="F92">
            <v>229227</v>
          </cell>
          <cell r="H92">
            <v>632</v>
          </cell>
        </row>
        <row r="93">
          <cell r="F93">
            <v>159761</v>
          </cell>
          <cell r="H93">
            <v>1238</v>
          </cell>
        </row>
        <row r="94">
          <cell r="H94">
            <v>1580</v>
          </cell>
        </row>
        <row r="95">
          <cell r="F95">
            <v>400243</v>
          </cell>
          <cell r="H95">
            <v>396</v>
          </cell>
        </row>
        <row r="96">
          <cell r="F96">
            <v>98354</v>
          </cell>
          <cell r="H96">
            <v>345</v>
          </cell>
        </row>
        <row r="97">
          <cell r="F97">
            <v>93720</v>
          </cell>
          <cell r="H97">
            <v>169</v>
          </cell>
        </row>
        <row r="98">
          <cell r="F98">
            <v>141174</v>
          </cell>
          <cell r="H98">
            <v>269</v>
          </cell>
        </row>
        <row r="99">
          <cell r="F99">
            <v>4780</v>
          </cell>
          <cell r="H99">
            <v>72</v>
          </cell>
        </row>
        <row r="100">
          <cell r="F100">
            <v>3674</v>
          </cell>
          <cell r="H100">
            <v>0</v>
          </cell>
        </row>
        <row r="101">
          <cell r="H101">
            <v>1251</v>
          </cell>
        </row>
        <row r="104">
          <cell r="F104">
            <v>7010</v>
          </cell>
        </row>
        <row r="105">
          <cell r="F105">
            <v>34546</v>
          </cell>
        </row>
        <row r="106">
          <cell r="F106">
            <v>18653</v>
          </cell>
        </row>
        <row r="109">
          <cell r="F109">
            <v>50111</v>
          </cell>
        </row>
        <row r="110">
          <cell r="F110">
            <v>24373</v>
          </cell>
        </row>
        <row r="111">
          <cell r="F111">
            <v>3228</v>
          </cell>
        </row>
        <row r="114">
          <cell r="F114">
            <v>8361</v>
          </cell>
        </row>
        <row r="115">
          <cell r="F115">
            <v>6581</v>
          </cell>
        </row>
        <row r="123">
          <cell r="F123">
            <v>784193.69</v>
          </cell>
          <cell r="H123">
            <v>1268.8039999998873</v>
          </cell>
        </row>
        <row r="124">
          <cell r="F124">
            <v>73581</v>
          </cell>
          <cell r="H124">
            <v>0</v>
          </cell>
        </row>
        <row r="125">
          <cell r="F125">
            <v>131537.26999999999</v>
          </cell>
          <cell r="H125">
            <v>431.04999999998836</v>
          </cell>
        </row>
        <row r="126">
          <cell r="F126">
            <v>55749.9</v>
          </cell>
          <cell r="H126">
            <v>164.09999999999854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31161.47</v>
          </cell>
          <cell r="H135">
            <v>168.45000000000073</v>
          </cell>
        </row>
        <row r="136">
          <cell r="F136">
            <v>21613.08</v>
          </cell>
          <cell r="H136">
            <v>15.05000000000291</v>
          </cell>
        </row>
        <row r="137">
          <cell r="F137">
            <v>24902</v>
          </cell>
          <cell r="H137">
            <v>-0.25</v>
          </cell>
        </row>
        <row r="138">
          <cell r="F138">
            <v>69917.56</v>
          </cell>
          <cell r="H138">
            <v>35.910000000003492</v>
          </cell>
        </row>
        <row r="139">
          <cell r="F139">
            <v>810.24</v>
          </cell>
          <cell r="H139">
            <v>33.810000000000059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34430.302000000127</v>
          </cell>
        </row>
        <row r="143">
          <cell r="H143">
            <v>1.6754192196814441</v>
          </cell>
        </row>
        <row r="144">
          <cell r="H144">
            <v>29150.190000000148</v>
          </cell>
        </row>
        <row r="145">
          <cell r="H145">
            <v>1.5811507541875773</v>
          </cell>
        </row>
        <row r="146">
          <cell r="H146">
            <v>27500.720000000088</v>
          </cell>
        </row>
        <row r="147">
          <cell r="H147">
            <v>1.4928055769042547</v>
          </cell>
        </row>
        <row r="148">
          <cell r="H148">
            <v>12197.840000000026</v>
          </cell>
        </row>
        <row r="149">
          <cell r="H149">
            <v>0.66202089271363329</v>
          </cell>
        </row>
        <row r="150">
          <cell r="H150">
            <v>11002.899999999994</v>
          </cell>
        </row>
        <row r="151">
          <cell r="H151">
            <v>0.5961883137486147</v>
          </cell>
        </row>
        <row r="152">
          <cell r="H152">
            <v>10541</v>
          </cell>
        </row>
        <row r="153">
          <cell r="H153">
            <v>0.57227189455079064</v>
          </cell>
        </row>
        <row r="160">
          <cell r="F160">
            <v>22168.638999999999</v>
          </cell>
        </row>
        <row r="161">
          <cell r="F161">
            <v>14324.466</v>
          </cell>
        </row>
        <row r="162">
          <cell r="F162">
            <v>32090.566999999999</v>
          </cell>
        </row>
        <row r="163">
          <cell r="F163">
            <v>3132.6293000000001</v>
          </cell>
        </row>
        <row r="164">
          <cell r="F164">
            <v>20419</v>
          </cell>
        </row>
        <row r="165">
          <cell r="F165">
            <v>433.43</v>
          </cell>
        </row>
        <row r="166">
          <cell r="F166">
            <v>78597.407000000007</v>
          </cell>
        </row>
        <row r="167">
          <cell r="F167">
            <v>87898.743000000002</v>
          </cell>
        </row>
        <row r="168">
          <cell r="F168">
            <v>80882.663</v>
          </cell>
        </row>
        <row r="169">
          <cell r="F169">
            <v>130507.66</v>
          </cell>
        </row>
        <row r="170">
          <cell r="F170">
            <v>35579.347000000002</v>
          </cell>
        </row>
        <row r="171">
          <cell r="F171">
            <v>30948.825000000001</v>
          </cell>
        </row>
      </sheetData>
      <sheetData sheetId="10"/>
      <sheetData sheetId="11">
        <row r="7">
          <cell r="F7">
            <v>2253595</v>
          </cell>
          <cell r="H7">
            <v>148570</v>
          </cell>
        </row>
        <row r="8">
          <cell r="F8">
            <v>2264584</v>
          </cell>
          <cell r="H8">
            <v>149143</v>
          </cell>
        </row>
        <row r="9">
          <cell r="F9">
            <v>2160415</v>
          </cell>
          <cell r="H9">
            <v>143409.69999999995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143409.90999999997</v>
          </cell>
        </row>
        <row r="15">
          <cell r="F15">
            <v>1534085.621</v>
          </cell>
          <cell r="H15">
            <v>3970.4270000001416</v>
          </cell>
        </row>
        <row r="18">
          <cell r="F18">
            <v>10</v>
          </cell>
          <cell r="H18">
            <v>860</v>
          </cell>
        </row>
        <row r="19">
          <cell r="F19">
            <v>128604</v>
          </cell>
          <cell r="H19">
            <v>409</v>
          </cell>
        </row>
        <row r="20">
          <cell r="H20">
            <v>1269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1416858.5</v>
          </cell>
        </row>
        <row r="28">
          <cell r="H28">
            <v>144920.58550000517</v>
          </cell>
        </row>
        <row r="29">
          <cell r="H29">
            <v>0</v>
          </cell>
        </row>
        <row r="30">
          <cell r="H30">
            <v>59305</v>
          </cell>
        </row>
        <row r="31">
          <cell r="H31">
            <v>68800</v>
          </cell>
        </row>
        <row r="32">
          <cell r="H32">
            <v>1689884.0855000052</v>
          </cell>
        </row>
        <row r="35">
          <cell r="F35">
            <v>623871.51</v>
          </cell>
          <cell r="H35">
            <v>20528.040000000037</v>
          </cell>
        </row>
        <row r="36">
          <cell r="F36">
            <v>216310.17</v>
          </cell>
          <cell r="H36">
            <v>4950.2200000000012</v>
          </cell>
        </row>
        <row r="37">
          <cell r="F37">
            <v>411959.71</v>
          </cell>
          <cell r="H37">
            <v>12115.520000000019</v>
          </cell>
        </row>
        <row r="38">
          <cell r="F38">
            <v>150714</v>
          </cell>
          <cell r="H38">
            <v>0</v>
          </cell>
        </row>
        <row r="39">
          <cell r="F39">
            <v>903756.15</v>
          </cell>
          <cell r="H39">
            <v>31631.440000000061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577328.15</v>
          </cell>
          <cell r="H43">
            <v>19004.080000000075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88228.190000000293</v>
          </cell>
        </row>
        <row r="49">
          <cell r="F49">
            <v>11728.38</v>
          </cell>
          <cell r="H49">
            <v>-0.45800000000053842</v>
          </cell>
        </row>
        <row r="50">
          <cell r="F50">
            <v>271683.63</v>
          </cell>
          <cell r="H50">
            <v>7877.0599999999977</v>
          </cell>
        </row>
        <row r="51">
          <cell r="F51">
            <v>0</v>
          </cell>
          <cell r="H51">
            <v>0</v>
          </cell>
        </row>
        <row r="52">
          <cell r="F52">
            <v>332616.27</v>
          </cell>
          <cell r="H52">
            <v>13951.580000000016</v>
          </cell>
        </row>
        <row r="53">
          <cell r="F53">
            <v>16071</v>
          </cell>
          <cell r="H53">
            <v>0</v>
          </cell>
        </row>
        <row r="54">
          <cell r="F54">
            <v>1990.1043</v>
          </cell>
          <cell r="H54">
            <v>586.4393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337777.31</v>
          </cell>
          <cell r="H56">
            <v>33787.520000000019</v>
          </cell>
        </row>
        <row r="57">
          <cell r="F57">
            <v>0</v>
          </cell>
          <cell r="H57">
            <v>0</v>
          </cell>
        </row>
        <row r="58">
          <cell r="F58">
            <v>18042.974999999999</v>
          </cell>
          <cell r="H58">
            <v>578.7039999999979</v>
          </cell>
        </row>
        <row r="59">
          <cell r="H59">
            <v>56780.57530000004</v>
          </cell>
        </row>
        <row r="60">
          <cell r="H60">
            <v>145008.76530000035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453.19600000000003</v>
          </cell>
          <cell r="H63">
            <v>154.73600000000005</v>
          </cell>
        </row>
        <row r="64">
          <cell r="F64">
            <v>78958.794999999998</v>
          </cell>
          <cell r="H64">
            <v>2895.7079999999987</v>
          </cell>
        </row>
        <row r="65">
          <cell r="F65">
            <v>88304.078999999998</v>
          </cell>
          <cell r="H65">
            <v>3144.8159999999916</v>
          </cell>
        </row>
        <row r="66">
          <cell r="F66">
            <v>81281.934999999998</v>
          </cell>
          <cell r="H66">
            <v>3093.976999999999</v>
          </cell>
        </row>
        <row r="67">
          <cell r="F67">
            <v>131208.91</v>
          </cell>
          <cell r="H67">
            <v>5152.4100000000035</v>
          </cell>
        </row>
        <row r="68">
          <cell r="F68">
            <v>35919.747000000003</v>
          </cell>
          <cell r="H68">
            <v>2519.8780000000042</v>
          </cell>
        </row>
        <row r="69">
          <cell r="F69">
            <v>31252.830999999998</v>
          </cell>
          <cell r="H69">
            <v>2000.4659999999967</v>
          </cell>
        </row>
        <row r="72">
          <cell r="F72">
            <v>843993</v>
          </cell>
          <cell r="H72">
            <v>60</v>
          </cell>
        </row>
        <row r="73">
          <cell r="F73">
            <v>885222</v>
          </cell>
          <cell r="H73">
            <v>7</v>
          </cell>
        </row>
        <row r="74">
          <cell r="F74">
            <v>879767</v>
          </cell>
          <cell r="H74">
            <v>131</v>
          </cell>
        </row>
        <row r="75">
          <cell r="F75">
            <v>722624</v>
          </cell>
          <cell r="H75">
            <v>1258</v>
          </cell>
        </row>
        <row r="76">
          <cell r="F76">
            <v>680181</v>
          </cell>
          <cell r="G76">
            <v>70</v>
          </cell>
          <cell r="H76">
            <v>529</v>
          </cell>
        </row>
        <row r="77">
          <cell r="F77">
            <v>692648</v>
          </cell>
          <cell r="G77">
            <v>49</v>
          </cell>
          <cell r="H77">
            <v>341</v>
          </cell>
        </row>
        <row r="78">
          <cell r="F78">
            <v>610475</v>
          </cell>
          <cell r="G78">
            <v>373</v>
          </cell>
          <cell r="H78">
            <v>2461</v>
          </cell>
        </row>
        <row r="79">
          <cell r="F79">
            <v>794060</v>
          </cell>
          <cell r="G79">
            <v>149</v>
          </cell>
          <cell r="H79">
            <v>1272</v>
          </cell>
        </row>
        <row r="80">
          <cell r="F80">
            <v>459125.04</v>
          </cell>
          <cell r="H80">
            <v>2260</v>
          </cell>
        </row>
        <row r="81">
          <cell r="F81">
            <v>611916.12</v>
          </cell>
          <cell r="G81">
            <v>92.800000000046566</v>
          </cell>
          <cell r="H81">
            <v>793.8399999999674</v>
          </cell>
        </row>
        <row r="82">
          <cell r="F82">
            <v>103169.84</v>
          </cell>
          <cell r="G82">
            <v>4.6699999999982538</v>
          </cell>
          <cell r="H82">
            <v>139.88999999999942</v>
          </cell>
        </row>
        <row r="83">
          <cell r="F83">
            <v>955153</v>
          </cell>
          <cell r="G83">
            <v>336</v>
          </cell>
          <cell r="H83">
            <v>2910</v>
          </cell>
        </row>
        <row r="84">
          <cell r="F84">
            <v>370813</v>
          </cell>
          <cell r="G84">
            <v>411</v>
          </cell>
          <cell r="H84">
            <v>4380</v>
          </cell>
        </row>
        <row r="85">
          <cell r="H85">
            <v>14877.989999999962</v>
          </cell>
        </row>
        <row r="86">
          <cell r="F86">
            <v>437983.32</v>
          </cell>
        </row>
        <row r="87">
          <cell r="F87">
            <v>76288.2</v>
          </cell>
        </row>
        <row r="88">
          <cell r="F88">
            <v>140582.60999999999</v>
          </cell>
        </row>
        <row r="89">
          <cell r="F89">
            <v>54526.6</v>
          </cell>
        </row>
        <row r="90">
          <cell r="F90">
            <v>2813.71</v>
          </cell>
        </row>
        <row r="92">
          <cell r="F92">
            <v>229307</v>
          </cell>
          <cell r="G92">
            <v>80</v>
          </cell>
          <cell r="H92">
            <v>712</v>
          </cell>
        </row>
        <row r="93">
          <cell r="F93">
            <v>159904</v>
          </cell>
          <cell r="G93">
            <v>143</v>
          </cell>
          <cell r="H93">
            <v>1381</v>
          </cell>
        </row>
        <row r="94">
          <cell r="G94">
            <v>223</v>
          </cell>
          <cell r="H94">
            <v>1803</v>
          </cell>
        </row>
        <row r="95">
          <cell r="F95">
            <v>400284</v>
          </cell>
          <cell r="G95">
            <v>41</v>
          </cell>
          <cell r="H95">
            <v>437</v>
          </cell>
        </row>
        <row r="96">
          <cell r="F96">
            <v>98404</v>
          </cell>
          <cell r="G96">
            <v>50</v>
          </cell>
          <cell r="H96">
            <v>395</v>
          </cell>
        </row>
        <row r="97">
          <cell r="F97">
            <v>93761</v>
          </cell>
          <cell r="G97">
            <v>41</v>
          </cell>
          <cell r="H97">
            <v>210</v>
          </cell>
        </row>
        <row r="98">
          <cell r="F98">
            <v>141215</v>
          </cell>
          <cell r="H98">
            <v>310</v>
          </cell>
        </row>
        <row r="99">
          <cell r="F99">
            <v>4788</v>
          </cell>
          <cell r="H99">
            <v>80</v>
          </cell>
        </row>
        <row r="100">
          <cell r="F100">
            <v>3674</v>
          </cell>
          <cell r="H100">
            <v>0</v>
          </cell>
        </row>
        <row r="101">
          <cell r="H101">
            <v>1432</v>
          </cell>
        </row>
        <row r="104">
          <cell r="F104">
            <v>7010</v>
          </cell>
        </row>
        <row r="105">
          <cell r="F105">
            <v>34546</v>
          </cell>
        </row>
        <row r="106">
          <cell r="F106">
            <v>18653</v>
          </cell>
        </row>
        <row r="109">
          <cell r="F109">
            <v>50171</v>
          </cell>
        </row>
        <row r="110">
          <cell r="F110">
            <v>24417</v>
          </cell>
        </row>
        <row r="111">
          <cell r="F111">
            <v>3228</v>
          </cell>
        </row>
        <row r="114">
          <cell r="F114">
            <v>8372</v>
          </cell>
        </row>
        <row r="115">
          <cell r="F115">
            <v>6589</v>
          </cell>
        </row>
        <row r="123">
          <cell r="F123">
            <v>784407.36300000001</v>
          </cell>
          <cell r="H123">
            <v>1482.4769999999553</v>
          </cell>
        </row>
        <row r="124">
          <cell r="F124">
            <v>73581</v>
          </cell>
          <cell r="H124">
            <v>0</v>
          </cell>
        </row>
        <row r="125">
          <cell r="F125">
            <v>131603.01</v>
          </cell>
          <cell r="H125">
            <v>496.79000000000815</v>
          </cell>
        </row>
        <row r="126">
          <cell r="F126">
            <v>55774.7</v>
          </cell>
          <cell r="H126">
            <v>188.89999999999418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31185</v>
          </cell>
          <cell r="H135">
            <v>191.97999999999956</v>
          </cell>
        </row>
        <row r="136">
          <cell r="F136">
            <v>21613.08</v>
          </cell>
          <cell r="H136">
            <v>15.05000000000291</v>
          </cell>
        </row>
        <row r="137">
          <cell r="F137">
            <v>24902.25</v>
          </cell>
          <cell r="H137">
            <v>0</v>
          </cell>
        </row>
        <row r="138">
          <cell r="F138">
            <v>69917.56</v>
          </cell>
          <cell r="H138">
            <v>35.910000000003492</v>
          </cell>
        </row>
        <row r="139">
          <cell r="F139">
            <v>816.34</v>
          </cell>
          <cell r="H139">
            <v>39.910000000000082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39531.662000000113</v>
          </cell>
        </row>
        <row r="143">
          <cell r="H143">
            <v>1.9359319354408142</v>
          </cell>
        </row>
        <row r="144">
          <cell r="H144">
            <v>33787.110000000132</v>
          </cell>
        </row>
        <row r="145">
          <cell r="H145">
            <v>1.8179457700184416</v>
          </cell>
        </row>
        <row r="146">
          <cell r="H146">
            <v>31631.440000000061</v>
          </cell>
        </row>
        <row r="147">
          <cell r="H147">
            <v>1.7037503220783927</v>
          </cell>
        </row>
        <row r="148">
          <cell r="H148">
            <v>13951.580000000016</v>
          </cell>
        </row>
        <row r="149">
          <cell r="H149">
            <v>0.75157967118365632</v>
          </cell>
        </row>
        <row r="150">
          <cell r="H150">
            <v>12827.279999999999</v>
          </cell>
        </row>
        <row r="151">
          <cell r="H151">
            <v>0.68935448676465005</v>
          </cell>
        </row>
        <row r="152">
          <cell r="H152">
            <v>12115.520000000019</v>
          </cell>
        </row>
        <row r="153">
          <cell r="H153">
            <v>0.65267839031220509</v>
          </cell>
        </row>
      </sheetData>
      <sheetData sheetId="12">
        <row r="7">
          <cell r="F7">
            <v>2290659</v>
          </cell>
          <cell r="H7">
            <v>185634</v>
          </cell>
        </row>
        <row r="8">
          <cell r="F8">
            <v>2301761</v>
          </cell>
          <cell r="H8">
            <v>186320</v>
          </cell>
        </row>
        <row r="9">
          <cell r="F9">
            <v>2196071</v>
          </cell>
          <cell r="H9">
            <v>179065.69999999995</v>
          </cell>
        </row>
        <row r="10"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5">
          <cell r="F15">
            <v>1535428</v>
          </cell>
          <cell r="H15">
            <v>5312.8060000000987</v>
          </cell>
        </row>
        <row r="18">
          <cell r="F18">
            <v>16</v>
          </cell>
          <cell r="H18">
            <v>1020</v>
          </cell>
        </row>
        <row r="19">
          <cell r="F19">
            <v>128710</v>
          </cell>
          <cell r="H19">
            <v>515</v>
          </cell>
        </row>
        <row r="20">
          <cell r="H20">
            <v>1535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1770040</v>
          </cell>
        </row>
        <row r="28">
          <cell r="H28">
            <v>193917.4190000036</v>
          </cell>
        </row>
        <row r="29">
          <cell r="H29">
            <v>0</v>
          </cell>
        </row>
        <row r="30">
          <cell r="H30">
            <v>74675</v>
          </cell>
        </row>
        <row r="31">
          <cell r="H31">
            <v>81600</v>
          </cell>
        </row>
        <row r="32">
          <cell r="H32">
            <v>2120232.4190000035</v>
          </cell>
        </row>
        <row r="35">
          <cell r="F35">
            <v>628718</v>
          </cell>
          <cell r="H35">
            <v>25374.530000000028</v>
          </cell>
        </row>
        <row r="36">
          <cell r="F36">
            <v>217419</v>
          </cell>
          <cell r="H36">
            <v>6059.0499999999884</v>
          </cell>
        </row>
        <row r="37">
          <cell r="F37">
            <v>414862</v>
          </cell>
          <cell r="H37">
            <v>15017.809999999998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911823</v>
          </cell>
          <cell r="H39">
            <v>39698.290000000037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582061</v>
          </cell>
          <cell r="H43">
            <v>23736.930000000051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109885.5000000002</v>
          </cell>
        </row>
        <row r="49">
          <cell r="F49">
            <v>11728.83</v>
          </cell>
        </row>
        <row r="50">
          <cell r="F50">
            <v>273936</v>
          </cell>
        </row>
        <row r="51">
          <cell r="F51">
            <v>0</v>
          </cell>
        </row>
        <row r="52">
          <cell r="F52">
            <v>336241</v>
          </cell>
        </row>
        <row r="54">
          <cell r="F54">
            <v>2139</v>
          </cell>
        </row>
        <row r="55">
          <cell r="F55">
            <v>158492.73000000001</v>
          </cell>
        </row>
        <row r="56">
          <cell r="F56">
            <v>345832</v>
          </cell>
        </row>
        <row r="57">
          <cell r="F57">
            <v>0</v>
          </cell>
        </row>
        <row r="58">
          <cell r="F58">
            <v>18348</v>
          </cell>
        </row>
        <row r="60">
          <cell r="H60">
            <v>181052.23600000024</v>
          </cell>
        </row>
        <row r="62">
          <cell r="F62">
            <v>20419</v>
          </cell>
          <cell r="H62">
            <v>-0.3779999999969732</v>
          </cell>
        </row>
        <row r="63">
          <cell r="H63">
            <v>192.54000000000002</v>
          </cell>
        </row>
        <row r="64">
          <cell r="F64">
            <v>79665</v>
          </cell>
          <cell r="H64">
            <v>3601.9130000000005</v>
          </cell>
        </row>
        <row r="65">
          <cell r="F65">
            <v>89102</v>
          </cell>
          <cell r="H65">
            <v>3942.7369999999937</v>
          </cell>
        </row>
        <row r="66">
          <cell r="F66">
            <v>82097</v>
          </cell>
          <cell r="H66">
            <v>3909.0420000000013</v>
          </cell>
        </row>
        <row r="67">
          <cell r="F67">
            <v>132561</v>
          </cell>
          <cell r="H67">
            <v>6504.5</v>
          </cell>
        </row>
        <row r="68">
          <cell r="F68">
            <v>36562</v>
          </cell>
          <cell r="H68">
            <v>3162.1310000000012</v>
          </cell>
        </row>
        <row r="69">
          <cell r="F69">
            <v>31894</v>
          </cell>
          <cell r="H69">
            <v>2641.6349999999984</v>
          </cell>
        </row>
        <row r="72">
          <cell r="F72">
            <v>844008</v>
          </cell>
          <cell r="H72">
            <v>75</v>
          </cell>
        </row>
        <row r="73">
          <cell r="F73">
            <v>885225</v>
          </cell>
          <cell r="H73">
            <v>10</v>
          </cell>
        </row>
        <row r="74">
          <cell r="F74">
            <v>879797</v>
          </cell>
          <cell r="H74">
            <v>161</v>
          </cell>
        </row>
        <row r="75">
          <cell r="F75">
            <v>722936</v>
          </cell>
          <cell r="H75">
            <v>1570</v>
          </cell>
        </row>
        <row r="76">
          <cell r="F76">
            <v>680317</v>
          </cell>
          <cell r="H76">
            <v>665</v>
          </cell>
        </row>
        <row r="77">
          <cell r="F77">
            <v>692743</v>
          </cell>
          <cell r="H77">
            <v>436</v>
          </cell>
        </row>
        <row r="78">
          <cell r="F78">
            <v>611134</v>
          </cell>
          <cell r="H78">
            <v>3120</v>
          </cell>
        </row>
        <row r="79">
          <cell r="F79">
            <v>794338</v>
          </cell>
          <cell r="H79">
            <v>1550</v>
          </cell>
        </row>
        <row r="80">
          <cell r="F80">
            <v>459703</v>
          </cell>
          <cell r="H80">
            <v>2837.960000000021</v>
          </cell>
        </row>
        <row r="81">
          <cell r="F81">
            <v>612096</v>
          </cell>
          <cell r="H81">
            <v>973.71999999997206</v>
          </cell>
        </row>
        <row r="82">
          <cell r="F82">
            <v>103204</v>
          </cell>
          <cell r="H82">
            <v>174.05000000000291</v>
          </cell>
        </row>
        <row r="83">
          <cell r="F83">
            <v>955875</v>
          </cell>
          <cell r="H83">
            <v>3632</v>
          </cell>
        </row>
        <row r="84">
          <cell r="F84">
            <v>371628</v>
          </cell>
          <cell r="H84">
            <v>5195</v>
          </cell>
        </row>
        <row r="85">
          <cell r="H85">
            <v>18734.989999999991</v>
          </cell>
        </row>
        <row r="86">
          <cell r="F86">
            <v>438246</v>
          </cell>
        </row>
        <row r="87">
          <cell r="F87">
            <v>76350</v>
          </cell>
        </row>
        <row r="88">
          <cell r="F88">
            <v>140742</v>
          </cell>
        </row>
        <row r="89">
          <cell r="F89">
            <v>54633</v>
          </cell>
        </row>
        <row r="90">
          <cell r="F90">
            <v>2821</v>
          </cell>
        </row>
        <row r="92">
          <cell r="F92">
            <v>229520</v>
          </cell>
          <cell r="H92">
            <v>925</v>
          </cell>
        </row>
        <row r="93">
          <cell r="F93">
            <v>160198</v>
          </cell>
          <cell r="H93">
            <v>1675</v>
          </cell>
        </row>
        <row r="94">
          <cell r="H94">
            <v>2310</v>
          </cell>
        </row>
        <row r="95">
          <cell r="F95">
            <v>400424</v>
          </cell>
          <cell r="H95">
            <v>577</v>
          </cell>
        </row>
        <row r="96">
          <cell r="F96">
            <v>98497</v>
          </cell>
          <cell r="H96">
            <v>488</v>
          </cell>
        </row>
        <row r="97">
          <cell r="F97">
            <v>93796</v>
          </cell>
          <cell r="H97">
            <v>245</v>
          </cell>
        </row>
        <row r="98">
          <cell r="F98">
            <v>141359</v>
          </cell>
          <cell r="H98">
            <v>454</v>
          </cell>
        </row>
        <row r="99">
          <cell r="F99">
            <v>4807</v>
          </cell>
          <cell r="H99">
            <v>99</v>
          </cell>
        </row>
        <row r="100">
          <cell r="F100">
            <v>3674</v>
          </cell>
          <cell r="H100">
            <v>0</v>
          </cell>
        </row>
        <row r="101">
          <cell r="H101">
            <v>1863</v>
          </cell>
        </row>
        <row r="104">
          <cell r="F104">
            <v>7010</v>
          </cell>
        </row>
        <row r="105">
          <cell r="F105">
            <v>34572</v>
          </cell>
        </row>
        <row r="106">
          <cell r="F106">
            <v>18666</v>
          </cell>
        </row>
        <row r="109">
          <cell r="F109">
            <v>50270</v>
          </cell>
        </row>
        <row r="110">
          <cell r="F110">
            <v>24552</v>
          </cell>
        </row>
        <row r="111">
          <cell r="F111">
            <v>3244</v>
          </cell>
        </row>
        <row r="114">
          <cell r="F114">
            <v>8395</v>
          </cell>
        </row>
        <row r="115">
          <cell r="F115">
            <v>6623</v>
          </cell>
        </row>
        <row r="123">
          <cell r="F123">
            <v>784759</v>
          </cell>
          <cell r="H123">
            <v>1834.1139999999432</v>
          </cell>
        </row>
        <row r="124">
          <cell r="F124">
            <v>73581</v>
          </cell>
          <cell r="H124">
            <v>0</v>
          </cell>
        </row>
        <row r="125">
          <cell r="F125">
            <v>131742</v>
          </cell>
          <cell r="H125">
            <v>635.77999999999884</v>
          </cell>
        </row>
        <row r="126">
          <cell r="F126">
            <v>55815</v>
          </cell>
          <cell r="H126">
            <v>229.19999999999709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31232.5</v>
          </cell>
          <cell r="H135">
            <v>239.47999999999956</v>
          </cell>
        </row>
        <row r="136">
          <cell r="F136">
            <v>21627.31</v>
          </cell>
          <cell r="H136">
            <v>29.280000000002474</v>
          </cell>
        </row>
        <row r="137">
          <cell r="F137">
            <v>24902.25</v>
          </cell>
          <cell r="H137">
            <v>0</v>
          </cell>
        </row>
        <row r="138">
          <cell r="F138">
            <v>69919.929999999993</v>
          </cell>
          <cell r="H138">
            <v>38.279999999998836</v>
          </cell>
        </row>
        <row r="139">
          <cell r="F139">
            <v>826.32</v>
          </cell>
          <cell r="H139">
            <v>49.8900000000001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49111.452000000078</v>
          </cell>
        </row>
        <row r="143">
          <cell r="H143">
            <v>2.1943981020715064</v>
          </cell>
        </row>
        <row r="144">
          <cell r="H144">
            <v>41841.800000000134</v>
          </cell>
        </row>
        <row r="145">
          <cell r="H145">
            <v>2.0352641922070882</v>
          </cell>
        </row>
        <row r="146">
          <cell r="H146">
            <v>39698.290000000037</v>
          </cell>
        </row>
        <row r="147">
          <cell r="H147">
            <v>1.9213968254239564</v>
          </cell>
        </row>
        <row r="148">
          <cell r="H148">
            <v>17576.309999999998</v>
          </cell>
        </row>
        <row r="149">
          <cell r="H149">
            <v>0.84937618532136361</v>
          </cell>
        </row>
        <row r="150">
          <cell r="H150">
            <v>16188.479999999981</v>
          </cell>
        </row>
        <row r="151">
          <cell r="H151">
            <v>0.78004086707978015</v>
          </cell>
        </row>
        <row r="152">
          <cell r="H152">
            <v>15017.809999999998</v>
          </cell>
        </row>
        <row r="153">
          <cell r="H153">
            <v>0.73098321440026837</v>
          </cell>
        </row>
      </sheetData>
      <sheetData sheetId="13">
        <row r="7">
          <cell r="F7">
            <v>2307903</v>
          </cell>
          <cell r="H7">
            <v>202878</v>
          </cell>
        </row>
        <row r="8">
          <cell r="F8">
            <v>2319117</v>
          </cell>
          <cell r="H8">
            <v>203676</v>
          </cell>
        </row>
        <row r="9">
          <cell r="F9">
            <v>2201140</v>
          </cell>
          <cell r="H9">
            <v>184134.69999999995</v>
          </cell>
        </row>
        <row r="10">
          <cell r="F10">
            <v>11572</v>
          </cell>
          <cell r="H10">
            <v>11572.210000000021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160050.90999999997</v>
          </cell>
        </row>
        <row r="15">
          <cell r="F15">
            <v>1535936</v>
          </cell>
          <cell r="H15">
            <v>5820.8060000000987</v>
          </cell>
        </row>
        <row r="18">
          <cell r="F18">
            <v>18</v>
          </cell>
          <cell r="H18">
            <v>1200</v>
          </cell>
        </row>
        <row r="19">
          <cell r="F19">
            <v>128766</v>
          </cell>
          <cell r="H19">
            <v>571</v>
          </cell>
        </row>
        <row r="20">
          <cell r="H20">
            <v>1771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1934922</v>
          </cell>
        </row>
        <row r="28">
          <cell r="H28">
            <v>212459.4190000036</v>
          </cell>
        </row>
        <row r="29">
          <cell r="H29">
            <v>0</v>
          </cell>
        </row>
        <row r="30">
          <cell r="H30">
            <v>82795</v>
          </cell>
        </row>
        <row r="31">
          <cell r="H31">
            <v>96000</v>
          </cell>
        </row>
        <row r="32">
          <cell r="H32">
            <v>2326176.4190000035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217975</v>
          </cell>
          <cell r="H36">
            <v>6615.0499999999884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584411</v>
          </cell>
          <cell r="H43">
            <v>26086.930000000051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114136.06000000016</v>
          </cell>
        </row>
        <row r="49">
          <cell r="F49">
            <v>13753</v>
          </cell>
          <cell r="H49">
            <v>2023.7119999999995</v>
          </cell>
        </row>
        <row r="50">
          <cell r="F50">
            <v>275008</v>
          </cell>
          <cell r="H50">
            <v>8949.0599999999977</v>
          </cell>
        </row>
        <row r="51">
          <cell r="F51">
            <v>0</v>
          </cell>
          <cell r="H51">
            <v>0</v>
          </cell>
        </row>
        <row r="52">
          <cell r="F52">
            <v>337954</v>
          </cell>
          <cell r="H52">
            <v>15664.580000000016</v>
          </cell>
        </row>
        <row r="53">
          <cell r="F53">
            <v>4110</v>
          </cell>
          <cell r="H53">
            <v>4110</v>
          </cell>
        </row>
        <row r="54">
          <cell r="F54">
            <v>2204</v>
          </cell>
          <cell r="H54">
            <v>651.4393</v>
          </cell>
        </row>
        <row r="55">
          <cell r="F55">
            <v>158493</v>
          </cell>
          <cell r="H55">
            <v>0</v>
          </cell>
        </row>
        <row r="56">
          <cell r="F56">
            <v>349193</v>
          </cell>
          <cell r="H56">
            <v>37148.520000000019</v>
          </cell>
        </row>
        <row r="57">
          <cell r="F57">
            <v>0</v>
          </cell>
          <cell r="H57">
            <v>0</v>
          </cell>
        </row>
        <row r="58">
          <cell r="F58">
            <v>18393</v>
          </cell>
          <cell r="H58">
            <v>623.7039999999979</v>
          </cell>
        </row>
        <row r="59">
          <cell r="H59">
            <v>69171.015300000028</v>
          </cell>
        </row>
        <row r="60">
          <cell r="H60">
            <v>197693.23600000018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511</v>
          </cell>
          <cell r="H63">
            <v>212.54000000000002</v>
          </cell>
        </row>
        <row r="64">
          <cell r="F64">
            <v>80007</v>
          </cell>
          <cell r="H64">
            <v>3943.9130000000005</v>
          </cell>
        </row>
        <row r="65">
          <cell r="F65">
            <v>89480</v>
          </cell>
          <cell r="H65">
            <v>4320.7369999999937</v>
          </cell>
        </row>
        <row r="66">
          <cell r="F66">
            <v>82575</v>
          </cell>
          <cell r="H66">
            <v>4387.0420000000013</v>
          </cell>
        </row>
        <row r="67">
          <cell r="F67">
            <v>133228</v>
          </cell>
          <cell r="H67">
            <v>7171.5</v>
          </cell>
        </row>
        <row r="68">
          <cell r="F68">
            <v>36879</v>
          </cell>
          <cell r="H68">
            <v>3479.1310000000012</v>
          </cell>
        </row>
        <row r="69">
          <cell r="F69">
            <v>32142</v>
          </cell>
          <cell r="H69">
            <v>2889.6349999999984</v>
          </cell>
        </row>
        <row r="70">
          <cell r="H70">
            <v>0</v>
          </cell>
        </row>
        <row r="72">
          <cell r="F72">
            <v>844016</v>
          </cell>
          <cell r="H72">
            <v>83</v>
          </cell>
        </row>
        <row r="73">
          <cell r="F73">
            <v>885225</v>
          </cell>
          <cell r="H73">
            <v>10</v>
          </cell>
        </row>
        <row r="74">
          <cell r="F74">
            <v>879814</v>
          </cell>
          <cell r="H74">
            <v>178</v>
          </cell>
        </row>
        <row r="75">
          <cell r="F75">
            <v>723113</v>
          </cell>
          <cell r="H75">
            <v>1747</v>
          </cell>
        </row>
        <row r="76">
          <cell r="F76">
            <v>680391</v>
          </cell>
          <cell r="H76">
            <v>739</v>
          </cell>
        </row>
        <row r="77">
          <cell r="F77">
            <v>692789</v>
          </cell>
          <cell r="H77">
            <v>482</v>
          </cell>
        </row>
        <row r="78">
          <cell r="F78">
            <v>611456</v>
          </cell>
          <cell r="H78">
            <v>3442</v>
          </cell>
        </row>
        <row r="79">
          <cell r="F79">
            <v>794550</v>
          </cell>
          <cell r="H79">
            <v>1762</v>
          </cell>
        </row>
        <row r="80">
          <cell r="F80">
            <v>460001</v>
          </cell>
          <cell r="H80">
            <v>3135.960000000021</v>
          </cell>
        </row>
        <row r="81">
          <cell r="F81">
            <v>612187</v>
          </cell>
          <cell r="H81">
            <v>1064.7199999999721</v>
          </cell>
        </row>
        <row r="82">
          <cell r="F82">
            <v>103227</v>
          </cell>
          <cell r="H82">
            <v>197.05000000000291</v>
          </cell>
        </row>
        <row r="83">
          <cell r="F83">
            <v>956167</v>
          </cell>
          <cell r="H83">
            <v>3924</v>
          </cell>
        </row>
        <row r="84">
          <cell r="F84">
            <v>372087</v>
          </cell>
          <cell r="H84">
            <v>5654</v>
          </cell>
        </row>
        <row r="85">
          <cell r="H85">
            <v>20753.989999999991</v>
          </cell>
        </row>
        <row r="86">
          <cell r="F86">
            <v>438349</v>
          </cell>
        </row>
        <row r="87">
          <cell r="F87">
            <v>76385</v>
          </cell>
        </row>
        <row r="88">
          <cell r="F88">
            <v>140825</v>
          </cell>
        </row>
        <row r="89">
          <cell r="F89">
            <v>54685</v>
          </cell>
        </row>
        <row r="90">
          <cell r="F90">
            <v>2827</v>
          </cell>
        </row>
        <row r="92">
          <cell r="F92">
            <v>229600</v>
          </cell>
          <cell r="H92">
            <v>1005</v>
          </cell>
        </row>
        <row r="93">
          <cell r="F93">
            <v>160243</v>
          </cell>
          <cell r="H93">
            <v>1720</v>
          </cell>
        </row>
        <row r="94">
          <cell r="H94">
            <v>2435</v>
          </cell>
        </row>
        <row r="95">
          <cell r="F95">
            <v>400475</v>
          </cell>
          <cell r="H95">
            <v>628</v>
          </cell>
        </row>
        <row r="96">
          <cell r="F96">
            <v>98554</v>
          </cell>
          <cell r="H96">
            <v>545</v>
          </cell>
        </row>
        <row r="97">
          <cell r="F97">
            <v>93811</v>
          </cell>
          <cell r="H97">
            <v>260</v>
          </cell>
        </row>
        <row r="98">
          <cell r="F98">
            <v>141410</v>
          </cell>
          <cell r="H98">
            <v>505</v>
          </cell>
        </row>
        <row r="99">
          <cell r="F99">
            <v>4812</v>
          </cell>
          <cell r="H99">
            <v>104</v>
          </cell>
        </row>
        <row r="100">
          <cell r="F100">
            <v>3674</v>
          </cell>
          <cell r="H100">
            <v>0</v>
          </cell>
        </row>
        <row r="101">
          <cell r="H101">
            <v>2042</v>
          </cell>
        </row>
        <row r="104">
          <cell r="F104">
            <v>7010</v>
          </cell>
        </row>
        <row r="105">
          <cell r="F105">
            <v>34572</v>
          </cell>
        </row>
        <row r="106">
          <cell r="F106">
            <v>18670</v>
          </cell>
        </row>
        <row r="109">
          <cell r="F109">
            <v>50319</v>
          </cell>
        </row>
        <row r="110">
          <cell r="F110">
            <v>24597</v>
          </cell>
        </row>
        <row r="111">
          <cell r="F111">
            <v>3244</v>
          </cell>
        </row>
        <row r="114">
          <cell r="F114">
            <v>8403</v>
          </cell>
        </row>
        <row r="115">
          <cell r="F115">
            <v>6629</v>
          </cell>
        </row>
        <row r="123">
          <cell r="F123">
            <v>784952</v>
          </cell>
          <cell r="H123">
            <v>2027.1139999999432</v>
          </cell>
        </row>
        <row r="124">
          <cell r="F124">
            <v>73581</v>
          </cell>
          <cell r="H124">
            <v>0</v>
          </cell>
        </row>
        <row r="125">
          <cell r="F125">
            <v>131810</v>
          </cell>
          <cell r="H125">
            <v>703.77999999999884</v>
          </cell>
        </row>
        <row r="126">
          <cell r="F126">
            <v>55840</v>
          </cell>
          <cell r="H126">
            <v>254.19999999999709</v>
          </cell>
        </row>
        <row r="127">
          <cell r="F127">
            <v>8640</v>
          </cell>
          <cell r="H127">
            <v>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31256</v>
          </cell>
          <cell r="H135">
            <v>262.97999999999956</v>
          </cell>
        </row>
        <row r="136">
          <cell r="F136">
            <v>21627</v>
          </cell>
          <cell r="H136">
            <v>28.970000000001164</v>
          </cell>
        </row>
        <row r="137">
          <cell r="F137">
            <v>24902</v>
          </cell>
          <cell r="H137">
            <v>-0.25</v>
          </cell>
        </row>
        <row r="138">
          <cell r="F138">
            <v>69929</v>
          </cell>
          <cell r="H138">
            <v>47.350000000005821</v>
          </cell>
        </row>
        <row r="139">
          <cell r="F139">
            <v>831.74</v>
          </cell>
          <cell r="H139">
            <v>55.310000000000059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53968.622000000076</v>
          </cell>
        </row>
        <row r="143">
          <cell r="H143">
            <v>2.4760711477685606</v>
          </cell>
        </row>
        <row r="144">
          <cell r="H144">
            <v>45203.140000000072</v>
          </cell>
        </row>
        <row r="145">
          <cell r="H145">
            <v>2.2301922831372631</v>
          </cell>
        </row>
        <row r="146">
          <cell r="H146">
            <v>44465.290000000037</v>
          </cell>
        </row>
        <row r="147">
          <cell r="H147">
            <v>2.1978408059389181</v>
          </cell>
        </row>
        <row r="148">
          <cell r="H148">
            <v>19289.309999999998</v>
          </cell>
        </row>
        <row r="149">
          <cell r="H149">
            <v>0.94871508580848962</v>
          </cell>
        </row>
        <row r="150">
          <cell r="H150">
            <v>17816.479999999981</v>
          </cell>
        </row>
        <row r="151">
          <cell r="H151">
            <v>0.87445051681302066</v>
          </cell>
        </row>
        <row r="152">
          <cell r="H152">
            <v>15221.809999999998</v>
          </cell>
        </row>
        <row r="153">
          <cell r="H153">
            <v>0.7428134162095934</v>
          </cell>
        </row>
      </sheetData>
      <sheetData sheetId="14">
        <row r="7">
          <cell r="H7">
            <v>220690</v>
          </cell>
        </row>
        <row r="8">
          <cell r="H8">
            <v>221537</v>
          </cell>
        </row>
        <row r="9">
          <cell r="H9">
            <v>186918.69999999995</v>
          </cell>
        </row>
        <row r="10">
          <cell r="H10">
            <v>25953.210000000021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177215.90999999997</v>
          </cell>
        </row>
        <row r="15">
          <cell r="H15">
            <v>6190.8060000000987</v>
          </cell>
        </row>
        <row r="18">
          <cell r="H18">
            <v>1340</v>
          </cell>
        </row>
        <row r="19">
          <cell r="H19">
            <v>623</v>
          </cell>
        </row>
        <row r="20">
          <cell r="H20">
            <v>1963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2104601.5</v>
          </cell>
        </row>
        <row r="28">
          <cell r="H28">
            <v>225964.4190000036</v>
          </cell>
        </row>
        <row r="29">
          <cell r="H29">
            <v>0</v>
          </cell>
        </row>
        <row r="30">
          <cell r="H30">
            <v>90335</v>
          </cell>
        </row>
        <row r="31">
          <cell r="H31">
            <v>107200</v>
          </cell>
        </row>
        <row r="32">
          <cell r="H32">
            <v>2528100.9190000035</v>
          </cell>
        </row>
        <row r="35">
          <cell r="H35">
            <v>25857.530000000028</v>
          </cell>
        </row>
        <row r="36">
          <cell r="H36">
            <v>7167.0499999999884</v>
          </cell>
        </row>
        <row r="37">
          <cell r="H37">
            <v>15221.809999999998</v>
          </cell>
        </row>
        <row r="38">
          <cell r="H38">
            <v>0</v>
          </cell>
        </row>
        <row r="39">
          <cell r="H39">
            <v>40355.290000000037</v>
          </cell>
        </row>
        <row r="40">
          <cell r="H40">
            <v>0</v>
          </cell>
        </row>
        <row r="41">
          <cell r="H41">
            <v>-6.9999999948777258E-2</v>
          </cell>
        </row>
        <row r="42">
          <cell r="H42">
            <v>0</v>
          </cell>
        </row>
        <row r="43">
          <cell r="H43">
            <v>28443.930000000051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7">
          <cell r="H47">
            <v>117045.06000000016</v>
          </cell>
        </row>
        <row r="49">
          <cell r="H49">
            <v>4062.7119999999995</v>
          </cell>
        </row>
        <row r="50">
          <cell r="H50">
            <v>10141.059999999998</v>
          </cell>
        </row>
        <row r="51">
          <cell r="H51">
            <v>0</v>
          </cell>
        </row>
        <row r="52">
          <cell r="H52">
            <v>17355.580000000016</v>
          </cell>
        </row>
        <row r="53">
          <cell r="H53">
            <v>8101</v>
          </cell>
        </row>
        <row r="54">
          <cell r="H54">
            <v>713.4393</v>
          </cell>
        </row>
        <row r="55">
          <cell r="H55">
            <v>-0.26999999998952262</v>
          </cell>
        </row>
        <row r="56">
          <cell r="H56">
            <v>40907.520000000019</v>
          </cell>
        </row>
        <row r="57">
          <cell r="H57">
            <v>0</v>
          </cell>
        </row>
        <row r="58">
          <cell r="H58">
            <v>658.7039999999979</v>
          </cell>
        </row>
        <row r="59">
          <cell r="H59">
            <v>81939.745300000039</v>
          </cell>
        </row>
        <row r="60">
          <cell r="H60">
            <v>213370.96600000019</v>
          </cell>
        </row>
        <row r="62">
          <cell r="H62">
            <v>-0.3779999999969732</v>
          </cell>
        </row>
        <row r="63">
          <cell r="H63">
            <v>232.54000000000002</v>
          </cell>
        </row>
        <row r="64">
          <cell r="H64">
            <v>4288.9130000000005</v>
          </cell>
        </row>
        <row r="65">
          <cell r="H65">
            <v>4683.7369999999937</v>
          </cell>
        </row>
        <row r="66">
          <cell r="H66">
            <v>4730.0420000000013</v>
          </cell>
        </row>
        <row r="67">
          <cell r="H67">
            <v>7794.5</v>
          </cell>
        </row>
        <row r="68">
          <cell r="H68">
            <v>3820.1310000000012</v>
          </cell>
        </row>
        <row r="69">
          <cell r="H69">
            <v>3178.6349999999984</v>
          </cell>
        </row>
        <row r="70">
          <cell r="H70">
            <v>0</v>
          </cell>
        </row>
        <row r="72">
          <cell r="H72">
            <v>91</v>
          </cell>
        </row>
        <row r="73">
          <cell r="H73">
            <v>12</v>
          </cell>
        </row>
        <row r="74">
          <cell r="H74">
            <v>194</v>
          </cell>
        </row>
        <row r="75">
          <cell r="H75">
            <v>1900</v>
          </cell>
        </row>
        <row r="76">
          <cell r="H76">
            <v>805</v>
          </cell>
        </row>
        <row r="77">
          <cell r="H77">
            <v>528</v>
          </cell>
        </row>
        <row r="78">
          <cell r="H78">
            <v>3764</v>
          </cell>
        </row>
        <row r="79">
          <cell r="H79">
            <v>1928</v>
          </cell>
        </row>
        <row r="80">
          <cell r="H80">
            <v>3417.960000000021</v>
          </cell>
        </row>
        <row r="81">
          <cell r="H81">
            <v>1151.7199999999721</v>
          </cell>
        </row>
        <row r="82">
          <cell r="H82">
            <v>203.05000000000291</v>
          </cell>
        </row>
        <row r="83">
          <cell r="H83">
            <v>4284</v>
          </cell>
        </row>
        <row r="84">
          <cell r="H84">
            <v>6116</v>
          </cell>
        </row>
        <row r="85">
          <cell r="H85">
            <v>22729.989999999991</v>
          </cell>
        </row>
        <row r="86">
          <cell r="H86">
            <v>142</v>
          </cell>
        </row>
        <row r="87">
          <cell r="H87">
            <v>22</v>
          </cell>
        </row>
        <row r="88">
          <cell r="H88">
            <v>61</v>
          </cell>
        </row>
        <row r="89">
          <cell r="H89">
            <v>52</v>
          </cell>
        </row>
        <row r="90">
          <cell r="H90">
            <v>0</v>
          </cell>
        </row>
        <row r="92">
          <cell r="H92">
            <v>1092</v>
          </cell>
        </row>
        <row r="93">
          <cell r="H93">
            <v>1881</v>
          </cell>
        </row>
        <row r="94">
          <cell r="H94">
            <v>2683</v>
          </cell>
        </row>
        <row r="95">
          <cell r="H95">
            <v>671</v>
          </cell>
        </row>
        <row r="96">
          <cell r="H96">
            <v>602</v>
          </cell>
        </row>
        <row r="97">
          <cell r="H97">
            <v>276</v>
          </cell>
        </row>
        <row r="98">
          <cell r="H98">
            <v>547</v>
          </cell>
        </row>
        <row r="99">
          <cell r="H99">
            <v>109</v>
          </cell>
        </row>
        <row r="100">
          <cell r="H100">
            <v>0</v>
          </cell>
        </row>
        <row r="101">
          <cell r="H101">
            <v>2205</v>
          </cell>
        </row>
        <row r="104">
          <cell r="H104">
            <v>60</v>
          </cell>
        </row>
        <row r="105">
          <cell r="H105">
            <v>72</v>
          </cell>
        </row>
        <row r="106">
          <cell r="H106">
            <v>329</v>
          </cell>
        </row>
        <row r="107">
          <cell r="H107">
            <v>162</v>
          </cell>
        </row>
        <row r="109">
          <cell r="H109">
            <v>108</v>
          </cell>
        </row>
        <row r="110">
          <cell r="H110">
            <v>64.740000000005239</v>
          </cell>
        </row>
        <row r="111">
          <cell r="H111">
            <v>459</v>
          </cell>
        </row>
        <row r="112">
          <cell r="H112">
            <v>674</v>
          </cell>
        </row>
        <row r="114">
          <cell r="H114">
            <v>7</v>
          </cell>
        </row>
        <row r="115">
          <cell r="H115">
            <v>115</v>
          </cell>
        </row>
        <row r="116">
          <cell r="H116">
            <v>185</v>
          </cell>
        </row>
        <row r="117">
          <cell r="H117">
            <v>65</v>
          </cell>
        </row>
        <row r="118">
          <cell r="H118">
            <v>188</v>
          </cell>
        </row>
        <row r="119">
          <cell r="H119">
            <v>153</v>
          </cell>
        </row>
        <row r="120">
          <cell r="H120">
            <v>78</v>
          </cell>
        </row>
        <row r="123">
          <cell r="H123">
            <v>2233.1139999999432</v>
          </cell>
        </row>
        <row r="124">
          <cell r="H124">
            <v>0</v>
          </cell>
        </row>
        <row r="125">
          <cell r="H125">
            <v>768.77999999999884</v>
          </cell>
        </row>
        <row r="126">
          <cell r="H126">
            <v>275.19999999999709</v>
          </cell>
        </row>
        <row r="127">
          <cell r="H127">
            <v>1</v>
          </cell>
        </row>
        <row r="128">
          <cell r="H128">
            <v>2912.7120000001596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-1.2699999999967986</v>
          </cell>
        </row>
        <row r="135">
          <cell r="H135">
            <v>286.97999999999956</v>
          </cell>
        </row>
        <row r="136">
          <cell r="H136">
            <v>28.970000000001164</v>
          </cell>
        </row>
        <row r="137">
          <cell r="H137">
            <v>-0.25</v>
          </cell>
        </row>
        <row r="138">
          <cell r="H138">
            <v>47.350000000005821</v>
          </cell>
        </row>
        <row r="139">
          <cell r="H139">
            <v>61.300000000000068</v>
          </cell>
        </row>
        <row r="140">
          <cell r="H140">
            <v>2.7099999999991269</v>
          </cell>
        </row>
        <row r="142">
          <cell r="H142">
            <v>58364.622000000076</v>
          </cell>
        </row>
        <row r="143">
          <cell r="H143">
            <v>2.7228710579414779</v>
          </cell>
        </row>
        <row r="144">
          <cell r="H144">
            <v>48961.870000000083</v>
          </cell>
        </row>
        <row r="145">
          <cell r="H145">
            <v>2.4412146276241264</v>
          </cell>
        </row>
        <row r="146">
          <cell r="H146">
            <v>48456.290000000037</v>
          </cell>
        </row>
        <row r="147">
          <cell r="H147">
            <v>2.4219032357615093</v>
          </cell>
        </row>
        <row r="148">
          <cell r="H148">
            <v>20980.309999999998</v>
          </cell>
        </row>
        <row r="149">
          <cell r="H149">
            <v>1.0436510840119479</v>
          </cell>
        </row>
        <row r="150">
          <cell r="H150">
            <v>19560.479999999981</v>
          </cell>
        </row>
        <row r="151">
          <cell r="H151">
            <v>0.97236203713639813</v>
          </cell>
        </row>
        <row r="152">
          <cell r="H152">
            <v>15221.809999999998</v>
          </cell>
        </row>
        <row r="153">
          <cell r="H153">
            <v>0.7428134162095934</v>
          </cell>
        </row>
      </sheetData>
      <sheetData sheetId="15">
        <row r="7">
          <cell r="F7">
            <v>2343105</v>
          </cell>
          <cell r="H7">
            <v>238080</v>
          </cell>
        </row>
        <row r="8">
          <cell r="F8">
            <v>2354454</v>
          </cell>
          <cell r="H8">
            <v>239013</v>
          </cell>
        </row>
        <row r="9">
          <cell r="F9">
            <v>2206597.7000000002</v>
          </cell>
          <cell r="H9">
            <v>189592.40000000014</v>
          </cell>
        </row>
        <row r="10">
          <cell r="F10">
            <v>40105.243000000002</v>
          </cell>
          <cell r="H10">
            <v>40105.453000000023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194041.85300000018</v>
          </cell>
        </row>
        <row r="15">
          <cell r="F15">
            <v>1536924.601</v>
          </cell>
          <cell r="H15">
            <v>6809.4070000001229</v>
          </cell>
        </row>
        <row r="18">
          <cell r="F18">
            <v>10</v>
          </cell>
          <cell r="H18">
            <v>1440</v>
          </cell>
        </row>
        <row r="19">
          <cell r="F19">
            <v>128871</v>
          </cell>
          <cell r="H19">
            <v>676</v>
          </cell>
        </row>
        <row r="20">
          <cell r="H20">
            <v>2116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2270623.5</v>
          </cell>
        </row>
        <row r="28">
          <cell r="H28">
            <v>248543.35550000449</v>
          </cell>
        </row>
        <row r="29">
          <cell r="H29">
            <v>0</v>
          </cell>
        </row>
        <row r="30">
          <cell r="H30">
            <v>98020</v>
          </cell>
        </row>
        <row r="31">
          <cell r="H31">
            <v>115200</v>
          </cell>
        </row>
        <row r="32">
          <cell r="H32">
            <v>2732386.8555000043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219021.63</v>
          </cell>
          <cell r="H36">
            <v>7661.679999999993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589070.55000000005</v>
          </cell>
          <cell r="H43">
            <v>30746.480000000098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119842.2900000002</v>
          </cell>
        </row>
        <row r="49">
          <cell r="F49">
            <v>17862.141</v>
          </cell>
          <cell r="H49">
            <v>6132.8529999999992</v>
          </cell>
        </row>
        <row r="50">
          <cell r="F50">
            <v>277208.67</v>
          </cell>
          <cell r="H50">
            <v>11149.729999999981</v>
          </cell>
        </row>
        <row r="51">
          <cell r="F51">
            <v>4121.8500000000004</v>
          </cell>
          <cell r="H51">
            <v>4121.8500000000004</v>
          </cell>
        </row>
        <row r="52">
          <cell r="F52">
            <v>341368.35</v>
          </cell>
          <cell r="H52">
            <v>19078.929999999993</v>
          </cell>
        </row>
        <row r="53">
          <cell r="F53">
            <v>8101</v>
          </cell>
          <cell r="H53">
            <v>8101</v>
          </cell>
        </row>
        <row r="54">
          <cell r="F54">
            <v>2329.6093000000001</v>
          </cell>
          <cell r="H54">
            <v>777.04860000000008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356936.59</v>
          </cell>
          <cell r="H56">
            <v>44892.110000000044</v>
          </cell>
        </row>
        <row r="57">
          <cell r="F57">
            <v>0</v>
          </cell>
          <cell r="H57">
            <v>0</v>
          </cell>
        </row>
        <row r="58">
          <cell r="F58">
            <v>18566.937000000002</v>
          </cell>
          <cell r="H58">
            <v>797.64099999999962</v>
          </cell>
        </row>
        <row r="59">
          <cell r="H59">
            <v>95050.892600000021</v>
          </cell>
        </row>
        <row r="60">
          <cell r="H60">
            <v>229279.34330000021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551.48</v>
          </cell>
          <cell r="H63">
            <v>253.02000000000004</v>
          </cell>
        </row>
        <row r="64">
          <cell r="F64">
            <v>80681.967000000004</v>
          </cell>
          <cell r="H64">
            <v>4618.8800000000047</v>
          </cell>
        </row>
        <row r="65">
          <cell r="F65">
            <v>90196.918999999994</v>
          </cell>
          <cell r="H65">
            <v>5037.6559999999881</v>
          </cell>
        </row>
        <row r="66">
          <cell r="F66">
            <v>83296.294999999998</v>
          </cell>
          <cell r="H66">
            <v>5108.3369999999995</v>
          </cell>
        </row>
        <row r="67">
          <cell r="F67">
            <v>134449.42000000001</v>
          </cell>
          <cell r="H67">
            <v>8392.9200000000128</v>
          </cell>
        </row>
        <row r="68">
          <cell r="F68">
            <v>37529.055</v>
          </cell>
          <cell r="H68">
            <v>4129.1860000000015</v>
          </cell>
        </row>
        <row r="69">
          <cell r="F69">
            <v>32679.587</v>
          </cell>
          <cell r="H69">
            <v>3427.2219999999979</v>
          </cell>
        </row>
        <row r="70">
          <cell r="H70">
            <v>0</v>
          </cell>
        </row>
        <row r="72">
          <cell r="F72">
            <v>844033</v>
          </cell>
          <cell r="H72">
            <v>100</v>
          </cell>
        </row>
        <row r="73">
          <cell r="F73">
            <v>885228</v>
          </cell>
        </row>
        <row r="74">
          <cell r="F74">
            <v>879845</v>
          </cell>
          <cell r="H74">
            <v>209</v>
          </cell>
        </row>
        <row r="75">
          <cell r="F75">
            <v>723417</v>
          </cell>
          <cell r="H75">
            <v>2051</v>
          </cell>
        </row>
        <row r="76">
          <cell r="F76">
            <v>680521</v>
          </cell>
        </row>
        <row r="77">
          <cell r="F77">
            <v>692886</v>
          </cell>
          <cell r="H77">
            <v>579</v>
          </cell>
        </row>
        <row r="78">
          <cell r="F78">
            <v>612084</v>
          </cell>
          <cell r="H78">
            <v>4070</v>
          </cell>
        </row>
        <row r="79">
          <cell r="F79">
            <v>794885</v>
          </cell>
          <cell r="H79">
            <v>2097</v>
          </cell>
        </row>
        <row r="80">
          <cell r="F80">
            <v>460533.88</v>
          </cell>
        </row>
        <row r="81">
          <cell r="F81">
            <v>612382.28</v>
          </cell>
          <cell r="H81">
            <v>1260</v>
          </cell>
        </row>
        <row r="82">
          <cell r="F82">
            <v>103253.25</v>
          </cell>
          <cell r="H82">
            <v>223.30000000000291</v>
          </cell>
        </row>
        <row r="83">
          <cell r="F83">
            <v>956876</v>
          </cell>
          <cell r="H83">
            <v>4633</v>
          </cell>
        </row>
        <row r="84">
          <cell r="F84">
            <v>373080</v>
          </cell>
          <cell r="H84">
            <v>6647</v>
          </cell>
        </row>
        <row r="85">
          <cell r="H85">
            <v>24755.400000000023</v>
          </cell>
        </row>
        <row r="86">
          <cell r="F86">
            <v>438595.64</v>
          </cell>
        </row>
        <row r="87">
          <cell r="F87">
            <v>76430.3</v>
          </cell>
        </row>
        <row r="88">
          <cell r="F88">
            <v>140953.76</v>
          </cell>
        </row>
        <row r="89">
          <cell r="F89">
            <v>54788.800000000003</v>
          </cell>
        </row>
        <row r="90">
          <cell r="F90">
            <v>2828.5</v>
          </cell>
        </row>
        <row r="92">
          <cell r="F92">
            <v>229770</v>
          </cell>
          <cell r="H92">
            <v>1175</v>
          </cell>
        </row>
        <row r="93">
          <cell r="F93">
            <v>160565</v>
          </cell>
          <cell r="H93">
            <v>2042</v>
          </cell>
        </row>
        <row r="94">
          <cell r="H94">
            <v>2927</v>
          </cell>
        </row>
        <row r="95">
          <cell r="F95">
            <v>400583</v>
          </cell>
          <cell r="H95">
            <v>736</v>
          </cell>
        </row>
        <row r="96">
          <cell r="F96">
            <v>98659</v>
          </cell>
          <cell r="H96">
            <v>650</v>
          </cell>
        </row>
        <row r="97">
          <cell r="F97">
            <v>93840</v>
          </cell>
          <cell r="H97">
            <v>289</v>
          </cell>
        </row>
        <row r="98">
          <cell r="F98">
            <v>141485</v>
          </cell>
          <cell r="H98">
            <v>580</v>
          </cell>
        </row>
        <row r="99">
          <cell r="F99">
            <v>4824</v>
          </cell>
          <cell r="H99">
            <v>116</v>
          </cell>
        </row>
        <row r="100">
          <cell r="F100">
            <v>3674</v>
          </cell>
          <cell r="H100">
            <v>0</v>
          </cell>
        </row>
        <row r="101">
          <cell r="H101">
            <v>2371</v>
          </cell>
        </row>
        <row r="104">
          <cell r="F104">
            <v>7010</v>
          </cell>
        </row>
        <row r="105">
          <cell r="F105">
            <v>34581</v>
          </cell>
        </row>
        <row r="106">
          <cell r="F106">
            <v>18676</v>
          </cell>
        </row>
        <row r="109">
          <cell r="F109">
            <v>50417</v>
          </cell>
        </row>
        <row r="110">
          <cell r="F110">
            <v>24664</v>
          </cell>
        </row>
        <row r="111">
          <cell r="F111">
            <v>3257</v>
          </cell>
        </row>
        <row r="114">
          <cell r="F114">
            <v>8419</v>
          </cell>
        </row>
        <row r="115">
          <cell r="F115">
            <v>6652</v>
          </cell>
        </row>
        <row r="123">
          <cell r="F123">
            <v>785336.24100000004</v>
          </cell>
          <cell r="H123">
            <v>2411.3549999999814</v>
          </cell>
        </row>
        <row r="124">
          <cell r="F124">
            <v>73581</v>
          </cell>
          <cell r="H124">
            <v>0</v>
          </cell>
        </row>
        <row r="125">
          <cell r="F125">
            <v>131921.72</v>
          </cell>
          <cell r="H125">
            <v>815.5</v>
          </cell>
        </row>
        <row r="126">
          <cell r="F126">
            <v>55884.7</v>
          </cell>
          <cell r="H126">
            <v>298.89999999999418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31304</v>
          </cell>
          <cell r="H135">
            <v>310.97999999999956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24909.24</v>
          </cell>
          <cell r="H137">
            <v>6.9900000000016007</v>
          </cell>
        </row>
        <row r="138">
          <cell r="F138">
            <v>69929.490000000005</v>
          </cell>
          <cell r="H138">
            <v>47.840000000011059</v>
          </cell>
        </row>
        <row r="139">
          <cell r="F139">
            <v>842.87</v>
          </cell>
          <cell r="H139">
            <v>66.440000000000055</v>
          </cell>
        </row>
        <row r="140">
          <cell r="F140">
            <v>4156.96</v>
          </cell>
          <cell r="H140">
            <v>2.6899999999995998</v>
          </cell>
        </row>
        <row r="142">
          <cell r="H142">
            <v>62737.313000000126</v>
          </cell>
        </row>
        <row r="143">
          <cell r="H143">
            <v>2.9743196490858166</v>
          </cell>
        </row>
        <row r="144">
          <cell r="H144">
            <v>52946.510000000097</v>
          </cell>
        </row>
        <row r="145">
          <cell r="H145">
            <v>2.6703486126730058</v>
          </cell>
        </row>
        <row r="146">
          <cell r="H146">
            <v>48456.290000000037</v>
          </cell>
        </row>
        <row r="147">
          <cell r="H147">
            <v>2.4219032357615093</v>
          </cell>
        </row>
        <row r="148">
          <cell r="H148">
            <v>22703.659999999974</v>
          </cell>
        </row>
        <row r="149">
          <cell r="H149">
            <v>1.1427511415162594</v>
          </cell>
        </row>
        <row r="150">
          <cell r="H150">
            <v>21063.77999999997</v>
          </cell>
        </row>
        <row r="151">
          <cell r="H151">
            <v>1.0588082706039075</v>
          </cell>
        </row>
        <row r="152">
          <cell r="H152">
            <v>19343.659999999996</v>
          </cell>
        </row>
        <row r="153">
          <cell r="H153">
            <v>0.97983756802097921</v>
          </cell>
        </row>
        <row r="160">
          <cell r="F160">
            <v>22607.228999999999</v>
          </cell>
        </row>
        <row r="161">
          <cell r="F161">
            <v>14827.755999999999</v>
          </cell>
        </row>
        <row r="162">
          <cell r="F162">
            <v>33385.053</v>
          </cell>
        </row>
        <row r="163">
          <cell r="F163">
            <v>3249.6970999999999</v>
          </cell>
        </row>
      </sheetData>
      <sheetData sheetId="16"/>
      <sheetData sheetId="17">
        <row r="7">
          <cell r="F7">
            <v>2379961</v>
          </cell>
          <cell r="H7">
            <v>274936</v>
          </cell>
        </row>
        <row r="8">
          <cell r="F8">
            <v>2391451</v>
          </cell>
          <cell r="H8">
            <v>276010</v>
          </cell>
        </row>
        <row r="9">
          <cell r="F9">
            <v>2212093.7000000002</v>
          </cell>
          <cell r="H9">
            <v>195088.40000000014</v>
          </cell>
        </row>
        <row r="10">
          <cell r="F10">
            <v>70100.447</v>
          </cell>
          <cell r="H10">
            <v>70100.657000000021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229533.05700000018</v>
          </cell>
        </row>
        <row r="15">
          <cell r="F15">
            <v>1537948.6059999999</v>
          </cell>
          <cell r="H15">
            <v>7833.4120000000112</v>
          </cell>
        </row>
        <row r="18">
          <cell r="F18">
            <v>10</v>
          </cell>
          <cell r="H18">
            <v>1620</v>
          </cell>
        </row>
        <row r="19">
          <cell r="F19">
            <v>128965</v>
          </cell>
          <cell r="H19">
            <v>770</v>
          </cell>
        </row>
        <row r="20">
          <cell r="H20">
            <v>2390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2622095</v>
          </cell>
        </row>
        <row r="28">
          <cell r="H28">
            <v>285919.53800000041</v>
          </cell>
        </row>
        <row r="29">
          <cell r="H29">
            <v>0</v>
          </cell>
        </row>
        <row r="30">
          <cell r="H30">
            <v>111650</v>
          </cell>
        </row>
        <row r="31">
          <cell r="H31">
            <v>129600</v>
          </cell>
        </row>
        <row r="32">
          <cell r="H32">
            <v>3149264.5380000006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220050.15</v>
          </cell>
          <cell r="H36">
            <v>8690.1999999999825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593792.59</v>
          </cell>
          <cell r="H43">
            <v>35468.520000000019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125592.85000000011</v>
          </cell>
        </row>
        <row r="49">
          <cell r="F49">
            <v>23437.478999999999</v>
          </cell>
          <cell r="H49">
            <v>11708.190999999999</v>
          </cell>
        </row>
        <row r="50">
          <cell r="F50">
            <v>279012.55</v>
          </cell>
          <cell r="H50">
            <v>12953.609999999986</v>
          </cell>
        </row>
        <row r="51">
          <cell r="F51">
            <v>6675.1689999999999</v>
          </cell>
          <cell r="H51">
            <v>6675.1689999999999</v>
          </cell>
        </row>
        <row r="52">
          <cell r="F52">
            <v>344684.19</v>
          </cell>
          <cell r="H52">
            <v>22394.770000000019</v>
          </cell>
        </row>
        <row r="53">
          <cell r="F53">
            <v>8101</v>
          </cell>
          <cell r="H53">
            <v>8101</v>
          </cell>
        </row>
        <row r="54">
          <cell r="F54">
            <v>2457.5500000000002</v>
          </cell>
          <cell r="H54">
            <v>904.98930000000018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366810.53</v>
          </cell>
          <cell r="H56">
            <v>54766.050000000047</v>
          </cell>
        </row>
        <row r="57">
          <cell r="F57">
            <v>0</v>
          </cell>
          <cell r="H57">
            <v>0</v>
          </cell>
        </row>
        <row r="58">
          <cell r="F58">
            <v>18703.345000000001</v>
          </cell>
          <cell r="H58">
            <v>934.04899999999907</v>
          </cell>
        </row>
        <row r="59">
          <cell r="H59">
            <v>118437.55830000005</v>
          </cell>
        </row>
        <row r="60">
          <cell r="H60">
            <v>258416.56900000016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593.899</v>
          </cell>
          <cell r="H63">
            <v>295.43900000000002</v>
          </cell>
        </row>
        <row r="64">
          <cell r="F64">
            <v>81346.023000000001</v>
          </cell>
          <cell r="H64">
            <v>5282.9360000000015</v>
          </cell>
        </row>
        <row r="65">
          <cell r="F65">
            <v>90914.471000000005</v>
          </cell>
          <cell r="H65">
            <v>5755.2079999999987</v>
          </cell>
        </row>
        <row r="66">
          <cell r="F66">
            <v>84022.087</v>
          </cell>
          <cell r="H66">
            <v>5834.1290000000008</v>
          </cell>
        </row>
        <row r="67">
          <cell r="F67">
            <v>135651.29999999999</v>
          </cell>
          <cell r="H67">
            <v>9594.7999999999884</v>
          </cell>
        </row>
        <row r="68">
          <cell r="F68">
            <v>38159.275000000001</v>
          </cell>
          <cell r="H68">
            <v>4759.4060000000027</v>
          </cell>
        </row>
        <row r="69">
          <cell r="F69">
            <v>33248.527000000002</v>
          </cell>
          <cell r="H69">
            <v>3996.1620000000003</v>
          </cell>
        </row>
        <row r="72">
          <cell r="F72">
            <v>844049</v>
          </cell>
          <cell r="H72">
            <v>107</v>
          </cell>
        </row>
        <row r="73">
          <cell r="F73">
            <v>885254</v>
          </cell>
          <cell r="H73">
            <v>126</v>
          </cell>
        </row>
        <row r="74">
          <cell r="F74">
            <v>879881</v>
          </cell>
          <cell r="H74">
            <v>245</v>
          </cell>
        </row>
        <row r="75">
          <cell r="F75">
            <v>723751</v>
          </cell>
          <cell r="H75">
            <v>2385</v>
          </cell>
        </row>
        <row r="76">
          <cell r="F76">
            <v>680650</v>
          </cell>
          <cell r="H76">
            <v>2180</v>
          </cell>
        </row>
        <row r="77">
          <cell r="F77">
            <v>692982</v>
          </cell>
          <cell r="H77">
            <v>675</v>
          </cell>
        </row>
        <row r="78">
          <cell r="F78">
            <v>612753</v>
          </cell>
          <cell r="H78">
            <v>4739</v>
          </cell>
        </row>
        <row r="79">
          <cell r="F79">
            <v>795230</v>
          </cell>
          <cell r="H79">
            <v>4415</v>
          </cell>
        </row>
        <row r="80">
          <cell r="F80">
            <v>461061.32</v>
          </cell>
          <cell r="H80">
            <v>2624.4400000000023</v>
          </cell>
        </row>
        <row r="81">
          <cell r="F81">
            <v>612599</v>
          </cell>
          <cell r="H81">
            <v>1476.7199999999721</v>
          </cell>
        </row>
        <row r="82">
          <cell r="F82">
            <v>103281.32</v>
          </cell>
          <cell r="H82">
            <v>251.3700000000099</v>
          </cell>
        </row>
        <row r="83">
          <cell r="F83">
            <v>957494</v>
          </cell>
          <cell r="H83">
            <v>5251</v>
          </cell>
        </row>
        <row r="84">
          <cell r="F84">
            <v>374057</v>
          </cell>
          <cell r="H84">
            <v>7624</v>
          </cell>
        </row>
        <row r="85">
          <cell r="H85">
            <v>28773.630000000005</v>
          </cell>
        </row>
        <row r="86">
          <cell r="F86">
            <v>438627</v>
          </cell>
        </row>
        <row r="87">
          <cell r="F87">
            <v>76467.3</v>
          </cell>
        </row>
        <row r="88">
          <cell r="F88">
            <v>141001.16</v>
          </cell>
        </row>
        <row r="89">
          <cell r="F89">
            <v>54891.7</v>
          </cell>
        </row>
        <row r="90">
          <cell r="F90">
            <v>2833.8</v>
          </cell>
        </row>
        <row r="92">
          <cell r="F92">
            <v>229880</v>
          </cell>
          <cell r="H92">
            <v>1285</v>
          </cell>
        </row>
        <row r="93">
          <cell r="F93">
            <v>160748</v>
          </cell>
          <cell r="H93">
            <v>2225</v>
          </cell>
        </row>
        <row r="94">
          <cell r="H94">
            <v>3220</v>
          </cell>
        </row>
        <row r="95">
          <cell r="F95">
            <v>400682</v>
          </cell>
          <cell r="H95">
            <v>835</v>
          </cell>
        </row>
        <row r="96">
          <cell r="F96">
            <v>98703</v>
          </cell>
          <cell r="H96">
            <v>694</v>
          </cell>
        </row>
        <row r="97">
          <cell r="F97">
            <v>93878</v>
          </cell>
          <cell r="H97">
            <v>327</v>
          </cell>
        </row>
        <row r="98">
          <cell r="F98">
            <v>141530</v>
          </cell>
          <cell r="H98">
            <v>625</v>
          </cell>
        </row>
        <row r="99">
          <cell r="F99">
            <v>4838</v>
          </cell>
          <cell r="H99">
            <v>130</v>
          </cell>
        </row>
        <row r="100">
          <cell r="F100">
            <v>3674</v>
          </cell>
          <cell r="H100">
            <v>0</v>
          </cell>
        </row>
        <row r="101">
          <cell r="H101">
            <v>2611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18681</v>
          </cell>
        </row>
        <row r="109">
          <cell r="F109">
            <v>50575</v>
          </cell>
        </row>
        <row r="110">
          <cell r="F110">
            <v>24749</v>
          </cell>
        </row>
        <row r="111">
          <cell r="F111">
            <v>3268</v>
          </cell>
        </row>
        <row r="114">
          <cell r="F114">
            <v>8437</v>
          </cell>
        </row>
        <row r="115">
          <cell r="F115">
            <v>6662</v>
          </cell>
        </row>
        <row r="123">
          <cell r="F123">
            <v>785763.98100000003</v>
          </cell>
          <cell r="H123">
            <v>2839.0949999999721</v>
          </cell>
        </row>
        <row r="124">
          <cell r="F124">
            <v>73581</v>
          </cell>
          <cell r="H124">
            <v>0</v>
          </cell>
        </row>
        <row r="125">
          <cell r="F125">
            <v>132030.96</v>
          </cell>
          <cell r="H125">
            <v>924.73999999999069</v>
          </cell>
        </row>
        <row r="126">
          <cell r="F126">
            <v>55945.4</v>
          </cell>
          <cell r="H126">
            <v>359.59999999999854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31352</v>
          </cell>
          <cell r="H135">
            <v>358.97999999999956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24915.63</v>
          </cell>
          <cell r="H137">
            <v>13.380000000001019</v>
          </cell>
        </row>
        <row r="138">
          <cell r="F138">
            <v>69929.490000000005</v>
          </cell>
          <cell r="H138">
            <v>47.840000000011059</v>
          </cell>
        </row>
        <row r="139">
          <cell r="F139">
            <v>855.18</v>
          </cell>
          <cell r="H139">
            <v>78.75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73034.69100000005</v>
          </cell>
        </row>
        <row r="143">
          <cell r="H143">
            <v>3.5339804835569004</v>
          </cell>
        </row>
        <row r="144">
          <cell r="H144">
            <v>62820.450000000099</v>
          </cell>
        </row>
        <row r="145">
          <cell r="H145">
            <v>3.2057175737585841</v>
          </cell>
        </row>
        <row r="146">
          <cell r="H146">
            <v>48456.290000000037</v>
          </cell>
        </row>
        <row r="147">
          <cell r="H147">
            <v>2.4219032357615093</v>
          </cell>
        </row>
        <row r="148">
          <cell r="H148">
            <v>26019.5</v>
          </cell>
        </row>
        <row r="149">
          <cell r="H149">
            <v>1.3226777483145866</v>
          </cell>
        </row>
        <row r="150">
          <cell r="H150">
            <v>23896.179999999964</v>
          </cell>
        </row>
        <row r="151">
          <cell r="H151">
            <v>1.2126631764106235</v>
          </cell>
        </row>
        <row r="152">
          <cell r="H152">
            <v>21896.978999999999</v>
          </cell>
        </row>
        <row r="153">
          <cell r="H153">
            <v>1.1184574379082932</v>
          </cell>
        </row>
        <row r="160">
          <cell r="F160">
            <v>22748.170999999998</v>
          </cell>
        </row>
        <row r="161">
          <cell r="F161">
            <v>15010.285</v>
          </cell>
        </row>
        <row r="162">
          <cell r="F162">
            <v>33790.370999999999</v>
          </cell>
        </row>
        <row r="163">
          <cell r="F163">
            <v>3304.6405</v>
          </cell>
        </row>
      </sheetData>
      <sheetData sheetId="18">
        <row r="7">
          <cell r="F7">
            <v>2399183</v>
          </cell>
          <cell r="H7">
            <v>294158</v>
          </cell>
        </row>
        <row r="8">
          <cell r="F8">
            <v>2410732</v>
          </cell>
          <cell r="H8">
            <v>295291</v>
          </cell>
        </row>
        <row r="9">
          <cell r="F9">
            <v>2214868.9</v>
          </cell>
          <cell r="H9">
            <v>197863.59999999986</v>
          </cell>
        </row>
        <row r="10">
          <cell r="F10">
            <v>85827.755999999994</v>
          </cell>
          <cell r="H10">
            <v>85827.966000000015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248035.56599999988</v>
          </cell>
        </row>
        <row r="15">
          <cell r="F15">
            <v>1538363.2339999999</v>
          </cell>
          <cell r="H15">
            <v>8248.0400000000373</v>
          </cell>
        </row>
        <row r="18">
          <cell r="F18">
            <v>6</v>
          </cell>
          <cell r="H18">
            <v>1680</v>
          </cell>
        </row>
        <row r="19">
          <cell r="F19">
            <v>129017</v>
          </cell>
          <cell r="H19">
            <v>822</v>
          </cell>
        </row>
        <row r="20">
          <cell r="H20">
            <v>2502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</row>
        <row r="27">
          <cell r="H27">
            <v>2805264.5</v>
          </cell>
        </row>
        <row r="28">
          <cell r="H28">
            <v>301053.46000000136</v>
          </cell>
        </row>
        <row r="29">
          <cell r="H29">
            <v>0</v>
          </cell>
        </row>
        <row r="30">
          <cell r="H30">
            <v>119190</v>
          </cell>
        </row>
        <row r="31">
          <cell r="H31">
            <v>134400</v>
          </cell>
        </row>
        <row r="32">
          <cell r="H32">
            <v>3359907.9600000018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220581.03</v>
          </cell>
          <cell r="H36">
            <v>9221.0799999999872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596157.18999999994</v>
          </cell>
          <cell r="H43">
            <v>37833.119999999995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128488.33000000009</v>
          </cell>
        </row>
        <row r="49">
          <cell r="F49">
            <v>25991.866999999998</v>
          </cell>
          <cell r="H49">
            <v>14262.578999999998</v>
          </cell>
        </row>
        <row r="50">
          <cell r="F50">
            <v>280066.27</v>
          </cell>
          <cell r="H50">
            <v>14007.330000000016</v>
          </cell>
        </row>
        <row r="51">
          <cell r="H51">
            <v>7975.0519000000004</v>
          </cell>
        </row>
        <row r="52">
          <cell r="F52">
            <v>346377.51</v>
          </cell>
          <cell r="H52">
            <v>24088.090000000026</v>
          </cell>
        </row>
        <row r="53">
          <cell r="H53">
            <v>8101</v>
          </cell>
        </row>
        <row r="54">
          <cell r="F54">
            <v>2518.84</v>
          </cell>
          <cell r="H54">
            <v>966.27930000000015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372129.67</v>
          </cell>
          <cell r="H56">
            <v>60085.19</v>
          </cell>
        </row>
        <row r="57">
          <cell r="F57">
            <v>0</v>
          </cell>
          <cell r="H57">
            <v>0</v>
          </cell>
        </row>
        <row r="58">
          <cell r="F58">
            <v>18703.345000000001</v>
          </cell>
          <cell r="H58">
            <v>934.04899999999907</v>
          </cell>
        </row>
        <row r="59">
          <cell r="H59">
            <v>130419.29920000004</v>
          </cell>
        </row>
        <row r="60">
          <cell r="H60">
            <v>273293.78990000015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615.01</v>
          </cell>
          <cell r="H63">
            <v>316.55</v>
          </cell>
        </row>
        <row r="64">
          <cell r="F64">
            <v>81676.759000000005</v>
          </cell>
          <cell r="H64">
            <v>5613.6720000000059</v>
          </cell>
        </row>
        <row r="65">
          <cell r="F65">
            <v>91276.26</v>
          </cell>
          <cell r="H65">
            <v>6116.9969999999885</v>
          </cell>
        </row>
        <row r="66">
          <cell r="F66">
            <v>84389.039000000004</v>
          </cell>
          <cell r="H66">
            <v>6201.0810000000056</v>
          </cell>
        </row>
        <row r="67">
          <cell r="F67">
            <v>136310.98000000001</v>
          </cell>
          <cell r="H67">
            <v>10254.48000000001</v>
          </cell>
        </row>
        <row r="68">
          <cell r="F68">
            <v>38456.510999999999</v>
          </cell>
          <cell r="H68">
            <v>5056.6419999999998</v>
          </cell>
        </row>
        <row r="69">
          <cell r="F69">
            <v>33525.870000000003</v>
          </cell>
          <cell r="H69">
            <v>4273.505000000001</v>
          </cell>
        </row>
        <row r="72">
          <cell r="F72">
            <v>844057</v>
          </cell>
          <cell r="H72">
            <v>115</v>
          </cell>
        </row>
        <row r="73">
          <cell r="F73">
            <v>885264</v>
          </cell>
          <cell r="H73">
            <v>136</v>
          </cell>
        </row>
        <row r="74">
          <cell r="F74">
            <v>879916</v>
          </cell>
          <cell r="H74">
            <v>280</v>
          </cell>
        </row>
        <row r="75">
          <cell r="F75">
            <v>723909</v>
          </cell>
          <cell r="H75">
            <v>2543</v>
          </cell>
        </row>
        <row r="76">
          <cell r="F76">
            <v>680713</v>
          </cell>
          <cell r="H76">
            <v>2243</v>
          </cell>
        </row>
        <row r="77">
          <cell r="F77">
            <v>693029</v>
          </cell>
          <cell r="H77">
            <v>722</v>
          </cell>
        </row>
        <row r="78">
          <cell r="F78">
            <v>613100</v>
          </cell>
          <cell r="H78">
            <v>5086</v>
          </cell>
        </row>
        <row r="79">
          <cell r="F79">
            <v>795415</v>
          </cell>
          <cell r="H79">
            <v>4600</v>
          </cell>
        </row>
        <row r="80">
          <cell r="F80">
            <v>461347.32</v>
          </cell>
          <cell r="H80">
            <v>2910.4400000000023</v>
          </cell>
        </row>
        <row r="81">
          <cell r="F81">
            <v>612688.12</v>
          </cell>
          <cell r="H81">
            <v>1565.8399999999674</v>
          </cell>
        </row>
        <row r="82">
          <cell r="F82">
            <v>103286.56</v>
          </cell>
          <cell r="H82">
            <v>256.61000000000058</v>
          </cell>
        </row>
        <row r="83">
          <cell r="F83">
            <v>957818</v>
          </cell>
          <cell r="H83">
            <v>5575</v>
          </cell>
        </row>
        <row r="84">
          <cell r="F84">
            <v>374539</v>
          </cell>
          <cell r="H84">
            <v>8106</v>
          </cell>
        </row>
        <row r="85">
          <cell r="H85">
            <v>30812.989999999991</v>
          </cell>
        </row>
        <row r="86">
          <cell r="F86">
            <v>438643.04</v>
          </cell>
        </row>
        <row r="87">
          <cell r="F87">
            <v>76483.600000000006</v>
          </cell>
        </row>
        <row r="88">
          <cell r="F88">
            <v>141024.20000000001</v>
          </cell>
        </row>
        <row r="89">
          <cell r="F89">
            <v>54942.6</v>
          </cell>
        </row>
        <row r="90">
          <cell r="F90">
            <v>2836.2</v>
          </cell>
        </row>
        <row r="92">
          <cell r="F92">
            <v>229927</v>
          </cell>
          <cell r="H92">
            <v>1332</v>
          </cell>
        </row>
        <row r="93">
          <cell r="F93">
            <v>160861</v>
          </cell>
          <cell r="H93">
            <v>2338</v>
          </cell>
        </row>
        <row r="94">
          <cell r="F94">
            <v>0</v>
          </cell>
          <cell r="H94">
            <v>3380</v>
          </cell>
        </row>
        <row r="95">
          <cell r="F95">
            <v>400728</v>
          </cell>
          <cell r="H95">
            <v>881</v>
          </cell>
        </row>
        <row r="96">
          <cell r="F96">
            <v>98725</v>
          </cell>
          <cell r="H96">
            <v>716</v>
          </cell>
        </row>
        <row r="97">
          <cell r="F97">
            <v>93890</v>
          </cell>
          <cell r="H97">
            <v>339</v>
          </cell>
        </row>
        <row r="98">
          <cell r="F98">
            <v>141554</v>
          </cell>
          <cell r="H98">
            <v>649</v>
          </cell>
        </row>
        <row r="99">
          <cell r="F99">
            <v>4842</v>
          </cell>
          <cell r="H99">
            <v>134</v>
          </cell>
        </row>
        <row r="100">
          <cell r="F100">
            <v>3674</v>
          </cell>
          <cell r="H100">
            <v>0</v>
          </cell>
        </row>
        <row r="101">
          <cell r="H101">
            <v>2719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18681</v>
          </cell>
        </row>
        <row r="109">
          <cell r="F109">
            <v>50615</v>
          </cell>
        </row>
        <row r="110">
          <cell r="F110">
            <v>24758</v>
          </cell>
        </row>
        <row r="111">
          <cell r="F111">
            <v>3279</v>
          </cell>
        </row>
        <row r="114">
          <cell r="F114">
            <v>8443</v>
          </cell>
        </row>
        <row r="115">
          <cell r="F115">
            <v>6668</v>
          </cell>
        </row>
        <row r="123">
          <cell r="F123">
            <v>785994.35100000002</v>
          </cell>
          <cell r="H123">
            <v>3069.4649999999674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132110.25</v>
          </cell>
          <cell r="H125">
            <v>1004.0299999999988</v>
          </cell>
        </row>
        <row r="126">
          <cell r="F126">
            <v>55967.199999999997</v>
          </cell>
          <cell r="H126">
            <v>381.39999999999418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82.268000000032771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31376</v>
          </cell>
          <cell r="H135">
            <v>382.97999999999956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24915.63</v>
          </cell>
          <cell r="H137">
            <v>13.380000000001019</v>
          </cell>
        </row>
        <row r="138">
          <cell r="F138">
            <v>69929.399999999994</v>
          </cell>
          <cell r="H138">
            <v>47.75</v>
          </cell>
        </row>
        <row r="139">
          <cell r="F139">
            <v>861.76</v>
          </cell>
          <cell r="H139">
            <v>85.330000000000041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77953.679000000033</v>
          </cell>
        </row>
        <row r="143">
          <cell r="H143">
            <v>3.7898845518120234</v>
          </cell>
        </row>
        <row r="144">
          <cell r="H144">
            <v>68139.590000000055</v>
          </cell>
        </row>
        <row r="145">
          <cell r="H145">
            <v>3.4824390387466164</v>
          </cell>
        </row>
        <row r="146">
          <cell r="H146">
            <v>48456.290000000037</v>
          </cell>
        </row>
        <row r="147">
          <cell r="H147">
            <v>2.4219032357615093</v>
          </cell>
        </row>
        <row r="148">
          <cell r="H148">
            <v>27712.820000000007</v>
          </cell>
        </row>
        <row r="149">
          <cell r="H149">
            <v>1.4107705586360937</v>
          </cell>
        </row>
        <row r="150">
          <cell r="H150">
            <v>25480.78</v>
          </cell>
        </row>
        <row r="151">
          <cell r="H151">
            <v>1.295099967587402</v>
          </cell>
        </row>
        <row r="152">
          <cell r="H152">
            <v>23196.8619</v>
          </cell>
        </row>
        <row r="153">
          <cell r="H153">
            <v>1.1860821855932375</v>
          </cell>
        </row>
        <row r="160">
          <cell r="F160">
            <v>22820.615000000002</v>
          </cell>
        </row>
        <row r="161">
          <cell r="F161">
            <v>15108.684999999999</v>
          </cell>
        </row>
        <row r="162">
          <cell r="F162">
            <v>34006.800000000003</v>
          </cell>
        </row>
        <row r="163">
          <cell r="F163">
            <v>3323.33</v>
          </cell>
        </row>
      </sheetData>
      <sheetData sheetId="19">
        <row r="7">
          <cell r="F7">
            <v>2419051</v>
          </cell>
          <cell r="H7">
            <v>314026</v>
          </cell>
        </row>
        <row r="8">
          <cell r="F8">
            <v>2430672</v>
          </cell>
          <cell r="H8">
            <v>315231</v>
          </cell>
        </row>
        <row r="9">
          <cell r="F9">
            <v>2217715</v>
          </cell>
          <cell r="H9">
            <v>200709.69999999995</v>
          </cell>
        </row>
        <row r="10">
          <cell r="F10">
            <v>102112</v>
          </cell>
          <cell r="H10">
            <v>102112.21000000002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267165.90999999997</v>
          </cell>
        </row>
        <row r="15">
          <cell r="F15">
            <v>1538893.11</v>
          </cell>
          <cell r="H15">
            <v>8777.9160000002012</v>
          </cell>
        </row>
        <row r="18">
          <cell r="F18">
            <v>10</v>
          </cell>
          <cell r="H18">
            <v>1780</v>
          </cell>
        </row>
        <row r="19">
          <cell r="F19">
            <v>129072</v>
          </cell>
          <cell r="H19">
            <v>877</v>
          </cell>
        </row>
        <row r="20">
          <cell r="H20">
            <v>2657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2994694.5</v>
          </cell>
        </row>
        <row r="28">
          <cell r="H28">
            <v>320393.93400000734</v>
          </cell>
        </row>
        <row r="29">
          <cell r="H29">
            <v>0</v>
          </cell>
        </row>
        <row r="30">
          <cell r="H30">
            <v>127165</v>
          </cell>
        </row>
        <row r="31">
          <cell r="H31">
            <v>142400</v>
          </cell>
        </row>
        <row r="32">
          <cell r="H32">
            <v>3584653.4340000078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221162</v>
          </cell>
          <cell r="H36">
            <v>9802.0499999999884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598549</v>
          </cell>
          <cell r="H43">
            <v>40224.930000000051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131461.11000000016</v>
          </cell>
        </row>
        <row r="49">
          <cell r="F49">
            <v>28605</v>
          </cell>
          <cell r="H49">
            <v>16875.712</v>
          </cell>
        </row>
        <row r="50">
          <cell r="F50">
            <v>281232</v>
          </cell>
          <cell r="H50">
            <v>15173.059999999998</v>
          </cell>
        </row>
        <row r="51">
          <cell r="F51">
            <v>844.69</v>
          </cell>
          <cell r="H51">
            <v>8819.7419000000009</v>
          </cell>
        </row>
        <row r="52">
          <cell r="F52">
            <v>348174.59</v>
          </cell>
          <cell r="H52">
            <v>25885.170000000042</v>
          </cell>
        </row>
        <row r="53">
          <cell r="F53">
            <v>2150.2800000000002</v>
          </cell>
          <cell r="H53">
            <v>10251.280000000001</v>
          </cell>
        </row>
        <row r="54">
          <cell r="F54">
            <v>2585.64</v>
          </cell>
          <cell r="H54">
            <v>1033.0792999999999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377515</v>
          </cell>
          <cell r="H56">
            <v>65470.520000000019</v>
          </cell>
        </row>
        <row r="57">
          <cell r="F57">
            <v>0</v>
          </cell>
          <cell r="H57">
            <v>0</v>
          </cell>
        </row>
        <row r="58">
          <cell r="F58">
            <v>18789.740000000002</v>
          </cell>
          <cell r="H58">
            <v>1020.4439999999995</v>
          </cell>
        </row>
        <row r="59">
          <cell r="H59">
            <v>144528.73720000006</v>
          </cell>
        </row>
        <row r="60">
          <cell r="H60">
            <v>290376.0079000002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634.64</v>
          </cell>
          <cell r="H63">
            <v>336.18</v>
          </cell>
        </row>
        <row r="64">
          <cell r="F64">
            <v>82030</v>
          </cell>
          <cell r="H64">
            <v>5966.9130000000005</v>
          </cell>
        </row>
        <row r="65">
          <cell r="F65">
            <v>91646</v>
          </cell>
          <cell r="H65">
            <v>6486.7369999999937</v>
          </cell>
        </row>
        <row r="66">
          <cell r="F66">
            <v>84787.97</v>
          </cell>
          <cell r="H66">
            <v>6600.0120000000024</v>
          </cell>
        </row>
        <row r="67">
          <cell r="F67">
            <v>136924</v>
          </cell>
          <cell r="H67">
            <v>10867.5</v>
          </cell>
        </row>
        <row r="68">
          <cell r="F68">
            <v>38784</v>
          </cell>
          <cell r="H68">
            <v>5384.1310000000012</v>
          </cell>
        </row>
        <row r="69">
          <cell r="F69">
            <v>33804.69</v>
          </cell>
          <cell r="H69">
            <v>4552.3250000000007</v>
          </cell>
        </row>
        <row r="72">
          <cell r="F72">
            <v>844065</v>
          </cell>
          <cell r="H72">
            <v>123</v>
          </cell>
        </row>
        <row r="73">
          <cell r="F73">
            <v>885267</v>
          </cell>
          <cell r="H73">
            <v>139</v>
          </cell>
        </row>
        <row r="74">
          <cell r="F74">
            <v>879944</v>
          </cell>
          <cell r="H74">
            <v>308</v>
          </cell>
        </row>
        <row r="75">
          <cell r="F75">
            <v>724068</v>
          </cell>
          <cell r="H75">
            <v>2702</v>
          </cell>
        </row>
        <row r="76">
          <cell r="F76">
            <v>680775</v>
          </cell>
          <cell r="H76">
            <v>2305</v>
          </cell>
        </row>
        <row r="77">
          <cell r="F77">
            <v>693078</v>
          </cell>
          <cell r="H77">
            <v>771</v>
          </cell>
        </row>
        <row r="78">
          <cell r="F78">
            <v>613367</v>
          </cell>
          <cell r="H78">
            <v>5353</v>
          </cell>
        </row>
        <row r="79">
          <cell r="F79">
            <v>795589</v>
          </cell>
          <cell r="H79">
            <v>4774</v>
          </cell>
        </row>
        <row r="80">
          <cell r="F80">
            <v>461639</v>
          </cell>
          <cell r="H80">
            <v>3202.1199999999953</v>
          </cell>
        </row>
        <row r="81">
          <cell r="F81">
            <v>612820</v>
          </cell>
          <cell r="H81">
            <v>1697.7199999999721</v>
          </cell>
        </row>
        <row r="82">
          <cell r="F82">
            <v>103311.75</v>
          </cell>
          <cell r="H82">
            <v>281.80000000000291</v>
          </cell>
        </row>
        <row r="83">
          <cell r="F83">
            <v>958159</v>
          </cell>
          <cell r="H83">
            <v>5916</v>
          </cell>
        </row>
        <row r="84">
          <cell r="F84">
            <v>375018</v>
          </cell>
          <cell r="H84">
            <v>8585</v>
          </cell>
        </row>
        <row r="85">
          <cell r="H85">
            <v>32831.739999999991</v>
          </cell>
        </row>
        <row r="86">
          <cell r="F86">
            <v>438756</v>
          </cell>
        </row>
        <row r="87">
          <cell r="F87">
            <v>76513</v>
          </cell>
        </row>
        <row r="88">
          <cell r="F88">
            <v>141130.45000000001</v>
          </cell>
        </row>
        <row r="89">
          <cell r="F89">
            <v>54993</v>
          </cell>
        </row>
        <row r="90">
          <cell r="F90">
            <v>2838</v>
          </cell>
        </row>
        <row r="92">
          <cell r="F92">
            <v>229986</v>
          </cell>
          <cell r="H92">
            <v>1391</v>
          </cell>
        </row>
        <row r="93">
          <cell r="F93">
            <v>161005</v>
          </cell>
          <cell r="H93">
            <v>2482</v>
          </cell>
        </row>
        <row r="94">
          <cell r="H94">
            <v>3583</v>
          </cell>
        </row>
        <row r="95">
          <cell r="F95">
            <v>400783</v>
          </cell>
          <cell r="H95">
            <v>936</v>
          </cell>
        </row>
        <row r="96">
          <cell r="F96">
            <v>98749</v>
          </cell>
          <cell r="H96">
            <v>740</v>
          </cell>
        </row>
        <row r="97">
          <cell r="F97">
            <v>93916</v>
          </cell>
          <cell r="H97">
            <v>365</v>
          </cell>
        </row>
        <row r="98">
          <cell r="F98">
            <v>141608</v>
          </cell>
          <cell r="H98">
            <v>703</v>
          </cell>
        </row>
        <row r="99">
          <cell r="F99">
            <v>4848</v>
          </cell>
          <cell r="H99">
            <v>140</v>
          </cell>
        </row>
        <row r="100">
          <cell r="F100">
            <v>3674</v>
          </cell>
          <cell r="H100">
            <v>0</v>
          </cell>
        </row>
        <row r="101">
          <cell r="H101">
            <v>2884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18685</v>
          </cell>
        </row>
        <row r="109">
          <cell r="F109">
            <v>50664</v>
          </cell>
        </row>
        <row r="110">
          <cell r="F110">
            <v>24800</v>
          </cell>
        </row>
        <row r="111">
          <cell r="F111">
            <v>3279</v>
          </cell>
        </row>
        <row r="114">
          <cell r="F114">
            <v>8454</v>
          </cell>
        </row>
        <row r="115">
          <cell r="F115">
            <v>6675</v>
          </cell>
        </row>
        <row r="123">
          <cell r="F123">
            <v>786196.36</v>
          </cell>
          <cell r="H123">
            <v>3271.4739999999292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132165.46</v>
          </cell>
          <cell r="H125">
            <v>1059.2399999999907</v>
          </cell>
        </row>
        <row r="126">
          <cell r="F126">
            <v>55989.9</v>
          </cell>
          <cell r="H126">
            <v>404.09999999999854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332.22500000023865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H135">
            <v>407.20999999999913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24916.99</v>
          </cell>
          <cell r="H137">
            <v>14.740000000001601</v>
          </cell>
        </row>
        <row r="138">
          <cell r="F138">
            <v>69936.710000000006</v>
          </cell>
          <cell r="H138">
            <v>55.060000000012224</v>
          </cell>
        </row>
        <row r="139">
          <cell r="F139">
            <v>867.45</v>
          </cell>
          <cell r="H139">
            <v>91.020000000000095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81302.679000000033</v>
          </cell>
        </row>
        <row r="143">
          <cell r="H143">
            <v>3.9584470643950715</v>
          </cell>
        </row>
        <row r="144">
          <cell r="H144">
            <v>73524.920000000071</v>
          </cell>
        </row>
        <row r="145">
          <cell r="H145">
            <v>3.7534945048227195</v>
          </cell>
        </row>
        <row r="146">
          <cell r="H146">
            <v>50606.570000000036</v>
          </cell>
        </row>
        <row r="147">
          <cell r="H147">
            <v>2.5301315425865547</v>
          </cell>
        </row>
        <row r="148">
          <cell r="H148">
            <v>29509.900000000023</v>
          </cell>
        </row>
        <row r="149">
          <cell r="H149">
            <v>1.5012215350806284</v>
          </cell>
        </row>
        <row r="150">
          <cell r="H150">
            <v>27227.479999999981</v>
          </cell>
        </row>
        <row r="151">
          <cell r="H151">
            <v>1.3830152081752811</v>
          </cell>
        </row>
        <row r="152">
          <cell r="H152">
            <v>24041.551899999999</v>
          </cell>
        </row>
        <row r="153">
          <cell r="H153">
            <v>1.2285972852509786</v>
          </cell>
        </row>
        <row r="160">
          <cell r="F160">
            <v>22895.279999999999</v>
          </cell>
        </row>
        <row r="161">
          <cell r="F161">
            <v>15212.57</v>
          </cell>
        </row>
        <row r="162">
          <cell r="F162">
            <v>34232</v>
          </cell>
        </row>
        <row r="163">
          <cell r="F163">
            <v>3337</v>
          </cell>
        </row>
      </sheetData>
      <sheetData sheetId="20">
        <row r="7">
          <cell r="F7">
            <v>2438380</v>
          </cell>
          <cell r="H7">
            <v>333355</v>
          </cell>
        </row>
        <row r="8">
          <cell r="F8">
            <v>2450071</v>
          </cell>
          <cell r="H8">
            <v>334630</v>
          </cell>
        </row>
        <row r="9">
          <cell r="F9">
            <v>2220584</v>
          </cell>
          <cell r="H9">
            <v>203578.69999999995</v>
          </cell>
        </row>
        <row r="10">
          <cell r="F10">
            <v>117850.8</v>
          </cell>
          <cell r="H10">
            <v>117851.01000000002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267165.90999999997</v>
          </cell>
        </row>
        <row r="15">
          <cell r="F15">
            <v>1539529.88</v>
          </cell>
          <cell r="H15">
            <v>9414.685999999987</v>
          </cell>
        </row>
        <row r="18">
          <cell r="F18">
            <v>8</v>
          </cell>
          <cell r="H18">
            <v>1860</v>
          </cell>
        </row>
        <row r="19">
          <cell r="F19">
            <v>129128</v>
          </cell>
          <cell r="H19">
            <v>933</v>
          </cell>
        </row>
        <row r="20">
          <cell r="H20">
            <v>2793</v>
          </cell>
        </row>
        <row r="22">
          <cell r="F22">
            <v>2250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3178985</v>
          </cell>
        </row>
        <row r="28">
          <cell r="H28">
            <v>343636.03899999952</v>
          </cell>
        </row>
        <row r="29">
          <cell r="H29">
            <v>0</v>
          </cell>
        </row>
        <row r="30">
          <cell r="H30">
            <v>135285</v>
          </cell>
        </row>
        <row r="31">
          <cell r="H31">
            <v>148800</v>
          </cell>
        </row>
        <row r="32">
          <cell r="H32">
            <v>3806706.0389999999</v>
          </cell>
        </row>
        <row r="35">
          <cell r="H35">
            <v>25857.530000000028</v>
          </cell>
        </row>
        <row r="36">
          <cell r="F36">
            <v>221719</v>
          </cell>
          <cell r="H36">
            <v>10359.049999999988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600993</v>
          </cell>
          <cell r="H43">
            <v>42668.930000000051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134462.06000000017</v>
          </cell>
        </row>
        <row r="49">
          <cell r="F49">
            <v>31113.84</v>
          </cell>
          <cell r="H49">
            <v>19384.552</v>
          </cell>
        </row>
        <row r="50">
          <cell r="F50">
            <v>282184</v>
          </cell>
          <cell r="H50">
            <v>16125.059999999998</v>
          </cell>
        </row>
        <row r="51">
          <cell r="F51">
            <v>2273.5500000000002</v>
          </cell>
          <cell r="H51">
            <v>10248.601900000001</v>
          </cell>
        </row>
        <row r="52">
          <cell r="F52">
            <v>349944</v>
          </cell>
          <cell r="H52">
            <v>27654.580000000016</v>
          </cell>
        </row>
        <row r="53">
          <cell r="H53">
            <v>10881</v>
          </cell>
        </row>
        <row r="54">
          <cell r="F54">
            <v>2624.61</v>
          </cell>
          <cell r="H54">
            <v>1072.0493000000001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382554</v>
          </cell>
          <cell r="H56">
            <v>70509.520000000019</v>
          </cell>
        </row>
        <row r="57">
          <cell r="F57">
            <v>0</v>
          </cell>
          <cell r="H57">
            <v>0</v>
          </cell>
        </row>
        <row r="58">
          <cell r="F58">
            <v>18920</v>
          </cell>
          <cell r="H58">
            <v>1150.7039999999979</v>
          </cell>
        </row>
        <row r="59">
          <cell r="H59">
            <v>157025.79720000003</v>
          </cell>
        </row>
        <row r="60">
          <cell r="H60">
            <v>305874.01790000015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652.70000000000005</v>
          </cell>
          <cell r="H63">
            <v>354.24000000000007</v>
          </cell>
        </row>
        <row r="64">
          <cell r="F64">
            <v>82383</v>
          </cell>
          <cell r="H64">
            <v>6319.9130000000005</v>
          </cell>
        </row>
        <row r="65">
          <cell r="F65">
            <v>92018</v>
          </cell>
          <cell r="H65">
            <v>6858.7369999999937</v>
          </cell>
        </row>
        <row r="66">
          <cell r="F66">
            <v>85188.91</v>
          </cell>
          <cell r="H66">
            <v>7000.9520000000048</v>
          </cell>
        </row>
        <row r="67">
          <cell r="F67">
            <v>137565.65</v>
          </cell>
          <cell r="H67">
            <v>11509.149999999994</v>
          </cell>
        </row>
        <row r="68">
          <cell r="F68">
            <v>39118.9</v>
          </cell>
          <cell r="H68">
            <v>5719.0310000000027</v>
          </cell>
        </row>
        <row r="69">
          <cell r="F69">
            <v>34087</v>
          </cell>
          <cell r="H69">
            <v>4834.6349999999984</v>
          </cell>
        </row>
        <row r="72">
          <cell r="F72">
            <v>844073</v>
          </cell>
          <cell r="H72">
            <v>131</v>
          </cell>
        </row>
        <row r="73">
          <cell r="F73">
            <v>885268</v>
          </cell>
          <cell r="H73">
            <v>140</v>
          </cell>
        </row>
        <row r="74">
          <cell r="F74">
            <v>879961</v>
          </cell>
          <cell r="H74">
            <v>325</v>
          </cell>
        </row>
        <row r="75">
          <cell r="F75">
            <v>724222</v>
          </cell>
          <cell r="H75">
            <v>2856</v>
          </cell>
        </row>
        <row r="76">
          <cell r="F76">
            <v>680839</v>
          </cell>
          <cell r="H76">
            <v>2369</v>
          </cell>
        </row>
        <row r="77">
          <cell r="F77">
            <v>693130</v>
          </cell>
          <cell r="H77">
            <v>823</v>
          </cell>
        </row>
        <row r="78">
          <cell r="F78">
            <v>613674</v>
          </cell>
          <cell r="H78">
            <v>5660</v>
          </cell>
        </row>
        <row r="79">
          <cell r="F79">
            <v>795761</v>
          </cell>
          <cell r="H79">
            <v>4946</v>
          </cell>
        </row>
        <row r="80">
          <cell r="F80">
            <v>461938</v>
          </cell>
          <cell r="H80">
            <v>3501.1199999999953</v>
          </cell>
        </row>
        <row r="81">
          <cell r="F81">
            <v>612919</v>
          </cell>
          <cell r="H81">
            <v>1796.7199999999721</v>
          </cell>
        </row>
        <row r="82">
          <cell r="F82">
            <v>103317</v>
          </cell>
          <cell r="H82">
            <v>287.05000000000291</v>
          </cell>
        </row>
        <row r="83">
          <cell r="F83">
            <v>958497</v>
          </cell>
          <cell r="H83">
            <v>6254</v>
          </cell>
        </row>
        <row r="84">
          <cell r="F84">
            <v>375502</v>
          </cell>
          <cell r="H84">
            <v>9069</v>
          </cell>
        </row>
        <row r="85">
          <cell r="H85">
            <v>34831.989999999991</v>
          </cell>
        </row>
        <row r="86">
          <cell r="F86">
            <v>438872</v>
          </cell>
        </row>
        <row r="87">
          <cell r="F87">
            <v>76545.8</v>
          </cell>
        </row>
        <row r="88">
          <cell r="F88">
            <v>141217.75</v>
          </cell>
        </row>
        <row r="89">
          <cell r="F89">
            <v>55045</v>
          </cell>
        </row>
        <row r="90">
          <cell r="F90">
            <v>2841</v>
          </cell>
        </row>
        <row r="92">
          <cell r="F92">
            <v>230056</v>
          </cell>
          <cell r="H92">
            <v>1461</v>
          </cell>
        </row>
        <row r="93">
          <cell r="F93">
            <v>161122</v>
          </cell>
          <cell r="H93">
            <v>2599</v>
          </cell>
        </row>
        <row r="94">
          <cell r="H94">
            <v>3770</v>
          </cell>
        </row>
        <row r="95">
          <cell r="F95">
            <v>400841</v>
          </cell>
          <cell r="H95">
            <v>994</v>
          </cell>
        </row>
        <row r="96">
          <cell r="F96">
            <v>98783</v>
          </cell>
          <cell r="H96">
            <v>774</v>
          </cell>
        </row>
        <row r="97">
          <cell r="F97">
            <v>93939</v>
          </cell>
          <cell r="H97">
            <v>388</v>
          </cell>
        </row>
        <row r="98">
          <cell r="F98">
            <v>141647</v>
          </cell>
          <cell r="H98">
            <v>742</v>
          </cell>
        </row>
        <row r="99">
          <cell r="F99">
            <v>4857</v>
          </cell>
          <cell r="H99">
            <v>149</v>
          </cell>
        </row>
        <row r="100">
          <cell r="F100">
            <v>3674</v>
          </cell>
          <cell r="H100">
            <v>0</v>
          </cell>
        </row>
        <row r="101">
          <cell r="H101">
            <v>3047</v>
          </cell>
        </row>
        <row r="104">
          <cell r="F104">
            <v>7010</v>
          </cell>
        </row>
        <row r="105">
          <cell r="F105">
            <v>34597</v>
          </cell>
        </row>
        <row r="106">
          <cell r="F106">
            <v>18689</v>
          </cell>
        </row>
        <row r="109">
          <cell r="F109">
            <v>50673</v>
          </cell>
        </row>
        <row r="110">
          <cell r="F110">
            <v>24830</v>
          </cell>
        </row>
        <row r="111">
          <cell r="F111">
            <v>3291</v>
          </cell>
        </row>
        <row r="114">
          <cell r="F114">
            <v>8462</v>
          </cell>
        </row>
        <row r="115">
          <cell r="F115">
            <v>6682</v>
          </cell>
        </row>
        <row r="123">
          <cell r="F123">
            <v>786395.88</v>
          </cell>
          <cell r="H123">
            <v>3470.9939999999478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132225</v>
          </cell>
          <cell r="H125">
            <v>1118.7799999999988</v>
          </cell>
        </row>
        <row r="126">
          <cell r="F126">
            <v>56016.9</v>
          </cell>
          <cell r="H126">
            <v>431.09999999999854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682.93499999999767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31427.22</v>
          </cell>
          <cell r="H135">
            <v>431.20000000000073</v>
          </cell>
        </row>
        <row r="136">
          <cell r="F136">
            <v>21627.22</v>
          </cell>
          <cell r="H136">
            <v>29.190000000002328</v>
          </cell>
        </row>
        <row r="137">
          <cell r="F137">
            <v>24922.95</v>
          </cell>
          <cell r="H137">
            <v>20.700000000000728</v>
          </cell>
        </row>
        <row r="138">
          <cell r="F138">
            <v>69936.710000000006</v>
          </cell>
          <cell r="H138">
            <v>55.060000000012224</v>
          </cell>
        </row>
        <row r="139">
          <cell r="F139">
            <v>873.04</v>
          </cell>
          <cell r="H139">
            <v>96.610000000000014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86255.519000000029</v>
          </cell>
        </row>
        <row r="143">
          <cell r="H143">
            <v>4.2146858765426218</v>
          </cell>
        </row>
        <row r="144">
          <cell r="H144">
            <v>78563.920000000071</v>
          </cell>
        </row>
        <row r="145">
          <cell r="H145">
            <v>4.0141908678006279</v>
          </cell>
        </row>
        <row r="146">
          <cell r="H146">
            <v>51236.290000000037</v>
          </cell>
        </row>
        <row r="147">
          <cell r="H147">
            <v>2.5627105689200431</v>
          </cell>
        </row>
        <row r="148">
          <cell r="H148">
            <v>31279.309999999998</v>
          </cell>
        </row>
        <row r="149">
          <cell r="H149">
            <v>1.5927632599499943</v>
          </cell>
        </row>
        <row r="150">
          <cell r="H150">
            <v>28736.479999999981</v>
          </cell>
        </row>
        <row r="151">
          <cell r="H151">
            <v>1.4610844305872011</v>
          </cell>
        </row>
        <row r="152">
          <cell r="H152">
            <v>25470.411899999999</v>
          </cell>
        </row>
        <row r="153">
          <cell r="H153">
            <v>1.3025204059504456</v>
          </cell>
        </row>
        <row r="160">
          <cell r="F160">
            <v>22967.81</v>
          </cell>
        </row>
        <row r="161">
          <cell r="F161">
            <v>15313.77</v>
          </cell>
        </row>
        <row r="162">
          <cell r="F162">
            <v>34458</v>
          </cell>
        </row>
        <row r="163">
          <cell r="F163">
            <v>3351</v>
          </cell>
        </row>
      </sheetData>
      <sheetData sheetId="21">
        <row r="7">
          <cell r="F7">
            <v>2457718</v>
          </cell>
          <cell r="H7">
            <v>352693</v>
          </cell>
        </row>
        <row r="8">
          <cell r="F8">
            <v>2469633</v>
          </cell>
          <cell r="H8">
            <v>354192</v>
          </cell>
        </row>
        <row r="9">
          <cell r="F9">
            <v>2223570</v>
          </cell>
          <cell r="H9">
            <v>206564.69999999995</v>
          </cell>
        </row>
        <row r="10">
          <cell r="F10">
            <v>133488</v>
          </cell>
          <cell r="H10">
            <v>133488.21000000002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285789.11</v>
          </cell>
        </row>
        <row r="15">
          <cell r="F15">
            <v>1540093</v>
          </cell>
          <cell r="H15">
            <v>9977.8060000000987</v>
          </cell>
        </row>
        <row r="18">
          <cell r="F18">
            <v>8</v>
          </cell>
          <cell r="H18">
            <v>1940</v>
          </cell>
        </row>
        <row r="19">
          <cell r="F19">
            <v>129185</v>
          </cell>
          <cell r="H19">
            <v>990</v>
          </cell>
        </row>
        <row r="20">
          <cell r="H20">
            <v>2930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3364824</v>
          </cell>
        </row>
        <row r="28">
          <cell r="H28">
            <v>364189.9190000036</v>
          </cell>
        </row>
        <row r="29">
          <cell r="H29">
            <v>0</v>
          </cell>
        </row>
        <row r="30">
          <cell r="H30">
            <v>143550</v>
          </cell>
        </row>
        <row r="31">
          <cell r="H31">
            <v>155200</v>
          </cell>
        </row>
        <row r="32">
          <cell r="H32">
            <v>4027763.919000004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222298</v>
          </cell>
          <cell r="H36">
            <v>10938.049999999988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603535.94999999995</v>
          </cell>
          <cell r="H43">
            <v>45211.880000000005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137584.49000000017</v>
          </cell>
        </row>
        <row r="49">
          <cell r="F49">
            <v>33609</v>
          </cell>
          <cell r="H49">
            <v>21879.712</v>
          </cell>
        </row>
        <row r="50">
          <cell r="F50">
            <v>283278</v>
          </cell>
          <cell r="H50">
            <v>17219.059999999998</v>
          </cell>
        </row>
        <row r="51">
          <cell r="F51">
            <v>3685</v>
          </cell>
          <cell r="H51">
            <v>11660.051900000002</v>
          </cell>
        </row>
        <row r="52">
          <cell r="F52">
            <v>351684</v>
          </cell>
          <cell r="H52">
            <v>29394.580000000016</v>
          </cell>
        </row>
        <row r="53">
          <cell r="F53">
            <v>174.94</v>
          </cell>
          <cell r="H53">
            <v>11055.94</v>
          </cell>
        </row>
        <row r="54">
          <cell r="F54">
            <v>2633</v>
          </cell>
          <cell r="H54">
            <v>1080.4393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387429</v>
          </cell>
          <cell r="H56">
            <v>75384.520000000019</v>
          </cell>
        </row>
        <row r="57">
          <cell r="F57">
            <v>0</v>
          </cell>
          <cell r="H57">
            <v>0</v>
          </cell>
        </row>
        <row r="58">
          <cell r="F58">
            <v>18987</v>
          </cell>
          <cell r="H58">
            <v>1217.7039999999979</v>
          </cell>
        </row>
        <row r="59">
          <cell r="H59">
            <v>168891.73720000003</v>
          </cell>
        </row>
        <row r="60">
          <cell r="H60">
            <v>320862.38790000015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670</v>
          </cell>
          <cell r="H63">
            <v>371.54</v>
          </cell>
        </row>
        <row r="64">
          <cell r="F64">
            <v>82750</v>
          </cell>
          <cell r="H64">
            <v>6686.9130000000005</v>
          </cell>
        </row>
        <row r="65">
          <cell r="F65">
            <v>92395</v>
          </cell>
          <cell r="H65">
            <v>7235.7369999999937</v>
          </cell>
        </row>
        <row r="66">
          <cell r="F66">
            <v>85576</v>
          </cell>
          <cell r="H66">
            <v>7388.0420000000013</v>
          </cell>
        </row>
        <row r="67">
          <cell r="F67">
            <v>138255</v>
          </cell>
          <cell r="H67">
            <v>12198.5</v>
          </cell>
        </row>
        <row r="68">
          <cell r="F68">
            <v>39415.54</v>
          </cell>
          <cell r="H68">
            <v>6015.6710000000021</v>
          </cell>
        </row>
        <row r="69">
          <cell r="F69">
            <v>34377</v>
          </cell>
          <cell r="H69">
            <v>5124.6349999999984</v>
          </cell>
        </row>
        <row r="72">
          <cell r="F72">
            <v>844084</v>
          </cell>
          <cell r="H72">
            <v>142</v>
          </cell>
        </row>
        <row r="73">
          <cell r="F73">
            <v>885271</v>
          </cell>
          <cell r="H73">
            <v>143</v>
          </cell>
        </row>
        <row r="74">
          <cell r="F74">
            <v>879978</v>
          </cell>
          <cell r="H74">
            <v>342</v>
          </cell>
        </row>
        <row r="75">
          <cell r="F75">
            <v>724376</v>
          </cell>
          <cell r="H75">
            <v>3010</v>
          </cell>
        </row>
        <row r="76">
          <cell r="F76">
            <v>680916</v>
          </cell>
          <cell r="H76">
            <v>2446</v>
          </cell>
        </row>
        <row r="77">
          <cell r="F77">
            <v>693181</v>
          </cell>
          <cell r="H77">
            <v>874</v>
          </cell>
        </row>
        <row r="78">
          <cell r="F78">
            <v>614050</v>
          </cell>
          <cell r="H78">
            <v>6036</v>
          </cell>
        </row>
        <row r="79">
          <cell r="F79">
            <v>795927</v>
          </cell>
          <cell r="H79">
            <v>5112</v>
          </cell>
        </row>
        <row r="80">
          <cell r="F80">
            <v>462218</v>
          </cell>
          <cell r="H80">
            <v>3781.1199999999953</v>
          </cell>
        </row>
        <row r="81">
          <cell r="F81">
            <v>613001</v>
          </cell>
          <cell r="H81">
            <v>1878.7199999999721</v>
          </cell>
        </row>
        <row r="82">
          <cell r="F82">
            <v>103339</v>
          </cell>
          <cell r="H82">
            <v>309.05000000000291</v>
          </cell>
        </row>
        <row r="83">
          <cell r="F83">
            <v>958821</v>
          </cell>
          <cell r="H83">
            <v>6578</v>
          </cell>
        </row>
        <row r="84">
          <cell r="F84">
            <v>375992</v>
          </cell>
          <cell r="H84">
            <v>9559</v>
          </cell>
        </row>
        <row r="85">
          <cell r="H85">
            <v>36884.989999999991</v>
          </cell>
        </row>
        <row r="86">
          <cell r="F86">
            <v>438977</v>
          </cell>
        </row>
        <row r="87">
          <cell r="F87">
            <v>76582</v>
          </cell>
        </row>
        <row r="88">
          <cell r="F88">
            <v>141281</v>
          </cell>
        </row>
        <row r="89">
          <cell r="F89">
            <v>55105</v>
          </cell>
        </row>
        <row r="90">
          <cell r="F90">
            <v>2846</v>
          </cell>
        </row>
        <row r="92">
          <cell r="F92">
            <v>230110</v>
          </cell>
          <cell r="H92">
            <v>1515</v>
          </cell>
        </row>
        <row r="93">
          <cell r="F93">
            <v>161246</v>
          </cell>
          <cell r="H93">
            <v>2723</v>
          </cell>
        </row>
        <row r="94">
          <cell r="H94">
            <v>3948</v>
          </cell>
        </row>
        <row r="95">
          <cell r="F95">
            <v>400887</v>
          </cell>
          <cell r="H95">
            <v>1040</v>
          </cell>
        </row>
        <row r="96">
          <cell r="F96">
            <v>98808</v>
          </cell>
          <cell r="H96">
            <v>799</v>
          </cell>
        </row>
        <row r="97">
          <cell r="F97">
            <v>93963</v>
          </cell>
          <cell r="H97">
            <v>412</v>
          </cell>
        </row>
        <row r="98">
          <cell r="F98">
            <v>141687</v>
          </cell>
          <cell r="H98">
            <v>782</v>
          </cell>
        </row>
        <row r="99">
          <cell r="F99">
            <v>4865</v>
          </cell>
          <cell r="H99">
            <v>157</v>
          </cell>
        </row>
        <row r="100">
          <cell r="F100">
            <v>3674</v>
          </cell>
          <cell r="H100">
            <v>0</v>
          </cell>
        </row>
        <row r="101">
          <cell r="H101">
            <v>3190</v>
          </cell>
        </row>
        <row r="104">
          <cell r="F104">
            <v>7010</v>
          </cell>
        </row>
        <row r="105">
          <cell r="F105">
            <v>34597</v>
          </cell>
        </row>
        <row r="106">
          <cell r="F106">
            <v>18692</v>
          </cell>
        </row>
        <row r="109">
          <cell r="F109">
            <v>50712</v>
          </cell>
        </row>
        <row r="110">
          <cell r="F110">
            <v>24879</v>
          </cell>
        </row>
        <row r="111">
          <cell r="F111">
            <v>3292</v>
          </cell>
        </row>
        <row r="114">
          <cell r="F114">
            <v>8472</v>
          </cell>
        </row>
        <row r="115">
          <cell r="F115">
            <v>6688</v>
          </cell>
        </row>
        <row r="123">
          <cell r="F123">
            <v>786609</v>
          </cell>
          <cell r="H123">
            <v>3684.1139999999432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132298</v>
          </cell>
          <cell r="H125">
            <v>1191.7799999999988</v>
          </cell>
        </row>
        <row r="126">
          <cell r="F126">
            <v>56044</v>
          </cell>
          <cell r="H126">
            <v>458.19999999999709</v>
          </cell>
        </row>
        <row r="127">
          <cell r="F127">
            <v>8640</v>
          </cell>
          <cell r="H127">
            <v>1</v>
          </cell>
        </row>
        <row r="128">
          <cell r="H128">
            <v>932.93500000011591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31451.42</v>
          </cell>
          <cell r="H135">
            <v>455.39999999999782</v>
          </cell>
        </row>
        <row r="136">
          <cell r="F136">
            <v>21629</v>
          </cell>
          <cell r="H136">
            <v>30.970000000001164</v>
          </cell>
        </row>
        <row r="137">
          <cell r="F137">
            <v>24922.95</v>
          </cell>
          <cell r="H137">
            <v>20.700000000000728</v>
          </cell>
        </row>
        <row r="138">
          <cell r="F138">
            <v>69942.850000000006</v>
          </cell>
          <cell r="H138">
            <v>61.200000000011642</v>
          </cell>
        </row>
        <row r="139">
          <cell r="F139">
            <v>879</v>
          </cell>
          <cell r="H139">
            <v>102.57000000000005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91293.628999999986</v>
          </cell>
        </row>
        <row r="143">
          <cell r="H143">
            <v>4.4752148867815276</v>
          </cell>
        </row>
        <row r="144">
          <cell r="H144">
            <v>83439.400000000111</v>
          </cell>
        </row>
        <row r="145">
          <cell r="H145">
            <v>4.2663100114556096</v>
          </cell>
        </row>
        <row r="146">
          <cell r="H146">
            <v>51411.23000000004</v>
          </cell>
        </row>
        <row r="147">
          <cell r="H147">
            <v>2.5717570059869579</v>
          </cell>
        </row>
        <row r="148">
          <cell r="H148">
            <v>33019.31</v>
          </cell>
        </row>
        <row r="149">
          <cell r="H149">
            <v>1.6827415410545554</v>
          </cell>
        </row>
        <row r="150">
          <cell r="H150">
            <v>30409.479999999981</v>
          </cell>
        </row>
        <row r="151">
          <cell r="H151">
            <v>1.5475980307526784</v>
          </cell>
        </row>
        <row r="152">
          <cell r="H152">
            <v>26881.8619</v>
          </cell>
        </row>
        <row r="153">
          <cell r="H153">
            <v>1.3755088225395449</v>
          </cell>
        </row>
        <row r="160">
          <cell r="F160">
            <v>23038</v>
          </cell>
        </row>
        <row r="161">
          <cell r="F161">
            <v>15416</v>
          </cell>
        </row>
        <row r="162">
          <cell r="F162">
            <v>34683</v>
          </cell>
        </row>
        <row r="163">
          <cell r="F163">
            <v>3363.52</v>
          </cell>
        </row>
      </sheetData>
      <sheetData sheetId="22">
        <row r="7">
          <cell r="F7">
            <v>2476592</v>
          </cell>
          <cell r="H7">
            <v>371567</v>
          </cell>
        </row>
        <row r="8">
          <cell r="F8">
            <v>2488730</v>
          </cell>
          <cell r="H8">
            <v>373289</v>
          </cell>
        </row>
        <row r="9">
          <cell r="F9">
            <v>2226565</v>
          </cell>
          <cell r="H9">
            <v>209559.69999999995</v>
          </cell>
        </row>
        <row r="10">
          <cell r="F10">
            <v>148670.91</v>
          </cell>
          <cell r="H10">
            <v>148671.12000000002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303967.02</v>
          </cell>
        </row>
        <row r="15">
          <cell r="F15">
            <v>1540733</v>
          </cell>
          <cell r="H15">
            <v>10617.806000000099</v>
          </cell>
        </row>
        <row r="18">
          <cell r="F18">
            <v>8</v>
          </cell>
          <cell r="H18">
            <v>2020</v>
          </cell>
        </row>
        <row r="19">
          <cell r="F19">
            <v>129243</v>
          </cell>
          <cell r="H19">
            <v>1048</v>
          </cell>
        </row>
        <row r="20">
          <cell r="H20">
            <v>3068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3546245.5</v>
          </cell>
        </row>
        <row r="28">
          <cell r="H28">
            <v>387549.9190000036</v>
          </cell>
        </row>
        <row r="29">
          <cell r="H29">
            <v>0</v>
          </cell>
        </row>
        <row r="30">
          <cell r="H30">
            <v>151960</v>
          </cell>
        </row>
        <row r="31">
          <cell r="H31">
            <v>161600</v>
          </cell>
        </row>
        <row r="32">
          <cell r="H32">
            <v>4247355.4190000035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222882</v>
          </cell>
          <cell r="H36">
            <v>11522.049999999988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606076.03</v>
          </cell>
          <cell r="H43">
            <v>47751.960000000079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140708.57000000024</v>
          </cell>
        </row>
        <row r="49">
          <cell r="F49">
            <v>36135.300000000003</v>
          </cell>
          <cell r="H49">
            <v>24406.012000000002</v>
          </cell>
        </row>
        <row r="50">
          <cell r="F50">
            <v>284368.01</v>
          </cell>
          <cell r="H50">
            <v>18309.070000000007</v>
          </cell>
        </row>
        <row r="51">
          <cell r="F51">
            <v>5072.74</v>
          </cell>
          <cell r="H51">
            <v>13047.791900000002</v>
          </cell>
        </row>
        <row r="52">
          <cell r="F52">
            <v>353447.47</v>
          </cell>
          <cell r="H52">
            <v>31158.049999999988</v>
          </cell>
        </row>
        <row r="53">
          <cell r="F53">
            <v>4149.8999999999996</v>
          </cell>
          <cell r="H53">
            <v>15030.9</v>
          </cell>
        </row>
        <row r="54">
          <cell r="F54">
            <v>2648.98</v>
          </cell>
          <cell r="H54">
            <v>1096.4193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391750.55</v>
          </cell>
          <cell r="H56">
            <v>79706.070000000007</v>
          </cell>
        </row>
        <row r="57">
          <cell r="F57">
            <v>0</v>
          </cell>
          <cell r="H57">
            <v>0</v>
          </cell>
        </row>
        <row r="58">
          <cell r="F58">
            <v>19157.09</v>
          </cell>
          <cell r="H58">
            <v>1387.7939999999981</v>
          </cell>
        </row>
        <row r="59">
          <cell r="H59">
            <v>184141.83720000001</v>
          </cell>
        </row>
        <row r="60">
          <cell r="H60">
            <v>339236.5679000002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689.02</v>
          </cell>
          <cell r="H63">
            <v>390.56</v>
          </cell>
        </row>
        <row r="64">
          <cell r="F64">
            <v>83110.39</v>
          </cell>
          <cell r="H64">
            <v>7047.3029999999999</v>
          </cell>
        </row>
        <row r="65">
          <cell r="F65">
            <v>92779.35</v>
          </cell>
          <cell r="H65">
            <v>7620.0869999999995</v>
          </cell>
        </row>
        <row r="66">
          <cell r="F66">
            <v>85958.76</v>
          </cell>
          <cell r="H66">
            <v>7770.801999999996</v>
          </cell>
        </row>
        <row r="67">
          <cell r="F67">
            <v>138948.75</v>
          </cell>
          <cell r="H67">
            <v>12892.25</v>
          </cell>
        </row>
        <row r="68">
          <cell r="F68">
            <v>39708.44</v>
          </cell>
          <cell r="H68">
            <v>6308.5710000000036</v>
          </cell>
        </row>
        <row r="69">
          <cell r="F69">
            <v>34670</v>
          </cell>
          <cell r="H69">
            <v>5417.6349999999984</v>
          </cell>
        </row>
        <row r="70">
          <cell r="H70">
            <v>0</v>
          </cell>
        </row>
        <row r="72">
          <cell r="F72">
            <v>844094</v>
          </cell>
          <cell r="H72">
            <v>152</v>
          </cell>
        </row>
        <row r="73">
          <cell r="F73">
            <v>885292</v>
          </cell>
          <cell r="H73">
            <v>164</v>
          </cell>
        </row>
        <row r="74">
          <cell r="F74">
            <v>880000</v>
          </cell>
          <cell r="H74">
            <v>364</v>
          </cell>
        </row>
        <row r="75">
          <cell r="F75">
            <v>724541</v>
          </cell>
          <cell r="H75">
            <v>3175</v>
          </cell>
        </row>
        <row r="76">
          <cell r="F76">
            <v>680984</v>
          </cell>
          <cell r="H76">
            <v>2514</v>
          </cell>
        </row>
        <row r="77">
          <cell r="F77">
            <v>693231</v>
          </cell>
          <cell r="H77">
            <v>924</v>
          </cell>
        </row>
        <row r="78">
          <cell r="F78">
            <v>614421</v>
          </cell>
          <cell r="H78">
            <v>6407</v>
          </cell>
        </row>
        <row r="79">
          <cell r="F79">
            <v>796096</v>
          </cell>
          <cell r="H79">
            <v>5281</v>
          </cell>
        </row>
        <row r="80">
          <cell r="F80">
            <v>462507</v>
          </cell>
          <cell r="H80">
            <v>4070.1199999999953</v>
          </cell>
        </row>
        <row r="81">
          <cell r="F81">
            <v>613085</v>
          </cell>
          <cell r="H81">
            <v>1962.7199999999721</v>
          </cell>
        </row>
        <row r="82">
          <cell r="F82">
            <v>103348</v>
          </cell>
          <cell r="H82">
            <v>318.05000000000291</v>
          </cell>
        </row>
        <row r="83">
          <cell r="F83">
            <v>959177</v>
          </cell>
          <cell r="H83">
            <v>6934</v>
          </cell>
        </row>
        <row r="84">
          <cell r="F84">
            <v>376481</v>
          </cell>
          <cell r="H84">
            <v>10048</v>
          </cell>
        </row>
        <row r="85">
          <cell r="H85">
            <v>38987.989999999991</v>
          </cell>
        </row>
        <row r="86">
          <cell r="F86">
            <v>439076</v>
          </cell>
        </row>
        <row r="87">
          <cell r="F87">
            <v>76614</v>
          </cell>
        </row>
        <row r="88">
          <cell r="F88">
            <v>141390</v>
          </cell>
        </row>
        <row r="89">
          <cell r="F89">
            <v>55152</v>
          </cell>
        </row>
        <row r="90">
          <cell r="F90">
            <v>2849</v>
          </cell>
        </row>
        <row r="92">
          <cell r="F92">
            <v>230165</v>
          </cell>
          <cell r="H92">
            <v>1570</v>
          </cell>
        </row>
        <row r="93">
          <cell r="F93">
            <v>161344</v>
          </cell>
          <cell r="H93">
            <v>2821</v>
          </cell>
        </row>
        <row r="94">
          <cell r="H94">
            <v>4101</v>
          </cell>
        </row>
        <row r="95">
          <cell r="F95">
            <v>400952</v>
          </cell>
          <cell r="H95">
            <v>1105</v>
          </cell>
        </row>
        <row r="96">
          <cell r="F96">
            <v>98832</v>
          </cell>
          <cell r="H96">
            <v>823</v>
          </cell>
        </row>
        <row r="97">
          <cell r="F97">
            <v>93983</v>
          </cell>
          <cell r="H97">
            <v>432</v>
          </cell>
        </row>
        <row r="98">
          <cell r="F98">
            <v>141725</v>
          </cell>
          <cell r="H98">
            <v>820</v>
          </cell>
        </row>
        <row r="99">
          <cell r="F99">
            <v>4871</v>
          </cell>
          <cell r="H99">
            <v>163</v>
          </cell>
        </row>
        <row r="100">
          <cell r="F100">
            <v>3674</v>
          </cell>
          <cell r="H100">
            <v>0</v>
          </cell>
        </row>
        <row r="101">
          <cell r="H101">
            <v>3343</v>
          </cell>
        </row>
        <row r="104">
          <cell r="F104">
            <v>7010</v>
          </cell>
        </row>
        <row r="105">
          <cell r="F105">
            <v>34610</v>
          </cell>
        </row>
        <row r="106">
          <cell r="F106">
            <v>18697</v>
          </cell>
        </row>
        <row r="109">
          <cell r="F109">
            <v>50773</v>
          </cell>
        </row>
        <row r="110">
          <cell r="F110">
            <v>24913</v>
          </cell>
        </row>
        <row r="111">
          <cell r="F111">
            <v>3307</v>
          </cell>
        </row>
        <row r="114">
          <cell r="F114">
            <v>8480</v>
          </cell>
        </row>
        <row r="115">
          <cell r="F115">
            <v>6694</v>
          </cell>
        </row>
        <row r="123">
          <cell r="F123">
            <v>786821.33</v>
          </cell>
          <cell r="H123">
            <v>3896.4439999999013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132350.88</v>
          </cell>
          <cell r="H125">
            <v>1244.6600000000035</v>
          </cell>
        </row>
        <row r="126">
          <cell r="F126">
            <v>56071.9</v>
          </cell>
          <cell r="H126">
            <v>486.09999999999854</v>
          </cell>
        </row>
        <row r="127">
          <cell r="F127">
            <v>8640</v>
          </cell>
          <cell r="H127">
            <v>1</v>
          </cell>
        </row>
        <row r="128">
          <cell r="H128">
            <v>1279.8250000001517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31475.48</v>
          </cell>
          <cell r="H135">
            <v>479.45999999999913</v>
          </cell>
        </row>
        <row r="136">
          <cell r="F136">
            <v>21629</v>
          </cell>
          <cell r="H136">
            <v>30.970000000001164</v>
          </cell>
        </row>
        <row r="137">
          <cell r="F137">
            <v>24928.97</v>
          </cell>
          <cell r="H137">
            <v>26.720000000001164</v>
          </cell>
        </row>
        <row r="138">
          <cell r="F138">
            <v>69942.850000000006</v>
          </cell>
          <cell r="H138">
            <v>61.200000000011642</v>
          </cell>
        </row>
        <row r="139">
          <cell r="F139">
            <v>884.99</v>
          </cell>
          <cell r="H139">
            <v>108.56000000000006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96360.009000000064</v>
          </cell>
        </row>
        <row r="143">
          <cell r="H143">
            <v>4.7436465917725243</v>
          </cell>
        </row>
        <row r="144">
          <cell r="H144">
            <v>87760.950000000099</v>
          </cell>
        </row>
        <row r="145">
          <cell r="H145">
            <v>4.4952784336236711</v>
          </cell>
        </row>
        <row r="146">
          <cell r="H146">
            <v>55386.190000000039</v>
          </cell>
        </row>
        <row r="147">
          <cell r="H147">
            <v>2.7823620711559736</v>
          </cell>
        </row>
        <row r="148">
          <cell r="H148">
            <v>34782.77999999997</v>
          </cell>
        </row>
        <row r="149">
          <cell r="H149">
            <v>1.7761753653631265</v>
          </cell>
        </row>
        <row r="150">
          <cell r="H150">
            <v>32083.489999999991</v>
          </cell>
        </row>
        <row r="151">
          <cell r="H151">
            <v>1.6362920012941646</v>
          </cell>
        </row>
        <row r="152">
          <cell r="H152">
            <v>28269.601900000001</v>
          </cell>
        </row>
        <row r="153">
          <cell r="H153">
            <v>1.4490353669922311</v>
          </cell>
        </row>
        <row r="160">
          <cell r="F160">
            <v>23111.93</v>
          </cell>
        </row>
        <row r="163">
          <cell r="F163">
            <v>3375.34</v>
          </cell>
        </row>
      </sheetData>
      <sheetData sheetId="23">
        <row r="7">
          <cell r="F7">
            <v>2495879</v>
          </cell>
          <cell r="H7">
            <v>390854</v>
          </cell>
        </row>
        <row r="8">
          <cell r="F8">
            <v>2508240</v>
          </cell>
          <cell r="H8">
            <v>392799</v>
          </cell>
        </row>
        <row r="9">
          <cell r="F9">
            <v>2229568</v>
          </cell>
          <cell r="H9">
            <v>212562.69999999995</v>
          </cell>
        </row>
        <row r="10">
          <cell r="F10">
            <v>164247.32</v>
          </cell>
          <cell r="H10">
            <v>164247.53000000003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322546.43000000005</v>
          </cell>
        </row>
        <row r="15">
          <cell r="F15">
            <v>1541466</v>
          </cell>
          <cell r="H15">
            <v>11350.806000000099</v>
          </cell>
        </row>
        <row r="18">
          <cell r="F18">
            <v>10</v>
          </cell>
          <cell r="H18">
            <v>2120</v>
          </cell>
        </row>
        <row r="19">
          <cell r="F19">
            <v>129301</v>
          </cell>
          <cell r="H19">
            <v>1106</v>
          </cell>
        </row>
        <row r="20">
          <cell r="H20">
            <v>3226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3731590.5</v>
          </cell>
        </row>
        <row r="28">
          <cell r="H28">
            <v>414304.4190000036</v>
          </cell>
        </row>
        <row r="29">
          <cell r="H29">
            <v>0</v>
          </cell>
        </row>
        <row r="30">
          <cell r="H30">
            <v>160370</v>
          </cell>
        </row>
        <row r="31">
          <cell r="H31">
            <v>169600</v>
          </cell>
        </row>
        <row r="32">
          <cell r="H32">
            <v>4475864.9190000035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223475.65</v>
          </cell>
          <cell r="H36">
            <v>12115.699999999983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608616.94999999995</v>
          </cell>
          <cell r="H43">
            <v>50292.880000000005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143843.52000000016</v>
          </cell>
        </row>
        <row r="49">
          <cell r="F49">
            <v>38638.22</v>
          </cell>
          <cell r="H49">
            <v>26908.932000000001</v>
          </cell>
        </row>
        <row r="50">
          <cell r="F50">
            <v>285412.21000000002</v>
          </cell>
          <cell r="H50">
            <v>19353.270000000019</v>
          </cell>
        </row>
        <row r="51">
          <cell r="F51">
            <v>6533.61</v>
          </cell>
          <cell r="H51">
            <v>14508.661900000003</v>
          </cell>
        </row>
        <row r="52">
          <cell r="F52">
            <v>355224.35</v>
          </cell>
          <cell r="H52">
            <v>32934.929999999993</v>
          </cell>
        </row>
        <row r="53">
          <cell r="F53">
            <v>8141.95</v>
          </cell>
          <cell r="H53">
            <v>19022.95</v>
          </cell>
        </row>
        <row r="54">
          <cell r="F54">
            <v>2661.45</v>
          </cell>
          <cell r="H54">
            <v>1108.8892999999998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396439.27</v>
          </cell>
          <cell r="H56">
            <v>84394.790000000037</v>
          </cell>
        </row>
        <row r="57">
          <cell r="F57">
            <v>0</v>
          </cell>
          <cell r="H57">
            <v>0</v>
          </cell>
        </row>
        <row r="58">
          <cell r="F58">
            <v>19306.349999999999</v>
          </cell>
          <cell r="H58">
            <v>1537.0539999999964</v>
          </cell>
        </row>
        <row r="59">
          <cell r="H59">
            <v>199769.20720000006</v>
          </cell>
        </row>
        <row r="60">
          <cell r="H60">
            <v>357998.88790000015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707.22</v>
          </cell>
          <cell r="H63">
            <v>408.76000000000005</v>
          </cell>
        </row>
        <row r="64">
          <cell r="F64">
            <v>83472.91</v>
          </cell>
          <cell r="H64">
            <v>7409.823000000004</v>
          </cell>
        </row>
        <row r="65">
          <cell r="F65">
            <v>93154.87</v>
          </cell>
          <cell r="H65">
            <v>7995.6069999999891</v>
          </cell>
        </row>
        <row r="66">
          <cell r="F66">
            <v>86367.83</v>
          </cell>
          <cell r="H66">
            <v>8179.872000000003</v>
          </cell>
        </row>
        <row r="67">
          <cell r="F67">
            <v>139625.19</v>
          </cell>
          <cell r="H67">
            <v>13568.690000000002</v>
          </cell>
        </row>
        <row r="68">
          <cell r="F68">
            <v>40004.76</v>
          </cell>
          <cell r="H68">
            <v>6604.8910000000033</v>
          </cell>
        </row>
        <row r="69">
          <cell r="F69">
            <v>34964.14</v>
          </cell>
          <cell r="H69">
            <v>5711.7749999999978</v>
          </cell>
        </row>
        <row r="70">
          <cell r="H70">
            <v>0</v>
          </cell>
        </row>
        <row r="72">
          <cell r="F72">
            <v>844104</v>
          </cell>
          <cell r="H72">
            <v>162</v>
          </cell>
        </row>
        <row r="73">
          <cell r="F73">
            <v>885298</v>
          </cell>
          <cell r="H73">
            <v>170</v>
          </cell>
        </row>
        <row r="74">
          <cell r="F74">
            <v>880032</v>
          </cell>
          <cell r="H74">
            <v>396</v>
          </cell>
        </row>
        <row r="75">
          <cell r="F75">
            <v>724690</v>
          </cell>
          <cell r="H75">
            <v>3324</v>
          </cell>
        </row>
        <row r="76">
          <cell r="F76">
            <v>681057</v>
          </cell>
          <cell r="H76">
            <v>2587</v>
          </cell>
        </row>
        <row r="77">
          <cell r="F77">
            <v>693278</v>
          </cell>
          <cell r="H77">
            <v>971</v>
          </cell>
        </row>
        <row r="78">
          <cell r="F78">
            <v>614766</v>
          </cell>
          <cell r="H78">
            <v>6752</v>
          </cell>
        </row>
        <row r="79">
          <cell r="F79">
            <v>796272</v>
          </cell>
          <cell r="H79">
            <v>5457</v>
          </cell>
        </row>
        <row r="80">
          <cell r="F80">
            <v>462814</v>
          </cell>
          <cell r="H80">
            <v>4377.1199999999953</v>
          </cell>
        </row>
        <row r="81">
          <cell r="F81">
            <v>613218</v>
          </cell>
          <cell r="H81">
            <v>2095.7199999999721</v>
          </cell>
        </row>
        <row r="82">
          <cell r="F82">
            <v>103374</v>
          </cell>
          <cell r="H82">
            <v>344.05000000000291</v>
          </cell>
        </row>
        <row r="83">
          <cell r="F83">
            <v>959516</v>
          </cell>
          <cell r="H83">
            <v>7273</v>
          </cell>
        </row>
        <row r="84">
          <cell r="F84">
            <v>376966</v>
          </cell>
          <cell r="H84">
            <v>10533</v>
          </cell>
        </row>
        <row r="85">
          <cell r="H85">
            <v>41115.989999999991</v>
          </cell>
        </row>
        <row r="86">
          <cell r="F86">
            <v>439182</v>
          </cell>
        </row>
        <row r="87">
          <cell r="F87">
            <v>76638</v>
          </cell>
        </row>
        <row r="88">
          <cell r="F88">
            <v>141551</v>
          </cell>
        </row>
        <row r="89">
          <cell r="F89">
            <v>55208.7</v>
          </cell>
        </row>
        <row r="90">
          <cell r="F90">
            <v>2852.9</v>
          </cell>
        </row>
        <row r="92">
          <cell r="F92">
            <v>230238</v>
          </cell>
          <cell r="H92">
            <v>1643</v>
          </cell>
        </row>
        <row r="93">
          <cell r="F93">
            <v>161476</v>
          </cell>
          <cell r="H93">
            <v>2953</v>
          </cell>
        </row>
        <row r="94">
          <cell r="H94">
            <v>4306</v>
          </cell>
        </row>
        <row r="95">
          <cell r="F95">
            <v>401019</v>
          </cell>
          <cell r="H95">
            <v>1172</v>
          </cell>
        </row>
        <row r="96">
          <cell r="F96">
            <v>98860</v>
          </cell>
          <cell r="H96">
            <v>851</v>
          </cell>
        </row>
        <row r="97">
          <cell r="F97">
            <v>94013</v>
          </cell>
          <cell r="H97">
            <v>462</v>
          </cell>
        </row>
        <row r="98">
          <cell r="F98">
            <v>141768</v>
          </cell>
          <cell r="H98">
            <v>863</v>
          </cell>
        </row>
        <row r="99">
          <cell r="F99">
            <v>4878</v>
          </cell>
          <cell r="H99">
            <v>170</v>
          </cell>
        </row>
        <row r="100">
          <cell r="F100">
            <v>3674</v>
          </cell>
          <cell r="H100">
            <v>0</v>
          </cell>
        </row>
        <row r="101">
          <cell r="H101">
            <v>3518</v>
          </cell>
        </row>
        <row r="104">
          <cell r="F104">
            <v>7010</v>
          </cell>
        </row>
        <row r="105">
          <cell r="F105">
            <v>34618</v>
          </cell>
        </row>
        <row r="106">
          <cell r="F106">
            <v>18703</v>
          </cell>
        </row>
        <row r="109">
          <cell r="F109">
            <v>50828</v>
          </cell>
        </row>
        <row r="110">
          <cell r="F110">
            <v>24956</v>
          </cell>
        </row>
        <row r="111">
          <cell r="F111">
            <v>3321</v>
          </cell>
        </row>
        <row r="114">
          <cell r="F114">
            <v>8488</v>
          </cell>
        </row>
        <row r="115">
          <cell r="F115">
            <v>6701</v>
          </cell>
        </row>
        <row r="123">
          <cell r="F123">
            <v>787030.41</v>
          </cell>
          <cell r="H123">
            <v>4105.5239999999758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132415.70000000001</v>
          </cell>
          <cell r="H125">
            <v>1309.4800000000105</v>
          </cell>
        </row>
        <row r="126">
          <cell r="F126">
            <v>56119.9</v>
          </cell>
          <cell r="H126">
            <v>534.09999999999854</v>
          </cell>
        </row>
        <row r="127">
          <cell r="F127">
            <v>8640</v>
          </cell>
          <cell r="H127">
            <v>1</v>
          </cell>
        </row>
        <row r="128">
          <cell r="H128">
            <v>1690.9250000000702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-1.2699999999967986</v>
          </cell>
        </row>
        <row r="135">
          <cell r="F135">
            <v>31499.56</v>
          </cell>
          <cell r="H135">
            <v>503.54000000000087</v>
          </cell>
        </row>
        <row r="136">
          <cell r="F136">
            <v>21636.59</v>
          </cell>
          <cell r="H136">
            <v>38.56000000000131</v>
          </cell>
        </row>
        <row r="137">
          <cell r="F137">
            <v>24928.97</v>
          </cell>
          <cell r="H137">
            <v>26.720000000001164</v>
          </cell>
        </row>
        <row r="138">
          <cell r="F138">
            <v>69943.39</v>
          </cell>
          <cell r="H138">
            <v>61.740000000005239</v>
          </cell>
        </row>
        <row r="139">
          <cell r="F139">
            <v>890.84</v>
          </cell>
          <cell r="H139">
            <v>114.41000000000008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101403.84899999999</v>
          </cell>
        </row>
        <row r="143">
          <cell r="H143">
            <v>5.0051616018829579</v>
          </cell>
        </row>
        <row r="144">
          <cell r="H144">
            <v>92449.670000000129</v>
          </cell>
        </row>
        <row r="145">
          <cell r="H145">
            <v>4.7383810415979557</v>
          </cell>
        </row>
        <row r="146">
          <cell r="H146">
            <v>59378.240000000042</v>
          </cell>
        </row>
        <row r="147">
          <cell r="H147">
            <v>2.9893434575820637</v>
          </cell>
        </row>
        <row r="148">
          <cell r="H148">
            <v>36560.039999999979</v>
          </cell>
        </row>
        <row r="149">
          <cell r="H149">
            <v>1.8683234443800814</v>
          </cell>
        </row>
        <row r="150">
          <cell r="H150">
            <v>33721.339999999997</v>
          </cell>
        </row>
        <row r="151">
          <cell r="H151">
            <v>1.7212118955234386</v>
          </cell>
        </row>
        <row r="152">
          <cell r="H152">
            <v>29730.4719</v>
          </cell>
        </row>
        <row r="153">
          <cell r="H153">
            <v>1.5247791322226973</v>
          </cell>
        </row>
        <row r="160">
          <cell r="F160">
            <v>23185.11</v>
          </cell>
        </row>
        <row r="161">
          <cell r="F161">
            <v>4718.5</v>
          </cell>
        </row>
        <row r="162">
          <cell r="F162">
            <v>506</v>
          </cell>
        </row>
        <row r="163">
          <cell r="F163">
            <v>3385.78</v>
          </cell>
        </row>
      </sheetData>
      <sheetData sheetId="24">
        <row r="7">
          <cell r="F7">
            <v>2515200</v>
          </cell>
          <cell r="H7">
            <v>410175</v>
          </cell>
        </row>
        <row r="8">
          <cell r="F8">
            <v>2527758</v>
          </cell>
          <cell r="H8">
            <v>412317</v>
          </cell>
        </row>
        <row r="9">
          <cell r="F9">
            <v>2232535.9</v>
          </cell>
          <cell r="H9">
            <v>215530.59999999986</v>
          </cell>
        </row>
        <row r="10">
          <cell r="F10">
            <v>179876.25</v>
          </cell>
          <cell r="H10">
            <v>179876.46000000002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341143.25999999995</v>
          </cell>
        </row>
        <row r="15">
          <cell r="F15">
            <v>1541852</v>
          </cell>
          <cell r="H15">
            <v>11736.806000000099</v>
          </cell>
        </row>
        <row r="18">
          <cell r="F18">
            <v>12</v>
          </cell>
          <cell r="H18">
            <v>2240</v>
          </cell>
        </row>
        <row r="19">
          <cell r="F19">
            <v>129352</v>
          </cell>
          <cell r="H19">
            <v>1157</v>
          </cell>
        </row>
        <row r="20">
          <cell r="H20">
            <v>3397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3917011.5</v>
          </cell>
        </row>
        <row r="28">
          <cell r="H28">
            <v>428393.4190000036</v>
          </cell>
        </row>
        <row r="29">
          <cell r="H29">
            <v>0</v>
          </cell>
        </row>
        <row r="30">
          <cell r="H30">
            <v>167765</v>
          </cell>
        </row>
        <row r="31">
          <cell r="H31">
            <v>179200</v>
          </cell>
        </row>
        <row r="32">
          <cell r="H32">
            <v>4692369.9190000035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224002.07</v>
          </cell>
          <cell r="H36">
            <v>12642.119999999995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611188.67000000004</v>
          </cell>
          <cell r="H43">
            <v>52864.600000000093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146941.22000000026</v>
          </cell>
        </row>
        <row r="49">
          <cell r="F49">
            <v>41352.32</v>
          </cell>
          <cell r="H49">
            <v>29623.031999999999</v>
          </cell>
        </row>
        <row r="50">
          <cell r="F50">
            <v>286430.40999999997</v>
          </cell>
          <cell r="H50">
            <v>20371.469999999972</v>
          </cell>
        </row>
        <row r="51">
          <cell r="F51">
            <v>7967.5</v>
          </cell>
          <cell r="H51">
            <v>15942.551900000002</v>
          </cell>
        </row>
        <row r="52">
          <cell r="F52">
            <v>356885.07</v>
          </cell>
          <cell r="H52">
            <v>34595.650000000023</v>
          </cell>
        </row>
        <row r="53">
          <cell r="F53">
            <v>12135.57</v>
          </cell>
          <cell r="H53">
            <v>23016.57</v>
          </cell>
        </row>
        <row r="54">
          <cell r="F54">
            <v>2666.1</v>
          </cell>
          <cell r="H54">
            <v>1113.5392999999999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401282.03</v>
          </cell>
          <cell r="H56">
            <v>89237.550000000047</v>
          </cell>
        </row>
        <row r="57">
          <cell r="F57">
            <v>0</v>
          </cell>
          <cell r="H57">
            <v>0</v>
          </cell>
        </row>
        <row r="58">
          <cell r="F58">
            <v>19306.349999999999</v>
          </cell>
          <cell r="H58">
            <v>1537.0539999999964</v>
          </cell>
        </row>
        <row r="59">
          <cell r="H59">
            <v>215437.14720000006</v>
          </cell>
        </row>
        <row r="60">
          <cell r="H60">
            <v>376764.52790000022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725.2</v>
          </cell>
          <cell r="H63">
            <v>426.74000000000007</v>
          </cell>
        </row>
        <row r="64">
          <cell r="F64">
            <v>83820.23</v>
          </cell>
          <cell r="H64">
            <v>7757.1429999999964</v>
          </cell>
        </row>
        <row r="65">
          <cell r="F65">
            <v>93532.53</v>
          </cell>
          <cell r="H65">
            <v>8373.2669999999925</v>
          </cell>
        </row>
        <row r="66">
          <cell r="F66">
            <v>86772.19</v>
          </cell>
          <cell r="H66">
            <v>8584.2320000000036</v>
          </cell>
        </row>
        <row r="67">
          <cell r="F67">
            <v>140286.53</v>
          </cell>
          <cell r="H67">
            <v>14230.029999999999</v>
          </cell>
        </row>
        <row r="68">
          <cell r="F68">
            <v>40328.19</v>
          </cell>
          <cell r="H68">
            <v>6928.3210000000036</v>
          </cell>
        </row>
        <row r="69">
          <cell r="F69">
            <v>35250.980000000003</v>
          </cell>
          <cell r="H69">
            <v>5998.6150000000016</v>
          </cell>
        </row>
        <row r="72">
          <cell r="F72">
            <v>844112</v>
          </cell>
          <cell r="H72">
            <v>170</v>
          </cell>
        </row>
        <row r="73">
          <cell r="F73">
            <v>885298</v>
          </cell>
          <cell r="H73">
            <v>170</v>
          </cell>
        </row>
        <row r="74">
          <cell r="F74">
            <v>880052</v>
          </cell>
          <cell r="H74">
            <v>416</v>
          </cell>
        </row>
        <row r="75">
          <cell r="F75">
            <v>724864</v>
          </cell>
          <cell r="H75">
            <v>3498</v>
          </cell>
        </row>
        <row r="76">
          <cell r="F76">
            <v>681121</v>
          </cell>
          <cell r="H76">
            <v>2651</v>
          </cell>
        </row>
        <row r="77">
          <cell r="F77">
            <v>693326</v>
          </cell>
          <cell r="H77">
            <v>1019</v>
          </cell>
        </row>
        <row r="78">
          <cell r="F78">
            <v>615113</v>
          </cell>
          <cell r="H78">
            <v>7099</v>
          </cell>
        </row>
        <row r="79">
          <cell r="F79">
            <v>796444</v>
          </cell>
          <cell r="H79">
            <v>5629</v>
          </cell>
        </row>
        <row r="80">
          <cell r="F80">
            <v>463107</v>
          </cell>
          <cell r="H80">
            <v>4670.1199999999953</v>
          </cell>
        </row>
        <row r="81">
          <cell r="F81">
            <v>613334</v>
          </cell>
          <cell r="H81">
            <v>2211.7199999999721</v>
          </cell>
        </row>
        <row r="82">
          <cell r="F82">
            <v>103379</v>
          </cell>
          <cell r="H82">
            <v>349.05000000000291</v>
          </cell>
        </row>
        <row r="83">
          <cell r="F83">
            <v>959842</v>
          </cell>
          <cell r="H83">
            <v>7599</v>
          </cell>
        </row>
        <row r="84">
          <cell r="F84">
            <v>377446</v>
          </cell>
          <cell r="H84">
            <v>11013</v>
          </cell>
        </row>
        <row r="85">
          <cell r="H85">
            <v>43168.989999999991</v>
          </cell>
        </row>
        <row r="86">
          <cell r="F86">
            <v>439289</v>
          </cell>
        </row>
        <row r="87">
          <cell r="F87">
            <v>76650</v>
          </cell>
        </row>
        <row r="88">
          <cell r="F88">
            <v>141617</v>
          </cell>
        </row>
        <row r="89">
          <cell r="F89">
            <v>55258</v>
          </cell>
        </row>
        <row r="90">
          <cell r="F90">
            <v>2854.4</v>
          </cell>
        </row>
        <row r="92">
          <cell r="F92">
            <v>230312</v>
          </cell>
          <cell r="H92">
            <v>1717</v>
          </cell>
        </row>
        <row r="93">
          <cell r="F93">
            <v>161621</v>
          </cell>
          <cell r="H93">
            <v>3098</v>
          </cell>
        </row>
        <row r="94">
          <cell r="H94">
            <v>4525</v>
          </cell>
        </row>
        <row r="95">
          <cell r="F95">
            <v>401052</v>
          </cell>
          <cell r="H95">
            <v>1205</v>
          </cell>
        </row>
        <row r="96">
          <cell r="F96">
            <v>98896</v>
          </cell>
          <cell r="H96">
            <v>887</v>
          </cell>
        </row>
        <row r="97">
          <cell r="F97">
            <v>94046</v>
          </cell>
          <cell r="H97">
            <v>495</v>
          </cell>
        </row>
        <row r="98">
          <cell r="F98">
            <v>141823</v>
          </cell>
          <cell r="H98">
            <v>918</v>
          </cell>
        </row>
        <row r="99">
          <cell r="F99">
            <v>4887</v>
          </cell>
          <cell r="H99">
            <v>179</v>
          </cell>
        </row>
        <row r="100">
          <cell r="F100">
            <v>3674</v>
          </cell>
          <cell r="H100">
            <v>0</v>
          </cell>
        </row>
        <row r="101">
          <cell r="H101">
            <v>3684</v>
          </cell>
        </row>
        <row r="104">
          <cell r="F104">
            <v>7010</v>
          </cell>
        </row>
        <row r="105">
          <cell r="F105">
            <v>34618</v>
          </cell>
        </row>
        <row r="106">
          <cell r="F106">
            <v>18703</v>
          </cell>
        </row>
        <row r="109">
          <cell r="F109">
            <v>50867</v>
          </cell>
        </row>
        <row r="110">
          <cell r="F110">
            <v>24992</v>
          </cell>
        </row>
        <row r="111">
          <cell r="F111">
            <v>3321</v>
          </cell>
        </row>
        <row r="114">
          <cell r="F114">
            <v>8501</v>
          </cell>
        </row>
        <row r="115">
          <cell r="F115">
            <v>6710</v>
          </cell>
        </row>
        <row r="123">
          <cell r="F123">
            <v>787244.54</v>
          </cell>
          <cell r="H123">
            <v>4319.6539999999804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132469.23000000001</v>
          </cell>
          <cell r="H125">
            <v>1363.0100000000093</v>
          </cell>
        </row>
        <row r="126">
          <cell r="F126">
            <v>56146.5</v>
          </cell>
          <cell r="H126">
            <v>560.69999999999709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1782.5650000000678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</row>
        <row r="135">
          <cell r="F135">
            <v>31523.599999999999</v>
          </cell>
        </row>
        <row r="136">
          <cell r="F136">
            <v>21636.59</v>
          </cell>
          <cell r="H136">
            <v>38.56000000000131</v>
          </cell>
        </row>
        <row r="137">
          <cell r="F137">
            <v>24928.97</v>
          </cell>
        </row>
        <row r="138">
          <cell r="F138">
            <v>69943.39</v>
          </cell>
        </row>
        <row r="139">
          <cell r="F139">
            <v>896.9</v>
          </cell>
          <cell r="H139">
            <v>120.47000000000003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106689.66900000008</v>
          </cell>
        </row>
        <row r="143">
          <cell r="H143">
            <v>5.278740609180721</v>
          </cell>
        </row>
        <row r="144">
          <cell r="H144">
            <v>97292.430000000139</v>
          </cell>
        </row>
        <row r="145">
          <cell r="H145">
            <v>4.9890285236123448</v>
          </cell>
        </row>
        <row r="146">
          <cell r="H146">
            <v>63371.860000000044</v>
          </cell>
        </row>
        <row r="147">
          <cell r="H147">
            <v>3.1960418686373919</v>
          </cell>
        </row>
        <row r="148">
          <cell r="H148">
            <v>38220.760000000009</v>
          </cell>
        </row>
        <row r="149">
          <cell r="H149">
            <v>1.9542775875403748</v>
          </cell>
        </row>
        <row r="150">
          <cell r="H150">
            <v>35265.959999999963</v>
          </cell>
        </row>
        <row r="151">
          <cell r="H151">
            <v>1.8011570329386846</v>
          </cell>
        </row>
        <row r="152">
          <cell r="H152">
            <v>31164.3619</v>
          </cell>
        </row>
        <row r="153">
          <cell r="H153">
            <v>1.5989931998175424</v>
          </cell>
        </row>
        <row r="160">
          <cell r="F160">
            <v>23257.9</v>
          </cell>
        </row>
        <row r="161">
          <cell r="F161">
            <v>5325.98</v>
          </cell>
        </row>
        <row r="162">
          <cell r="F162">
            <v>827.39</v>
          </cell>
        </row>
        <row r="163">
          <cell r="F163">
            <v>3395.97</v>
          </cell>
        </row>
      </sheetData>
      <sheetData sheetId="25">
        <row r="7">
          <cell r="F7">
            <v>2533052</v>
          </cell>
          <cell r="H7">
            <v>428027</v>
          </cell>
        </row>
        <row r="8">
          <cell r="F8">
            <v>2545933</v>
          </cell>
          <cell r="H8">
            <v>430492</v>
          </cell>
        </row>
        <row r="9">
          <cell r="F9">
            <v>2235351.5</v>
          </cell>
          <cell r="H9">
            <v>218346.19999999995</v>
          </cell>
        </row>
        <row r="10">
          <cell r="F10">
            <v>194244.53</v>
          </cell>
          <cell r="H10">
            <v>194244.74000000002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358327.14</v>
          </cell>
        </row>
        <row r="15">
          <cell r="F15">
            <v>1542547.03</v>
          </cell>
          <cell r="H15">
            <v>12431.836000000127</v>
          </cell>
        </row>
        <row r="18">
          <cell r="F18">
            <v>10</v>
          </cell>
          <cell r="H18">
            <v>2340</v>
          </cell>
        </row>
        <row r="19">
          <cell r="F19">
            <v>129407</v>
          </cell>
          <cell r="H19">
            <v>1212</v>
          </cell>
        </row>
        <row r="20">
          <cell r="H20">
            <v>3552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4089674</v>
          </cell>
        </row>
        <row r="28">
          <cell r="H28">
            <v>453762.01400000462</v>
          </cell>
        </row>
        <row r="29">
          <cell r="H29">
            <v>0</v>
          </cell>
        </row>
        <row r="30">
          <cell r="H30">
            <v>175740</v>
          </cell>
        </row>
        <row r="31">
          <cell r="H31">
            <v>187200</v>
          </cell>
        </row>
        <row r="32">
          <cell r="H32">
            <v>4906376.0140000042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224568.29</v>
          </cell>
          <cell r="H36">
            <v>13208.339999999997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613565.27</v>
          </cell>
          <cell r="H43">
            <v>55241.20000000007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149884.04000000024</v>
          </cell>
        </row>
        <row r="49">
          <cell r="F49">
            <v>43819.3</v>
          </cell>
          <cell r="H49">
            <v>32090.012000000002</v>
          </cell>
        </row>
        <row r="50">
          <cell r="F50">
            <v>287412.11</v>
          </cell>
          <cell r="H50">
            <v>21353.169999999984</v>
          </cell>
        </row>
        <row r="51">
          <cell r="F51">
            <v>9327.83</v>
          </cell>
          <cell r="H51">
            <v>17302.8819</v>
          </cell>
        </row>
        <row r="52">
          <cell r="F52">
            <v>358655.91</v>
          </cell>
          <cell r="H52">
            <v>36366.489999999991</v>
          </cell>
        </row>
        <row r="53">
          <cell r="F53">
            <v>16194.78</v>
          </cell>
          <cell r="H53">
            <v>27075.78</v>
          </cell>
        </row>
        <row r="54">
          <cell r="F54">
            <v>2686.99</v>
          </cell>
          <cell r="H54">
            <v>1134.4292999999998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404898.35</v>
          </cell>
          <cell r="H56">
            <v>92853.87</v>
          </cell>
        </row>
        <row r="57">
          <cell r="F57">
            <v>0</v>
          </cell>
          <cell r="H57">
            <v>0</v>
          </cell>
        </row>
        <row r="58">
          <cell r="F58">
            <v>19454.22</v>
          </cell>
          <cell r="H58">
            <v>1684.9239999999991</v>
          </cell>
        </row>
        <row r="59">
          <cell r="H59">
            <v>229861.28719999999</v>
          </cell>
        </row>
        <row r="60">
          <cell r="H60">
            <v>394131.48790000012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741.94</v>
          </cell>
          <cell r="H63">
            <v>443.48000000000008</v>
          </cell>
        </row>
        <row r="64">
          <cell r="F64">
            <v>84180.47</v>
          </cell>
          <cell r="H64">
            <v>8117.3830000000016</v>
          </cell>
        </row>
        <row r="65">
          <cell r="F65">
            <v>93930.01</v>
          </cell>
          <cell r="H65">
            <v>8770.7469999999885</v>
          </cell>
        </row>
        <row r="66">
          <cell r="F66">
            <v>87184.03</v>
          </cell>
          <cell r="H66">
            <v>8996.0720000000001</v>
          </cell>
        </row>
        <row r="67">
          <cell r="F67">
            <v>140946.51</v>
          </cell>
          <cell r="H67">
            <v>14890.010000000009</v>
          </cell>
        </row>
        <row r="68">
          <cell r="F68">
            <v>40671.910000000003</v>
          </cell>
          <cell r="H68">
            <v>7272.0410000000047</v>
          </cell>
        </row>
        <row r="69">
          <cell r="F69">
            <v>35539.67</v>
          </cell>
          <cell r="H69">
            <v>6287.3049999999967</v>
          </cell>
        </row>
        <row r="70">
          <cell r="H70">
            <v>0</v>
          </cell>
        </row>
        <row r="72">
          <cell r="F72">
            <v>844120</v>
          </cell>
          <cell r="H72">
            <v>178</v>
          </cell>
        </row>
        <row r="73">
          <cell r="F73">
            <v>885299</v>
          </cell>
          <cell r="H73">
            <v>171</v>
          </cell>
        </row>
        <row r="74">
          <cell r="F74">
            <v>880077</v>
          </cell>
          <cell r="H74">
            <v>441</v>
          </cell>
        </row>
        <row r="75">
          <cell r="F75">
            <v>725022</v>
          </cell>
          <cell r="H75">
            <v>3656</v>
          </cell>
        </row>
        <row r="76">
          <cell r="F76">
            <v>681189</v>
          </cell>
          <cell r="H76">
            <v>2719</v>
          </cell>
        </row>
        <row r="77">
          <cell r="F77">
            <v>693374</v>
          </cell>
          <cell r="H77">
            <v>1067</v>
          </cell>
        </row>
        <row r="78">
          <cell r="F78">
            <v>615413</v>
          </cell>
          <cell r="H78">
            <v>7399</v>
          </cell>
        </row>
        <row r="79">
          <cell r="F79">
            <v>796617</v>
          </cell>
          <cell r="H79">
            <v>5802</v>
          </cell>
        </row>
        <row r="80">
          <cell r="F80">
            <v>463374</v>
          </cell>
          <cell r="H80">
            <v>4937.1199999999953</v>
          </cell>
        </row>
        <row r="81">
          <cell r="F81">
            <v>613421</v>
          </cell>
          <cell r="H81">
            <v>2298.7199999999721</v>
          </cell>
        </row>
        <row r="82">
          <cell r="F82">
            <v>103403</v>
          </cell>
          <cell r="H82">
            <v>373.05000000000291</v>
          </cell>
        </row>
        <row r="83">
          <cell r="F83">
            <v>960176</v>
          </cell>
          <cell r="H83">
            <v>7933</v>
          </cell>
        </row>
        <row r="84">
          <cell r="F84">
            <v>377922</v>
          </cell>
          <cell r="H84">
            <v>11489</v>
          </cell>
        </row>
        <row r="85">
          <cell r="H85">
            <v>45137.989999999991</v>
          </cell>
        </row>
        <row r="86">
          <cell r="F86">
            <v>439390</v>
          </cell>
        </row>
        <row r="87">
          <cell r="F87">
            <v>76694</v>
          </cell>
        </row>
        <row r="88">
          <cell r="F88">
            <v>141766</v>
          </cell>
        </row>
        <row r="89">
          <cell r="F89">
            <v>55307</v>
          </cell>
        </row>
        <row r="90">
          <cell r="F90">
            <v>2857</v>
          </cell>
        </row>
        <row r="92">
          <cell r="F92">
            <v>230385</v>
          </cell>
          <cell r="H92">
            <v>1790</v>
          </cell>
        </row>
        <row r="93">
          <cell r="F93">
            <v>161738</v>
          </cell>
          <cell r="H93">
            <v>3215</v>
          </cell>
        </row>
        <row r="94">
          <cell r="H94">
            <v>4715</v>
          </cell>
        </row>
        <row r="95">
          <cell r="F95">
            <v>401114</v>
          </cell>
          <cell r="H95">
            <v>1267</v>
          </cell>
        </row>
        <row r="96">
          <cell r="F96">
            <v>98923</v>
          </cell>
          <cell r="H96">
            <v>914</v>
          </cell>
        </row>
        <row r="97">
          <cell r="F97">
            <v>94073</v>
          </cell>
          <cell r="H97">
            <v>522</v>
          </cell>
        </row>
        <row r="98">
          <cell r="F98">
            <v>141848</v>
          </cell>
          <cell r="H98">
            <v>943</v>
          </cell>
        </row>
        <row r="99">
          <cell r="F99">
            <v>4893</v>
          </cell>
          <cell r="H99">
            <v>185</v>
          </cell>
        </row>
        <row r="100">
          <cell r="F100">
            <v>3674</v>
          </cell>
          <cell r="H100">
            <v>0</v>
          </cell>
        </row>
        <row r="101">
          <cell r="H101">
            <v>3831</v>
          </cell>
        </row>
        <row r="104">
          <cell r="F104">
            <v>7010</v>
          </cell>
        </row>
        <row r="105">
          <cell r="F105">
            <v>34627</v>
          </cell>
        </row>
        <row r="106">
          <cell r="F106">
            <v>18710</v>
          </cell>
        </row>
        <row r="109">
          <cell r="F109">
            <v>50926</v>
          </cell>
        </row>
        <row r="110">
          <cell r="F110">
            <v>25041</v>
          </cell>
        </row>
        <row r="111">
          <cell r="F111">
            <v>3330</v>
          </cell>
        </row>
        <row r="114">
          <cell r="F114">
            <v>8509</v>
          </cell>
        </row>
        <row r="115">
          <cell r="F115">
            <v>6723</v>
          </cell>
        </row>
        <row r="123">
          <cell r="F123">
            <v>787430.76</v>
          </cell>
          <cell r="H123">
            <v>4505.8739999999525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132535.67999999999</v>
          </cell>
          <cell r="H125">
            <v>1429.4599999999919</v>
          </cell>
        </row>
        <row r="126">
          <cell r="F126">
            <v>56169.7</v>
          </cell>
          <cell r="H126">
            <v>583.89999999999418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2201.7250000001441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31548.03</v>
          </cell>
          <cell r="H135">
            <v>13</v>
          </cell>
        </row>
        <row r="136">
          <cell r="F136">
            <v>21644.06</v>
          </cell>
          <cell r="H136">
            <v>46.030000000002474</v>
          </cell>
        </row>
        <row r="137">
          <cell r="F137">
            <v>24928.97</v>
          </cell>
          <cell r="H137">
            <v>8</v>
          </cell>
        </row>
        <row r="138">
          <cell r="F138">
            <v>69943.91</v>
          </cell>
          <cell r="H138">
            <v>15</v>
          </cell>
        </row>
        <row r="139">
          <cell r="F139">
            <v>902.12</v>
          </cell>
          <cell r="H139">
            <v>125.69000000000005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111533.24900000007</v>
          </cell>
        </row>
        <row r="143">
          <cell r="H143">
            <v>5.5500592289432111</v>
          </cell>
        </row>
        <row r="144">
          <cell r="H144">
            <v>100908.75000000009</v>
          </cell>
        </row>
        <row r="145">
          <cell r="H145">
            <v>5.1916007844234553</v>
          </cell>
        </row>
        <row r="146">
          <cell r="H146">
            <v>67431.070000000051</v>
          </cell>
        </row>
        <row r="147">
          <cell r="H147">
            <v>3.423423114436182</v>
          </cell>
        </row>
        <row r="148">
          <cell r="H148">
            <v>39991.599999999977</v>
          </cell>
        </row>
        <row r="149">
          <cell r="H149">
            <v>2.0534731958755734</v>
          </cell>
        </row>
        <row r="150">
          <cell r="H150">
            <v>36813.879999999976</v>
          </cell>
        </row>
        <row r="151">
          <cell r="H151">
            <v>1.8878655249843945</v>
          </cell>
        </row>
        <row r="152">
          <cell r="H152">
            <v>32524.691899999998</v>
          </cell>
        </row>
        <row r="153">
          <cell r="H153">
            <v>1.6751936255401505</v>
          </cell>
        </row>
        <row r="160">
          <cell r="F160">
            <v>23331.8</v>
          </cell>
        </row>
        <row r="161">
          <cell r="F161">
            <v>5961.58</v>
          </cell>
        </row>
        <row r="162">
          <cell r="F162">
            <v>1144.6099999999999</v>
          </cell>
        </row>
        <row r="163">
          <cell r="F163">
            <v>3406.63</v>
          </cell>
        </row>
      </sheetData>
      <sheetData sheetId="26">
        <row r="7">
          <cell r="F7">
            <v>2550696</v>
          </cell>
          <cell r="H7">
            <v>445671</v>
          </cell>
        </row>
        <row r="8">
          <cell r="F8">
            <v>2563900</v>
          </cell>
          <cell r="H8">
            <v>448459</v>
          </cell>
        </row>
        <row r="9">
          <cell r="F9">
            <v>2238125.5</v>
          </cell>
          <cell r="H9">
            <v>221120.19999999995</v>
          </cell>
        </row>
        <row r="10">
          <cell r="F10">
            <v>208445.77</v>
          </cell>
          <cell r="H10">
            <v>208445.98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375302.38</v>
          </cell>
        </row>
        <row r="15">
          <cell r="F15">
            <v>1543160.2</v>
          </cell>
          <cell r="H15">
            <v>13045.006000000052</v>
          </cell>
        </row>
        <row r="18">
          <cell r="F18">
            <v>12</v>
          </cell>
          <cell r="H18">
            <v>2460</v>
          </cell>
        </row>
        <row r="19">
          <cell r="F19">
            <v>129461</v>
          </cell>
          <cell r="H19">
            <v>1266</v>
          </cell>
        </row>
        <row r="20">
          <cell r="H20">
            <v>3726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4260360.5</v>
          </cell>
        </row>
        <row r="28">
          <cell r="H28">
            <v>476142.7190000019</v>
          </cell>
        </row>
        <row r="29">
          <cell r="H29">
            <v>0</v>
          </cell>
        </row>
        <row r="30">
          <cell r="H30">
            <v>183570</v>
          </cell>
        </row>
        <row r="31">
          <cell r="H31">
            <v>196800</v>
          </cell>
        </row>
        <row r="32">
          <cell r="H32">
            <v>5116873.2190000014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225111.93</v>
          </cell>
          <cell r="H36">
            <v>13751.979999999981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615919.99</v>
          </cell>
          <cell r="H43">
            <v>57595.920000000042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152782.4000000002</v>
          </cell>
        </row>
        <row r="49">
          <cell r="F49">
            <v>46188.17</v>
          </cell>
          <cell r="H49">
            <v>34458.881999999998</v>
          </cell>
        </row>
        <row r="50">
          <cell r="F50">
            <v>288392.15000000002</v>
          </cell>
          <cell r="H50">
            <v>22333.210000000021</v>
          </cell>
        </row>
        <row r="51">
          <cell r="F51">
            <v>10688.42</v>
          </cell>
          <cell r="H51">
            <v>18663.4719</v>
          </cell>
        </row>
        <row r="52">
          <cell r="F52">
            <v>360436.47</v>
          </cell>
          <cell r="H52">
            <v>38147.049999999988</v>
          </cell>
        </row>
        <row r="53">
          <cell r="F53">
            <v>20288.14</v>
          </cell>
          <cell r="H53">
            <v>31169.14</v>
          </cell>
        </row>
        <row r="54">
          <cell r="F54">
            <v>2705.85</v>
          </cell>
          <cell r="H54">
            <v>1153.2892999999999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408413.07</v>
          </cell>
          <cell r="H56">
            <v>96368.590000000026</v>
          </cell>
        </row>
        <row r="57">
          <cell r="F57">
            <v>0</v>
          </cell>
          <cell r="H57">
            <v>0</v>
          </cell>
        </row>
        <row r="58">
          <cell r="F58">
            <v>19604.740000000002</v>
          </cell>
          <cell r="H58">
            <v>1835.4439999999995</v>
          </cell>
        </row>
        <row r="59">
          <cell r="H59">
            <v>244128.80720000004</v>
          </cell>
        </row>
        <row r="60">
          <cell r="H60">
            <v>411297.36790000013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758.38</v>
          </cell>
          <cell r="H63">
            <v>459.92</v>
          </cell>
        </row>
        <row r="64">
          <cell r="F64">
            <v>84540.35</v>
          </cell>
          <cell r="H64">
            <v>8477.2630000000063</v>
          </cell>
        </row>
        <row r="65">
          <cell r="F65">
            <v>94324.89</v>
          </cell>
          <cell r="H65">
            <v>9165.6269999999931</v>
          </cell>
        </row>
        <row r="66">
          <cell r="F66">
            <v>87605.47</v>
          </cell>
          <cell r="H66">
            <v>9417.5120000000024</v>
          </cell>
        </row>
        <row r="67">
          <cell r="F67">
            <v>141620.29999999999</v>
          </cell>
          <cell r="H67">
            <v>15563.799999999988</v>
          </cell>
        </row>
        <row r="68">
          <cell r="F68">
            <v>41031.15</v>
          </cell>
          <cell r="H68">
            <v>7631.2810000000027</v>
          </cell>
        </row>
        <row r="69">
          <cell r="F69">
            <v>35830.19</v>
          </cell>
          <cell r="H69">
            <v>6577.8250000000007</v>
          </cell>
        </row>
        <row r="72">
          <cell r="F72">
            <v>844131</v>
          </cell>
          <cell r="H72">
            <v>189</v>
          </cell>
        </row>
        <row r="73">
          <cell r="F73">
            <v>885301</v>
          </cell>
          <cell r="H73">
            <v>173</v>
          </cell>
        </row>
        <row r="74">
          <cell r="F74">
            <v>880107</v>
          </cell>
          <cell r="H74">
            <v>471</v>
          </cell>
        </row>
        <row r="75">
          <cell r="F75">
            <v>725185</v>
          </cell>
          <cell r="H75">
            <v>3819</v>
          </cell>
        </row>
        <row r="76">
          <cell r="F76">
            <v>681277</v>
          </cell>
          <cell r="H76">
            <v>2807</v>
          </cell>
        </row>
        <row r="77">
          <cell r="F77">
            <v>693425</v>
          </cell>
          <cell r="H77">
            <v>1118</v>
          </cell>
        </row>
        <row r="78">
          <cell r="F78">
            <v>615753</v>
          </cell>
          <cell r="H78">
            <v>7739</v>
          </cell>
        </row>
        <row r="79">
          <cell r="F79">
            <v>796793</v>
          </cell>
          <cell r="H79">
            <v>5978</v>
          </cell>
        </row>
        <row r="80">
          <cell r="F80">
            <v>463656</v>
          </cell>
          <cell r="H80">
            <v>5219.1199999999953</v>
          </cell>
        </row>
        <row r="81">
          <cell r="F81">
            <v>613500</v>
          </cell>
          <cell r="H81">
            <v>2377.7199999999721</v>
          </cell>
        </row>
        <row r="82">
          <cell r="F82">
            <v>103416</v>
          </cell>
          <cell r="H82">
            <v>386.05000000000291</v>
          </cell>
        </row>
        <row r="83">
          <cell r="F83">
            <v>960516</v>
          </cell>
          <cell r="H83">
            <v>8273</v>
          </cell>
        </row>
        <row r="84">
          <cell r="F84">
            <v>378425</v>
          </cell>
          <cell r="H84">
            <v>11992</v>
          </cell>
        </row>
        <row r="85">
          <cell r="H85">
            <v>47215.989999999991</v>
          </cell>
        </row>
        <row r="86">
          <cell r="F86">
            <v>439560</v>
          </cell>
        </row>
        <row r="87">
          <cell r="F87">
            <v>76734</v>
          </cell>
        </row>
        <row r="88">
          <cell r="F88">
            <v>141855</v>
          </cell>
        </row>
        <row r="89">
          <cell r="F89">
            <v>55361</v>
          </cell>
        </row>
        <row r="90">
          <cell r="F90">
            <v>2861</v>
          </cell>
        </row>
        <row r="92">
          <cell r="F92">
            <v>230479</v>
          </cell>
          <cell r="H92">
            <v>1884</v>
          </cell>
        </row>
        <row r="93">
          <cell r="F93">
            <v>161864</v>
          </cell>
          <cell r="H93">
            <v>3341</v>
          </cell>
        </row>
        <row r="94">
          <cell r="H94">
            <v>4935</v>
          </cell>
        </row>
        <row r="95">
          <cell r="F95">
            <v>401187</v>
          </cell>
          <cell r="H95">
            <v>1340</v>
          </cell>
        </row>
        <row r="96">
          <cell r="F96">
            <v>98944</v>
          </cell>
          <cell r="H96">
            <v>935</v>
          </cell>
        </row>
        <row r="97">
          <cell r="F97">
            <v>94092</v>
          </cell>
          <cell r="H97">
            <v>541</v>
          </cell>
        </row>
        <row r="98">
          <cell r="F98">
            <v>141895</v>
          </cell>
          <cell r="H98">
            <v>990</v>
          </cell>
        </row>
        <row r="99">
          <cell r="F99">
            <v>4901</v>
          </cell>
          <cell r="H99">
            <v>193</v>
          </cell>
        </row>
        <row r="100">
          <cell r="F100">
            <v>3674</v>
          </cell>
          <cell r="H100">
            <v>0</v>
          </cell>
        </row>
        <row r="101">
          <cell r="H101">
            <v>3999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18715</v>
          </cell>
        </row>
        <row r="109">
          <cell r="F109">
            <v>50971</v>
          </cell>
        </row>
        <row r="110">
          <cell r="F110">
            <v>25085</v>
          </cell>
        </row>
        <row r="111">
          <cell r="F111">
            <v>3337</v>
          </cell>
        </row>
        <row r="114">
          <cell r="F114">
            <v>8519</v>
          </cell>
        </row>
        <row r="115">
          <cell r="F115">
            <v>6734</v>
          </cell>
        </row>
        <row r="123">
          <cell r="F123">
            <v>787625</v>
          </cell>
          <cell r="H123">
            <v>4700.1139999999432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132594.57</v>
          </cell>
          <cell r="H125">
            <v>1488.3500000000058</v>
          </cell>
        </row>
        <row r="126">
          <cell r="F126">
            <v>56191</v>
          </cell>
          <cell r="H126">
            <v>605.19999999999709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2540.465000000062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31572.23</v>
          </cell>
          <cell r="H135">
            <v>37.200000000000728</v>
          </cell>
        </row>
        <row r="136">
          <cell r="F136">
            <v>21647.42</v>
          </cell>
          <cell r="H136">
            <v>49.389999999999418</v>
          </cell>
        </row>
        <row r="137">
          <cell r="F137">
            <v>24931.62</v>
          </cell>
          <cell r="H137">
            <v>10.649999999997817</v>
          </cell>
        </row>
        <row r="138">
          <cell r="F138">
            <v>69943.91</v>
          </cell>
          <cell r="H138">
            <v>15</v>
          </cell>
        </row>
        <row r="139">
          <cell r="F139">
            <v>907.55</v>
          </cell>
          <cell r="H139">
            <v>131.12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116256.83900000004</v>
          </cell>
        </row>
        <row r="143">
          <cell r="H143">
            <v>5.8177757331372693</v>
          </cell>
        </row>
        <row r="144">
          <cell r="H144">
            <v>104423.47000000012</v>
          </cell>
        </row>
        <row r="145">
          <cell r="H145">
            <v>5.3908027794359255</v>
          </cell>
        </row>
        <row r="146">
          <cell r="H146">
            <v>71524.430000000051</v>
          </cell>
        </row>
        <row r="147">
          <cell r="H147">
            <v>3.6554203939646337</v>
          </cell>
        </row>
        <row r="148">
          <cell r="H148">
            <v>41772.159999999974</v>
          </cell>
        </row>
        <row r="149">
          <cell r="H149">
            <v>2.1543890879635352</v>
          </cell>
        </row>
        <row r="150">
          <cell r="H150">
            <v>38337.56</v>
          </cell>
        </row>
        <row r="151">
          <cell r="H151">
            <v>1.9742223601691611</v>
          </cell>
        </row>
        <row r="152">
          <cell r="H152">
            <v>33885.281900000002</v>
          </cell>
        </row>
        <row r="153">
          <cell r="H153">
            <v>1.7523070918743151</v>
          </cell>
        </row>
        <row r="160">
          <cell r="F160">
            <v>23404.49</v>
          </cell>
        </row>
        <row r="161">
          <cell r="F161">
            <v>6580.57</v>
          </cell>
        </row>
        <row r="162">
          <cell r="F162">
            <v>1413</v>
          </cell>
        </row>
        <row r="163">
          <cell r="F163">
            <v>3417.11</v>
          </cell>
        </row>
      </sheetData>
      <sheetData sheetId="27">
        <row r="7">
          <cell r="F7">
            <v>2569010</v>
          </cell>
          <cell r="H7">
            <v>463985</v>
          </cell>
        </row>
        <row r="8">
          <cell r="F8">
            <v>2582527</v>
          </cell>
          <cell r="H8">
            <v>467086</v>
          </cell>
        </row>
        <row r="9">
          <cell r="F9">
            <v>2240961.5</v>
          </cell>
          <cell r="H9">
            <v>223956.19999999995</v>
          </cell>
        </row>
        <row r="10">
          <cell r="F10">
            <v>223240.95</v>
          </cell>
          <cell r="H10">
            <v>223241.16000000003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392933.56000000006</v>
          </cell>
        </row>
        <row r="15">
          <cell r="F15">
            <v>1543677.08</v>
          </cell>
          <cell r="H15">
            <v>13561.886000000173</v>
          </cell>
        </row>
        <row r="18">
          <cell r="F18">
            <v>10</v>
          </cell>
          <cell r="H18">
            <v>2560</v>
          </cell>
        </row>
        <row r="19">
          <cell r="F19">
            <v>129516</v>
          </cell>
          <cell r="H19">
            <v>1321</v>
          </cell>
        </row>
        <row r="20">
          <cell r="H20">
            <v>3881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4437317</v>
          </cell>
        </row>
        <row r="28">
          <cell r="H28">
            <v>495008.83900000632</v>
          </cell>
        </row>
        <row r="29">
          <cell r="H29">
            <v>0</v>
          </cell>
        </row>
        <row r="30">
          <cell r="H30">
            <v>191545</v>
          </cell>
        </row>
        <row r="31">
          <cell r="H31">
            <v>204800</v>
          </cell>
        </row>
        <row r="32">
          <cell r="H32">
            <v>5328670.8390000062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225664.31</v>
          </cell>
          <cell r="H36">
            <v>14304.359999999986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618333.51</v>
          </cell>
          <cell r="H43">
            <v>60009.440000000061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155748.30000000022</v>
          </cell>
        </row>
        <row r="49">
          <cell r="F49">
            <v>48600.28</v>
          </cell>
          <cell r="H49">
            <v>36870.991999999998</v>
          </cell>
        </row>
        <row r="50">
          <cell r="F50">
            <v>289351.01</v>
          </cell>
          <cell r="H50">
            <v>23292.070000000007</v>
          </cell>
        </row>
        <row r="51">
          <cell r="F51">
            <v>12044.67</v>
          </cell>
          <cell r="H51">
            <v>20019.7219</v>
          </cell>
        </row>
        <row r="52">
          <cell r="F52">
            <v>362128.87</v>
          </cell>
          <cell r="H52">
            <v>39839.450000000012</v>
          </cell>
        </row>
        <row r="53">
          <cell r="F53">
            <v>24462.47</v>
          </cell>
          <cell r="H53">
            <v>35343.47</v>
          </cell>
        </row>
        <row r="54">
          <cell r="F54">
            <v>2724.96</v>
          </cell>
          <cell r="H54">
            <v>1172.3993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412572.63</v>
          </cell>
          <cell r="H56">
            <v>100528.15000000002</v>
          </cell>
        </row>
        <row r="57">
          <cell r="F57">
            <v>0</v>
          </cell>
          <cell r="H57">
            <v>0</v>
          </cell>
        </row>
        <row r="58">
          <cell r="F58">
            <v>19683.87</v>
          </cell>
          <cell r="H58">
            <v>1914.5739999999969</v>
          </cell>
        </row>
        <row r="59">
          <cell r="H59">
            <v>258980.55720000004</v>
          </cell>
        </row>
        <row r="60">
          <cell r="H60">
            <v>429115.01790000015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774.55</v>
          </cell>
          <cell r="H63">
            <v>476.09</v>
          </cell>
        </row>
        <row r="64">
          <cell r="F64">
            <v>84897.47</v>
          </cell>
          <cell r="H64">
            <v>8834.3830000000016</v>
          </cell>
        </row>
        <row r="65">
          <cell r="F65">
            <v>94711.360000000001</v>
          </cell>
          <cell r="H65">
            <v>9552.0969999999943</v>
          </cell>
        </row>
        <row r="66">
          <cell r="F66">
            <v>88004.24</v>
          </cell>
          <cell r="H66">
            <v>9816.2820000000065</v>
          </cell>
        </row>
        <row r="67">
          <cell r="F67">
            <v>142352.78</v>
          </cell>
          <cell r="H67">
            <v>16296.279999999999</v>
          </cell>
        </row>
        <row r="68">
          <cell r="F68">
            <v>41418.57</v>
          </cell>
          <cell r="H68">
            <v>8018.7010000000009</v>
          </cell>
        </row>
        <row r="69">
          <cell r="F69">
            <v>36117.5</v>
          </cell>
          <cell r="H69">
            <v>6865.1349999999984</v>
          </cell>
        </row>
        <row r="72">
          <cell r="F72">
            <v>844139</v>
          </cell>
          <cell r="H72">
            <v>197</v>
          </cell>
        </row>
        <row r="73">
          <cell r="F73">
            <v>885302</v>
          </cell>
          <cell r="H73">
            <v>174</v>
          </cell>
        </row>
        <row r="74">
          <cell r="F74">
            <v>880135</v>
          </cell>
          <cell r="H74">
            <v>499</v>
          </cell>
        </row>
        <row r="75">
          <cell r="F75">
            <v>725342</v>
          </cell>
          <cell r="H75">
            <v>3976</v>
          </cell>
        </row>
        <row r="76">
          <cell r="F76">
            <v>681353</v>
          </cell>
          <cell r="H76">
            <v>2883</v>
          </cell>
        </row>
        <row r="77">
          <cell r="F77">
            <v>693473</v>
          </cell>
          <cell r="H77">
            <v>1166</v>
          </cell>
        </row>
        <row r="78">
          <cell r="F78">
            <v>616156</v>
          </cell>
          <cell r="H78">
            <v>8142</v>
          </cell>
        </row>
        <row r="79">
          <cell r="F79">
            <v>796988</v>
          </cell>
          <cell r="H79">
            <v>6173</v>
          </cell>
        </row>
        <row r="80">
          <cell r="F80">
            <v>463923</v>
          </cell>
          <cell r="H80">
            <v>5486.1199999999953</v>
          </cell>
        </row>
        <row r="81">
          <cell r="F81">
            <v>613591</v>
          </cell>
          <cell r="H81">
            <v>2468.7199999999721</v>
          </cell>
        </row>
        <row r="82">
          <cell r="F82">
            <v>103445</v>
          </cell>
          <cell r="H82">
            <v>415.05000000000291</v>
          </cell>
        </row>
        <row r="83">
          <cell r="F83">
            <v>960826</v>
          </cell>
          <cell r="H83">
            <v>8583</v>
          </cell>
        </row>
        <row r="84">
          <cell r="F84">
            <v>378911</v>
          </cell>
          <cell r="H84">
            <v>12478</v>
          </cell>
        </row>
        <row r="85">
          <cell r="H85">
            <v>49314.989999999991</v>
          </cell>
        </row>
        <row r="86">
          <cell r="F86">
            <v>439683</v>
          </cell>
        </row>
        <row r="87">
          <cell r="F87">
            <v>76773</v>
          </cell>
        </row>
        <row r="88">
          <cell r="F88">
            <v>141988</v>
          </cell>
        </row>
        <row r="89">
          <cell r="F89">
            <v>55416</v>
          </cell>
        </row>
        <row r="90">
          <cell r="F90">
            <v>2865</v>
          </cell>
        </row>
        <row r="92">
          <cell r="F92">
            <v>230530</v>
          </cell>
          <cell r="H92">
            <v>1935</v>
          </cell>
        </row>
        <row r="93">
          <cell r="F93">
            <v>161990</v>
          </cell>
          <cell r="H93">
            <v>3467</v>
          </cell>
        </row>
        <row r="94">
          <cell r="H94">
            <v>5112</v>
          </cell>
        </row>
        <row r="95">
          <cell r="F95">
            <v>401226</v>
          </cell>
          <cell r="H95">
            <v>1379</v>
          </cell>
        </row>
        <row r="96">
          <cell r="F96">
            <v>98968</v>
          </cell>
          <cell r="H96">
            <v>959</v>
          </cell>
        </row>
        <row r="97">
          <cell r="F97">
            <v>94110</v>
          </cell>
          <cell r="H97">
            <v>559</v>
          </cell>
        </row>
        <row r="98">
          <cell r="F98">
            <v>141917</v>
          </cell>
          <cell r="H98">
            <v>1012</v>
          </cell>
        </row>
        <row r="99">
          <cell r="F99">
            <v>4909</v>
          </cell>
          <cell r="H99">
            <v>201</v>
          </cell>
        </row>
        <row r="100">
          <cell r="F100">
            <v>3674</v>
          </cell>
          <cell r="H100">
            <v>0</v>
          </cell>
        </row>
        <row r="101">
          <cell r="H101">
            <v>4110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18718</v>
          </cell>
        </row>
        <row r="109">
          <cell r="F109">
            <v>51010</v>
          </cell>
        </row>
        <row r="110">
          <cell r="F110">
            <v>25108</v>
          </cell>
        </row>
        <row r="111">
          <cell r="F111">
            <v>3347</v>
          </cell>
        </row>
        <row r="114">
          <cell r="F114">
            <v>8530</v>
          </cell>
        </row>
        <row r="115">
          <cell r="F115">
            <v>6754</v>
          </cell>
        </row>
        <row r="123">
          <cell r="F123">
            <v>787821.63</v>
          </cell>
          <cell r="H123">
            <v>4896.7439999999478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132663</v>
          </cell>
          <cell r="H125">
            <v>1556.7799999999988</v>
          </cell>
        </row>
        <row r="126">
          <cell r="F126">
            <v>56210</v>
          </cell>
          <cell r="H126">
            <v>624.19999999999709</v>
          </cell>
        </row>
        <row r="127">
          <cell r="F127">
            <v>8640</v>
          </cell>
          <cell r="H127">
            <v>1</v>
          </cell>
        </row>
        <row r="128">
          <cell r="H128">
            <v>2773.3850000001858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31596.29</v>
          </cell>
          <cell r="H135">
            <v>61.260000000002037</v>
          </cell>
        </row>
        <row r="136">
          <cell r="F136">
            <v>21647.62</v>
          </cell>
          <cell r="H136">
            <v>49.590000000000146</v>
          </cell>
        </row>
        <row r="137">
          <cell r="F137">
            <v>24931.65</v>
          </cell>
          <cell r="H137">
            <v>10.680000000000291</v>
          </cell>
        </row>
        <row r="138">
          <cell r="F138">
            <v>69953.38</v>
          </cell>
          <cell r="H138">
            <v>24.470000000001164</v>
          </cell>
        </row>
        <row r="139">
          <cell r="F139">
            <v>913.08</v>
          </cell>
          <cell r="H139">
            <v>136.65000000000009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121082.46900000006</v>
          </cell>
        </row>
        <row r="143">
          <cell r="H143">
            <v>6.0812697814063537</v>
          </cell>
        </row>
        <row r="144">
          <cell r="H144">
            <v>108583.03000000012</v>
          </cell>
        </row>
        <row r="145">
          <cell r="H145">
            <v>5.6179273835639147</v>
          </cell>
        </row>
        <row r="146">
          <cell r="H146">
            <v>75698.760000000053</v>
          </cell>
        </row>
        <row r="147">
          <cell r="H147">
            <v>3.8833514849332915</v>
          </cell>
        </row>
        <row r="148">
          <cell r="H148">
            <v>43464.56</v>
          </cell>
        </row>
        <row r="149">
          <cell r="H149">
            <v>2.2467992659694338</v>
          </cell>
        </row>
        <row r="150">
          <cell r="H150">
            <v>39848.799999999988</v>
          </cell>
        </row>
        <row r="151">
          <cell r="H151">
            <v>2.0567406521861966</v>
          </cell>
        </row>
        <row r="152">
          <cell r="H152">
            <v>35241.531900000002</v>
          </cell>
        </row>
        <row r="153">
          <cell r="H153">
            <v>1.826362459352747</v>
          </cell>
        </row>
        <row r="160">
          <cell r="F160">
            <v>23477.81</v>
          </cell>
        </row>
        <row r="161">
          <cell r="F161">
            <v>7213.1</v>
          </cell>
        </row>
        <row r="162">
          <cell r="F162">
            <v>1671</v>
          </cell>
        </row>
        <row r="163">
          <cell r="F163">
            <v>3434.66</v>
          </cell>
        </row>
      </sheetData>
      <sheetData sheetId="28">
        <row r="7">
          <cell r="F7">
            <v>2587304</v>
          </cell>
          <cell r="H7">
            <v>482279</v>
          </cell>
        </row>
        <row r="8">
          <cell r="F8">
            <v>2601120</v>
          </cell>
          <cell r="H8">
            <v>485679</v>
          </cell>
        </row>
        <row r="9">
          <cell r="F9">
            <v>2243986.5</v>
          </cell>
          <cell r="H9">
            <v>226981.19999999995</v>
          </cell>
        </row>
        <row r="10">
          <cell r="F10">
            <v>237837.57</v>
          </cell>
          <cell r="H10">
            <v>237837.78000000003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410555.18000000005</v>
          </cell>
        </row>
        <row r="15">
          <cell r="F15">
            <v>1544089.0049999999</v>
          </cell>
          <cell r="H15">
            <v>13973.810999999987</v>
          </cell>
        </row>
        <row r="18">
          <cell r="F18">
            <v>7</v>
          </cell>
          <cell r="H18">
            <v>2630</v>
          </cell>
        </row>
        <row r="19">
          <cell r="F19">
            <v>129571</v>
          </cell>
          <cell r="H19">
            <v>1376</v>
          </cell>
        </row>
        <row r="20">
          <cell r="H20">
            <v>4006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4613950.5</v>
          </cell>
        </row>
        <row r="28">
          <cell r="H28">
            <v>510044.10149999952</v>
          </cell>
        </row>
        <row r="29">
          <cell r="H29">
            <v>0</v>
          </cell>
        </row>
        <row r="30">
          <cell r="H30">
            <v>199520</v>
          </cell>
        </row>
        <row r="31">
          <cell r="H31">
            <v>210400</v>
          </cell>
        </row>
        <row r="32">
          <cell r="H32">
            <v>5533914.6014999989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226298.55</v>
          </cell>
          <cell r="H36">
            <v>14938.599999999977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620857.11</v>
          </cell>
          <cell r="H43">
            <v>62533.040000000037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158905.76000000018</v>
          </cell>
        </row>
        <row r="49">
          <cell r="F49">
            <v>51014.987000000001</v>
          </cell>
          <cell r="H49">
            <v>39285.699000000001</v>
          </cell>
        </row>
        <row r="50">
          <cell r="F50">
            <v>290358.45</v>
          </cell>
          <cell r="H50">
            <v>24299.510000000009</v>
          </cell>
        </row>
        <row r="51">
          <cell r="F51">
            <v>13461.064</v>
          </cell>
          <cell r="H51">
            <v>21436.115900000001</v>
          </cell>
        </row>
        <row r="52">
          <cell r="F52">
            <v>363767.55</v>
          </cell>
          <cell r="H52">
            <v>41478.130000000005</v>
          </cell>
        </row>
        <row r="53">
          <cell r="F53">
            <v>28454.940999999999</v>
          </cell>
          <cell r="H53">
            <v>39335.940999999999</v>
          </cell>
        </row>
        <row r="54">
          <cell r="F54">
            <v>2748.2892999999999</v>
          </cell>
          <cell r="H54">
            <v>1195.7285999999999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416733.51</v>
          </cell>
          <cell r="H56">
            <v>104689.03000000003</v>
          </cell>
        </row>
        <row r="57">
          <cell r="F57">
            <v>0</v>
          </cell>
          <cell r="H57">
            <v>0</v>
          </cell>
        </row>
        <row r="58">
          <cell r="F58">
            <v>19683.875</v>
          </cell>
          <cell r="H58">
            <v>1914.5789999999979</v>
          </cell>
        </row>
        <row r="59">
          <cell r="H59">
            <v>273634.46350000001</v>
          </cell>
        </row>
        <row r="60">
          <cell r="H60">
            <v>446926.38420000009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790.78399999999999</v>
          </cell>
          <cell r="H63">
            <v>492.32400000000001</v>
          </cell>
        </row>
        <row r="64">
          <cell r="F64">
            <v>85250.903000000006</v>
          </cell>
          <cell r="H64">
            <v>9187.8160000000062</v>
          </cell>
        </row>
        <row r="65">
          <cell r="F65">
            <v>95086.959000000003</v>
          </cell>
          <cell r="H65">
            <v>9927.6959999999963</v>
          </cell>
        </row>
        <row r="66">
          <cell r="F66">
            <v>88383.582999999999</v>
          </cell>
          <cell r="H66">
            <v>10195.625</v>
          </cell>
        </row>
        <row r="67">
          <cell r="F67">
            <v>143040.49</v>
          </cell>
          <cell r="H67">
            <v>16983.989999999991</v>
          </cell>
        </row>
        <row r="68">
          <cell r="F68">
            <v>41758.786999999997</v>
          </cell>
          <cell r="H68">
            <v>8358.9179999999978</v>
          </cell>
        </row>
        <row r="69">
          <cell r="F69">
            <v>36405.142999999996</v>
          </cell>
          <cell r="H69">
            <v>7152.7779999999948</v>
          </cell>
        </row>
        <row r="72">
          <cell r="F72">
            <v>844147</v>
          </cell>
          <cell r="H72">
            <v>205</v>
          </cell>
        </row>
        <row r="73">
          <cell r="F73">
            <v>885304</v>
          </cell>
          <cell r="H73">
            <v>176</v>
          </cell>
        </row>
        <row r="74">
          <cell r="F74">
            <v>880153</v>
          </cell>
          <cell r="H74">
            <v>517</v>
          </cell>
        </row>
        <row r="75">
          <cell r="F75">
            <v>725503</v>
          </cell>
          <cell r="H75">
            <v>4137</v>
          </cell>
        </row>
        <row r="76">
          <cell r="F76">
            <v>681423</v>
          </cell>
          <cell r="H76">
            <v>2953</v>
          </cell>
        </row>
        <row r="77">
          <cell r="F77">
            <v>693522</v>
          </cell>
          <cell r="H77">
            <v>1215</v>
          </cell>
        </row>
        <row r="78">
          <cell r="F78">
            <v>616543</v>
          </cell>
          <cell r="H78">
            <v>8529</v>
          </cell>
        </row>
        <row r="79">
          <cell r="F79">
            <v>797192</v>
          </cell>
          <cell r="H79">
            <v>6377</v>
          </cell>
        </row>
        <row r="80">
          <cell r="F80">
            <v>464220.84</v>
          </cell>
          <cell r="H80">
            <v>5783.960000000021</v>
          </cell>
        </row>
        <row r="81">
          <cell r="F81">
            <v>613741.16</v>
          </cell>
          <cell r="H81">
            <v>2618.8800000000047</v>
          </cell>
        </row>
        <row r="82">
          <cell r="F82">
            <v>103451.34</v>
          </cell>
          <cell r="H82">
            <v>421.38999999999942</v>
          </cell>
        </row>
        <row r="83">
          <cell r="F83">
            <v>961151</v>
          </cell>
          <cell r="H83">
            <v>8908</v>
          </cell>
        </row>
        <row r="84">
          <cell r="F84">
            <v>379402</v>
          </cell>
          <cell r="H84">
            <v>12969</v>
          </cell>
        </row>
        <row r="85">
          <cell r="H85">
            <v>51484.330000000045</v>
          </cell>
        </row>
        <row r="86">
          <cell r="F86">
            <v>439808.52</v>
          </cell>
        </row>
        <row r="87">
          <cell r="F87">
            <v>76806</v>
          </cell>
        </row>
        <row r="88">
          <cell r="F88">
            <v>142074.29</v>
          </cell>
        </row>
        <row r="89">
          <cell r="F89">
            <v>55468.5</v>
          </cell>
        </row>
        <row r="90">
          <cell r="F90">
            <v>2867.9</v>
          </cell>
        </row>
        <row r="92">
          <cell r="F92">
            <v>230584</v>
          </cell>
          <cell r="H92">
            <v>1989</v>
          </cell>
        </row>
        <row r="93">
          <cell r="F93">
            <v>162104</v>
          </cell>
          <cell r="H93">
            <v>3581</v>
          </cell>
        </row>
        <row r="94">
          <cell r="H94">
            <v>5280</v>
          </cell>
        </row>
        <row r="95">
          <cell r="F95">
            <v>401267</v>
          </cell>
          <cell r="H95">
            <v>1420</v>
          </cell>
        </row>
        <row r="96">
          <cell r="F96">
            <v>98996</v>
          </cell>
          <cell r="H96">
            <v>987</v>
          </cell>
        </row>
        <row r="97">
          <cell r="F97">
            <v>94133</v>
          </cell>
          <cell r="H97">
            <v>582</v>
          </cell>
        </row>
        <row r="98">
          <cell r="F98">
            <v>141961</v>
          </cell>
          <cell r="H98">
            <v>1056</v>
          </cell>
        </row>
        <row r="99">
          <cell r="F99">
            <v>4918</v>
          </cell>
          <cell r="H99">
            <v>210</v>
          </cell>
        </row>
        <row r="100">
          <cell r="F100">
            <v>3674</v>
          </cell>
          <cell r="H100">
            <v>0</v>
          </cell>
        </row>
        <row r="101">
          <cell r="H101">
            <v>4255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18719</v>
          </cell>
        </row>
        <row r="109">
          <cell r="F109">
            <v>51069</v>
          </cell>
        </row>
        <row r="110">
          <cell r="F110">
            <v>25149</v>
          </cell>
        </row>
        <row r="111">
          <cell r="F111">
            <v>3354</v>
          </cell>
        </row>
        <row r="114">
          <cell r="F114">
            <v>8541</v>
          </cell>
        </row>
        <row r="115">
          <cell r="F115">
            <v>6775</v>
          </cell>
        </row>
        <row r="123">
          <cell r="F123">
            <v>788025.91099999996</v>
          </cell>
          <cell r="H123">
            <v>5101.0249999999069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132755.72</v>
          </cell>
          <cell r="H125">
            <v>1649.5</v>
          </cell>
        </row>
        <row r="126">
          <cell r="F126">
            <v>56227.199999999997</v>
          </cell>
          <cell r="H126">
            <v>641.39999999999418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2871.0090000000419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31620.1</v>
          </cell>
          <cell r="H135">
            <v>85.069999999999709</v>
          </cell>
        </row>
        <row r="136">
          <cell r="F136">
            <v>21647.42</v>
          </cell>
          <cell r="H136">
            <v>49.389999999999418</v>
          </cell>
        </row>
        <row r="137">
          <cell r="F137">
            <v>24931.65</v>
          </cell>
          <cell r="H137">
            <v>10.680000000000291</v>
          </cell>
        </row>
        <row r="138">
          <cell r="F138">
            <v>69953.38</v>
          </cell>
          <cell r="H138">
            <v>24.470000000001164</v>
          </cell>
        </row>
        <row r="139">
          <cell r="F139">
            <v>918.9</v>
          </cell>
          <cell r="H139">
            <v>142.47000000000003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126020.77600000004</v>
          </cell>
        </row>
        <row r="143">
          <cell r="H143">
            <v>6.3512111282960433</v>
          </cell>
        </row>
        <row r="144">
          <cell r="H144">
            <v>112743.91000000012</v>
          </cell>
        </row>
        <row r="145">
          <cell r="H145">
            <v>5.8453724475193098</v>
          </cell>
        </row>
        <row r="146">
          <cell r="H146">
            <v>79691.231000000058</v>
          </cell>
        </row>
        <row r="147">
          <cell r="H147">
            <v>4.1015908530321212</v>
          </cell>
        </row>
        <row r="148">
          <cell r="H148">
            <v>45102.859999999986</v>
          </cell>
        </row>
        <row r="149">
          <cell r="H149">
            <v>2.3363532180848807</v>
          </cell>
        </row>
        <row r="150">
          <cell r="H150">
            <v>41490.479999999981</v>
          </cell>
        </row>
        <row r="151">
          <cell r="H151">
            <v>2.1464793643322553</v>
          </cell>
        </row>
        <row r="152">
          <cell r="H152">
            <v>36657.925900000002</v>
          </cell>
        </row>
        <row r="153">
          <cell r="H153">
            <v>1.9037864234939954</v>
          </cell>
        </row>
        <row r="160">
          <cell r="F160">
            <v>23550.949000000001</v>
          </cell>
        </row>
        <row r="161">
          <cell r="F161">
            <v>7838.2183000000005</v>
          </cell>
        </row>
        <row r="162">
          <cell r="F162">
            <v>36291.525000000001</v>
          </cell>
        </row>
        <row r="163">
          <cell r="F163">
            <v>3445.08</v>
          </cell>
        </row>
      </sheetData>
      <sheetData sheetId="29">
        <row r="7">
          <cell r="F7">
            <v>2606520</v>
          </cell>
          <cell r="H7">
            <v>501495</v>
          </cell>
        </row>
        <row r="8">
          <cell r="F8">
            <v>2620591</v>
          </cell>
          <cell r="H8">
            <v>505150</v>
          </cell>
        </row>
        <row r="9">
          <cell r="F9">
            <v>2247337.9</v>
          </cell>
          <cell r="H9">
            <v>230332.59999999986</v>
          </cell>
        </row>
        <row r="10">
          <cell r="F10">
            <v>252998.07</v>
          </cell>
          <cell r="H10">
            <v>252998.28000000003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429067.07999999996</v>
          </cell>
        </row>
        <row r="15">
          <cell r="F15">
            <v>1544621.689</v>
          </cell>
          <cell r="H15">
            <v>14506.495000000112</v>
          </cell>
        </row>
        <row r="18">
          <cell r="F18">
            <v>8</v>
          </cell>
          <cell r="H18">
            <v>2710</v>
          </cell>
        </row>
        <row r="19">
          <cell r="F19">
            <v>129628</v>
          </cell>
          <cell r="H19">
            <v>1433</v>
          </cell>
        </row>
        <row r="20">
          <cell r="H20">
            <v>4143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4798925</v>
          </cell>
        </row>
        <row r="28">
          <cell r="H28">
            <v>529487.06750000408</v>
          </cell>
        </row>
        <row r="29">
          <cell r="H29">
            <v>0</v>
          </cell>
        </row>
        <row r="30">
          <cell r="H30">
            <v>207785</v>
          </cell>
        </row>
        <row r="31">
          <cell r="H31">
            <v>216800</v>
          </cell>
        </row>
        <row r="32">
          <cell r="H32">
            <v>5752997.0675000036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227249.07</v>
          </cell>
          <cell r="H36">
            <v>15889.119999999995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623375.87</v>
          </cell>
          <cell r="H43">
            <v>65051.800000000047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162375.71000000025</v>
          </cell>
        </row>
        <row r="49">
          <cell r="F49">
            <v>52500.870999999999</v>
          </cell>
          <cell r="H49">
            <v>40771.582999999999</v>
          </cell>
        </row>
        <row r="50">
          <cell r="F50">
            <v>291785.40999999997</v>
          </cell>
          <cell r="H50">
            <v>25726.469999999972</v>
          </cell>
        </row>
        <row r="51">
          <cell r="F51">
            <v>14878.704</v>
          </cell>
          <cell r="H51">
            <v>22853.7559</v>
          </cell>
        </row>
        <row r="52">
          <cell r="F52">
            <v>365455.15</v>
          </cell>
          <cell r="H52">
            <v>43165.73000000004</v>
          </cell>
        </row>
        <row r="53">
          <cell r="F53">
            <v>32588.708999999999</v>
          </cell>
          <cell r="H53">
            <v>43469.709000000003</v>
          </cell>
        </row>
        <row r="54">
          <cell r="F54">
            <v>2773.5970000000002</v>
          </cell>
          <cell r="H54">
            <v>1221.0363000000002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420672.63</v>
          </cell>
          <cell r="H56">
            <v>108628.15000000002</v>
          </cell>
        </row>
        <row r="57">
          <cell r="F57">
            <v>0</v>
          </cell>
          <cell r="H57">
            <v>0</v>
          </cell>
        </row>
        <row r="58">
          <cell r="F58">
            <v>19783.521000000001</v>
          </cell>
          <cell r="H58">
            <v>2014.2249999999985</v>
          </cell>
        </row>
        <row r="59">
          <cell r="H59">
            <v>287850.38919999998</v>
          </cell>
        </row>
        <row r="60">
          <cell r="H60">
            <v>464612.25990000018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807.01</v>
          </cell>
          <cell r="H63">
            <v>508.55</v>
          </cell>
        </row>
        <row r="64">
          <cell r="F64">
            <v>85603.551000000007</v>
          </cell>
          <cell r="H64">
            <v>9540.4640000000072</v>
          </cell>
        </row>
        <row r="65">
          <cell r="F65">
            <v>95473.951000000001</v>
          </cell>
          <cell r="H65">
            <v>10314.687999999995</v>
          </cell>
        </row>
        <row r="66">
          <cell r="F66">
            <v>88765.175000000003</v>
          </cell>
          <cell r="H66">
            <v>10577.217000000004</v>
          </cell>
        </row>
        <row r="67">
          <cell r="F67">
            <v>143735.82</v>
          </cell>
          <cell r="H67">
            <v>17679.320000000007</v>
          </cell>
        </row>
        <row r="68">
          <cell r="F68">
            <v>42077.839</v>
          </cell>
          <cell r="H68">
            <v>8677.9700000000012</v>
          </cell>
        </row>
        <row r="69">
          <cell r="F69">
            <v>36692.142999999996</v>
          </cell>
          <cell r="H69">
            <v>7439.7779999999948</v>
          </cell>
        </row>
        <row r="72">
          <cell r="F72">
            <v>844154</v>
          </cell>
          <cell r="H72">
            <v>212</v>
          </cell>
        </row>
        <row r="73">
          <cell r="F73">
            <v>885304</v>
          </cell>
          <cell r="H73">
            <v>176</v>
          </cell>
        </row>
        <row r="74">
          <cell r="F74">
            <v>880169</v>
          </cell>
          <cell r="H74">
            <v>533</v>
          </cell>
        </row>
        <row r="75">
          <cell r="F75">
            <v>725662</v>
          </cell>
          <cell r="H75">
            <v>4296</v>
          </cell>
        </row>
        <row r="76">
          <cell r="F76">
            <v>681491</v>
          </cell>
          <cell r="H76">
            <v>3021</v>
          </cell>
        </row>
        <row r="77">
          <cell r="F77">
            <v>693571</v>
          </cell>
          <cell r="H77">
            <v>1264</v>
          </cell>
        </row>
        <row r="78">
          <cell r="F78">
            <v>616941</v>
          </cell>
          <cell r="H78">
            <v>8927</v>
          </cell>
        </row>
        <row r="79">
          <cell r="F79">
            <v>797387</v>
          </cell>
          <cell r="H79">
            <v>6572</v>
          </cell>
        </row>
        <row r="80">
          <cell r="F80">
            <v>464513.4</v>
          </cell>
          <cell r="H80">
            <v>6076.5200000000186</v>
          </cell>
        </row>
        <row r="81">
          <cell r="F81">
            <v>613901.93000000005</v>
          </cell>
          <cell r="H81">
            <v>2779.6500000000233</v>
          </cell>
        </row>
        <row r="82">
          <cell r="F82">
            <v>103474.46</v>
          </cell>
          <cell r="H82">
            <v>444.51000000000931</v>
          </cell>
        </row>
        <row r="83">
          <cell r="F83">
            <v>961473</v>
          </cell>
          <cell r="H83">
            <v>9230</v>
          </cell>
        </row>
        <row r="84">
          <cell r="F84">
            <v>379892</v>
          </cell>
          <cell r="H84">
            <v>13459</v>
          </cell>
        </row>
        <row r="85">
          <cell r="H85">
            <v>53664.780000000072</v>
          </cell>
        </row>
        <row r="86">
          <cell r="F86">
            <v>439965.04</v>
          </cell>
        </row>
        <row r="87">
          <cell r="F87">
            <v>76838.5</v>
          </cell>
        </row>
        <row r="88">
          <cell r="F88">
            <v>142180.07</v>
          </cell>
        </row>
        <row r="89">
          <cell r="F89">
            <v>55521</v>
          </cell>
        </row>
        <row r="90">
          <cell r="F90">
            <v>2869</v>
          </cell>
        </row>
        <row r="92">
          <cell r="F92">
            <v>230648</v>
          </cell>
          <cell r="H92">
            <v>2053</v>
          </cell>
        </row>
        <row r="93">
          <cell r="F93">
            <v>162212</v>
          </cell>
          <cell r="H93">
            <v>3689</v>
          </cell>
        </row>
        <row r="94">
          <cell r="H94">
            <v>5452</v>
          </cell>
        </row>
        <row r="95">
          <cell r="F95">
            <v>401333</v>
          </cell>
          <cell r="H95">
            <v>1486</v>
          </cell>
        </row>
        <row r="96">
          <cell r="F96">
            <v>99017</v>
          </cell>
          <cell r="H96">
            <v>1008</v>
          </cell>
        </row>
        <row r="97">
          <cell r="F97">
            <v>94156</v>
          </cell>
          <cell r="H97">
            <v>605</v>
          </cell>
        </row>
        <row r="98">
          <cell r="F98">
            <v>141983</v>
          </cell>
          <cell r="H98">
            <v>1078</v>
          </cell>
        </row>
        <row r="99">
          <cell r="F99">
            <v>4924</v>
          </cell>
          <cell r="H99">
            <v>216</v>
          </cell>
        </row>
        <row r="100">
          <cell r="F100">
            <v>3674</v>
          </cell>
          <cell r="H100">
            <v>0</v>
          </cell>
        </row>
        <row r="101">
          <cell r="H101">
            <v>4393</v>
          </cell>
        </row>
        <row r="104">
          <cell r="F104">
            <v>7010</v>
          </cell>
        </row>
        <row r="105">
          <cell r="F105">
            <v>34645</v>
          </cell>
        </row>
        <row r="106">
          <cell r="F106">
            <v>18725</v>
          </cell>
        </row>
        <row r="109">
          <cell r="F109">
            <v>51128</v>
          </cell>
        </row>
        <row r="110">
          <cell r="F110">
            <v>25175</v>
          </cell>
        </row>
        <row r="111">
          <cell r="F111">
            <v>3354</v>
          </cell>
        </row>
        <row r="114">
          <cell r="F114">
            <v>8548</v>
          </cell>
        </row>
        <row r="115">
          <cell r="F115">
            <v>6780</v>
          </cell>
        </row>
        <row r="123">
          <cell r="F123">
            <v>788223.31</v>
          </cell>
          <cell r="H123">
            <v>5298.4239999999991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132842.51</v>
          </cell>
          <cell r="H125">
            <v>1736.2900000000081</v>
          </cell>
        </row>
        <row r="126">
          <cell r="F126">
            <v>56252.1</v>
          </cell>
          <cell r="H126">
            <v>666.29999999999563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31644.11</v>
          </cell>
          <cell r="H135">
            <v>109.08000000000175</v>
          </cell>
        </row>
        <row r="136">
          <cell r="F136">
            <v>21651.73</v>
          </cell>
          <cell r="H136">
            <v>53.700000000000728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924.45</v>
          </cell>
          <cell r="H139">
            <v>148.0200000000001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130026.09000000008</v>
          </cell>
        </row>
        <row r="143">
          <cell r="H143">
            <v>6.5596475354567456</v>
          </cell>
        </row>
        <row r="144">
          <cell r="H144">
            <v>116683.03000000012</v>
          </cell>
        </row>
        <row r="145">
          <cell r="H145">
            <v>6.0503641211246384</v>
          </cell>
        </row>
        <row r="146">
          <cell r="H146">
            <v>83824.999000000054</v>
          </cell>
        </row>
        <row r="147">
          <cell r="H147">
            <v>4.3167120020745857</v>
          </cell>
        </row>
        <row r="148">
          <cell r="H148">
            <v>46790.460000000021</v>
          </cell>
        </row>
        <row r="149">
          <cell r="H149">
            <v>2.4241758658783881</v>
          </cell>
        </row>
        <row r="150">
          <cell r="H150">
            <v>43867.959999999963</v>
          </cell>
        </row>
        <row r="151">
          <cell r="H151">
            <v>2.2702033443489071</v>
          </cell>
        </row>
        <row r="152">
          <cell r="H152">
            <v>38075.565900000001</v>
          </cell>
        </row>
        <row r="153">
          <cell r="H153">
            <v>1.9775603618786748</v>
          </cell>
        </row>
        <row r="160">
          <cell r="F160">
            <v>23623.643</v>
          </cell>
        </row>
        <row r="161">
          <cell r="F161">
            <v>8496.59</v>
          </cell>
        </row>
        <row r="162">
          <cell r="F162">
            <v>36629.599999999999</v>
          </cell>
        </row>
        <row r="163">
          <cell r="F163">
            <v>3455.48</v>
          </cell>
        </row>
      </sheetData>
      <sheetData sheetId="30">
        <row r="7">
          <cell r="F7">
            <v>2626077</v>
          </cell>
          <cell r="H7">
            <v>521052</v>
          </cell>
        </row>
        <row r="8">
          <cell r="F8">
            <v>2640363</v>
          </cell>
          <cell r="H8">
            <v>524922</v>
          </cell>
        </row>
        <row r="9">
          <cell r="F9">
            <v>2250651.9</v>
          </cell>
          <cell r="H9">
            <v>233646.59999999986</v>
          </cell>
        </row>
        <row r="10">
          <cell r="F10">
            <v>268517.67</v>
          </cell>
          <cell r="H10">
            <v>268517.88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447900.67999999993</v>
          </cell>
        </row>
        <row r="15">
          <cell r="F15">
            <v>1545427.406</v>
          </cell>
          <cell r="H15">
            <v>15312.212000000058</v>
          </cell>
        </row>
        <row r="18">
          <cell r="F18">
            <v>14</v>
          </cell>
          <cell r="H18">
            <v>2850</v>
          </cell>
        </row>
        <row r="19">
          <cell r="F19">
            <v>129683</v>
          </cell>
          <cell r="H19">
            <v>1488</v>
          </cell>
        </row>
        <row r="20">
          <cell r="H20">
            <v>4338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4986759</v>
          </cell>
        </row>
        <row r="28">
          <cell r="H28">
            <v>558895.73800000211</v>
          </cell>
        </row>
        <row r="29">
          <cell r="H29">
            <v>0</v>
          </cell>
        </row>
        <row r="30">
          <cell r="H30">
            <v>215760</v>
          </cell>
        </row>
        <row r="31">
          <cell r="H31">
            <v>228000</v>
          </cell>
        </row>
        <row r="32">
          <cell r="H32">
            <v>5989414.7380000018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228152.63</v>
          </cell>
          <cell r="H36">
            <v>16792.679999999993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396198</v>
          </cell>
          <cell r="H42">
            <v>0.53000000002793968</v>
          </cell>
        </row>
        <row r="43">
          <cell r="F43">
            <v>625918.15</v>
          </cell>
          <cell r="H43">
            <v>67594.080000000075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165821.60000000027</v>
          </cell>
        </row>
        <row r="49">
          <cell r="F49">
            <v>56167.167000000001</v>
          </cell>
          <cell r="H49">
            <v>44437.879000000001</v>
          </cell>
        </row>
        <row r="50">
          <cell r="F50">
            <v>292957.09000000003</v>
          </cell>
          <cell r="H50">
            <v>26898.150000000023</v>
          </cell>
        </row>
        <row r="51">
          <cell r="F51">
            <v>16325.218999999999</v>
          </cell>
          <cell r="H51">
            <v>24300.2709</v>
          </cell>
        </row>
        <row r="52">
          <cell r="F52">
            <v>367319.51</v>
          </cell>
          <cell r="H52">
            <v>45030.090000000026</v>
          </cell>
        </row>
        <row r="53">
          <cell r="F53">
            <v>36716.203000000001</v>
          </cell>
          <cell r="H53">
            <v>47597.203000000009</v>
          </cell>
        </row>
        <row r="54">
          <cell r="F54">
            <v>2778.1835000000001</v>
          </cell>
          <cell r="H54">
            <v>1225.6228000000001</v>
          </cell>
        </row>
        <row r="55">
          <cell r="F55">
            <v>158493</v>
          </cell>
          <cell r="H55">
            <v>0</v>
          </cell>
        </row>
        <row r="56">
          <cell r="F56">
            <v>424753.27</v>
          </cell>
          <cell r="H56">
            <v>112708.79000000004</v>
          </cell>
        </row>
        <row r="57">
          <cell r="F57">
            <v>0</v>
          </cell>
          <cell r="H57">
            <v>0</v>
          </cell>
        </row>
        <row r="58">
          <cell r="F58">
            <v>19985.809000000001</v>
          </cell>
          <cell r="H58">
            <v>2216.512999999999</v>
          </cell>
        </row>
        <row r="59">
          <cell r="H59">
            <v>304414.51870000002</v>
          </cell>
        </row>
        <row r="60">
          <cell r="H60">
            <v>484622.27940000023</v>
          </cell>
        </row>
        <row r="62">
          <cell r="F62">
            <v>20419.187000000002</v>
          </cell>
          <cell r="H62">
            <v>-0.19099999999525608</v>
          </cell>
        </row>
        <row r="63">
          <cell r="F63">
            <v>823.46100000000001</v>
          </cell>
          <cell r="H63">
            <v>525.00099999999998</v>
          </cell>
        </row>
        <row r="64">
          <cell r="F64">
            <v>85955.638999999996</v>
          </cell>
          <cell r="H64">
            <v>9892.551999999996</v>
          </cell>
        </row>
        <row r="65">
          <cell r="F65">
            <v>95868.502999999997</v>
          </cell>
          <cell r="H65">
            <v>10709.239999999991</v>
          </cell>
        </row>
        <row r="66">
          <cell r="F66">
            <v>89163.358999999997</v>
          </cell>
          <cell r="H66">
            <v>10975.400999999998</v>
          </cell>
        </row>
        <row r="67">
          <cell r="F67">
            <v>144458.26999999999</v>
          </cell>
          <cell r="H67">
            <v>18401.76999999999</v>
          </cell>
        </row>
        <row r="68">
          <cell r="F68">
            <v>42430.879000000001</v>
          </cell>
          <cell r="H68">
            <v>9031.010000000002</v>
          </cell>
        </row>
        <row r="69">
          <cell r="F69">
            <v>36979.870999999999</v>
          </cell>
          <cell r="H69">
            <v>7727.5059999999976</v>
          </cell>
        </row>
        <row r="72">
          <cell r="F72">
            <v>844161</v>
          </cell>
          <cell r="H72">
            <v>219</v>
          </cell>
        </row>
        <row r="73">
          <cell r="F73">
            <v>885307</v>
          </cell>
          <cell r="H73">
            <v>179</v>
          </cell>
        </row>
        <row r="74">
          <cell r="F74">
            <v>880185</v>
          </cell>
          <cell r="H74">
            <v>549</v>
          </cell>
        </row>
        <row r="75">
          <cell r="F75">
            <v>725831</v>
          </cell>
          <cell r="H75">
            <v>4465</v>
          </cell>
        </row>
        <row r="76">
          <cell r="F76">
            <v>681553</v>
          </cell>
          <cell r="H76">
            <v>3083</v>
          </cell>
        </row>
        <row r="77">
          <cell r="F77">
            <v>693619</v>
          </cell>
          <cell r="H77">
            <v>1312</v>
          </cell>
        </row>
        <row r="78">
          <cell r="F78">
            <v>617329</v>
          </cell>
          <cell r="H78">
            <v>9315</v>
          </cell>
        </row>
        <row r="79">
          <cell r="F79">
            <v>797586</v>
          </cell>
          <cell r="H79">
            <v>6771</v>
          </cell>
        </row>
        <row r="80">
          <cell r="F80">
            <v>464840.04</v>
          </cell>
          <cell r="H80">
            <v>6403.1599999999744</v>
          </cell>
        </row>
        <row r="81">
          <cell r="F81">
            <v>614051.16</v>
          </cell>
          <cell r="H81">
            <v>2928.8800000000047</v>
          </cell>
        </row>
        <row r="82">
          <cell r="F82">
            <v>103488.64</v>
          </cell>
          <cell r="H82">
            <v>458.69000000000233</v>
          </cell>
        </row>
        <row r="83">
          <cell r="F83">
            <v>961817</v>
          </cell>
          <cell r="H83">
            <v>9574</v>
          </cell>
        </row>
        <row r="84">
          <cell r="F84">
            <v>380335</v>
          </cell>
          <cell r="H84">
            <v>13902</v>
          </cell>
        </row>
        <row r="85">
          <cell r="H85">
            <v>55833.83</v>
          </cell>
        </row>
        <row r="86">
          <cell r="F86">
            <v>440114.68</v>
          </cell>
        </row>
        <row r="87">
          <cell r="F87">
            <v>76855.8</v>
          </cell>
        </row>
        <row r="88">
          <cell r="F88">
            <v>142274.91</v>
          </cell>
        </row>
        <row r="89">
          <cell r="F89">
            <v>55572.2</v>
          </cell>
        </row>
        <row r="90">
          <cell r="F90">
            <v>2870</v>
          </cell>
        </row>
        <row r="92">
          <cell r="F92">
            <v>230752</v>
          </cell>
          <cell r="H92">
            <v>2157</v>
          </cell>
        </row>
        <row r="93">
          <cell r="F93">
            <v>162354</v>
          </cell>
          <cell r="H93">
            <v>3831</v>
          </cell>
        </row>
        <row r="94">
          <cell r="H94">
            <v>5698</v>
          </cell>
        </row>
        <row r="95">
          <cell r="F95">
            <v>401419</v>
          </cell>
          <cell r="H95">
            <v>1572</v>
          </cell>
        </row>
        <row r="96">
          <cell r="F96">
            <v>99047</v>
          </cell>
          <cell r="H96">
            <v>1038</v>
          </cell>
        </row>
        <row r="97">
          <cell r="F97">
            <v>94187</v>
          </cell>
          <cell r="H97">
            <v>636</v>
          </cell>
        </row>
        <row r="98">
          <cell r="F98">
            <v>142038</v>
          </cell>
          <cell r="H98">
            <v>1133</v>
          </cell>
        </row>
        <row r="99">
          <cell r="F99">
            <v>4939</v>
          </cell>
          <cell r="H99">
            <v>231</v>
          </cell>
        </row>
        <row r="100">
          <cell r="F100">
            <v>3674</v>
          </cell>
          <cell r="H100">
            <v>0</v>
          </cell>
        </row>
        <row r="101">
          <cell r="H101">
            <v>4610</v>
          </cell>
        </row>
        <row r="104">
          <cell r="F104">
            <v>7010</v>
          </cell>
        </row>
        <row r="105">
          <cell r="F105">
            <v>34660</v>
          </cell>
        </row>
        <row r="106">
          <cell r="F106">
            <v>18730</v>
          </cell>
        </row>
        <row r="109">
          <cell r="F109">
            <v>51168</v>
          </cell>
        </row>
        <row r="110">
          <cell r="F110">
            <v>25222</v>
          </cell>
        </row>
        <row r="111">
          <cell r="F111">
            <v>3370</v>
          </cell>
        </row>
        <row r="114">
          <cell r="F114">
            <v>8567</v>
          </cell>
        </row>
        <row r="115">
          <cell r="F115">
            <v>6797</v>
          </cell>
        </row>
        <row r="123">
          <cell r="F123">
            <v>788426.071</v>
          </cell>
          <cell r="H123">
            <v>5501.1849999999395</v>
          </cell>
        </row>
        <row r="124">
          <cell r="F124">
            <v>73582</v>
          </cell>
          <cell r="H124">
            <v>1</v>
          </cell>
        </row>
        <row r="125">
          <cell r="F125">
            <v>132932.31</v>
          </cell>
          <cell r="H125">
            <v>1826.0899999999965</v>
          </cell>
        </row>
        <row r="126">
          <cell r="F126">
            <v>56277.2</v>
          </cell>
          <cell r="H126">
            <v>691.39999999999418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31668.22</v>
          </cell>
          <cell r="H135">
            <v>133.19000000000233</v>
          </cell>
        </row>
        <row r="136">
          <cell r="F136">
            <v>21660.74</v>
          </cell>
          <cell r="H136">
            <v>62.710000000002765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930.12</v>
          </cell>
          <cell r="H139">
            <v>153.69000000000005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136234.66600000011</v>
          </cell>
        </row>
        <row r="143">
          <cell r="H143">
            <v>6.8771080866660332</v>
          </cell>
        </row>
        <row r="144">
          <cell r="H144">
            <v>120763.99000000011</v>
          </cell>
        </row>
        <row r="145">
          <cell r="H145">
            <v>6.2590341625420329</v>
          </cell>
        </row>
        <row r="146">
          <cell r="H146">
            <v>87952.49300000006</v>
          </cell>
        </row>
        <row r="147">
          <cell r="H147">
            <v>4.5277614472860188</v>
          </cell>
        </row>
        <row r="148">
          <cell r="H148">
            <v>48654.820000000007</v>
          </cell>
        </row>
        <row r="149">
          <cell r="H149">
            <v>2.5195054154002978</v>
          </cell>
        </row>
        <row r="150">
          <cell r="H150">
            <v>45943.200000000012</v>
          </cell>
        </row>
        <row r="151">
          <cell r="H151">
            <v>2.3763157337746907</v>
          </cell>
        </row>
        <row r="152">
          <cell r="H152">
            <v>39522.080900000001</v>
          </cell>
        </row>
        <row r="153">
          <cell r="H153">
            <v>2.0515244156701562</v>
          </cell>
        </row>
        <row r="160">
          <cell r="F160">
            <v>23695.402999999998</v>
          </cell>
        </row>
        <row r="161">
          <cell r="F161">
            <v>9137.2518999999993</v>
          </cell>
        </row>
        <row r="162">
          <cell r="F162">
            <v>36849.767</v>
          </cell>
        </row>
        <row r="163">
          <cell r="F163">
            <v>3460.25</v>
          </cell>
        </row>
      </sheetData>
      <sheetData sheetId="31">
        <row r="7">
          <cell r="F7">
            <v>2647221</v>
          </cell>
          <cell r="H7">
            <v>542196</v>
          </cell>
        </row>
        <row r="8">
          <cell r="F8">
            <v>2661649</v>
          </cell>
          <cell r="H8">
            <v>546208</v>
          </cell>
        </row>
        <row r="9">
          <cell r="F9">
            <v>2253967.7000000002</v>
          </cell>
          <cell r="H9">
            <v>236962.40000000014</v>
          </cell>
        </row>
        <row r="10">
          <cell r="F10">
            <v>285589.84999999998</v>
          </cell>
          <cell r="H10">
            <v>285590.06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468288.66000000021</v>
          </cell>
        </row>
        <row r="15">
          <cell r="F15">
            <v>1546222.4140000001</v>
          </cell>
          <cell r="H15">
            <v>16107.220000000205</v>
          </cell>
        </row>
        <row r="18">
          <cell r="F18">
            <v>14</v>
          </cell>
          <cell r="H18">
            <v>2990</v>
          </cell>
        </row>
        <row r="19">
          <cell r="F19">
            <v>129744</v>
          </cell>
          <cell r="H19">
            <v>1549</v>
          </cell>
        </row>
        <row r="20">
          <cell r="H20">
            <v>4539</v>
          </cell>
        </row>
        <row r="22">
          <cell r="H22">
            <v>640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5188976</v>
          </cell>
        </row>
        <row r="28">
          <cell r="H28">
            <v>587913.53000000748</v>
          </cell>
        </row>
        <row r="29">
          <cell r="H29">
            <v>0</v>
          </cell>
        </row>
        <row r="30">
          <cell r="H30">
            <v>224605</v>
          </cell>
        </row>
        <row r="31">
          <cell r="H31">
            <v>239200</v>
          </cell>
        </row>
        <row r="32">
          <cell r="H32">
            <v>6240694.5300000068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229085.73</v>
          </cell>
          <cell r="H36">
            <v>17725.78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396198</v>
          </cell>
          <cell r="H42">
            <v>0.53000000002793968</v>
          </cell>
        </row>
        <row r="43">
          <cell r="F43">
            <v>628430.15</v>
          </cell>
          <cell r="H43">
            <v>70106.080000000075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</v>
          </cell>
        </row>
        <row r="46">
          <cell r="F46">
            <v>187.49</v>
          </cell>
          <cell r="H46">
            <v>0</v>
          </cell>
        </row>
        <row r="47">
          <cell r="H47">
            <v>169267.67000000027</v>
          </cell>
        </row>
        <row r="49">
          <cell r="F49">
            <v>58900.663</v>
          </cell>
          <cell r="H49">
            <v>47171.375</v>
          </cell>
        </row>
        <row r="50">
          <cell r="F50">
            <v>294446.21000000002</v>
          </cell>
          <cell r="H50">
            <v>28387.270000000019</v>
          </cell>
        </row>
        <row r="51">
          <cell r="F51">
            <v>17807.510999999999</v>
          </cell>
          <cell r="H51">
            <v>25782.562899999997</v>
          </cell>
        </row>
        <row r="52">
          <cell r="F52">
            <v>369176.07</v>
          </cell>
          <cell r="H52">
            <v>46886.650000000023</v>
          </cell>
        </row>
        <row r="53">
          <cell r="F53">
            <v>40870.178999999996</v>
          </cell>
          <cell r="H53">
            <v>51751.179000000004</v>
          </cell>
        </row>
        <row r="54">
          <cell r="F54">
            <v>2781.1007</v>
          </cell>
          <cell r="H54">
            <v>1228.54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430011.47</v>
          </cell>
          <cell r="H56">
            <v>117966.98999999999</v>
          </cell>
        </row>
        <row r="57">
          <cell r="F57">
            <v>0</v>
          </cell>
          <cell r="H57">
            <v>0</v>
          </cell>
        </row>
        <row r="58">
          <cell r="F58">
            <v>20116.107</v>
          </cell>
          <cell r="H58">
            <v>2346.8109999999979</v>
          </cell>
        </row>
        <row r="59">
          <cell r="H59">
            <v>321521.10789999994</v>
          </cell>
        </row>
        <row r="60">
          <cell r="H60">
            <v>505174.93860000017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839.9</v>
          </cell>
          <cell r="H63">
            <v>541.43999999999994</v>
          </cell>
        </row>
        <row r="64">
          <cell r="F64">
            <v>86315.471000000005</v>
          </cell>
          <cell r="H64">
            <v>10252.384000000005</v>
          </cell>
        </row>
        <row r="65">
          <cell r="F65">
            <v>96243.510999999999</v>
          </cell>
          <cell r="H65">
            <v>11084.247999999992</v>
          </cell>
        </row>
        <row r="66">
          <cell r="F66">
            <v>89574.047000000006</v>
          </cell>
          <cell r="H66">
            <v>11386.089000000007</v>
          </cell>
        </row>
        <row r="67">
          <cell r="F67">
            <v>145211.41</v>
          </cell>
          <cell r="H67">
            <v>19154.910000000003</v>
          </cell>
        </row>
        <row r="68">
          <cell r="F68">
            <v>42788.182999999997</v>
          </cell>
          <cell r="H68">
            <v>9388.3139999999985</v>
          </cell>
        </row>
        <row r="69">
          <cell r="F69">
            <v>37262.686999999998</v>
          </cell>
          <cell r="H69">
            <v>8010.3219999999965</v>
          </cell>
        </row>
        <row r="70">
          <cell r="H70">
            <v>0</v>
          </cell>
        </row>
        <row r="72">
          <cell r="F72">
            <v>844169</v>
          </cell>
          <cell r="H72">
            <v>227</v>
          </cell>
        </row>
        <row r="73">
          <cell r="F73">
            <v>885308</v>
          </cell>
          <cell r="H73">
            <v>180</v>
          </cell>
        </row>
        <row r="74">
          <cell r="F74">
            <v>880204</v>
          </cell>
          <cell r="H74">
            <v>568</v>
          </cell>
        </row>
        <row r="75">
          <cell r="F75">
            <v>726012</v>
          </cell>
          <cell r="H75">
            <v>4646</v>
          </cell>
        </row>
        <row r="76">
          <cell r="F76">
            <v>681619</v>
          </cell>
          <cell r="H76">
            <v>3149</v>
          </cell>
        </row>
        <row r="77">
          <cell r="F77">
            <v>693669</v>
          </cell>
          <cell r="H77">
            <v>1362</v>
          </cell>
        </row>
        <row r="78">
          <cell r="F78">
            <v>617771</v>
          </cell>
          <cell r="H78">
            <v>9757</v>
          </cell>
        </row>
        <row r="79">
          <cell r="F79">
            <v>797787</v>
          </cell>
          <cell r="H79">
            <v>6972</v>
          </cell>
        </row>
        <row r="80">
          <cell r="F80">
            <v>465176.24</v>
          </cell>
          <cell r="H80">
            <v>6739.359999999986</v>
          </cell>
        </row>
        <row r="81">
          <cell r="F81">
            <v>614214</v>
          </cell>
          <cell r="H81">
            <v>3091.7199999999721</v>
          </cell>
        </row>
        <row r="82">
          <cell r="F82">
            <v>103509.03</v>
          </cell>
          <cell r="H82">
            <v>479.08000000000175</v>
          </cell>
        </row>
        <row r="83">
          <cell r="F83">
            <v>962161</v>
          </cell>
          <cell r="H83">
            <v>9918</v>
          </cell>
        </row>
        <row r="84">
          <cell r="F84">
            <v>380833</v>
          </cell>
          <cell r="H84">
            <v>14400</v>
          </cell>
        </row>
        <row r="85">
          <cell r="H85">
            <v>58163.25999999998</v>
          </cell>
        </row>
        <row r="86">
          <cell r="F86">
            <v>440234.52</v>
          </cell>
        </row>
        <row r="87">
          <cell r="F87">
            <v>76866.8</v>
          </cell>
        </row>
        <row r="88">
          <cell r="F88">
            <v>142347.5</v>
          </cell>
        </row>
        <row r="89">
          <cell r="F89">
            <v>55622.7</v>
          </cell>
        </row>
        <row r="90">
          <cell r="F90">
            <v>2881.2</v>
          </cell>
        </row>
        <row r="92">
          <cell r="F92">
            <v>230856</v>
          </cell>
          <cell r="H92">
            <v>2261</v>
          </cell>
        </row>
        <row r="93">
          <cell r="F93">
            <v>162491</v>
          </cell>
          <cell r="H93">
            <v>3968</v>
          </cell>
        </row>
        <row r="94">
          <cell r="H94">
            <v>5939</v>
          </cell>
        </row>
        <row r="95">
          <cell r="F95">
            <v>401491</v>
          </cell>
          <cell r="H95">
            <v>1644</v>
          </cell>
        </row>
        <row r="96">
          <cell r="F96">
            <v>99079</v>
          </cell>
          <cell r="H96">
            <v>1070</v>
          </cell>
        </row>
        <row r="97">
          <cell r="F97">
            <v>94222</v>
          </cell>
          <cell r="H97">
            <v>671</v>
          </cell>
        </row>
        <row r="98">
          <cell r="F98">
            <v>142080</v>
          </cell>
          <cell r="H98">
            <v>1175</v>
          </cell>
        </row>
        <row r="99">
          <cell r="F99">
            <v>4951</v>
          </cell>
          <cell r="H99">
            <v>243</v>
          </cell>
        </row>
        <row r="100">
          <cell r="F100">
            <v>3674</v>
          </cell>
          <cell r="H100">
            <v>0</v>
          </cell>
        </row>
        <row r="101">
          <cell r="H101">
            <v>4803</v>
          </cell>
        </row>
        <row r="104">
          <cell r="F104">
            <v>7010</v>
          </cell>
        </row>
        <row r="105">
          <cell r="F105">
            <v>34665</v>
          </cell>
        </row>
        <row r="106">
          <cell r="F106">
            <v>18735</v>
          </cell>
        </row>
        <row r="109">
          <cell r="F109">
            <v>51223</v>
          </cell>
        </row>
        <row r="110">
          <cell r="F110">
            <v>25265</v>
          </cell>
        </row>
        <row r="111">
          <cell r="F111">
            <v>3373</v>
          </cell>
        </row>
        <row r="114">
          <cell r="F114">
            <v>8581</v>
          </cell>
        </row>
        <row r="115">
          <cell r="F115">
            <v>6811</v>
          </cell>
        </row>
        <row r="123">
          <cell r="F123">
            <v>788636.28300000005</v>
          </cell>
          <cell r="H123">
            <v>5711.3969999999972</v>
          </cell>
        </row>
        <row r="124">
          <cell r="F124">
            <v>73582.2</v>
          </cell>
          <cell r="H124">
            <v>1.1999999999970896</v>
          </cell>
        </row>
        <row r="125">
          <cell r="F125">
            <v>133031.54999999999</v>
          </cell>
          <cell r="H125">
            <v>1925.3299999999872</v>
          </cell>
        </row>
        <row r="126">
          <cell r="F126">
            <v>56319.8</v>
          </cell>
          <cell r="H126">
            <v>734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31692.25</v>
          </cell>
          <cell r="H135">
            <v>157.22000000000116</v>
          </cell>
        </row>
        <row r="136">
          <cell r="F136">
            <v>21668.45</v>
          </cell>
          <cell r="H136">
            <v>70.420000000001892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935.98</v>
          </cell>
          <cell r="H139">
            <v>159.55000000000007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141480.16200000013</v>
          </cell>
        </row>
        <row r="143">
          <cell r="H143">
            <v>7.1251924604836647</v>
          </cell>
        </row>
        <row r="144">
          <cell r="H144">
            <v>126021.92000000007</v>
          </cell>
        </row>
        <row r="145">
          <cell r="H145">
            <v>6.5077065991670784</v>
          </cell>
        </row>
        <row r="146">
          <cell r="H146">
            <v>92106.469000000056</v>
          </cell>
        </row>
        <row r="147">
          <cell r="H147">
            <v>4.7242226655985426</v>
          </cell>
        </row>
        <row r="148">
          <cell r="H148">
            <v>50511.380000000005</v>
          </cell>
        </row>
        <row r="149">
          <cell r="H149">
            <v>2.6073109394260259</v>
          </cell>
        </row>
        <row r="150">
          <cell r="H150">
            <v>48365.420000000013</v>
          </cell>
        </row>
        <row r="151">
          <cell r="H151">
            <v>2.4908740008953871</v>
          </cell>
        </row>
        <row r="152">
          <cell r="H152">
            <v>41004.372900000002</v>
          </cell>
        </row>
        <row r="153">
          <cell r="H153">
            <v>2.1216290316368607</v>
          </cell>
        </row>
        <row r="160">
          <cell r="F160">
            <v>23767.341</v>
          </cell>
        </row>
        <row r="161">
          <cell r="F161">
            <v>9779.2900000000009</v>
          </cell>
        </row>
        <row r="162">
          <cell r="F162">
            <v>37069.108999999997</v>
          </cell>
        </row>
        <row r="163">
          <cell r="F163">
            <v>3474.99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7">
          <cell r="I7">
            <v>12000</v>
          </cell>
        </row>
        <row r="8">
          <cell r="I8">
            <v>12000</v>
          </cell>
        </row>
        <row r="18">
          <cell r="I18">
            <v>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>
      <selection activeCell="E2" sqref="E2:E31"/>
    </sheetView>
  </sheetViews>
  <sheetFormatPr defaultColWidth="9" defaultRowHeight="15"/>
  <cols>
    <col min="1" max="1" width="9.6640625" style="1338" customWidth="1"/>
    <col min="2" max="3" width="9" style="1332"/>
    <col min="4" max="4" width="10.44140625" style="1333" customWidth="1"/>
    <col min="5" max="5" width="9.77734375" style="1334" customWidth="1"/>
    <col min="6" max="6" width="9.77734375" style="1338" customWidth="1"/>
    <col min="7" max="10" width="9" style="1338"/>
    <col min="11" max="12" width="9" style="1334"/>
    <col min="13" max="13" width="0" style="1337" hidden="1" customWidth="1"/>
    <col min="14" max="256" width="9" style="1337"/>
    <col min="257" max="257" width="9.6640625" style="1337" customWidth="1"/>
    <col min="258" max="259" width="9" style="1337"/>
    <col min="260" max="260" width="10.44140625" style="1337" customWidth="1"/>
    <col min="261" max="262" width="9.77734375" style="1337" customWidth="1"/>
    <col min="263" max="268" width="9" style="1337"/>
    <col min="269" max="269" width="0" style="1337" hidden="1" customWidth="1"/>
    <col min="270" max="512" width="9" style="1337"/>
    <col min="513" max="513" width="9.6640625" style="1337" customWidth="1"/>
    <col min="514" max="515" width="9" style="1337"/>
    <col min="516" max="516" width="10.44140625" style="1337" customWidth="1"/>
    <col min="517" max="518" width="9.77734375" style="1337" customWidth="1"/>
    <col min="519" max="524" width="9" style="1337"/>
    <col min="525" max="525" width="0" style="1337" hidden="1" customWidth="1"/>
    <col min="526" max="768" width="9" style="1337"/>
    <col min="769" max="769" width="9.6640625" style="1337" customWidth="1"/>
    <col min="770" max="771" width="9" style="1337"/>
    <col min="772" max="772" width="10.44140625" style="1337" customWidth="1"/>
    <col min="773" max="774" width="9.77734375" style="1337" customWidth="1"/>
    <col min="775" max="780" width="9" style="1337"/>
    <col min="781" max="781" width="0" style="1337" hidden="1" customWidth="1"/>
    <col min="782" max="1024" width="9" style="1337"/>
    <col min="1025" max="1025" width="9.6640625" style="1337" customWidth="1"/>
    <col min="1026" max="1027" width="9" style="1337"/>
    <col min="1028" max="1028" width="10.44140625" style="1337" customWidth="1"/>
    <col min="1029" max="1030" width="9.77734375" style="1337" customWidth="1"/>
    <col min="1031" max="1036" width="9" style="1337"/>
    <col min="1037" max="1037" width="0" style="1337" hidden="1" customWidth="1"/>
    <col min="1038" max="1280" width="9" style="1337"/>
    <col min="1281" max="1281" width="9.6640625" style="1337" customWidth="1"/>
    <col min="1282" max="1283" width="9" style="1337"/>
    <col min="1284" max="1284" width="10.44140625" style="1337" customWidth="1"/>
    <col min="1285" max="1286" width="9.77734375" style="1337" customWidth="1"/>
    <col min="1287" max="1292" width="9" style="1337"/>
    <col min="1293" max="1293" width="0" style="1337" hidden="1" customWidth="1"/>
    <col min="1294" max="1536" width="9" style="1337"/>
    <col min="1537" max="1537" width="9.6640625" style="1337" customWidth="1"/>
    <col min="1538" max="1539" width="9" style="1337"/>
    <col min="1540" max="1540" width="10.44140625" style="1337" customWidth="1"/>
    <col min="1541" max="1542" width="9.77734375" style="1337" customWidth="1"/>
    <col min="1543" max="1548" width="9" style="1337"/>
    <col min="1549" max="1549" width="0" style="1337" hidden="1" customWidth="1"/>
    <col min="1550" max="1792" width="9" style="1337"/>
    <col min="1793" max="1793" width="9.6640625" style="1337" customWidth="1"/>
    <col min="1794" max="1795" width="9" style="1337"/>
    <col min="1796" max="1796" width="10.44140625" style="1337" customWidth="1"/>
    <col min="1797" max="1798" width="9.77734375" style="1337" customWidth="1"/>
    <col min="1799" max="1804" width="9" style="1337"/>
    <col min="1805" max="1805" width="0" style="1337" hidden="1" customWidth="1"/>
    <col min="1806" max="2048" width="9" style="1337"/>
    <col min="2049" max="2049" width="9.6640625" style="1337" customWidth="1"/>
    <col min="2050" max="2051" width="9" style="1337"/>
    <col min="2052" max="2052" width="10.44140625" style="1337" customWidth="1"/>
    <col min="2053" max="2054" width="9.77734375" style="1337" customWidth="1"/>
    <col min="2055" max="2060" width="9" style="1337"/>
    <col min="2061" max="2061" width="0" style="1337" hidden="1" customWidth="1"/>
    <col min="2062" max="2304" width="9" style="1337"/>
    <col min="2305" max="2305" width="9.6640625" style="1337" customWidth="1"/>
    <col min="2306" max="2307" width="9" style="1337"/>
    <col min="2308" max="2308" width="10.44140625" style="1337" customWidth="1"/>
    <col min="2309" max="2310" width="9.77734375" style="1337" customWidth="1"/>
    <col min="2311" max="2316" width="9" style="1337"/>
    <col min="2317" max="2317" width="0" style="1337" hidden="1" customWidth="1"/>
    <col min="2318" max="2560" width="9" style="1337"/>
    <col min="2561" max="2561" width="9.6640625" style="1337" customWidth="1"/>
    <col min="2562" max="2563" width="9" style="1337"/>
    <col min="2564" max="2564" width="10.44140625" style="1337" customWidth="1"/>
    <col min="2565" max="2566" width="9.77734375" style="1337" customWidth="1"/>
    <col min="2567" max="2572" width="9" style="1337"/>
    <col min="2573" max="2573" width="0" style="1337" hidden="1" customWidth="1"/>
    <col min="2574" max="2816" width="9" style="1337"/>
    <col min="2817" max="2817" width="9.6640625" style="1337" customWidth="1"/>
    <col min="2818" max="2819" width="9" style="1337"/>
    <col min="2820" max="2820" width="10.44140625" style="1337" customWidth="1"/>
    <col min="2821" max="2822" width="9.77734375" style="1337" customWidth="1"/>
    <col min="2823" max="2828" width="9" style="1337"/>
    <col min="2829" max="2829" width="0" style="1337" hidden="1" customWidth="1"/>
    <col min="2830" max="3072" width="9" style="1337"/>
    <col min="3073" max="3073" width="9.6640625" style="1337" customWidth="1"/>
    <col min="3074" max="3075" width="9" style="1337"/>
    <col min="3076" max="3076" width="10.44140625" style="1337" customWidth="1"/>
    <col min="3077" max="3078" width="9.77734375" style="1337" customWidth="1"/>
    <col min="3079" max="3084" width="9" style="1337"/>
    <col min="3085" max="3085" width="0" style="1337" hidden="1" customWidth="1"/>
    <col min="3086" max="3328" width="9" style="1337"/>
    <col min="3329" max="3329" width="9.6640625" style="1337" customWidth="1"/>
    <col min="3330" max="3331" width="9" style="1337"/>
    <col min="3332" max="3332" width="10.44140625" style="1337" customWidth="1"/>
    <col min="3333" max="3334" width="9.77734375" style="1337" customWidth="1"/>
    <col min="3335" max="3340" width="9" style="1337"/>
    <col min="3341" max="3341" width="0" style="1337" hidden="1" customWidth="1"/>
    <col min="3342" max="3584" width="9" style="1337"/>
    <col min="3585" max="3585" width="9.6640625" style="1337" customWidth="1"/>
    <col min="3586" max="3587" width="9" style="1337"/>
    <col min="3588" max="3588" width="10.44140625" style="1337" customWidth="1"/>
    <col min="3589" max="3590" width="9.77734375" style="1337" customWidth="1"/>
    <col min="3591" max="3596" width="9" style="1337"/>
    <col min="3597" max="3597" width="0" style="1337" hidden="1" customWidth="1"/>
    <col min="3598" max="3840" width="9" style="1337"/>
    <col min="3841" max="3841" width="9.6640625" style="1337" customWidth="1"/>
    <col min="3842" max="3843" width="9" style="1337"/>
    <col min="3844" max="3844" width="10.44140625" style="1337" customWidth="1"/>
    <col min="3845" max="3846" width="9.77734375" style="1337" customWidth="1"/>
    <col min="3847" max="3852" width="9" style="1337"/>
    <col min="3853" max="3853" width="0" style="1337" hidden="1" customWidth="1"/>
    <col min="3854" max="4096" width="9" style="1337"/>
    <col min="4097" max="4097" width="9.6640625" style="1337" customWidth="1"/>
    <col min="4098" max="4099" width="9" style="1337"/>
    <col min="4100" max="4100" width="10.44140625" style="1337" customWidth="1"/>
    <col min="4101" max="4102" width="9.77734375" style="1337" customWidth="1"/>
    <col min="4103" max="4108" width="9" style="1337"/>
    <col min="4109" max="4109" width="0" style="1337" hidden="1" customWidth="1"/>
    <col min="4110" max="4352" width="9" style="1337"/>
    <col min="4353" max="4353" width="9.6640625" style="1337" customWidth="1"/>
    <col min="4354" max="4355" width="9" style="1337"/>
    <col min="4356" max="4356" width="10.44140625" style="1337" customWidth="1"/>
    <col min="4357" max="4358" width="9.77734375" style="1337" customWidth="1"/>
    <col min="4359" max="4364" width="9" style="1337"/>
    <col min="4365" max="4365" width="0" style="1337" hidden="1" customWidth="1"/>
    <col min="4366" max="4608" width="9" style="1337"/>
    <col min="4609" max="4609" width="9.6640625" style="1337" customWidth="1"/>
    <col min="4610" max="4611" width="9" style="1337"/>
    <col min="4612" max="4612" width="10.44140625" style="1337" customWidth="1"/>
    <col min="4613" max="4614" width="9.77734375" style="1337" customWidth="1"/>
    <col min="4615" max="4620" width="9" style="1337"/>
    <col min="4621" max="4621" width="0" style="1337" hidden="1" customWidth="1"/>
    <col min="4622" max="4864" width="9" style="1337"/>
    <col min="4865" max="4865" width="9.6640625" style="1337" customWidth="1"/>
    <col min="4866" max="4867" width="9" style="1337"/>
    <col min="4868" max="4868" width="10.44140625" style="1337" customWidth="1"/>
    <col min="4869" max="4870" width="9.77734375" style="1337" customWidth="1"/>
    <col min="4871" max="4876" width="9" style="1337"/>
    <col min="4877" max="4877" width="0" style="1337" hidden="1" customWidth="1"/>
    <col min="4878" max="5120" width="9" style="1337"/>
    <col min="5121" max="5121" width="9.6640625" style="1337" customWidth="1"/>
    <col min="5122" max="5123" width="9" style="1337"/>
    <col min="5124" max="5124" width="10.44140625" style="1337" customWidth="1"/>
    <col min="5125" max="5126" width="9.77734375" style="1337" customWidth="1"/>
    <col min="5127" max="5132" width="9" style="1337"/>
    <col min="5133" max="5133" width="0" style="1337" hidden="1" customWidth="1"/>
    <col min="5134" max="5376" width="9" style="1337"/>
    <col min="5377" max="5377" width="9.6640625" style="1337" customWidth="1"/>
    <col min="5378" max="5379" width="9" style="1337"/>
    <col min="5380" max="5380" width="10.44140625" style="1337" customWidth="1"/>
    <col min="5381" max="5382" width="9.77734375" style="1337" customWidth="1"/>
    <col min="5383" max="5388" width="9" style="1337"/>
    <col min="5389" max="5389" width="0" style="1337" hidden="1" customWidth="1"/>
    <col min="5390" max="5632" width="9" style="1337"/>
    <col min="5633" max="5633" width="9.6640625" style="1337" customWidth="1"/>
    <col min="5634" max="5635" width="9" style="1337"/>
    <col min="5636" max="5636" width="10.44140625" style="1337" customWidth="1"/>
    <col min="5637" max="5638" width="9.77734375" style="1337" customWidth="1"/>
    <col min="5639" max="5644" width="9" style="1337"/>
    <col min="5645" max="5645" width="0" style="1337" hidden="1" customWidth="1"/>
    <col min="5646" max="5888" width="9" style="1337"/>
    <col min="5889" max="5889" width="9.6640625" style="1337" customWidth="1"/>
    <col min="5890" max="5891" width="9" style="1337"/>
    <col min="5892" max="5892" width="10.44140625" style="1337" customWidth="1"/>
    <col min="5893" max="5894" width="9.77734375" style="1337" customWidth="1"/>
    <col min="5895" max="5900" width="9" style="1337"/>
    <col min="5901" max="5901" width="0" style="1337" hidden="1" customWidth="1"/>
    <col min="5902" max="6144" width="9" style="1337"/>
    <col min="6145" max="6145" width="9.6640625" style="1337" customWidth="1"/>
    <col min="6146" max="6147" width="9" style="1337"/>
    <col min="6148" max="6148" width="10.44140625" style="1337" customWidth="1"/>
    <col min="6149" max="6150" width="9.77734375" style="1337" customWidth="1"/>
    <col min="6151" max="6156" width="9" style="1337"/>
    <col min="6157" max="6157" width="0" style="1337" hidden="1" customWidth="1"/>
    <col min="6158" max="6400" width="9" style="1337"/>
    <col min="6401" max="6401" width="9.6640625" style="1337" customWidth="1"/>
    <col min="6402" max="6403" width="9" style="1337"/>
    <col min="6404" max="6404" width="10.44140625" style="1337" customWidth="1"/>
    <col min="6405" max="6406" width="9.77734375" style="1337" customWidth="1"/>
    <col min="6407" max="6412" width="9" style="1337"/>
    <col min="6413" max="6413" width="0" style="1337" hidden="1" customWidth="1"/>
    <col min="6414" max="6656" width="9" style="1337"/>
    <col min="6657" max="6657" width="9.6640625" style="1337" customWidth="1"/>
    <col min="6658" max="6659" width="9" style="1337"/>
    <col min="6660" max="6660" width="10.44140625" style="1337" customWidth="1"/>
    <col min="6661" max="6662" width="9.77734375" style="1337" customWidth="1"/>
    <col min="6663" max="6668" width="9" style="1337"/>
    <col min="6669" max="6669" width="0" style="1337" hidden="1" customWidth="1"/>
    <col min="6670" max="6912" width="9" style="1337"/>
    <col min="6913" max="6913" width="9.6640625" style="1337" customWidth="1"/>
    <col min="6914" max="6915" width="9" style="1337"/>
    <col min="6916" max="6916" width="10.44140625" style="1337" customWidth="1"/>
    <col min="6917" max="6918" width="9.77734375" style="1337" customWidth="1"/>
    <col min="6919" max="6924" width="9" style="1337"/>
    <col min="6925" max="6925" width="0" style="1337" hidden="1" customWidth="1"/>
    <col min="6926" max="7168" width="9" style="1337"/>
    <col min="7169" max="7169" width="9.6640625" style="1337" customWidth="1"/>
    <col min="7170" max="7171" width="9" style="1337"/>
    <col min="7172" max="7172" width="10.44140625" style="1337" customWidth="1"/>
    <col min="7173" max="7174" width="9.77734375" style="1337" customWidth="1"/>
    <col min="7175" max="7180" width="9" style="1337"/>
    <col min="7181" max="7181" width="0" style="1337" hidden="1" customWidth="1"/>
    <col min="7182" max="7424" width="9" style="1337"/>
    <col min="7425" max="7425" width="9.6640625" style="1337" customWidth="1"/>
    <col min="7426" max="7427" width="9" style="1337"/>
    <col min="7428" max="7428" width="10.44140625" style="1337" customWidth="1"/>
    <col min="7429" max="7430" width="9.77734375" style="1337" customWidth="1"/>
    <col min="7431" max="7436" width="9" style="1337"/>
    <col min="7437" max="7437" width="0" style="1337" hidden="1" customWidth="1"/>
    <col min="7438" max="7680" width="9" style="1337"/>
    <col min="7681" max="7681" width="9.6640625" style="1337" customWidth="1"/>
    <col min="7682" max="7683" width="9" style="1337"/>
    <col min="7684" max="7684" width="10.44140625" style="1337" customWidth="1"/>
    <col min="7685" max="7686" width="9.77734375" style="1337" customWidth="1"/>
    <col min="7687" max="7692" width="9" style="1337"/>
    <col min="7693" max="7693" width="0" style="1337" hidden="1" customWidth="1"/>
    <col min="7694" max="7936" width="9" style="1337"/>
    <col min="7937" max="7937" width="9.6640625" style="1337" customWidth="1"/>
    <col min="7938" max="7939" width="9" style="1337"/>
    <col min="7940" max="7940" width="10.44140625" style="1337" customWidth="1"/>
    <col min="7941" max="7942" width="9.77734375" style="1337" customWidth="1"/>
    <col min="7943" max="7948" width="9" style="1337"/>
    <col min="7949" max="7949" width="0" style="1337" hidden="1" customWidth="1"/>
    <col min="7950" max="8192" width="9" style="1337"/>
    <col min="8193" max="8193" width="9.6640625" style="1337" customWidth="1"/>
    <col min="8194" max="8195" width="9" style="1337"/>
    <col min="8196" max="8196" width="10.44140625" style="1337" customWidth="1"/>
    <col min="8197" max="8198" width="9.77734375" style="1337" customWidth="1"/>
    <col min="8199" max="8204" width="9" style="1337"/>
    <col min="8205" max="8205" width="0" style="1337" hidden="1" customWidth="1"/>
    <col min="8206" max="8448" width="9" style="1337"/>
    <col min="8449" max="8449" width="9.6640625" style="1337" customWidth="1"/>
    <col min="8450" max="8451" width="9" style="1337"/>
    <col min="8452" max="8452" width="10.44140625" style="1337" customWidth="1"/>
    <col min="8453" max="8454" width="9.77734375" style="1337" customWidth="1"/>
    <col min="8455" max="8460" width="9" style="1337"/>
    <col min="8461" max="8461" width="0" style="1337" hidden="1" customWidth="1"/>
    <col min="8462" max="8704" width="9" style="1337"/>
    <col min="8705" max="8705" width="9.6640625" style="1337" customWidth="1"/>
    <col min="8706" max="8707" width="9" style="1337"/>
    <col min="8708" max="8708" width="10.44140625" style="1337" customWidth="1"/>
    <col min="8709" max="8710" width="9.77734375" style="1337" customWidth="1"/>
    <col min="8711" max="8716" width="9" style="1337"/>
    <col min="8717" max="8717" width="0" style="1337" hidden="1" customWidth="1"/>
    <col min="8718" max="8960" width="9" style="1337"/>
    <col min="8961" max="8961" width="9.6640625" style="1337" customWidth="1"/>
    <col min="8962" max="8963" width="9" style="1337"/>
    <col min="8964" max="8964" width="10.44140625" style="1337" customWidth="1"/>
    <col min="8965" max="8966" width="9.77734375" style="1337" customWidth="1"/>
    <col min="8967" max="8972" width="9" style="1337"/>
    <col min="8973" max="8973" width="0" style="1337" hidden="1" customWidth="1"/>
    <col min="8974" max="9216" width="9" style="1337"/>
    <col min="9217" max="9217" width="9.6640625" style="1337" customWidth="1"/>
    <col min="9218" max="9219" width="9" style="1337"/>
    <col min="9220" max="9220" width="10.44140625" style="1337" customWidth="1"/>
    <col min="9221" max="9222" width="9.77734375" style="1337" customWidth="1"/>
    <col min="9223" max="9228" width="9" style="1337"/>
    <col min="9229" max="9229" width="0" style="1337" hidden="1" customWidth="1"/>
    <col min="9230" max="9472" width="9" style="1337"/>
    <col min="9473" max="9473" width="9.6640625" style="1337" customWidth="1"/>
    <col min="9474" max="9475" width="9" style="1337"/>
    <col min="9476" max="9476" width="10.44140625" style="1337" customWidth="1"/>
    <col min="9477" max="9478" width="9.77734375" style="1337" customWidth="1"/>
    <col min="9479" max="9484" width="9" style="1337"/>
    <col min="9485" max="9485" width="0" style="1337" hidden="1" customWidth="1"/>
    <col min="9486" max="9728" width="9" style="1337"/>
    <col min="9729" max="9729" width="9.6640625" style="1337" customWidth="1"/>
    <col min="9730" max="9731" width="9" style="1337"/>
    <col min="9732" max="9732" width="10.44140625" style="1337" customWidth="1"/>
    <col min="9733" max="9734" width="9.77734375" style="1337" customWidth="1"/>
    <col min="9735" max="9740" width="9" style="1337"/>
    <col min="9741" max="9741" width="0" style="1337" hidden="1" customWidth="1"/>
    <col min="9742" max="9984" width="9" style="1337"/>
    <col min="9985" max="9985" width="9.6640625" style="1337" customWidth="1"/>
    <col min="9986" max="9987" width="9" style="1337"/>
    <col min="9988" max="9988" width="10.44140625" style="1337" customWidth="1"/>
    <col min="9989" max="9990" width="9.77734375" style="1337" customWidth="1"/>
    <col min="9991" max="9996" width="9" style="1337"/>
    <col min="9997" max="9997" width="0" style="1337" hidden="1" customWidth="1"/>
    <col min="9998" max="10240" width="9" style="1337"/>
    <col min="10241" max="10241" width="9.6640625" style="1337" customWidth="1"/>
    <col min="10242" max="10243" width="9" style="1337"/>
    <col min="10244" max="10244" width="10.44140625" style="1337" customWidth="1"/>
    <col min="10245" max="10246" width="9.77734375" style="1337" customWidth="1"/>
    <col min="10247" max="10252" width="9" style="1337"/>
    <col min="10253" max="10253" width="0" style="1337" hidden="1" customWidth="1"/>
    <col min="10254" max="10496" width="9" style="1337"/>
    <col min="10497" max="10497" width="9.6640625" style="1337" customWidth="1"/>
    <col min="10498" max="10499" width="9" style="1337"/>
    <col min="10500" max="10500" width="10.44140625" style="1337" customWidth="1"/>
    <col min="10501" max="10502" width="9.77734375" style="1337" customWidth="1"/>
    <col min="10503" max="10508" width="9" style="1337"/>
    <col min="10509" max="10509" width="0" style="1337" hidden="1" customWidth="1"/>
    <col min="10510" max="10752" width="9" style="1337"/>
    <col min="10753" max="10753" width="9.6640625" style="1337" customWidth="1"/>
    <col min="10754" max="10755" width="9" style="1337"/>
    <col min="10756" max="10756" width="10.44140625" style="1337" customWidth="1"/>
    <col min="10757" max="10758" width="9.77734375" style="1337" customWidth="1"/>
    <col min="10759" max="10764" width="9" style="1337"/>
    <col min="10765" max="10765" width="0" style="1337" hidden="1" customWidth="1"/>
    <col min="10766" max="11008" width="9" style="1337"/>
    <col min="11009" max="11009" width="9.6640625" style="1337" customWidth="1"/>
    <col min="11010" max="11011" width="9" style="1337"/>
    <col min="11012" max="11012" width="10.44140625" style="1337" customWidth="1"/>
    <col min="11013" max="11014" width="9.77734375" style="1337" customWidth="1"/>
    <col min="11015" max="11020" width="9" style="1337"/>
    <col min="11021" max="11021" width="0" style="1337" hidden="1" customWidth="1"/>
    <col min="11022" max="11264" width="9" style="1337"/>
    <col min="11265" max="11265" width="9.6640625" style="1337" customWidth="1"/>
    <col min="11266" max="11267" width="9" style="1337"/>
    <col min="11268" max="11268" width="10.44140625" style="1337" customWidth="1"/>
    <col min="11269" max="11270" width="9.77734375" style="1337" customWidth="1"/>
    <col min="11271" max="11276" width="9" style="1337"/>
    <col min="11277" max="11277" width="0" style="1337" hidden="1" customWidth="1"/>
    <col min="11278" max="11520" width="9" style="1337"/>
    <col min="11521" max="11521" width="9.6640625" style="1337" customWidth="1"/>
    <col min="11522" max="11523" width="9" style="1337"/>
    <col min="11524" max="11524" width="10.44140625" style="1337" customWidth="1"/>
    <col min="11525" max="11526" width="9.77734375" style="1337" customWidth="1"/>
    <col min="11527" max="11532" width="9" style="1337"/>
    <col min="11533" max="11533" width="0" style="1337" hidden="1" customWidth="1"/>
    <col min="11534" max="11776" width="9" style="1337"/>
    <col min="11777" max="11777" width="9.6640625" style="1337" customWidth="1"/>
    <col min="11778" max="11779" width="9" style="1337"/>
    <col min="11780" max="11780" width="10.44140625" style="1337" customWidth="1"/>
    <col min="11781" max="11782" width="9.77734375" style="1337" customWidth="1"/>
    <col min="11783" max="11788" width="9" style="1337"/>
    <col min="11789" max="11789" width="0" style="1337" hidden="1" customWidth="1"/>
    <col min="11790" max="12032" width="9" style="1337"/>
    <col min="12033" max="12033" width="9.6640625" style="1337" customWidth="1"/>
    <col min="12034" max="12035" width="9" style="1337"/>
    <col min="12036" max="12036" width="10.44140625" style="1337" customWidth="1"/>
    <col min="12037" max="12038" width="9.77734375" style="1337" customWidth="1"/>
    <col min="12039" max="12044" width="9" style="1337"/>
    <col min="12045" max="12045" width="0" style="1337" hidden="1" customWidth="1"/>
    <col min="12046" max="12288" width="9" style="1337"/>
    <col min="12289" max="12289" width="9.6640625" style="1337" customWidth="1"/>
    <col min="12290" max="12291" width="9" style="1337"/>
    <col min="12292" max="12292" width="10.44140625" style="1337" customWidth="1"/>
    <col min="12293" max="12294" width="9.77734375" style="1337" customWidth="1"/>
    <col min="12295" max="12300" width="9" style="1337"/>
    <col min="12301" max="12301" width="0" style="1337" hidden="1" customWidth="1"/>
    <col min="12302" max="12544" width="9" style="1337"/>
    <col min="12545" max="12545" width="9.6640625" style="1337" customWidth="1"/>
    <col min="12546" max="12547" width="9" style="1337"/>
    <col min="12548" max="12548" width="10.44140625" style="1337" customWidth="1"/>
    <col min="12549" max="12550" width="9.77734375" style="1337" customWidth="1"/>
    <col min="12551" max="12556" width="9" style="1337"/>
    <col min="12557" max="12557" width="0" style="1337" hidden="1" customWidth="1"/>
    <col min="12558" max="12800" width="9" style="1337"/>
    <col min="12801" max="12801" width="9.6640625" style="1337" customWidth="1"/>
    <col min="12802" max="12803" width="9" style="1337"/>
    <col min="12804" max="12804" width="10.44140625" style="1337" customWidth="1"/>
    <col min="12805" max="12806" width="9.77734375" style="1337" customWidth="1"/>
    <col min="12807" max="12812" width="9" style="1337"/>
    <col min="12813" max="12813" width="0" style="1337" hidden="1" customWidth="1"/>
    <col min="12814" max="13056" width="9" style="1337"/>
    <col min="13057" max="13057" width="9.6640625" style="1337" customWidth="1"/>
    <col min="13058" max="13059" width="9" style="1337"/>
    <col min="13060" max="13060" width="10.44140625" style="1337" customWidth="1"/>
    <col min="13061" max="13062" width="9.77734375" style="1337" customWidth="1"/>
    <col min="13063" max="13068" width="9" style="1337"/>
    <col min="13069" max="13069" width="0" style="1337" hidden="1" customWidth="1"/>
    <col min="13070" max="13312" width="9" style="1337"/>
    <col min="13313" max="13313" width="9.6640625" style="1337" customWidth="1"/>
    <col min="13314" max="13315" width="9" style="1337"/>
    <col min="13316" max="13316" width="10.44140625" style="1337" customWidth="1"/>
    <col min="13317" max="13318" width="9.77734375" style="1337" customWidth="1"/>
    <col min="13319" max="13324" width="9" style="1337"/>
    <col min="13325" max="13325" width="0" style="1337" hidden="1" customWidth="1"/>
    <col min="13326" max="13568" width="9" style="1337"/>
    <col min="13569" max="13569" width="9.6640625" style="1337" customWidth="1"/>
    <col min="13570" max="13571" width="9" style="1337"/>
    <col min="13572" max="13572" width="10.44140625" style="1337" customWidth="1"/>
    <col min="13573" max="13574" width="9.77734375" style="1337" customWidth="1"/>
    <col min="13575" max="13580" width="9" style="1337"/>
    <col min="13581" max="13581" width="0" style="1337" hidden="1" customWidth="1"/>
    <col min="13582" max="13824" width="9" style="1337"/>
    <col min="13825" max="13825" width="9.6640625" style="1337" customWidth="1"/>
    <col min="13826" max="13827" width="9" style="1337"/>
    <col min="13828" max="13828" width="10.44140625" style="1337" customWidth="1"/>
    <col min="13829" max="13830" width="9.77734375" style="1337" customWidth="1"/>
    <col min="13831" max="13836" width="9" style="1337"/>
    <col min="13837" max="13837" width="0" style="1337" hidden="1" customWidth="1"/>
    <col min="13838" max="14080" width="9" style="1337"/>
    <col min="14081" max="14081" width="9.6640625" style="1337" customWidth="1"/>
    <col min="14082" max="14083" width="9" style="1337"/>
    <col min="14084" max="14084" width="10.44140625" style="1337" customWidth="1"/>
    <col min="14085" max="14086" width="9.77734375" style="1337" customWidth="1"/>
    <col min="14087" max="14092" width="9" style="1337"/>
    <col min="14093" max="14093" width="0" style="1337" hidden="1" customWidth="1"/>
    <col min="14094" max="14336" width="9" style="1337"/>
    <col min="14337" max="14337" width="9.6640625" style="1337" customWidth="1"/>
    <col min="14338" max="14339" width="9" style="1337"/>
    <col min="14340" max="14340" width="10.44140625" style="1337" customWidth="1"/>
    <col min="14341" max="14342" width="9.77734375" style="1337" customWidth="1"/>
    <col min="14343" max="14348" width="9" style="1337"/>
    <col min="14349" max="14349" width="0" style="1337" hidden="1" customWidth="1"/>
    <col min="14350" max="14592" width="9" style="1337"/>
    <col min="14593" max="14593" width="9.6640625" style="1337" customWidth="1"/>
    <col min="14594" max="14595" width="9" style="1337"/>
    <col min="14596" max="14596" width="10.44140625" style="1337" customWidth="1"/>
    <col min="14597" max="14598" width="9.77734375" style="1337" customWidth="1"/>
    <col min="14599" max="14604" width="9" style="1337"/>
    <col min="14605" max="14605" width="0" style="1337" hidden="1" customWidth="1"/>
    <col min="14606" max="14848" width="9" style="1337"/>
    <col min="14849" max="14849" width="9.6640625" style="1337" customWidth="1"/>
    <col min="14850" max="14851" width="9" style="1337"/>
    <col min="14852" max="14852" width="10.44140625" style="1337" customWidth="1"/>
    <col min="14853" max="14854" width="9.77734375" style="1337" customWidth="1"/>
    <col min="14855" max="14860" width="9" style="1337"/>
    <col min="14861" max="14861" width="0" style="1337" hidden="1" customWidth="1"/>
    <col min="14862" max="15104" width="9" style="1337"/>
    <col min="15105" max="15105" width="9.6640625" style="1337" customWidth="1"/>
    <col min="15106" max="15107" width="9" style="1337"/>
    <col min="15108" max="15108" width="10.44140625" style="1337" customWidth="1"/>
    <col min="15109" max="15110" width="9.77734375" style="1337" customWidth="1"/>
    <col min="15111" max="15116" width="9" style="1337"/>
    <col min="15117" max="15117" width="0" style="1337" hidden="1" customWidth="1"/>
    <col min="15118" max="15360" width="9" style="1337"/>
    <col min="15361" max="15361" width="9.6640625" style="1337" customWidth="1"/>
    <col min="15362" max="15363" width="9" style="1337"/>
    <col min="15364" max="15364" width="10.44140625" style="1337" customWidth="1"/>
    <col min="15365" max="15366" width="9.77734375" style="1337" customWidth="1"/>
    <col min="15367" max="15372" width="9" style="1337"/>
    <col min="15373" max="15373" width="0" style="1337" hidden="1" customWidth="1"/>
    <col min="15374" max="15616" width="9" style="1337"/>
    <col min="15617" max="15617" width="9.6640625" style="1337" customWidth="1"/>
    <col min="15618" max="15619" width="9" style="1337"/>
    <col min="15620" max="15620" width="10.44140625" style="1337" customWidth="1"/>
    <col min="15621" max="15622" width="9.77734375" style="1337" customWidth="1"/>
    <col min="15623" max="15628" width="9" style="1337"/>
    <col min="15629" max="15629" width="0" style="1337" hidden="1" customWidth="1"/>
    <col min="15630" max="15872" width="9" style="1337"/>
    <col min="15873" max="15873" width="9.6640625" style="1337" customWidth="1"/>
    <col min="15874" max="15875" width="9" style="1337"/>
    <col min="15876" max="15876" width="10.44140625" style="1337" customWidth="1"/>
    <col min="15877" max="15878" width="9.77734375" style="1337" customWidth="1"/>
    <col min="15879" max="15884" width="9" style="1337"/>
    <col min="15885" max="15885" width="0" style="1337" hidden="1" customWidth="1"/>
    <col min="15886" max="16128" width="9" style="1337"/>
    <col min="16129" max="16129" width="9.6640625" style="1337" customWidth="1"/>
    <col min="16130" max="16131" width="9" style="1337"/>
    <col min="16132" max="16132" width="10.44140625" style="1337" customWidth="1"/>
    <col min="16133" max="16134" width="9.77734375" style="1337" customWidth="1"/>
    <col min="16135" max="16140" width="9" style="1337"/>
    <col min="16141" max="16141" width="0" style="1337" hidden="1" customWidth="1"/>
    <col min="16142" max="16384" width="9" style="1337"/>
  </cols>
  <sheetData>
    <row r="1" spans="1:13" s="1330" customFormat="1" ht="60.75" thickBot="1">
      <c r="A1" s="1324" t="s">
        <v>305</v>
      </c>
      <c r="B1" s="1325" t="s">
        <v>306</v>
      </c>
      <c r="C1" s="1325" t="s">
        <v>307</v>
      </c>
      <c r="D1" s="1326" t="s">
        <v>308</v>
      </c>
      <c r="E1" s="1327" t="s">
        <v>309</v>
      </c>
      <c r="F1" s="1328" t="s">
        <v>310</v>
      </c>
      <c r="G1" s="1327" t="s">
        <v>317</v>
      </c>
      <c r="H1" s="1328" t="s">
        <v>318</v>
      </c>
      <c r="I1" s="1328" t="s">
        <v>311</v>
      </c>
      <c r="J1" s="1328" t="s">
        <v>312</v>
      </c>
      <c r="K1" s="1327" t="s">
        <v>313</v>
      </c>
      <c r="L1" s="1327" t="s">
        <v>314</v>
      </c>
      <c r="M1" s="1329" t="s">
        <v>315</v>
      </c>
    </row>
    <row r="2" spans="1:13">
      <c r="A2" s="1331" t="s">
        <v>316</v>
      </c>
      <c r="B2" s="1332">
        <v>1</v>
      </c>
      <c r="C2" s="1332">
        <v>11</v>
      </c>
      <c r="D2" s="1333">
        <v>2020</v>
      </c>
      <c r="E2" s="1334">
        <f>'Daily HLP'!I4</f>
        <v>18574</v>
      </c>
      <c r="F2" s="1335">
        <f>'Daily HLP'!J4</f>
        <v>9.5</v>
      </c>
      <c r="G2" s="1335">
        <f>'Daily HLP'!M4</f>
        <v>497.53900000010617</v>
      </c>
      <c r="H2" s="1335">
        <f>'Daily HLP'!N4</f>
        <v>35</v>
      </c>
      <c r="I2" s="1335">
        <f>'Daily HLP'!P4</f>
        <v>195</v>
      </c>
      <c r="J2" s="1335">
        <f>'Daily HLP'!Q4</f>
        <v>134</v>
      </c>
      <c r="K2" s="1334">
        <f>202*'Daily HLP'!F4</f>
        <v>60.599999999999994</v>
      </c>
      <c r="L2" s="1334">
        <f>'[1]Consommation mensuel énergie'!E10</f>
        <v>0</v>
      </c>
      <c r="M2" s="1336" t="e">
        <f>E2*F2+G2*H2+#REF!*#REF!+I2*J2</f>
        <v>#REF!</v>
      </c>
    </row>
    <row r="3" spans="1:13">
      <c r="A3" s="1331" t="s">
        <v>316</v>
      </c>
      <c r="B3" s="1332">
        <f>B2+1</f>
        <v>2</v>
      </c>
      <c r="C3" s="1332">
        <v>11</v>
      </c>
      <c r="D3" s="1333">
        <v>2020</v>
      </c>
      <c r="E3" s="1334">
        <f>'Daily HLP'!I5</f>
        <v>19432</v>
      </c>
      <c r="F3" s="1335">
        <f>F2</f>
        <v>9.5</v>
      </c>
      <c r="G3" s="1335">
        <f>'Daily HLP'!M5</f>
        <v>706.53900000010617</v>
      </c>
      <c r="H3" s="1335">
        <f>H2</f>
        <v>35</v>
      </c>
      <c r="I3" s="1335">
        <f>'Daily HLP'!P5</f>
        <v>185</v>
      </c>
      <c r="J3" s="1335">
        <f>J2</f>
        <v>134</v>
      </c>
      <c r="K3" s="1334">
        <f>202*'Daily HLP'!F5</f>
        <v>60.599999999999994</v>
      </c>
      <c r="L3" s="1334">
        <f>'[1]Consommation mensuel énergie'!E11</f>
        <v>0</v>
      </c>
      <c r="M3" s="1336" t="e">
        <f>E3*F3+G3*H3+#REF!*#REF!+I3*J3</f>
        <v>#REF!</v>
      </c>
    </row>
    <row r="4" spans="1:13">
      <c r="A4" s="1331" t="s">
        <v>316</v>
      </c>
      <c r="B4" s="1332">
        <f t="shared" ref="B4:B31" si="0">B3+1</f>
        <v>3</v>
      </c>
      <c r="C4" s="1332">
        <v>11</v>
      </c>
      <c r="D4" s="1333">
        <v>2020</v>
      </c>
      <c r="E4" s="1334">
        <f>'Daily HLP'!I6</f>
        <v>18137</v>
      </c>
      <c r="F4" s="1335">
        <f t="shared" ref="F4:F31" si="1">F3</f>
        <v>9.5</v>
      </c>
      <c r="G4" s="1335">
        <f>'Daily HLP'!M6</f>
        <v>445.85999999986961</v>
      </c>
      <c r="H4" s="1335">
        <f t="shared" ref="H4:H31" si="2">H3</f>
        <v>35</v>
      </c>
      <c r="I4" s="1335">
        <f>'Daily HLP'!P6</f>
        <v>133</v>
      </c>
      <c r="J4" s="1335">
        <f t="shared" ref="J4:J31" si="3">J3</f>
        <v>134</v>
      </c>
      <c r="K4" s="1334">
        <f>202*'Daily HLP'!F6</f>
        <v>60.599999999999994</v>
      </c>
      <c r="L4" s="1334">
        <f>'[1]Consommation mensuel énergie'!E12</f>
        <v>0</v>
      </c>
      <c r="M4" s="1336" t="e">
        <f>E4*F4+G4*H4+#REF!*#REF!+I4*J4</f>
        <v>#REF!</v>
      </c>
    </row>
    <row r="5" spans="1:13">
      <c r="A5" s="1331" t="s">
        <v>316</v>
      </c>
      <c r="B5" s="1332">
        <f t="shared" si="0"/>
        <v>4</v>
      </c>
      <c r="C5" s="1332">
        <v>11</v>
      </c>
      <c r="D5" s="1333">
        <v>2020</v>
      </c>
      <c r="E5" s="1334">
        <f>'Daily HLP'!I7</f>
        <v>17671</v>
      </c>
      <c r="F5" s="1335">
        <f t="shared" si="1"/>
        <v>9.5</v>
      </c>
      <c r="G5" s="1335">
        <f>'Daily HLP'!M7</f>
        <v>331.51399999996647</v>
      </c>
      <c r="H5" s="1335">
        <f t="shared" si="2"/>
        <v>35</v>
      </c>
      <c r="I5" s="1335">
        <f>'Daily HLP'!P7</f>
        <v>137</v>
      </c>
      <c r="J5" s="1335">
        <f t="shared" si="3"/>
        <v>134</v>
      </c>
      <c r="K5" s="1334">
        <f>202*'Daily HLP'!F7</f>
        <v>60.599999999999994</v>
      </c>
      <c r="L5" s="1334">
        <f>'[1]Consommation mensuel énergie'!E13</f>
        <v>0</v>
      </c>
      <c r="M5" s="1336" t="e">
        <f>E5*F5+G5*H5+#REF!*#REF!+I5*J5</f>
        <v>#REF!</v>
      </c>
    </row>
    <row r="6" spans="1:13">
      <c r="A6" s="1331" t="s">
        <v>316</v>
      </c>
      <c r="B6" s="1332">
        <f t="shared" si="0"/>
        <v>5</v>
      </c>
      <c r="C6" s="1332">
        <v>11</v>
      </c>
      <c r="D6" s="1333">
        <v>2020</v>
      </c>
      <c r="E6" s="1334">
        <f>'Daily HLP'!I8</f>
        <v>18057</v>
      </c>
      <c r="F6" s="1335">
        <f t="shared" si="1"/>
        <v>9.5</v>
      </c>
      <c r="G6" s="1335">
        <f>'Daily HLP'!M8</f>
        <v>465.09400000004098</v>
      </c>
      <c r="H6" s="1335">
        <f t="shared" si="2"/>
        <v>35</v>
      </c>
      <c r="I6" s="1335">
        <f>'Daily HLP'!P8</f>
        <v>149</v>
      </c>
      <c r="J6" s="1335">
        <f t="shared" si="3"/>
        <v>134</v>
      </c>
      <c r="K6" s="1334">
        <f>202*'Daily HLP'!F8</f>
        <v>50.5</v>
      </c>
      <c r="L6" s="1334">
        <f>'[1]Consommation mensuel énergie'!E14</f>
        <v>0</v>
      </c>
      <c r="M6" s="1336" t="e">
        <f>E6*F6+G6*H6+#REF!*#REF!+I6*J6</f>
        <v>#REF!</v>
      </c>
    </row>
    <row r="7" spans="1:13">
      <c r="A7" s="1331" t="s">
        <v>316</v>
      </c>
      <c r="B7" s="1332">
        <f t="shared" si="0"/>
        <v>6</v>
      </c>
      <c r="C7" s="1332">
        <v>11</v>
      </c>
      <c r="D7" s="1333">
        <v>2020</v>
      </c>
      <c r="E7" s="1334">
        <f>'Daily HLP'!I9</f>
        <v>18605</v>
      </c>
      <c r="F7" s="1335">
        <f t="shared" si="1"/>
        <v>9.5</v>
      </c>
      <c r="G7" s="1335">
        <f>'Daily HLP'!M9</f>
        <v>617.47399999992922</v>
      </c>
      <c r="H7" s="1335">
        <f t="shared" si="2"/>
        <v>35</v>
      </c>
      <c r="I7" s="1335">
        <f>'Daily HLP'!P9</f>
        <v>162</v>
      </c>
      <c r="J7" s="1335">
        <f t="shared" si="3"/>
        <v>134</v>
      </c>
      <c r="K7" s="1334">
        <f>202*'Daily HLP'!F9</f>
        <v>50.5</v>
      </c>
      <c r="L7" s="1334">
        <f>'[1]Consommation mensuel énergie'!E15</f>
        <v>0</v>
      </c>
      <c r="M7" s="1336" t="e">
        <f>E7*F7+G7*H7+#REF!*#REF!+I7*J7</f>
        <v>#REF!</v>
      </c>
    </row>
    <row r="8" spans="1:13">
      <c r="A8" s="1331" t="s">
        <v>316</v>
      </c>
      <c r="B8" s="1332">
        <f t="shared" si="0"/>
        <v>7</v>
      </c>
      <c r="C8" s="1332">
        <v>11</v>
      </c>
      <c r="D8" s="1333">
        <v>2020</v>
      </c>
      <c r="E8" s="1334">
        <f>'Daily HLP'!I10</f>
        <v>18512</v>
      </c>
      <c r="F8" s="1335">
        <f t="shared" si="1"/>
        <v>9.5</v>
      </c>
      <c r="G8" s="1335">
        <f>'Daily HLP'!M10</f>
        <v>527.36800000001676</v>
      </c>
      <c r="H8" s="1335">
        <f t="shared" si="2"/>
        <v>35</v>
      </c>
      <c r="I8" s="1335">
        <f>'Daily HLP'!P10</f>
        <v>155</v>
      </c>
      <c r="J8" s="1335">
        <f t="shared" si="3"/>
        <v>134</v>
      </c>
      <c r="K8" s="1334">
        <f>202*'Daily HLP'!F10</f>
        <v>109.08000000000001</v>
      </c>
      <c r="L8" s="1334">
        <f>'[1]Consommation mensuel énergie'!E16</f>
        <v>0</v>
      </c>
      <c r="M8" s="1336" t="e">
        <f>E8*F8+G8*H8+#REF!*#REF!+I8*J8</f>
        <v>#REF!</v>
      </c>
    </row>
    <row r="9" spans="1:13">
      <c r="A9" s="1331" t="s">
        <v>316</v>
      </c>
      <c r="B9" s="1332">
        <f t="shared" si="0"/>
        <v>8</v>
      </c>
      <c r="C9" s="1332">
        <v>11</v>
      </c>
      <c r="D9" s="1333">
        <v>2020</v>
      </c>
      <c r="E9" s="1334">
        <f>'Daily HLP'!I11</f>
        <v>19582</v>
      </c>
      <c r="F9" s="1335">
        <f t="shared" si="1"/>
        <v>9.5</v>
      </c>
      <c r="G9" s="1335">
        <f>'Daily HLP'!M11</f>
        <v>379.03900000010617</v>
      </c>
      <c r="H9" s="1335">
        <f t="shared" si="2"/>
        <v>35</v>
      </c>
      <c r="I9" s="1335">
        <f>'Daily HLP'!P11</f>
        <v>153</v>
      </c>
      <c r="J9" s="1335">
        <f t="shared" si="3"/>
        <v>134</v>
      </c>
      <c r="K9" s="1334">
        <f>202*'Daily HLP'!F11</f>
        <v>90.9</v>
      </c>
      <c r="L9" s="1334">
        <f>'[1]Consommation mensuel énergie'!E17</f>
        <v>0</v>
      </c>
      <c r="M9" s="1336" t="e">
        <f>E9*F9+G9*H9+#REF!*#REF!+I9*J9</f>
        <v>#REF!</v>
      </c>
    </row>
    <row r="10" spans="1:13">
      <c r="A10" s="1331" t="s">
        <v>316</v>
      </c>
      <c r="B10" s="1332">
        <f t="shared" si="0"/>
        <v>9</v>
      </c>
      <c r="C10" s="1332">
        <v>11</v>
      </c>
      <c r="D10" s="1333">
        <v>2020</v>
      </c>
      <c r="E10" s="1334">
        <f>'Daily HLP'!I12</f>
        <v>19582</v>
      </c>
      <c r="F10" s="1335">
        <f t="shared" si="1"/>
        <v>9.5</v>
      </c>
      <c r="G10" s="1335">
        <f>'Daily HLP'!M12</f>
        <v>379.03900000010617</v>
      </c>
      <c r="H10" s="1335">
        <f t="shared" si="2"/>
        <v>35</v>
      </c>
      <c r="I10" s="1335">
        <f>'Daily HLP'!P12</f>
        <v>153</v>
      </c>
      <c r="J10" s="1335">
        <f t="shared" si="3"/>
        <v>134</v>
      </c>
      <c r="K10" s="1334">
        <f>202*'Daily HLP'!F12</f>
        <v>90.9</v>
      </c>
      <c r="L10" s="1334">
        <f>'[1]Consommation mensuel énergie'!E18</f>
        <v>0</v>
      </c>
      <c r="M10" s="1336" t="e">
        <f>E10*F10+G10*H10+#REF!*#REF!+I10*J10</f>
        <v>#REF!</v>
      </c>
    </row>
    <row r="11" spans="1:13">
      <c r="A11" s="1331" t="s">
        <v>316</v>
      </c>
      <c r="B11" s="1332">
        <f t="shared" si="0"/>
        <v>10</v>
      </c>
      <c r="C11" s="1332">
        <v>11</v>
      </c>
      <c r="D11" s="1333">
        <v>2020</v>
      </c>
      <c r="E11" s="1334">
        <f>'Daily HLP'!I13</f>
        <v>37064</v>
      </c>
      <c r="F11" s="1335">
        <f t="shared" si="1"/>
        <v>9.5</v>
      </c>
      <c r="G11" s="1335">
        <f>'Daily HLP'!M13</f>
        <v>1342.3789999999572</v>
      </c>
      <c r="H11" s="1335">
        <f t="shared" si="2"/>
        <v>35</v>
      </c>
      <c r="I11" s="1335">
        <f>'Daily HLP'!P13</f>
        <v>266</v>
      </c>
      <c r="J11" s="1335">
        <f t="shared" si="3"/>
        <v>134</v>
      </c>
      <c r="K11" s="1334">
        <f>202*'Daily HLP'!F13</f>
        <v>38.380000000000003</v>
      </c>
      <c r="L11" s="1334">
        <f>'[1]Consommation mensuel énergie'!E19</f>
        <v>0</v>
      </c>
      <c r="M11" s="1336" t="e">
        <f>E11*F11+G11*H11+#REF!*#REF!+I11*J11</f>
        <v>#REF!</v>
      </c>
    </row>
    <row r="12" spans="1:13">
      <c r="A12" s="1331" t="s">
        <v>316</v>
      </c>
      <c r="B12" s="1332">
        <f t="shared" si="0"/>
        <v>11</v>
      </c>
      <c r="C12" s="1332">
        <v>11</v>
      </c>
      <c r="D12" s="1333">
        <v>2020</v>
      </c>
      <c r="E12" s="1334">
        <f>'Daily HLP'!I14</f>
        <v>17244</v>
      </c>
      <c r="F12" s="1335">
        <f t="shared" si="1"/>
        <v>9.5</v>
      </c>
      <c r="G12" s="1335">
        <f>'Daily HLP'!M14</f>
        <v>508</v>
      </c>
      <c r="H12" s="1335">
        <f t="shared" si="2"/>
        <v>35</v>
      </c>
      <c r="I12" s="1335">
        <f>'Daily HLP'!P14</f>
        <v>236</v>
      </c>
      <c r="J12" s="1335">
        <f t="shared" si="3"/>
        <v>134</v>
      </c>
      <c r="K12" s="1334">
        <f>202*'Daily HLP'!F14</f>
        <v>44.44</v>
      </c>
      <c r="L12" s="1334">
        <f>'[1]Consommation mensuel énergie'!E20</f>
        <v>0</v>
      </c>
      <c r="M12" s="1336" t="e">
        <f>E12*F12+G12*H12+#REF!*#REF!+I12*J12</f>
        <v>#REF!</v>
      </c>
    </row>
    <row r="13" spans="1:13">
      <c r="A13" s="1331" t="s">
        <v>316</v>
      </c>
      <c r="B13" s="1332">
        <f t="shared" si="0"/>
        <v>12</v>
      </c>
      <c r="C13" s="1332">
        <v>11</v>
      </c>
      <c r="D13" s="1333">
        <v>2020</v>
      </c>
      <c r="E13" s="1334">
        <f>'Daily HLP'!I15</f>
        <v>17812</v>
      </c>
      <c r="F13" s="1335">
        <f t="shared" si="1"/>
        <v>9.5</v>
      </c>
      <c r="G13" s="1335">
        <f>'Daily HLP'!M15</f>
        <v>370</v>
      </c>
      <c r="H13" s="1335">
        <f t="shared" si="2"/>
        <v>35</v>
      </c>
      <c r="I13" s="1335">
        <f>'Daily HLP'!P15</f>
        <v>192</v>
      </c>
      <c r="J13" s="1335">
        <f t="shared" si="3"/>
        <v>134</v>
      </c>
      <c r="K13" s="1334">
        <f>202*'Daily HLP'!F15</f>
        <v>50.5</v>
      </c>
      <c r="L13" s="1334">
        <f>'[1]Consommation mensuel énergie'!E21</f>
        <v>0</v>
      </c>
      <c r="M13" s="1336" t="e">
        <f>E13*F13+G13*H13+#REF!*#REF!+I13*J13</f>
        <v>#REF!</v>
      </c>
    </row>
    <row r="14" spans="1:13">
      <c r="A14" s="1331" t="s">
        <v>316</v>
      </c>
      <c r="B14" s="1332">
        <f t="shared" si="0"/>
        <v>13</v>
      </c>
      <c r="C14" s="1332">
        <v>11</v>
      </c>
      <c r="D14" s="1333">
        <v>2020</v>
      </c>
      <c r="E14" s="1334">
        <f>'Daily HLP'!I16</f>
        <v>17390</v>
      </c>
      <c r="F14" s="1335">
        <f t="shared" si="1"/>
        <v>9.5</v>
      </c>
      <c r="G14" s="1335">
        <f>'Daily HLP'!M16</f>
        <v>618.60100000002421</v>
      </c>
      <c r="H14" s="1335">
        <f t="shared" si="2"/>
        <v>35</v>
      </c>
      <c r="I14" s="1335">
        <f>'Daily HLP'!P16</f>
        <v>153</v>
      </c>
      <c r="J14" s="1335">
        <f t="shared" si="3"/>
        <v>134</v>
      </c>
      <c r="K14" s="1334">
        <f>202*'Daily HLP'!F16</f>
        <v>101</v>
      </c>
      <c r="L14" s="1334">
        <f>'[1]Consommation mensuel énergie'!E22</f>
        <v>0</v>
      </c>
      <c r="M14" s="1336" t="e">
        <f>E14*F14+G14*H14+#REF!*#REF!+I14*J14</f>
        <v>#REF!</v>
      </c>
    </row>
    <row r="15" spans="1:13">
      <c r="A15" s="1331" t="s">
        <v>316</v>
      </c>
      <c r="B15" s="1332">
        <f t="shared" si="0"/>
        <v>14</v>
      </c>
      <c r="C15" s="1332">
        <v>11</v>
      </c>
      <c r="D15" s="1333">
        <v>2020</v>
      </c>
      <c r="E15" s="1334">
        <f>'Daily HLP'!I17</f>
        <v>18088</v>
      </c>
      <c r="F15" s="1335">
        <f t="shared" si="1"/>
        <v>9.5</v>
      </c>
      <c r="G15" s="1335">
        <f>'Daily HLP'!M17</f>
        <v>361.77600000007078</v>
      </c>
      <c r="H15" s="1335">
        <f t="shared" si="2"/>
        <v>35</v>
      </c>
      <c r="I15" s="1335">
        <f>'Daily HLP'!P17</f>
        <v>123</v>
      </c>
      <c r="J15" s="1335">
        <f t="shared" si="3"/>
        <v>134</v>
      </c>
      <c r="K15" s="1334">
        <f>202*'Daily HLP'!F17</f>
        <v>101</v>
      </c>
      <c r="L15" s="1334">
        <f>'[1]Consommation mensuel énergie'!E23</f>
        <v>0</v>
      </c>
      <c r="M15" s="1336" t="e">
        <f>E15*F15+G15*H15+#REF!*#REF!+I15*J15</f>
        <v>#REF!</v>
      </c>
    </row>
    <row r="16" spans="1:13">
      <c r="A16" s="1331" t="s">
        <v>316</v>
      </c>
      <c r="B16" s="1332">
        <f t="shared" si="0"/>
        <v>15</v>
      </c>
      <c r="C16" s="1332">
        <v>11</v>
      </c>
      <c r="D16" s="1333">
        <v>2020</v>
      </c>
      <c r="E16" s="1334">
        <f>'Daily HLP'!I18</f>
        <v>19222</v>
      </c>
      <c r="F16" s="1335">
        <f t="shared" si="1"/>
        <v>9.5</v>
      </c>
      <c r="G16" s="1335">
        <f>'Daily HLP'!M18</f>
        <v>414.62800000002608</v>
      </c>
      <c r="H16" s="1335">
        <f t="shared" si="2"/>
        <v>35</v>
      </c>
      <c r="I16" s="1335">
        <f>'Daily HLP'!P18</f>
        <v>112</v>
      </c>
      <c r="J16" s="1335">
        <f t="shared" si="3"/>
        <v>134</v>
      </c>
      <c r="K16" s="1334">
        <f>202*'Daily HLP'!F18</f>
        <v>101</v>
      </c>
      <c r="L16" s="1334">
        <f>'[1]Consommation mensuel énergie'!E24</f>
        <v>0</v>
      </c>
      <c r="M16" s="1336" t="e">
        <f>E16*F16+G16*H16+#REF!*#REF!+I16*J16</f>
        <v>#REF!</v>
      </c>
    </row>
    <row r="17" spans="1:13">
      <c r="A17" s="1331" t="s">
        <v>316</v>
      </c>
      <c r="B17" s="1332">
        <f t="shared" si="0"/>
        <v>16</v>
      </c>
      <c r="C17" s="1332">
        <v>11</v>
      </c>
      <c r="D17" s="1333">
        <v>2020</v>
      </c>
      <c r="E17" s="1334">
        <f>'Daily HLP'!I19</f>
        <v>19222</v>
      </c>
      <c r="F17" s="1335">
        <f t="shared" si="1"/>
        <v>9.5</v>
      </c>
      <c r="G17" s="1335">
        <f>'Daily HLP'!M19</f>
        <v>414.62800000002608</v>
      </c>
      <c r="H17" s="1335">
        <f t="shared" si="2"/>
        <v>35</v>
      </c>
      <c r="I17" s="1335">
        <f>'Daily HLP'!P19</f>
        <v>112</v>
      </c>
      <c r="J17" s="1335">
        <f t="shared" si="3"/>
        <v>134</v>
      </c>
      <c r="K17" s="1334">
        <f>202*'Daily HLP'!F19</f>
        <v>101</v>
      </c>
      <c r="L17" s="1334">
        <f>'[1]Consommation mensuel énergie'!E25</f>
        <v>0</v>
      </c>
      <c r="M17" s="1336" t="e">
        <f>E17*F17+G17*H17+#REF!*#REF!+I17*J17</f>
        <v>#REF!</v>
      </c>
    </row>
    <row r="18" spans="1:13">
      <c r="A18" s="1331" t="s">
        <v>316</v>
      </c>
      <c r="B18" s="1332">
        <f t="shared" si="0"/>
        <v>17</v>
      </c>
      <c r="C18" s="1332">
        <v>11</v>
      </c>
      <c r="D18" s="1333">
        <v>2020</v>
      </c>
      <c r="E18" s="1334">
        <f>'Daily HLP'!I20</f>
        <v>19868</v>
      </c>
      <c r="F18" s="1335">
        <f t="shared" si="1"/>
        <v>9.5</v>
      </c>
      <c r="G18" s="1335">
        <f>'Daily HLP'!M20</f>
        <v>529.87600000016391</v>
      </c>
      <c r="H18" s="1335">
        <f t="shared" si="2"/>
        <v>35</v>
      </c>
      <c r="I18" s="1335">
        <f>'Daily HLP'!P20</f>
        <v>155</v>
      </c>
      <c r="J18" s="1335">
        <f t="shared" si="3"/>
        <v>134</v>
      </c>
      <c r="K18" s="1334">
        <f>202*'Daily HLP'!F20</f>
        <v>101</v>
      </c>
      <c r="L18" s="1334">
        <f>'[1]Consommation mensuel énergie'!E26</f>
        <v>0</v>
      </c>
      <c r="M18" s="1336" t="e">
        <f>E18*F18+G18*H18+#REF!*#REF!+I18*J18</f>
        <v>#REF!</v>
      </c>
    </row>
    <row r="19" spans="1:13">
      <c r="A19" s="1331" t="s">
        <v>316</v>
      </c>
      <c r="B19" s="1332">
        <f t="shared" si="0"/>
        <v>18</v>
      </c>
      <c r="C19" s="1332">
        <v>11</v>
      </c>
      <c r="D19" s="1333">
        <v>2020</v>
      </c>
      <c r="E19" s="1334">
        <f>'Daily HLP'!I21</f>
        <v>19329</v>
      </c>
      <c r="F19" s="1335">
        <f t="shared" si="1"/>
        <v>9.5</v>
      </c>
      <c r="G19" s="1335">
        <f>'Daily HLP'!M21</f>
        <v>636.7699999997858</v>
      </c>
      <c r="H19" s="1335">
        <f t="shared" si="2"/>
        <v>35</v>
      </c>
      <c r="I19" s="1335">
        <f>'Daily HLP'!P21</f>
        <v>136</v>
      </c>
      <c r="J19" s="1335">
        <f t="shared" si="3"/>
        <v>134</v>
      </c>
      <c r="K19" s="1334">
        <f>202*'Daily HLP'!F21</f>
        <v>101</v>
      </c>
      <c r="L19" s="1334">
        <f>'[1]Consommation mensuel énergie'!E27</f>
        <v>0</v>
      </c>
      <c r="M19" s="1336" t="e">
        <f>E19*F19+G19*H19+#REF!*#REF!+I19*J19</f>
        <v>#REF!</v>
      </c>
    </row>
    <row r="20" spans="1:13">
      <c r="A20" s="1331" t="s">
        <v>316</v>
      </c>
      <c r="B20" s="1332">
        <f t="shared" si="0"/>
        <v>19</v>
      </c>
      <c r="C20" s="1332">
        <v>11</v>
      </c>
      <c r="D20" s="1333">
        <v>2020</v>
      </c>
      <c r="E20" s="1334">
        <f>'Daily HLP'!I22</f>
        <v>19338</v>
      </c>
      <c r="F20" s="1335">
        <f t="shared" si="1"/>
        <v>9.5</v>
      </c>
      <c r="G20" s="1335">
        <f>'Daily HLP'!M22</f>
        <v>563.12000000011176</v>
      </c>
      <c r="H20" s="1335">
        <f t="shared" si="2"/>
        <v>35</v>
      </c>
      <c r="I20" s="1335">
        <f>'Daily HLP'!P22</f>
        <v>137</v>
      </c>
      <c r="J20" s="1335">
        <f t="shared" si="3"/>
        <v>134</v>
      </c>
      <c r="K20" s="1334">
        <f>202*'Daily HLP'!F22</f>
        <v>101</v>
      </c>
      <c r="L20" s="1334">
        <f>'[1]Consommation mensuel énergie'!E28</f>
        <v>0</v>
      </c>
      <c r="M20" s="1336" t="e">
        <f>E20*F20+G20*H20+#REF!*#REF!+I20*J20</f>
        <v>#REF!</v>
      </c>
    </row>
    <row r="21" spans="1:13">
      <c r="A21" s="1331" t="s">
        <v>316</v>
      </c>
      <c r="B21" s="1332">
        <f t="shared" si="0"/>
        <v>20</v>
      </c>
      <c r="C21" s="1332">
        <v>11</v>
      </c>
      <c r="D21" s="1333">
        <v>2020</v>
      </c>
      <c r="E21" s="1334">
        <f>'Daily HLP'!I23</f>
        <v>18874</v>
      </c>
      <c r="F21" s="1335">
        <f t="shared" si="1"/>
        <v>9.5</v>
      </c>
      <c r="G21" s="1335">
        <f>'Daily HLP'!M23</f>
        <v>640</v>
      </c>
      <c r="H21" s="1335">
        <f t="shared" si="2"/>
        <v>35</v>
      </c>
      <c r="I21" s="1335">
        <f>'Daily HLP'!P23</f>
        <v>138</v>
      </c>
      <c r="J21" s="1335">
        <f t="shared" si="3"/>
        <v>134</v>
      </c>
      <c r="K21" s="1334">
        <f>202*'Daily HLP'!F23</f>
        <v>101</v>
      </c>
      <c r="L21" s="1334">
        <f>'[1]Consommation mensuel énergie'!E29</f>
        <v>0</v>
      </c>
      <c r="M21" s="1336" t="e">
        <f>E21*F21+G21*H21+#REF!*#REF!+I21*J21</f>
        <v>#REF!</v>
      </c>
    </row>
    <row r="22" spans="1:13">
      <c r="A22" s="1331" t="s">
        <v>316</v>
      </c>
      <c r="B22" s="1332">
        <f t="shared" si="0"/>
        <v>21</v>
      </c>
      <c r="C22" s="1332">
        <v>11</v>
      </c>
      <c r="D22" s="1333">
        <v>2020</v>
      </c>
      <c r="E22" s="1334">
        <f>'Daily HLP'!I24</f>
        <v>19287</v>
      </c>
      <c r="F22" s="1335">
        <f t="shared" si="1"/>
        <v>9.5</v>
      </c>
      <c r="G22" s="1335">
        <f>'Daily HLP'!M24</f>
        <v>733</v>
      </c>
      <c r="H22" s="1335">
        <f t="shared" si="2"/>
        <v>35</v>
      </c>
      <c r="I22" s="1335">
        <f>'Daily HLP'!P24</f>
        <v>158</v>
      </c>
      <c r="J22" s="1335">
        <f t="shared" si="3"/>
        <v>134</v>
      </c>
      <c r="K22" s="1334">
        <f>202*'Daily HLP'!F24</f>
        <v>101</v>
      </c>
      <c r="L22" s="1334">
        <f>'[1]Consommation mensuel énergie'!E30</f>
        <v>0</v>
      </c>
      <c r="M22" s="1336" t="e">
        <f>E22*F22+G22*H22+#REF!*#REF!+I22*J22</f>
        <v>#REF!</v>
      </c>
    </row>
    <row r="23" spans="1:13">
      <c r="A23" s="1331" t="s">
        <v>316</v>
      </c>
      <c r="B23" s="1332">
        <f t="shared" si="0"/>
        <v>22</v>
      </c>
      <c r="C23" s="1332">
        <v>11</v>
      </c>
      <c r="D23" s="1333">
        <v>2020</v>
      </c>
      <c r="E23" s="1334">
        <f>'Daily HLP'!I25</f>
        <v>19321</v>
      </c>
      <c r="F23" s="1335">
        <f t="shared" si="1"/>
        <v>9.5</v>
      </c>
      <c r="G23" s="1335">
        <f>'Daily HLP'!M25</f>
        <v>386</v>
      </c>
      <c r="H23" s="1335">
        <f t="shared" si="2"/>
        <v>35</v>
      </c>
      <c r="I23" s="1335">
        <f>'Daily HLP'!P25</f>
        <v>171</v>
      </c>
      <c r="J23" s="1335">
        <f t="shared" si="3"/>
        <v>134</v>
      </c>
      <c r="K23" s="1334">
        <f>202*'Daily HLP'!F25</f>
        <v>101</v>
      </c>
      <c r="L23" s="1334">
        <f>'[1]Consommation mensuel énergie'!E31</f>
        <v>0</v>
      </c>
      <c r="M23" s="1336" t="e">
        <f>E23*F23+G23*H23+#REF!*#REF!+I23*J23</f>
        <v>#REF!</v>
      </c>
    </row>
    <row r="24" spans="1:13">
      <c r="A24" s="1331" t="s">
        <v>316</v>
      </c>
      <c r="B24" s="1332">
        <f t="shared" si="0"/>
        <v>23</v>
      </c>
      <c r="C24" s="1332">
        <v>11</v>
      </c>
      <c r="D24" s="1333">
        <v>2020</v>
      </c>
      <c r="E24" s="1334">
        <f>'Daily HLP'!I26</f>
        <v>17852</v>
      </c>
      <c r="F24" s="1335">
        <f t="shared" si="1"/>
        <v>9.5</v>
      </c>
      <c r="G24" s="1335">
        <f>'Daily HLP'!M26</f>
        <v>695.03000000002794</v>
      </c>
      <c r="H24" s="1335">
        <f t="shared" si="2"/>
        <v>35</v>
      </c>
      <c r="I24" s="1335">
        <f>'Daily HLP'!P26</f>
        <v>155</v>
      </c>
      <c r="J24" s="1335">
        <f t="shared" si="3"/>
        <v>134</v>
      </c>
      <c r="K24" s="1334">
        <f>202*'Daily HLP'!F26</f>
        <v>101</v>
      </c>
      <c r="L24" s="1334">
        <f>'[1]Consommation mensuel énergie'!E32</f>
        <v>0</v>
      </c>
      <c r="M24" s="1336" t="e">
        <f>E24*F24+G24*H24+#REF!*#REF!+I24*J24</f>
        <v>#REF!</v>
      </c>
    </row>
    <row r="25" spans="1:13">
      <c r="A25" s="1331" t="s">
        <v>316</v>
      </c>
      <c r="B25" s="1332">
        <f t="shared" si="0"/>
        <v>24</v>
      </c>
      <c r="C25" s="1332">
        <v>11</v>
      </c>
      <c r="D25" s="1333">
        <v>2020</v>
      </c>
      <c r="E25" s="1334">
        <f>'Daily HLP'!I27</f>
        <v>17644</v>
      </c>
      <c r="F25" s="1335">
        <f t="shared" si="1"/>
        <v>9.5</v>
      </c>
      <c r="G25" s="1335">
        <f>'Daily HLP'!M27</f>
        <v>613.16999999992549</v>
      </c>
      <c r="H25" s="1335">
        <f t="shared" si="2"/>
        <v>35</v>
      </c>
      <c r="I25" s="1335">
        <f>'Daily HLP'!P27</f>
        <v>174</v>
      </c>
      <c r="J25" s="1335">
        <f t="shared" si="3"/>
        <v>134</v>
      </c>
      <c r="K25" s="1334">
        <f>202*'Daily HLP'!F27</f>
        <v>101</v>
      </c>
      <c r="L25" s="1334">
        <f>'[1]Consommation mensuel énergie'!E33</f>
        <v>0</v>
      </c>
      <c r="M25" s="1336" t="e">
        <f>E25*F25+G25*H25+#REF!*#REF!+I25*J25</f>
        <v>#REF!</v>
      </c>
    </row>
    <row r="26" spans="1:13">
      <c r="A26" s="1331" t="s">
        <v>316</v>
      </c>
      <c r="B26" s="1332">
        <f>B25+1</f>
        <v>25</v>
      </c>
      <c r="C26" s="1332">
        <v>11</v>
      </c>
      <c r="D26" s="1333">
        <v>2020</v>
      </c>
      <c r="E26" s="1334">
        <f>'Daily HLP'!I28</f>
        <v>18314</v>
      </c>
      <c r="F26" s="1335">
        <f t="shared" si="1"/>
        <v>9.5</v>
      </c>
      <c r="G26" s="1335">
        <f>'Daily HLP'!M28</f>
        <v>516.88000000012107</v>
      </c>
      <c r="H26" s="1335">
        <f t="shared" si="2"/>
        <v>35</v>
      </c>
      <c r="I26" s="1335">
        <f>'Daily HLP'!P28</f>
        <v>155</v>
      </c>
      <c r="J26" s="1335">
        <f t="shared" si="3"/>
        <v>134</v>
      </c>
      <c r="K26" s="1334">
        <f>202*'Daily HLP'!F28</f>
        <v>101</v>
      </c>
      <c r="L26" s="1334">
        <f>'[1]Consommation mensuel énergie'!E34</f>
        <v>0</v>
      </c>
      <c r="M26" s="1336" t="e">
        <f>E26*F26+G26*H26+#REF!*#REF!+I26*J26</f>
        <v>#REF!</v>
      </c>
    </row>
    <row r="27" spans="1:13">
      <c r="A27" s="1331" t="s">
        <v>316</v>
      </c>
      <c r="B27" s="1332">
        <f t="shared" si="0"/>
        <v>26</v>
      </c>
      <c r="C27" s="1332">
        <v>11</v>
      </c>
      <c r="D27" s="1333">
        <v>2020</v>
      </c>
      <c r="E27" s="1334">
        <f>'Daily HLP'!I29</f>
        <v>18294</v>
      </c>
      <c r="F27" s="1335">
        <f t="shared" si="1"/>
        <v>9.5</v>
      </c>
      <c r="G27" s="1335">
        <f>'Daily HLP'!M29</f>
        <v>411.92499999981374</v>
      </c>
      <c r="H27" s="1335">
        <f t="shared" si="2"/>
        <v>35</v>
      </c>
      <c r="I27" s="1335">
        <f>'Daily HLP'!P29</f>
        <v>125</v>
      </c>
      <c r="J27" s="1335">
        <f t="shared" si="3"/>
        <v>134</v>
      </c>
      <c r="K27" s="1334">
        <f>202*'Daily HLP'!F29</f>
        <v>101</v>
      </c>
      <c r="L27" s="1334">
        <f>'[1]Consommation mensuel énergie'!E35</f>
        <v>0</v>
      </c>
      <c r="M27" s="1336" t="e">
        <f>E27*F27+G27*H27+#REF!*#REF!+I27*J27</f>
        <v>#REF!</v>
      </c>
    </row>
    <row r="28" spans="1:13">
      <c r="A28" s="1331" t="s">
        <v>316</v>
      </c>
      <c r="B28" s="1332">
        <f t="shared" si="0"/>
        <v>27</v>
      </c>
      <c r="C28" s="1332">
        <v>11</v>
      </c>
      <c r="D28" s="1333">
        <v>2020</v>
      </c>
      <c r="E28" s="1334">
        <f>'Daily HLP'!I30</f>
        <v>19216</v>
      </c>
      <c r="F28" s="1335">
        <f t="shared" si="1"/>
        <v>9.5</v>
      </c>
      <c r="G28" s="1335">
        <f>'Daily HLP'!M30</f>
        <v>532.6840000001248</v>
      </c>
      <c r="H28" s="1335">
        <f t="shared" si="2"/>
        <v>35</v>
      </c>
      <c r="I28" s="1335">
        <f>'Daily HLP'!P30</f>
        <v>137</v>
      </c>
      <c r="J28" s="1335">
        <f t="shared" si="3"/>
        <v>134</v>
      </c>
      <c r="K28" s="1334">
        <f>202*'Daily HLP'!F30</f>
        <v>60.599999999999994</v>
      </c>
      <c r="L28" s="1334">
        <f>'[1]Consommation mensuel énergie'!E36</f>
        <v>0</v>
      </c>
      <c r="M28" s="1336" t="e">
        <f>E28*F28+G28*H28+#REF!*#REF!+I28*J28</f>
        <v>#REF!</v>
      </c>
    </row>
    <row r="29" spans="1:13">
      <c r="A29" s="1331" t="s">
        <v>316</v>
      </c>
      <c r="B29" s="1332">
        <f t="shared" si="0"/>
        <v>28</v>
      </c>
      <c r="C29" s="1332">
        <v>11</v>
      </c>
      <c r="D29" s="1333">
        <v>2020</v>
      </c>
      <c r="E29" s="1334">
        <f>'Daily HLP'!I31</f>
        <v>19557</v>
      </c>
      <c r="F29" s="1335">
        <f t="shared" si="1"/>
        <v>9.5</v>
      </c>
      <c r="G29" s="1335">
        <f>'Daily HLP'!M31</f>
        <v>805.71699999994598</v>
      </c>
      <c r="H29" s="1335">
        <f t="shared" si="2"/>
        <v>35</v>
      </c>
      <c r="I29" s="1335">
        <f>'Daily HLP'!P31</f>
        <v>195</v>
      </c>
      <c r="J29" s="1335">
        <f t="shared" si="3"/>
        <v>134</v>
      </c>
      <c r="K29" s="1334">
        <f>202*'Daily HLP'!F31</f>
        <v>60.599999999999994</v>
      </c>
      <c r="L29" s="1334">
        <f>'[1]Consommation mensuel énergie'!E37</f>
        <v>0</v>
      </c>
      <c r="M29" s="1336" t="e">
        <f>E29*F29+G29*H29+#REF!*#REF!+I29*J29</f>
        <v>#REF!</v>
      </c>
    </row>
    <row r="30" spans="1:13">
      <c r="A30" s="1331" t="s">
        <v>316</v>
      </c>
      <c r="B30" s="1332">
        <f t="shared" si="0"/>
        <v>29</v>
      </c>
      <c r="C30" s="1332">
        <v>11</v>
      </c>
      <c r="D30" s="1333">
        <v>2020</v>
      </c>
      <c r="E30" s="1334">
        <f>'Daily HLP'!I32</f>
        <v>21144</v>
      </c>
      <c r="F30" s="1335">
        <f t="shared" si="1"/>
        <v>9.5</v>
      </c>
      <c r="G30" s="1335">
        <f>'Daily HLP'!M32</f>
        <v>795.00800000014715</v>
      </c>
      <c r="H30" s="1335">
        <f t="shared" si="2"/>
        <v>35</v>
      </c>
      <c r="I30" s="1335">
        <f>'Daily HLP'!P32</f>
        <v>201</v>
      </c>
      <c r="J30" s="1335">
        <f t="shared" si="3"/>
        <v>134</v>
      </c>
      <c r="K30" s="1334">
        <f>202*'Daily HLP'!F32</f>
        <v>60.599999999999994</v>
      </c>
      <c r="L30" s="1334">
        <f>'[1]Consommation mensuel énergie'!E38</f>
        <v>0</v>
      </c>
      <c r="M30" s="1336" t="e">
        <f>E30*F30+G30*H30+#REF!*#REF!+I30*J30</f>
        <v>#REF!</v>
      </c>
    </row>
    <row r="31" spans="1:13">
      <c r="A31" s="1331" t="s">
        <v>316</v>
      </c>
      <c r="B31" s="1332">
        <f t="shared" si="0"/>
        <v>30</v>
      </c>
      <c r="C31" s="1332">
        <v>11</v>
      </c>
      <c r="D31" s="1333">
        <v>2020</v>
      </c>
      <c r="E31" s="1334">
        <f>'Daily HLP'!I33</f>
        <v>21224</v>
      </c>
      <c r="F31" s="1335">
        <f t="shared" si="1"/>
        <v>9.5</v>
      </c>
      <c r="G31" s="1335">
        <f>'Daily HLP'!M33</f>
        <v>675.18699999991804</v>
      </c>
      <c r="H31" s="1335">
        <f t="shared" si="2"/>
        <v>35</v>
      </c>
      <c r="I31" s="1335">
        <f>'Daily HLP'!P33</f>
        <v>197</v>
      </c>
      <c r="J31" s="1335">
        <f t="shared" si="3"/>
        <v>134</v>
      </c>
      <c r="K31" s="1334">
        <f>202*'Daily HLP'!F33</f>
        <v>60.599999999999994</v>
      </c>
      <c r="L31" s="1334">
        <f>'[1]Consommation mensuel énergie'!E39</f>
        <v>0</v>
      </c>
      <c r="M31" s="1336" t="e">
        <f>E31*F31+G31*H31+#REF!*#REF!+I31*J31</f>
        <v>#REF!</v>
      </c>
    </row>
    <row r="32" spans="1:13" s="1334" customFormat="1">
      <c r="A32" s="1338"/>
      <c r="B32" s="1332"/>
      <c r="C32" s="1332"/>
      <c r="D32" s="1333"/>
      <c r="F32" s="1335"/>
      <c r="G32" s="1335"/>
      <c r="H32" s="1335"/>
      <c r="I32" s="1335"/>
      <c r="J32" s="1335"/>
      <c r="M32" s="1337"/>
    </row>
    <row r="33" spans="1:13" s="1334" customFormat="1">
      <c r="A33" s="1338"/>
      <c r="B33" s="1332"/>
      <c r="C33" s="1332"/>
      <c r="D33" s="1333"/>
      <c r="F33" s="1335"/>
      <c r="G33" s="1335"/>
      <c r="H33" s="1335"/>
      <c r="I33" s="1335"/>
      <c r="J33" s="1335"/>
      <c r="M33" s="1337"/>
    </row>
    <row r="34" spans="1:13" s="1334" customFormat="1">
      <c r="A34" s="1338"/>
      <c r="B34" s="1332"/>
      <c r="C34" s="1332"/>
      <c r="D34" s="1333"/>
      <c r="F34" s="1335"/>
      <c r="G34" s="1335"/>
      <c r="H34" s="1335"/>
      <c r="I34" s="1335"/>
      <c r="J34" s="1335"/>
      <c r="M34" s="1337"/>
    </row>
    <row r="35" spans="1:13" s="1334" customFormat="1">
      <c r="A35" s="1338"/>
      <c r="B35" s="1332"/>
      <c r="C35" s="1332"/>
      <c r="D35" s="1333"/>
      <c r="F35" s="1335"/>
      <c r="G35" s="1335"/>
      <c r="H35" s="1335"/>
      <c r="I35" s="1335"/>
      <c r="J35" s="1335"/>
      <c r="M35" s="1337"/>
    </row>
    <row r="36" spans="1:13" s="1334" customFormat="1">
      <c r="A36" s="1338"/>
      <c r="B36" s="1332"/>
      <c r="C36" s="1332"/>
      <c r="D36" s="1333"/>
      <c r="F36" s="1335"/>
      <c r="G36" s="1335"/>
      <c r="H36" s="1335"/>
      <c r="I36" s="1335"/>
      <c r="J36" s="1335"/>
      <c r="M36" s="1337"/>
    </row>
    <row r="37" spans="1:13" s="1334" customFormat="1">
      <c r="A37" s="1338"/>
      <c r="B37" s="1332"/>
      <c r="C37" s="1332"/>
      <c r="D37" s="1333"/>
      <c r="F37" s="1335"/>
      <c r="G37" s="1335"/>
      <c r="H37" s="1335"/>
      <c r="I37" s="1335"/>
      <c r="J37" s="1335"/>
      <c r="M37" s="1337"/>
    </row>
    <row r="38" spans="1:13" s="1334" customFormat="1">
      <c r="A38" s="1338"/>
      <c r="B38" s="1332"/>
      <c r="C38" s="1332"/>
      <c r="D38" s="1333"/>
      <c r="F38" s="1335"/>
      <c r="G38" s="1335"/>
      <c r="H38" s="1335"/>
      <c r="I38" s="1335"/>
      <c r="J38" s="1335"/>
      <c r="M38" s="13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2"/>
  <sheetViews>
    <sheetView zoomScale="80" zoomScaleNormal="80" workbookViewId="0">
      <pane xSplit="1" topLeftCell="B1" activePane="topRight" state="frozen"/>
      <selection activeCell="F104" sqref="F104"/>
      <selection pane="topRight" activeCell="B23" sqref="B2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41" customWidth="1"/>
    <col min="12" max="12" width="6.88671875" style="241" customWidth="1"/>
    <col min="13" max="13" width="7.44140625" customWidth="1"/>
    <col min="14" max="14" width="6.109375" customWidth="1"/>
    <col min="15" max="15" width="8.6640625" style="241" customWidth="1"/>
    <col min="16" max="16" width="7.21875" customWidth="1"/>
    <col min="17" max="17" width="6.109375" customWidth="1"/>
    <col min="18" max="18" width="8.5546875" style="241" customWidth="1"/>
    <col min="19" max="19" width="11.5546875" style="241" customWidth="1"/>
    <col min="20" max="21" width="6.109375" customWidth="1"/>
    <col min="22" max="22" width="10.5546875" style="241" customWidth="1"/>
    <col min="23" max="23" width="7.77734375" style="41" customWidth="1"/>
    <col min="24" max="24" width="7" style="41" customWidth="1"/>
    <col min="25" max="25" width="7.44140625" style="41" customWidth="1"/>
    <col min="26" max="26" width="8.33203125" style="41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88"/>
      <c r="B1" s="1388"/>
      <c r="C1" s="1388"/>
      <c r="D1" s="1388"/>
      <c r="E1" s="1388"/>
      <c r="F1" s="1388"/>
      <c r="G1" s="1388"/>
      <c r="H1" s="1388"/>
      <c r="I1" s="1388"/>
      <c r="J1" s="1388"/>
      <c r="K1" s="1388"/>
      <c r="L1" s="1388"/>
      <c r="M1" s="1388"/>
      <c r="N1" s="1388"/>
      <c r="O1" s="1388"/>
      <c r="P1" s="1388"/>
      <c r="Q1" s="1388"/>
      <c r="R1" s="1388"/>
      <c r="S1" s="1388"/>
      <c r="T1" s="1388"/>
      <c r="U1" s="1388"/>
      <c r="V1" s="1388"/>
      <c r="W1" s="1388"/>
      <c r="X1" s="1388"/>
      <c r="Y1" s="1388"/>
      <c r="Z1" s="1388"/>
      <c r="AA1" s="1388"/>
      <c r="AB1" s="1388"/>
      <c r="AC1" s="1388"/>
      <c r="AD1" s="1388"/>
      <c r="AE1" s="1388"/>
      <c r="AF1" s="1388"/>
      <c r="AG1" s="1388"/>
      <c r="AH1" s="1388"/>
      <c r="AI1" s="1388"/>
      <c r="AJ1" s="1388"/>
      <c r="AK1" s="1388"/>
      <c r="AL1" s="1388"/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8"/>
      <c r="BA1" s="1388"/>
      <c r="BB1" s="1388"/>
      <c r="BC1" s="1388"/>
      <c r="BD1" s="1388"/>
      <c r="BE1" s="1388"/>
      <c r="BF1" s="1388"/>
      <c r="BG1" s="1388"/>
      <c r="BH1" s="1388"/>
      <c r="BI1" s="1388"/>
      <c r="BJ1" s="1388"/>
      <c r="BK1" s="1388"/>
      <c r="BL1" s="1388"/>
      <c r="BM1" s="1388"/>
      <c r="BN1" s="1388"/>
      <c r="BO1" s="1388"/>
    </row>
    <row r="2" spans="1:70" ht="28.5" customHeight="1">
      <c r="A2" s="1" t="s">
        <v>0</v>
      </c>
      <c r="B2" s="1" t="s">
        <v>0</v>
      </c>
      <c r="C2" s="1280" t="s">
        <v>1</v>
      </c>
      <c r="D2" s="2" t="s">
        <v>2</v>
      </c>
      <c r="E2" s="3" t="s">
        <v>3</v>
      </c>
      <c r="F2" s="539" t="s">
        <v>4</v>
      </c>
      <c r="G2" s="539" t="s">
        <v>5</v>
      </c>
      <c r="H2" s="539"/>
      <c r="I2" s="1389" t="s">
        <v>6</v>
      </c>
      <c r="J2" s="1389"/>
      <c r="K2" s="1389"/>
      <c r="L2" s="242"/>
      <c r="M2" s="1390" t="s">
        <v>7</v>
      </c>
      <c r="N2" s="1390"/>
      <c r="O2" s="1390"/>
      <c r="P2" s="1391" t="s">
        <v>8</v>
      </c>
      <c r="Q2" s="1391"/>
      <c r="R2" s="1391"/>
      <c r="S2" s="242" t="s">
        <v>9</v>
      </c>
      <c r="T2" s="1392" t="s">
        <v>10</v>
      </c>
      <c r="U2" s="1392"/>
      <c r="V2" s="1392"/>
      <c r="W2" s="1393" t="s">
        <v>11</v>
      </c>
      <c r="X2" s="1394"/>
      <c r="Y2" s="1395"/>
      <c r="Z2" s="1279"/>
      <c r="AA2" s="1396" t="s">
        <v>12</v>
      </c>
      <c r="AB2" s="1396"/>
      <c r="AC2" s="1396"/>
      <c r="AD2" s="1396"/>
      <c r="AE2" s="1280"/>
      <c r="AF2" s="1280" t="s">
        <v>13</v>
      </c>
      <c r="AG2" s="1280" t="s">
        <v>14</v>
      </c>
      <c r="AH2" s="1396" t="s">
        <v>15</v>
      </c>
      <c r="AI2" s="1396"/>
      <c r="AJ2" s="1396"/>
      <c r="AK2" s="1280" t="s">
        <v>16</v>
      </c>
      <c r="AL2" s="1396" t="s">
        <v>17</v>
      </c>
      <c r="AM2" s="1396"/>
      <c r="AN2" s="1396"/>
      <c r="AO2" s="1280" t="s">
        <v>18</v>
      </c>
      <c r="AP2" s="5" t="s">
        <v>19</v>
      </c>
      <c r="AQ2" s="1397" t="s">
        <v>20</v>
      </c>
      <c r="AR2" s="1398"/>
      <c r="AS2" s="1398"/>
      <c r="AT2" s="1398"/>
      <c r="AU2" s="1398"/>
      <c r="AV2" s="1398"/>
      <c r="AW2" s="1398"/>
      <c r="AX2" s="1398"/>
      <c r="AY2" s="1398"/>
      <c r="AZ2" s="1399"/>
      <c r="BA2" s="1397" t="s">
        <v>21</v>
      </c>
      <c r="BB2" s="1398"/>
      <c r="BC2" s="1398"/>
      <c r="BD2" s="1398"/>
      <c r="BE2" s="1398"/>
      <c r="BF2" s="1398"/>
      <c r="BG2" s="1398"/>
      <c r="BH2" s="1398"/>
      <c r="BI2" s="1398"/>
      <c r="BJ2" s="540"/>
      <c r="BK2" s="471"/>
      <c r="BL2" s="236"/>
      <c r="BM2" s="236"/>
      <c r="BN2" s="236"/>
      <c r="BO2" s="1280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7" t="s">
        <v>28</v>
      </c>
      <c r="L3" s="237" t="s">
        <v>29</v>
      </c>
      <c r="M3" s="11" t="s">
        <v>30</v>
      </c>
      <c r="N3" s="11" t="s">
        <v>27</v>
      </c>
      <c r="O3" s="237" t="s">
        <v>28</v>
      </c>
      <c r="P3" s="11" t="s">
        <v>31</v>
      </c>
      <c r="Q3" s="11" t="s">
        <v>27</v>
      </c>
      <c r="R3" s="237" t="s">
        <v>28</v>
      </c>
      <c r="S3" s="237"/>
      <c r="T3" s="7" t="s">
        <v>32</v>
      </c>
      <c r="U3" s="7" t="s">
        <v>27</v>
      </c>
      <c r="V3" s="237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62"/>
      <c r="AQ3" s="265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6" t="s">
        <v>55</v>
      </c>
      <c r="BA3" s="265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70" t="s">
        <v>62</v>
      </c>
      <c r="BJ3" s="470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61">
        <f>'1'!D4</f>
        <v>0.8</v>
      </c>
      <c r="F4" s="261">
        <f>'1'!D2</f>
        <v>0.3</v>
      </c>
      <c r="G4" s="19">
        <f>'1'!G8</f>
        <v>18631</v>
      </c>
      <c r="H4" s="19">
        <f>'1'!G8</f>
        <v>18631</v>
      </c>
      <c r="I4" s="19">
        <f>'1'!G7</f>
        <v>18574</v>
      </c>
      <c r="J4" s="19">
        <f>'1'!F27</f>
        <v>9.5</v>
      </c>
      <c r="K4" s="247">
        <f>H4*J4</f>
        <v>176994.5</v>
      </c>
      <c r="L4" s="243">
        <f>I4/202</f>
        <v>91.950495049504951</v>
      </c>
      <c r="M4" s="19">
        <f>'1'!G15</f>
        <v>497.53900000010617</v>
      </c>
      <c r="N4" s="19">
        <v>35</v>
      </c>
      <c r="O4" s="243">
        <f>M4*N4</f>
        <v>17413.865000003716</v>
      </c>
      <c r="P4" s="19">
        <f>'1'!G20</f>
        <v>195</v>
      </c>
      <c r="Q4" s="19">
        <v>134</v>
      </c>
      <c r="R4" s="244">
        <f t="shared" ref="R4:R34" si="0">P4*Q4</f>
        <v>26130</v>
      </c>
      <c r="S4" s="245">
        <f t="shared" ref="S4:S34" si="1">P4/(F4*202/100)</f>
        <v>321.78217821782181</v>
      </c>
      <c r="T4" s="19">
        <f>'1'!G24</f>
        <v>0</v>
      </c>
      <c r="U4" s="19">
        <v>69</v>
      </c>
      <c r="V4" s="246">
        <f>T4*U4</f>
        <v>0</v>
      </c>
      <c r="W4" s="22">
        <f>'1'!G95</f>
        <v>48</v>
      </c>
      <c r="X4" s="22">
        <f>'1'!G96</f>
        <v>49</v>
      </c>
      <c r="Y4" s="22">
        <f>'1'!G97</f>
        <v>14</v>
      </c>
      <c r="Z4" s="22">
        <f>W4+X4+Y4</f>
        <v>111</v>
      </c>
      <c r="AA4" s="19">
        <f>'1'!G132</f>
        <v>0</v>
      </c>
      <c r="AB4" s="19">
        <f>'1'!G133</f>
        <v>0</v>
      </c>
      <c r="AC4" s="19">
        <f>'1'!G134</f>
        <v>-0.26999999999679858</v>
      </c>
      <c r="AD4" s="19">
        <f>'1'!G135</f>
        <v>24</v>
      </c>
      <c r="AE4" s="19">
        <f>AA4+AB4+AC4+AD4</f>
        <v>23.730000000003201</v>
      </c>
      <c r="AF4" s="23">
        <f t="shared" ref="AF4:AF34" si="2">AV4+AW4+BF4+BG4</f>
        <v>4007.5100000000093</v>
      </c>
      <c r="AG4" s="23">
        <f>AF4/AE4</f>
        <v>168.87947745467631</v>
      </c>
      <c r="AH4" s="19">
        <f>'1'!G136</f>
        <v>0</v>
      </c>
      <c r="AI4" s="19">
        <f>'1'!G137</f>
        <v>0</v>
      </c>
      <c r="AJ4" s="19">
        <f>'1'!G138</f>
        <v>8.7000000000116415</v>
      </c>
      <c r="AK4" s="19">
        <f>AH4+AI4+AJ4</f>
        <v>8.7000000000116415</v>
      </c>
      <c r="AL4" s="19">
        <f>'1'!G139</f>
        <v>5.4400000000000546</v>
      </c>
      <c r="AM4" s="19">
        <f>'1'!G140</f>
        <v>0</v>
      </c>
      <c r="AN4" s="19"/>
      <c r="AO4" s="19">
        <f>AL4+AM4</f>
        <v>5.4400000000000546</v>
      </c>
      <c r="AP4" s="263">
        <f>'1'!G123</f>
        <v>193.62199999997392</v>
      </c>
      <c r="AQ4" s="267">
        <f>'1'!G35</f>
        <v>2733.5600000000559</v>
      </c>
      <c r="AR4" s="19">
        <f>'1'!G37</f>
        <v>1525.1599999999744</v>
      </c>
      <c r="AS4" s="19">
        <f>'1'!G38</f>
        <v>0</v>
      </c>
      <c r="AT4" s="19">
        <f>'1'!G39</f>
        <v>4085.2800000000279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2401.2400000001071</v>
      </c>
      <c r="AY4" s="19">
        <f>'1'!G44</f>
        <v>0</v>
      </c>
      <c r="AZ4" s="268">
        <f>'1'!G36</f>
        <v>464.04999999998836</v>
      </c>
      <c r="BA4" s="267">
        <f>'1'!G49</f>
        <v>0</v>
      </c>
      <c r="BB4" s="19">
        <f>'1'!G51</f>
        <v>0</v>
      </c>
      <c r="BC4" s="19">
        <f>'1'!G52</f>
        <v>1920.4000000000233</v>
      </c>
      <c r="BD4" s="19">
        <f>'1'!G53</f>
        <v>0</v>
      </c>
      <c r="BE4" s="19">
        <f>'1'!G54</f>
        <v>75.259700000000066</v>
      </c>
      <c r="BF4" s="19">
        <f>'1'!G55</f>
        <v>-0.36999999999534339</v>
      </c>
      <c r="BG4" s="19">
        <f>'1'!G56</f>
        <v>4007.8800000000047</v>
      </c>
      <c r="BH4" s="19">
        <f>'1'!G57</f>
        <v>0</v>
      </c>
      <c r="BI4" s="268">
        <f>'1'!G50</f>
        <v>887.17999999999302</v>
      </c>
      <c r="BJ4" s="412">
        <f>SUM(AV4,AW4,BF4,BG4)</f>
        <v>4007.5100000000093</v>
      </c>
      <c r="BK4" s="412">
        <f>'1'!G84</f>
        <v>596</v>
      </c>
      <c r="BL4" s="23">
        <f>SUM(AQ4,AV4,AW4,AX4,BA4,BF4,BG4,BH4)/I4%</f>
        <v>49.221007860451017</v>
      </c>
      <c r="BM4" s="23">
        <f>SUM(AT4,BD4)/I4%</f>
        <v>21.994616130074448</v>
      </c>
      <c r="BN4" s="24">
        <f>(AS4+BC4)/I4</f>
        <v>0.10339183805319389</v>
      </c>
      <c r="BO4" s="25">
        <f>K4+O4+R4+V4</f>
        <v>220538.36500000372</v>
      </c>
      <c r="BP4" s="217">
        <f>SUM(AV4,AW4,AX4,BF4,BG4,BH4,BK4)</f>
        <v>7004.7500000001164</v>
      </c>
      <c r="BQ4">
        <f>BP4/(AE4*280)</f>
        <v>1.0542336403586736</v>
      </c>
      <c r="BR4" s="217">
        <f>SUM(AV4,AW4,BF4,BG4)/(AE4*400)</f>
        <v>0.42219869363669077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61">
        <f>'2'!D4</f>
        <v>0.8</v>
      </c>
      <c r="F5" s="261">
        <f>'2'!D2</f>
        <v>0.3</v>
      </c>
      <c r="G5" s="19">
        <f>'2'!G8</f>
        <v>19518</v>
      </c>
      <c r="H5" s="19">
        <f>'2'!G8</f>
        <v>19518</v>
      </c>
      <c r="I5" s="19">
        <f>'2'!G7</f>
        <v>19432</v>
      </c>
      <c r="J5" s="19">
        <v>10</v>
      </c>
      <c r="K5" s="247">
        <f t="shared" ref="K5:K34" si="3">H5*J5</f>
        <v>195180</v>
      </c>
      <c r="L5" s="243">
        <f t="shared" ref="L5:L34" si="4">I5/202</f>
        <v>96.198019801980195</v>
      </c>
      <c r="M5" s="19">
        <f>'2'!G15</f>
        <v>706.53900000010617</v>
      </c>
      <c r="N5" s="19">
        <v>35</v>
      </c>
      <c r="O5" s="243">
        <f t="shared" ref="O5:O34" si="5">M5*N5</f>
        <v>24728.865000003716</v>
      </c>
      <c r="P5" s="19">
        <f>'2'!G20</f>
        <v>185</v>
      </c>
      <c r="Q5" s="19">
        <v>134</v>
      </c>
      <c r="R5" s="244">
        <f t="shared" si="0"/>
        <v>24790</v>
      </c>
      <c r="S5" s="245">
        <f t="shared" si="1"/>
        <v>305.28052805280527</v>
      </c>
      <c r="T5" s="19">
        <f>'2'!G24</f>
        <v>0</v>
      </c>
      <c r="U5" s="19">
        <v>69</v>
      </c>
      <c r="V5" s="246">
        <f t="shared" ref="V5:V34" si="6">T5*U5</f>
        <v>0</v>
      </c>
      <c r="W5" s="22">
        <f>'2'!G95</f>
        <v>62</v>
      </c>
      <c r="X5" s="22">
        <f>'2'!G96</f>
        <v>36</v>
      </c>
      <c r="Y5" s="22">
        <f>'2'!G97</f>
        <v>14</v>
      </c>
      <c r="Z5" s="22">
        <f t="shared" ref="Z5:Z34" si="7">W5+X5+Y5</f>
        <v>112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24</v>
      </c>
      <c r="AE5" s="19">
        <f t="shared" ref="AE5:AE33" si="8">AA5+AB5+AC5+AD5</f>
        <v>24</v>
      </c>
      <c r="AF5" s="23">
        <f t="shared" si="2"/>
        <v>4613.8700000000827</v>
      </c>
      <c r="AG5" s="23">
        <f t="shared" ref="AG5:AG33" si="9">AF5/AE5</f>
        <v>192.24458333333678</v>
      </c>
      <c r="AH5" s="19">
        <f>'2'!G136</f>
        <v>8.1200000000026193</v>
      </c>
      <c r="AI5" s="19">
        <f>'2'!G137</f>
        <v>0</v>
      </c>
      <c r="AJ5" s="19">
        <f>'2'!G138</f>
        <v>1.5399999999935972</v>
      </c>
      <c r="AK5" s="19">
        <f t="shared" ref="AK5:AK33" si="10">AH5+AI5+AJ5</f>
        <v>9.6599999999962165</v>
      </c>
      <c r="AL5" s="19">
        <f>'2'!G139</f>
        <v>3.3500000000000227</v>
      </c>
      <c r="AM5" s="19">
        <f>'2'!G140</f>
        <v>2.7099999999991269</v>
      </c>
      <c r="AN5" s="19"/>
      <c r="AO5" s="19">
        <f t="shared" ref="AO5:AO33" si="11">AL5+AM5</f>
        <v>6.0599999999991496</v>
      </c>
      <c r="AP5" s="263">
        <f>'2'!G123</f>
        <v>203.85800000000745</v>
      </c>
      <c r="AQ5" s="267">
        <f>'2'!G35</f>
        <v>2528.0799999999581</v>
      </c>
      <c r="AR5" s="19">
        <f>'2'!G37</f>
        <v>1523.6800000000512</v>
      </c>
      <c r="AS5" s="19">
        <f>'2'!G38</f>
        <v>0</v>
      </c>
      <c r="AT5" s="19">
        <f>'2'!G39</f>
        <v>3998.4000000000233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2366.0399999999208</v>
      </c>
      <c r="AY5" s="19">
        <f>'2'!G44</f>
        <v>0</v>
      </c>
      <c r="AZ5" s="268">
        <f>'2'!G36</f>
        <v>595.20999999999185</v>
      </c>
      <c r="BA5" s="267">
        <f>'2'!G49</f>
        <v>1.4000000001033186E-2</v>
      </c>
      <c r="BB5" s="19">
        <f>'2'!G51</f>
        <v>0</v>
      </c>
      <c r="BC5" s="19">
        <f>'2'!G52</f>
        <v>1713.9400000000023</v>
      </c>
      <c r="BD5" s="19">
        <f>'2'!G53</f>
        <v>0</v>
      </c>
      <c r="BE5" s="19">
        <f>'2'!G54</f>
        <v>69.305299999999988</v>
      </c>
      <c r="BF5" s="19">
        <f>'2'!G55</f>
        <v>0.10000000000582077</v>
      </c>
      <c r="BG5" s="19">
        <f>'2'!G56</f>
        <v>4613.8400000000256</v>
      </c>
      <c r="BH5" s="19">
        <f>'2'!G57</f>
        <v>0</v>
      </c>
      <c r="BI5" s="268">
        <f>'2'!G50</f>
        <v>1344.4199999999837</v>
      </c>
      <c r="BJ5" s="412">
        <f t="shared" ref="BJ5:BJ33" si="12">SUM(AV5,AW5,BF5,BG5)</f>
        <v>4613.8700000000827</v>
      </c>
      <c r="BK5" s="412">
        <f>'2'!G84</f>
        <v>602</v>
      </c>
      <c r="BL5" s="23">
        <f t="shared" ref="BL5:BL33" si="13">SUM(AQ5,AV5,AW5,AX5,BA5,BF5,BG5,BH5)/I5%</f>
        <v>48.929621243309811</v>
      </c>
      <c r="BM5" s="23">
        <f t="shared" ref="BM5:BM33" si="14">SUM(AT5,BD5)/I5%</f>
        <v>20.576368876080814</v>
      </c>
      <c r="BN5" s="24">
        <f t="shared" ref="BN5:BN33" si="15">(AS5+BC5)/I5</f>
        <v>8.8201934952655534E-2</v>
      </c>
      <c r="BO5" s="25">
        <f t="shared" ref="BO5:BO33" si="16">K5+O5+R5+V5</f>
        <v>244698.86500000372</v>
      </c>
      <c r="BP5" s="217">
        <f t="shared" ref="BP5:BP36" si="17">SUM(AV5,AW5,AX5,BF5,BG5,BH5,BK5)</f>
        <v>7581.9100000000035</v>
      </c>
      <c r="BQ5">
        <f t="shared" ref="BQ5:BQ36" si="18">BP5/(AE5*280)</f>
        <v>1.1282604166666672</v>
      </c>
    </row>
    <row r="6" spans="1:70">
      <c r="A6" s="16">
        <v>3</v>
      </c>
      <c r="B6" s="26">
        <v>3</v>
      </c>
      <c r="C6" s="26"/>
      <c r="D6" s="19">
        <f>'3'!D3</f>
        <v>31</v>
      </c>
      <c r="E6" s="261">
        <f>'3'!D4</f>
        <v>0.8</v>
      </c>
      <c r="F6" s="261">
        <f>'3'!D2</f>
        <v>0.3</v>
      </c>
      <c r="G6" s="19">
        <f>'3'!G8</f>
        <v>18200</v>
      </c>
      <c r="H6" s="19">
        <f>'3'!G8</f>
        <v>18200</v>
      </c>
      <c r="I6" s="19">
        <f>'3'!G7</f>
        <v>18137</v>
      </c>
      <c r="J6" s="19">
        <v>10</v>
      </c>
      <c r="K6" s="247">
        <f t="shared" si="3"/>
        <v>182000</v>
      </c>
      <c r="L6" s="243">
        <f t="shared" si="4"/>
        <v>89.787128712871294</v>
      </c>
      <c r="M6" s="19">
        <f>'3'!G15</f>
        <v>445.85999999986961</v>
      </c>
      <c r="N6" s="19">
        <v>35</v>
      </c>
      <c r="O6" s="243">
        <f t="shared" si="5"/>
        <v>15605.099999995437</v>
      </c>
      <c r="P6" s="19">
        <f>'3'!G20</f>
        <v>133</v>
      </c>
      <c r="Q6" s="19">
        <v>134</v>
      </c>
      <c r="R6" s="244">
        <f t="shared" si="0"/>
        <v>17822</v>
      </c>
      <c r="S6" s="245">
        <f t="shared" si="1"/>
        <v>219.47194719471949</v>
      </c>
      <c r="T6" s="19">
        <f>'3'!G24</f>
        <v>0</v>
      </c>
      <c r="U6" s="19">
        <v>69</v>
      </c>
      <c r="V6" s="246">
        <f t="shared" si="6"/>
        <v>0</v>
      </c>
      <c r="W6" s="22">
        <f>'3'!G95</f>
        <v>39</v>
      </c>
      <c r="X6" s="22">
        <f>'3'!G96</f>
        <v>42</v>
      </c>
      <c r="Y6" s="22">
        <f>'3'!G97</f>
        <v>14</v>
      </c>
      <c r="Z6" s="22">
        <f>W6+X6+Y6</f>
        <v>95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24</v>
      </c>
      <c r="AE6" s="19">
        <f t="shared" si="8"/>
        <v>24</v>
      </c>
      <c r="AF6" s="23">
        <f t="shared" si="2"/>
        <v>4094.1599999999744</v>
      </c>
      <c r="AG6" s="23">
        <f t="shared" si="9"/>
        <v>170.58999999999892</v>
      </c>
      <c r="AH6" s="19">
        <f>'3'!G136</f>
        <v>0</v>
      </c>
      <c r="AI6" s="19">
        <f>'3'!G137</f>
        <v>0</v>
      </c>
      <c r="AJ6" s="19">
        <f>'3'!G138</f>
        <v>7.6999999999970896</v>
      </c>
      <c r="AK6" s="19">
        <f t="shared" si="10"/>
        <v>7.6999999999970896</v>
      </c>
      <c r="AL6" s="19">
        <f>'3'!G139</f>
        <v>4.25</v>
      </c>
      <c r="AM6" s="19">
        <f>'3'!G140</f>
        <v>0</v>
      </c>
      <c r="AN6" s="19"/>
      <c r="AO6" s="19">
        <f t="shared" si="11"/>
        <v>4.25</v>
      </c>
      <c r="AP6" s="263">
        <f>'3'!G123</f>
        <v>148.51699999999255</v>
      </c>
      <c r="AQ6" s="267">
        <f>'3'!G35</f>
        <v>2530.8000000000466</v>
      </c>
      <c r="AR6" s="19">
        <f>'3'!G37</f>
        <v>1481.9199999999837</v>
      </c>
      <c r="AS6" s="19">
        <f>'3'!G38</f>
        <v>0</v>
      </c>
      <c r="AT6" s="19">
        <f>'3'!G39</f>
        <v>3926.640000000014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2353.7600000000093</v>
      </c>
      <c r="AY6" s="19">
        <f>'3'!G44</f>
        <v>0</v>
      </c>
      <c r="AZ6" s="268">
        <f>'3'!G36</f>
        <v>552.72000000000116</v>
      </c>
      <c r="BA6" s="267">
        <f>'3'!G49</f>
        <v>-2.0000000004074536E-3</v>
      </c>
      <c r="BB6" s="19">
        <f>'3'!G51</f>
        <v>0</v>
      </c>
      <c r="BC6" s="19">
        <f>'3'!G52</f>
        <v>1782.7999999999884</v>
      </c>
      <c r="BD6" s="19">
        <f>'3'!G53</f>
        <v>0</v>
      </c>
      <c r="BE6" s="19">
        <f>'3'!G54</f>
        <v>73.167599999999993</v>
      </c>
      <c r="BF6" s="19">
        <f>'3'!G55</f>
        <v>0</v>
      </c>
      <c r="BG6" s="19">
        <f>'3'!G56</f>
        <v>4094.1599999999744</v>
      </c>
      <c r="BH6" s="19">
        <f>'3'!G57</f>
        <v>0</v>
      </c>
      <c r="BI6" s="268">
        <f>'3'!G50</f>
        <v>873.60000000003492</v>
      </c>
      <c r="BJ6" s="412">
        <f t="shared" si="12"/>
        <v>4094.1599999999744</v>
      </c>
      <c r="BK6" s="412">
        <f>'3'!G84</f>
        <v>598</v>
      </c>
      <c r="BL6" s="23">
        <f t="shared" si="13"/>
        <v>49.504978772674804</v>
      </c>
      <c r="BM6" s="23">
        <f t="shared" si="14"/>
        <v>21.649886971384539</v>
      </c>
      <c r="BN6" s="24">
        <f t="shared" si="15"/>
        <v>9.8296300380437143E-2</v>
      </c>
      <c r="BO6" s="25">
        <f t="shared" si="16"/>
        <v>215427.09999999544</v>
      </c>
      <c r="BP6" s="217">
        <f t="shared" si="17"/>
        <v>7045.9199999999837</v>
      </c>
      <c r="BQ6">
        <f t="shared" si="18"/>
        <v>1.0484999999999975</v>
      </c>
    </row>
    <row r="7" spans="1:70">
      <c r="A7" s="16">
        <v>4</v>
      </c>
      <c r="B7" s="27">
        <v>4</v>
      </c>
      <c r="C7" s="27"/>
      <c r="D7" s="19">
        <f>'4'!D3</f>
        <v>31</v>
      </c>
      <c r="E7" s="261">
        <f>'4'!D4</f>
        <v>0.8</v>
      </c>
      <c r="F7" s="261">
        <f>'4'!D2</f>
        <v>0.3</v>
      </c>
      <c r="G7" s="19">
        <f>'4'!G8</f>
        <v>17729</v>
      </c>
      <c r="H7" s="19">
        <f>'4'!G8</f>
        <v>17729</v>
      </c>
      <c r="I7" s="19">
        <f>'4'!G7</f>
        <v>17671</v>
      </c>
      <c r="J7" s="19">
        <v>10</v>
      </c>
      <c r="K7" s="247">
        <f t="shared" si="3"/>
        <v>177290</v>
      </c>
      <c r="L7" s="243">
        <f t="shared" si="4"/>
        <v>87.480198019801975</v>
      </c>
      <c r="M7" s="19">
        <f>'4'!G15</f>
        <v>331.51399999996647</v>
      </c>
      <c r="N7" s="19">
        <v>35</v>
      </c>
      <c r="O7" s="243">
        <f t="shared" si="5"/>
        <v>11602.989999998827</v>
      </c>
      <c r="P7" s="19">
        <f>'4'!G20</f>
        <v>137</v>
      </c>
      <c r="Q7" s="19">
        <v>134</v>
      </c>
      <c r="R7" s="244">
        <f t="shared" si="0"/>
        <v>18358</v>
      </c>
      <c r="S7" s="245">
        <f t="shared" si="1"/>
        <v>226.07260726072607</v>
      </c>
      <c r="T7" s="19">
        <f>'4'!G24</f>
        <v>0</v>
      </c>
      <c r="U7" s="19">
        <v>69</v>
      </c>
      <c r="V7" s="246">
        <f t="shared" si="6"/>
        <v>0</v>
      </c>
      <c r="W7" s="22">
        <f>'4'!G95</f>
        <v>39</v>
      </c>
      <c r="X7" s="22">
        <f>'4'!G96</f>
        <v>42</v>
      </c>
      <c r="Y7" s="22">
        <f>'4'!G97</f>
        <v>14</v>
      </c>
      <c r="Z7" s="22">
        <f t="shared" si="7"/>
        <v>95</v>
      </c>
      <c r="AA7" s="19">
        <f>'4'!G132</f>
        <v>0</v>
      </c>
      <c r="AB7" s="19">
        <f>'4'!G133</f>
        <v>0</v>
      </c>
      <c r="AC7" s="19">
        <f>'4'!G134</f>
        <v>0</v>
      </c>
      <c r="AD7" s="19">
        <f>'4'!G135</f>
        <v>23.979999999999563</v>
      </c>
      <c r="AE7" s="19">
        <f t="shared" si="8"/>
        <v>23.979999999999563</v>
      </c>
      <c r="AF7" s="23">
        <f t="shared" si="2"/>
        <v>3875.7600000000093</v>
      </c>
      <c r="AG7" s="23">
        <f t="shared" si="9"/>
        <v>161.62468723936948</v>
      </c>
      <c r="AH7" s="19">
        <f>'4'!G136</f>
        <v>0</v>
      </c>
      <c r="AI7" s="19">
        <f>'4'!G137</f>
        <v>0</v>
      </c>
      <c r="AJ7" s="19">
        <f>'4'!G138</f>
        <v>0</v>
      </c>
      <c r="AK7" s="19">
        <f t="shared" si="10"/>
        <v>0</v>
      </c>
      <c r="AL7" s="19">
        <f>'4'!G139</f>
        <v>5.1899999999999409</v>
      </c>
      <c r="AM7" s="19">
        <f>'4'!G140</f>
        <v>0</v>
      </c>
      <c r="AN7" s="19"/>
      <c r="AO7" s="19">
        <f t="shared" si="11"/>
        <v>5.1899999999999409</v>
      </c>
      <c r="AP7" s="263">
        <f>'4'!G123</f>
        <v>191.29700000002049</v>
      </c>
      <c r="AQ7" s="267">
        <f>'4'!G35</f>
        <v>2485.5599999999395</v>
      </c>
      <c r="AR7" s="19">
        <f>'4'!G37</f>
        <v>1454.8499999999767</v>
      </c>
      <c r="AS7" s="19">
        <f>'4'!G38</f>
        <v>0.20000000001164153</v>
      </c>
      <c r="AT7" s="19">
        <f>'4'!G39</f>
        <v>3726.8800000000047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2343.6800000000512</v>
      </c>
      <c r="AY7" s="19">
        <f>'4'!G44</f>
        <v>0</v>
      </c>
      <c r="AZ7" s="268">
        <f>'4'!G36</f>
        <v>549.36999999999534</v>
      </c>
      <c r="BA7" s="267">
        <f>'4'!G49</f>
        <v>-0.1499999999996362</v>
      </c>
      <c r="BB7" s="19">
        <f>'4'!G51</f>
        <v>0</v>
      </c>
      <c r="BC7" s="19">
        <f>'4'!G52</f>
        <v>1499.5999999999767</v>
      </c>
      <c r="BD7" s="19">
        <f>'4'!G53</f>
        <v>0</v>
      </c>
      <c r="BE7" s="19">
        <f>'4'!G54</f>
        <v>71.302400000000034</v>
      </c>
      <c r="BF7" s="19">
        <f>'4'!G55</f>
        <v>0</v>
      </c>
      <c r="BG7" s="19">
        <f>'4'!G56</f>
        <v>3875.7600000000093</v>
      </c>
      <c r="BH7" s="19">
        <f>'4'!G57</f>
        <v>0</v>
      </c>
      <c r="BI7" s="268">
        <f>'4'!G50</f>
        <v>947.59999999997672</v>
      </c>
      <c r="BJ7" s="412">
        <f t="shared" si="12"/>
        <v>3875.7600000000093</v>
      </c>
      <c r="BK7" s="412">
        <f>'3'!G84</f>
        <v>598</v>
      </c>
      <c r="BL7" s="23">
        <f t="shared" si="13"/>
        <v>49.260653047365743</v>
      </c>
      <c r="BM7" s="23">
        <f t="shared" si="14"/>
        <v>21.090374059193053</v>
      </c>
      <c r="BN7" s="24">
        <f t="shared" si="15"/>
        <v>8.4873521589043543E-2</v>
      </c>
      <c r="BO7" s="25">
        <f t="shared" si="16"/>
        <v>207250.98999999883</v>
      </c>
      <c r="BP7" s="217">
        <f t="shared" si="17"/>
        <v>6817.4400000000605</v>
      </c>
      <c r="BQ7">
        <f t="shared" si="18"/>
        <v>1.0153461217681676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61">
        <f>'5'!D4</f>
        <v>0.76</v>
      </c>
      <c r="F8" s="261">
        <f>'5'!D2</f>
        <v>0.25</v>
      </c>
      <c r="G8" s="19">
        <f>'5'!G8</f>
        <v>18144</v>
      </c>
      <c r="H8" s="19">
        <f>'5'!G8</f>
        <v>18144</v>
      </c>
      <c r="I8" s="19">
        <f>'5'!G7</f>
        <v>18057</v>
      </c>
      <c r="J8" s="19">
        <v>10</v>
      </c>
      <c r="K8" s="247">
        <f t="shared" si="3"/>
        <v>181440</v>
      </c>
      <c r="L8" s="243">
        <f t="shared" si="4"/>
        <v>89.39108910891089</v>
      </c>
      <c r="M8" s="19">
        <f>'5'!G15</f>
        <v>465.09400000004098</v>
      </c>
      <c r="N8" s="19">
        <v>35</v>
      </c>
      <c r="O8" s="243">
        <f t="shared" si="5"/>
        <v>16278.290000001434</v>
      </c>
      <c r="P8" s="19">
        <f>'5'!G20</f>
        <v>149</v>
      </c>
      <c r="Q8" s="19">
        <v>134</v>
      </c>
      <c r="R8" s="244">
        <f t="shared" si="0"/>
        <v>19966</v>
      </c>
      <c r="S8" s="245">
        <f t="shared" si="1"/>
        <v>295.04950495049502</v>
      </c>
      <c r="T8" s="19">
        <f>'5'!G24</f>
        <v>0</v>
      </c>
      <c r="U8" s="19">
        <v>69</v>
      </c>
      <c r="V8" s="246">
        <f t="shared" si="6"/>
        <v>0</v>
      </c>
      <c r="W8" s="22">
        <f>'5'!G95</f>
        <v>91</v>
      </c>
      <c r="X8" s="22">
        <f>'5'!G96</f>
        <v>88</v>
      </c>
      <c r="Y8" s="22">
        <f>'5'!G97</f>
        <v>25</v>
      </c>
      <c r="Z8" s="22">
        <f t="shared" si="7"/>
        <v>204</v>
      </c>
      <c r="AA8" s="19">
        <f>'5'!G132</f>
        <v>0</v>
      </c>
      <c r="AB8" s="19">
        <f>'5'!G133</f>
        <v>0</v>
      </c>
      <c r="AC8" s="19">
        <f>'5'!G134</f>
        <v>0</v>
      </c>
      <c r="AD8" s="19">
        <f>'5'!G135</f>
        <v>24</v>
      </c>
      <c r="AE8" s="19">
        <f t="shared" si="8"/>
        <v>24</v>
      </c>
      <c r="AF8" s="23">
        <f t="shared" si="2"/>
        <v>4112.7900000000373</v>
      </c>
      <c r="AG8" s="23">
        <f t="shared" si="9"/>
        <v>171.36625000000154</v>
      </c>
      <c r="AH8" s="19">
        <f>'5'!G136</f>
        <v>4.9999999973806553E-3</v>
      </c>
      <c r="AI8" s="19">
        <f>'5'!G137</f>
        <v>0</v>
      </c>
      <c r="AJ8" s="19">
        <f>'5'!G138</f>
        <v>8.75</v>
      </c>
      <c r="AK8" s="19">
        <f t="shared" si="10"/>
        <v>8.7549999999973807</v>
      </c>
      <c r="AL8" s="19">
        <f>'5'!G139</f>
        <v>5.1200000000000045</v>
      </c>
      <c r="AM8" s="19">
        <f>'5'!G140</f>
        <v>0</v>
      </c>
      <c r="AN8" s="19"/>
      <c r="AO8" s="19">
        <f t="shared" si="11"/>
        <v>5.1200000000000045</v>
      </c>
      <c r="AP8" s="263">
        <f>'5'!G123</f>
        <v>170.83399999991525</v>
      </c>
      <c r="AQ8" s="267">
        <f>'5'!G35</f>
        <v>2595.5300000000279</v>
      </c>
      <c r="AR8" s="19">
        <f>'5'!G37</f>
        <v>1501.1900000000023</v>
      </c>
      <c r="AS8" s="19">
        <f>'5'!G38</f>
        <v>0</v>
      </c>
      <c r="AT8" s="19">
        <f>'5'!G39</f>
        <v>3882</v>
      </c>
      <c r="AU8" s="19">
        <f>'5'!G40</f>
        <v>0</v>
      </c>
      <c r="AV8" s="19">
        <f>'5'!G41</f>
        <v>0</v>
      </c>
      <c r="AW8" s="19">
        <f>'5'!G42</f>
        <v>-6.9999999948777258E-2</v>
      </c>
      <c r="AX8" s="19">
        <f>'5'!G43</f>
        <v>2369.5200000000186</v>
      </c>
      <c r="AY8" s="19">
        <f>'5'!G44</f>
        <v>0</v>
      </c>
      <c r="AZ8" s="268">
        <f>'5'!G36</f>
        <v>596.21000000002095</v>
      </c>
      <c r="BA8" s="267">
        <f>'5'!G49</f>
        <v>0.13799999999901047</v>
      </c>
      <c r="BB8" s="19">
        <f>'5'!G51</f>
        <v>0</v>
      </c>
      <c r="BC8" s="19">
        <f>'5'!G52</f>
        <v>1811.359999999986</v>
      </c>
      <c r="BD8" s="19">
        <f>'5'!G53</f>
        <v>0</v>
      </c>
      <c r="BE8" s="19">
        <f>'5'!G54</f>
        <v>74.513099999999895</v>
      </c>
      <c r="BF8" s="19">
        <f>'5'!G55</f>
        <v>0</v>
      </c>
      <c r="BG8" s="19">
        <f>'5'!G56</f>
        <v>4112.859999999986</v>
      </c>
      <c r="BH8" s="19">
        <f>'5'!G57</f>
        <v>0</v>
      </c>
      <c r="BI8" s="268">
        <f>'5'!G50</f>
        <v>908.47999999998137</v>
      </c>
      <c r="BJ8" s="412">
        <f t="shared" si="12"/>
        <v>4112.7900000000373</v>
      </c>
      <c r="BK8" s="412">
        <f>'5'!G84</f>
        <v>554</v>
      </c>
      <c r="BL8" s="23">
        <f t="shared" si="13"/>
        <v>50.274010079194127</v>
      </c>
      <c r="BM8" s="23">
        <f t="shared" si="14"/>
        <v>21.498587805283272</v>
      </c>
      <c r="BN8" s="24">
        <f t="shared" si="15"/>
        <v>0.1003134518469284</v>
      </c>
      <c r="BO8" s="25">
        <f t="shared" si="16"/>
        <v>217684.29000000143</v>
      </c>
      <c r="BP8" s="217">
        <f t="shared" si="17"/>
        <v>7036.3100000000559</v>
      </c>
      <c r="BQ8">
        <f t="shared" si="18"/>
        <v>1.0470699404761987</v>
      </c>
    </row>
    <row r="9" spans="1:70">
      <c r="A9" s="16">
        <v>6</v>
      </c>
      <c r="B9" s="17">
        <v>6</v>
      </c>
      <c r="C9" s="26"/>
      <c r="D9" s="19">
        <f>'6'!D3</f>
        <v>35</v>
      </c>
      <c r="E9" s="261">
        <f>'6'!D4</f>
        <v>0.8</v>
      </c>
      <c r="F9" s="261">
        <f>'6'!D2</f>
        <v>0.25</v>
      </c>
      <c r="G9" s="19">
        <f>'6'!G8</f>
        <v>18698</v>
      </c>
      <c r="H9" s="19">
        <f>'6'!G8</f>
        <v>18698</v>
      </c>
      <c r="I9" s="19">
        <f>'6'!G7</f>
        <v>18605</v>
      </c>
      <c r="J9" s="19">
        <v>10</v>
      </c>
      <c r="K9" s="247">
        <f t="shared" si="3"/>
        <v>186980</v>
      </c>
      <c r="L9" s="243">
        <f t="shared" si="4"/>
        <v>92.103960396039611</v>
      </c>
      <c r="M9" s="19">
        <f>'6'!G15</f>
        <v>617.47399999992922</v>
      </c>
      <c r="N9" s="19">
        <v>35</v>
      </c>
      <c r="O9" s="243">
        <f t="shared" si="5"/>
        <v>21611.589999997523</v>
      </c>
      <c r="P9" s="19">
        <f>'6'!G20</f>
        <v>162</v>
      </c>
      <c r="Q9" s="19">
        <v>134</v>
      </c>
      <c r="R9" s="244">
        <f t="shared" si="0"/>
        <v>21708</v>
      </c>
      <c r="S9" s="245">
        <f t="shared" si="1"/>
        <v>320.79207920792078</v>
      </c>
      <c r="T9" s="19">
        <f>'6'!G24</f>
        <v>0</v>
      </c>
      <c r="U9" s="19">
        <v>69</v>
      </c>
      <c r="V9" s="246">
        <f t="shared" si="6"/>
        <v>0</v>
      </c>
      <c r="W9" s="22">
        <f>'6'!G95</f>
        <v>72</v>
      </c>
      <c r="X9" s="22">
        <f>'6'!G96</f>
        <v>44</v>
      </c>
      <c r="Y9" s="22">
        <f>'6'!G97</f>
        <v>69</v>
      </c>
      <c r="Z9" s="22">
        <f t="shared" si="7"/>
        <v>185</v>
      </c>
      <c r="AA9" s="19">
        <f>'6'!G132</f>
        <v>0</v>
      </c>
      <c r="AB9" s="19">
        <f>'6'!G133</f>
        <v>0</v>
      </c>
      <c r="AC9" s="19">
        <f>'6'!G134</f>
        <v>0</v>
      </c>
      <c r="AD9" s="19">
        <f>'6'!G135</f>
        <v>24</v>
      </c>
      <c r="AE9" s="19">
        <f t="shared" si="8"/>
        <v>24</v>
      </c>
      <c r="AF9" s="23">
        <f t="shared" si="2"/>
        <v>4170.8600000000442</v>
      </c>
      <c r="AG9" s="23">
        <f t="shared" si="9"/>
        <v>173.78583333333518</v>
      </c>
      <c r="AH9" s="19">
        <f>'6'!G136</f>
        <v>6.9250000000029104</v>
      </c>
      <c r="AI9" s="19">
        <f>'6'!G137</f>
        <v>0</v>
      </c>
      <c r="AJ9" s="19">
        <f>'6'!G138</f>
        <v>0</v>
      </c>
      <c r="AK9" s="19">
        <f t="shared" si="10"/>
        <v>6.9250000000029104</v>
      </c>
      <c r="AL9" s="19">
        <f>'6'!G139</f>
        <v>4.9800000000000182</v>
      </c>
      <c r="AM9" s="19">
        <f>'6'!G140</f>
        <v>0</v>
      </c>
      <c r="AN9" s="19"/>
      <c r="AO9" s="19">
        <f t="shared" si="11"/>
        <v>4.9800000000000182</v>
      </c>
      <c r="AP9" s="263">
        <f>'6'!G123</f>
        <v>168.70600000000559</v>
      </c>
      <c r="AQ9" s="267">
        <f>'6'!G35</f>
        <v>2481.3100000000559</v>
      </c>
      <c r="AR9" s="19">
        <f>'6'!G37</f>
        <v>1516.4400000000023</v>
      </c>
      <c r="AS9" s="19">
        <f>'6'!G38</f>
        <v>0.17999999999301508</v>
      </c>
      <c r="AT9" s="19">
        <f>'6'!G39</f>
        <v>3868.9599999999627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2406.8399999999674</v>
      </c>
      <c r="AY9" s="19">
        <f>'6'!G44</f>
        <v>0</v>
      </c>
      <c r="AZ9" s="268">
        <f>'6'!G36</f>
        <v>792.11999999999534</v>
      </c>
      <c r="BA9" s="267">
        <f>'6'!G49</f>
        <v>-0.45800000000053842</v>
      </c>
      <c r="BB9" s="19">
        <f>'6'!G51</f>
        <v>0</v>
      </c>
      <c r="BC9" s="19">
        <f>'6'!G52</f>
        <v>1767.4000000000233</v>
      </c>
      <c r="BD9" s="19">
        <f>'6'!G53</f>
        <v>0</v>
      </c>
      <c r="BE9" s="19">
        <f>'6'!G54</f>
        <v>75.33640000000014</v>
      </c>
      <c r="BF9" s="19">
        <f>'6'!G55</f>
        <v>0</v>
      </c>
      <c r="BG9" s="19">
        <f>'6'!G56</f>
        <v>4170.8600000000442</v>
      </c>
      <c r="BH9" s="19">
        <f>'6'!G57</f>
        <v>0</v>
      </c>
      <c r="BI9" s="268">
        <f>'6'!G50</f>
        <v>922.38000000000466</v>
      </c>
      <c r="BJ9" s="412">
        <f t="shared" si="12"/>
        <v>4170.8600000000442</v>
      </c>
      <c r="BK9" s="412">
        <f>'6'!G84</f>
        <v>616</v>
      </c>
      <c r="BL9" s="23">
        <f t="shared" si="13"/>
        <v>48.688804084923767</v>
      </c>
      <c r="BM9" s="23">
        <f t="shared" si="14"/>
        <v>20.795270088685637</v>
      </c>
      <c r="BN9" s="24">
        <f t="shared" si="15"/>
        <v>9.5005643644182541E-2</v>
      </c>
      <c r="BO9" s="25">
        <f t="shared" si="16"/>
        <v>230299.58999999752</v>
      </c>
      <c r="BP9" s="217">
        <f t="shared" si="17"/>
        <v>7193.7000000000116</v>
      </c>
      <c r="BQ9">
        <f t="shared" si="18"/>
        <v>1.0704910714285731</v>
      </c>
    </row>
    <row r="10" spans="1:70">
      <c r="A10" s="16">
        <v>7</v>
      </c>
      <c r="B10" s="26">
        <v>7</v>
      </c>
      <c r="C10" s="27"/>
      <c r="D10" s="19">
        <f>'7'!D3</f>
        <v>28</v>
      </c>
      <c r="E10" s="261">
        <f>'7'!D4</f>
        <v>0.78</v>
      </c>
      <c r="F10" s="261">
        <f>'7'!D2</f>
        <v>0.54</v>
      </c>
      <c r="G10" s="19">
        <f>'7'!G8</f>
        <v>18577</v>
      </c>
      <c r="H10" s="19">
        <f>'7'!G8</f>
        <v>18577</v>
      </c>
      <c r="I10" s="19">
        <f>'7'!G7</f>
        <v>18512</v>
      </c>
      <c r="J10" s="19">
        <v>10</v>
      </c>
      <c r="K10" s="247">
        <f t="shared" si="3"/>
        <v>185770</v>
      </c>
      <c r="L10" s="243">
        <f t="shared" si="4"/>
        <v>91.643564356435647</v>
      </c>
      <c r="M10" s="19">
        <f>'7'!G15</f>
        <v>527.36800000001676</v>
      </c>
      <c r="N10" s="19">
        <v>35</v>
      </c>
      <c r="O10" s="243">
        <f t="shared" si="5"/>
        <v>18457.880000000587</v>
      </c>
      <c r="P10" s="19">
        <f>'7'!G20</f>
        <v>155</v>
      </c>
      <c r="Q10" s="19">
        <v>134</v>
      </c>
      <c r="R10" s="244">
        <f t="shared" si="0"/>
        <v>20770</v>
      </c>
      <c r="S10" s="245">
        <f t="shared" si="1"/>
        <v>142.09754308764207</v>
      </c>
      <c r="T10" s="19">
        <f>'7'!G24</f>
        <v>0</v>
      </c>
      <c r="U10" s="19">
        <v>69</v>
      </c>
      <c r="V10" s="246">
        <f t="shared" si="6"/>
        <v>0</v>
      </c>
      <c r="W10" s="22">
        <f>'7'!G95</f>
        <v>45</v>
      </c>
      <c r="X10" s="22">
        <f>'7'!G96</f>
        <v>44</v>
      </c>
      <c r="Y10" s="22">
        <f>'7'!G97</f>
        <v>19</v>
      </c>
      <c r="Z10" s="22">
        <f t="shared" si="7"/>
        <v>108</v>
      </c>
      <c r="AA10" s="19">
        <f>'7'!G132</f>
        <v>0</v>
      </c>
      <c r="AB10" s="19">
        <f>'7'!G133</f>
        <v>0</v>
      </c>
      <c r="AC10" s="19">
        <f>'7'!G134</f>
        <v>0</v>
      </c>
      <c r="AD10" s="19">
        <f>'7'!G135</f>
        <v>24.470000000001164</v>
      </c>
      <c r="AE10" s="19">
        <f t="shared" si="8"/>
        <v>24.470000000001164</v>
      </c>
      <c r="AF10" s="23">
        <f t="shared" si="2"/>
        <v>4275.2399999999907</v>
      </c>
      <c r="AG10" s="23">
        <f t="shared" si="9"/>
        <v>174.71352676746167</v>
      </c>
      <c r="AH10" s="19">
        <f>'7'!G136</f>
        <v>0</v>
      </c>
      <c r="AI10" s="19">
        <f>'7'!G137</f>
        <v>-0.25</v>
      </c>
      <c r="AJ10" s="19">
        <f>'7'!G138</f>
        <v>9.2200000000011642</v>
      </c>
      <c r="AK10" s="19">
        <f t="shared" si="10"/>
        <v>8.9700000000011642</v>
      </c>
      <c r="AL10" s="19">
        <f>'7'!G139</f>
        <v>5.4800000000000182</v>
      </c>
      <c r="AM10" s="19">
        <f>'7'!G140</f>
        <v>0</v>
      </c>
      <c r="AN10" s="19"/>
      <c r="AO10" s="19">
        <f t="shared" si="11"/>
        <v>5.4800000000000182</v>
      </c>
      <c r="AP10" s="263">
        <f>'7'!G123</f>
        <v>191.96999999997206</v>
      </c>
      <c r="AQ10" s="267">
        <f>'7'!G35</f>
        <v>2497.359999999986</v>
      </c>
      <c r="AR10" s="19">
        <f>'7'!G37</f>
        <v>1537.7600000000093</v>
      </c>
      <c r="AS10" s="19">
        <f>'7'!G38</f>
        <v>-0.38000000000465661</v>
      </c>
      <c r="AT10" s="19">
        <f>'7'!G39</f>
        <v>4012.5600000000559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2337.4799999999814</v>
      </c>
      <c r="AY10" s="19">
        <f>'7'!G44</f>
        <v>0</v>
      </c>
      <c r="AZ10" s="268">
        <f>'7'!G36</f>
        <v>623.22000000000116</v>
      </c>
      <c r="BA10" s="267">
        <f>'7'!G49</f>
        <v>0</v>
      </c>
      <c r="BB10" s="19">
        <f>'7'!G51</f>
        <v>0</v>
      </c>
      <c r="BC10" s="19">
        <f>'7'!G52</f>
        <v>1702.3400000000256</v>
      </c>
      <c r="BD10" s="19">
        <f>'7'!G53</f>
        <v>0</v>
      </c>
      <c r="BE10" s="19">
        <f>'7'!G54</f>
        <v>72.665199999999913</v>
      </c>
      <c r="BF10" s="19">
        <f>'7'!G55</f>
        <v>0</v>
      </c>
      <c r="BG10" s="19">
        <f>'7'!G56</f>
        <v>4275.2399999999907</v>
      </c>
      <c r="BH10" s="19">
        <f>'7'!G57</f>
        <v>0</v>
      </c>
      <c r="BI10" s="268">
        <f>'7'!G50</f>
        <v>946.34000000002561</v>
      </c>
      <c r="BJ10" s="412">
        <f t="shared" si="12"/>
        <v>4275.2399999999907</v>
      </c>
      <c r="BK10" s="412">
        <f>'7'!G84</f>
        <v>424</v>
      </c>
      <c r="BL10" s="23">
        <f t="shared" si="13"/>
        <v>49.21175453759701</v>
      </c>
      <c r="BM10" s="23">
        <f t="shared" si="14"/>
        <v>21.675453759723723</v>
      </c>
      <c r="BN10" s="24">
        <f t="shared" si="15"/>
        <v>9.1938202247192138E-2</v>
      </c>
      <c r="BO10" s="25">
        <f t="shared" si="16"/>
        <v>224997.88000000059</v>
      </c>
      <c r="BP10" s="217">
        <f t="shared" si="17"/>
        <v>7036.7199999999721</v>
      </c>
      <c r="BQ10">
        <f t="shared" si="18"/>
        <v>1.0270185066261366</v>
      </c>
    </row>
    <row r="11" spans="1:70">
      <c r="A11" s="16">
        <v>8</v>
      </c>
      <c r="B11" s="26">
        <v>8</v>
      </c>
      <c r="C11" s="18"/>
      <c r="D11" s="19">
        <f>'8'!D3</f>
        <v>29</v>
      </c>
      <c r="E11" s="261">
        <f>'8'!D4</f>
        <v>0.79</v>
      </c>
      <c r="F11" s="261">
        <f>'8'!D2</f>
        <v>0.45</v>
      </c>
      <c r="G11" s="19">
        <f>'8'!G8</f>
        <v>19646</v>
      </c>
      <c r="H11" s="19">
        <f>'8'!G8</f>
        <v>19646</v>
      </c>
      <c r="I11" s="19">
        <f>'8'!G7</f>
        <v>19582</v>
      </c>
      <c r="J11" s="19">
        <v>10</v>
      </c>
      <c r="K11" s="247">
        <f t="shared" si="3"/>
        <v>196460</v>
      </c>
      <c r="L11" s="243">
        <f t="shared" si="4"/>
        <v>96.940594059405939</v>
      </c>
      <c r="M11" s="19">
        <f>'8'!G15</f>
        <v>379.03900000010617</v>
      </c>
      <c r="N11" s="19">
        <v>35</v>
      </c>
      <c r="O11" s="243">
        <f t="shared" si="5"/>
        <v>13266.365000003716</v>
      </c>
      <c r="P11" s="19">
        <f>'8'!G20</f>
        <v>153</v>
      </c>
      <c r="Q11" s="19">
        <v>134</v>
      </c>
      <c r="R11" s="244">
        <f t="shared" si="0"/>
        <v>20502</v>
      </c>
      <c r="S11" s="245">
        <f t="shared" si="1"/>
        <v>168.31683168316832</v>
      </c>
      <c r="T11" s="19">
        <f>'8'!G24</f>
        <v>0</v>
      </c>
      <c r="U11" s="19">
        <v>69</v>
      </c>
      <c r="V11" s="246">
        <f t="shared" si="6"/>
        <v>0</v>
      </c>
      <c r="W11" s="22">
        <f>'8'!G95</f>
        <v>41</v>
      </c>
      <c r="X11" s="22">
        <f>'8'!G96</f>
        <v>50</v>
      </c>
      <c r="Y11" s="22">
        <f>'8'!G97</f>
        <v>41</v>
      </c>
      <c r="Z11" s="22">
        <f t="shared" si="7"/>
        <v>132</v>
      </c>
      <c r="AA11" s="19">
        <f>'8'!G132</f>
        <v>0</v>
      </c>
      <c r="AB11" s="19">
        <f>'8'!G133</f>
        <v>0</v>
      </c>
      <c r="AC11" s="19">
        <f>'8'!G134</f>
        <v>0</v>
      </c>
      <c r="AD11" s="19">
        <f>'8'!G135</f>
        <v>23.529999999998836</v>
      </c>
      <c r="AE11" s="19">
        <f t="shared" si="8"/>
        <v>23.529999999998836</v>
      </c>
      <c r="AF11" s="23">
        <f t="shared" si="2"/>
        <v>4636.9199999999837</v>
      </c>
      <c r="AG11" s="23">
        <f t="shared" si="9"/>
        <v>197.06417339567417</v>
      </c>
      <c r="AH11" s="19">
        <f>'8'!G136</f>
        <v>0</v>
      </c>
      <c r="AI11" s="19">
        <f>'8'!G137</f>
        <v>0.25</v>
      </c>
      <c r="AJ11" s="19">
        <f>'8'!G138</f>
        <v>0</v>
      </c>
      <c r="AK11" s="19">
        <f t="shared" si="10"/>
        <v>0.25</v>
      </c>
      <c r="AL11" s="19">
        <f>'8'!G139</f>
        <v>6.1000000000000227</v>
      </c>
      <c r="AM11" s="19">
        <f>'8'!G140</f>
        <v>0</v>
      </c>
      <c r="AN11" s="19"/>
      <c r="AO11" s="19">
        <f t="shared" si="11"/>
        <v>6.1000000000000227</v>
      </c>
      <c r="AP11" s="263">
        <f>'8'!G123</f>
        <v>213.67300000006799</v>
      </c>
      <c r="AQ11" s="267">
        <f>'8'!G35</f>
        <v>2675.8399999999674</v>
      </c>
      <c r="AR11" s="19">
        <f>'8'!G37</f>
        <v>1574.5200000000186</v>
      </c>
      <c r="AS11" s="19">
        <f>'8'!G38</f>
        <v>0</v>
      </c>
      <c r="AT11" s="19">
        <f>'8'!G39</f>
        <v>4130.7199999999721</v>
      </c>
      <c r="AU11" s="19">
        <f>'8'!G40</f>
        <v>0</v>
      </c>
      <c r="AV11" s="19">
        <f>'8'!G41</f>
        <v>0</v>
      </c>
      <c r="AW11" s="19">
        <f>'8'!G42</f>
        <v>0</v>
      </c>
      <c r="AX11" s="19">
        <f>'8'!G43</f>
        <v>2425.5200000000186</v>
      </c>
      <c r="AY11" s="23">
        <f>'8'!G44</f>
        <v>0</v>
      </c>
      <c r="AZ11" s="268">
        <f>'8'!G36</f>
        <v>777.32000000000698</v>
      </c>
      <c r="BA11" s="267">
        <f>'8'!G49</f>
        <v>0</v>
      </c>
      <c r="BB11" s="19">
        <f>'8'!G51</f>
        <v>0</v>
      </c>
      <c r="BC11" s="19">
        <f>'8'!G52</f>
        <v>1753.7399999999907</v>
      </c>
      <c r="BD11" s="19">
        <f>'8'!G53</f>
        <v>0</v>
      </c>
      <c r="BE11" s="19">
        <f>'8'!G54</f>
        <v>74.889599999999973</v>
      </c>
      <c r="BF11" s="19">
        <f>'8'!G55</f>
        <v>0</v>
      </c>
      <c r="BG11" s="19">
        <f>'8'!G56</f>
        <v>4636.9199999999837</v>
      </c>
      <c r="BH11" s="19">
        <f>'8'!G57</f>
        <v>0</v>
      </c>
      <c r="BI11" s="268">
        <f>'8'!G50</f>
        <v>1047.0599999999977</v>
      </c>
      <c r="BJ11" s="412">
        <f t="shared" si="12"/>
        <v>4636.9199999999837</v>
      </c>
      <c r="BK11" s="412">
        <f>'8'!G84</f>
        <v>411</v>
      </c>
      <c r="BL11" s="23">
        <f t="shared" si="13"/>
        <v>49.730773159023443</v>
      </c>
      <c r="BM11" s="23">
        <f t="shared" si="14"/>
        <v>21.094474517413811</v>
      </c>
      <c r="BN11" s="24">
        <f t="shared" si="15"/>
        <v>8.9558778470023012E-2</v>
      </c>
      <c r="BO11" s="25">
        <f t="shared" si="16"/>
        <v>230228.36500000372</v>
      </c>
      <c r="BP11" s="217">
        <f t="shared" si="17"/>
        <v>7473.4400000000023</v>
      </c>
      <c r="BQ11">
        <f t="shared" si="18"/>
        <v>1.134333070244729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61">
        <f>'9'!D4</f>
        <v>0.79</v>
      </c>
      <c r="F12" s="261">
        <f>'9'!D2</f>
        <v>0.45</v>
      </c>
      <c r="G12" s="19">
        <f>'9'!G8</f>
        <v>19646</v>
      </c>
      <c r="H12" s="19">
        <f>'9'!G8</f>
        <v>19646</v>
      </c>
      <c r="I12" s="19">
        <f>'9'!G7</f>
        <v>19582</v>
      </c>
      <c r="J12" s="19">
        <v>10</v>
      </c>
      <c r="K12" s="247">
        <f t="shared" si="3"/>
        <v>196460</v>
      </c>
      <c r="L12" s="243">
        <f t="shared" si="4"/>
        <v>96.940594059405939</v>
      </c>
      <c r="M12" s="19">
        <f>'9'!G15</f>
        <v>379.03900000010617</v>
      </c>
      <c r="N12" s="19">
        <v>35</v>
      </c>
      <c r="O12" s="243">
        <f t="shared" si="5"/>
        <v>13266.365000003716</v>
      </c>
      <c r="P12" s="19">
        <f>'9'!G20</f>
        <v>153</v>
      </c>
      <c r="Q12" s="19">
        <v>134</v>
      </c>
      <c r="R12" s="244">
        <f t="shared" si="0"/>
        <v>20502</v>
      </c>
      <c r="S12" s="245">
        <f t="shared" si="1"/>
        <v>168.31683168316832</v>
      </c>
      <c r="T12" s="19">
        <f>'9'!G24</f>
        <v>0</v>
      </c>
      <c r="U12" s="19">
        <v>69</v>
      </c>
      <c r="V12" s="246">
        <f t="shared" si="6"/>
        <v>0</v>
      </c>
      <c r="W12" s="22">
        <f>'9'!G95</f>
        <v>41</v>
      </c>
      <c r="X12" s="22">
        <f>'9'!G96</f>
        <v>50</v>
      </c>
      <c r="Y12" s="22">
        <f>'9'!G97</f>
        <v>41</v>
      </c>
      <c r="Z12" s="22">
        <f t="shared" si="7"/>
        <v>132</v>
      </c>
      <c r="AA12" s="19">
        <f>'9'!G132</f>
        <v>0</v>
      </c>
      <c r="AB12" s="19">
        <f>'9'!G133</f>
        <v>0</v>
      </c>
      <c r="AC12" s="19">
        <f>'9'!G134</f>
        <v>0</v>
      </c>
      <c r="AD12" s="19">
        <f>'9'!G135</f>
        <v>23.529999999998836</v>
      </c>
      <c r="AE12" s="19">
        <f t="shared" si="8"/>
        <v>23.529999999998836</v>
      </c>
      <c r="AF12" s="23">
        <f t="shared" si="2"/>
        <v>4636.9199999999837</v>
      </c>
      <c r="AG12" s="23">
        <f t="shared" si="9"/>
        <v>197.06417339567417</v>
      </c>
      <c r="AH12" s="19">
        <f>'9'!G136</f>
        <v>0</v>
      </c>
      <c r="AI12" s="19">
        <f>'9'!G137</f>
        <v>0.25</v>
      </c>
      <c r="AJ12" s="19">
        <f>'9'!G138</f>
        <v>0</v>
      </c>
      <c r="AK12" s="19">
        <f t="shared" si="10"/>
        <v>0.25</v>
      </c>
      <c r="AL12" s="19">
        <f>'9'!G139</f>
        <v>6.1000000000000227</v>
      </c>
      <c r="AM12" s="19">
        <f>'9'!G140</f>
        <v>0</v>
      </c>
      <c r="AN12" s="19"/>
      <c r="AO12" s="19">
        <f t="shared" si="11"/>
        <v>6.1000000000000227</v>
      </c>
      <c r="AP12" s="263">
        <f>'9'!G123</f>
        <v>213.67300000006799</v>
      </c>
      <c r="AQ12" s="267">
        <f>'9'!G35</f>
        <v>2675.8399999999674</v>
      </c>
      <c r="AR12" s="19">
        <f>'9'!G37</f>
        <v>1574.5200000000186</v>
      </c>
      <c r="AS12" s="19">
        <f>'9'!G38</f>
        <v>0</v>
      </c>
      <c r="AT12" s="19">
        <f>'9'!G39</f>
        <v>4130.7199999999721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2425.5200000000186</v>
      </c>
      <c r="AY12" s="23">
        <f>'9'!G44</f>
        <v>0</v>
      </c>
      <c r="AZ12" s="268">
        <f>'9'!G36</f>
        <v>777.32000000000698</v>
      </c>
      <c r="BA12" s="267">
        <f>'9'!G49</f>
        <v>0</v>
      </c>
      <c r="BB12" s="19">
        <f>'9'!G51</f>
        <v>0</v>
      </c>
      <c r="BC12" s="19">
        <f>'9'!G52</f>
        <v>1753.7399999999907</v>
      </c>
      <c r="BD12" s="19">
        <f>'9'!G53</f>
        <v>0</v>
      </c>
      <c r="BE12" s="19">
        <f>'9'!G54</f>
        <v>74.889599999999973</v>
      </c>
      <c r="BF12" s="19">
        <f>'9'!G55</f>
        <v>0</v>
      </c>
      <c r="BG12" s="19">
        <f>'9'!G56</f>
        <v>4636.9199999999837</v>
      </c>
      <c r="BH12" s="19">
        <f>'9'!G57</f>
        <v>0</v>
      </c>
      <c r="BI12" s="268">
        <f>'9'!G50</f>
        <v>1047.0599999999977</v>
      </c>
      <c r="BJ12" s="412">
        <f t="shared" si="12"/>
        <v>4636.9199999999837</v>
      </c>
      <c r="BK12" s="412">
        <f>'8'!G84</f>
        <v>411</v>
      </c>
      <c r="BL12" s="23">
        <f t="shared" si="13"/>
        <v>49.730773159023443</v>
      </c>
      <c r="BM12" s="23">
        <f t="shared" si="14"/>
        <v>21.094474517413811</v>
      </c>
      <c r="BN12" s="24">
        <f t="shared" si="15"/>
        <v>8.9558778470023012E-2</v>
      </c>
      <c r="BO12" s="25">
        <f t="shared" si="16"/>
        <v>230228.36500000372</v>
      </c>
      <c r="BP12" s="217">
        <f t="shared" si="17"/>
        <v>7473.4400000000023</v>
      </c>
      <c r="BQ12">
        <f t="shared" si="18"/>
        <v>1.134333070244729</v>
      </c>
    </row>
    <row r="13" spans="1:70">
      <c r="A13" s="16">
        <v>10</v>
      </c>
      <c r="B13" s="27">
        <v>10</v>
      </c>
      <c r="C13" s="26"/>
      <c r="D13" s="19">
        <f>'10'!D3</f>
        <v>31</v>
      </c>
      <c r="E13" s="261">
        <f>'10'!D4</f>
        <v>0.82</v>
      </c>
      <c r="F13" s="261">
        <f>'10'!D2</f>
        <v>0.19</v>
      </c>
      <c r="G13" s="19">
        <f>'10'!G8</f>
        <v>37177</v>
      </c>
      <c r="H13" s="19">
        <f>'10'!G8</f>
        <v>37177</v>
      </c>
      <c r="I13" s="19">
        <f>'10'!G7</f>
        <v>37064</v>
      </c>
      <c r="J13" s="19">
        <v>10</v>
      </c>
      <c r="K13" s="247">
        <f t="shared" si="3"/>
        <v>371770</v>
      </c>
      <c r="L13" s="243">
        <f t="shared" si="4"/>
        <v>183.48514851485149</v>
      </c>
      <c r="M13" s="19">
        <f>'10'!G15</f>
        <v>1342.3789999999572</v>
      </c>
      <c r="N13" s="19">
        <v>35</v>
      </c>
      <c r="O13" s="243">
        <f t="shared" si="5"/>
        <v>46983.264999998501</v>
      </c>
      <c r="P13" s="19">
        <f>'10'!G20</f>
        <v>266</v>
      </c>
      <c r="Q13" s="19">
        <v>134</v>
      </c>
      <c r="R13" s="244">
        <f t="shared" si="0"/>
        <v>35644</v>
      </c>
      <c r="S13" s="245">
        <f t="shared" si="1"/>
        <v>693.06930693069296</v>
      </c>
      <c r="T13" s="19">
        <f>'10'!G24</f>
        <v>0</v>
      </c>
      <c r="U13" s="19">
        <v>69</v>
      </c>
      <c r="V13" s="246">
        <f t="shared" si="6"/>
        <v>0</v>
      </c>
      <c r="W13" s="22">
        <f>'10'!G95</f>
        <v>140</v>
      </c>
      <c r="X13" s="22">
        <f>'10'!G96</f>
        <v>93</v>
      </c>
      <c r="Y13" s="22">
        <f>'10'!G97</f>
        <v>35</v>
      </c>
      <c r="Z13" s="22">
        <f t="shared" si="7"/>
        <v>268</v>
      </c>
      <c r="AA13" s="19">
        <f>'10'!G132</f>
        <v>0</v>
      </c>
      <c r="AB13" s="19">
        <f>'10'!G133</f>
        <v>0</v>
      </c>
      <c r="AC13" s="19">
        <f>'10'!G134</f>
        <v>-1</v>
      </c>
      <c r="AD13" s="19">
        <f>'10'!G135</f>
        <v>47.5</v>
      </c>
      <c r="AE13" s="19">
        <f t="shared" si="8"/>
        <v>46.5</v>
      </c>
      <c r="AF13" s="23">
        <f t="shared" si="2"/>
        <v>8054.6900000000023</v>
      </c>
      <c r="AG13" s="23">
        <f t="shared" si="9"/>
        <v>173.21913978494629</v>
      </c>
      <c r="AH13" s="19">
        <f>'10'!G136</f>
        <v>14.229999999999563</v>
      </c>
      <c r="AI13" s="19">
        <f>'10'!G137</f>
        <v>0</v>
      </c>
      <c r="AJ13" s="19">
        <f>'10'!G138</f>
        <v>2.3699999999953434</v>
      </c>
      <c r="AK13" s="19">
        <f t="shared" si="10"/>
        <v>16.599999999994907</v>
      </c>
      <c r="AL13" s="19">
        <f>'10'!G139</f>
        <v>9.9800000000000182</v>
      </c>
      <c r="AM13" s="19">
        <f>'10'!G140</f>
        <v>0</v>
      </c>
      <c r="AN13" s="19"/>
      <c r="AO13" s="19">
        <f t="shared" si="11"/>
        <v>9.9800000000000182</v>
      </c>
      <c r="AP13" s="263">
        <f>'10'!G123</f>
        <v>351.63699999998789</v>
      </c>
      <c r="AQ13" s="267">
        <f>'10'!G35</f>
        <v>4846.4899999999907</v>
      </c>
      <c r="AR13" s="19">
        <f>'10'!G37</f>
        <v>2902.289999999979</v>
      </c>
      <c r="AS13" s="19">
        <f>'10'!G38</f>
        <v>0</v>
      </c>
      <c r="AT13" s="19">
        <f>'10'!G39</f>
        <v>8066.8499999999767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4732.8499999999767</v>
      </c>
      <c r="AY13" s="23">
        <f>'10'!G44</f>
        <v>0</v>
      </c>
      <c r="AZ13" s="268">
        <f>'10'!G36</f>
        <v>1108.8299999999872</v>
      </c>
      <c r="BA13" s="267">
        <f>'10'!G49</f>
        <v>0.4500000000007276</v>
      </c>
      <c r="BB13" s="19">
        <f>'10'!G51</f>
        <v>0</v>
      </c>
      <c r="BC13" s="19">
        <f>'10'!G52</f>
        <v>3624.7299999999814</v>
      </c>
      <c r="BD13" s="19">
        <f>'10'!G53</f>
        <v>0</v>
      </c>
      <c r="BE13" s="19">
        <f>'10'!G54</f>
        <v>148.89570000000003</v>
      </c>
      <c r="BF13" s="19">
        <f>'10'!G55</f>
        <v>0</v>
      </c>
      <c r="BG13" s="19">
        <f>'10'!G56</f>
        <v>8054.6900000000023</v>
      </c>
      <c r="BH13" s="19">
        <f>'10'!G57</f>
        <v>0</v>
      </c>
      <c r="BI13" s="268">
        <f>'10'!G50</f>
        <v>2252.3699999999953</v>
      </c>
      <c r="BJ13" s="412">
        <f t="shared" si="12"/>
        <v>8054.6900000000023</v>
      </c>
      <c r="BK13" s="412">
        <f>'8'!G84</f>
        <v>411</v>
      </c>
      <c r="BL13" s="23">
        <f t="shared" si="13"/>
        <v>47.578458881933877</v>
      </c>
      <c r="BM13" s="23">
        <f t="shared" si="14"/>
        <v>21.764650334556382</v>
      </c>
      <c r="BN13" s="24">
        <f t="shared" si="15"/>
        <v>9.7796514137707249E-2</v>
      </c>
      <c r="BO13" s="25">
        <f t="shared" si="16"/>
        <v>454397.2649999985</v>
      </c>
      <c r="BP13" s="217">
        <f t="shared" si="17"/>
        <v>13198.539999999979</v>
      </c>
      <c r="BQ13">
        <f t="shared" si="18"/>
        <v>1.0137127496159739</v>
      </c>
    </row>
    <row r="14" spans="1:70">
      <c r="A14" s="16">
        <v>11</v>
      </c>
      <c r="B14" s="17">
        <v>11</v>
      </c>
      <c r="C14" s="27"/>
      <c r="D14" s="19">
        <f>'11'!D3</f>
        <v>31</v>
      </c>
      <c r="E14" s="261">
        <f>'11'!D4</f>
        <v>0.82</v>
      </c>
      <c r="F14" s="261">
        <f>'11'!D2</f>
        <v>0.22</v>
      </c>
      <c r="G14" s="19">
        <f>'11'!G8</f>
        <v>17356</v>
      </c>
      <c r="H14" s="19">
        <f>'11'!G8</f>
        <v>17356</v>
      </c>
      <c r="I14" s="19">
        <f>'11'!G7</f>
        <v>17244</v>
      </c>
      <c r="J14" s="19">
        <v>10</v>
      </c>
      <c r="K14" s="247">
        <f t="shared" si="3"/>
        <v>173560</v>
      </c>
      <c r="L14" s="243">
        <f t="shared" si="4"/>
        <v>85.366336633663366</v>
      </c>
      <c r="M14" s="19">
        <f>'11'!G15</f>
        <v>508</v>
      </c>
      <c r="N14" s="19">
        <v>35</v>
      </c>
      <c r="O14" s="243">
        <f t="shared" si="5"/>
        <v>17780</v>
      </c>
      <c r="P14" s="19">
        <f>'11'!G20</f>
        <v>236</v>
      </c>
      <c r="Q14" s="19">
        <v>134</v>
      </c>
      <c r="R14" s="244">
        <f t="shared" si="0"/>
        <v>31624</v>
      </c>
      <c r="S14" s="245">
        <f t="shared" si="1"/>
        <v>531.05310531053112</v>
      </c>
      <c r="T14" s="19">
        <f>'11'!G24</f>
        <v>0</v>
      </c>
      <c r="U14" s="19">
        <v>69</v>
      </c>
      <c r="V14" s="246">
        <f t="shared" si="6"/>
        <v>0</v>
      </c>
      <c r="W14" s="22">
        <f>'11'!G95</f>
        <v>51</v>
      </c>
      <c r="X14" s="22">
        <f>'11'!G96</f>
        <v>57</v>
      </c>
      <c r="Y14" s="22">
        <f>'11'!G97</f>
        <v>15</v>
      </c>
      <c r="Z14" s="22">
        <f t="shared" si="7"/>
        <v>123</v>
      </c>
      <c r="AA14" s="19">
        <f>'11'!G132</f>
        <v>0</v>
      </c>
      <c r="AB14" s="19">
        <f>'11'!G133</f>
        <v>0</v>
      </c>
      <c r="AC14" s="19">
        <f>'11'!G134</f>
        <v>0</v>
      </c>
      <c r="AD14" s="19">
        <f>'11'!G135</f>
        <v>23.5</v>
      </c>
      <c r="AE14" s="19">
        <f t="shared" si="8"/>
        <v>23.5</v>
      </c>
      <c r="AF14" s="23">
        <f t="shared" si="2"/>
        <v>3361.3399999999383</v>
      </c>
      <c r="AG14" s="23">
        <f t="shared" si="9"/>
        <v>143.03574468084844</v>
      </c>
      <c r="AH14" s="19">
        <f>'11'!G136</f>
        <v>-0.31000000000130967</v>
      </c>
      <c r="AI14" s="19">
        <f>'11'!G137</f>
        <v>-0.25</v>
      </c>
      <c r="AJ14" s="19">
        <f>'11'!G138</f>
        <v>9.0700000000069849</v>
      </c>
      <c r="AK14" s="19">
        <f t="shared" si="10"/>
        <v>8.5100000000056752</v>
      </c>
      <c r="AL14" s="19">
        <f>'11'!G139</f>
        <v>5.4199999999999591</v>
      </c>
      <c r="AM14" s="19">
        <f>'11'!G140</f>
        <v>0</v>
      </c>
      <c r="AN14" s="19"/>
      <c r="AO14" s="19">
        <f t="shared" si="11"/>
        <v>5.4199999999999591</v>
      </c>
      <c r="AP14" s="263">
        <f>'11'!G123</f>
        <v>193</v>
      </c>
      <c r="AQ14" s="267">
        <f>'11'!G35</f>
        <v>483</v>
      </c>
      <c r="AR14" s="19">
        <f>'11'!G37</f>
        <v>204</v>
      </c>
      <c r="AS14" s="19">
        <f>'11'!G38</f>
        <v>0</v>
      </c>
      <c r="AT14" s="19">
        <f>'11'!G39</f>
        <v>657</v>
      </c>
      <c r="AU14" s="19">
        <f>'11'!G40</f>
        <v>0</v>
      </c>
      <c r="AV14" s="19">
        <f>'11'!G41</f>
        <v>0</v>
      </c>
      <c r="AW14" s="19">
        <f>'11'!G42</f>
        <v>6.9999999948777258E-2</v>
      </c>
      <c r="AX14" s="19">
        <f>'11'!G43</f>
        <v>2350</v>
      </c>
      <c r="AY14" s="23">
        <f>'11'!G44</f>
        <v>0</v>
      </c>
      <c r="AZ14" s="268">
        <f>'11'!G36</f>
        <v>556</v>
      </c>
      <c r="BA14" s="267">
        <f>'11'!G49</f>
        <v>2024.17</v>
      </c>
      <c r="BB14" s="19">
        <f>'11'!G51</f>
        <v>0</v>
      </c>
      <c r="BC14" s="19">
        <f>'11'!G52</f>
        <v>1713</v>
      </c>
      <c r="BD14" s="19">
        <f>'11'!G53</f>
        <v>4110</v>
      </c>
      <c r="BE14" s="19">
        <f>'11'!G54</f>
        <v>65</v>
      </c>
      <c r="BF14" s="19">
        <f>'11'!G55</f>
        <v>0.26999999998952262</v>
      </c>
      <c r="BG14" s="19">
        <f>'11'!G56</f>
        <v>3361</v>
      </c>
      <c r="BH14" s="19">
        <f>'11'!G57</f>
        <v>0</v>
      </c>
      <c r="BI14" s="268">
        <f>'11'!G50</f>
        <v>1072</v>
      </c>
      <c r="BJ14" s="412">
        <f t="shared" si="12"/>
        <v>3361.3399999999383</v>
      </c>
      <c r="BK14" s="412">
        <f>'11'!G84</f>
        <v>459</v>
      </c>
      <c r="BL14" s="23">
        <f t="shared" si="13"/>
        <v>47.660113662722907</v>
      </c>
      <c r="BM14" s="23">
        <f t="shared" si="14"/>
        <v>27.644398051496172</v>
      </c>
      <c r="BN14" s="24">
        <f t="shared" si="15"/>
        <v>9.9338900487125958E-2</v>
      </c>
      <c r="BO14" s="25">
        <f t="shared" si="16"/>
        <v>222964</v>
      </c>
      <c r="BP14" s="217">
        <f t="shared" si="17"/>
        <v>6170.3399999999383</v>
      </c>
      <c r="BQ14">
        <f t="shared" si="18"/>
        <v>0.9377416413373767</v>
      </c>
    </row>
    <row r="15" spans="1:70">
      <c r="A15" s="16">
        <v>12</v>
      </c>
      <c r="B15" s="26">
        <v>12</v>
      </c>
      <c r="C15" s="27"/>
      <c r="D15" s="19">
        <f>'12'!D3</f>
        <v>31</v>
      </c>
      <c r="E15" s="261">
        <f>'12'!D4</f>
        <v>0.82</v>
      </c>
      <c r="F15" s="261">
        <f>'12'!D2</f>
        <v>0.25</v>
      </c>
      <c r="G15" s="19">
        <f>'12'!G8</f>
        <v>17861</v>
      </c>
      <c r="H15" s="19">
        <f>'12'!G8</f>
        <v>17861</v>
      </c>
      <c r="I15" s="19">
        <f>'12'!G7</f>
        <v>17812</v>
      </c>
      <c r="J15" s="19">
        <v>10</v>
      </c>
      <c r="K15" s="247">
        <f t="shared" si="3"/>
        <v>178610</v>
      </c>
      <c r="L15" s="243">
        <f t="shared" si="4"/>
        <v>88.178217821782184</v>
      </c>
      <c r="M15" s="19">
        <f>'12'!G15</f>
        <v>370</v>
      </c>
      <c r="N15" s="19">
        <v>35</v>
      </c>
      <c r="O15" s="238">
        <f t="shared" si="5"/>
        <v>12950</v>
      </c>
      <c r="P15" s="19">
        <f>'12'!G20</f>
        <v>192</v>
      </c>
      <c r="Q15" s="19">
        <v>134</v>
      </c>
      <c r="R15" s="244">
        <f t="shared" si="0"/>
        <v>25728</v>
      </c>
      <c r="S15" s="245">
        <f t="shared" si="1"/>
        <v>380.19801980198019</v>
      </c>
      <c r="T15" s="19">
        <f>'12'!G24</f>
        <v>0</v>
      </c>
      <c r="U15" s="19">
        <v>69</v>
      </c>
      <c r="V15" s="246">
        <f t="shared" si="6"/>
        <v>0</v>
      </c>
      <c r="W15" s="22">
        <f>'12'!G95</f>
        <v>43</v>
      </c>
      <c r="X15" s="22">
        <f>'12'!G96</f>
        <v>57</v>
      </c>
      <c r="Y15" s="22">
        <f>'12'!G97</f>
        <v>16</v>
      </c>
      <c r="Z15" s="22">
        <f t="shared" si="7"/>
        <v>116</v>
      </c>
      <c r="AA15" s="19">
        <f>'12'!G132</f>
        <v>0</v>
      </c>
      <c r="AB15" s="19">
        <f>'12'!G133</f>
        <v>0</v>
      </c>
      <c r="AC15" s="19">
        <f>'12'!G134</f>
        <v>0</v>
      </c>
      <c r="AD15" s="19">
        <f>'12'!G135</f>
        <v>24</v>
      </c>
      <c r="AE15" s="19">
        <f t="shared" si="8"/>
        <v>24</v>
      </c>
      <c r="AF15" s="23">
        <f t="shared" si="2"/>
        <v>3758.7300000000105</v>
      </c>
      <c r="AG15" s="23">
        <f t="shared" si="9"/>
        <v>156.61375000000044</v>
      </c>
      <c r="AH15" s="19">
        <f>'12'!G136</f>
        <v>0</v>
      </c>
      <c r="AI15" s="19">
        <f>'12'!G137</f>
        <v>0</v>
      </c>
      <c r="AJ15" s="19">
        <f>'12'!G138</f>
        <v>0</v>
      </c>
      <c r="AK15" s="19">
        <f t="shared" si="10"/>
        <v>0</v>
      </c>
      <c r="AL15" s="19">
        <f>'12'!G139</f>
        <v>5.9900000000000091</v>
      </c>
      <c r="AM15" s="19">
        <f>'12'!G140</f>
        <v>0</v>
      </c>
      <c r="AN15" s="19"/>
      <c r="AO15" s="19">
        <f t="shared" si="11"/>
        <v>5.9900000000000091</v>
      </c>
      <c r="AP15" s="263">
        <f>'12'!G123</f>
        <v>206</v>
      </c>
      <c r="AQ15" s="267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2357</v>
      </c>
      <c r="AY15" s="23">
        <f>'12'!G44</f>
        <v>0</v>
      </c>
      <c r="AZ15" s="268">
        <f>'12'!G36</f>
        <v>552</v>
      </c>
      <c r="BA15" s="267">
        <f>'12'!G49</f>
        <v>2039</v>
      </c>
      <c r="BB15" s="19">
        <f>'12'!G51</f>
        <v>0</v>
      </c>
      <c r="BC15" s="19">
        <f>'12'!G52</f>
        <v>1691</v>
      </c>
      <c r="BD15" s="19">
        <f>'12'!G53</f>
        <v>3991</v>
      </c>
      <c r="BE15" s="19">
        <f>'12'!G54</f>
        <v>62</v>
      </c>
      <c r="BF15" s="19">
        <f>'12'!G55</f>
        <v>-0.26999999998952262</v>
      </c>
      <c r="BG15" s="19">
        <f>'12'!G56</f>
        <v>3759</v>
      </c>
      <c r="BH15" s="19">
        <f>'12'!G57</f>
        <v>0</v>
      </c>
      <c r="BI15" s="268">
        <f>'12'!G50</f>
        <v>1192</v>
      </c>
      <c r="BJ15" s="412">
        <f t="shared" si="12"/>
        <v>3758.7300000000105</v>
      </c>
      <c r="BK15" s="412">
        <f>'12'!G84</f>
        <v>462</v>
      </c>
      <c r="BL15" s="23">
        <f t="shared" si="13"/>
        <v>45.782225465978051</v>
      </c>
      <c r="BM15" s="23">
        <f t="shared" si="14"/>
        <v>22.406242982259151</v>
      </c>
      <c r="BN15" s="24">
        <f t="shared" si="15"/>
        <v>9.4935998203458341E-2</v>
      </c>
      <c r="BO15" s="25">
        <f t="shared" si="16"/>
        <v>217288</v>
      </c>
      <c r="BP15" s="217">
        <f t="shared" si="17"/>
        <v>6577.7300000000105</v>
      </c>
      <c r="BQ15">
        <f t="shared" si="18"/>
        <v>0.97882886904762056</v>
      </c>
    </row>
    <row r="16" spans="1:70">
      <c r="A16" s="16">
        <v>13</v>
      </c>
      <c r="B16" s="26">
        <v>13</v>
      </c>
      <c r="C16" s="26"/>
      <c r="D16" s="19">
        <f>'13'!D3</f>
        <v>32</v>
      </c>
      <c r="E16" s="261">
        <f>'13'!D4</f>
        <v>0.82</v>
      </c>
      <c r="F16" s="261">
        <f>'13'!D2</f>
        <v>0.5</v>
      </c>
      <c r="G16" s="19">
        <f>'13'!G8</f>
        <v>17476</v>
      </c>
      <c r="H16" s="19">
        <f>'13'!G8</f>
        <v>17476</v>
      </c>
      <c r="I16" s="19">
        <f>'13'!G7</f>
        <v>17390</v>
      </c>
      <c r="J16" s="19">
        <v>10</v>
      </c>
      <c r="K16" s="247">
        <f t="shared" si="3"/>
        <v>174760</v>
      </c>
      <c r="L16" s="243">
        <f t="shared" si="4"/>
        <v>86.089108910891085</v>
      </c>
      <c r="M16" s="19">
        <f>'13'!G15</f>
        <v>618.60100000002421</v>
      </c>
      <c r="N16" s="19">
        <v>35</v>
      </c>
      <c r="O16" s="238">
        <f t="shared" si="5"/>
        <v>21651.035000000848</v>
      </c>
      <c r="P16" s="19">
        <f>'13'!G20</f>
        <v>153</v>
      </c>
      <c r="Q16" s="19">
        <v>134</v>
      </c>
      <c r="R16" s="244">
        <f t="shared" si="0"/>
        <v>20502</v>
      </c>
      <c r="S16" s="245">
        <f t="shared" si="1"/>
        <v>151.48514851485149</v>
      </c>
      <c r="T16" s="19">
        <f>'13'!G24</f>
        <v>0</v>
      </c>
      <c r="U16" s="19">
        <v>69</v>
      </c>
      <c r="V16" s="246">
        <f t="shared" si="6"/>
        <v>0</v>
      </c>
      <c r="W16" s="22">
        <f>'13'!G95</f>
        <v>65</v>
      </c>
      <c r="X16" s="22">
        <f>'13'!G96</f>
        <v>48</v>
      </c>
      <c r="Y16" s="22">
        <f>'13'!G97</f>
        <v>13</v>
      </c>
      <c r="Z16" s="22">
        <f t="shared" si="7"/>
        <v>126</v>
      </c>
      <c r="AA16" s="19">
        <f>'13'!G132</f>
        <v>0</v>
      </c>
      <c r="AB16" s="19">
        <f>'13'!G133</f>
        <v>0</v>
      </c>
      <c r="AC16" s="19">
        <f>'13'!G134</f>
        <v>0</v>
      </c>
      <c r="AD16" s="19">
        <f>'13'!G135</f>
        <v>24</v>
      </c>
      <c r="AE16" s="19">
        <f t="shared" si="8"/>
        <v>24</v>
      </c>
      <c r="AF16" s="23">
        <f t="shared" si="2"/>
        <v>3984.640000000014</v>
      </c>
      <c r="AG16" s="23">
        <f t="shared" si="9"/>
        <v>166.02666666666724</v>
      </c>
      <c r="AH16" s="19">
        <f>'13'!G136</f>
        <v>0.36999999999898137</v>
      </c>
      <c r="AI16" s="19">
        <f>'13'!G137</f>
        <v>7.2400000000016007</v>
      </c>
      <c r="AJ16" s="19">
        <f>'13'!G138</f>
        <v>0.49000000000523869</v>
      </c>
      <c r="AK16" s="19">
        <f t="shared" si="10"/>
        <v>8.1000000000058208</v>
      </c>
      <c r="AL16" s="19">
        <f>'13'!G139</f>
        <v>5.1399999999999864</v>
      </c>
      <c r="AM16" s="19">
        <f>'13'!G140</f>
        <v>-1.9999999999527063E-2</v>
      </c>
      <c r="AN16" s="19"/>
      <c r="AO16" s="19">
        <f t="shared" si="11"/>
        <v>5.1200000000004593</v>
      </c>
      <c r="AP16" s="263">
        <f>'13'!G123</f>
        <v>178.24100000003818</v>
      </c>
      <c r="AQ16" s="267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0</v>
      </c>
      <c r="AX16" s="19">
        <f>'13'!G43</f>
        <v>2302.5500000000466</v>
      </c>
      <c r="AY16" s="23">
        <f>'13'!G44</f>
        <v>0</v>
      </c>
      <c r="AZ16" s="268">
        <f>'13'!G36</f>
        <v>494.63000000000466</v>
      </c>
      <c r="BA16" s="267">
        <f>'13'!G49</f>
        <v>2070.1409999999996</v>
      </c>
      <c r="BB16" s="19">
        <f>'13'!G51</f>
        <v>4121.8500000000004</v>
      </c>
      <c r="BC16" s="19">
        <f>'13'!G52</f>
        <v>1723.3499999999767</v>
      </c>
      <c r="BD16" s="19">
        <f>'13'!G53</f>
        <v>0</v>
      </c>
      <c r="BE16" s="19">
        <f>'13'!G54</f>
        <v>63.609300000000076</v>
      </c>
      <c r="BF16" s="19">
        <f>'13'!G55</f>
        <v>0</v>
      </c>
      <c r="BG16" s="19">
        <f>'13'!G56</f>
        <v>3984.5900000000256</v>
      </c>
      <c r="BH16" s="19">
        <f>'13'!G57</f>
        <v>0</v>
      </c>
      <c r="BI16" s="268">
        <f>'13'!G50</f>
        <v>1008.6699999999837</v>
      </c>
      <c r="BJ16" s="412">
        <f t="shared" si="12"/>
        <v>3984.640000000014</v>
      </c>
      <c r="BK16" s="412">
        <f>'13'!G84</f>
        <v>531</v>
      </c>
      <c r="BL16" s="23">
        <f t="shared" si="13"/>
        <v>48.058257619321793</v>
      </c>
      <c r="BM16" s="23">
        <f t="shared" si="14"/>
        <v>0</v>
      </c>
      <c r="BN16" s="24">
        <f t="shared" si="15"/>
        <v>9.9100057504311487E-2</v>
      </c>
      <c r="BO16" s="25">
        <f t="shared" si="16"/>
        <v>216913.03500000085</v>
      </c>
      <c r="BP16" s="217">
        <f t="shared" si="17"/>
        <v>6818.1900000000605</v>
      </c>
      <c r="BQ16">
        <f t="shared" si="18"/>
        <v>1.0146116071428661</v>
      </c>
    </row>
    <row r="17" spans="1:69">
      <c r="A17" s="16">
        <v>14</v>
      </c>
      <c r="B17" s="17">
        <v>14</v>
      </c>
      <c r="C17" s="27"/>
      <c r="D17" s="19">
        <f>'14'!D3</f>
        <v>31</v>
      </c>
      <c r="E17" s="261">
        <f>'14'!D4</f>
        <v>0.82</v>
      </c>
      <c r="F17" s="261">
        <f>'14'!D2</f>
        <v>0.5</v>
      </c>
      <c r="G17" s="19">
        <f>'14'!G8</f>
        <v>18156</v>
      </c>
      <c r="H17" s="19">
        <f>'14'!G8</f>
        <v>18156</v>
      </c>
      <c r="I17" s="19">
        <f>'14'!G7</f>
        <v>18088</v>
      </c>
      <c r="J17" s="19">
        <v>10</v>
      </c>
      <c r="K17" s="247">
        <f t="shared" si="3"/>
        <v>181560</v>
      </c>
      <c r="L17" s="243">
        <f t="shared" si="4"/>
        <v>89.544554455445549</v>
      </c>
      <c r="M17" s="19">
        <f>'14'!G15</f>
        <v>361.77600000007078</v>
      </c>
      <c r="N17" s="19">
        <v>35</v>
      </c>
      <c r="O17" s="238">
        <f t="shared" si="5"/>
        <v>12662.160000002477</v>
      </c>
      <c r="P17" s="19">
        <f>'14'!G20</f>
        <v>123</v>
      </c>
      <c r="Q17" s="19">
        <v>134</v>
      </c>
      <c r="R17" s="244">
        <f t="shared" si="0"/>
        <v>16482</v>
      </c>
      <c r="S17" s="245">
        <f t="shared" si="1"/>
        <v>121.78217821782178</v>
      </c>
      <c r="T17" s="19">
        <f>'14'!G24</f>
        <v>0</v>
      </c>
      <c r="U17" s="19">
        <v>69</v>
      </c>
      <c r="V17" s="246">
        <f t="shared" si="6"/>
        <v>0</v>
      </c>
      <c r="W17" s="22">
        <f>'14'!G95</f>
        <v>45</v>
      </c>
      <c r="X17" s="22">
        <f>'14'!G96</f>
        <v>21.19999999999709</v>
      </c>
      <c r="Y17" s="22">
        <f>'14'!G97</f>
        <v>15</v>
      </c>
      <c r="Z17" s="22">
        <f>W17+X17+Y17</f>
        <v>81.19999999999709</v>
      </c>
      <c r="AA17" s="19">
        <f>'14'!G132</f>
        <v>0</v>
      </c>
      <c r="AB17" s="19">
        <f>'14'!G133</f>
        <v>0</v>
      </c>
      <c r="AC17" s="19">
        <f>'14'!G134</f>
        <v>0</v>
      </c>
      <c r="AD17" s="19">
        <f>'14'!G135</f>
        <v>24</v>
      </c>
      <c r="AE17" s="19">
        <f t="shared" si="8"/>
        <v>24</v>
      </c>
      <c r="AF17" s="23">
        <f t="shared" si="2"/>
        <v>4624.7999999999884</v>
      </c>
      <c r="AG17" s="23">
        <f t="shared" si="9"/>
        <v>192.69999999999951</v>
      </c>
      <c r="AH17" s="19">
        <f>'14'!G136</f>
        <v>0</v>
      </c>
      <c r="AI17" s="19">
        <f>'14'!G137</f>
        <v>0</v>
      </c>
      <c r="AJ17" s="19">
        <f>'14'!G138</f>
        <v>-9.0000000011059456E-2</v>
      </c>
      <c r="AK17" s="19">
        <f t="shared" si="10"/>
        <v>-9.0000000011059456E-2</v>
      </c>
      <c r="AL17" s="19">
        <f>'14'!G139</f>
        <v>6</v>
      </c>
      <c r="AM17" s="19">
        <f>'14'!G140</f>
        <v>1.9999999999527063E-2</v>
      </c>
      <c r="AN17" s="19"/>
      <c r="AO17" s="19">
        <f t="shared" si="11"/>
        <v>6.0199999999995271</v>
      </c>
      <c r="AP17" s="263">
        <f>'14'!G123</f>
        <v>208.28899999998976</v>
      </c>
      <c r="AQ17" s="267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2387.2399999999907</v>
      </c>
      <c r="AY17" s="23">
        <f>'14'!G44</f>
        <v>0</v>
      </c>
      <c r="AZ17" s="268">
        <f>'14'!G36</f>
        <v>540.94000000000233</v>
      </c>
      <c r="BA17" s="267">
        <f>'14'!G49</f>
        <v>3101.3120000000017</v>
      </c>
      <c r="BB17" s="19">
        <f>'14'!G51</f>
        <v>1284.7458999999999</v>
      </c>
      <c r="BC17" s="19">
        <f>'14'!G52</f>
        <v>1623.2000000000116</v>
      </c>
      <c r="BD17" s="19">
        <f>'14'!G53</f>
        <v>0</v>
      </c>
      <c r="BE17" s="19">
        <f>'14'!G54</f>
        <v>63.544699999999921</v>
      </c>
      <c r="BF17" s="19">
        <f>'14'!G55</f>
        <v>0</v>
      </c>
      <c r="BG17" s="19">
        <f>'14'!G56</f>
        <v>4624.7999999999884</v>
      </c>
      <c r="BH17" s="19">
        <f>'14'!G57</f>
        <v>0</v>
      </c>
      <c r="BI17" s="268">
        <f>'14'!G50</f>
        <v>926.02000000001863</v>
      </c>
      <c r="BJ17" s="412">
        <f t="shared" si="12"/>
        <v>4624.7999999999884</v>
      </c>
      <c r="BK17" s="412">
        <f>'14'!G84</f>
        <v>485</v>
      </c>
      <c r="BL17" s="23">
        <f t="shared" si="13"/>
        <v>55.911941618752657</v>
      </c>
      <c r="BM17" s="23">
        <f t="shared" si="14"/>
        <v>0</v>
      </c>
      <c r="BN17" s="24">
        <f t="shared" si="15"/>
        <v>8.9739053516143946E-2</v>
      </c>
      <c r="BO17" s="25">
        <f t="shared" si="16"/>
        <v>210704.16000000248</v>
      </c>
      <c r="BP17" s="217">
        <f t="shared" si="17"/>
        <v>7497.039999999979</v>
      </c>
      <c r="BQ17">
        <f t="shared" si="18"/>
        <v>1.1156309523809493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61">
        <f>'15'!D4</f>
        <v>0.8</v>
      </c>
      <c r="F18" s="261">
        <f>'15'!D2</f>
        <v>0.5</v>
      </c>
      <c r="G18" s="19">
        <f>'15'!G8</f>
        <v>19281</v>
      </c>
      <c r="H18" s="19">
        <f>'15'!G8</f>
        <v>19281</v>
      </c>
      <c r="I18" s="19">
        <f>'15'!G7</f>
        <v>19222</v>
      </c>
      <c r="J18" s="19">
        <v>10</v>
      </c>
      <c r="K18" s="247">
        <f t="shared" si="3"/>
        <v>192810</v>
      </c>
      <c r="L18" s="243">
        <f t="shared" si="4"/>
        <v>95.158415841584159</v>
      </c>
      <c r="M18" s="19">
        <f>'15'!G15</f>
        <v>414.62800000002608</v>
      </c>
      <c r="N18" s="19">
        <v>35</v>
      </c>
      <c r="O18" s="238">
        <f t="shared" si="5"/>
        <v>14511.980000000913</v>
      </c>
      <c r="P18" s="19">
        <f>'15'!G20</f>
        <v>112</v>
      </c>
      <c r="Q18" s="19">
        <v>134</v>
      </c>
      <c r="R18" s="244">
        <f t="shared" si="0"/>
        <v>15008</v>
      </c>
      <c r="S18" s="245">
        <f t="shared" si="1"/>
        <v>110.89108910891089</v>
      </c>
      <c r="T18" s="19">
        <f>'15'!G24</f>
        <v>0</v>
      </c>
      <c r="U18" s="19">
        <v>69</v>
      </c>
      <c r="V18" s="246">
        <f t="shared" si="6"/>
        <v>0</v>
      </c>
      <c r="W18" s="22">
        <f>'15'!G95</f>
        <v>46</v>
      </c>
      <c r="X18" s="22">
        <f>'15'!G96</f>
        <v>22</v>
      </c>
      <c r="Y18" s="22">
        <f>'15'!G97</f>
        <v>12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0</v>
      </c>
      <c r="AD18" s="19">
        <f>'15'!G135</f>
        <v>24</v>
      </c>
      <c r="AE18" s="19">
        <f t="shared" si="8"/>
        <v>24</v>
      </c>
      <c r="AF18" s="23">
        <f t="shared" si="2"/>
        <v>5319.1399999999558</v>
      </c>
      <c r="AG18" s="23">
        <f t="shared" si="9"/>
        <v>221.63083333333148</v>
      </c>
      <c r="AH18" s="19">
        <f>'15'!G136</f>
        <v>0</v>
      </c>
      <c r="AI18" s="19">
        <f>'15'!G137</f>
        <v>0</v>
      </c>
      <c r="AJ18" s="19">
        <f>'15'!G138</f>
        <v>-9.0000000011059456E-2</v>
      </c>
      <c r="AK18" s="19">
        <f t="shared" si="10"/>
        <v>-9.0000000011059456E-2</v>
      </c>
      <c r="AL18" s="19">
        <f>'15'!G139</f>
        <v>6.5800000000000409</v>
      </c>
      <c r="AM18" s="19">
        <f>'15'!G140</f>
        <v>0</v>
      </c>
      <c r="AN18" s="19"/>
      <c r="AO18" s="19">
        <f t="shared" si="11"/>
        <v>6.5800000000000409</v>
      </c>
      <c r="AP18" s="263">
        <f>'15'!G123</f>
        <v>230.36999999999534</v>
      </c>
      <c r="AQ18" s="267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2364.5999999999767</v>
      </c>
      <c r="AY18" s="23">
        <f>'15'!G44</f>
        <v>0</v>
      </c>
      <c r="AZ18" s="268">
        <f>'15'!G36</f>
        <v>530.88000000000466</v>
      </c>
      <c r="BA18" s="267">
        <f>'15'!G49</f>
        <v>2554.387999999999</v>
      </c>
      <c r="BB18" s="19">
        <f>'15'!G51</f>
        <v>1299.8829000000005</v>
      </c>
      <c r="BC18" s="19">
        <f>'15'!G52</f>
        <v>1693.320000000007</v>
      </c>
      <c r="BD18" s="19">
        <f>'15'!G53</f>
        <v>0</v>
      </c>
      <c r="BE18" s="19">
        <f>'15'!G54</f>
        <v>61.289999999999964</v>
      </c>
      <c r="BF18" s="19">
        <f>'15'!G55</f>
        <v>0</v>
      </c>
      <c r="BG18" s="19">
        <f>'15'!G56</f>
        <v>5319.1399999999558</v>
      </c>
      <c r="BH18" s="19">
        <f>'15'!G57</f>
        <v>0</v>
      </c>
      <c r="BI18" s="268">
        <f>'15'!G50</f>
        <v>1053.7200000000303</v>
      </c>
      <c r="BJ18" s="412">
        <f t="shared" si="12"/>
        <v>5319.1399999999558</v>
      </c>
      <c r="BK18" s="412">
        <f>'15'!G84</f>
        <v>482</v>
      </c>
      <c r="BL18" s="23">
        <f t="shared" si="13"/>
        <v>53.262553324315533</v>
      </c>
      <c r="BM18" s="23">
        <f t="shared" si="14"/>
        <v>0</v>
      </c>
      <c r="BN18" s="24">
        <f t="shared" si="15"/>
        <v>8.8092810321506967E-2</v>
      </c>
      <c r="BO18" s="25">
        <f t="shared" si="16"/>
        <v>222329.98000000091</v>
      </c>
      <c r="BP18" s="217">
        <f t="shared" si="17"/>
        <v>8165.7399999999325</v>
      </c>
      <c r="BQ18">
        <f t="shared" si="18"/>
        <v>1.2151398809523708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61">
        <f>'16'!D4</f>
        <v>0.8</v>
      </c>
      <c r="F19" s="261">
        <f>'16'!D2</f>
        <v>0.5</v>
      </c>
      <c r="G19" s="19">
        <f>'16'!G8</f>
        <v>19281</v>
      </c>
      <c r="H19" s="19">
        <f>'16'!G8</f>
        <v>19281</v>
      </c>
      <c r="I19" s="19">
        <f>'16'!G7</f>
        <v>19222</v>
      </c>
      <c r="J19" s="19">
        <v>10</v>
      </c>
      <c r="K19" s="247">
        <f t="shared" si="3"/>
        <v>192810</v>
      </c>
      <c r="L19" s="243">
        <f t="shared" si="4"/>
        <v>95.158415841584159</v>
      </c>
      <c r="M19" s="19">
        <f>'16'!G15</f>
        <v>414.62800000002608</v>
      </c>
      <c r="N19" s="19">
        <v>35</v>
      </c>
      <c r="O19" s="238">
        <f t="shared" si="5"/>
        <v>14511.980000000913</v>
      </c>
      <c r="P19" s="19">
        <f>'16'!G20</f>
        <v>112</v>
      </c>
      <c r="Q19" s="19">
        <v>134</v>
      </c>
      <c r="R19" s="244">
        <f t="shared" si="0"/>
        <v>15008</v>
      </c>
      <c r="S19" s="245">
        <f t="shared" si="1"/>
        <v>110.89108910891089</v>
      </c>
      <c r="T19" s="19">
        <f>'16'!G24</f>
        <v>0</v>
      </c>
      <c r="U19" s="19">
        <v>69</v>
      </c>
      <c r="V19" s="246">
        <f t="shared" si="6"/>
        <v>0</v>
      </c>
      <c r="W19" s="22">
        <f>'16'!G95</f>
        <v>46</v>
      </c>
      <c r="X19" s="22">
        <f>'16'!G96</f>
        <v>22</v>
      </c>
      <c r="Y19" s="22">
        <f>'16'!G97</f>
        <v>12</v>
      </c>
      <c r="Z19" s="22">
        <f t="shared" si="7"/>
        <v>80</v>
      </c>
      <c r="AA19" s="19">
        <f>'16'!G132</f>
        <v>0</v>
      </c>
      <c r="AB19" s="19">
        <f>'16'!G133</f>
        <v>0</v>
      </c>
      <c r="AC19" s="19">
        <f>'16'!G134</f>
        <v>0</v>
      </c>
      <c r="AD19" s="19">
        <f>'16'!G135</f>
        <v>24</v>
      </c>
      <c r="AE19" s="19">
        <f t="shared" si="8"/>
        <v>24</v>
      </c>
      <c r="AF19" s="23">
        <f t="shared" si="2"/>
        <v>5319.1399999999558</v>
      </c>
      <c r="AG19" s="23">
        <f t="shared" si="9"/>
        <v>221.63083333333148</v>
      </c>
      <c r="AH19" s="19">
        <f>'16'!G136</f>
        <v>0</v>
      </c>
      <c r="AI19" s="19">
        <f>'16'!G137</f>
        <v>0</v>
      </c>
      <c r="AJ19" s="19">
        <f>'16'!G138</f>
        <v>-9.0000000011059456E-2</v>
      </c>
      <c r="AK19" s="19">
        <f t="shared" si="10"/>
        <v>-9.0000000011059456E-2</v>
      </c>
      <c r="AL19" s="19">
        <f>'16'!G139</f>
        <v>6.5800000000000409</v>
      </c>
      <c r="AM19" s="19">
        <f>'16'!G140</f>
        <v>0</v>
      </c>
      <c r="AN19" s="19"/>
      <c r="AO19" s="19">
        <f t="shared" si="11"/>
        <v>6.5800000000000409</v>
      </c>
      <c r="AP19" s="263">
        <f>'16'!G123</f>
        <v>230.36999999999534</v>
      </c>
      <c r="AQ19" s="267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2364.5999999999767</v>
      </c>
      <c r="AY19" s="23">
        <f>'16'!G44</f>
        <v>0</v>
      </c>
      <c r="AZ19" s="268">
        <f>'16'!G36</f>
        <v>530.88000000000466</v>
      </c>
      <c r="BA19" s="267">
        <f>'16'!G49</f>
        <v>2554.387999999999</v>
      </c>
      <c r="BB19" s="19">
        <f>'16'!G51</f>
        <v>1299.8829000000005</v>
      </c>
      <c r="BC19" s="19">
        <f>'16'!G52</f>
        <v>1693.320000000007</v>
      </c>
      <c r="BD19" s="19">
        <f>'16'!G53</f>
        <v>0</v>
      </c>
      <c r="BE19" s="19">
        <f>'16'!G54</f>
        <v>61.289999999999964</v>
      </c>
      <c r="BF19" s="19">
        <f>'16'!G55</f>
        <v>0</v>
      </c>
      <c r="BG19" s="19">
        <f>'16'!G56</f>
        <v>5319.1399999999558</v>
      </c>
      <c r="BH19" s="19">
        <f>'16'!G57</f>
        <v>0</v>
      </c>
      <c r="BI19" s="268">
        <f>'16'!G50</f>
        <v>1053.7200000000303</v>
      </c>
      <c r="BJ19" s="412">
        <f t="shared" si="12"/>
        <v>5319.1399999999558</v>
      </c>
      <c r="BK19" s="412">
        <f>'16'!G84</f>
        <v>482</v>
      </c>
      <c r="BL19" s="23">
        <f t="shared" si="13"/>
        <v>53.262553324315533</v>
      </c>
      <c r="BM19" s="23">
        <f t="shared" si="14"/>
        <v>0</v>
      </c>
      <c r="BN19" s="24">
        <f t="shared" si="15"/>
        <v>8.8092810321506967E-2</v>
      </c>
      <c r="BO19" s="25">
        <f t="shared" si="16"/>
        <v>222329.98000000091</v>
      </c>
      <c r="BP19" s="217">
        <f t="shared" si="17"/>
        <v>8165.7399999999325</v>
      </c>
      <c r="BQ19">
        <f t="shared" si="18"/>
        <v>1.2151398809523708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61">
        <f>'17'!D4</f>
        <v>0.8</v>
      </c>
      <c r="F20" s="261">
        <f>'17'!D2</f>
        <v>0.5</v>
      </c>
      <c r="G20" s="19">
        <f>'17'!G8</f>
        <v>19940</v>
      </c>
      <c r="H20" s="19">
        <f>'17'!G8</f>
        <v>19940</v>
      </c>
      <c r="I20" s="19">
        <f>'17'!G7</f>
        <v>19868</v>
      </c>
      <c r="J20" s="19">
        <v>10</v>
      </c>
      <c r="K20" s="247">
        <f t="shared" si="3"/>
        <v>199400</v>
      </c>
      <c r="L20" s="243">
        <f t="shared" si="4"/>
        <v>98.356435643564353</v>
      </c>
      <c r="M20" s="19">
        <f>'17'!G15</f>
        <v>529.87600000016391</v>
      </c>
      <c r="N20" s="19">
        <v>35</v>
      </c>
      <c r="O20" s="238">
        <f t="shared" si="5"/>
        <v>18545.660000005737</v>
      </c>
      <c r="P20" s="19">
        <f>'17'!G20</f>
        <v>155</v>
      </c>
      <c r="Q20" s="19">
        <v>134</v>
      </c>
      <c r="R20" s="244">
        <f t="shared" si="0"/>
        <v>20770</v>
      </c>
      <c r="S20" s="245">
        <f t="shared" si="1"/>
        <v>153.46534653465346</v>
      </c>
      <c r="T20" s="19">
        <f>'17'!G24</f>
        <v>0</v>
      </c>
      <c r="U20" s="19">
        <v>69</v>
      </c>
      <c r="V20" s="246">
        <f t="shared" si="6"/>
        <v>0</v>
      </c>
      <c r="W20" s="22">
        <f>'17'!G95</f>
        <v>55</v>
      </c>
      <c r="X20" s="22">
        <f>'17'!G96</f>
        <v>24</v>
      </c>
      <c r="Y20" s="22">
        <f>'17'!G97</f>
        <v>26</v>
      </c>
      <c r="Z20" s="22">
        <f t="shared" si="7"/>
        <v>105</v>
      </c>
      <c r="AA20" s="19">
        <f>'17'!G132</f>
        <v>0</v>
      </c>
      <c r="AB20" s="19">
        <f>'17'!G133</f>
        <v>0</v>
      </c>
      <c r="AC20" s="19">
        <f>'17'!G134</f>
        <v>0</v>
      </c>
      <c r="AD20" s="19">
        <f>'17'!G135</f>
        <v>24.229999999999563</v>
      </c>
      <c r="AE20" s="19">
        <f t="shared" si="8"/>
        <v>24.229999999999563</v>
      </c>
      <c r="AF20" s="23">
        <f t="shared" si="2"/>
        <v>5385.3300000000163</v>
      </c>
      <c r="AG20" s="23">
        <f t="shared" si="9"/>
        <v>222.25877011969101</v>
      </c>
      <c r="AH20" s="19">
        <f>'17'!G136</f>
        <v>0</v>
      </c>
      <c r="AI20" s="19">
        <f>'17'!G137</f>
        <v>1.3600000000005821</v>
      </c>
      <c r="AJ20" s="19">
        <f>'17'!G138</f>
        <v>7.3100000000122236</v>
      </c>
      <c r="AK20" s="19">
        <f t="shared" si="10"/>
        <v>8.6700000000128057</v>
      </c>
      <c r="AL20" s="19">
        <f>'17'!G139</f>
        <v>5.6900000000000546</v>
      </c>
      <c r="AM20" s="19">
        <f>'17'!G140</f>
        <v>0</v>
      </c>
      <c r="AN20" s="19"/>
      <c r="AO20" s="19">
        <f t="shared" si="11"/>
        <v>5.6900000000000546</v>
      </c>
      <c r="AP20" s="263">
        <f>'17'!G123</f>
        <v>202.00899999996182</v>
      </c>
      <c r="AQ20" s="267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2391.8100000000559</v>
      </c>
      <c r="AY20" s="23">
        <f>'17'!G44</f>
        <v>0</v>
      </c>
      <c r="AZ20" s="268">
        <f>'17'!G36</f>
        <v>580.97000000000116</v>
      </c>
      <c r="BA20" s="267">
        <f>'17'!G49</f>
        <v>2613.1330000000016</v>
      </c>
      <c r="BB20" s="19">
        <f>'17'!G51</f>
        <v>844.69</v>
      </c>
      <c r="BC20" s="19">
        <f>'17'!G52</f>
        <v>1797.0800000000163</v>
      </c>
      <c r="BD20" s="19">
        <f>'17'!G53</f>
        <v>2150.2800000000002</v>
      </c>
      <c r="BE20" s="19">
        <f>'17'!G54</f>
        <v>66.799999999999727</v>
      </c>
      <c r="BF20" s="19">
        <f>'17'!G55</f>
        <v>0</v>
      </c>
      <c r="BG20" s="19">
        <f>'17'!G56</f>
        <v>5385.3300000000163</v>
      </c>
      <c r="BH20" s="19">
        <f>'17'!G57</f>
        <v>0</v>
      </c>
      <c r="BI20" s="268">
        <f>'17'!G50</f>
        <v>1165.7299999999814</v>
      </c>
      <c r="BJ20" s="412">
        <f t="shared" si="12"/>
        <v>5385.3300000000163</v>
      </c>
      <c r="BK20" s="412">
        <f>'17'!G84</f>
        <v>479</v>
      </c>
      <c r="BL20" s="23">
        <f t="shared" si="13"/>
        <v>52.296522045500673</v>
      </c>
      <c r="BM20" s="23">
        <f t="shared" si="14"/>
        <v>10.822830682504531</v>
      </c>
      <c r="BN20" s="24">
        <f t="shared" si="15"/>
        <v>9.0450976444534745E-2</v>
      </c>
      <c r="BO20" s="25">
        <f t="shared" si="16"/>
        <v>238715.66000000574</v>
      </c>
      <c r="BP20" s="217">
        <f t="shared" si="17"/>
        <v>8256.1400000000722</v>
      </c>
      <c r="BQ20">
        <f t="shared" si="18"/>
        <v>1.2169300159189054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61">
        <f>'18'!D4</f>
        <v>0.8</v>
      </c>
      <c r="F21" s="261">
        <f>'18'!D2</f>
        <v>0.5</v>
      </c>
      <c r="G21" s="19">
        <f>'18'!G8</f>
        <v>19399</v>
      </c>
      <c r="H21" s="19">
        <f>'18'!G8</f>
        <v>19399</v>
      </c>
      <c r="I21" s="19">
        <f>'18'!G7</f>
        <v>19329</v>
      </c>
      <c r="J21" s="19">
        <v>10</v>
      </c>
      <c r="K21" s="247">
        <f t="shared" si="3"/>
        <v>193990</v>
      </c>
      <c r="L21" s="243">
        <f t="shared" si="4"/>
        <v>95.688118811881182</v>
      </c>
      <c r="M21" s="19">
        <f>'18'!G15</f>
        <v>636.7699999997858</v>
      </c>
      <c r="N21" s="19">
        <v>35</v>
      </c>
      <c r="O21" s="238">
        <f t="shared" si="5"/>
        <v>22286.949999992503</v>
      </c>
      <c r="P21" s="19">
        <f>'18'!G20</f>
        <v>136</v>
      </c>
      <c r="Q21" s="19">
        <v>134</v>
      </c>
      <c r="R21" s="244">
        <f t="shared" si="0"/>
        <v>18224</v>
      </c>
      <c r="S21" s="245">
        <f t="shared" si="1"/>
        <v>134.65346534653466</v>
      </c>
      <c r="T21" s="19">
        <f>'18'!G24</f>
        <v>0</v>
      </c>
      <c r="U21" s="19">
        <v>69</v>
      </c>
      <c r="V21" s="246">
        <f t="shared" si="6"/>
        <v>0</v>
      </c>
      <c r="W21" s="22">
        <f>'18'!G95</f>
        <v>58</v>
      </c>
      <c r="X21" s="22">
        <f>'18'!G96</f>
        <v>34</v>
      </c>
      <c r="Y21" s="22">
        <f>'18'!G97</f>
        <v>23</v>
      </c>
      <c r="Z21" s="22">
        <f t="shared" si="7"/>
        <v>115</v>
      </c>
      <c r="AA21" s="19">
        <f>'18'!G132</f>
        <v>0</v>
      </c>
      <c r="AB21" s="19">
        <f>'18'!G133</f>
        <v>0</v>
      </c>
      <c r="AC21" s="19">
        <f>'18'!G134</f>
        <v>0</v>
      </c>
      <c r="AD21" s="19">
        <f>'18'!G135</f>
        <v>23.990000000001601</v>
      </c>
      <c r="AE21" s="19">
        <f t="shared" si="8"/>
        <v>23.990000000001601</v>
      </c>
      <c r="AF21" s="23">
        <f t="shared" si="2"/>
        <v>5039</v>
      </c>
      <c r="AG21" s="23">
        <f t="shared" si="9"/>
        <v>210.04585243850204</v>
      </c>
      <c r="AH21" s="19">
        <f>'18'!G136</f>
        <v>-0.14999999999781721</v>
      </c>
      <c r="AI21" s="19">
        <f>'18'!G137</f>
        <v>5.9599999999991269</v>
      </c>
      <c r="AJ21" s="19">
        <f>'18'!G138</f>
        <v>0</v>
      </c>
      <c r="AK21" s="19">
        <f t="shared" si="10"/>
        <v>5.8100000000013097</v>
      </c>
      <c r="AL21" s="19">
        <f>'18'!G139</f>
        <v>5.5899999999999181</v>
      </c>
      <c r="AM21" s="19">
        <f>'18'!G140</f>
        <v>0</v>
      </c>
      <c r="AN21" s="19"/>
      <c r="AO21" s="19">
        <f t="shared" si="11"/>
        <v>5.5899999999999181</v>
      </c>
      <c r="AP21" s="263">
        <f>'18'!G123</f>
        <v>199.52000000001863</v>
      </c>
      <c r="AQ21" s="267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2444</v>
      </c>
      <c r="AY21" s="23">
        <f>'18'!G44</f>
        <v>0</v>
      </c>
      <c r="AZ21" s="268">
        <f>'18'!G36</f>
        <v>557</v>
      </c>
      <c r="BA21" s="267">
        <f>'18'!G49</f>
        <v>2508.84</v>
      </c>
      <c r="BB21" s="19">
        <f>'18'!G51</f>
        <v>1428.8600000000001</v>
      </c>
      <c r="BC21" s="19">
        <f>'18'!G52</f>
        <v>1769.4099999999744</v>
      </c>
      <c r="BD21" s="19">
        <f>'18'!G53</f>
        <v>629.7199999999998</v>
      </c>
      <c r="BE21" s="19">
        <f>'18'!G54</f>
        <v>38.970000000000255</v>
      </c>
      <c r="BF21" s="19">
        <f>'18'!G55</f>
        <v>0</v>
      </c>
      <c r="BG21" s="19">
        <f>'18'!G56</f>
        <v>5039</v>
      </c>
      <c r="BH21" s="19">
        <f>'18'!G57</f>
        <v>0</v>
      </c>
      <c r="BI21" s="268">
        <f>'18'!G50</f>
        <v>952</v>
      </c>
      <c r="BJ21" s="412">
        <f t="shared" si="12"/>
        <v>5039</v>
      </c>
      <c r="BK21" s="412">
        <f>'18'!G84</f>
        <v>484</v>
      </c>
      <c r="BL21" s="23">
        <f t="shared" si="13"/>
        <v>51.693517512545917</v>
      </c>
      <c r="BM21" s="23">
        <f t="shared" si="14"/>
        <v>3.257902633348853</v>
      </c>
      <c r="BN21" s="24">
        <f t="shared" si="15"/>
        <v>9.1541724869365945E-2</v>
      </c>
      <c r="BO21" s="25">
        <f t="shared" si="16"/>
        <v>234500.9499999925</v>
      </c>
      <c r="BP21" s="217">
        <f t="shared" si="17"/>
        <v>7967</v>
      </c>
      <c r="BQ21">
        <f t="shared" si="18"/>
        <v>1.1860596677186133</v>
      </c>
    </row>
    <row r="22" spans="1:69">
      <c r="A22" s="16">
        <v>19</v>
      </c>
      <c r="B22" s="17">
        <v>19</v>
      </c>
      <c r="C22" s="27"/>
      <c r="D22" s="19">
        <f>'19'!D3</f>
        <v>30</v>
      </c>
      <c r="E22" s="261">
        <f>'19'!D4</f>
        <v>0.8</v>
      </c>
      <c r="F22" s="261">
        <f>'19'!D2</f>
        <v>0.5</v>
      </c>
      <c r="G22" s="19">
        <f>'19'!G8</f>
        <v>19562</v>
      </c>
      <c r="H22" s="19">
        <f>'19'!G8</f>
        <v>19562</v>
      </c>
      <c r="I22" s="19">
        <f>'19'!G7</f>
        <v>19338</v>
      </c>
      <c r="J22" s="19">
        <v>10</v>
      </c>
      <c r="K22" s="247">
        <f t="shared" si="3"/>
        <v>195620</v>
      </c>
      <c r="L22" s="243">
        <f t="shared" si="4"/>
        <v>95.732673267326732</v>
      </c>
      <c r="M22" s="19">
        <f>'19'!G15</f>
        <v>563.12000000011176</v>
      </c>
      <c r="N22" s="19">
        <v>35</v>
      </c>
      <c r="O22" s="238">
        <f t="shared" si="5"/>
        <v>19709.200000003912</v>
      </c>
      <c r="P22" s="19">
        <f>'19'!G20</f>
        <v>137</v>
      </c>
      <c r="Q22" s="19">
        <v>134</v>
      </c>
      <c r="R22" s="244">
        <f t="shared" si="0"/>
        <v>18358</v>
      </c>
      <c r="S22" s="245">
        <f t="shared" si="1"/>
        <v>135.64356435643563</v>
      </c>
      <c r="T22" s="19">
        <f>'19'!G24</f>
        <v>0</v>
      </c>
      <c r="U22" s="19">
        <v>69</v>
      </c>
      <c r="V22" s="246">
        <f t="shared" si="6"/>
        <v>0</v>
      </c>
      <c r="W22" s="22">
        <f>'19'!G95</f>
        <v>46</v>
      </c>
      <c r="X22" s="22">
        <f>'19'!G96</f>
        <v>25</v>
      </c>
      <c r="Y22" s="22">
        <f>'19'!G97</f>
        <v>24</v>
      </c>
      <c r="Z22" s="22">
        <f t="shared" si="7"/>
        <v>95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24.19999999999709</v>
      </c>
      <c r="AE22" s="19">
        <f t="shared" si="8"/>
        <v>24.19999999999709</v>
      </c>
      <c r="AF22" s="23">
        <f t="shared" si="2"/>
        <v>4875.4800000000396</v>
      </c>
      <c r="AG22" s="23">
        <f t="shared" si="9"/>
        <v>201.46611570250519</v>
      </c>
      <c r="AH22" s="19">
        <f>'19'!G136</f>
        <v>1.7799999999988358</v>
      </c>
      <c r="AI22" s="19">
        <f>'19'!G137</f>
        <v>0</v>
      </c>
      <c r="AJ22" s="19">
        <f>'19'!G138</f>
        <v>6.1399999999994179</v>
      </c>
      <c r="AK22" s="19">
        <f t="shared" si="10"/>
        <v>7.9199999999982538</v>
      </c>
      <c r="AL22" s="19">
        <f>'19'!G139</f>
        <v>5.9600000000000364</v>
      </c>
      <c r="AM22" s="19">
        <f>'19'!G140</f>
        <v>-7.999999999992724E-2</v>
      </c>
      <c r="AN22" s="19"/>
      <c r="AO22" s="19">
        <f t="shared" si="11"/>
        <v>5.8800000000001091</v>
      </c>
      <c r="AP22" s="263">
        <f>'19'!G123</f>
        <v>213.11999999999534</v>
      </c>
      <c r="AQ22" s="267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0.48000000003958121</v>
      </c>
      <c r="AX22" s="19">
        <f>'19'!G43</f>
        <v>2542.9499999999534</v>
      </c>
      <c r="AY22" s="23">
        <f>'19'!G44</f>
        <v>0</v>
      </c>
      <c r="AZ22" s="268">
        <f>'19'!G36</f>
        <v>579</v>
      </c>
      <c r="BA22" s="267">
        <f>'19'!G49</f>
        <v>2495.16</v>
      </c>
      <c r="BB22" s="19">
        <f>'19'!G51</f>
        <v>1411.4499999999998</v>
      </c>
      <c r="BC22" s="19">
        <f>'19'!G52</f>
        <v>1740</v>
      </c>
      <c r="BD22" s="19">
        <f>'19'!G53</f>
        <v>174.94</v>
      </c>
      <c r="BE22" s="19">
        <f>'19'!G54</f>
        <v>8.3899999999998727</v>
      </c>
      <c r="BF22" s="19">
        <f>'19'!G55</f>
        <v>0</v>
      </c>
      <c r="BG22" s="19">
        <f>'19'!G56</f>
        <v>4875</v>
      </c>
      <c r="BH22" s="19">
        <f>'19'!G57</f>
        <v>0</v>
      </c>
      <c r="BI22" s="268">
        <f>'19'!G50</f>
        <v>1094</v>
      </c>
      <c r="BJ22" s="412">
        <f t="shared" si="12"/>
        <v>4875.4800000000396</v>
      </c>
      <c r="BK22" s="412">
        <f>'19'!G84</f>
        <v>490</v>
      </c>
      <c r="BL22" s="23">
        <f t="shared" si="13"/>
        <v>51.26481538938873</v>
      </c>
      <c r="BM22" s="23">
        <f t="shared" si="14"/>
        <v>0.9046437066914883</v>
      </c>
      <c r="BN22" s="24">
        <f t="shared" si="15"/>
        <v>8.9978281104560964E-2</v>
      </c>
      <c r="BO22" s="25">
        <f t="shared" si="16"/>
        <v>233687.20000000391</v>
      </c>
      <c r="BP22" s="217">
        <f t="shared" si="17"/>
        <v>7908.429999999993</v>
      </c>
      <c r="BQ22">
        <f t="shared" si="18"/>
        <v>1.1671236717829021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61">
        <f>'20'!D4</f>
        <v>0.81</v>
      </c>
      <c r="F23" s="261">
        <f>'20'!D2</f>
        <v>0.5</v>
      </c>
      <c r="G23" s="19">
        <f>'20'!G8</f>
        <v>19097</v>
      </c>
      <c r="H23" s="19">
        <f>'20'!G8</f>
        <v>19097</v>
      </c>
      <c r="I23" s="19">
        <f>'20'!G7</f>
        <v>18874</v>
      </c>
      <c r="J23" s="19">
        <v>10</v>
      </c>
      <c r="K23" s="247">
        <f t="shared" si="3"/>
        <v>190970</v>
      </c>
      <c r="L23" s="243">
        <f t="shared" si="4"/>
        <v>93.43564356435644</v>
      </c>
      <c r="M23" s="19">
        <f>'20'!G15</f>
        <v>640</v>
      </c>
      <c r="N23" s="19">
        <v>35</v>
      </c>
      <c r="O23" s="238">
        <f t="shared" si="5"/>
        <v>22400</v>
      </c>
      <c r="P23" s="19">
        <f>'20'!G20</f>
        <v>138</v>
      </c>
      <c r="Q23" s="19">
        <v>134</v>
      </c>
      <c r="R23" s="244">
        <f t="shared" si="0"/>
        <v>18492</v>
      </c>
      <c r="S23" s="245">
        <f t="shared" si="1"/>
        <v>136.63366336633663</v>
      </c>
      <c r="T23" s="19">
        <f>'20'!G24</f>
        <v>0</v>
      </c>
      <c r="U23" s="19">
        <v>69</v>
      </c>
      <c r="V23" s="246">
        <f t="shared" si="6"/>
        <v>0</v>
      </c>
      <c r="W23" s="22">
        <f>'20'!G95</f>
        <v>65</v>
      </c>
      <c r="X23" s="22">
        <f>'20'!G96</f>
        <v>24</v>
      </c>
      <c r="Y23" s="22">
        <f>'20'!G97</f>
        <v>20</v>
      </c>
      <c r="Z23" s="22">
        <f t="shared" si="7"/>
        <v>109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24.06000000000131</v>
      </c>
      <c r="AE23" s="19">
        <f t="shared" si="8"/>
        <v>24.06000000000131</v>
      </c>
      <c r="AF23" s="23">
        <f t="shared" si="2"/>
        <v>4321.5499999999884</v>
      </c>
      <c r="AG23" s="23">
        <f t="shared" si="9"/>
        <v>179.61554447214269</v>
      </c>
      <c r="AH23" s="19">
        <f>'20'!G136</f>
        <v>0</v>
      </c>
      <c r="AI23" s="19">
        <f>'20'!G137</f>
        <v>6.0200000000004366</v>
      </c>
      <c r="AJ23" s="19">
        <f>'20'!G138</f>
        <v>0</v>
      </c>
      <c r="AK23" s="19">
        <f t="shared" si="10"/>
        <v>6.0200000000004366</v>
      </c>
      <c r="AL23" s="19">
        <f>'20'!G139</f>
        <v>5.9900000000000091</v>
      </c>
      <c r="AM23" s="19">
        <f>'20'!G140</f>
        <v>0</v>
      </c>
      <c r="AN23" s="19"/>
      <c r="AO23" s="19">
        <f t="shared" si="11"/>
        <v>5.9900000000000091</v>
      </c>
      <c r="AP23" s="263">
        <f>'20'!G123</f>
        <v>212.32999999995809</v>
      </c>
      <c r="AQ23" s="267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2540.0800000000745</v>
      </c>
      <c r="AY23" s="23">
        <f>'20'!G44</f>
        <v>0</v>
      </c>
      <c r="AZ23" s="268">
        <f>'20'!G36</f>
        <v>584</v>
      </c>
      <c r="BA23" s="267">
        <f>'20'!G49</f>
        <v>2526.3000000000029</v>
      </c>
      <c r="BB23" s="19">
        <f>'20'!G51</f>
        <v>1387.7399999999998</v>
      </c>
      <c r="BC23" s="19">
        <f>'20'!G52</f>
        <v>1763.4699999999721</v>
      </c>
      <c r="BD23" s="19">
        <f>'20'!G576</f>
        <v>0</v>
      </c>
      <c r="BE23" s="19">
        <f>'20'!G54</f>
        <v>15.980000000000018</v>
      </c>
      <c r="BF23" s="19">
        <f>'20'!G55</f>
        <v>0</v>
      </c>
      <c r="BG23" s="19">
        <f>'20'!G56</f>
        <v>4321.5499999999884</v>
      </c>
      <c r="BH23" s="19">
        <f>'20'!G57</f>
        <v>0</v>
      </c>
      <c r="BI23" s="268">
        <f>'20'!G50</f>
        <v>1090.0100000000093</v>
      </c>
      <c r="BJ23" s="412">
        <f t="shared" si="12"/>
        <v>4321.5499999999884</v>
      </c>
      <c r="BK23" s="412">
        <f>'20'!G84</f>
        <v>489</v>
      </c>
      <c r="BL23" s="23">
        <f t="shared" si="13"/>
        <v>49.740012715905827</v>
      </c>
      <c r="BM23" s="23">
        <f t="shared" si="14"/>
        <v>0</v>
      </c>
      <c r="BN23" s="24">
        <f t="shared" si="15"/>
        <v>9.3433824308571153E-2</v>
      </c>
      <c r="BO23" s="25">
        <f t="shared" si="16"/>
        <v>231862</v>
      </c>
      <c r="BP23" s="217">
        <f t="shared" si="17"/>
        <v>7350.6300000000629</v>
      </c>
      <c r="BQ23">
        <f t="shared" si="18"/>
        <v>1.0911159600997005</v>
      </c>
    </row>
    <row r="24" spans="1:69">
      <c r="A24" s="16">
        <v>21</v>
      </c>
      <c r="B24" s="26">
        <v>21</v>
      </c>
      <c r="C24" s="28"/>
      <c r="D24" s="19">
        <v>21</v>
      </c>
      <c r="E24" s="261">
        <f>'21'!D4</f>
        <v>0.81</v>
      </c>
      <c r="F24" s="261">
        <f>'21'!D2</f>
        <v>0.5</v>
      </c>
      <c r="G24" s="19">
        <f>'21'!G8</f>
        <v>19510</v>
      </c>
      <c r="H24" s="19">
        <f>'21'!G8</f>
        <v>19510</v>
      </c>
      <c r="I24" s="19">
        <f>'21'!G7</f>
        <v>19287</v>
      </c>
      <c r="J24" s="19">
        <v>10</v>
      </c>
      <c r="K24" s="247">
        <f t="shared" si="3"/>
        <v>195100</v>
      </c>
      <c r="L24" s="243">
        <f t="shared" si="4"/>
        <v>95.480198019801975</v>
      </c>
      <c r="M24" s="19">
        <f>'21'!G15</f>
        <v>733</v>
      </c>
      <c r="N24" s="19">
        <v>35</v>
      </c>
      <c r="O24" s="238">
        <f t="shared" si="5"/>
        <v>25655</v>
      </c>
      <c r="P24" s="19">
        <f>'21'!G20</f>
        <v>158</v>
      </c>
      <c r="Q24" s="19">
        <v>134</v>
      </c>
      <c r="R24" s="244">
        <f t="shared" si="0"/>
        <v>21172</v>
      </c>
      <c r="S24" s="245">
        <f t="shared" si="1"/>
        <v>156.43564356435644</v>
      </c>
      <c r="T24" s="19">
        <f>'21'!G24</f>
        <v>0</v>
      </c>
      <c r="U24" s="19">
        <v>69</v>
      </c>
      <c r="V24" s="246">
        <f t="shared" si="6"/>
        <v>0</v>
      </c>
      <c r="W24" s="22">
        <f>'21'!G95</f>
        <v>67</v>
      </c>
      <c r="X24" s="22">
        <f>'21'!G96</f>
        <v>28</v>
      </c>
      <c r="Y24" s="22">
        <f>'21'!G97</f>
        <v>30</v>
      </c>
      <c r="Z24" s="22">
        <f t="shared" si="7"/>
        <v>125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24.080000000001746</v>
      </c>
      <c r="AE24" s="19">
        <f t="shared" si="8"/>
        <v>24.080000000001746</v>
      </c>
      <c r="AF24" s="23">
        <f t="shared" si="2"/>
        <v>4688.7200000000303</v>
      </c>
      <c r="AG24" s="23">
        <f t="shared" si="9"/>
        <v>194.71428571427285</v>
      </c>
      <c r="AH24" s="19">
        <f>'21'!G136</f>
        <v>7.5900000000001455</v>
      </c>
      <c r="AI24" s="19">
        <f>'21'!G137</f>
        <v>0</v>
      </c>
      <c r="AJ24" s="19">
        <f>'21'!G138</f>
        <v>0.53999999999359716</v>
      </c>
      <c r="AK24" s="19">
        <f t="shared" si="10"/>
        <v>8.1299999999937427</v>
      </c>
      <c r="AL24" s="19">
        <f>'21'!G139</f>
        <v>5.8500000000000227</v>
      </c>
      <c r="AM24" s="19">
        <f>'21'!G140</f>
        <v>0</v>
      </c>
      <c r="AN24" s="19"/>
      <c r="AO24" s="19">
        <f t="shared" si="11"/>
        <v>5.8500000000000227</v>
      </c>
      <c r="AP24" s="263">
        <f>'21'!G123</f>
        <v>209.08000000007451</v>
      </c>
      <c r="AQ24" s="267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2540.9199999999255</v>
      </c>
      <c r="AY24" s="23">
        <f>'21'!G44</f>
        <v>0</v>
      </c>
      <c r="AZ24" s="268">
        <f>'21'!G36</f>
        <v>593.64999999999418</v>
      </c>
      <c r="BA24" s="267">
        <f>'21'!G49</f>
        <v>2502.9199999999983</v>
      </c>
      <c r="BB24" s="19">
        <f>'21'!G51</f>
        <v>1460.87</v>
      </c>
      <c r="BC24" s="19">
        <f>'21'!G52</f>
        <v>1776.8800000000047</v>
      </c>
      <c r="BD24" s="19">
        <f>'21'!G53</f>
        <v>3992.05</v>
      </c>
      <c r="BE24" s="19">
        <f>'21'!G54</f>
        <v>12.4699999999998</v>
      </c>
      <c r="BF24" s="19">
        <f>'21'!G55</f>
        <v>0</v>
      </c>
      <c r="BG24" s="19">
        <f>'21'!G56</f>
        <v>4688.7200000000303</v>
      </c>
      <c r="BH24" s="19">
        <f>'21'!G57</f>
        <v>0</v>
      </c>
      <c r="BI24" s="268">
        <f>'21'!G50</f>
        <v>1044.2000000000116</v>
      </c>
      <c r="BJ24" s="412">
        <f t="shared" si="12"/>
        <v>4688.7200000000303</v>
      </c>
      <c r="BK24" s="412">
        <f>'21'!G84</f>
        <v>485</v>
      </c>
      <c r="BL24" s="23">
        <f t="shared" si="13"/>
        <v>50.461761808471785</v>
      </c>
      <c r="BM24" s="23">
        <f t="shared" si="14"/>
        <v>20.698138642609013</v>
      </c>
      <c r="BN24" s="24">
        <f t="shared" si="15"/>
        <v>9.2148079016954904E-2</v>
      </c>
      <c r="BO24" s="25">
        <f t="shared" si="16"/>
        <v>241927</v>
      </c>
      <c r="BP24" s="217">
        <f t="shared" si="17"/>
        <v>7714.6399999999558</v>
      </c>
      <c r="BQ24">
        <f t="shared" si="18"/>
        <v>1.1441979117227392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61">
        <f>'22'!D4</f>
        <v>0.78</v>
      </c>
      <c r="F25" s="261">
        <f>'22'!D2</f>
        <v>0.5</v>
      </c>
      <c r="G25" s="19">
        <f>'22'!G8</f>
        <v>19518</v>
      </c>
      <c r="H25" s="19">
        <f>'22'!G8</f>
        <v>19518</v>
      </c>
      <c r="I25" s="19">
        <f>'22'!G7</f>
        <v>19321</v>
      </c>
      <c r="J25" s="19">
        <v>10</v>
      </c>
      <c r="K25" s="247">
        <f t="shared" si="3"/>
        <v>195180</v>
      </c>
      <c r="L25" s="243">
        <f t="shared" si="4"/>
        <v>95.648514851485146</v>
      </c>
      <c r="M25" s="19">
        <f>'22'!G15</f>
        <v>386</v>
      </c>
      <c r="N25" s="19">
        <v>35</v>
      </c>
      <c r="O25" s="238">
        <f t="shared" si="5"/>
        <v>13510</v>
      </c>
      <c r="P25" s="19">
        <f>'22'!G20</f>
        <v>171</v>
      </c>
      <c r="Q25" s="19">
        <v>134</v>
      </c>
      <c r="R25" s="244">
        <f t="shared" si="0"/>
        <v>22914</v>
      </c>
      <c r="S25" s="245">
        <f t="shared" si="1"/>
        <v>169.30693069306932</v>
      </c>
      <c r="T25" s="19">
        <f>'22'!G24</f>
        <v>0</v>
      </c>
      <c r="U25" s="19">
        <v>69</v>
      </c>
      <c r="V25" s="246">
        <f t="shared" si="6"/>
        <v>0</v>
      </c>
      <c r="W25" s="22">
        <f>'22'!G95</f>
        <v>33</v>
      </c>
      <c r="X25" s="22">
        <f>'22'!G96</f>
        <v>36</v>
      </c>
      <c r="Y25" s="22">
        <f>'22'!G97</f>
        <v>33</v>
      </c>
      <c r="Z25" s="22">
        <f t="shared" si="7"/>
        <v>102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24.039999999997235</v>
      </c>
      <c r="AE25" s="19">
        <f t="shared" si="8"/>
        <v>24.039999999997235</v>
      </c>
      <c r="AF25" s="23">
        <f t="shared" si="2"/>
        <v>4842.7600000000093</v>
      </c>
      <c r="AG25" s="23">
        <f t="shared" si="9"/>
        <v>201.44592346092205</v>
      </c>
      <c r="AH25" s="19">
        <f>'22'!G136</f>
        <v>0</v>
      </c>
      <c r="AI25" s="19">
        <f>'22'!G137</f>
        <v>0</v>
      </c>
      <c r="AJ25" s="19">
        <f>'22'!G138</f>
        <v>0</v>
      </c>
      <c r="AK25" s="19">
        <f t="shared" si="10"/>
        <v>0</v>
      </c>
      <c r="AL25" s="19">
        <f>'22'!G139</f>
        <v>6.0599999999999454</v>
      </c>
      <c r="AM25" s="19">
        <f>'22'!G140</f>
        <v>0</v>
      </c>
      <c r="AN25" s="19"/>
      <c r="AO25" s="19">
        <f t="shared" si="11"/>
        <v>6.0599999999999454</v>
      </c>
      <c r="AP25" s="263">
        <f>'22'!G123</f>
        <v>214.13000000000466</v>
      </c>
      <c r="AQ25" s="267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2571.7200000000885</v>
      </c>
      <c r="AY25" s="23">
        <f>'22'!G44</f>
        <v>0</v>
      </c>
      <c r="AZ25" s="268">
        <f>'22'!G36</f>
        <v>526.42000000001281</v>
      </c>
      <c r="BA25" s="267">
        <f>'22'!G49</f>
        <v>2714.0999999999985</v>
      </c>
      <c r="BB25" s="19">
        <f>'22'!G51</f>
        <v>1433.8900000000003</v>
      </c>
      <c r="BC25" s="19">
        <f>'22'!G52</f>
        <v>1660.7200000000303</v>
      </c>
      <c r="BD25" s="19">
        <f>'22'!G53</f>
        <v>3993.62</v>
      </c>
      <c r="BE25" s="19">
        <f>'22'!G54</f>
        <v>4.6500000000000909</v>
      </c>
      <c r="BF25" s="19">
        <f>'22'!G55</f>
        <v>0</v>
      </c>
      <c r="BG25" s="19">
        <f>'22'!G56</f>
        <v>4842.7600000000093</v>
      </c>
      <c r="BH25" s="19">
        <f>'22'!G57</f>
        <v>0</v>
      </c>
      <c r="BI25" s="268">
        <f>'22'!G50</f>
        <v>1018.1999999999534</v>
      </c>
      <c r="BJ25" s="412">
        <f t="shared" si="12"/>
        <v>4842.7600000000093</v>
      </c>
      <c r="BK25" s="412">
        <f>'22'!G84</f>
        <v>480</v>
      </c>
      <c r="BL25" s="23">
        <f t="shared" si="13"/>
        <v>52.422648931215235</v>
      </c>
      <c r="BM25" s="23">
        <f t="shared" si="14"/>
        <v>20.669841105532839</v>
      </c>
      <c r="BN25" s="24">
        <f t="shared" si="15"/>
        <v>8.5954143160293484E-2</v>
      </c>
      <c r="BO25" s="25">
        <f t="shared" si="16"/>
        <v>231604</v>
      </c>
      <c r="BP25" s="217">
        <f t="shared" si="17"/>
        <v>7894.4800000000978</v>
      </c>
      <c r="BQ25">
        <f t="shared" si="18"/>
        <v>1.1728191110056165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61">
        <f>'23'!D4</f>
        <v>0.76</v>
      </c>
      <c r="F26" s="261">
        <f>'23'!D2</f>
        <v>0.5</v>
      </c>
      <c r="G26" s="19">
        <f>'23'!G8</f>
        <v>18175</v>
      </c>
      <c r="H26" s="19">
        <f>'23'!G8</f>
        <v>18175</v>
      </c>
      <c r="I26" s="19">
        <f>'23'!G7</f>
        <v>17852</v>
      </c>
      <c r="J26" s="19">
        <v>10</v>
      </c>
      <c r="K26" s="247">
        <f t="shared" si="3"/>
        <v>181750</v>
      </c>
      <c r="L26" s="243">
        <f t="shared" si="4"/>
        <v>88.376237623762378</v>
      </c>
      <c r="M26" s="19">
        <f>'23'!G15</f>
        <v>695.03000000002794</v>
      </c>
      <c r="N26" s="19">
        <v>35</v>
      </c>
      <c r="O26" s="238">
        <f t="shared" si="5"/>
        <v>24326.050000000978</v>
      </c>
      <c r="P26" s="19">
        <f>'23'!G20</f>
        <v>155</v>
      </c>
      <c r="Q26" s="19">
        <v>134</v>
      </c>
      <c r="R26" s="244">
        <f t="shared" si="0"/>
        <v>20770</v>
      </c>
      <c r="S26" s="245">
        <f t="shared" si="1"/>
        <v>153.46534653465346</v>
      </c>
      <c r="T26" s="19">
        <f>'23'!G24</f>
        <v>0</v>
      </c>
      <c r="U26" s="19">
        <v>69</v>
      </c>
      <c r="V26" s="246">
        <f t="shared" si="6"/>
        <v>0</v>
      </c>
      <c r="W26" s="22">
        <f>'23'!G95</f>
        <v>62</v>
      </c>
      <c r="X26" s="22">
        <f>'23'!G96</f>
        <v>27</v>
      </c>
      <c r="Y26" s="22">
        <f>'23'!G97</f>
        <v>27</v>
      </c>
      <c r="Z26" s="22">
        <f t="shared" si="7"/>
        <v>116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24.430000000000291</v>
      </c>
      <c r="AE26" s="19">
        <f t="shared" si="8"/>
        <v>24.430000000000291</v>
      </c>
      <c r="AF26" s="23">
        <f t="shared" si="2"/>
        <v>3616.3199999999488</v>
      </c>
      <c r="AG26" s="23">
        <f t="shared" si="9"/>
        <v>148.02783462954997</v>
      </c>
      <c r="AH26" s="19">
        <f>'23'!G136</f>
        <v>7.4700000000011642</v>
      </c>
      <c r="AI26" s="19">
        <f>'23'!G137</f>
        <v>0</v>
      </c>
      <c r="AJ26" s="19">
        <f>'23'!G138</f>
        <v>0.52000000000407454</v>
      </c>
      <c r="AK26" s="19">
        <f t="shared" si="10"/>
        <v>7.9900000000052387</v>
      </c>
      <c r="AL26" s="19">
        <f>'23'!G139</f>
        <v>5.2200000000000273</v>
      </c>
      <c r="AM26" s="19">
        <f>'23'!G140</f>
        <v>0</v>
      </c>
      <c r="AN26" s="19"/>
      <c r="AO26" s="19">
        <f t="shared" si="11"/>
        <v>5.2200000000000273</v>
      </c>
      <c r="AP26" s="263">
        <f>'23'!G123</f>
        <v>186.21999999997206</v>
      </c>
      <c r="AQ26" s="267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2376.5999999999767</v>
      </c>
      <c r="AY26" s="23">
        <f>'23'!G44</f>
        <v>0</v>
      </c>
      <c r="AZ26" s="268">
        <f>'23'!G36</f>
        <v>566.22000000000116</v>
      </c>
      <c r="BA26" s="267">
        <f>'23'!G49</f>
        <v>2466.9800000000032</v>
      </c>
      <c r="BB26" s="19">
        <f>'23'!G51</f>
        <v>1360.33</v>
      </c>
      <c r="BC26" s="19">
        <f>'23'!G52</f>
        <v>1770.8399999999674</v>
      </c>
      <c r="BD26" s="19">
        <f>'23'!G53</f>
        <v>4059.2100000000009</v>
      </c>
      <c r="BE26" s="19">
        <f>'23'!G54</f>
        <v>20.889999999999873</v>
      </c>
      <c r="BF26" s="19">
        <f>'23'!G55</f>
        <v>0</v>
      </c>
      <c r="BG26" s="19">
        <f>'23'!G56</f>
        <v>3616.3199999999488</v>
      </c>
      <c r="BH26" s="19">
        <f>'23'!G57</f>
        <v>0</v>
      </c>
      <c r="BI26" s="268">
        <f>'23'!G50</f>
        <v>981.70000000001164</v>
      </c>
      <c r="BJ26" s="412">
        <f t="shared" si="12"/>
        <v>3616.3199999999488</v>
      </c>
      <c r="BK26" s="412">
        <f>'23'!G84</f>
        <v>476</v>
      </c>
      <c r="BL26" s="23">
        <f t="shared" si="13"/>
        <v>47.389088057360119</v>
      </c>
      <c r="BM26" s="23">
        <f t="shared" si="14"/>
        <v>22.73812457987901</v>
      </c>
      <c r="BN26" s="24">
        <f t="shared" si="15"/>
        <v>9.9195608335198707E-2</v>
      </c>
      <c r="BO26" s="25">
        <f t="shared" si="16"/>
        <v>226846.05000000098</v>
      </c>
      <c r="BP26" s="217">
        <f t="shared" si="17"/>
        <v>6468.9199999999255</v>
      </c>
      <c r="BQ26">
        <f t="shared" si="18"/>
        <v>0.94569323431376062</v>
      </c>
    </row>
    <row r="27" spans="1:69">
      <c r="A27" s="16">
        <v>24</v>
      </c>
      <c r="B27" s="17">
        <v>24</v>
      </c>
      <c r="C27" s="28"/>
      <c r="D27" s="19">
        <f>'24'!D3</f>
        <v>30</v>
      </c>
      <c r="E27" s="261">
        <f>'24'!D4</f>
        <v>0.82</v>
      </c>
      <c r="F27" s="261">
        <f>'24'!D2</f>
        <v>0.5</v>
      </c>
      <c r="G27" s="19">
        <f>'24'!G8</f>
        <v>17967</v>
      </c>
      <c r="H27" s="19">
        <f>'24'!G8</f>
        <v>17967</v>
      </c>
      <c r="I27" s="19">
        <f>'24'!G7</f>
        <v>17644</v>
      </c>
      <c r="J27" s="19">
        <v>10</v>
      </c>
      <c r="K27" s="247">
        <f t="shared" si="3"/>
        <v>179670</v>
      </c>
      <c r="L27" s="243">
        <f t="shared" si="4"/>
        <v>87.346534653465341</v>
      </c>
      <c r="M27" s="19">
        <f>'24'!G15</f>
        <v>613.16999999992549</v>
      </c>
      <c r="N27" s="19">
        <v>35</v>
      </c>
      <c r="O27" s="238">
        <f t="shared" si="5"/>
        <v>21460.949999997392</v>
      </c>
      <c r="P27" s="19">
        <f>'24'!G20</f>
        <v>174</v>
      </c>
      <c r="Q27" s="19">
        <v>134</v>
      </c>
      <c r="R27" s="244">
        <f t="shared" si="0"/>
        <v>23316</v>
      </c>
      <c r="S27" s="245">
        <f t="shared" si="1"/>
        <v>172.27722772277227</v>
      </c>
      <c r="T27" s="19">
        <f>'24'!G24</f>
        <v>0</v>
      </c>
      <c r="U27" s="19">
        <v>69</v>
      </c>
      <c r="V27" s="246">
        <f t="shared" si="6"/>
        <v>0</v>
      </c>
      <c r="W27" s="22">
        <f>'24'!G95</f>
        <v>73</v>
      </c>
      <c r="X27" s="22">
        <f>'24'!G96</f>
        <v>21</v>
      </c>
      <c r="Y27" s="22">
        <f>'24'!G97</f>
        <v>19</v>
      </c>
      <c r="Z27" s="22">
        <f t="shared" si="7"/>
        <v>113</v>
      </c>
      <c r="AA27" s="19">
        <f>'24'!G132</f>
        <v>0</v>
      </c>
      <c r="AB27" s="19">
        <f>'24'!G133</f>
        <v>0</v>
      </c>
      <c r="AC27" s="19">
        <f>'24'!G134</f>
        <v>0</v>
      </c>
      <c r="AD27" s="19">
        <f>'24'!G135</f>
        <v>24.200000000000728</v>
      </c>
      <c r="AE27" s="19">
        <f t="shared" si="8"/>
        <v>24.200000000000728</v>
      </c>
      <c r="AF27" s="23">
        <f t="shared" si="2"/>
        <v>3514.7200000000303</v>
      </c>
      <c r="AG27" s="23">
        <f t="shared" si="9"/>
        <v>145.23636363636052</v>
      </c>
      <c r="AH27" s="19">
        <f>'24'!G136</f>
        <v>3.3599999999969441</v>
      </c>
      <c r="AI27" s="19">
        <f>'24'!G137</f>
        <v>2.6499999999978172</v>
      </c>
      <c r="AJ27" s="19">
        <f>'24'!G138</f>
        <v>0</v>
      </c>
      <c r="AK27" s="19">
        <f t="shared" si="10"/>
        <v>6.0099999999947613</v>
      </c>
      <c r="AL27" s="19">
        <f>'24'!G139</f>
        <v>5.42999999999995</v>
      </c>
      <c r="AM27" s="19">
        <f>'24'!G140</f>
        <v>0</v>
      </c>
      <c r="AN27" s="19"/>
      <c r="AO27" s="19">
        <f t="shared" si="11"/>
        <v>5.42999999999995</v>
      </c>
      <c r="AP27" s="263">
        <f>'24'!G123</f>
        <v>194.23999999999069</v>
      </c>
      <c r="AQ27" s="267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2354.7199999999721</v>
      </c>
      <c r="AY27" s="23">
        <f>'24'!G44</f>
        <v>0</v>
      </c>
      <c r="AZ27" s="268">
        <f>'24'!G36</f>
        <v>543.63999999998487</v>
      </c>
      <c r="BA27" s="267">
        <f>'24'!G49</f>
        <v>2368.8699999999953</v>
      </c>
      <c r="BB27" s="19">
        <f>'24'!G51</f>
        <v>1360.5900000000001</v>
      </c>
      <c r="BC27" s="19">
        <f>'24'!G52</f>
        <v>1780.5599999999977</v>
      </c>
      <c r="BD27" s="19">
        <f>'24'!G53</f>
        <v>4093.3599999999988</v>
      </c>
      <c r="BE27" s="19">
        <f>'24'!G54</f>
        <v>18.860000000000127</v>
      </c>
      <c r="BF27" s="19">
        <f>'24'!G55</f>
        <v>0</v>
      </c>
      <c r="BG27" s="19">
        <f>'24'!G56</f>
        <v>3514.7200000000303</v>
      </c>
      <c r="BH27" s="19">
        <f>'24'!G57</f>
        <v>0</v>
      </c>
      <c r="BI27" s="268">
        <f>'24'!G50</f>
        <v>980.04000000003725</v>
      </c>
      <c r="BJ27" s="412">
        <f t="shared" si="12"/>
        <v>3514.7200000000303</v>
      </c>
      <c r="BK27" s="412">
        <f>'24'!G84</f>
        <v>503</v>
      </c>
      <c r="BL27" s="23">
        <f t="shared" si="13"/>
        <v>46.691849920652899</v>
      </c>
      <c r="BM27" s="23">
        <f t="shared" si="14"/>
        <v>23.199727952845151</v>
      </c>
      <c r="BN27" s="24">
        <f t="shared" si="15"/>
        <v>0.10091589208796178</v>
      </c>
      <c r="BO27" s="25">
        <f t="shared" si="16"/>
        <v>224446.94999999739</v>
      </c>
      <c r="BP27" s="217">
        <f t="shared" si="17"/>
        <v>6372.4400000000023</v>
      </c>
      <c r="BQ27">
        <f t="shared" si="18"/>
        <v>0.94044273907907483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61">
        <f>'25'!D4</f>
        <v>0.8</v>
      </c>
      <c r="F28" s="261">
        <f>'25'!D2</f>
        <v>0.5</v>
      </c>
      <c r="G28" s="19">
        <f>'25'!G8</f>
        <v>18627</v>
      </c>
      <c r="H28" s="19">
        <f>'25'!G8</f>
        <v>18627</v>
      </c>
      <c r="I28" s="19">
        <f>'25'!G7</f>
        <v>18314</v>
      </c>
      <c r="J28" s="19">
        <v>10</v>
      </c>
      <c r="K28" s="247">
        <f t="shared" si="3"/>
        <v>186270</v>
      </c>
      <c r="L28" s="243">
        <f t="shared" si="4"/>
        <v>90.663366336633658</v>
      </c>
      <c r="M28" s="19">
        <f>'25'!G15</f>
        <v>516.88000000012107</v>
      </c>
      <c r="N28" s="19">
        <v>35</v>
      </c>
      <c r="O28" s="238">
        <f t="shared" si="5"/>
        <v>18090.800000004238</v>
      </c>
      <c r="P28" s="19">
        <f>'25'!G20</f>
        <v>155</v>
      </c>
      <c r="Q28" s="19">
        <v>134</v>
      </c>
      <c r="R28" s="244">
        <f t="shared" si="0"/>
        <v>20770</v>
      </c>
      <c r="S28" s="245">
        <f t="shared" si="1"/>
        <v>153.46534653465346</v>
      </c>
      <c r="T28" s="19">
        <f>'25'!G24</f>
        <v>0</v>
      </c>
      <c r="U28" s="19">
        <v>69</v>
      </c>
      <c r="V28" s="246">
        <f t="shared" si="6"/>
        <v>0</v>
      </c>
      <c r="W28" s="22">
        <f>'25'!G95</f>
        <v>39</v>
      </c>
      <c r="X28" s="22">
        <f>'25'!G96</f>
        <v>24</v>
      </c>
      <c r="Y28" s="22">
        <f>'25'!G97</f>
        <v>18</v>
      </c>
      <c r="Z28" s="22">
        <f t="shared" si="7"/>
        <v>81</v>
      </c>
      <c r="AA28" s="19">
        <f>'25'!G132</f>
        <v>0</v>
      </c>
      <c r="AB28" s="19">
        <f>'25'!G133</f>
        <v>0</v>
      </c>
      <c r="AC28" s="19">
        <f>'25'!G134</f>
        <v>0</v>
      </c>
      <c r="AD28" s="19">
        <f>'25'!G135</f>
        <v>24.06000000000131</v>
      </c>
      <c r="AE28" s="19">
        <f t="shared" si="8"/>
        <v>24.06000000000131</v>
      </c>
      <c r="AF28" s="23">
        <f t="shared" si="2"/>
        <v>4159.5599999999977</v>
      </c>
      <c r="AG28" s="23">
        <f t="shared" si="9"/>
        <v>172.88279301744686</v>
      </c>
      <c r="AH28" s="19">
        <f>'24'!G136</f>
        <v>3.3599999999969441</v>
      </c>
      <c r="AI28" s="19">
        <f>'24'!G137</f>
        <v>2.6499999999978172</v>
      </c>
      <c r="AJ28" s="19">
        <f>'24'!G138</f>
        <v>0</v>
      </c>
      <c r="AK28" s="19">
        <f t="shared" si="10"/>
        <v>6.0099999999947613</v>
      </c>
      <c r="AL28" s="19">
        <f>'23'!G139</f>
        <v>5.2200000000000273</v>
      </c>
      <c r="AM28" s="19">
        <f>'24'!G140</f>
        <v>0</v>
      </c>
      <c r="AN28" s="19"/>
      <c r="AO28" s="19">
        <f t="shared" si="11"/>
        <v>5.2200000000000273</v>
      </c>
      <c r="AP28" s="263">
        <f>'25'!G123</f>
        <v>196.63000000000466</v>
      </c>
      <c r="AQ28" s="267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0</v>
      </c>
      <c r="AW28" s="19"/>
      <c r="AX28" s="19">
        <f>'25'!G43</f>
        <v>2413.5200000000186</v>
      </c>
      <c r="AY28" s="23">
        <f>'25'!G44</f>
        <v>0</v>
      </c>
      <c r="AZ28" s="268">
        <f>'25'!G36</f>
        <v>552.38000000000466</v>
      </c>
      <c r="BA28" s="267">
        <f>'25'!G49</f>
        <v>2412.1100000000006</v>
      </c>
      <c r="BB28" s="19">
        <f>'25'!G51</f>
        <v>1356.25</v>
      </c>
      <c r="BC28" s="19">
        <f>'25'!G52</f>
        <v>1692.4000000000233</v>
      </c>
      <c r="BD28" s="19">
        <f>'25'!G53</f>
        <v>4174.3300000000017</v>
      </c>
      <c r="BE28" s="19">
        <f>'24'!G54</f>
        <v>18.860000000000127</v>
      </c>
      <c r="BF28" s="19">
        <f>'25'!G55</f>
        <v>0</v>
      </c>
      <c r="BG28" s="19">
        <f>'25'!G56</f>
        <v>4159.5599999999977</v>
      </c>
      <c r="BH28" s="19">
        <f>'25'!G57</f>
        <v>0</v>
      </c>
      <c r="BI28" s="268">
        <f>'25'!G50</f>
        <v>958.85999999998603</v>
      </c>
      <c r="BJ28" s="412">
        <f t="shared" si="12"/>
        <v>4159.5599999999977</v>
      </c>
      <c r="BK28" s="412">
        <f>'25'!G84</f>
        <v>486</v>
      </c>
      <c r="BL28" s="23">
        <f t="shared" si="13"/>
        <v>49.061865239707423</v>
      </c>
      <c r="BM28" s="23">
        <f t="shared" si="14"/>
        <v>22.793109096865798</v>
      </c>
      <c r="BN28" s="24">
        <f t="shared" si="15"/>
        <v>9.2410178005898402E-2</v>
      </c>
      <c r="BO28" s="25">
        <f t="shared" si="16"/>
        <v>225130.80000000424</v>
      </c>
      <c r="BP28" s="217">
        <f t="shared" si="17"/>
        <v>7059.0800000000163</v>
      </c>
      <c r="BQ28">
        <f t="shared" si="18"/>
        <v>1.0478387364920485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61">
        <f>'26'!D4</f>
        <v>0.85</v>
      </c>
      <c r="F29" s="261">
        <f>'26'!D2</f>
        <v>0.5</v>
      </c>
      <c r="G29" s="19">
        <f>'26'!G8</f>
        <v>18593</v>
      </c>
      <c r="H29" s="19">
        <f>'26'!G8</f>
        <v>18593</v>
      </c>
      <c r="I29" s="19">
        <f>'26'!G7</f>
        <v>18294</v>
      </c>
      <c r="J29" s="19">
        <v>10</v>
      </c>
      <c r="K29" s="247">
        <f t="shared" si="3"/>
        <v>185930</v>
      </c>
      <c r="L29" s="243">
        <f t="shared" si="4"/>
        <v>90.56435643564356</v>
      </c>
      <c r="M29" s="19">
        <f>'26'!G15</f>
        <v>411.92499999981374</v>
      </c>
      <c r="N29" s="19">
        <v>35</v>
      </c>
      <c r="O29" s="238">
        <f t="shared" si="5"/>
        <v>14417.374999993481</v>
      </c>
      <c r="P29" s="19">
        <f>'26'!G20</f>
        <v>125</v>
      </c>
      <c r="Q29" s="19">
        <v>134</v>
      </c>
      <c r="R29" s="244">
        <f t="shared" si="0"/>
        <v>16750</v>
      </c>
      <c r="S29" s="245">
        <f t="shared" si="1"/>
        <v>123.76237623762376</v>
      </c>
      <c r="T29" s="19">
        <f>'26'!G24</f>
        <v>0</v>
      </c>
      <c r="U29" s="19">
        <v>69</v>
      </c>
      <c r="V29" s="246">
        <f t="shared" si="6"/>
        <v>0</v>
      </c>
      <c r="W29" s="22">
        <f>'26'!G95</f>
        <v>41</v>
      </c>
      <c r="X29" s="22">
        <f>'26'!G96</f>
        <v>28</v>
      </c>
      <c r="Y29" s="22">
        <f>'26'!G97</f>
        <v>23</v>
      </c>
      <c r="Z29" s="22">
        <f t="shared" si="7"/>
        <v>92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23.809999999997672</v>
      </c>
      <c r="AE29" s="19">
        <f t="shared" si="8"/>
        <v>23.809999999997672</v>
      </c>
      <c r="AF29" s="23">
        <f t="shared" si="2"/>
        <v>4160.8800000000047</v>
      </c>
      <c r="AG29" s="23">
        <f t="shared" si="9"/>
        <v>174.75346493071868</v>
      </c>
      <c r="AH29" s="19">
        <f>'26'!G136</f>
        <v>-0.2000000000007276</v>
      </c>
      <c r="AI29" s="19">
        <f>'26'!G137</f>
        <v>0</v>
      </c>
      <c r="AJ29" s="19">
        <f>'26'!G138</f>
        <v>0</v>
      </c>
      <c r="AK29" s="19">
        <f t="shared" si="10"/>
        <v>-0.2000000000007276</v>
      </c>
      <c r="AL29" s="19">
        <f>'26'!G139</f>
        <v>5.8199999999999363</v>
      </c>
      <c r="AM29" s="19">
        <f>'26'!G140</f>
        <v>0</v>
      </c>
      <c r="AN29" s="19"/>
      <c r="AO29" s="19">
        <f t="shared" si="11"/>
        <v>5.8199999999999363</v>
      </c>
      <c r="AP29" s="263">
        <f>'26'!G123</f>
        <v>204.28099999995902</v>
      </c>
      <c r="AQ29" s="267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2523.5999999999767</v>
      </c>
      <c r="AY29" s="23">
        <f>'26'!G44</f>
        <v>0</v>
      </c>
      <c r="AZ29" s="268">
        <f>'26'!G36</f>
        <v>634.23999999999069</v>
      </c>
      <c r="BA29" s="267">
        <f>'26'!G49</f>
        <v>2414.7070000000022</v>
      </c>
      <c r="BB29" s="19">
        <f>'26'!G51</f>
        <v>1416.3940000000002</v>
      </c>
      <c r="BC29" s="19">
        <f>'26'!G52</f>
        <v>1638.679999999993</v>
      </c>
      <c r="BD29" s="19">
        <f>'26'!G53</f>
        <v>3992.4709999999977</v>
      </c>
      <c r="BE29" s="19">
        <f>'26'!G54</f>
        <v>23.329299999999876</v>
      </c>
      <c r="BF29" s="19">
        <f>'26'!G55</f>
        <v>0</v>
      </c>
      <c r="BG29" s="19">
        <f>'26'!G56</f>
        <v>4160.8800000000047</v>
      </c>
      <c r="BH29" s="19">
        <f>'26'!G57</f>
        <v>0</v>
      </c>
      <c r="BI29" s="268">
        <f>'26'!G50</f>
        <v>1007.4400000000023</v>
      </c>
      <c r="BJ29" s="412">
        <f t="shared" si="12"/>
        <v>4160.8800000000047</v>
      </c>
      <c r="BK29" s="412">
        <f>'26'!G84</f>
        <v>491</v>
      </c>
      <c r="BL29" s="23">
        <f t="shared" si="13"/>
        <v>49.738641084508494</v>
      </c>
      <c r="BM29" s="23">
        <f t="shared" si="14"/>
        <v>21.823936809883008</v>
      </c>
      <c r="BN29" s="24">
        <f t="shared" si="15"/>
        <v>8.9553952115447047E-2</v>
      </c>
      <c r="BO29" s="25">
        <f t="shared" si="16"/>
        <v>217097.37499999348</v>
      </c>
      <c r="BP29" s="217">
        <f t="shared" si="17"/>
        <v>7175.4799999999814</v>
      </c>
      <c r="BQ29">
        <f t="shared" si="18"/>
        <v>1.0763004739906226</v>
      </c>
    </row>
    <row r="30" spans="1:69">
      <c r="A30" s="16">
        <v>27</v>
      </c>
      <c r="B30" s="17">
        <v>27</v>
      </c>
      <c r="C30" s="28"/>
      <c r="D30" s="19">
        <f>'27'!D3</f>
        <v>28</v>
      </c>
      <c r="E30" s="261">
        <f>'27'!D4</f>
        <v>0.82</v>
      </c>
      <c r="F30" s="261">
        <f>'27'!D2</f>
        <v>0.3</v>
      </c>
      <c r="G30" s="19">
        <f>'27'!G8</f>
        <v>19471</v>
      </c>
      <c r="H30" s="19">
        <f>'27'!G8</f>
        <v>19471</v>
      </c>
      <c r="I30" s="19">
        <f>'27'!G7</f>
        <v>19216</v>
      </c>
      <c r="J30" s="19">
        <v>10</v>
      </c>
      <c r="K30" s="247">
        <f t="shared" si="3"/>
        <v>194710</v>
      </c>
      <c r="L30" s="243">
        <f t="shared" si="4"/>
        <v>95.128712871287135</v>
      </c>
      <c r="M30" s="19">
        <f>'27'!G15</f>
        <v>532.6840000001248</v>
      </c>
      <c r="N30" s="19">
        <v>35</v>
      </c>
      <c r="O30" s="238">
        <f t="shared" si="5"/>
        <v>18643.940000004368</v>
      </c>
      <c r="P30" s="19">
        <f>'27'!G20</f>
        <v>137</v>
      </c>
      <c r="Q30" s="19">
        <v>134</v>
      </c>
      <c r="R30" s="244">
        <f t="shared" si="0"/>
        <v>18358</v>
      </c>
      <c r="S30" s="245">
        <f t="shared" si="1"/>
        <v>226.07260726072607</v>
      </c>
      <c r="T30" s="19">
        <f>'27'!G24</f>
        <v>0</v>
      </c>
      <c r="U30" s="19">
        <v>69</v>
      </c>
      <c r="V30" s="246">
        <f t="shared" si="6"/>
        <v>0</v>
      </c>
      <c r="W30" s="22">
        <f>'27'!G95</f>
        <v>66</v>
      </c>
      <c r="X30" s="22">
        <f>'27'!G96</f>
        <v>21</v>
      </c>
      <c r="Y30" s="22">
        <f>'27'!G97</f>
        <v>23</v>
      </c>
      <c r="Z30" s="22">
        <f t="shared" si="7"/>
        <v>110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24.010000000002037</v>
      </c>
      <c r="AE30" s="19">
        <f t="shared" si="8"/>
        <v>24.010000000002037</v>
      </c>
      <c r="AF30" s="23">
        <f t="shared" si="2"/>
        <v>3939.1199999999953</v>
      </c>
      <c r="AG30" s="23">
        <f t="shared" si="9"/>
        <v>164.06164098290967</v>
      </c>
      <c r="AH30" s="19">
        <f>'27'!G136</f>
        <v>4.3100000000013097</v>
      </c>
      <c r="AI30" s="19">
        <f>'27'!G137</f>
        <v>0.8599999999969441</v>
      </c>
      <c r="AJ30" s="19">
        <f>'27'!G138</f>
        <v>1.8300000000017462</v>
      </c>
      <c r="AK30" s="19">
        <f t="shared" si="10"/>
        <v>7</v>
      </c>
      <c r="AL30" s="19">
        <f>'27'!G139</f>
        <v>5.5500000000000682</v>
      </c>
      <c r="AM30" s="19">
        <f>'27'!G140</f>
        <v>0</v>
      </c>
      <c r="AN30" s="19"/>
      <c r="AO30" s="19">
        <f t="shared" si="11"/>
        <v>5.5500000000000682</v>
      </c>
      <c r="AP30" s="263">
        <f>'27'!G123</f>
        <v>197.3990000000922</v>
      </c>
      <c r="AQ30" s="267">
        <f>'27'!G35</f>
        <v>0.67000000004190952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2518.7600000000093</v>
      </c>
      <c r="AY30" s="23">
        <f>'27'!G44</f>
        <v>0</v>
      </c>
      <c r="AZ30" s="268">
        <f>'27'!G36</f>
        <v>950.52000000001863</v>
      </c>
      <c r="BA30" s="267">
        <f>'27'!G49</f>
        <v>1485.8839999999982</v>
      </c>
      <c r="BB30" s="19">
        <f>'27'!G51</f>
        <v>1417.6399999999994</v>
      </c>
      <c r="BC30" s="19">
        <f>'27'!G52</f>
        <v>1687.6000000000349</v>
      </c>
      <c r="BD30" s="19">
        <f>'27'!G53</f>
        <v>4133.768</v>
      </c>
      <c r="BE30" s="19">
        <f>'27'!G54</f>
        <v>25.307700000000295</v>
      </c>
      <c r="BF30" s="19">
        <f>'27'!G55</f>
        <v>0</v>
      </c>
      <c r="BG30" s="19">
        <f>'27'!G56</f>
        <v>3939.1199999999953</v>
      </c>
      <c r="BH30" s="19">
        <f>'27'!G57</f>
        <v>0</v>
      </c>
      <c r="BI30" s="268">
        <f>'27'!G50</f>
        <v>1426.9599999999627</v>
      </c>
      <c r="BJ30" s="412">
        <f t="shared" si="12"/>
        <v>3939.1199999999953</v>
      </c>
      <c r="BK30" s="412">
        <f>'27'!G84</f>
        <v>490</v>
      </c>
      <c r="BL30" s="23">
        <f t="shared" si="13"/>
        <v>41.342808076603063</v>
      </c>
      <c r="BM30" s="23">
        <f t="shared" si="14"/>
        <v>21.512114904246463</v>
      </c>
      <c r="BN30" s="24">
        <f t="shared" si="15"/>
        <v>8.7822647793507236E-2</v>
      </c>
      <c r="BO30" s="25">
        <f t="shared" si="16"/>
        <v>231711.94000000437</v>
      </c>
      <c r="BP30" s="217">
        <f t="shared" si="17"/>
        <v>6947.8800000000047</v>
      </c>
      <c r="BQ30">
        <f t="shared" si="18"/>
        <v>1.0334800975783029</v>
      </c>
    </row>
    <row r="31" spans="1:69">
      <c r="A31" s="16">
        <v>28</v>
      </c>
      <c r="B31" s="26">
        <v>28</v>
      </c>
      <c r="C31" s="28"/>
      <c r="D31" s="19">
        <f>'28'!D3</f>
        <v>28</v>
      </c>
      <c r="E31" s="261">
        <f>'28'!D4</f>
        <v>0.82</v>
      </c>
      <c r="F31" s="261">
        <f>'28'!D2</f>
        <v>0.3</v>
      </c>
      <c r="G31" s="19">
        <f>'28'!G8</f>
        <v>19772</v>
      </c>
      <c r="H31" s="19">
        <f>'28'!G8</f>
        <v>19772</v>
      </c>
      <c r="I31" s="19">
        <f>'28'!G7</f>
        <v>19557</v>
      </c>
      <c r="J31" s="19">
        <v>10</v>
      </c>
      <c r="K31" s="247">
        <f t="shared" si="3"/>
        <v>197720</v>
      </c>
      <c r="L31" s="243">
        <f t="shared" si="4"/>
        <v>96.816831683168317</v>
      </c>
      <c r="M31" s="19">
        <f>'28'!G15</f>
        <v>805.71699999994598</v>
      </c>
      <c r="N31" s="19">
        <v>35</v>
      </c>
      <c r="O31" s="238">
        <f t="shared" si="5"/>
        <v>28200.094999998109</v>
      </c>
      <c r="P31" s="19">
        <f>'28'!G20</f>
        <v>195</v>
      </c>
      <c r="Q31" s="19">
        <v>134</v>
      </c>
      <c r="R31" s="244">
        <f t="shared" si="0"/>
        <v>26130</v>
      </c>
      <c r="S31" s="245">
        <f t="shared" si="1"/>
        <v>321.78217821782181</v>
      </c>
      <c r="T31" s="19">
        <f>'28'!G24</f>
        <v>0</v>
      </c>
      <c r="U31" s="19">
        <v>69</v>
      </c>
      <c r="V31" s="246">
        <f t="shared" si="6"/>
        <v>0</v>
      </c>
      <c r="W31" s="22">
        <f>'28'!G95</f>
        <v>86</v>
      </c>
      <c r="X31" s="22">
        <f>'28'!G96</f>
        <v>30</v>
      </c>
      <c r="Y31" s="22">
        <f>'28'!G97</f>
        <v>31</v>
      </c>
      <c r="Z31" s="22">
        <f t="shared" si="7"/>
        <v>147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24.110000000000582</v>
      </c>
      <c r="AE31" s="19">
        <f t="shared" si="8"/>
        <v>24.110000000000582</v>
      </c>
      <c r="AF31" s="23">
        <f t="shared" si="2"/>
        <v>4080.9599999999919</v>
      </c>
      <c r="AG31" s="23">
        <f t="shared" si="9"/>
        <v>169.26420572376165</v>
      </c>
      <c r="AH31" s="19">
        <f>'28'!G136</f>
        <v>9.0100000000020373</v>
      </c>
      <c r="AI31" s="19">
        <f>'28'!G137</f>
        <v>0</v>
      </c>
      <c r="AJ31" s="19">
        <f>'28'!G138</f>
        <v>0</v>
      </c>
      <c r="AK31" s="19">
        <f t="shared" si="10"/>
        <v>9.0100000000020373</v>
      </c>
      <c r="AL31" s="19">
        <f>'28'!G139</f>
        <v>5.6699999999999591</v>
      </c>
      <c r="AM31" s="19">
        <f>'28'!G140</f>
        <v>0</v>
      </c>
      <c r="AN31" s="19"/>
      <c r="AO31" s="19">
        <f t="shared" si="11"/>
        <v>5.6699999999999591</v>
      </c>
      <c r="AP31" s="263">
        <f>'28'!G123</f>
        <v>202.7609999999404</v>
      </c>
      <c r="AQ31" s="267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4.9999999988358468E-2</v>
      </c>
      <c r="AX31" s="541">
        <f>'28'!G43</f>
        <v>2542.2800000000279</v>
      </c>
      <c r="AY31" s="23">
        <f>'28'!G44</f>
        <v>0</v>
      </c>
      <c r="AZ31" s="268">
        <f>'28'!G36</f>
        <v>903.55999999999767</v>
      </c>
      <c r="BA31" s="267">
        <f>'28'!G49</f>
        <v>3666.2960000000021</v>
      </c>
      <c r="BB31" s="19">
        <f>'28'!G51</f>
        <v>1446.5149999999994</v>
      </c>
      <c r="BC31" s="19">
        <f>'28'!G52</f>
        <v>1864.359999999986</v>
      </c>
      <c r="BD31" s="19">
        <f>'28'!G53</f>
        <v>4127.4940000000024</v>
      </c>
      <c r="BE31" s="19">
        <f>'28'!G54</f>
        <v>4.5864999999998872</v>
      </c>
      <c r="BF31" s="19">
        <f>'28'!G55</f>
        <v>0.26999999998952262</v>
      </c>
      <c r="BG31" s="19">
        <f>'28'!G56</f>
        <v>4080.640000000014</v>
      </c>
      <c r="BH31" s="19">
        <f>'28'!G57</f>
        <v>0</v>
      </c>
      <c r="BI31" s="268">
        <f>'28'!G50</f>
        <v>1171.6800000000512</v>
      </c>
      <c r="BJ31" s="412">
        <f t="shared" si="12"/>
        <v>4080.9599999999919</v>
      </c>
      <c r="BK31" s="412">
        <f>'28'!G84</f>
        <v>443</v>
      </c>
      <c r="BL31" s="23">
        <f>SUM(AQ31,AV31,AW31,AX31,BA31,BF31,BG31,BH31)/I31%</f>
        <v>52.613059262668209</v>
      </c>
      <c r="BM31" s="23">
        <f t="shared" si="14"/>
        <v>21.104944521143338</v>
      </c>
      <c r="BN31" s="24">
        <f t="shared" si="15"/>
        <v>9.5329549521909598E-2</v>
      </c>
      <c r="BO31" s="25">
        <f t="shared" si="16"/>
        <v>252050.09499999811</v>
      </c>
      <c r="BP31" s="217">
        <f t="shared" si="17"/>
        <v>7066.2400000000198</v>
      </c>
      <c r="BQ31">
        <f t="shared" si="18"/>
        <v>1.046726313918328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61">
        <f>'29'!D4</f>
        <v>0.8</v>
      </c>
      <c r="F32" s="261">
        <f>'29'!D2</f>
        <v>0.3</v>
      </c>
      <c r="G32" s="19">
        <f>'29'!G8</f>
        <v>21286</v>
      </c>
      <c r="H32" s="19">
        <f>'29'!G8</f>
        <v>21286</v>
      </c>
      <c r="I32" s="19">
        <f>'29'!G7</f>
        <v>21144</v>
      </c>
      <c r="J32" s="19">
        <v>10</v>
      </c>
      <c r="K32" s="247">
        <f t="shared" si="3"/>
        <v>212860</v>
      </c>
      <c r="L32" s="243">
        <f t="shared" si="4"/>
        <v>104.67326732673267</v>
      </c>
      <c r="M32" s="19">
        <f>'29'!G15</f>
        <v>795.00800000014715</v>
      </c>
      <c r="N32" s="19">
        <v>35</v>
      </c>
      <c r="O32" s="238">
        <f t="shared" si="5"/>
        <v>27825.28000000515</v>
      </c>
      <c r="P32" s="19">
        <f>'29'!G20</f>
        <v>201</v>
      </c>
      <c r="Q32" s="19">
        <v>134</v>
      </c>
      <c r="R32" s="244">
        <f t="shared" si="0"/>
        <v>26934</v>
      </c>
      <c r="S32" s="245">
        <f t="shared" si="1"/>
        <v>331.68316831683171</v>
      </c>
      <c r="T32" s="19">
        <f>'29'!G24</f>
        <v>0</v>
      </c>
      <c r="U32" s="19">
        <v>69</v>
      </c>
      <c r="V32" s="246">
        <f t="shared" si="6"/>
        <v>0</v>
      </c>
      <c r="W32" s="22">
        <f>'29'!G95</f>
        <v>72</v>
      </c>
      <c r="X32" s="22">
        <f>'29'!G96</f>
        <v>32</v>
      </c>
      <c r="Y32" s="22">
        <f>'29'!G97</f>
        <v>35</v>
      </c>
      <c r="Z32" s="22">
        <f t="shared" si="7"/>
        <v>139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24.029999999998836</v>
      </c>
      <c r="AE32" s="19">
        <f t="shared" si="8"/>
        <v>24.029999999998836</v>
      </c>
      <c r="AF32" s="23">
        <f t="shared" si="2"/>
        <v>5257.9299999999639</v>
      </c>
      <c r="AG32" s="23">
        <f t="shared" si="9"/>
        <v>218.80690803163623</v>
      </c>
      <c r="AH32" s="19">
        <f>'29'!G136</f>
        <v>7.7099999999991269</v>
      </c>
      <c r="AI32" s="19">
        <f>'29'!G137</f>
        <v>0</v>
      </c>
      <c r="AJ32" s="19">
        <f>'29'!G138</f>
        <v>0</v>
      </c>
      <c r="AK32" s="19">
        <f t="shared" si="10"/>
        <v>7.7099999999991269</v>
      </c>
      <c r="AL32" s="19">
        <f>'29'!G139</f>
        <v>5.8600000000000136</v>
      </c>
      <c r="AM32" s="19">
        <f>'29'!G140</f>
        <v>0</v>
      </c>
      <c r="AN32" s="19"/>
      <c r="AO32" s="19">
        <f t="shared" si="11"/>
        <v>5.8600000000000136</v>
      </c>
      <c r="AP32" s="263">
        <f>'29'!G123</f>
        <v>210.21200000005774</v>
      </c>
      <c r="AQ32" s="267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2512</v>
      </c>
      <c r="AY32" s="23">
        <f>'29'!G44</f>
        <v>0</v>
      </c>
      <c r="AZ32" s="268">
        <f>'29'!G36</f>
        <v>933.10000000000582</v>
      </c>
      <c r="BA32" s="267">
        <f>'29'!G49</f>
        <v>2733.4959999999992</v>
      </c>
      <c r="BB32" s="19">
        <f>'29'!G51</f>
        <v>1482.2919999999995</v>
      </c>
      <c r="BC32" s="19">
        <f>'29'!G52</f>
        <v>1856.5599999999977</v>
      </c>
      <c r="BD32" s="19">
        <f>'29'!G53</f>
        <v>4153.9759999999951</v>
      </c>
      <c r="BE32" s="19">
        <f>'29'!G54</f>
        <v>2.9171999999998661</v>
      </c>
      <c r="BF32" s="19">
        <f>'29'!G55</f>
        <v>-0.26999999998952262</v>
      </c>
      <c r="BG32" s="19">
        <f>'29'!G56</f>
        <v>5258.1999999999534</v>
      </c>
      <c r="BH32" s="19">
        <f>'29'!G57</f>
        <v>0</v>
      </c>
      <c r="BI32" s="268">
        <f>'29'!G50</f>
        <v>1489.1199999999953</v>
      </c>
      <c r="BJ32" s="412">
        <f t="shared" si="12"/>
        <v>5257.9299999999639</v>
      </c>
      <c r="BK32" s="412">
        <f>'29'!G84</f>
        <v>498</v>
      </c>
      <c r="BL32" s="23">
        <f t="shared" si="13"/>
        <v>49.675681044267705</v>
      </c>
      <c r="BM32" s="23">
        <f t="shared" si="14"/>
        <v>19.646121831252341</v>
      </c>
      <c r="BN32" s="24">
        <f t="shared" si="15"/>
        <v>8.7805524025728235E-2</v>
      </c>
      <c r="BO32" s="25">
        <f t="shared" si="16"/>
        <v>267619.28000000515</v>
      </c>
      <c r="BP32" s="217">
        <f t="shared" si="17"/>
        <v>8267.9299999999639</v>
      </c>
      <c r="BQ32">
        <f t="shared" si="18"/>
        <v>1.2288107127995309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61">
        <f>'30'!D4</f>
        <v>0.8</v>
      </c>
      <c r="F33" s="261">
        <f>'30'!D2</f>
        <v>0.3</v>
      </c>
      <c r="G33" s="19">
        <f>'30'!G8</f>
        <v>21390</v>
      </c>
      <c r="H33" s="19">
        <f>'30'!G8</f>
        <v>21390</v>
      </c>
      <c r="I33" s="19">
        <f>'30'!G7</f>
        <v>21224</v>
      </c>
      <c r="J33" s="19">
        <v>10</v>
      </c>
      <c r="K33" s="247">
        <f t="shared" si="3"/>
        <v>213900</v>
      </c>
      <c r="L33" s="243">
        <f t="shared" si="4"/>
        <v>105.06930693069307</v>
      </c>
      <c r="M33" s="19">
        <f>'30'!G15</f>
        <v>675.18699999991804</v>
      </c>
      <c r="N33" s="19">
        <v>35</v>
      </c>
      <c r="O33" s="238">
        <f t="shared" si="5"/>
        <v>23631.544999997132</v>
      </c>
      <c r="P33" s="19">
        <f>'30'!G20</f>
        <v>197</v>
      </c>
      <c r="Q33" s="19">
        <v>134</v>
      </c>
      <c r="R33" s="244">
        <f t="shared" si="0"/>
        <v>26398</v>
      </c>
      <c r="S33" s="245">
        <f t="shared" si="1"/>
        <v>325.08250825082507</v>
      </c>
      <c r="T33" s="19">
        <f>'30'!G24</f>
        <v>0</v>
      </c>
      <c r="U33" s="19">
        <v>69</v>
      </c>
      <c r="V33" s="246">
        <f t="shared" si="6"/>
        <v>0</v>
      </c>
      <c r="W33" s="22">
        <f>'30'!G95</f>
        <v>74</v>
      </c>
      <c r="X33" s="22">
        <f>'30'!G96</f>
        <v>32</v>
      </c>
      <c r="Y33" s="22">
        <f>'30'!G97</f>
        <v>50</v>
      </c>
      <c r="Z33" s="22">
        <f t="shared" si="7"/>
        <v>156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24.180000000000291</v>
      </c>
      <c r="AE33" s="19">
        <f t="shared" si="8"/>
        <v>24.180000000000291</v>
      </c>
      <c r="AF33" s="23">
        <f t="shared" si="2"/>
        <v>0</v>
      </c>
      <c r="AG33" s="23">
        <f t="shared" si="9"/>
        <v>0</v>
      </c>
      <c r="AH33" s="19">
        <f>'30'!G136</f>
        <v>6.2700000000004366</v>
      </c>
      <c r="AI33" s="19">
        <f>'30'!G137</f>
        <v>0</v>
      </c>
      <c r="AJ33" s="19">
        <f>'30'!G138</f>
        <v>0</v>
      </c>
      <c r="AK33" s="19">
        <f t="shared" si="10"/>
        <v>6.2700000000004366</v>
      </c>
      <c r="AL33" s="19">
        <f>'30'!G139</f>
        <v>5.5499999999999545</v>
      </c>
      <c r="AM33" s="19">
        <f>'30'!G140</f>
        <v>0</v>
      </c>
      <c r="AN33" s="19"/>
      <c r="AO33" s="19">
        <f t="shared" si="11"/>
        <v>5.5499999999999545</v>
      </c>
      <c r="AP33" s="263">
        <f>'30'!G123</f>
        <v>194.78699999989476</v>
      </c>
      <c r="AQ33" s="267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2319.1600000000326</v>
      </c>
      <c r="AY33" s="23">
        <f>'30'!G44</f>
        <v>0</v>
      </c>
      <c r="AZ33" s="268">
        <f>'30'!G36</f>
        <v>0</v>
      </c>
      <c r="BA33" s="19">
        <f>'30'!BA33</f>
        <v>0</v>
      </c>
      <c r="BB33" s="261">
        <f>'30'!BA4</f>
        <v>0</v>
      </c>
      <c r="BC33" s="261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43">
        <f t="shared" ref="BI33" si="19">BF33/202</f>
        <v>0</v>
      </c>
      <c r="BJ33" s="412">
        <f t="shared" si="12"/>
        <v>0</v>
      </c>
      <c r="BK33" s="412">
        <f>'31'!G84</f>
        <v>-44441</v>
      </c>
      <c r="BL33" s="23">
        <f t="shared" si="13"/>
        <v>10.927063701470187</v>
      </c>
      <c r="BM33" s="23">
        <f t="shared" si="14"/>
        <v>0</v>
      </c>
      <c r="BN33" s="24">
        <f t="shared" si="15"/>
        <v>0</v>
      </c>
      <c r="BO33" s="25">
        <f t="shared" si="16"/>
        <v>263929.54499999713</v>
      </c>
      <c r="BP33" s="217">
        <f t="shared" si="17"/>
        <v>-42121.839999999967</v>
      </c>
      <c r="BQ33">
        <f t="shared" si="18"/>
        <v>-6.2214699279214614</v>
      </c>
    </row>
    <row r="34" spans="1:69">
      <c r="A34" s="16">
        <v>31</v>
      </c>
      <c r="B34" s="27">
        <v>31</v>
      </c>
      <c r="C34" s="28"/>
      <c r="D34" s="469">
        <f>'31'!D33</f>
        <v>0</v>
      </c>
      <c r="E34" s="261">
        <f>'31'!D4</f>
        <v>0.8</v>
      </c>
      <c r="F34" s="261">
        <f>'31'!D2</f>
        <v>0.3</v>
      </c>
      <c r="G34" s="19">
        <f>'31'!G8</f>
        <v>-1587613</v>
      </c>
      <c r="H34" s="19">
        <f>'31'!G8</f>
        <v>-1587613</v>
      </c>
      <c r="I34" s="943">
        <f>'31'!G7</f>
        <v>-1578501</v>
      </c>
      <c r="J34" s="19">
        <v>10</v>
      </c>
      <c r="K34" s="247">
        <f t="shared" si="3"/>
        <v>-15876130</v>
      </c>
      <c r="L34" s="243">
        <f t="shared" si="4"/>
        <v>-7814.3613861386139</v>
      </c>
      <c r="M34" s="19">
        <f>'31'!G46</f>
        <v>0</v>
      </c>
      <c r="N34" s="19">
        <v>35</v>
      </c>
      <c r="O34" s="238">
        <f t="shared" si="5"/>
        <v>0</v>
      </c>
      <c r="P34" s="19">
        <f>'30'!G20</f>
        <v>197</v>
      </c>
      <c r="Q34" s="19">
        <v>134</v>
      </c>
      <c r="R34" s="244">
        <f t="shared" si="0"/>
        <v>26398</v>
      </c>
      <c r="S34" s="245">
        <f t="shared" si="1"/>
        <v>325.08250825082507</v>
      </c>
      <c r="T34" s="19">
        <f>'31'!G25</f>
        <v>0</v>
      </c>
      <c r="U34" s="19">
        <v>69</v>
      </c>
      <c r="V34" s="246">
        <f t="shared" si="6"/>
        <v>0</v>
      </c>
      <c r="W34" s="22">
        <f>'31'!G96</f>
        <v>-1959</v>
      </c>
      <c r="X34" s="22">
        <f>'31'!G97</f>
        <v>-1613</v>
      </c>
      <c r="Y34" s="22">
        <f>'31'!G98</f>
        <v>-2568</v>
      </c>
      <c r="Z34" s="22">
        <f t="shared" si="7"/>
        <v>-6140</v>
      </c>
      <c r="AA34" s="19">
        <f>'31'!G133</f>
        <v>-1300.6600000000035</v>
      </c>
      <c r="AB34" s="19">
        <f>'31'!G134</f>
        <v>1.2699999999967986</v>
      </c>
      <c r="AC34" s="19">
        <f>'31'!G135</f>
        <v>-902.36000000000058</v>
      </c>
      <c r="AD34" s="19">
        <f>'31'!G136</f>
        <v>-152.36000000000058</v>
      </c>
      <c r="AE34" s="19">
        <f t="shared" ref="AE34" si="20">AA34+AB34+AC34+AD34</f>
        <v>-2354.1100000000079</v>
      </c>
      <c r="AF34" s="23">
        <f t="shared" si="2"/>
        <v>-451955.68300000002</v>
      </c>
      <c r="AG34" s="23">
        <f t="shared" ref="AG34" si="21">AF34/AE34</f>
        <v>191.98579633067212</v>
      </c>
      <c r="AH34" s="19">
        <f>'31'!G137</f>
        <v>-93.94999999999709</v>
      </c>
      <c r="AI34" s="19">
        <f>'31'!G138</f>
        <v>-237</v>
      </c>
      <c r="AJ34" s="19">
        <f>'30'!G139</f>
        <v>5.5499999999999545</v>
      </c>
      <c r="AK34" s="19">
        <f t="shared" ref="AK34" si="22">AH34+AI34+AJ34</f>
        <v>-325.39999999999714</v>
      </c>
      <c r="AL34" s="19">
        <f>'31'!G140</f>
        <v>-43.819999999999709</v>
      </c>
      <c r="AM34" s="19">
        <f>'31'!G141</f>
        <v>0</v>
      </c>
      <c r="AN34" s="19"/>
      <c r="AO34" s="19">
        <f>AL34+AM34</f>
        <v>-43.819999999999709</v>
      </c>
      <c r="AP34" s="263">
        <f>'31'!G124</f>
        <v>-1.1999999999970896</v>
      </c>
      <c r="AQ34" s="267">
        <f>'31'!G36</f>
        <v>-54838.400000000023</v>
      </c>
      <c r="AR34" s="19">
        <f>'31'!G38</f>
        <v>0</v>
      </c>
      <c r="AS34" s="19">
        <f>'31'!G39</f>
        <v>-239151.84999999998</v>
      </c>
      <c r="AT34" s="19">
        <f>'31'!G40</f>
        <v>0</v>
      </c>
      <c r="AU34" s="19">
        <f>'31'!G41</f>
        <v>1.9999999960418791E-2</v>
      </c>
      <c r="AV34" s="19">
        <f>'31'!G42</f>
        <v>-241074.21</v>
      </c>
      <c r="AW34" s="19">
        <f>'31'!G43</f>
        <v>-204539.80000000005</v>
      </c>
      <c r="AX34" s="19">
        <f>'31'!G44</f>
        <v>0</v>
      </c>
      <c r="AY34" s="23">
        <f>'31'!G45</f>
        <v>0</v>
      </c>
      <c r="AZ34" s="268">
        <f>'31'!G37</f>
        <v>-101861.60999999999</v>
      </c>
      <c r="BA34" s="19">
        <f>'31'!BA34</f>
        <v>0</v>
      </c>
      <c r="BB34" s="261">
        <f>'31'!BA5</f>
        <v>0</v>
      </c>
      <c r="BC34" s="261">
        <f>'31'!BA3</f>
        <v>0</v>
      </c>
      <c r="BD34" s="19">
        <f>'31'!BD9</f>
        <v>0</v>
      </c>
      <c r="BE34" s="19">
        <f>'31'!BC8</f>
        <v>0</v>
      </c>
      <c r="BF34" s="19">
        <f>'31'!BD8</f>
        <v>0</v>
      </c>
      <c r="BG34" s="19">
        <f>'31'!G58</f>
        <v>-6341.6730000000007</v>
      </c>
      <c r="BH34" s="19">
        <f>'31'!H58</f>
        <v>-3879.9260000000013</v>
      </c>
      <c r="BI34" s="243">
        <f>BF34/202</f>
        <v>0</v>
      </c>
      <c r="BJ34" s="412">
        <f>SUM(AV34,AW34,BF34,BG34)</f>
        <v>-451955.68300000002</v>
      </c>
      <c r="BK34" s="412">
        <f>'31'!G85</f>
        <v>-157348.05000000002</v>
      </c>
      <c r="BL34" s="23">
        <f>SUM(AQ34,AV34,AW34,AX34,BA34,BF34,BG34,BH34)/I34%</f>
        <v>32.351833099884004</v>
      </c>
      <c r="BM34" s="23">
        <f t="shared" ref="BM34" si="23">SUM(AT34,BD34)/I34%</f>
        <v>0</v>
      </c>
      <c r="BN34" s="24">
        <f>(AS34+BC34)/I34</f>
        <v>0.15150566898595566</v>
      </c>
      <c r="BO34" s="25">
        <f>K34+O34+R34+V34</f>
        <v>-15849732</v>
      </c>
      <c r="BP34" s="217">
        <f t="shared" ref="BP34" si="24">SUM(AV34,AW34,AX34,BF34,BG34,BH34,BK34)</f>
        <v>-613183.65899999999</v>
      </c>
      <c r="BQ34">
        <f t="shared" si="18"/>
        <v>0.93026308850720962</v>
      </c>
    </row>
    <row r="35" spans="1:69">
      <c r="A35" s="16"/>
      <c r="B35" s="30"/>
      <c r="C35" s="31"/>
      <c r="D35" s="32">
        <f>AVERAGE(D4:D34)</f>
        <v>27.677419354838708</v>
      </c>
      <c r="E35" s="33"/>
      <c r="F35" s="428">
        <f>AVERAGE(F4:F34)</f>
        <v>0.39677419354838722</v>
      </c>
      <c r="G35" s="38">
        <f>AVERAGE(G4:G34)</f>
        <v>-32255.774193548386</v>
      </c>
      <c r="H35" s="38"/>
      <c r="I35" s="38">
        <f>AVERAGE(I4:I34)</f>
        <v>-32098.225806451614</v>
      </c>
      <c r="J35" s="34"/>
      <c r="K35" s="239"/>
      <c r="L35" s="239"/>
      <c r="M35" s="34"/>
      <c r="N35" s="34"/>
      <c r="O35" s="239"/>
      <c r="P35" s="34"/>
      <c r="Q35" s="34"/>
      <c r="R35" s="239"/>
      <c r="S35" s="239"/>
      <c r="T35" s="34"/>
      <c r="U35" s="34"/>
      <c r="V35" s="239"/>
      <c r="W35" s="35"/>
      <c r="X35" s="35"/>
      <c r="Y35" s="35"/>
      <c r="Z35" s="35"/>
      <c r="AA35" s="34"/>
      <c r="AB35" s="34"/>
      <c r="AC35" s="34"/>
      <c r="AD35" s="34"/>
      <c r="AE35" s="34"/>
      <c r="AF35" s="34"/>
      <c r="AG35" s="34"/>
      <c r="AH35" s="38">
        <f>SUM(AH4:AH34)</f>
        <v>-14.099999999998545</v>
      </c>
      <c r="AI35" s="38"/>
      <c r="AJ35" s="38">
        <f>SUM(AJ4:AJ34)</f>
        <v>69.459999999988895</v>
      </c>
      <c r="AK35" s="34"/>
      <c r="AL35" s="34"/>
      <c r="AM35" s="34"/>
      <c r="AN35" s="34"/>
      <c r="AO35" s="34"/>
      <c r="AP35" s="264"/>
      <c r="AQ35" s="269"/>
      <c r="AR35" s="34"/>
      <c r="AS35" s="34"/>
      <c r="AT35" s="34"/>
      <c r="AU35" s="34"/>
      <c r="AV35" s="34"/>
      <c r="AW35" s="34"/>
      <c r="AX35" s="34"/>
      <c r="AY35" s="34"/>
      <c r="AZ35" s="270"/>
      <c r="BA35" s="269"/>
      <c r="BB35" s="34"/>
      <c r="BC35" s="34"/>
      <c r="BD35" s="34"/>
      <c r="BE35" s="34"/>
      <c r="BF35" s="34"/>
      <c r="BG35" s="34"/>
      <c r="BH35" s="34"/>
      <c r="BI35" s="270"/>
      <c r="BJ35" s="413"/>
      <c r="BK35" s="413"/>
      <c r="BL35" s="472">
        <f>AQ35+BA35/I38</f>
        <v>0</v>
      </c>
      <c r="BM35" s="36"/>
      <c r="BN35" s="24">
        <f>(AS35+BC35)/I38</f>
        <v>0</v>
      </c>
      <c r="BO35" s="37"/>
      <c r="BP35" s="217">
        <f t="shared" si="17"/>
        <v>0</v>
      </c>
      <c r="BQ35" t="e">
        <f t="shared" si="18"/>
        <v>#DIV/0!</v>
      </c>
    </row>
    <row r="36" spans="1:69" ht="16.5" thickBot="1">
      <c r="A36" s="16"/>
      <c r="B36" s="30"/>
      <c r="C36" s="31"/>
      <c r="D36" s="32"/>
      <c r="E36" s="33"/>
      <c r="F36" s="32">
        <f>AVERAGE(F4:F34)</f>
        <v>0.39677419354838722</v>
      </c>
      <c r="G36" s="32"/>
      <c r="H36" s="32"/>
      <c r="I36" s="38"/>
      <c r="J36" s="34"/>
      <c r="K36" s="239"/>
      <c r="L36" s="239"/>
      <c r="M36" s="38">
        <f>AVERAGE(M4:M34)</f>
        <v>545.60790322582056</v>
      </c>
      <c r="N36" s="34"/>
      <c r="O36" s="239"/>
      <c r="P36" s="38">
        <f>AVERAGE(P4:P35)</f>
        <v>162.80645161290323</v>
      </c>
      <c r="Q36" s="34"/>
      <c r="R36" s="239"/>
      <c r="S36" s="239"/>
      <c r="T36" s="34"/>
      <c r="U36" s="34"/>
      <c r="V36" s="239"/>
      <c r="W36" s="35"/>
      <c r="X36" s="35"/>
      <c r="Y36" s="35"/>
      <c r="Z36" s="35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8">
        <f>SUM(AL4:AL35)</f>
        <v>127.34000000000037</v>
      </c>
      <c r="AM36" s="38">
        <f>SUM(AM4:AM35)</f>
        <v>2.6299999999991996</v>
      </c>
      <c r="AN36" s="34"/>
      <c r="AO36" s="34"/>
      <c r="AP36" s="264"/>
      <c r="AQ36" s="271"/>
      <c r="AR36" s="272"/>
      <c r="AS36" s="272"/>
      <c r="AT36" s="272"/>
      <c r="AU36" s="272"/>
      <c r="AV36" s="272"/>
      <c r="AW36" s="272"/>
      <c r="AX36" s="272"/>
      <c r="AY36" s="272"/>
      <c r="AZ36" s="273"/>
      <c r="BA36" s="271"/>
      <c r="BB36" s="272"/>
      <c r="BC36" s="272"/>
      <c r="BD36" s="272"/>
      <c r="BE36" s="272"/>
      <c r="BF36" s="272"/>
      <c r="BG36" s="272"/>
      <c r="BH36" s="272"/>
      <c r="BI36" s="273"/>
      <c r="BJ36" s="414"/>
      <c r="BK36" s="414"/>
      <c r="BL36" s="472" t="e">
        <f>AQ36+BA36/I39</f>
        <v>#DIV/0!</v>
      </c>
      <c r="BM36" s="34"/>
      <c r="BN36" s="24" t="e">
        <f t="shared" ref="BN36" si="25">(SUM(AS36+AR36+AU36+BB36+BC36+BE36))/I36</f>
        <v>#DIV/0!</v>
      </c>
      <c r="BO36" s="34"/>
      <c r="BP36" s="217">
        <f t="shared" si="17"/>
        <v>0</v>
      </c>
      <c r="BQ36" t="e">
        <f t="shared" si="18"/>
        <v>#DIV/0!</v>
      </c>
    </row>
    <row r="37" spans="1:69">
      <c r="A37" s="39"/>
      <c r="B37" s="39">
        <f t="shared" ref="B37:F37" si="26">B18-B17</f>
        <v>1</v>
      </c>
      <c r="C37" s="39">
        <f t="shared" si="26"/>
        <v>0</v>
      </c>
      <c r="D37" s="39">
        <f t="shared" si="26"/>
        <v>-2</v>
      </c>
      <c r="E37" s="39">
        <f t="shared" si="26"/>
        <v>-1.9999999999999907E-2</v>
      </c>
      <c r="F37" s="39">
        <f t="shared" si="26"/>
        <v>0</v>
      </c>
      <c r="G37" s="39"/>
      <c r="H37" s="39"/>
      <c r="I37" s="39">
        <f t="shared" ref="I37:AO37" si="27">I18-I17</f>
        <v>1134</v>
      </c>
      <c r="J37" s="39">
        <f t="shared" si="27"/>
        <v>0</v>
      </c>
      <c r="K37" s="240">
        <f t="shared" si="27"/>
        <v>11250</v>
      </c>
      <c r="L37" s="240">
        <f t="shared" si="27"/>
        <v>5.6138613861386091</v>
      </c>
      <c r="M37" s="39">
        <f t="shared" si="27"/>
        <v>52.851999999955297</v>
      </c>
      <c r="N37" s="39">
        <f t="shared" si="27"/>
        <v>0</v>
      </c>
      <c r="O37" s="240">
        <f t="shared" si="27"/>
        <v>1849.8199999984354</v>
      </c>
      <c r="P37" s="39">
        <f t="shared" si="27"/>
        <v>-11</v>
      </c>
      <c r="Q37" s="39">
        <f t="shared" si="27"/>
        <v>0</v>
      </c>
      <c r="R37" s="240">
        <f t="shared" si="27"/>
        <v>-1474</v>
      </c>
      <c r="S37" s="240">
        <f t="shared" si="27"/>
        <v>-10.89108910891089</v>
      </c>
      <c r="T37" s="39">
        <f t="shared" si="27"/>
        <v>0</v>
      </c>
      <c r="U37" s="39">
        <f t="shared" si="27"/>
        <v>0</v>
      </c>
      <c r="V37" s="240">
        <f t="shared" si="27"/>
        <v>0</v>
      </c>
      <c r="W37" s="39">
        <f t="shared" si="27"/>
        <v>1</v>
      </c>
      <c r="X37" s="39">
        <f t="shared" si="27"/>
        <v>0.80000000000291038</v>
      </c>
      <c r="Y37" s="39">
        <f t="shared" si="27"/>
        <v>-3</v>
      </c>
      <c r="Z37" s="39">
        <f t="shared" si="27"/>
        <v>-1.1999999999970896</v>
      </c>
      <c r="AA37" s="39">
        <f t="shared" si="27"/>
        <v>0</v>
      </c>
      <c r="AB37" s="39">
        <f t="shared" si="27"/>
        <v>0</v>
      </c>
      <c r="AC37" s="39">
        <f t="shared" si="27"/>
        <v>0</v>
      </c>
      <c r="AD37" s="39">
        <f t="shared" si="27"/>
        <v>0</v>
      </c>
      <c r="AE37" s="39">
        <f t="shared" si="27"/>
        <v>0</v>
      </c>
      <c r="AF37" s="39">
        <f t="shared" si="27"/>
        <v>694.3399999999674</v>
      </c>
      <c r="AG37" s="39">
        <f t="shared" si="27"/>
        <v>28.930833333331975</v>
      </c>
      <c r="AH37" s="39">
        <f t="shared" si="27"/>
        <v>0</v>
      </c>
      <c r="AI37" s="39">
        <f t="shared" si="27"/>
        <v>0</v>
      </c>
      <c r="AJ37" s="39">
        <f t="shared" si="27"/>
        <v>0</v>
      </c>
      <c r="AK37" s="39">
        <f t="shared" si="27"/>
        <v>0</v>
      </c>
      <c r="AL37" s="39">
        <f t="shared" si="27"/>
        <v>0.58000000000004093</v>
      </c>
      <c r="AM37" s="39">
        <f t="shared" si="27"/>
        <v>-1.9999999999527063E-2</v>
      </c>
      <c r="AN37" s="39">
        <f t="shared" si="27"/>
        <v>0</v>
      </c>
      <c r="AO37" s="39">
        <f t="shared" si="27"/>
        <v>0.56000000000051386</v>
      </c>
      <c r="AP37" s="39"/>
      <c r="AQ37" s="39">
        <f t="shared" ref="AQ37:AX37" si="28">AQ18-AQ17</f>
        <v>0</v>
      </c>
      <c r="AR37" s="39">
        <f t="shared" si="28"/>
        <v>0</v>
      </c>
      <c r="AS37" s="39">
        <f t="shared" si="28"/>
        <v>0</v>
      </c>
      <c r="AT37" s="39">
        <f t="shared" si="28"/>
        <v>0</v>
      </c>
      <c r="AU37" s="39">
        <f t="shared" si="28"/>
        <v>0</v>
      </c>
      <c r="AV37" s="39">
        <f t="shared" si="28"/>
        <v>0</v>
      </c>
      <c r="AW37" s="39">
        <f t="shared" si="28"/>
        <v>0</v>
      </c>
      <c r="AX37" s="39">
        <f t="shared" si="28"/>
        <v>-22.64000000001397</v>
      </c>
      <c r="AY37" s="39"/>
      <c r="AZ37" s="39"/>
      <c r="BA37" s="39">
        <f t="shared" ref="BA37:BH37" si="29">BA18-BA17</f>
        <v>-546.92400000000271</v>
      </c>
      <c r="BB37" s="39">
        <f t="shared" si="29"/>
        <v>15.137000000000626</v>
      </c>
      <c r="BC37" s="39">
        <f t="shared" si="29"/>
        <v>70.119999999995343</v>
      </c>
      <c r="BD37" s="39">
        <f t="shared" si="29"/>
        <v>0</v>
      </c>
      <c r="BE37" s="39">
        <f t="shared" si="29"/>
        <v>-2.2546999999999571</v>
      </c>
      <c r="BF37" s="39">
        <f t="shared" si="29"/>
        <v>0</v>
      </c>
      <c r="BG37" s="39">
        <f t="shared" si="29"/>
        <v>694.3399999999674</v>
      </c>
      <c r="BH37" s="39">
        <f t="shared" si="29"/>
        <v>0</v>
      </c>
      <c r="BI37" s="39"/>
      <c r="BJ37" s="39"/>
      <c r="BK37" s="39"/>
      <c r="BL37" s="39">
        <f>BL18-BL17</f>
        <v>-2.6493882944371236</v>
      </c>
      <c r="BM37" s="39">
        <f>BM18-BM17</f>
        <v>0</v>
      </c>
      <c r="BN37" s="39"/>
      <c r="BO37" s="39">
        <f>BO18-BO17</f>
        <v>11625.819999998435</v>
      </c>
      <c r="BP37" s="39">
        <f>BP18-BP17</f>
        <v>668.69999999995343</v>
      </c>
    </row>
    <row r="38" spans="1:69">
      <c r="F38" s="217">
        <f>AVERAGE(F4:F34)</f>
        <v>0.39677419354838722</v>
      </c>
      <c r="G38" s="217"/>
      <c r="H38" s="217"/>
      <c r="I38" s="217">
        <f>AVERAGE(I4:I34)</f>
        <v>-32098.225806451614</v>
      </c>
    </row>
    <row r="39" spans="1:69">
      <c r="B39" s="40" t="s">
        <v>68</v>
      </c>
      <c r="F39" s="427">
        <f>AVERAGE(F4:F35)</f>
        <v>0.39677419354838722</v>
      </c>
      <c r="G39" s="427"/>
      <c r="H39" s="427"/>
    </row>
    <row r="42" spans="1:69">
      <c r="BJ42">
        <f>(BJ31+BK31)/400</f>
        <v>11.309899999999979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9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9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41" customFormat="1">
      <c r="B3" s="1230"/>
      <c r="C3" s="1231" t="s">
        <v>0</v>
      </c>
      <c r="D3" s="1191">
        <v>1</v>
      </c>
      <c r="E3" s="1191">
        <v>2</v>
      </c>
      <c r="F3" s="1191">
        <v>3</v>
      </c>
      <c r="G3" s="1191">
        <v>4</v>
      </c>
      <c r="H3" s="1191">
        <v>5</v>
      </c>
      <c r="I3" s="1191">
        <v>6</v>
      </c>
      <c r="J3" s="1191">
        <v>7</v>
      </c>
      <c r="K3" s="1191">
        <v>8</v>
      </c>
      <c r="L3" s="1191">
        <v>9</v>
      </c>
      <c r="M3" s="1191">
        <v>10</v>
      </c>
      <c r="N3" s="1191">
        <v>11</v>
      </c>
      <c r="O3" s="1191">
        <v>12</v>
      </c>
      <c r="P3" s="1191">
        <v>13</v>
      </c>
      <c r="Q3" s="1191">
        <v>14</v>
      </c>
      <c r="R3" s="1231">
        <v>15</v>
      </c>
      <c r="S3" s="1231">
        <v>16</v>
      </c>
      <c r="T3" s="1231">
        <v>17</v>
      </c>
      <c r="U3" s="1231">
        <v>18</v>
      </c>
      <c r="V3" s="1231">
        <v>19</v>
      </c>
      <c r="W3" s="1231">
        <v>20</v>
      </c>
      <c r="X3" s="1231">
        <v>21</v>
      </c>
      <c r="Y3" s="1231">
        <v>22</v>
      </c>
      <c r="Z3" s="1231">
        <v>23</v>
      </c>
      <c r="AA3" s="1231">
        <v>24</v>
      </c>
      <c r="AB3" s="1231">
        <v>25</v>
      </c>
      <c r="AC3" s="1231">
        <v>26</v>
      </c>
      <c r="AD3" s="1231">
        <v>27</v>
      </c>
      <c r="AE3" s="1231">
        <v>28</v>
      </c>
      <c r="AF3" s="1231">
        <v>29</v>
      </c>
      <c r="AG3" s="1231">
        <v>30</v>
      </c>
      <c r="AH3" s="1231">
        <v>31</v>
      </c>
      <c r="AI3" s="1231"/>
    </row>
    <row r="4" spans="2:35">
      <c r="B4" s="592"/>
      <c r="C4" s="588" t="s">
        <v>69</v>
      </c>
      <c r="D4" s="589">
        <f>'[2]1'!F3</f>
        <v>0.5</v>
      </c>
      <c r="E4" s="589">
        <f>'[2]2'!F3</f>
        <v>0.1</v>
      </c>
      <c r="F4" s="589">
        <f>'[2]3'!F3</f>
        <v>0.5</v>
      </c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  <c r="V4" s="589"/>
      <c r="W4" s="589"/>
      <c r="X4" s="589"/>
      <c r="Y4" s="589"/>
      <c r="Z4" s="589"/>
      <c r="AA4" s="589"/>
      <c r="AB4" s="589"/>
      <c r="AC4" s="589"/>
      <c r="AD4" s="589"/>
      <c r="AE4" s="589"/>
      <c r="AF4" s="589"/>
      <c r="AG4" s="589"/>
      <c r="AH4" s="589"/>
      <c r="AI4" s="588"/>
    </row>
    <row r="5" spans="2:35">
      <c r="B5" s="592"/>
      <c r="C5" s="588" t="s">
        <v>70</v>
      </c>
      <c r="D5" s="590">
        <f>'1'!G18</f>
        <v>140</v>
      </c>
      <c r="E5" s="590">
        <f>'2'!G18</f>
        <v>130</v>
      </c>
      <c r="F5" s="590">
        <f>'3'!G18</f>
        <v>80</v>
      </c>
      <c r="G5" s="590">
        <f>'4'!G18</f>
        <v>90</v>
      </c>
      <c r="H5" s="590">
        <f>'5'!G18</f>
        <v>100</v>
      </c>
      <c r="I5" s="590">
        <f>'6'!G18</f>
        <v>110</v>
      </c>
      <c r="J5" s="590">
        <f>'7'!G18</f>
        <v>110</v>
      </c>
      <c r="K5" s="590">
        <f>'8'!G18</f>
        <v>100</v>
      </c>
      <c r="L5" s="590">
        <f>'9'!G18</f>
        <v>100</v>
      </c>
      <c r="M5" s="590">
        <f>'10'!G18</f>
        <v>160</v>
      </c>
      <c r="N5" s="590">
        <f>'11'!G18</f>
        <v>180</v>
      </c>
      <c r="O5" s="590">
        <f>'12'!G18</f>
        <v>140</v>
      </c>
      <c r="P5" s="590">
        <f>'13'!G18</f>
        <v>100</v>
      </c>
      <c r="Q5" s="590">
        <f>'14'!G18</f>
        <v>80</v>
      </c>
      <c r="R5" s="590">
        <f>'15'!G18</f>
        <v>60</v>
      </c>
      <c r="S5" s="590">
        <f>'16'!G18</f>
        <v>60</v>
      </c>
      <c r="T5" s="590">
        <f>'17'!G18</f>
        <v>100</v>
      </c>
      <c r="U5" s="590">
        <f>'18'!G18</f>
        <v>80</v>
      </c>
      <c r="V5" s="590">
        <f>'19'!G18</f>
        <v>80</v>
      </c>
      <c r="W5" s="590">
        <f>'20'!G18</f>
        <v>80</v>
      </c>
      <c r="X5" s="590">
        <f>'21'!G18</f>
        <v>100</v>
      </c>
      <c r="Y5" s="590">
        <f>'22'!G18</f>
        <v>120</v>
      </c>
      <c r="Z5" s="590">
        <f>'23'!G18</f>
        <v>100</v>
      </c>
      <c r="AA5" s="590">
        <f>'24'!G18</f>
        <v>120</v>
      </c>
      <c r="AB5" s="590">
        <f>'25'!G18</f>
        <v>100</v>
      </c>
      <c r="AC5" s="590">
        <f>'26'!G18</f>
        <v>70</v>
      </c>
      <c r="AD5" s="590">
        <f>'27'!G18</f>
        <v>80</v>
      </c>
      <c r="AE5" s="590">
        <f>'28'!G18</f>
        <v>140</v>
      </c>
      <c r="AF5" s="590">
        <f>'29'!G18</f>
        <v>140</v>
      </c>
      <c r="AG5" s="590">
        <f>'30'!G18</f>
        <v>140</v>
      </c>
      <c r="AH5" s="590">
        <f>'31'!G18</f>
        <v>40</v>
      </c>
      <c r="AI5" s="588"/>
    </row>
    <row r="6" spans="2:35">
      <c r="B6" s="592"/>
      <c r="C6" s="588" t="s">
        <v>71</v>
      </c>
      <c r="D6" s="590">
        <f>'1'!G19</f>
        <v>55</v>
      </c>
      <c r="E6" s="590">
        <f>'2'!G19</f>
        <v>55</v>
      </c>
      <c r="F6" s="590">
        <f>'3'!G19</f>
        <v>53</v>
      </c>
      <c r="G6" s="590">
        <f>'4'!G19</f>
        <v>47</v>
      </c>
      <c r="H6" s="590">
        <f>'5'!G19</f>
        <v>49</v>
      </c>
      <c r="I6" s="590">
        <f>'6'!G19</f>
        <v>52</v>
      </c>
      <c r="J6" s="590">
        <f>'7'!G19</f>
        <v>45</v>
      </c>
      <c r="K6" s="590">
        <f>'8'!G19</f>
        <v>53</v>
      </c>
      <c r="L6" s="590">
        <f>'9'!G19</f>
        <v>53</v>
      </c>
      <c r="M6" s="590">
        <f>'10'!G19</f>
        <v>106</v>
      </c>
      <c r="N6" s="590">
        <f>'11'!G19</f>
        <v>56</v>
      </c>
      <c r="O6" s="590">
        <f>'12'!G19</f>
        <v>52</v>
      </c>
      <c r="P6" s="590">
        <f>'13'!G19</f>
        <v>53</v>
      </c>
      <c r="Q6" s="590">
        <f>'14'!G19</f>
        <v>43</v>
      </c>
      <c r="R6" s="590">
        <f>'15'!G19</f>
        <v>52</v>
      </c>
      <c r="S6" s="590">
        <f>'16'!G19</f>
        <v>52</v>
      </c>
      <c r="T6" s="590">
        <f>'17'!G19</f>
        <v>55</v>
      </c>
      <c r="U6" s="590">
        <f>'18'!G19</f>
        <v>56</v>
      </c>
      <c r="V6" s="590">
        <f>'19'!G19</f>
        <v>57</v>
      </c>
      <c r="W6" s="590">
        <f>'20'!G19</f>
        <v>58</v>
      </c>
      <c r="X6" s="590">
        <f>'21'!G19</f>
        <v>58</v>
      </c>
      <c r="Y6" s="590">
        <f>'22'!G19</f>
        <v>51</v>
      </c>
      <c r="Z6" s="590">
        <f>'23'!G19</f>
        <v>55</v>
      </c>
      <c r="AA6" s="590">
        <f>'24'!G19</f>
        <v>54</v>
      </c>
      <c r="AB6" s="590">
        <f>'25'!G19</f>
        <v>55</v>
      </c>
      <c r="AC6" s="590">
        <f>'26'!G19</f>
        <v>55</v>
      </c>
      <c r="AD6" s="590">
        <f>'27'!G19</f>
        <v>57</v>
      </c>
      <c r="AE6" s="590">
        <f>'28'!G19</f>
        <v>55</v>
      </c>
      <c r="AF6" s="590">
        <f>'29'!G19</f>
        <v>61</v>
      </c>
      <c r="AG6" s="590">
        <f>'30'!G19</f>
        <v>57</v>
      </c>
      <c r="AH6" s="590">
        <f>'31'!G19</f>
        <v>-4976</v>
      </c>
      <c r="AI6" s="588"/>
    </row>
    <row r="7" spans="2:35">
      <c r="B7" s="592"/>
      <c r="C7" s="588" t="s">
        <v>72</v>
      </c>
      <c r="D7" s="590">
        <f>'1'!G92</f>
        <v>105</v>
      </c>
      <c r="E7" s="590">
        <f>'2'!G92</f>
        <v>97</v>
      </c>
      <c r="F7" s="590">
        <f>'3'!G92</f>
        <v>55</v>
      </c>
      <c r="G7" s="590">
        <f>'4'!G92</f>
        <v>55</v>
      </c>
      <c r="H7" s="590">
        <f>'5'!G92</f>
        <v>128</v>
      </c>
      <c r="I7" s="590">
        <f>'6'!G92</f>
        <v>105</v>
      </c>
      <c r="J7" s="590">
        <f>'7'!G92</f>
        <v>87</v>
      </c>
      <c r="K7" s="590">
        <f>'8'!G92</f>
        <v>80</v>
      </c>
      <c r="L7" s="590">
        <f>'9'!G92</f>
        <v>80</v>
      </c>
      <c r="M7" s="590">
        <f>'10'!G92</f>
        <v>213</v>
      </c>
      <c r="N7" s="590">
        <f>'11'!G92</f>
        <v>80</v>
      </c>
      <c r="O7" s="590">
        <f>'12'!G92</f>
        <v>87</v>
      </c>
      <c r="P7" s="590">
        <f>'13'!G92</f>
        <v>83</v>
      </c>
      <c r="Q7" s="590">
        <f>'14'!G92</f>
        <v>55</v>
      </c>
      <c r="R7" s="590">
        <f>'15'!G92</f>
        <v>47</v>
      </c>
      <c r="S7" s="590">
        <f>'16'!G92</f>
        <v>47</v>
      </c>
      <c r="T7" s="590">
        <f>'17'!G92</f>
        <v>59</v>
      </c>
      <c r="U7" s="590">
        <f>'18'!G92</f>
        <v>70</v>
      </c>
      <c r="V7" s="590">
        <f>'19'!G92</f>
        <v>54</v>
      </c>
      <c r="W7" s="590">
        <f>'20'!G92</f>
        <v>55</v>
      </c>
      <c r="X7" s="590">
        <f>'21'!G92</f>
        <v>73</v>
      </c>
      <c r="Y7" s="590">
        <f>'22'!G92</f>
        <v>74</v>
      </c>
      <c r="Z7" s="590">
        <f>'23'!G92</f>
        <v>73</v>
      </c>
      <c r="AA7" s="590">
        <f>'24'!G92</f>
        <v>94</v>
      </c>
      <c r="AB7" s="590">
        <f>'25'!G92</f>
        <v>51</v>
      </c>
      <c r="AC7" s="590">
        <f>'26'!G92</f>
        <v>54</v>
      </c>
      <c r="AD7" s="590">
        <f>'27'!G92</f>
        <v>64</v>
      </c>
      <c r="AE7" s="590">
        <f>'28'!G92</f>
        <v>104</v>
      </c>
      <c r="AF7" s="590">
        <f>'29'!G92</f>
        <v>104</v>
      </c>
      <c r="AG7" s="590">
        <f>'30'!G92</f>
        <v>119</v>
      </c>
      <c r="AH7" s="590">
        <f>'31'!G92</f>
        <v>-4336</v>
      </c>
      <c r="AI7" s="588"/>
    </row>
    <row r="8" spans="2:35">
      <c r="B8" s="1400" t="s">
        <v>73</v>
      </c>
      <c r="C8" s="588" t="s">
        <v>33</v>
      </c>
      <c r="D8" s="590">
        <f>'1'!G95</f>
        <v>48</v>
      </c>
      <c r="E8" s="590">
        <f>'2'!G95</f>
        <v>62</v>
      </c>
      <c r="F8" s="590">
        <f>'3'!G95</f>
        <v>39</v>
      </c>
      <c r="G8" s="590">
        <f>'4'!G95</f>
        <v>39</v>
      </c>
      <c r="H8" s="590">
        <f>'5'!G95</f>
        <v>91</v>
      </c>
      <c r="I8" s="590">
        <f>'6'!G95</f>
        <v>72</v>
      </c>
      <c r="J8" s="590">
        <f>'7'!G95</f>
        <v>45</v>
      </c>
      <c r="K8" s="590">
        <f>'8'!G95</f>
        <v>41</v>
      </c>
      <c r="L8" s="590">
        <f>'9'!G95</f>
        <v>41</v>
      </c>
      <c r="M8" s="590">
        <f>'10'!G95</f>
        <v>140</v>
      </c>
      <c r="N8" s="590">
        <f>'11'!G95</f>
        <v>51</v>
      </c>
      <c r="O8" s="590">
        <f>'12'!G95</f>
        <v>43</v>
      </c>
      <c r="P8" s="590">
        <f>'13'!G95</f>
        <v>65</v>
      </c>
      <c r="Q8" s="590">
        <f>'14'!G95</f>
        <v>45</v>
      </c>
      <c r="R8" s="590">
        <f>'15'!G95</f>
        <v>46</v>
      </c>
      <c r="S8" s="590">
        <f>'16'!G95</f>
        <v>46</v>
      </c>
      <c r="T8" s="590">
        <f>'17'!G95</f>
        <v>55</v>
      </c>
      <c r="U8" s="590">
        <f>'18'!G95</f>
        <v>58</v>
      </c>
      <c r="V8" s="590">
        <f>'19'!G95</f>
        <v>46</v>
      </c>
      <c r="W8" s="590">
        <f>'20'!G95</f>
        <v>65</v>
      </c>
      <c r="X8" s="590">
        <f>'21'!G95</f>
        <v>67</v>
      </c>
      <c r="Y8" s="590">
        <f>'22'!G95</f>
        <v>33</v>
      </c>
      <c r="Z8" s="590">
        <f>'23'!G95</f>
        <v>62</v>
      </c>
      <c r="AA8" s="590">
        <f>'24'!G95</f>
        <v>73</v>
      </c>
      <c r="AB8" s="590">
        <f>'25'!G95</f>
        <v>39</v>
      </c>
      <c r="AC8" s="590">
        <f>'26'!G95</f>
        <v>41</v>
      </c>
      <c r="AD8" s="590">
        <f>'27'!G95</f>
        <v>66</v>
      </c>
      <c r="AE8" s="590">
        <f>'28'!G95</f>
        <v>86</v>
      </c>
      <c r="AF8" s="590">
        <f>'29'!G95</f>
        <v>72</v>
      </c>
      <c r="AG8" s="590">
        <f>'30'!G95</f>
        <v>74</v>
      </c>
      <c r="AH8" s="590">
        <f>'31'!G95</f>
        <v>-4407</v>
      </c>
      <c r="AI8" s="588"/>
    </row>
    <row r="9" spans="2:35">
      <c r="B9" s="1400"/>
      <c r="C9" s="588" t="s">
        <v>34</v>
      </c>
      <c r="D9" s="590">
        <f>'1'!G96</f>
        <v>49</v>
      </c>
      <c r="E9" s="590">
        <f>'2'!G96</f>
        <v>36</v>
      </c>
      <c r="F9" s="590">
        <f>'3'!G96</f>
        <v>42</v>
      </c>
      <c r="G9" s="590">
        <f>'4'!G96</f>
        <v>42</v>
      </c>
      <c r="H9" s="590">
        <f>'5'!G96</f>
        <v>88</v>
      </c>
      <c r="I9" s="590">
        <f>'6'!G96</f>
        <v>44</v>
      </c>
      <c r="J9" s="590">
        <f>'7'!G96</f>
        <v>44</v>
      </c>
      <c r="K9" s="590">
        <f>'8'!G96</f>
        <v>50</v>
      </c>
      <c r="L9" s="590">
        <f>'9'!G96</f>
        <v>50</v>
      </c>
      <c r="M9" s="590">
        <f>'10'!G96</f>
        <v>93</v>
      </c>
      <c r="N9" s="590">
        <f>'11'!G96</f>
        <v>57</v>
      </c>
      <c r="O9" s="590">
        <f>'12'!G96</f>
        <v>57</v>
      </c>
      <c r="P9" s="590">
        <f>'13'!G96</f>
        <v>48</v>
      </c>
      <c r="Q9" s="590">
        <f>'14'!G96</f>
        <v>21.19999999999709</v>
      </c>
      <c r="R9" s="590">
        <f>'15'!G96</f>
        <v>22</v>
      </c>
      <c r="S9" s="590">
        <f>'16'!G96</f>
        <v>22</v>
      </c>
      <c r="T9" s="590">
        <f>'17'!G96</f>
        <v>24</v>
      </c>
      <c r="U9" s="590">
        <f>'18'!G96</f>
        <v>34</v>
      </c>
      <c r="V9" s="590">
        <f>'19'!G96</f>
        <v>25</v>
      </c>
      <c r="W9" s="590">
        <f>'20'!G96</f>
        <v>24</v>
      </c>
      <c r="X9" s="590">
        <f>'21'!G96</f>
        <v>28</v>
      </c>
      <c r="Y9" s="590">
        <f>'22'!G96</f>
        <v>36</v>
      </c>
      <c r="Z9" s="590">
        <f>'23'!G96</f>
        <v>27</v>
      </c>
      <c r="AA9" s="590">
        <f>'24'!G96</f>
        <v>21</v>
      </c>
      <c r="AB9" s="590">
        <f>'25'!G96</f>
        <v>24</v>
      </c>
      <c r="AC9" s="590">
        <f>'26'!G96</f>
        <v>28</v>
      </c>
      <c r="AD9" s="590">
        <f>'27'!G96</f>
        <v>21</v>
      </c>
      <c r="AE9" s="590">
        <f>'28'!G96</f>
        <v>30</v>
      </c>
      <c r="AF9" s="590">
        <f>'29'!G96</f>
        <v>32</v>
      </c>
      <c r="AG9" s="590">
        <f>'30'!G96</f>
        <v>32</v>
      </c>
      <c r="AH9" s="590">
        <f>'31'!G96</f>
        <v>-1959</v>
      </c>
      <c r="AI9" s="588"/>
    </row>
    <row r="10" spans="2:35">
      <c r="B10" s="1400"/>
      <c r="C10" s="588" t="s">
        <v>35</v>
      </c>
      <c r="D10" s="590">
        <f>'1'!G97</f>
        <v>14</v>
      </c>
      <c r="E10" s="590">
        <f>'2'!G97</f>
        <v>14</v>
      </c>
      <c r="F10" s="590">
        <f>'3'!G97</f>
        <v>14</v>
      </c>
      <c r="G10" s="590">
        <f>'4'!G97</f>
        <v>14</v>
      </c>
      <c r="H10" s="590">
        <f>'5'!G97</f>
        <v>25</v>
      </c>
      <c r="I10" s="590">
        <f>'6'!G97</f>
        <v>69</v>
      </c>
      <c r="J10" s="590">
        <f>'7'!G97</f>
        <v>19</v>
      </c>
      <c r="K10" s="590">
        <f>'8'!G97</f>
        <v>41</v>
      </c>
      <c r="L10" s="590">
        <f>'9'!G97</f>
        <v>41</v>
      </c>
      <c r="M10" s="590">
        <f>'10'!G97</f>
        <v>35</v>
      </c>
      <c r="N10" s="590">
        <f>'11'!G97</f>
        <v>15</v>
      </c>
      <c r="O10" s="590">
        <f>'12'!G97</f>
        <v>16</v>
      </c>
      <c r="P10" s="590">
        <f>'13'!G97</f>
        <v>13</v>
      </c>
      <c r="Q10" s="590">
        <f>'14'!G97</f>
        <v>15</v>
      </c>
      <c r="R10" s="590">
        <f>'15'!G97</f>
        <v>12</v>
      </c>
      <c r="S10" s="590">
        <f>'16'!G97</f>
        <v>12</v>
      </c>
      <c r="T10" s="590">
        <f>'17'!G97</f>
        <v>26</v>
      </c>
      <c r="U10" s="590">
        <f>'18'!G97</f>
        <v>23</v>
      </c>
      <c r="V10" s="590">
        <f>'19'!G97</f>
        <v>24</v>
      </c>
      <c r="W10" s="590">
        <f>'20'!G97</f>
        <v>20</v>
      </c>
      <c r="X10" s="590">
        <f>'21'!G97</f>
        <v>30</v>
      </c>
      <c r="Y10" s="590">
        <f>'22'!G97</f>
        <v>33</v>
      </c>
      <c r="Z10" s="590">
        <f>'23'!G97</f>
        <v>27</v>
      </c>
      <c r="AA10" s="590">
        <f>'24'!G97</f>
        <v>19</v>
      </c>
      <c r="AB10" s="590">
        <f>'25'!G97</f>
        <v>18</v>
      </c>
      <c r="AC10" s="590">
        <f>'26'!G97</f>
        <v>23</v>
      </c>
      <c r="AD10" s="590">
        <f>'27'!G97</f>
        <v>23</v>
      </c>
      <c r="AE10" s="590">
        <f>'28'!G97</f>
        <v>31</v>
      </c>
      <c r="AF10" s="590">
        <f>'29'!G97</f>
        <v>35</v>
      </c>
      <c r="AG10" s="590">
        <f>'30'!G97</f>
        <v>50</v>
      </c>
      <c r="AH10" s="590">
        <f>'31'!G97</f>
        <v>-1613</v>
      </c>
      <c r="AI10" s="588"/>
    </row>
    <row r="11" spans="2:35">
      <c r="B11" s="592"/>
      <c r="C11" s="588"/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588"/>
      <c r="S11" s="588"/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</row>
    <row r="12" spans="2:35">
      <c r="B12" s="1400" t="s">
        <v>74</v>
      </c>
      <c r="C12" s="588" t="s">
        <v>33</v>
      </c>
      <c r="D12" s="590">
        <f>'1'!G98</f>
        <v>32</v>
      </c>
      <c r="E12" s="590">
        <f>'2'!G98</f>
        <v>31</v>
      </c>
      <c r="F12" s="590">
        <f>'3'!G98</f>
        <v>23</v>
      </c>
      <c r="G12" s="590">
        <f>'4'!G98</f>
        <v>23</v>
      </c>
      <c r="H12" s="590">
        <f>'5'!G98</f>
        <v>95</v>
      </c>
      <c r="I12" s="590">
        <f>'6'!G98</f>
        <v>40</v>
      </c>
      <c r="J12" s="590">
        <f>'7'!G98</f>
        <v>25</v>
      </c>
      <c r="K12" s="590">
        <f>'8'!G98</f>
        <v>41</v>
      </c>
      <c r="L12" s="590">
        <f>'9'!G98</f>
        <v>41</v>
      </c>
      <c r="M12" s="590">
        <f>'10'!G98</f>
        <v>144</v>
      </c>
      <c r="N12" s="590">
        <f>'11'!G98</f>
        <v>51</v>
      </c>
      <c r="O12" s="590">
        <f>'12'!G98</f>
        <v>42</v>
      </c>
      <c r="P12" s="590">
        <f>'13'!G98</f>
        <v>33</v>
      </c>
      <c r="Q12" s="590">
        <f>'14'!G98</f>
        <v>28</v>
      </c>
      <c r="R12" s="590">
        <f>'15'!G98</f>
        <v>24</v>
      </c>
      <c r="S12" s="590">
        <f>'16'!G98</f>
        <v>24</v>
      </c>
      <c r="T12" s="590">
        <f>'17'!G98</f>
        <v>54</v>
      </c>
      <c r="U12" s="590">
        <f>'18'!G98</f>
        <v>39</v>
      </c>
      <c r="V12" s="590">
        <f>'19'!G98</f>
        <v>40</v>
      </c>
      <c r="W12" s="590">
        <f>'20'!G98</f>
        <v>38</v>
      </c>
      <c r="X12" s="590">
        <f>'21'!G98</f>
        <v>43</v>
      </c>
      <c r="Y12" s="590">
        <f>'22'!G98</f>
        <v>55</v>
      </c>
      <c r="Z12" s="590">
        <f>'23'!G98</f>
        <v>25</v>
      </c>
      <c r="AA12" s="590">
        <f>'24'!G98</f>
        <v>47</v>
      </c>
      <c r="AB12" s="590">
        <f>'25'!G98</f>
        <v>22</v>
      </c>
      <c r="AC12" s="590">
        <f>'26'!G98</f>
        <v>44</v>
      </c>
      <c r="AD12" s="590">
        <f>'27'!G98</f>
        <v>22</v>
      </c>
      <c r="AE12" s="590">
        <f>'28'!G98</f>
        <v>55</v>
      </c>
      <c r="AF12" s="590">
        <f>'29'!G98</f>
        <v>42</v>
      </c>
      <c r="AG12" s="590">
        <f>'30'!G98</f>
        <v>66</v>
      </c>
      <c r="AH12" s="590">
        <f>'31'!G98</f>
        <v>-2568</v>
      </c>
      <c r="AI12" s="588"/>
    </row>
    <row r="13" spans="2:35">
      <c r="B13" s="1400"/>
      <c r="C13" s="588" t="s">
        <v>34</v>
      </c>
      <c r="D13" s="590">
        <f>'1'!G114</f>
        <v>20</v>
      </c>
      <c r="E13" s="590">
        <f>'2'!G114</f>
        <v>16</v>
      </c>
      <c r="F13" s="590">
        <f>'3'!G114</f>
        <v>10</v>
      </c>
      <c r="G13" s="590">
        <f>'4'!G114</f>
        <v>10</v>
      </c>
      <c r="H13" s="590">
        <f>'5'!G114</f>
        <v>18</v>
      </c>
      <c r="I13" s="590">
        <f>'6'!G114</f>
        <v>7</v>
      </c>
      <c r="J13" s="590">
        <f>'7'!G114</f>
        <v>8</v>
      </c>
      <c r="K13" s="590">
        <f>'8'!G114</f>
        <v>11</v>
      </c>
      <c r="L13" s="590">
        <f>'9'!G114</f>
        <v>11</v>
      </c>
      <c r="M13" s="590">
        <f>'10'!G114</f>
        <v>23</v>
      </c>
      <c r="N13" s="590">
        <f>'11'!G114</f>
        <v>8</v>
      </c>
      <c r="O13" s="590">
        <f>'12'!G114</f>
        <v>7</v>
      </c>
      <c r="P13" s="590">
        <f>'13'!G114</f>
        <v>9</v>
      </c>
      <c r="Q13" s="590">
        <f>'14'!G114</f>
        <v>8</v>
      </c>
      <c r="R13" s="590">
        <f>'15'!G114</f>
        <v>6</v>
      </c>
      <c r="S13" s="590">
        <f>'16'!G114</f>
        <v>6</v>
      </c>
      <c r="T13" s="590">
        <f>'17'!G114</f>
        <v>11</v>
      </c>
      <c r="U13" s="590">
        <f>'18'!G114</f>
        <v>8</v>
      </c>
      <c r="V13" s="590">
        <f>'19'!G114</f>
        <v>10</v>
      </c>
      <c r="W13" s="590">
        <f>'20'!G114</f>
        <v>8</v>
      </c>
      <c r="X13" s="590">
        <f>'21'!G114</f>
        <v>8</v>
      </c>
      <c r="Y13" s="590">
        <f>'22'!G114</f>
        <v>13</v>
      </c>
      <c r="Z13" s="590">
        <f>'23'!G114</f>
        <v>8</v>
      </c>
      <c r="AA13" s="590">
        <f>'24'!G114</f>
        <v>10</v>
      </c>
      <c r="AB13" s="590">
        <f>'25'!G114</f>
        <v>11</v>
      </c>
      <c r="AC13" s="590">
        <f>'26'!G114</f>
        <v>11</v>
      </c>
      <c r="AD13" s="590">
        <f>'27'!G114</f>
        <v>7</v>
      </c>
      <c r="AE13" s="590">
        <f>'28'!G114</f>
        <v>19</v>
      </c>
      <c r="AF13" s="590">
        <f>'29'!G114</f>
        <v>14</v>
      </c>
      <c r="AG13" s="590">
        <f>'30'!G114</f>
        <v>20</v>
      </c>
      <c r="AH13" s="590">
        <f>'31'!G114</f>
        <v>-867</v>
      </c>
      <c r="AI13" s="588"/>
    </row>
    <row r="14" spans="2:35">
      <c r="B14" s="1400"/>
      <c r="C14" s="588" t="s">
        <v>35</v>
      </c>
      <c r="D14" s="590">
        <f>'1'!G115</f>
        <v>7</v>
      </c>
      <c r="E14" s="590">
        <f>'2'!G115</f>
        <v>8</v>
      </c>
      <c r="F14" s="590">
        <f>'3'!G115</f>
        <v>3</v>
      </c>
      <c r="G14" s="590">
        <f>'4'!G115</f>
        <v>3</v>
      </c>
      <c r="H14" s="590">
        <f>'5'!G115</f>
        <v>9</v>
      </c>
      <c r="I14" s="590">
        <f>'6'!G115</f>
        <v>5</v>
      </c>
      <c r="J14" s="590">
        <f>'7'!G115</f>
        <v>5</v>
      </c>
      <c r="K14" s="590">
        <f>'8'!G115</f>
        <v>8</v>
      </c>
      <c r="L14" s="590">
        <f>'9'!G115</f>
        <v>8</v>
      </c>
      <c r="M14" s="590">
        <f>'10'!G115</f>
        <v>34</v>
      </c>
      <c r="N14" s="590">
        <f>'11'!G115</f>
        <v>6</v>
      </c>
      <c r="O14" s="590">
        <f>'12'!G115</f>
        <v>10</v>
      </c>
      <c r="P14" s="590">
        <f>'13'!G115</f>
        <v>13</v>
      </c>
      <c r="Q14" s="590">
        <f>'14'!G115</f>
        <v>7</v>
      </c>
      <c r="R14" s="590">
        <f>'15'!G115</f>
        <v>6</v>
      </c>
      <c r="S14" s="590">
        <f>'16'!G115</f>
        <v>6</v>
      </c>
      <c r="T14" s="590">
        <f>'17'!G115</f>
        <v>7</v>
      </c>
      <c r="U14" s="590">
        <f>'18'!G115</f>
        <v>7</v>
      </c>
      <c r="V14" s="590">
        <f>'19'!G115</f>
        <v>6</v>
      </c>
      <c r="W14" s="590">
        <f>'20'!G115</f>
        <v>6</v>
      </c>
      <c r="X14" s="590">
        <f>'21'!G115</f>
        <v>7</v>
      </c>
      <c r="Y14" s="590">
        <f>'22'!G115</f>
        <v>9</v>
      </c>
      <c r="Z14" s="590">
        <f>'23'!G115</f>
        <v>13</v>
      </c>
      <c r="AA14" s="590">
        <f>'24'!G115</f>
        <v>11</v>
      </c>
      <c r="AB14" s="590">
        <f>'25'!G115</f>
        <v>20</v>
      </c>
      <c r="AC14" s="590">
        <f>'26'!G115</f>
        <v>21</v>
      </c>
      <c r="AD14" s="590">
        <f>'27'!G115</f>
        <v>5</v>
      </c>
      <c r="AE14" s="590">
        <f>'28'!G115</f>
        <v>17</v>
      </c>
      <c r="AF14" s="590">
        <f>'29'!G115</f>
        <v>14</v>
      </c>
      <c r="AG14" s="590">
        <f>'30'!G115</f>
        <v>6</v>
      </c>
      <c r="AH14" s="590">
        <f>'31'!G115</f>
        <v>-594</v>
      </c>
      <c r="AI14" s="588"/>
    </row>
    <row r="15" spans="2:35">
      <c r="B15" s="592"/>
      <c r="C15" s="588"/>
      <c r="D15" s="588"/>
      <c r="E15" s="588"/>
      <c r="F15" s="588"/>
      <c r="G15" s="588"/>
      <c r="H15" s="588"/>
      <c r="I15" s="588"/>
      <c r="J15" s="588"/>
      <c r="K15" s="588"/>
      <c r="L15" s="588"/>
      <c r="M15" s="588"/>
      <c r="N15" s="588"/>
      <c r="O15" s="588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  <c r="AA15" s="588"/>
      <c r="AB15" s="588"/>
      <c r="AC15" s="588"/>
      <c r="AD15" s="588"/>
      <c r="AE15" s="588"/>
      <c r="AF15" s="588"/>
      <c r="AG15" s="588"/>
      <c r="AH15" s="588"/>
      <c r="AI15" s="588"/>
    </row>
    <row r="16" spans="2:35">
      <c r="B16" s="1400" t="s">
        <v>75</v>
      </c>
      <c r="C16" s="588" t="s">
        <v>76</v>
      </c>
      <c r="D16" s="588">
        <f>'1'!G104</f>
        <v>0</v>
      </c>
      <c r="E16" s="590">
        <f>'2'!G104</f>
        <v>0</v>
      </c>
      <c r="F16" s="590">
        <f>'3'!G104</f>
        <v>0</v>
      </c>
      <c r="G16" s="590">
        <f>'4'!G104</f>
        <v>0</v>
      </c>
      <c r="H16" s="590">
        <f>'5'!G104</f>
        <v>0</v>
      </c>
      <c r="I16" s="590">
        <f>'6'!G104</f>
        <v>0</v>
      </c>
      <c r="J16" s="590">
        <f>'7'!G104</f>
        <v>0</v>
      </c>
      <c r="K16" s="590">
        <f>'8'!G104</f>
        <v>0</v>
      </c>
      <c r="L16" s="590">
        <f>'9'!G104</f>
        <v>0</v>
      </c>
      <c r="M16" s="590">
        <f>'10'!G104</f>
        <v>0</v>
      </c>
      <c r="N16" s="590">
        <f>'11'!G104</f>
        <v>0</v>
      </c>
      <c r="O16" s="590">
        <f>'12'!G104</f>
        <v>0</v>
      </c>
      <c r="P16" s="590">
        <f>'13'!G104</f>
        <v>0</v>
      </c>
      <c r="Q16" s="590">
        <f>'14'!G104</f>
        <v>0</v>
      </c>
      <c r="R16" s="590">
        <f>'15'!G104</f>
        <v>0</v>
      </c>
      <c r="S16" s="590">
        <f>'16'!G104</f>
        <v>0</v>
      </c>
      <c r="T16" s="590">
        <f>'17'!G104</f>
        <v>0</v>
      </c>
      <c r="U16" s="590">
        <f>'18'!G104</f>
        <v>0</v>
      </c>
      <c r="V16" s="590">
        <f>'19'!G104</f>
        <v>0</v>
      </c>
      <c r="W16" s="590">
        <f>'20'!G104</f>
        <v>0</v>
      </c>
      <c r="X16" s="590">
        <f>'21'!G104</f>
        <v>0</v>
      </c>
      <c r="Y16" s="590">
        <f>'22'!G104</f>
        <v>0</v>
      </c>
      <c r="Z16" s="590">
        <f>'23'!G104</f>
        <v>0</v>
      </c>
      <c r="AA16" s="590">
        <f>'24'!G104</f>
        <v>0</v>
      </c>
      <c r="AB16" s="590">
        <f>'25'!G104</f>
        <v>0</v>
      </c>
      <c r="AC16" s="590">
        <f>'26'!G104</f>
        <v>0</v>
      </c>
      <c r="AD16" s="590">
        <f>'27'!G104</f>
        <v>0</v>
      </c>
      <c r="AE16" s="590">
        <f>'28'!G104</f>
        <v>0</v>
      </c>
      <c r="AF16" s="590">
        <f>'29'!G104</f>
        <v>0</v>
      </c>
      <c r="AG16" s="590">
        <f>'30'!G104</f>
        <v>0</v>
      </c>
      <c r="AH16" s="590">
        <f>'31'!G104</f>
        <v>0</v>
      </c>
      <c r="AI16" s="588"/>
    </row>
    <row r="17" spans="2:35">
      <c r="B17" s="1400"/>
      <c r="C17" s="588" t="s">
        <v>77</v>
      </c>
      <c r="D17" s="588">
        <f>'1'!G105</f>
        <v>0</v>
      </c>
      <c r="E17" s="590">
        <f>'2'!G105</f>
        <v>13</v>
      </c>
      <c r="F17" s="590">
        <f>'3'!G105</f>
        <v>0</v>
      </c>
      <c r="G17" s="590">
        <f>'4'!G105</f>
        <v>0</v>
      </c>
      <c r="H17" s="590">
        <f>'5'!G105</f>
        <v>1</v>
      </c>
      <c r="I17" s="590">
        <f>'6'!G105</f>
        <v>17</v>
      </c>
      <c r="J17" s="590">
        <f>'7'!G105</f>
        <v>0</v>
      </c>
      <c r="K17" s="590">
        <f>'8'!G105</f>
        <v>0</v>
      </c>
      <c r="L17" s="590">
        <f>'9'!G105</f>
        <v>0</v>
      </c>
      <c r="M17" s="590">
        <f>'10'!G105</f>
        <v>26</v>
      </c>
      <c r="N17" s="590">
        <f>'11'!G105</f>
        <v>0</v>
      </c>
      <c r="O17" s="590">
        <f>'12'!G105</f>
        <v>2</v>
      </c>
      <c r="P17" s="590">
        <f>'13'!G105</f>
        <v>7</v>
      </c>
      <c r="Q17" s="590">
        <f>'14'!G105</f>
        <v>0</v>
      </c>
      <c r="R17" s="590">
        <f>'15'!G105</f>
        <v>0</v>
      </c>
      <c r="S17" s="590">
        <f>'16'!G105</f>
        <v>0</v>
      </c>
      <c r="T17" s="590">
        <f>'17'!G105</f>
        <v>0</v>
      </c>
      <c r="U17" s="590">
        <f>'18'!G105</f>
        <v>10</v>
      </c>
      <c r="V17" s="590">
        <f>'19'!G105</f>
        <v>0</v>
      </c>
      <c r="W17" s="590">
        <f>'20'!G105</f>
        <v>13</v>
      </c>
      <c r="X17" s="590">
        <f>'21'!G105</f>
        <v>8</v>
      </c>
      <c r="Y17" s="590">
        <f>'22'!G105</f>
        <v>0</v>
      </c>
      <c r="Z17" s="590">
        <f>'23'!G105</f>
        <v>9</v>
      </c>
      <c r="AA17" s="590">
        <f>'24'!G105</f>
        <v>10</v>
      </c>
      <c r="AB17" s="590">
        <f>'25'!G105</f>
        <v>0</v>
      </c>
      <c r="AC17" s="590">
        <f>'26'!G105</f>
        <v>0</v>
      </c>
      <c r="AD17" s="590">
        <f>'27'!G105</f>
        <v>8</v>
      </c>
      <c r="AE17" s="590">
        <f>'28'!G105</f>
        <v>15</v>
      </c>
      <c r="AF17" s="590">
        <f>'29'!G105</f>
        <v>5</v>
      </c>
      <c r="AG17" s="590">
        <f>'30'!G105</f>
        <v>11</v>
      </c>
      <c r="AH17" s="590">
        <f>'31'!G105</f>
        <v>-368</v>
      </c>
      <c r="AI17" s="588"/>
    </row>
    <row r="18" spans="2:35">
      <c r="B18" s="1400"/>
      <c r="C18" s="588" t="s">
        <v>78</v>
      </c>
      <c r="D18" s="588">
        <f>'1'!G106</f>
        <v>3</v>
      </c>
      <c r="E18" s="590">
        <f>'2'!G106</f>
        <v>9</v>
      </c>
      <c r="F18" s="590">
        <f>'3'!G106</f>
        <v>3</v>
      </c>
      <c r="G18" s="590">
        <f>'4'!G106</f>
        <v>3</v>
      </c>
      <c r="H18" s="590">
        <f>'5'!G106</f>
        <v>3</v>
      </c>
      <c r="I18" s="590">
        <f>'6'!G106</f>
        <v>5</v>
      </c>
      <c r="J18" s="590">
        <f>'7'!G106</f>
        <v>4</v>
      </c>
      <c r="K18" s="590">
        <f>'8'!G106</f>
        <v>0</v>
      </c>
      <c r="L18" s="590">
        <f>'9'!G106</f>
        <v>0</v>
      </c>
      <c r="M18" s="590">
        <f>'10'!G106</f>
        <v>13</v>
      </c>
      <c r="N18" s="590">
        <f>'11'!G106</f>
        <v>4</v>
      </c>
      <c r="O18" s="590">
        <f>'12'!G106</f>
        <v>0</v>
      </c>
      <c r="P18" s="590">
        <f>'13'!G106</f>
        <v>6</v>
      </c>
      <c r="Q18" s="590">
        <f>'14'!G106</f>
        <v>0</v>
      </c>
      <c r="R18" s="590">
        <f>'15'!G106</f>
        <v>0</v>
      </c>
      <c r="S18" s="590">
        <f>'16'!G106</f>
        <v>0</v>
      </c>
      <c r="T18" s="590">
        <f>'17'!G106</f>
        <v>4</v>
      </c>
      <c r="U18" s="590">
        <f>'18'!G106</f>
        <v>4</v>
      </c>
      <c r="V18" s="590">
        <f>'19'!G106</f>
        <v>3</v>
      </c>
      <c r="W18" s="590">
        <f>'20'!G106</f>
        <v>5</v>
      </c>
      <c r="X18" s="590">
        <f>'21'!G106</f>
        <v>6</v>
      </c>
      <c r="Y18" s="590">
        <f>'22'!G106</f>
        <v>0</v>
      </c>
      <c r="Z18" s="590">
        <f>'23'!G106</f>
        <v>7</v>
      </c>
      <c r="AA18" s="590">
        <f>'24'!G106</f>
        <v>5</v>
      </c>
      <c r="AB18" s="590">
        <f>'25'!G106</f>
        <v>3</v>
      </c>
      <c r="AC18" s="590">
        <f>'26'!G106</f>
        <v>1</v>
      </c>
      <c r="AD18" s="590">
        <f>'27'!G106</f>
        <v>6</v>
      </c>
      <c r="AE18" s="590">
        <f>'28'!G106</f>
        <v>5</v>
      </c>
      <c r="AF18" s="590">
        <f>'29'!G106</f>
        <v>5</v>
      </c>
      <c r="AG18" s="590">
        <f>'30'!G106</f>
        <v>5</v>
      </c>
      <c r="AH18" s="590">
        <f>'31'!G106</f>
        <v>-296</v>
      </c>
      <c r="AI18" s="588"/>
    </row>
    <row r="19" spans="2:35">
      <c r="B19" s="592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88"/>
      <c r="AB19" s="588"/>
      <c r="AC19" s="588"/>
      <c r="AD19" s="588"/>
      <c r="AE19" s="588"/>
      <c r="AF19" s="588"/>
      <c r="AG19" s="588"/>
      <c r="AH19" s="588"/>
      <c r="AI19" s="588"/>
    </row>
    <row r="20" spans="2:35">
      <c r="B20" s="1400" t="s">
        <v>79</v>
      </c>
      <c r="C20" s="588" t="s">
        <v>80</v>
      </c>
      <c r="D20" s="588">
        <f>'1'!G109</f>
        <v>50</v>
      </c>
      <c r="E20" s="590">
        <f>'2'!G109</f>
        <v>108</v>
      </c>
      <c r="F20" s="590">
        <f>'3'!G109</f>
        <v>49</v>
      </c>
      <c r="G20" s="590">
        <f>'4'!G109</f>
        <v>81</v>
      </c>
      <c r="H20" s="590">
        <f>'5'!G109</f>
        <v>75</v>
      </c>
      <c r="I20" s="590">
        <f>'6'!G109</f>
        <v>132</v>
      </c>
      <c r="J20" s="590">
        <f>'7'!G109</f>
        <v>39</v>
      </c>
      <c r="K20" s="590">
        <f>'8'!G109</f>
        <v>60</v>
      </c>
      <c r="L20" s="590">
        <f>'9'!G109</f>
        <v>60</v>
      </c>
      <c r="M20" s="590">
        <f>'10'!G109</f>
        <v>99</v>
      </c>
      <c r="N20" s="590">
        <f>'11'!G109</f>
        <v>49</v>
      </c>
      <c r="O20" s="590">
        <f>'12'!G109</f>
        <v>26</v>
      </c>
      <c r="P20" s="590">
        <f>'13'!G109</f>
        <v>72</v>
      </c>
      <c r="Q20" s="590">
        <f>'14'!G109</f>
        <v>39</v>
      </c>
      <c r="R20" s="590">
        <f>'15'!G109</f>
        <v>40</v>
      </c>
      <c r="S20" s="590">
        <f>'16'!G109</f>
        <v>40</v>
      </c>
      <c r="T20" s="590">
        <f>'17'!G109</f>
        <v>49</v>
      </c>
      <c r="U20" s="590">
        <f>'18'!G109</f>
        <v>9</v>
      </c>
      <c r="V20" s="590">
        <f>'19'!G109</f>
        <v>39</v>
      </c>
      <c r="W20" s="590">
        <f>'20'!G109</f>
        <v>61</v>
      </c>
      <c r="X20" s="590">
        <f>'21'!G109</f>
        <v>55</v>
      </c>
      <c r="Y20" s="590">
        <f>'22'!G109</f>
        <v>39</v>
      </c>
      <c r="Z20" s="590">
        <f>'23'!G109</f>
        <v>59</v>
      </c>
      <c r="AA20" s="590">
        <f>'24'!G109</f>
        <v>45</v>
      </c>
      <c r="AB20" s="590">
        <f>'25'!G109</f>
        <v>39</v>
      </c>
      <c r="AC20" s="590">
        <f>'26'!G109</f>
        <v>59</v>
      </c>
      <c r="AD20" s="590">
        <f>'27'!G109</f>
        <v>59</v>
      </c>
      <c r="AE20" s="590">
        <f>'28'!G109</f>
        <v>40</v>
      </c>
      <c r="AF20" s="590">
        <f>'29'!G109</f>
        <v>55</v>
      </c>
      <c r="AG20" s="590">
        <f>'30'!G109</f>
        <v>59</v>
      </c>
      <c r="AH20" s="590">
        <f>'31'!G109</f>
        <v>-4646</v>
      </c>
      <c r="AI20" s="588"/>
    </row>
    <row r="21" spans="2:35">
      <c r="B21" s="1400"/>
      <c r="C21" s="588" t="s">
        <v>81</v>
      </c>
      <c r="D21" s="588">
        <f>'1'!G110</f>
        <v>50</v>
      </c>
      <c r="E21" s="590">
        <f>'2'!G110</f>
        <v>22</v>
      </c>
      <c r="F21" s="590">
        <f>'3'!G110</f>
        <v>41</v>
      </c>
      <c r="G21" s="590">
        <f>'4'!G110</f>
        <v>83</v>
      </c>
      <c r="H21" s="590">
        <f>'5'!G110</f>
        <v>35</v>
      </c>
      <c r="I21" s="590">
        <f>'6'!G110</f>
        <v>43</v>
      </c>
      <c r="J21" s="590">
        <f>'7'!G110</f>
        <v>34</v>
      </c>
      <c r="K21" s="590">
        <f>'8'!G110</f>
        <v>44</v>
      </c>
      <c r="L21" s="590">
        <f>'9'!G110</f>
        <v>44</v>
      </c>
      <c r="M21" s="590">
        <f>'10'!G110</f>
        <v>135</v>
      </c>
      <c r="N21" s="590">
        <f>'11'!G110</f>
        <v>45</v>
      </c>
      <c r="O21" s="590">
        <f>'12'!G110</f>
        <v>39</v>
      </c>
      <c r="P21" s="590">
        <f>'13'!G110</f>
        <v>28</v>
      </c>
      <c r="Q21" s="590">
        <f>'14'!G110</f>
        <v>30</v>
      </c>
      <c r="R21" s="590">
        <f>'15'!G110</f>
        <v>9</v>
      </c>
      <c r="S21" s="590">
        <f>'16'!G110</f>
        <v>9</v>
      </c>
      <c r="T21" s="590">
        <f>'17'!G110</f>
        <v>42</v>
      </c>
      <c r="U21" s="590">
        <f>'18'!G110</f>
        <v>30</v>
      </c>
      <c r="V21" s="590">
        <f>'19'!G110</f>
        <v>49</v>
      </c>
      <c r="W21" s="590">
        <f>'20'!G110</f>
        <v>34</v>
      </c>
      <c r="X21" s="590">
        <f>'21'!G110</f>
        <v>43</v>
      </c>
      <c r="Y21" s="590">
        <f>'22'!G110</f>
        <v>36</v>
      </c>
      <c r="Z21" s="590">
        <f>'23'!G110</f>
        <v>49</v>
      </c>
      <c r="AA21" s="590">
        <f>'24'!G110</f>
        <v>44</v>
      </c>
      <c r="AB21" s="590">
        <f>'25'!G110</f>
        <v>23</v>
      </c>
      <c r="AC21" s="590">
        <f>'26'!G110</f>
        <v>41</v>
      </c>
      <c r="AD21" s="590">
        <f>'27'!G110</f>
        <v>26</v>
      </c>
      <c r="AE21" s="590">
        <f>'28'!G110</f>
        <v>47</v>
      </c>
      <c r="AF21" s="590">
        <f>'29'!G110</f>
        <v>43</v>
      </c>
      <c r="AG21" s="590">
        <f>'30'!G110</f>
        <v>64</v>
      </c>
      <c r="AH21" s="590">
        <f>'31'!G110</f>
        <v>-2470</v>
      </c>
      <c r="AI21" s="588"/>
    </row>
    <row r="22" spans="2:35">
      <c r="B22" s="1400"/>
      <c r="C22" s="588" t="s">
        <v>82</v>
      </c>
      <c r="D22" s="588">
        <f>'1'!G111</f>
        <v>0</v>
      </c>
      <c r="E22" s="590">
        <f>'2'!G111</f>
        <v>10</v>
      </c>
      <c r="F22" s="590">
        <f>'3'!G111</f>
        <v>0</v>
      </c>
      <c r="G22" s="590">
        <f>'4'!G111</f>
        <v>10</v>
      </c>
      <c r="H22" s="590">
        <f>'5'!G111</f>
        <v>0</v>
      </c>
      <c r="I22" s="590">
        <f>'6'!G111</f>
        <v>7</v>
      </c>
      <c r="J22" s="590">
        <f>'7'!G111</f>
        <v>0</v>
      </c>
      <c r="K22" s="590">
        <f>'8'!G111</f>
        <v>0</v>
      </c>
      <c r="L22" s="590">
        <f>'9'!G111</f>
        <v>0</v>
      </c>
      <c r="M22" s="590">
        <f>'10'!G111</f>
        <v>16</v>
      </c>
      <c r="N22" s="590">
        <f>'11'!G111</f>
        <v>0</v>
      </c>
      <c r="O22" s="590">
        <f>'12'!G111</f>
        <v>13</v>
      </c>
      <c r="P22" s="590">
        <f>'13'!G111</f>
        <v>0</v>
      </c>
      <c r="Q22" s="590">
        <f>'14'!G111</f>
        <v>11</v>
      </c>
      <c r="R22" s="590">
        <f>'15'!G111</f>
        <v>11</v>
      </c>
      <c r="S22" s="590">
        <f>'16'!G111</f>
        <v>11</v>
      </c>
      <c r="T22" s="590">
        <f>'17'!G111</f>
        <v>0</v>
      </c>
      <c r="U22" s="590">
        <f>'18'!G111</f>
        <v>12</v>
      </c>
      <c r="V22" s="590">
        <f>'19'!G111</f>
        <v>1</v>
      </c>
      <c r="W22" s="590">
        <f>'20'!G111</f>
        <v>15</v>
      </c>
      <c r="X22" s="590">
        <f>'21'!G111</f>
        <v>14</v>
      </c>
      <c r="Y22" s="590">
        <f>'22'!G111</f>
        <v>0</v>
      </c>
      <c r="Z22" s="590">
        <f>'23'!G111</f>
        <v>9</v>
      </c>
      <c r="AA22" s="590">
        <f>'24'!G111</f>
        <v>7</v>
      </c>
      <c r="AB22" s="590">
        <f>'25'!G111</f>
        <v>10</v>
      </c>
      <c r="AC22" s="590">
        <f>'26'!G111</f>
        <v>7</v>
      </c>
      <c r="AD22" s="590">
        <f>'27'!G111</f>
        <v>0</v>
      </c>
      <c r="AE22" s="590">
        <f>'28'!G111</f>
        <v>16</v>
      </c>
      <c r="AF22" s="590">
        <f>'29'!G111</f>
        <v>3</v>
      </c>
      <c r="AG22" s="590">
        <f>'30'!G111</f>
        <v>12</v>
      </c>
      <c r="AH22" s="590">
        <f>'31'!G111</f>
        <v>-320</v>
      </c>
      <c r="AI22" s="588"/>
    </row>
    <row r="23" spans="2:35">
      <c r="B23" s="592"/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</row>
    <row r="24" spans="2:35" ht="30">
      <c r="B24" s="592" t="s">
        <v>83</v>
      </c>
      <c r="C24" s="588"/>
      <c r="D24" s="590">
        <f>SUM(D8:D10,D13:D14,)</f>
        <v>138</v>
      </c>
      <c r="E24" s="590">
        <f t="shared" ref="E24:AI24" si="0">SUM(E8:E10,E13:E14,)</f>
        <v>136</v>
      </c>
      <c r="F24" s="590">
        <f t="shared" si="0"/>
        <v>108</v>
      </c>
      <c r="G24" s="590">
        <f t="shared" si="0"/>
        <v>108</v>
      </c>
      <c r="H24" s="590">
        <f t="shared" si="0"/>
        <v>231</v>
      </c>
      <c r="I24" s="590">
        <f t="shared" si="0"/>
        <v>197</v>
      </c>
      <c r="J24" s="590">
        <f t="shared" si="0"/>
        <v>121</v>
      </c>
      <c r="K24" s="590">
        <f t="shared" si="0"/>
        <v>151</v>
      </c>
      <c r="L24" s="590">
        <f t="shared" si="0"/>
        <v>151</v>
      </c>
      <c r="M24" s="590">
        <f t="shared" si="0"/>
        <v>325</v>
      </c>
      <c r="N24" s="590">
        <f t="shared" si="0"/>
        <v>137</v>
      </c>
      <c r="O24" s="590">
        <f t="shared" si="0"/>
        <v>133</v>
      </c>
      <c r="P24" s="590">
        <f t="shared" si="0"/>
        <v>148</v>
      </c>
      <c r="Q24" s="590">
        <f t="shared" si="0"/>
        <v>96.19999999999709</v>
      </c>
      <c r="R24" s="590">
        <f t="shared" si="0"/>
        <v>92</v>
      </c>
      <c r="S24" s="590">
        <f t="shared" si="0"/>
        <v>92</v>
      </c>
      <c r="T24" s="590">
        <f>SUM(T8:T10,T13:T14,)</f>
        <v>123</v>
      </c>
      <c r="U24" s="590">
        <f t="shared" si="0"/>
        <v>130</v>
      </c>
      <c r="V24" s="590">
        <f t="shared" si="0"/>
        <v>111</v>
      </c>
      <c r="W24" s="590">
        <f t="shared" si="0"/>
        <v>123</v>
      </c>
      <c r="X24" s="590">
        <f t="shared" si="0"/>
        <v>140</v>
      </c>
      <c r="Y24" s="590">
        <f t="shared" si="0"/>
        <v>124</v>
      </c>
      <c r="Z24" s="590">
        <f t="shared" si="0"/>
        <v>137</v>
      </c>
      <c r="AA24" s="590">
        <f t="shared" si="0"/>
        <v>134</v>
      </c>
      <c r="AB24" s="590">
        <f t="shared" si="0"/>
        <v>112</v>
      </c>
      <c r="AC24" s="590">
        <f t="shared" si="0"/>
        <v>124</v>
      </c>
      <c r="AD24" s="590">
        <f t="shared" si="0"/>
        <v>122</v>
      </c>
      <c r="AE24" s="590">
        <f t="shared" si="0"/>
        <v>183</v>
      </c>
      <c r="AF24" s="590">
        <f t="shared" si="0"/>
        <v>167</v>
      </c>
      <c r="AG24" s="590">
        <f t="shared" si="0"/>
        <v>182</v>
      </c>
      <c r="AH24" s="590">
        <f t="shared" si="0"/>
        <v>-9440</v>
      </c>
      <c r="AI24" s="590">
        <f t="shared" si="0"/>
        <v>0</v>
      </c>
    </row>
    <row r="25" spans="2:35">
      <c r="B25" s="592"/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</row>
    <row r="26" spans="2:35" ht="30">
      <c r="B26" s="592" t="s">
        <v>84</v>
      </c>
      <c r="C26" s="588"/>
      <c r="D26" s="590">
        <f>SUM(D12,D20,D22)</f>
        <v>82</v>
      </c>
      <c r="E26" s="590">
        <f t="shared" ref="E26:AH26" si="1">SUM(E12,E20,E22)</f>
        <v>149</v>
      </c>
      <c r="F26" s="590">
        <f>SUM(F12,F20,F22)</f>
        <v>72</v>
      </c>
      <c r="G26" s="590">
        <f t="shared" si="1"/>
        <v>114</v>
      </c>
      <c r="H26" s="590">
        <f t="shared" si="1"/>
        <v>170</v>
      </c>
      <c r="I26" s="590">
        <f t="shared" si="1"/>
        <v>179</v>
      </c>
      <c r="J26" s="590">
        <f t="shared" si="1"/>
        <v>64</v>
      </c>
      <c r="K26" s="590">
        <f t="shared" si="1"/>
        <v>101</v>
      </c>
      <c r="L26" s="590">
        <f t="shared" si="1"/>
        <v>101</v>
      </c>
      <c r="M26" s="590">
        <f t="shared" si="1"/>
        <v>259</v>
      </c>
      <c r="N26" s="590">
        <f t="shared" si="1"/>
        <v>100</v>
      </c>
      <c r="O26" s="590">
        <f t="shared" si="1"/>
        <v>81</v>
      </c>
      <c r="P26" s="590">
        <f t="shared" si="1"/>
        <v>105</v>
      </c>
      <c r="Q26" s="590">
        <f t="shared" si="1"/>
        <v>78</v>
      </c>
      <c r="R26" s="590">
        <f t="shared" si="1"/>
        <v>75</v>
      </c>
      <c r="S26" s="590">
        <f t="shared" si="1"/>
        <v>75</v>
      </c>
      <c r="T26" s="590">
        <f t="shared" si="1"/>
        <v>103</v>
      </c>
      <c r="U26" s="590">
        <f t="shared" si="1"/>
        <v>60</v>
      </c>
      <c r="V26" s="590">
        <f t="shared" si="1"/>
        <v>80</v>
      </c>
      <c r="W26" s="590">
        <f t="shared" si="1"/>
        <v>114</v>
      </c>
      <c r="X26" s="590">
        <f t="shared" si="1"/>
        <v>112</v>
      </c>
      <c r="Y26" s="590">
        <f t="shared" si="1"/>
        <v>94</v>
      </c>
      <c r="Z26" s="590">
        <f t="shared" si="1"/>
        <v>93</v>
      </c>
      <c r="AA26" s="590">
        <f t="shared" si="1"/>
        <v>99</v>
      </c>
      <c r="AB26" s="590">
        <f t="shared" si="1"/>
        <v>71</v>
      </c>
      <c r="AC26" s="590">
        <f t="shared" si="1"/>
        <v>110</v>
      </c>
      <c r="AD26" s="590">
        <f t="shared" si="1"/>
        <v>81</v>
      </c>
      <c r="AE26" s="590">
        <f t="shared" si="1"/>
        <v>111</v>
      </c>
      <c r="AF26" s="590">
        <f t="shared" si="1"/>
        <v>100</v>
      </c>
      <c r="AG26" s="590">
        <f t="shared" si="1"/>
        <v>137</v>
      </c>
      <c r="AH26" s="590">
        <f t="shared" si="1"/>
        <v>-7534</v>
      </c>
      <c r="AI26" s="590">
        <f t="shared" ref="AI26" si="2">SUM(AI12)</f>
        <v>0</v>
      </c>
    </row>
    <row r="27" spans="2:35">
      <c r="B27" s="1188"/>
      <c r="C27" s="1189"/>
      <c r="D27" s="1189"/>
      <c r="E27" s="1189"/>
      <c r="F27" s="1189"/>
      <c r="G27" s="1189"/>
      <c r="H27" s="1189"/>
      <c r="I27" s="1189"/>
      <c r="J27" s="1189"/>
      <c r="K27" s="1189"/>
      <c r="L27" s="1189"/>
      <c r="M27" s="1189"/>
      <c r="N27" s="1189"/>
      <c r="O27" s="1189"/>
      <c r="P27" s="1189"/>
      <c r="Q27" s="1189"/>
      <c r="R27" s="1189"/>
      <c r="S27" s="1189"/>
      <c r="T27" s="1189"/>
      <c r="U27" s="1189"/>
      <c r="V27" s="1189"/>
      <c r="W27" s="1189"/>
      <c r="X27" s="1189"/>
      <c r="Y27" s="1189"/>
      <c r="Z27" s="1189"/>
      <c r="AA27" s="1189"/>
      <c r="AB27" s="1189"/>
      <c r="AC27" s="1189"/>
      <c r="AD27" s="1189"/>
      <c r="AE27" s="1189"/>
      <c r="AF27" s="1189"/>
      <c r="AG27" s="1189"/>
      <c r="AH27" s="1189"/>
      <c r="AI27" s="1189"/>
    </row>
    <row r="28" spans="2:35">
      <c r="B28" s="1188" t="s">
        <v>85</v>
      </c>
      <c r="C28" s="1189"/>
      <c r="D28" s="1190">
        <f>D8</f>
        <v>48</v>
      </c>
      <c r="E28" s="1190">
        <f t="shared" ref="E28:AH28" si="3">E8</f>
        <v>62</v>
      </c>
      <c r="F28" s="1190">
        <f t="shared" si="3"/>
        <v>39</v>
      </c>
      <c r="G28" s="1190">
        <f t="shared" si="3"/>
        <v>39</v>
      </c>
      <c r="H28" s="1190">
        <f t="shared" si="3"/>
        <v>91</v>
      </c>
      <c r="I28" s="1190">
        <f t="shared" si="3"/>
        <v>72</v>
      </c>
      <c r="J28" s="1190">
        <f t="shared" si="3"/>
        <v>45</v>
      </c>
      <c r="K28" s="1190">
        <f t="shared" si="3"/>
        <v>41</v>
      </c>
      <c r="L28" s="1190">
        <f t="shared" si="3"/>
        <v>41</v>
      </c>
      <c r="M28" s="1190">
        <f t="shared" si="3"/>
        <v>140</v>
      </c>
      <c r="N28" s="1190">
        <f t="shared" si="3"/>
        <v>51</v>
      </c>
      <c r="O28" s="1190">
        <f t="shared" si="3"/>
        <v>43</v>
      </c>
      <c r="P28" s="1190">
        <f t="shared" si="3"/>
        <v>65</v>
      </c>
      <c r="Q28" s="1190">
        <f t="shared" si="3"/>
        <v>45</v>
      </c>
      <c r="R28" s="1190">
        <f t="shared" si="3"/>
        <v>46</v>
      </c>
      <c r="S28" s="1190">
        <f t="shared" si="3"/>
        <v>46</v>
      </c>
      <c r="T28" s="1190">
        <f t="shared" si="3"/>
        <v>55</v>
      </c>
      <c r="U28" s="1190">
        <f t="shared" si="3"/>
        <v>58</v>
      </c>
      <c r="V28" s="1190">
        <f t="shared" si="3"/>
        <v>46</v>
      </c>
      <c r="W28" s="1190">
        <f t="shared" si="3"/>
        <v>65</v>
      </c>
      <c r="X28" s="1190">
        <f t="shared" si="3"/>
        <v>67</v>
      </c>
      <c r="Y28" s="1190">
        <f t="shared" si="3"/>
        <v>33</v>
      </c>
      <c r="Z28" s="1190">
        <f t="shared" si="3"/>
        <v>62</v>
      </c>
      <c r="AA28" s="1190">
        <f t="shared" si="3"/>
        <v>73</v>
      </c>
      <c r="AB28" s="1190">
        <f t="shared" si="3"/>
        <v>39</v>
      </c>
      <c r="AC28" s="1190">
        <f t="shared" si="3"/>
        <v>41</v>
      </c>
      <c r="AD28" s="1190">
        <f t="shared" si="3"/>
        <v>66</v>
      </c>
      <c r="AE28" s="1190">
        <f t="shared" si="3"/>
        <v>86</v>
      </c>
      <c r="AF28" s="1190">
        <f t="shared" si="3"/>
        <v>72</v>
      </c>
      <c r="AG28" s="1190">
        <f t="shared" si="3"/>
        <v>74</v>
      </c>
      <c r="AH28" s="1190">
        <f t="shared" si="3"/>
        <v>-4407</v>
      </c>
      <c r="AI28" s="1189"/>
    </row>
    <row r="29" spans="2:35">
      <c r="B29" s="1188" t="s">
        <v>86</v>
      </c>
      <c r="C29" s="1189"/>
      <c r="D29" s="1190">
        <f>SUM(D9:D10,D13:D14)</f>
        <v>90</v>
      </c>
      <c r="E29" s="1190">
        <f t="shared" ref="E29:AH29" si="4">SUM(E9:E10,E13:E14)</f>
        <v>74</v>
      </c>
      <c r="F29" s="1190">
        <f t="shared" si="4"/>
        <v>69</v>
      </c>
      <c r="G29" s="1190">
        <f t="shared" si="4"/>
        <v>69</v>
      </c>
      <c r="H29" s="1190">
        <f t="shared" si="4"/>
        <v>140</v>
      </c>
      <c r="I29" s="1190">
        <f t="shared" si="4"/>
        <v>125</v>
      </c>
      <c r="J29" s="1190">
        <f t="shared" si="4"/>
        <v>76</v>
      </c>
      <c r="K29" s="1190">
        <f t="shared" si="4"/>
        <v>110</v>
      </c>
      <c r="L29" s="1190">
        <f t="shared" si="4"/>
        <v>110</v>
      </c>
      <c r="M29" s="1190">
        <f t="shared" si="4"/>
        <v>185</v>
      </c>
      <c r="N29" s="1190">
        <f t="shared" si="4"/>
        <v>86</v>
      </c>
      <c r="O29" s="1190">
        <f t="shared" si="4"/>
        <v>90</v>
      </c>
      <c r="P29" s="1190">
        <f t="shared" si="4"/>
        <v>83</v>
      </c>
      <c r="Q29" s="1190">
        <f t="shared" si="4"/>
        <v>51.19999999999709</v>
      </c>
      <c r="R29" s="1190">
        <f t="shared" si="4"/>
        <v>46</v>
      </c>
      <c r="S29" s="1190">
        <f t="shared" si="4"/>
        <v>46</v>
      </c>
      <c r="T29" s="1190">
        <f t="shared" si="4"/>
        <v>68</v>
      </c>
      <c r="U29" s="1190">
        <f t="shared" si="4"/>
        <v>72</v>
      </c>
      <c r="V29" s="1190">
        <f t="shared" si="4"/>
        <v>65</v>
      </c>
      <c r="W29" s="1190">
        <f t="shared" si="4"/>
        <v>58</v>
      </c>
      <c r="X29" s="1190">
        <f t="shared" si="4"/>
        <v>73</v>
      </c>
      <c r="Y29" s="1190">
        <f t="shared" si="4"/>
        <v>91</v>
      </c>
      <c r="Z29" s="1190">
        <f t="shared" si="4"/>
        <v>75</v>
      </c>
      <c r="AA29" s="1190">
        <f t="shared" si="4"/>
        <v>61</v>
      </c>
      <c r="AB29" s="1190">
        <f t="shared" si="4"/>
        <v>73</v>
      </c>
      <c r="AC29" s="1190">
        <f t="shared" si="4"/>
        <v>83</v>
      </c>
      <c r="AD29" s="1190">
        <f t="shared" si="4"/>
        <v>56</v>
      </c>
      <c r="AE29" s="1190">
        <f t="shared" si="4"/>
        <v>97</v>
      </c>
      <c r="AF29" s="1190">
        <f t="shared" si="4"/>
        <v>95</v>
      </c>
      <c r="AG29" s="1190">
        <f t="shared" si="4"/>
        <v>108</v>
      </c>
      <c r="AH29" s="1190">
        <f t="shared" si="4"/>
        <v>-5033</v>
      </c>
      <c r="AI29" s="1189"/>
    </row>
    <row r="30" spans="2:35">
      <c r="B30" s="1188" t="s">
        <v>87</v>
      </c>
      <c r="C30" s="1189"/>
      <c r="D30" s="1189">
        <f>D29/SUM(D28:D29)%</f>
        <v>65.217391304347828</v>
      </c>
      <c r="E30" s="1189">
        <f t="shared" ref="E30:AH30" si="5">E29/SUM(E28:E29)%</f>
        <v>54.411764705882348</v>
      </c>
      <c r="F30" s="1189">
        <f t="shared" si="5"/>
        <v>63.888888888888886</v>
      </c>
      <c r="G30" s="1189">
        <f t="shared" si="5"/>
        <v>63.888888888888886</v>
      </c>
      <c r="H30" s="1189">
        <f t="shared" si="5"/>
        <v>60.606060606060602</v>
      </c>
      <c r="I30" s="1189">
        <f t="shared" si="5"/>
        <v>63.451776649746193</v>
      </c>
      <c r="J30" s="1189">
        <f t="shared" si="5"/>
        <v>62.809917355371901</v>
      </c>
      <c r="K30" s="1189">
        <f t="shared" si="5"/>
        <v>72.847682119205302</v>
      </c>
      <c r="L30" s="1189">
        <f t="shared" si="5"/>
        <v>72.847682119205302</v>
      </c>
      <c r="M30" s="1189">
        <f t="shared" si="5"/>
        <v>56.92307692307692</v>
      </c>
      <c r="N30" s="1189">
        <f t="shared" si="5"/>
        <v>62.773722627737222</v>
      </c>
      <c r="O30" s="1189">
        <f t="shared" si="5"/>
        <v>67.669172932330824</v>
      </c>
      <c r="P30" s="1189">
        <f t="shared" si="5"/>
        <v>56.081081081081081</v>
      </c>
      <c r="Q30" s="1189">
        <f t="shared" si="5"/>
        <v>53.222453222451811</v>
      </c>
      <c r="R30" s="1189">
        <f t="shared" si="5"/>
        <v>50</v>
      </c>
      <c r="S30" s="1189">
        <f t="shared" si="5"/>
        <v>50</v>
      </c>
      <c r="T30" s="1189">
        <f t="shared" si="5"/>
        <v>55.284552845528459</v>
      </c>
      <c r="U30" s="1189">
        <f t="shared" si="5"/>
        <v>55.38461538461538</v>
      </c>
      <c r="V30" s="1189">
        <f t="shared" si="5"/>
        <v>58.558558558558552</v>
      </c>
      <c r="W30" s="1189">
        <f t="shared" si="5"/>
        <v>47.154471544715449</v>
      </c>
      <c r="X30" s="1189">
        <f t="shared" si="5"/>
        <v>52.142857142857146</v>
      </c>
      <c r="Y30" s="1189">
        <f t="shared" si="5"/>
        <v>73.387096774193552</v>
      </c>
      <c r="Z30" s="1189">
        <f t="shared" si="5"/>
        <v>54.744525547445249</v>
      </c>
      <c r="AA30" s="1189">
        <f t="shared" si="5"/>
        <v>45.522388059701491</v>
      </c>
      <c r="AB30" s="1189">
        <f t="shared" si="5"/>
        <v>65.178571428571416</v>
      </c>
      <c r="AC30" s="1189">
        <f t="shared" si="5"/>
        <v>66.935483870967744</v>
      </c>
      <c r="AD30" s="1189">
        <f t="shared" si="5"/>
        <v>45.901639344262293</v>
      </c>
      <c r="AE30" s="1189">
        <f t="shared" si="5"/>
        <v>53.005464480874316</v>
      </c>
      <c r="AF30" s="1189">
        <f t="shared" si="5"/>
        <v>56.886227544910184</v>
      </c>
      <c r="AG30" s="1189">
        <f t="shared" si="5"/>
        <v>59.340659340659336</v>
      </c>
      <c r="AH30" s="1189">
        <f t="shared" si="5"/>
        <v>53.315677966101688</v>
      </c>
      <c r="AI30" s="1189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O89"/>
  <sheetViews>
    <sheetView topLeftCell="I3" zoomScale="85" zoomScaleNormal="85" workbookViewId="0">
      <pane ySplit="1" topLeftCell="A4" activePane="bottomLeft" state="frozen"/>
      <selection activeCell="A3" sqref="A3"/>
      <selection pane="bottomLeft" activeCell="AC3" sqref="AC3"/>
    </sheetView>
  </sheetViews>
  <sheetFormatPr defaultRowHeight="15.75"/>
  <cols>
    <col min="1" max="1" width="8.88671875" style="1200"/>
    <col min="2" max="20" width="7.33203125" style="1200" customWidth="1"/>
    <col min="21" max="39" width="7" style="1200" customWidth="1"/>
    <col min="40" max="16384" width="8.88671875" style="1200"/>
  </cols>
  <sheetData>
    <row r="2" spans="1:41">
      <c r="B2" s="1403" t="s">
        <v>88</v>
      </c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3"/>
      <c r="Z2" s="1403"/>
      <c r="AA2" s="1403"/>
      <c r="AB2" s="1402"/>
      <c r="AC2" s="1402"/>
      <c r="AD2" s="1402"/>
      <c r="AE2" s="1402"/>
      <c r="AF2" s="1402"/>
      <c r="AG2" s="1402"/>
      <c r="AH2" s="1402"/>
      <c r="AI2" s="1281"/>
      <c r="AJ2" s="1401" t="s">
        <v>89</v>
      </c>
      <c r="AK2" s="1401"/>
      <c r="AL2" s="1401"/>
      <c r="AM2" s="1401"/>
    </row>
    <row r="3" spans="1:41" ht="30" customHeight="1">
      <c r="A3" s="1201"/>
      <c r="B3" s="1201" t="s">
        <v>90</v>
      </c>
      <c r="C3" s="1201" t="s">
        <v>91</v>
      </c>
      <c r="D3" s="1201" t="s">
        <v>92</v>
      </c>
      <c r="E3" s="1201" t="s">
        <v>93</v>
      </c>
      <c r="F3" s="1201" t="s">
        <v>94</v>
      </c>
      <c r="G3" s="1201" t="s">
        <v>95</v>
      </c>
      <c r="H3" s="1201" t="s">
        <v>96</v>
      </c>
      <c r="I3" s="1201" t="s">
        <v>97</v>
      </c>
      <c r="J3" s="1201" t="s">
        <v>98</v>
      </c>
      <c r="K3" s="1201" t="s">
        <v>99</v>
      </c>
      <c r="L3" s="1201" t="s">
        <v>100</v>
      </c>
      <c r="M3" s="1201" t="s">
        <v>77</v>
      </c>
      <c r="N3" s="1201" t="s">
        <v>101</v>
      </c>
      <c r="O3" s="1202" t="s">
        <v>102</v>
      </c>
      <c r="P3" s="1202" t="s">
        <v>103</v>
      </c>
      <c r="Q3" s="1202" t="s">
        <v>104</v>
      </c>
      <c r="R3" s="1202" t="s">
        <v>105</v>
      </c>
      <c r="S3" s="535" t="s">
        <v>106</v>
      </c>
      <c r="T3" s="536" t="s">
        <v>107</v>
      </c>
      <c r="U3" s="536" t="s">
        <v>107</v>
      </c>
      <c r="V3" s="536" t="s">
        <v>108</v>
      </c>
      <c r="W3" s="536" t="s">
        <v>109</v>
      </c>
      <c r="X3" s="536" t="s">
        <v>110</v>
      </c>
      <c r="Y3" s="536" t="s">
        <v>111</v>
      </c>
      <c r="Z3" s="536" t="s">
        <v>112</v>
      </c>
      <c r="AA3" s="1201" t="s">
        <v>113</v>
      </c>
      <c r="AB3" s="1201" t="s">
        <v>114</v>
      </c>
      <c r="AC3" s="1201" t="s">
        <v>115</v>
      </c>
      <c r="AD3" s="1201" t="s">
        <v>116</v>
      </c>
      <c r="AE3" s="1201" t="s">
        <v>117</v>
      </c>
      <c r="AF3" s="1201" t="s">
        <v>118</v>
      </c>
      <c r="AG3" s="1201" t="s">
        <v>119</v>
      </c>
      <c r="AH3" s="1201" t="s">
        <v>120</v>
      </c>
      <c r="AI3" s="1201" t="s">
        <v>115</v>
      </c>
      <c r="AJ3" s="1201" t="s">
        <v>41</v>
      </c>
      <c r="AK3" s="1201" t="s">
        <v>42</v>
      </c>
      <c r="AL3" s="1201" t="s">
        <v>43</v>
      </c>
      <c r="AM3" s="1201" t="s">
        <v>121</v>
      </c>
    </row>
    <row r="4" spans="1:41">
      <c r="A4" s="1203">
        <v>44044</v>
      </c>
      <c r="B4" s="1204">
        <f>'1'!G72</f>
        <v>12</v>
      </c>
      <c r="C4" s="1204">
        <f>'1'!$G$73</f>
        <v>0</v>
      </c>
      <c r="D4" s="1204">
        <f>'1'!$G$74</f>
        <v>16</v>
      </c>
      <c r="E4" s="1204">
        <f>'1'!$G$75</f>
        <v>161</v>
      </c>
      <c r="F4" s="1204">
        <f>'1'!$G$76</f>
        <v>60</v>
      </c>
      <c r="G4" s="1204">
        <f>'1'!$G$77</f>
        <v>70</v>
      </c>
      <c r="H4" s="1204">
        <f>'1'!$G$78</f>
        <v>329</v>
      </c>
      <c r="I4" s="1204">
        <f>'1'!$G$79</f>
        <v>160</v>
      </c>
      <c r="J4" s="1204">
        <f>'1'!$G$80</f>
        <v>303</v>
      </c>
      <c r="K4" s="1204">
        <f>'1'!$G$81</f>
        <v>82</v>
      </c>
      <c r="L4" s="1204">
        <f>'1'!$G$82</f>
        <v>25.740000000005239</v>
      </c>
      <c r="M4" s="1204">
        <f>'1'!$G$58</f>
        <v>49.734000000000378</v>
      </c>
      <c r="N4" s="1204">
        <f>'1'!$G$83</f>
        <v>446</v>
      </c>
      <c r="O4" s="1204">
        <f>'1'!G86</f>
        <v>22.539999999979045</v>
      </c>
      <c r="P4" s="1204">
        <f>'1'!G87</f>
        <v>38</v>
      </c>
      <c r="Q4" s="1204">
        <f>'1'!G88</f>
        <v>55.290000000008149</v>
      </c>
      <c r="R4" s="1204">
        <f>'1'!G89+'1'!G90</f>
        <v>35.499999999997272</v>
      </c>
      <c r="S4" s="1204">
        <f>'1'!$G$62</f>
        <v>0</v>
      </c>
      <c r="T4" s="1204">
        <f>'1'!$G$63</f>
        <v>19.696000000000026</v>
      </c>
      <c r="U4" s="1204">
        <f>'1'!$G$64</f>
        <v>364.89999999999418</v>
      </c>
      <c r="V4" s="1204">
        <f>'1'!$G$65</f>
        <v>390.15999999998894</v>
      </c>
      <c r="W4" s="1204">
        <f>'1'!$G$66</f>
        <v>392.5</v>
      </c>
      <c r="X4" s="1204">
        <f>'1'!$G$67</f>
        <v>678.38000000000466</v>
      </c>
      <c r="Y4" s="1204">
        <f>'1'!$G$68</f>
        <v>331.74599999999919</v>
      </c>
      <c r="Z4" s="1204">
        <f>'1'!$G$69</f>
        <v>278.85199999999895</v>
      </c>
      <c r="AA4" s="1204">
        <f>'1'!$G$84</f>
        <v>596</v>
      </c>
      <c r="AB4" s="1204">
        <f>'1'!$G$15</f>
        <v>497.53900000010617</v>
      </c>
      <c r="AC4" s="1204">
        <f>'1'!$G$123</f>
        <v>193.62199999997392</v>
      </c>
      <c r="AD4" s="1204">
        <f>'1'!$G$124</f>
        <v>0</v>
      </c>
      <c r="AE4" s="1204">
        <f>'1'!$G$125</f>
        <v>63.420000000012806</v>
      </c>
      <c r="AF4" s="1204">
        <f>'1'!$G$126</f>
        <v>32.099999999998545</v>
      </c>
      <c r="AG4" s="1204">
        <f>'1'!$G$127</f>
        <v>0</v>
      </c>
      <c r="AH4" s="1204">
        <f>AB4-SUM(AC4:AG4)</f>
        <v>208.3970000001209</v>
      </c>
      <c r="AI4" s="1204">
        <f>'1'!G140</f>
        <v>0</v>
      </c>
      <c r="AJ4" s="1204">
        <f>'1'!$G$136</f>
        <v>0</v>
      </c>
      <c r="AK4" s="1204">
        <f>'1'!$G$137</f>
        <v>0</v>
      </c>
      <c r="AL4" s="1204">
        <f>'1'!$G$138</f>
        <v>8.7000000000116415</v>
      </c>
      <c r="AM4" s="1201">
        <f>SUM(AJ4:AL4)</f>
        <v>8.7000000000116415</v>
      </c>
    </row>
    <row r="5" spans="1:41">
      <c r="A5" s="1203">
        <v>44045</v>
      </c>
      <c r="B5" s="1204">
        <f>'2'!G72</f>
        <v>9</v>
      </c>
      <c r="C5" s="1204">
        <f>'2'!$G$73</f>
        <v>0</v>
      </c>
      <c r="D5" s="1204">
        <f>'2'!$G$74</f>
        <v>20</v>
      </c>
      <c r="E5" s="1204">
        <f>'2'!$G$75</f>
        <v>177</v>
      </c>
      <c r="F5" s="1204">
        <f>'2'!$G$76</f>
        <v>84</v>
      </c>
      <c r="G5" s="1204">
        <f>'2'!$G$77</f>
        <v>65</v>
      </c>
      <c r="H5" s="1204">
        <f>'2'!$G$78</f>
        <v>257</v>
      </c>
      <c r="I5" s="1204">
        <f>'2'!$G$79</f>
        <v>173</v>
      </c>
      <c r="J5" s="1204">
        <f>'2'!$G$80</f>
        <v>293.96000000002095</v>
      </c>
      <c r="K5" s="1194">
        <f>'2'!$G$81</f>
        <v>94.71999999997206</v>
      </c>
      <c r="L5" s="1194">
        <f>'2'!$G$82</f>
        <v>18.309999999997672</v>
      </c>
      <c r="M5" s="1194">
        <f>'2'!$G$58</f>
        <v>181.41200000000026</v>
      </c>
      <c r="N5" s="1194">
        <f>'2'!$G$83</f>
        <v>270</v>
      </c>
      <c r="O5" s="1194">
        <f>'2'!G86</f>
        <v>143.96000000002095</v>
      </c>
      <c r="P5" s="1204">
        <f>'2'!G87</f>
        <v>45</v>
      </c>
      <c r="Q5" s="1204">
        <f>'2'!G88</f>
        <v>79.25</v>
      </c>
      <c r="R5" s="1204">
        <f>'2'!G89+'2'!G90</f>
        <v>56</v>
      </c>
      <c r="S5" s="1204">
        <f>'2'!$G$62</f>
        <v>0</v>
      </c>
      <c r="T5" s="1204">
        <f>'2'!$G$63</f>
        <v>19.37315000000001</v>
      </c>
      <c r="U5" s="1204">
        <f>'2'!$G$64</f>
        <v>358.27600000001257</v>
      </c>
      <c r="V5" s="1204">
        <f>'2'!$G$65</f>
        <v>396.04000000000815</v>
      </c>
      <c r="W5" s="1204">
        <f>'2'!$G$66</f>
        <v>396.10099999999511</v>
      </c>
      <c r="X5" s="1204">
        <f>'2'!$G$67</f>
        <v>640.11000000000058</v>
      </c>
      <c r="Y5" s="1204">
        <f>'2'!$G$68</f>
        <v>314.12000000000262</v>
      </c>
      <c r="Z5" s="1204">
        <f>'2'!$G$69</f>
        <v>253.11799999999857</v>
      </c>
      <c r="AA5" s="1204">
        <f>'2'!$G$84</f>
        <v>602</v>
      </c>
      <c r="AB5" s="1204">
        <f>'2'!$G$15</f>
        <v>706.53900000010617</v>
      </c>
      <c r="AC5" s="1204">
        <f>'2'!$G$123</f>
        <v>203.85800000000745</v>
      </c>
      <c r="AD5" s="1204">
        <f>'2'!$G$124</f>
        <v>0</v>
      </c>
      <c r="AE5" s="1204">
        <f>'2'!$G$125</f>
        <v>64.349999999976717</v>
      </c>
      <c r="AF5" s="1204">
        <f>'2'!$G$126</f>
        <v>21.599999999998545</v>
      </c>
      <c r="AG5" s="1204">
        <f>'2'!$G$127</f>
        <v>0</v>
      </c>
      <c r="AH5" s="1204">
        <f t="shared" ref="AH5:AH34" si="0">AB5-SUM(AC5:AG5)</f>
        <v>416.73100000012346</v>
      </c>
      <c r="AI5" s="1204">
        <f>'2'!$G$140</f>
        <v>2.7099999999991269</v>
      </c>
      <c r="AJ5" s="1204">
        <f>'2'!$G$136</f>
        <v>8.1200000000026193</v>
      </c>
      <c r="AK5" s="1204">
        <f>'2'!$G$137</f>
        <v>0</v>
      </c>
      <c r="AL5" s="1204">
        <f>'2'!$G$138</f>
        <v>1.5399999999935972</v>
      </c>
      <c r="AM5" s="1201">
        <f t="shared" ref="AM5:AM34" si="1">SUM(AJ5:AL5)</f>
        <v>9.6599999999962165</v>
      </c>
    </row>
    <row r="6" spans="1:41" s="1207" customFormat="1">
      <c r="A6" s="1205">
        <v>44046</v>
      </c>
      <c r="B6" s="1194">
        <f>'3'!G72</f>
        <v>2</v>
      </c>
      <c r="C6" s="1194">
        <f>'3'!$G$73</f>
        <v>2</v>
      </c>
      <c r="D6" s="1194">
        <f>'3'!$G$74</f>
        <v>13</v>
      </c>
      <c r="E6" s="1194">
        <f>'3'!$G$75</f>
        <v>156</v>
      </c>
      <c r="F6" s="1194">
        <f>'3'!$G$76</f>
        <v>51</v>
      </c>
      <c r="G6" s="1194">
        <f>'3'!$G$77</f>
        <v>6</v>
      </c>
      <c r="H6" s="1194">
        <f>'3'!$G$78</f>
        <v>322</v>
      </c>
      <c r="I6" s="1194">
        <f>'3'!$G$79</f>
        <v>167</v>
      </c>
      <c r="J6" s="1194">
        <f>'3'!$G$80</f>
        <v>262</v>
      </c>
      <c r="K6" s="1194">
        <f>'3'!$G$81</f>
        <v>119</v>
      </c>
      <c r="L6" s="1194">
        <f>'3'!$G$82</f>
        <v>21</v>
      </c>
      <c r="M6" s="1194">
        <f>'3'!$G$58</f>
        <v>41.797999999998865</v>
      </c>
      <c r="N6" s="1194">
        <f>'3'!$G$83</f>
        <v>471</v>
      </c>
      <c r="O6" s="1204">
        <f>'3'!G86</f>
        <v>112</v>
      </c>
      <c r="P6" s="1204">
        <f>'1'!G87</f>
        <v>38</v>
      </c>
      <c r="Q6" s="1204">
        <f>'3'!G88</f>
        <v>48</v>
      </c>
      <c r="R6" s="1204">
        <f>'3'!G89+'3'!G90</f>
        <v>54</v>
      </c>
      <c r="S6" s="1194">
        <f>'3'!$G$62</f>
        <v>-0.1889999999984866</v>
      </c>
      <c r="T6" s="1194">
        <f>'3'!$G$63</f>
        <v>19.233920000000012</v>
      </c>
      <c r="U6" s="1194">
        <f>'3'!$G$64</f>
        <v>367.80799999998999</v>
      </c>
      <c r="V6" s="1194">
        <f>'3'!$G$65</f>
        <v>394.69599999999627</v>
      </c>
      <c r="W6" s="1194">
        <f>'3'!$G$66</f>
        <v>376.79000000000815</v>
      </c>
      <c r="X6" s="944">
        <f>'3'!$G$67</f>
        <v>615.02999999999884</v>
      </c>
      <c r="Y6" s="944">
        <f>'3'!$G$68</f>
        <v>301.08400000000256</v>
      </c>
      <c r="Z6" s="1194">
        <f>'3'!$G$69</f>
        <v>260.45600000000195</v>
      </c>
      <c r="AA6" s="1194">
        <f>'3'!$G$84</f>
        <v>598</v>
      </c>
      <c r="AB6" s="1194">
        <f>'3'!$G$15</f>
        <v>445.85999999986961</v>
      </c>
      <c r="AC6" s="1194">
        <f>'3'!$G$123</f>
        <v>148.51699999999255</v>
      </c>
      <c r="AD6" s="1194">
        <f>'3'!$G$124</f>
        <v>0</v>
      </c>
      <c r="AE6" s="1194">
        <f>'3'!$G$125</f>
        <v>52.779999999998836</v>
      </c>
      <c r="AF6" s="1194">
        <f>'3'!$G$126</f>
        <v>19.900000000001455</v>
      </c>
      <c r="AG6" s="1194">
        <f>'3'!$G$127</f>
        <v>0</v>
      </c>
      <c r="AH6" s="1194">
        <f t="shared" si="0"/>
        <v>224.66299999987677</v>
      </c>
      <c r="AI6" s="1194">
        <f>'3'!$G$140</f>
        <v>0</v>
      </c>
      <c r="AJ6" s="1194">
        <f>'3'!$G$136</f>
        <v>0</v>
      </c>
      <c r="AK6" s="1194">
        <f>'3'!$G$137</f>
        <v>0</v>
      </c>
      <c r="AL6" s="1194">
        <f>'3'!$G$138</f>
        <v>7.6999999999970896</v>
      </c>
      <c r="AM6" s="1206">
        <f t="shared" si="1"/>
        <v>7.6999999999970896</v>
      </c>
    </row>
    <row r="7" spans="1:41">
      <c r="A7" s="1203">
        <v>44047</v>
      </c>
      <c r="B7" s="1204">
        <f>'4'!G72</f>
        <v>5</v>
      </c>
      <c r="C7" s="1204">
        <f>'4'!$G$73</f>
        <v>1</v>
      </c>
      <c r="D7" s="1204">
        <f>'4'!$G$74</f>
        <v>16</v>
      </c>
      <c r="E7" s="1204">
        <f>'4'!$G$74</f>
        <v>16</v>
      </c>
      <c r="F7" s="1204">
        <f>'4'!$G$76</f>
        <v>61</v>
      </c>
      <c r="G7" s="1204">
        <f>'4'!$G$77</f>
        <v>9</v>
      </c>
      <c r="H7" s="1204">
        <f>'4'!$G$78</f>
        <v>209</v>
      </c>
      <c r="I7" s="1204">
        <f>'4'!$G$79</f>
        <v>170</v>
      </c>
      <c r="J7" s="1194">
        <f>'4'!$G$80</f>
        <v>252</v>
      </c>
      <c r="K7" s="1194">
        <f>'4'!$G$81</f>
        <v>93</v>
      </c>
      <c r="L7" s="1204">
        <f>'4'!$G$82</f>
        <v>5</v>
      </c>
      <c r="M7" s="1204">
        <f>'4'!$G$58</f>
        <v>33.93500000000131</v>
      </c>
      <c r="N7" s="1204">
        <f>'4'!$G$83</f>
        <v>290</v>
      </c>
      <c r="O7" s="1204">
        <f>'4'!G86</f>
        <v>159</v>
      </c>
      <c r="P7" s="1204">
        <f>'4'!G87</f>
        <v>22</v>
      </c>
      <c r="Q7" s="1204">
        <f>'4'!G88</f>
        <v>68</v>
      </c>
      <c r="R7" s="1204">
        <f>'4'!G89+'4'!G90</f>
        <v>75</v>
      </c>
      <c r="S7" s="1204">
        <f>'4'!$G$62</f>
        <v>-0.1889999999984866</v>
      </c>
      <c r="T7" s="1204">
        <f>'4'!$G$63</f>
        <v>19.046929999999975</v>
      </c>
      <c r="U7" s="1204">
        <f>'4'!$G$64</f>
        <v>353.65899999999965</v>
      </c>
      <c r="V7" s="1204">
        <f>'4'!$G$65</f>
        <v>363.57099999999627</v>
      </c>
      <c r="W7" s="1204">
        <f>'4'!$G$66</f>
        <v>373.15099999999802</v>
      </c>
      <c r="X7" s="1204">
        <f>'4'!$G$67</f>
        <v>572.38999999999942</v>
      </c>
      <c r="Y7" s="1204">
        <f>'4'!$G$68</f>
        <v>292.50099999999657</v>
      </c>
      <c r="Z7" s="1204">
        <f>'4'!$G$69</f>
        <v>200.91899999999805</v>
      </c>
      <c r="AA7" s="1204">
        <f>'4'!$G$84</f>
        <v>579</v>
      </c>
      <c r="AB7" s="1204">
        <f>'4'!$G$15</f>
        <v>331.51399999996647</v>
      </c>
      <c r="AC7" s="1204">
        <f>'4'!$G$123</f>
        <v>191.29700000002049</v>
      </c>
      <c r="AD7" s="1204">
        <f>'4'!$G$124</f>
        <v>0</v>
      </c>
      <c r="AE7" s="1204">
        <f>'4'!$G$125</f>
        <v>0</v>
      </c>
      <c r="AF7" s="1204">
        <f>'4'!$G$126</f>
        <v>23</v>
      </c>
      <c r="AG7" s="1204">
        <f>'4'!$G$127</f>
        <v>0</v>
      </c>
      <c r="AH7" s="1204">
        <f t="shared" si="0"/>
        <v>117.21699999994598</v>
      </c>
      <c r="AI7" s="1204">
        <f>'4'!$G$140</f>
        <v>0</v>
      </c>
      <c r="AJ7" s="1204">
        <f>'4'!$G$136</f>
        <v>0</v>
      </c>
      <c r="AK7" s="1204">
        <f>'4'!$G$137</f>
        <v>0</v>
      </c>
      <c r="AL7" s="1204">
        <f>'4'!$G$138</f>
        <v>0</v>
      </c>
      <c r="AM7" s="1201">
        <f t="shared" si="1"/>
        <v>0</v>
      </c>
    </row>
    <row r="8" spans="1:41">
      <c r="A8" s="1203">
        <v>44048</v>
      </c>
      <c r="B8" s="1204">
        <f>'5'!G72</f>
        <v>5</v>
      </c>
      <c r="C8" s="1204">
        <f>'5'!$G$73</f>
        <v>1</v>
      </c>
      <c r="D8" s="1204">
        <f>'5'!$G$74</f>
        <v>18</v>
      </c>
      <c r="E8" s="1213">
        <f>'5'!$G$75</f>
        <v>149</v>
      </c>
      <c r="F8" s="1204">
        <f>'5'!$G$76</f>
        <v>67</v>
      </c>
      <c r="G8" s="1194">
        <f>'5'!$G$77</f>
        <v>55</v>
      </c>
      <c r="H8" s="1212">
        <f>'5'!$G$78</f>
        <v>290</v>
      </c>
      <c r="I8" s="1212">
        <f>'5'!$G$79</f>
        <v>143</v>
      </c>
      <c r="J8" s="1208">
        <f>'5'!$G$80</f>
        <v>299</v>
      </c>
      <c r="K8" s="1212">
        <f>'5'!$G$81</f>
        <v>79</v>
      </c>
      <c r="L8" s="1204">
        <f>'5'!$G$82</f>
        <v>23.919999999998254</v>
      </c>
      <c r="M8" s="1204">
        <f>'5'!$G$58</f>
        <v>35.514999999999418</v>
      </c>
      <c r="N8" s="1204">
        <f>'5'!$G$83</f>
        <v>376</v>
      </c>
      <c r="O8" s="1212">
        <f>'5'!G86</f>
        <v>108</v>
      </c>
      <c r="P8" s="1204">
        <f>'5'!G87</f>
        <v>3</v>
      </c>
      <c r="Q8" s="1204">
        <f>'5'!G88</f>
        <v>40</v>
      </c>
      <c r="R8" s="1204">
        <f>'5'!G89+'5'!G90</f>
        <v>54</v>
      </c>
      <c r="S8" s="1204">
        <f>'5'!$G$62</f>
        <v>0</v>
      </c>
      <c r="T8" s="1204">
        <f>'5'!$G$63</f>
        <v>19.573469999999986</v>
      </c>
      <c r="U8" s="1204">
        <f>'5'!$G$64</f>
        <v>376.01300000000629</v>
      </c>
      <c r="V8" s="1204">
        <f>'5'!$G$65</f>
        <v>428.70900000000256</v>
      </c>
      <c r="W8" s="1204">
        <f>'5'!$G$66</f>
        <v>395.2670000000071</v>
      </c>
      <c r="X8" s="1204">
        <f>'5'!$G$67</f>
        <v>608.47000000000116</v>
      </c>
      <c r="Y8" s="1204">
        <f>'5'!$G$68</f>
        <v>302.04699999999866</v>
      </c>
      <c r="Z8" s="1204">
        <f>'5'!$G$69</f>
        <v>214.6710000000021</v>
      </c>
      <c r="AA8" s="1204">
        <f>'5'!$G$84</f>
        <v>554</v>
      </c>
      <c r="AB8" s="1212">
        <f>'5'!$G$15</f>
        <v>465.09400000004098</v>
      </c>
      <c r="AC8" s="1204">
        <f>'5'!$G$123</f>
        <v>170.83399999991525</v>
      </c>
      <c r="AD8" s="1204">
        <f>'5'!$G$124</f>
        <v>0</v>
      </c>
      <c r="AE8" s="1204">
        <f>'5'!$G$125</f>
        <v>114.54000000000815</v>
      </c>
      <c r="AF8" s="1204">
        <f>'5'!$G$126</f>
        <v>22.69999999999709</v>
      </c>
      <c r="AG8" s="1204">
        <f>'5'!$G$127</f>
        <v>0</v>
      </c>
      <c r="AH8" s="1204">
        <f t="shared" si="0"/>
        <v>157.02000000012049</v>
      </c>
      <c r="AI8" s="1204">
        <f>'5'!$G$140</f>
        <v>0</v>
      </c>
      <c r="AJ8" s="1204">
        <f>'5'!$G$136</f>
        <v>4.9999999973806553E-3</v>
      </c>
      <c r="AK8" s="1204">
        <f>'5'!$G$137</f>
        <v>0</v>
      </c>
      <c r="AL8" s="1204">
        <f>'5'!$G$138</f>
        <v>8.75</v>
      </c>
      <c r="AM8" s="1201">
        <f t="shared" si="1"/>
        <v>8.7549999999973807</v>
      </c>
    </row>
    <row r="9" spans="1:41">
      <c r="A9" s="1203">
        <v>44049</v>
      </c>
      <c r="B9" s="1204">
        <f>'6'!G72</f>
        <v>8</v>
      </c>
      <c r="C9" s="1204">
        <f>'6'!$G$73</f>
        <v>1</v>
      </c>
      <c r="D9" s="1204">
        <f>'6'!$G$74</f>
        <v>17</v>
      </c>
      <c r="E9" s="1204">
        <f>'6'!$G$75</f>
        <v>150</v>
      </c>
      <c r="F9" s="1204">
        <f>'6'!$G$76</f>
        <v>75</v>
      </c>
      <c r="G9" s="1204">
        <f>'6'!$G$77</f>
        <v>42</v>
      </c>
      <c r="H9" s="1194">
        <f>'6'!$G$78</f>
        <v>317</v>
      </c>
      <c r="I9" s="1194">
        <f>'6'!$G$79</f>
        <v>164</v>
      </c>
      <c r="J9" s="1194">
        <f>'6'!$G$80</f>
        <v>266.15999999997439</v>
      </c>
      <c r="K9" s="1194">
        <f>'6'!$G$81</f>
        <v>118.64000000001397</v>
      </c>
      <c r="L9" s="1194">
        <f>'6'!$G$82</f>
        <v>5.1100000000005821</v>
      </c>
      <c r="M9" s="1194">
        <f>'6'!$G$58</f>
        <v>184.01800000000003</v>
      </c>
      <c r="N9" s="1194">
        <f>'6'!$G$83</f>
        <v>389</v>
      </c>
      <c r="O9" s="1194">
        <f>'6'!G86</f>
        <v>118.03999999997905</v>
      </c>
      <c r="P9" s="1194">
        <f>'6'!G87</f>
        <v>7</v>
      </c>
      <c r="Q9" s="1194">
        <f>'6'!G88</f>
        <v>72.200000000011642</v>
      </c>
      <c r="R9" s="1194">
        <f>'6'!G89+'6'!G90</f>
        <v>77.699999999999818</v>
      </c>
      <c r="S9" s="1204">
        <f>'6'!$G$62</f>
        <v>0</v>
      </c>
      <c r="T9" s="1204">
        <f>'6'!$G$63</f>
        <v>19.556530000000009</v>
      </c>
      <c r="U9" s="1204">
        <f>'6'!$G$64</f>
        <v>363.76799999999639</v>
      </c>
      <c r="V9" s="1204">
        <f>'6'!$G$65</f>
        <v>373.73600000000442</v>
      </c>
      <c r="W9" s="1204">
        <f>'6'!$G$66</f>
        <v>382.32799999999406</v>
      </c>
      <c r="X9" s="1204">
        <f>'6'!$G$67</f>
        <v>638.36000000000058</v>
      </c>
      <c r="Y9" s="1204">
        <f>'6'!$G$68</f>
        <v>312.45599999999831</v>
      </c>
      <c r="Z9" s="1204">
        <f>'6'!$G$69</f>
        <v>210.43000000000029</v>
      </c>
      <c r="AA9" s="1204">
        <f>'6'!$G$84</f>
        <v>616</v>
      </c>
      <c r="AB9" s="1204">
        <f>'6'!$G$15</f>
        <v>617.47399999992922</v>
      </c>
      <c r="AC9" s="1243">
        <f>'6'!$G$123</f>
        <v>168.70600000000559</v>
      </c>
      <c r="AD9" s="1204">
        <f>'6'!$G$124</f>
        <v>0</v>
      </c>
      <c r="AE9" s="1204">
        <f>'6'!$G$125</f>
        <v>60.39000000001397</v>
      </c>
      <c r="AF9" s="1204">
        <f>'6'!$G$126</f>
        <v>17.599999999998545</v>
      </c>
      <c r="AG9" s="1204">
        <f>'6'!$G$127</f>
        <v>0</v>
      </c>
      <c r="AH9" s="1204">
        <f t="shared" si="0"/>
        <v>370.77799999991112</v>
      </c>
      <c r="AI9" s="1204">
        <f>'6'!$G$140</f>
        <v>0</v>
      </c>
      <c r="AJ9" s="1204">
        <f>'6'!$G$136</f>
        <v>6.9250000000029104</v>
      </c>
      <c r="AK9" s="1204">
        <f>'6'!$G$137</f>
        <v>0</v>
      </c>
      <c r="AL9" s="1204">
        <f>'6'!$G$138</f>
        <v>0</v>
      </c>
      <c r="AM9" s="1201">
        <f t="shared" si="1"/>
        <v>6.9250000000029104</v>
      </c>
    </row>
    <row r="10" spans="1:41">
      <c r="A10" s="1203">
        <v>44050</v>
      </c>
      <c r="B10" s="1204">
        <f>'7'!G72</f>
        <v>10</v>
      </c>
      <c r="C10" s="1204">
        <f>'7'!$G$73</f>
        <v>1</v>
      </c>
      <c r="D10" s="1204">
        <f>'7'!$G$74</f>
        <v>15</v>
      </c>
      <c r="E10" s="1204">
        <f>'7'!$G$75</f>
        <v>157</v>
      </c>
      <c r="F10" s="1204">
        <f>'7'!$G$76</f>
        <v>61</v>
      </c>
      <c r="G10" s="1204">
        <f>'7'!$G$77</f>
        <v>45</v>
      </c>
      <c r="H10" s="1194">
        <f>'7'!$G$78</f>
        <v>364</v>
      </c>
      <c r="I10" s="1194">
        <f>'7'!$G$79</f>
        <v>146</v>
      </c>
      <c r="J10" s="1194">
        <f>'7'!$G$80</f>
        <v>287.12000000005355</v>
      </c>
      <c r="K10" s="1194">
        <f>'7'!$G$81</f>
        <v>114.67999999993481</v>
      </c>
      <c r="L10" s="1194">
        <f>'7'!$G$82</f>
        <v>36.139999999999418</v>
      </c>
      <c r="M10" s="1194">
        <f>'7'!$G$58</f>
        <v>44.829999999998108</v>
      </c>
      <c r="N10" s="1208">
        <f>'7'!$G$83</f>
        <v>332</v>
      </c>
      <c r="O10" s="1228">
        <f>'7'!G86</f>
        <v>150.40000000002328</v>
      </c>
      <c r="P10" s="1194">
        <f>'7'!G87</f>
        <v>17.399999999994179</v>
      </c>
      <c r="Q10" s="1194">
        <f>'7'!G88</f>
        <v>25.659999999974389</v>
      </c>
      <c r="R10" s="1194">
        <f>'7'!G89+'7'!G90</f>
        <v>51.599999999997181</v>
      </c>
      <c r="S10" s="1204">
        <f>'7'!$G$62</f>
        <v>0</v>
      </c>
      <c r="T10" s="1204">
        <f>'7'!$G$63</f>
        <v>18.490000000000009</v>
      </c>
      <c r="U10" s="1204">
        <f>'7'!$G$64</f>
        <v>349.89600000000792</v>
      </c>
      <c r="V10" s="1204">
        <f>'7'!$G$65</f>
        <v>392.5679999999993</v>
      </c>
      <c r="W10" s="1204">
        <f>'7'!$G$66</f>
        <v>378.5679999999993</v>
      </c>
      <c r="X10" s="1204">
        <f>'7'!$G$67</f>
        <v>698.41999999999825</v>
      </c>
      <c r="Y10" s="1208">
        <f>'7'!$G$68</f>
        <v>325.52400000000489</v>
      </c>
      <c r="Z10" s="1204">
        <f>'7'!$G$69</f>
        <v>278.01399999999921</v>
      </c>
      <c r="AA10" s="1204">
        <f>'7'!$G$84</f>
        <v>424</v>
      </c>
      <c r="AB10" s="1204">
        <f>'7'!$G$15</f>
        <v>527.36800000001676</v>
      </c>
      <c r="AC10" s="1243">
        <f>'7'!$G$123</f>
        <v>191.96999999997206</v>
      </c>
      <c r="AD10" s="1204">
        <f>'7'!$G$124</f>
        <v>0</v>
      </c>
      <c r="AE10" s="1204">
        <f>'7'!$G$125</f>
        <v>75.569999999977881</v>
      </c>
      <c r="AF10" s="1204">
        <f>'7'!$G$126</f>
        <v>27.200000000004366</v>
      </c>
      <c r="AG10" s="1204">
        <f>'7'!$G$127</f>
        <v>0</v>
      </c>
      <c r="AH10" s="1204">
        <f t="shared" si="0"/>
        <v>232.62800000006246</v>
      </c>
      <c r="AI10" s="1204">
        <f>'7'!$G$140</f>
        <v>0</v>
      </c>
      <c r="AJ10" s="1204">
        <f>'7'!$G$136</f>
        <v>0</v>
      </c>
      <c r="AK10" s="1204">
        <f>'7'!$G$137</f>
        <v>-0.25</v>
      </c>
      <c r="AL10" s="1204">
        <f>'7'!$G$138</f>
        <v>9.2200000000011642</v>
      </c>
      <c r="AM10" s="1201">
        <f t="shared" si="1"/>
        <v>8.9700000000011642</v>
      </c>
    </row>
    <row r="11" spans="1:41">
      <c r="A11" s="1203">
        <v>44051</v>
      </c>
      <c r="B11" s="1204">
        <f>'8'!G72</f>
        <v>9</v>
      </c>
      <c r="C11" s="1204">
        <f>'8'!$G$73</f>
        <v>1</v>
      </c>
      <c r="D11" s="1204">
        <f>'8'!$G$74</f>
        <v>16</v>
      </c>
      <c r="E11" s="1204">
        <f>'8'!$G$75</f>
        <v>162</v>
      </c>
      <c r="F11" s="1204">
        <f>'8'!$G$76</f>
        <v>70</v>
      </c>
      <c r="G11" s="1204">
        <f>'8'!$G$77</f>
        <v>49</v>
      </c>
      <c r="H11" s="1194">
        <f>'8'!$G$78</f>
        <v>373</v>
      </c>
      <c r="I11" s="1194">
        <f>'8'!$G$79</f>
        <v>149</v>
      </c>
      <c r="J11" s="1194">
        <f>'8'!$G$80</f>
        <v>296.75999999995111</v>
      </c>
      <c r="K11" s="1194">
        <f>'8'!$G$81</f>
        <v>92.800000000046566</v>
      </c>
      <c r="L11" s="1194">
        <f>'8'!$G$82</f>
        <v>4.6699999999982538</v>
      </c>
      <c r="M11" s="1194">
        <f>'8'!$G$58</f>
        <v>7.4619999999995343</v>
      </c>
      <c r="N11" s="1194">
        <f>'8'!$G$83</f>
        <v>336</v>
      </c>
      <c r="O11" s="1194">
        <f>'8'!G86</f>
        <v>142.88000000000466</v>
      </c>
      <c r="P11" s="1194">
        <f>'8'!G87</f>
        <v>10.80000000000291</v>
      </c>
      <c r="Q11" s="1194">
        <f>'8'!G88</f>
        <v>65.75</v>
      </c>
      <c r="R11" s="1194">
        <f>'8'!G89+'8'!G90</f>
        <v>55.010000000001583</v>
      </c>
      <c r="S11" s="1204">
        <f>'8'!$G$62</f>
        <v>0</v>
      </c>
      <c r="T11" s="1204">
        <f>'8'!$G$63</f>
        <v>19.76600000000002</v>
      </c>
      <c r="U11" s="1204">
        <f>'8'!$G$64</f>
        <v>361.38799999999173</v>
      </c>
      <c r="V11" s="1204">
        <f>'8'!$G$65</f>
        <v>405.33599999999569</v>
      </c>
      <c r="W11" s="1204">
        <f>'8'!$G$66</f>
        <v>399.27199999999721</v>
      </c>
      <c r="X11" s="1204">
        <f>'8'!$G$67</f>
        <v>701.25</v>
      </c>
      <c r="Y11" s="1204">
        <f>'8'!$G$68</f>
        <v>340.40000000000146</v>
      </c>
      <c r="Z11" s="1204">
        <f>'8'!$G$69</f>
        <v>304.00599999999758</v>
      </c>
      <c r="AA11" s="1204">
        <f>'8'!$G$84</f>
        <v>411</v>
      </c>
      <c r="AB11" s="1204">
        <f>'8'!$G$15</f>
        <v>379.03900000010617</v>
      </c>
      <c r="AC11" s="1204">
        <f>'8'!$G$123</f>
        <v>213.67300000006799</v>
      </c>
      <c r="AD11" s="1204">
        <f>'8'!$G$124</f>
        <v>0</v>
      </c>
      <c r="AE11" s="1204">
        <f>'8'!$G$125</f>
        <v>65.740000000019791</v>
      </c>
      <c r="AF11" s="1204">
        <f>'8'!$G$126</f>
        <v>24.799999999995634</v>
      </c>
      <c r="AG11" s="1204">
        <f>'8'!$G$127</f>
        <v>0</v>
      </c>
      <c r="AH11" s="1204">
        <f t="shared" si="0"/>
        <v>74.826000000022759</v>
      </c>
      <c r="AI11" s="1204">
        <f>'8'!$G$140</f>
        <v>0</v>
      </c>
      <c r="AJ11" s="1204">
        <f>'8'!$G$136</f>
        <v>0</v>
      </c>
      <c r="AK11" s="1204">
        <f>'8'!$G$137</f>
        <v>0.25</v>
      </c>
      <c r="AL11" s="1204">
        <f>'8'!$G$138</f>
        <v>0</v>
      </c>
      <c r="AM11" s="1201">
        <f t="shared" si="1"/>
        <v>0.25</v>
      </c>
    </row>
    <row r="12" spans="1:41">
      <c r="A12" s="1203">
        <v>44052</v>
      </c>
      <c r="B12" s="1204">
        <f>'9'!G72</f>
        <v>9</v>
      </c>
      <c r="C12" s="1204">
        <f>'9'!$G$73</f>
        <v>1</v>
      </c>
      <c r="D12" s="1204">
        <f>'9'!$G$74</f>
        <v>16</v>
      </c>
      <c r="E12" s="1204">
        <f>'9'!$G$75</f>
        <v>162</v>
      </c>
      <c r="F12" s="1204">
        <f>'9'!$G$76</f>
        <v>70</v>
      </c>
      <c r="G12" s="1204">
        <f>'9'!$G$77</f>
        <v>49</v>
      </c>
      <c r="H12" s="1194">
        <f>'9'!$G$78</f>
        <v>373</v>
      </c>
      <c r="I12" s="1194">
        <f>'9'!$G$79</f>
        <v>149</v>
      </c>
      <c r="J12" s="1194">
        <f>'9'!$G$80</f>
        <v>296.75999999995111</v>
      </c>
      <c r="K12" s="1194">
        <f>'9'!$G$81</f>
        <v>92.800000000046566</v>
      </c>
      <c r="L12" s="1194">
        <f>'9'!$G$82</f>
        <v>4.6699999999982538</v>
      </c>
      <c r="M12" s="1194">
        <f>'9'!$G$58</f>
        <v>7.4619999999995343</v>
      </c>
      <c r="N12" s="1194">
        <f>'9'!$G$83</f>
        <v>336</v>
      </c>
      <c r="O12" s="1194">
        <f>'9'!G86</f>
        <v>142.88000000000466</v>
      </c>
      <c r="P12" s="1194">
        <f>'9'!G87</f>
        <v>10.80000000000291</v>
      </c>
      <c r="Q12" s="1194">
        <f>'9'!G88</f>
        <v>65.75</v>
      </c>
      <c r="R12" s="1194">
        <f>'9'!G89+'9'!H90</f>
        <v>55.010000000001583</v>
      </c>
      <c r="S12" s="1204">
        <f>'9'!$G$62</f>
        <v>0</v>
      </c>
      <c r="T12" s="1204">
        <f>'9'!$G$63</f>
        <v>19.76600000000002</v>
      </c>
      <c r="U12" s="1204">
        <f>'9'!$G$64</f>
        <v>361.38799999999173</v>
      </c>
      <c r="V12" s="1212">
        <f>'9'!$G$65</f>
        <v>405.33599999999569</v>
      </c>
      <c r="W12" s="1212">
        <f>'9'!$G$66</f>
        <v>399.27199999999721</v>
      </c>
      <c r="X12" s="1204">
        <f>'9'!$G$67</f>
        <v>701.25</v>
      </c>
      <c r="Y12" s="1204">
        <f>'9'!$G$68</f>
        <v>340.40000000000146</v>
      </c>
      <c r="Z12" s="1204">
        <f>'9'!$G$69</f>
        <v>304.00599999999758</v>
      </c>
      <c r="AA12" s="1204">
        <f>'9'!$G$84</f>
        <v>411</v>
      </c>
      <c r="AB12" s="1204">
        <f>'9'!$G$15</f>
        <v>379.03900000010617</v>
      </c>
      <c r="AC12" s="1204">
        <f>'9'!$G$123</f>
        <v>213.67300000006799</v>
      </c>
      <c r="AD12" s="1204">
        <f>'9'!$G$124</f>
        <v>0</v>
      </c>
      <c r="AE12" s="1204">
        <f>'9'!$G$125</f>
        <v>65.740000000019791</v>
      </c>
      <c r="AF12" s="1204">
        <f>'9'!$G$126</f>
        <v>24.799999999995634</v>
      </c>
      <c r="AG12" s="1204">
        <f>'9'!$G$127</f>
        <v>0</v>
      </c>
      <c r="AH12" s="1204">
        <f t="shared" si="0"/>
        <v>74.826000000022759</v>
      </c>
      <c r="AI12" s="1204">
        <f>'9'!$G$140</f>
        <v>0</v>
      </c>
      <c r="AJ12" s="1204">
        <f>'9'!$G$136</f>
        <v>0</v>
      </c>
      <c r="AK12" s="1204">
        <f>'9'!$G$137</f>
        <v>0.25</v>
      </c>
      <c r="AL12" s="1204">
        <f>'9'!$G$138</f>
        <v>0</v>
      </c>
      <c r="AM12" s="1201">
        <f t="shared" si="1"/>
        <v>0.25</v>
      </c>
    </row>
    <row r="13" spans="1:41">
      <c r="A13" s="1203">
        <v>44053</v>
      </c>
      <c r="B13" s="1204">
        <f>'10'!G72</f>
        <v>15</v>
      </c>
      <c r="C13" s="1204">
        <f>'10'!$G$73</f>
        <v>3</v>
      </c>
      <c r="D13" s="1204">
        <f>'10'!$G$74</f>
        <v>30</v>
      </c>
      <c r="E13" s="1204">
        <f>'10'!$G$75</f>
        <v>312</v>
      </c>
      <c r="F13" s="1204">
        <f>'10'!$G$76</f>
        <v>136</v>
      </c>
      <c r="G13" s="1204">
        <f>'10'!$G$77</f>
        <v>95</v>
      </c>
      <c r="H13" s="1194">
        <f>'10'!$G$78</f>
        <v>659</v>
      </c>
      <c r="I13" s="1194">
        <f>'10'!$G$79</f>
        <v>278</v>
      </c>
      <c r="J13" s="1209">
        <f>'10'!$G$80</f>
        <v>577.96000000002095</v>
      </c>
      <c r="K13" s="1209">
        <f>'10'!$G$81</f>
        <v>179.88000000000466</v>
      </c>
      <c r="L13" s="1194">
        <f>'10'!$G$82</f>
        <v>34.160000000003492</v>
      </c>
      <c r="M13" s="1194">
        <f>'10'!$G$58</f>
        <v>305.02500000000146</v>
      </c>
      <c r="N13" s="1194">
        <f>'10'!$G$83</f>
        <v>722</v>
      </c>
      <c r="O13" s="1194">
        <f>'10'!G86</f>
        <v>262.67999999999302</v>
      </c>
      <c r="P13" s="1194">
        <f>'10'!G87</f>
        <v>61.80000000000291</v>
      </c>
      <c r="Q13" s="1194">
        <f>'10'!G88</f>
        <v>159.39000000001397</v>
      </c>
      <c r="R13" s="1194">
        <f>'10'!G87+'10'!H90</f>
        <v>69.090000000002874</v>
      </c>
      <c r="S13" s="1204">
        <f>'10'!$G$62</f>
        <v>0</v>
      </c>
      <c r="T13" s="1204">
        <f>'10'!$G$63</f>
        <v>37.803999999999974</v>
      </c>
      <c r="U13" s="1204">
        <f>'10'!$G$64</f>
        <v>706.20500000000175</v>
      </c>
      <c r="V13" s="1204">
        <f>'10'!$G$65</f>
        <v>797.9210000000021</v>
      </c>
      <c r="W13" s="1204">
        <f>'10'!$G$66</f>
        <v>815.06500000000233</v>
      </c>
      <c r="X13" s="1204">
        <f>'10'!$G$67</f>
        <v>1352.0899999999965</v>
      </c>
      <c r="Y13" s="1204">
        <f>'10'!$G$68</f>
        <v>642.25299999999697</v>
      </c>
      <c r="Z13" s="1204">
        <f>'10'!$G$69</f>
        <v>641.16900000000169</v>
      </c>
      <c r="AA13" s="1204">
        <f>'10'!$G$84</f>
        <v>815</v>
      </c>
      <c r="AB13" s="1204">
        <f>'10'!$G$15</f>
        <v>1342.3789999999572</v>
      </c>
      <c r="AC13" s="1204">
        <f>'10'!$G$123</f>
        <v>351.63699999998789</v>
      </c>
      <c r="AD13" s="1204">
        <f>'10'!$G$124</f>
        <v>0</v>
      </c>
      <c r="AE13" s="1204">
        <f>'10'!$G$125</f>
        <v>138.98999999999069</v>
      </c>
      <c r="AF13" s="1204">
        <f>'10'!$G$126</f>
        <v>40.30000000000291</v>
      </c>
      <c r="AG13" s="1204">
        <f>'10'!$G$127</f>
        <v>0</v>
      </c>
      <c r="AH13" s="1204">
        <f t="shared" si="0"/>
        <v>811.45199999997567</v>
      </c>
      <c r="AI13" s="1204">
        <f>'10'!$G$140</f>
        <v>0</v>
      </c>
      <c r="AJ13" s="1204">
        <f>'10'!$G$136</f>
        <v>14.229999999999563</v>
      </c>
      <c r="AK13" s="1204">
        <f>'10'!$G$137</f>
        <v>0</v>
      </c>
      <c r="AL13" s="1204">
        <f>'10'!$G$138</f>
        <v>2.3699999999953434</v>
      </c>
      <c r="AM13" s="1201">
        <f t="shared" si="1"/>
        <v>16.599999999994907</v>
      </c>
    </row>
    <row r="14" spans="1:41">
      <c r="A14" s="1203">
        <v>44054</v>
      </c>
      <c r="B14" s="1204">
        <f>'11'!G72</f>
        <v>8</v>
      </c>
      <c r="C14" s="1204">
        <f>'11'!$G$73</f>
        <v>0</v>
      </c>
      <c r="D14" s="1204">
        <f>'11'!$G$74</f>
        <v>17</v>
      </c>
      <c r="E14" s="1204">
        <f>'11'!$G$75</f>
        <v>177</v>
      </c>
      <c r="F14" s="1204">
        <f>'11'!$G$76</f>
        <v>74</v>
      </c>
      <c r="G14" s="1204">
        <f>'11'!$G$77</f>
        <v>46</v>
      </c>
      <c r="H14" s="1194">
        <f>'11'!$G$78</f>
        <v>322</v>
      </c>
      <c r="I14" s="1194">
        <f>'11'!$G$79</f>
        <v>212</v>
      </c>
      <c r="J14" s="1194">
        <f>'11'!$G$80</f>
        <v>298</v>
      </c>
      <c r="K14" s="1194">
        <f>'11'!$G$81</f>
        <v>91</v>
      </c>
      <c r="L14" s="1194">
        <f>'11'!$G$82</f>
        <v>23</v>
      </c>
      <c r="M14" s="1194">
        <f>'11'!$G$58</f>
        <v>45</v>
      </c>
      <c r="N14" s="1194">
        <f>'11'!$G$83</f>
        <v>292</v>
      </c>
      <c r="O14" s="1194">
        <f>'11'!G86</f>
        <v>103</v>
      </c>
      <c r="P14" s="1194">
        <f>'11'!G87</f>
        <v>35</v>
      </c>
      <c r="Q14" s="1194">
        <f>'11'!G88</f>
        <v>83</v>
      </c>
      <c r="R14" s="1194">
        <f>'11'!G87+'11'!H90</f>
        <v>41</v>
      </c>
      <c r="S14" s="1204">
        <f>'11'!$G$62</f>
        <v>0</v>
      </c>
      <c r="T14" s="1204">
        <f>'11'!$G$63</f>
        <v>20</v>
      </c>
      <c r="U14" s="1204">
        <f>'11'!$G$64</f>
        <v>342</v>
      </c>
      <c r="V14" s="1204">
        <f>'11'!$G$65</f>
        <v>378</v>
      </c>
      <c r="W14" s="1204">
        <f>'11'!$G$66</f>
        <v>478</v>
      </c>
      <c r="X14" s="1204">
        <f>'11'!$G$67</f>
        <v>667</v>
      </c>
      <c r="Y14" s="1204">
        <f>'11'!$G$68</f>
        <v>317</v>
      </c>
      <c r="Z14" s="1204">
        <f>'11'!$G$69</f>
        <v>248</v>
      </c>
      <c r="AA14" s="1204">
        <f>'11'!$G$84</f>
        <v>459</v>
      </c>
      <c r="AB14" s="1204">
        <f>'11'!$G$15</f>
        <v>508</v>
      </c>
      <c r="AC14" s="1204">
        <f>'11'!$G$123</f>
        <v>193</v>
      </c>
      <c r="AD14" s="1204">
        <f>'11'!$G$124</f>
        <v>0</v>
      </c>
      <c r="AE14" s="1204">
        <f>'11'!$G$125</f>
        <v>68</v>
      </c>
      <c r="AF14" s="1204">
        <f>'11'!$G$126</f>
        <v>25</v>
      </c>
      <c r="AG14" s="1204">
        <f>'11'!$G$127</f>
        <v>1</v>
      </c>
      <c r="AH14" s="1204">
        <f t="shared" si="0"/>
        <v>221</v>
      </c>
      <c r="AI14" s="1204">
        <f>'11'!$G$140</f>
        <v>0</v>
      </c>
      <c r="AJ14" s="1204">
        <f>'11'!$G$136</f>
        <v>-0.31000000000130967</v>
      </c>
      <c r="AK14" s="1204">
        <f>'11'!$G$137</f>
        <v>-0.25</v>
      </c>
      <c r="AL14" s="1204">
        <f>'11'!$G$138</f>
        <v>9.0700000000069849</v>
      </c>
      <c r="AM14" s="1201">
        <f t="shared" si="1"/>
        <v>8.5100000000056752</v>
      </c>
    </row>
    <row r="15" spans="1:41">
      <c r="A15" s="1203">
        <v>44055</v>
      </c>
      <c r="B15" s="1204">
        <f>'12'!G72</f>
        <v>8</v>
      </c>
      <c r="C15" s="1204">
        <f>'12'!$G$73</f>
        <v>2</v>
      </c>
      <c r="D15" s="1204">
        <f>'12'!$G$74</f>
        <v>16</v>
      </c>
      <c r="E15" s="1204">
        <f>'12'!$G$75</f>
        <v>153</v>
      </c>
      <c r="F15" s="1204">
        <f>'12'!$G$76</f>
        <v>66</v>
      </c>
      <c r="G15" s="1204">
        <f>'12'!$G$77</f>
        <v>46</v>
      </c>
      <c r="H15" s="1194">
        <f>'12'!$G$78</f>
        <v>322</v>
      </c>
      <c r="I15" s="1194">
        <f>'12'!$G$79</f>
        <v>166</v>
      </c>
      <c r="J15" s="1194">
        <f>'12'!$G$80</f>
        <v>282</v>
      </c>
      <c r="K15" s="1194">
        <f>'12'!$G$81</f>
        <v>87</v>
      </c>
      <c r="L15" s="1194">
        <f>'12'!$G$82</f>
        <v>6</v>
      </c>
      <c r="M15" s="1194">
        <f>'12'!$G$58</f>
        <v>35</v>
      </c>
      <c r="N15" s="1194">
        <f>'12'!$G$83</f>
        <v>360</v>
      </c>
      <c r="O15" s="1194">
        <f>'12'!G86</f>
        <v>142</v>
      </c>
      <c r="P15" s="1194">
        <f>'12'!G87</f>
        <v>22</v>
      </c>
      <c r="Q15" s="1194">
        <f>'12'!G88</f>
        <v>61</v>
      </c>
      <c r="R15" s="1194">
        <f>'12'!G87+'12'!H90</f>
        <v>22</v>
      </c>
      <c r="S15" s="1204">
        <f>'12'!$G$62</f>
        <v>0</v>
      </c>
      <c r="T15" s="1204">
        <f>'12'!$G$63</f>
        <v>20</v>
      </c>
      <c r="U15" s="1204">
        <f>'12'!$G$64</f>
        <v>345</v>
      </c>
      <c r="V15" s="1204">
        <f>'12'!$G$65</f>
        <v>363</v>
      </c>
      <c r="W15" s="1204">
        <f>'12'!$G$66</f>
        <v>343</v>
      </c>
      <c r="X15" s="1204">
        <f>'12'!$G$67</f>
        <v>623</v>
      </c>
      <c r="Y15" s="1204">
        <f>'12'!$G$68</f>
        <v>341</v>
      </c>
      <c r="Z15" s="1204">
        <f>'12'!$G$69</f>
        <v>289</v>
      </c>
      <c r="AA15" s="1204">
        <f>'12'!$G$84</f>
        <v>462</v>
      </c>
      <c r="AB15" s="1204">
        <f>'12'!$G$15</f>
        <v>370</v>
      </c>
      <c r="AC15" s="1243">
        <f>'12'!$G$123</f>
        <v>206</v>
      </c>
      <c r="AD15" s="1204">
        <f>'12'!$G$124</f>
        <v>0</v>
      </c>
      <c r="AE15" s="1229">
        <f>'12'!$G$125</f>
        <v>65</v>
      </c>
      <c r="AF15" s="1204">
        <f>'12'!$G$126</f>
        <v>21</v>
      </c>
      <c r="AG15" s="1204">
        <f>'12'!$G$127</f>
        <v>0</v>
      </c>
      <c r="AH15" s="1204">
        <f t="shared" si="0"/>
        <v>78</v>
      </c>
      <c r="AI15" s="1204">
        <f>'12'!$G$140</f>
        <v>0</v>
      </c>
      <c r="AJ15" s="1204">
        <f>'12'!$G$136</f>
        <v>0</v>
      </c>
      <c r="AK15" s="1204">
        <f>'12'!$G$137</f>
        <v>0</v>
      </c>
      <c r="AL15" s="1204">
        <f>'12'!$G$138</f>
        <v>0</v>
      </c>
      <c r="AM15" s="1201">
        <f t="shared" si="1"/>
        <v>0</v>
      </c>
      <c r="AO15" s="1210">
        <f>AC15-AE15</f>
        <v>141</v>
      </c>
    </row>
    <row r="16" spans="1:41">
      <c r="A16" s="1203">
        <v>44056</v>
      </c>
      <c r="B16" s="1204">
        <f>'13'!G72</f>
        <v>9</v>
      </c>
      <c r="C16" s="1204">
        <f>'13'!$G$73</f>
        <v>1</v>
      </c>
      <c r="D16" s="1204">
        <f>'13'!$G$74</f>
        <v>15</v>
      </c>
      <c r="E16" s="1204">
        <f>'13'!$G$75</f>
        <v>151</v>
      </c>
      <c r="F16" s="1204">
        <f>'13'!$G$76</f>
        <v>64</v>
      </c>
      <c r="G16" s="1204">
        <f>'13'!$G$77</f>
        <v>51</v>
      </c>
      <c r="H16" s="1194">
        <f>'13'!$G$78</f>
        <v>306</v>
      </c>
      <c r="I16" s="1194">
        <f>'13'!$G$79</f>
        <v>169</v>
      </c>
      <c r="J16" s="1194">
        <f>'13'!$G$80</f>
        <v>250.88000000000466</v>
      </c>
      <c r="K16" s="1194">
        <f>'13'!$G$81</f>
        <v>108.28000000002794</v>
      </c>
      <c r="L16" s="1194">
        <f>'13'!$G$82</f>
        <v>20.25</v>
      </c>
      <c r="M16" s="1194">
        <f>'13'!$G$58</f>
        <v>138.93700000000172</v>
      </c>
      <c r="N16" s="1194">
        <f>'13'!$G$83</f>
        <v>349</v>
      </c>
      <c r="O16" s="1194">
        <f>'13'!G86</f>
        <v>104.64000000001397</v>
      </c>
      <c r="P16" s="1194">
        <f>'13'!G87</f>
        <v>23.30000000000291</v>
      </c>
      <c r="Q16" s="1194">
        <f>'13'!G88</f>
        <v>67.760000000009313</v>
      </c>
      <c r="R16" s="1194">
        <f>'13'!G87+'13'!H90</f>
        <v>24.80000000000291</v>
      </c>
      <c r="S16" s="1204">
        <f>'13'!$G$62</f>
        <v>0.18000000000029104</v>
      </c>
      <c r="T16" s="1204">
        <f>'13'!$G$63</f>
        <v>20.480000000000018</v>
      </c>
      <c r="U16" s="1204">
        <f>'13'!$G$64</f>
        <v>329.96700000000419</v>
      </c>
      <c r="V16" s="1204">
        <f>'13'!$G$65</f>
        <v>353.91899999999441</v>
      </c>
      <c r="W16" s="1204">
        <f>'13'!$G$66</f>
        <v>378.29499999999825</v>
      </c>
      <c r="X16" s="1204">
        <f>'13'!$G$67</f>
        <v>598.42000000001281</v>
      </c>
      <c r="Y16" s="1204">
        <f>'13'!$G$68</f>
        <v>309.05500000000029</v>
      </c>
      <c r="Z16" s="1204">
        <f>'13'!$G$69</f>
        <v>248.58699999999953</v>
      </c>
      <c r="AA16" s="1204">
        <f>'13'!$G$84</f>
        <v>531</v>
      </c>
      <c r="AB16" s="1204">
        <f>'13'!$G$15</f>
        <v>618.60100000002421</v>
      </c>
      <c r="AC16" s="1243">
        <f>'13'!$G$123</f>
        <v>178.24100000003818</v>
      </c>
      <c r="AD16" s="1204">
        <f>'13'!$G$124</f>
        <v>0</v>
      </c>
      <c r="AE16" s="1204">
        <f>'13'!$G$125</f>
        <v>46.720000000001164</v>
      </c>
      <c r="AF16" s="1204">
        <f>'13'!$G$126</f>
        <v>23.69999999999709</v>
      </c>
      <c r="AG16" s="1204">
        <f>'13'!$G$127</f>
        <v>0.1000000000003638</v>
      </c>
      <c r="AH16" s="1204">
        <f t="shared" si="0"/>
        <v>369.83999999998741</v>
      </c>
      <c r="AI16" s="1204">
        <f>'13'!$G$140</f>
        <v>-1.9999999999527063E-2</v>
      </c>
      <c r="AJ16" s="1204">
        <f>'13'!$G$136</f>
        <v>0.36999999999898137</v>
      </c>
      <c r="AK16" s="1204">
        <f>'13'!$G$137</f>
        <v>7.2400000000016007</v>
      </c>
      <c r="AL16" s="1204">
        <f>'13'!$G$138</f>
        <v>0.49000000000523869</v>
      </c>
      <c r="AM16" s="1201">
        <f t="shared" si="1"/>
        <v>8.1000000000058208</v>
      </c>
      <c r="AO16" s="1210">
        <f t="shared" ref="AO16:AO34" si="2">AC16-AH16</f>
        <v>-191.59899999994923</v>
      </c>
    </row>
    <row r="17" spans="1:41">
      <c r="A17" s="1203">
        <v>44057</v>
      </c>
      <c r="B17" s="1204">
        <f>'14'!G72</f>
        <v>8</v>
      </c>
      <c r="C17" s="1204">
        <f>'14'!$G$73</f>
        <v>1</v>
      </c>
      <c r="D17" s="1204">
        <f>'14'!$G$74</f>
        <v>16</v>
      </c>
      <c r="E17" s="1204">
        <f>'14'!$G$75</f>
        <v>157</v>
      </c>
      <c r="F17" s="1204">
        <f>'14'!$G$76</f>
        <v>61</v>
      </c>
      <c r="G17" s="1204">
        <f>'14'!$G$77</f>
        <v>48</v>
      </c>
      <c r="H17" s="1194">
        <f>'14'!$G$78</f>
        <v>330</v>
      </c>
      <c r="I17" s="1194">
        <f>'14'!$G$79</f>
        <v>175</v>
      </c>
      <c r="J17" s="1194">
        <f>'14'!$G$80</f>
        <v>261.76000000000931</v>
      </c>
      <c r="K17" s="1194">
        <f>'14'!$G$81</f>
        <v>110.52000000001863</v>
      </c>
      <c r="L17" s="1194">
        <f>'14'!$G$82</f>
        <v>7</v>
      </c>
      <c r="M17" s="1194">
        <f>'14'!$G$58</f>
        <v>0</v>
      </c>
      <c r="N17" s="1194">
        <f>'14'!$G$83</f>
        <v>320</v>
      </c>
      <c r="O17" s="1194">
        <f>'14'!G86</f>
        <v>16</v>
      </c>
      <c r="P17" s="1194">
        <f>'14'!G87</f>
        <v>19.899999999994179</v>
      </c>
      <c r="Q17" s="1194">
        <f>'14'!G88</f>
        <v>23.369999999995343</v>
      </c>
      <c r="R17" s="1194">
        <f>'14'!G87+'14'!H90</f>
        <v>22.699999999994361</v>
      </c>
      <c r="S17" s="1204">
        <f>'14'!$G$62</f>
        <v>0</v>
      </c>
      <c r="T17" s="1204">
        <f>'14'!$G$63</f>
        <v>21.504000000000019</v>
      </c>
      <c r="U17" s="1204">
        <f>'14'!$G$64</f>
        <v>335.39099999998871</v>
      </c>
      <c r="V17" s="1204">
        <f>'14'!$G$65</f>
        <v>360.72000000000116</v>
      </c>
      <c r="W17" s="1204">
        <f>'14'!$G$66</f>
        <v>367.16000000000349</v>
      </c>
      <c r="X17" s="1204">
        <f>'14'!$G$67</f>
        <v>601.11999999999534</v>
      </c>
      <c r="Y17" s="1204">
        <f>'14'!$G$68</f>
        <v>310.71600000000035</v>
      </c>
      <c r="Z17" s="1204">
        <f>'14'!$G$69</f>
        <v>286.58400000000256</v>
      </c>
      <c r="AA17" s="1204">
        <f>'14'!$G$84</f>
        <v>485</v>
      </c>
      <c r="AB17" s="1204">
        <f>'14'!$G$15</f>
        <v>361.77600000007078</v>
      </c>
      <c r="AC17" s="1204">
        <f>'14'!$G$123</f>
        <v>208.28899999998976</v>
      </c>
      <c r="AD17" s="1204">
        <f>'14'!$G$124</f>
        <v>0</v>
      </c>
      <c r="AE17" s="1204">
        <f>'14'!$G$125</f>
        <v>54.190000000002328</v>
      </c>
      <c r="AF17" s="1204">
        <f>'14'!$G$126</f>
        <v>25</v>
      </c>
      <c r="AG17" s="1204">
        <f>'14'!$G$127</f>
        <v>0</v>
      </c>
      <c r="AH17" s="1204">
        <f t="shared" si="0"/>
        <v>74.297000000078697</v>
      </c>
      <c r="AI17" s="1204">
        <f>'14'!$G$140</f>
        <v>1.9999999999527063E-2</v>
      </c>
      <c r="AJ17" s="1204">
        <f>'14'!$G$136</f>
        <v>0</v>
      </c>
      <c r="AK17" s="1204">
        <f>'14'!$G$137</f>
        <v>0</v>
      </c>
      <c r="AL17" s="1204">
        <f>'14'!$G$138</f>
        <v>-9.0000000011059456E-2</v>
      </c>
      <c r="AM17" s="1201">
        <f t="shared" si="1"/>
        <v>-9.0000000011059456E-2</v>
      </c>
      <c r="AO17" s="1210">
        <f>AC17-AH17</f>
        <v>133.99199999991106</v>
      </c>
    </row>
    <row r="18" spans="1:41">
      <c r="A18" s="1203">
        <v>44058</v>
      </c>
      <c r="B18" s="1204">
        <f>'15'!G72</f>
        <v>8</v>
      </c>
      <c r="C18" s="1204">
        <f>'15'!$G$73</f>
        <v>10</v>
      </c>
      <c r="D18" s="1204">
        <f>'15'!$G$74</f>
        <v>35</v>
      </c>
      <c r="E18" s="1204">
        <f>'15'!$G$75</f>
        <v>158</v>
      </c>
      <c r="F18" s="1204">
        <f>'15'!$G$76</f>
        <v>63</v>
      </c>
      <c r="G18" s="1204">
        <f>'15'!$G$77</f>
        <v>47</v>
      </c>
      <c r="H18" s="1194">
        <f>'15'!$G$78</f>
        <v>347</v>
      </c>
      <c r="I18" s="1194">
        <f>'15'!$G$79</f>
        <v>185</v>
      </c>
      <c r="J18" s="1194">
        <f>'15'!$G$80</f>
        <v>286</v>
      </c>
      <c r="K18" s="1194">
        <f>'15'!$G$81</f>
        <v>89.119999999995343</v>
      </c>
      <c r="L18" s="1194">
        <f>'15'!$G$82</f>
        <v>5.2399999999906868</v>
      </c>
      <c r="M18" s="1194">
        <f>'15'!$G$58</f>
        <v>0</v>
      </c>
      <c r="N18" s="1194">
        <f>'15'!$G$83</f>
        <v>324</v>
      </c>
      <c r="O18" s="1194">
        <f>'15'!G86</f>
        <v>16.039999999979045</v>
      </c>
      <c r="P18" s="1194">
        <f>'15'!G87</f>
        <v>16.30000000000291</v>
      </c>
      <c r="Q18" s="1194">
        <f>'15'!G88</f>
        <v>23.040000000008149</v>
      </c>
      <c r="R18" s="1194">
        <f>'15'!G87+'15'!H90</f>
        <v>18.700000000002547</v>
      </c>
      <c r="S18" s="1204">
        <f>'15'!$G$62</f>
        <v>0</v>
      </c>
      <c r="T18" s="1204">
        <f>'15'!$G$63</f>
        <v>21.11099999999999</v>
      </c>
      <c r="U18" s="1204">
        <f>'15'!$G$64</f>
        <v>330.73600000000442</v>
      </c>
      <c r="V18" s="1204">
        <f>'15'!$G$65</f>
        <v>361.78899999998976</v>
      </c>
      <c r="W18" s="1204">
        <f>'15'!$G$66</f>
        <v>366.95200000000477</v>
      </c>
      <c r="X18" s="1204">
        <f>'15'!$G$67</f>
        <v>659.68000000002212</v>
      </c>
      <c r="Y18" s="1204">
        <f>'15'!$G$68</f>
        <v>297.23599999999715</v>
      </c>
      <c r="Z18" s="1204">
        <f>'15'!$G$69</f>
        <v>277.34300000000076</v>
      </c>
      <c r="AA18" s="1204">
        <f>'15'!$G$84</f>
        <v>482</v>
      </c>
      <c r="AB18" s="1204">
        <f>'15'!$G$15</f>
        <v>414.62800000002608</v>
      </c>
      <c r="AC18" s="1204">
        <f>'15'!$G$123</f>
        <v>230.36999999999534</v>
      </c>
      <c r="AD18" s="1204">
        <f>'15'!$G$124</f>
        <v>0.89999999999417923</v>
      </c>
      <c r="AE18" s="1204">
        <f>'15'!$G$125</f>
        <v>79.290000000008149</v>
      </c>
      <c r="AF18" s="1204">
        <f>'15'!$G$126</f>
        <v>21.799999999995634</v>
      </c>
      <c r="AG18" s="1204">
        <f>'15'!$G$127</f>
        <v>0</v>
      </c>
      <c r="AH18" s="1204">
        <f t="shared" si="0"/>
        <v>82.268000000032771</v>
      </c>
      <c r="AI18" s="1204">
        <f>'15'!$G$140</f>
        <v>0</v>
      </c>
      <c r="AJ18" s="1204">
        <f>'15'!$G$136</f>
        <v>0</v>
      </c>
      <c r="AK18" s="1204">
        <f>'15'!$G$137</f>
        <v>0</v>
      </c>
      <c r="AL18" s="1204">
        <f>'15'!$G$138</f>
        <v>-9.0000000011059456E-2</v>
      </c>
      <c r="AM18" s="1201">
        <f t="shared" si="1"/>
        <v>-9.0000000011059456E-2</v>
      </c>
      <c r="AO18" s="1210">
        <f t="shared" si="2"/>
        <v>148.10199999996257</v>
      </c>
    </row>
    <row r="19" spans="1:41">
      <c r="A19" s="1203">
        <v>44059</v>
      </c>
      <c r="B19" s="1204">
        <f>'16'!G72</f>
        <v>8</v>
      </c>
      <c r="C19" s="1204">
        <f>'16'!$G$73</f>
        <v>10</v>
      </c>
      <c r="D19" s="1204">
        <f>'16'!$G$74</f>
        <v>35</v>
      </c>
      <c r="E19" s="1204">
        <f>'16'!$G$75</f>
        <v>158</v>
      </c>
      <c r="F19" s="1204">
        <f>'16'!$G$76</f>
        <v>63</v>
      </c>
      <c r="G19" s="1204">
        <f>'16'!$G$77</f>
        <v>47</v>
      </c>
      <c r="H19" s="1194">
        <f>'16'!$G$78</f>
        <v>347</v>
      </c>
      <c r="I19" s="1194">
        <f>'16'!$G$79</f>
        <v>185</v>
      </c>
      <c r="J19" s="1194">
        <f>'16'!$G$80</f>
        <v>286</v>
      </c>
      <c r="K19" s="1194">
        <f>'16'!$G$81</f>
        <v>89.119999999995343</v>
      </c>
      <c r="L19" s="1194">
        <f>'16'!$G$82</f>
        <v>5.2399999999906868</v>
      </c>
      <c r="M19" s="1194">
        <f>'16'!$G$58</f>
        <v>0</v>
      </c>
      <c r="N19" s="1194">
        <f>'16'!$G$83</f>
        <v>324</v>
      </c>
      <c r="O19" s="1194">
        <f>'16'!G86</f>
        <v>16.039999999979045</v>
      </c>
      <c r="P19" s="1194">
        <f>'16'!G87</f>
        <v>16.30000000000291</v>
      </c>
      <c r="Q19" s="1194">
        <f>'16'!G88</f>
        <v>23.040000000008149</v>
      </c>
      <c r="R19" s="1194">
        <f>'16'!G87+'16'!H90</f>
        <v>18.700000000002547</v>
      </c>
      <c r="S19" s="1204">
        <f>'16'!$G$62</f>
        <v>0</v>
      </c>
      <c r="T19" s="1204">
        <f>'16'!$G$63</f>
        <v>21.11099999999999</v>
      </c>
      <c r="U19" s="1204">
        <f>'16'!$G$64</f>
        <v>330.73600000000442</v>
      </c>
      <c r="V19" s="1204">
        <f>'16'!$G$65</f>
        <v>361.78899999998976</v>
      </c>
      <c r="W19" s="1204">
        <f>'16'!$G$66</f>
        <v>366.95200000000477</v>
      </c>
      <c r="X19" s="1204">
        <f>'16'!$G$67</f>
        <v>659.68000000002212</v>
      </c>
      <c r="Y19" s="1204">
        <f>'16'!$G$68</f>
        <v>297.23599999999715</v>
      </c>
      <c r="Z19" s="1204">
        <f>'16'!$G$69</f>
        <v>277.34300000000076</v>
      </c>
      <c r="AA19" s="1204">
        <f>'16'!$G$84</f>
        <v>482</v>
      </c>
      <c r="AB19" s="1204">
        <f>'16'!$G$15</f>
        <v>414.62800000002608</v>
      </c>
      <c r="AC19" s="1243">
        <f>'16'!$G$123</f>
        <v>230.36999999999534</v>
      </c>
      <c r="AD19" s="1204">
        <f>'16'!$G$124</f>
        <v>0.89999999999417923</v>
      </c>
      <c r="AE19" s="1204">
        <f>'16'!$G$125</f>
        <v>79.290000000008149</v>
      </c>
      <c r="AF19" s="1204">
        <f>'16'!$G$126</f>
        <v>21.799999999995634</v>
      </c>
      <c r="AG19" s="1204">
        <f>'16'!$G$127</f>
        <v>0</v>
      </c>
      <c r="AH19" s="1204">
        <f t="shared" si="0"/>
        <v>82.268000000032771</v>
      </c>
      <c r="AI19" s="1204">
        <f>'16'!$G$140</f>
        <v>0</v>
      </c>
      <c r="AJ19" s="1204">
        <f>'16'!$G$136</f>
        <v>0</v>
      </c>
      <c r="AK19" s="1204">
        <f>'16'!$G$137</f>
        <v>0</v>
      </c>
      <c r="AL19" s="1204">
        <f>'16'!$G$138</f>
        <v>-9.0000000011059456E-2</v>
      </c>
      <c r="AM19" s="1201">
        <f t="shared" si="1"/>
        <v>-9.0000000011059456E-2</v>
      </c>
      <c r="AO19" s="1210">
        <f t="shared" si="2"/>
        <v>148.10199999996257</v>
      </c>
    </row>
    <row r="20" spans="1:41">
      <c r="A20" s="1203">
        <v>44060</v>
      </c>
      <c r="B20" s="1204">
        <f>'18'!G72</f>
        <v>8</v>
      </c>
      <c r="C20" s="1204">
        <f>'17'!$G$73</f>
        <v>3</v>
      </c>
      <c r="D20" s="1204">
        <f>'17'!$G$74</f>
        <v>28</v>
      </c>
      <c r="E20" s="1204">
        <f>'17'!$G$75</f>
        <v>159</v>
      </c>
      <c r="F20" s="1204">
        <f>'17'!$G$76</f>
        <v>62</v>
      </c>
      <c r="G20" s="1204">
        <f>'17'!$G$77</f>
        <v>49</v>
      </c>
      <c r="H20" s="1194">
        <f>'17'!$G$78</f>
        <v>267</v>
      </c>
      <c r="I20" s="1194">
        <f>'17'!$G$79</f>
        <v>174</v>
      </c>
      <c r="J20" s="1194">
        <f>'17'!$G$80</f>
        <v>291.67999999999302</v>
      </c>
      <c r="K20" s="1194">
        <f>'17'!$G$81</f>
        <v>131.88000000000466</v>
      </c>
      <c r="L20" s="1194">
        <f>'17'!$G$82</f>
        <v>25.190000000002328</v>
      </c>
      <c r="M20" s="1194">
        <f>'17'!$G$58</f>
        <v>86.395000000000437</v>
      </c>
      <c r="N20" s="1194">
        <f>'17'!$G$83</f>
        <v>341</v>
      </c>
      <c r="O20" s="1194">
        <f>'17'!G86</f>
        <v>112.96000000002095</v>
      </c>
      <c r="P20" s="1194">
        <f>'17'!G87</f>
        <v>29.399999999994179</v>
      </c>
      <c r="Q20" s="1194">
        <f>'17'!G88</f>
        <v>106.25</v>
      </c>
      <c r="R20" s="1194">
        <f>'17'!G87+'17'!H90</f>
        <v>31.199999999994361</v>
      </c>
      <c r="S20" s="1204">
        <f>'17'!$G$62</f>
        <v>0</v>
      </c>
      <c r="T20" s="1204">
        <f>'17'!$G$63</f>
        <v>19.629999999999995</v>
      </c>
      <c r="U20" s="1204">
        <f>'17'!$G$64</f>
        <v>353.24099999999453</v>
      </c>
      <c r="V20" s="1204">
        <f>'17'!$G$65</f>
        <v>369.74000000000524</v>
      </c>
      <c r="W20" s="1204">
        <f>'17'!$G$66</f>
        <v>398.93099999999686</v>
      </c>
      <c r="X20" s="1204">
        <f>'17'!$G$67</f>
        <v>613.01999999998952</v>
      </c>
      <c r="Y20" s="1204">
        <f>'17'!$G$68</f>
        <v>327.4890000000014</v>
      </c>
      <c r="Z20" s="1204">
        <f>'17'!$G$69</f>
        <v>278.81999999999971</v>
      </c>
      <c r="AA20" s="1204">
        <f>'17'!$G$84</f>
        <v>479</v>
      </c>
      <c r="AB20" s="1204">
        <f>'17'!$G$15</f>
        <v>529.87600000016391</v>
      </c>
      <c r="AC20" s="1204">
        <f>'17'!$G$123</f>
        <v>202.00899999996182</v>
      </c>
      <c r="AD20" s="1204">
        <f>'17'!$G$124</f>
        <v>0</v>
      </c>
      <c r="AE20" s="1204">
        <f>'17'!$G$125</f>
        <v>55.209999999991851</v>
      </c>
      <c r="AF20" s="1204">
        <f>'17'!$G$126</f>
        <v>22.700000000004366</v>
      </c>
      <c r="AG20" s="1204">
        <f>'17'!$G$127</f>
        <v>0</v>
      </c>
      <c r="AH20" s="1204">
        <f t="shared" si="0"/>
        <v>249.95700000020588</v>
      </c>
      <c r="AI20" s="1204">
        <f>'17'!$G$140</f>
        <v>0</v>
      </c>
      <c r="AJ20" s="1204">
        <f>'17'!$G$136</f>
        <v>0</v>
      </c>
      <c r="AK20" s="1204">
        <f>'17'!$G$137</f>
        <v>1.3600000000005821</v>
      </c>
      <c r="AL20" s="1204">
        <f>'17'!$G$138</f>
        <v>7.3100000000122236</v>
      </c>
      <c r="AM20" s="1201">
        <f t="shared" si="1"/>
        <v>8.6700000000128057</v>
      </c>
      <c r="AO20" s="1210">
        <f t="shared" si="2"/>
        <v>-47.948000000244065</v>
      </c>
    </row>
    <row r="21" spans="1:41">
      <c r="A21" s="1203">
        <v>44061</v>
      </c>
      <c r="B21" s="1204">
        <f>'18'!G72</f>
        <v>8</v>
      </c>
      <c r="C21" s="1204">
        <f>'18'!$G$73</f>
        <v>1</v>
      </c>
      <c r="D21" s="1204">
        <f>'18'!$G$74</f>
        <v>17</v>
      </c>
      <c r="E21" s="1204">
        <f>'18'!$G$75</f>
        <v>154</v>
      </c>
      <c r="F21" s="1204">
        <f>'18'!$G$76</f>
        <v>64</v>
      </c>
      <c r="G21" s="1204">
        <f>'18'!$G$77</f>
        <v>52</v>
      </c>
      <c r="H21" s="1194">
        <f>'18'!$G$78</f>
        <v>307</v>
      </c>
      <c r="I21" s="1194">
        <f>'18'!$G$79</f>
        <v>172</v>
      </c>
      <c r="J21" s="1208">
        <f>'18'!$G$80</f>
        <v>299</v>
      </c>
      <c r="K21" s="1208">
        <f>'18'!$G$81</f>
        <v>99</v>
      </c>
      <c r="L21" s="1208">
        <f>'18'!$G$82</f>
        <v>5.25</v>
      </c>
      <c r="M21" s="1208">
        <f>'18'!$G$58</f>
        <v>130.2599999999984</v>
      </c>
      <c r="N21" s="1208">
        <f>'18'!$G$83</f>
        <v>338</v>
      </c>
      <c r="O21" s="1208">
        <f>'18'!G86</f>
        <v>116</v>
      </c>
      <c r="P21" s="1194">
        <f>'18'!G87</f>
        <v>32.80000000000291</v>
      </c>
      <c r="Q21" s="1194">
        <f>'18'!G88</f>
        <v>87.299999999988358</v>
      </c>
      <c r="R21" s="1194">
        <f>'18'!G87+'18'!H90</f>
        <v>35.80000000000291</v>
      </c>
      <c r="S21" s="1204">
        <f>'18'!$G$62</f>
        <v>0</v>
      </c>
      <c r="T21" s="1204">
        <f>'18'!$G$63</f>
        <v>18.060000000000059</v>
      </c>
      <c r="U21" s="1204">
        <f>'18'!$G$64</f>
        <v>353</v>
      </c>
      <c r="V21" s="1204">
        <f>'18'!$G$65</f>
        <v>372</v>
      </c>
      <c r="W21" s="1204">
        <f>'18'!$G$66</f>
        <v>400.94000000000233</v>
      </c>
      <c r="X21" s="1204">
        <f>'18'!$G$67</f>
        <v>641.64999999999418</v>
      </c>
      <c r="Y21" s="1204">
        <f>'18'!$G$68</f>
        <v>334.90000000000146</v>
      </c>
      <c r="Z21" s="1204">
        <f>'18'!$G$69</f>
        <v>282.30999999999767</v>
      </c>
      <c r="AA21" s="1204">
        <f>'18'!$G$84</f>
        <v>484</v>
      </c>
      <c r="AB21" s="1204">
        <f>'18'!$G$15</f>
        <v>636.7699999997858</v>
      </c>
      <c r="AC21" s="1204">
        <f>'18'!$G$123</f>
        <v>199.52000000001863</v>
      </c>
      <c r="AD21" s="1204">
        <f>'18'!$G$124</f>
        <v>0</v>
      </c>
      <c r="AE21" s="1204">
        <f>'18'!$G$125</f>
        <v>59.540000000008149</v>
      </c>
      <c r="AF21" s="1204">
        <f>'18'!$G$126</f>
        <v>27</v>
      </c>
      <c r="AG21" s="1204">
        <f>'18'!$G$127</f>
        <v>0</v>
      </c>
      <c r="AH21" s="1204">
        <f t="shared" si="0"/>
        <v>350.70999999975902</v>
      </c>
      <c r="AI21" s="1204">
        <f>'18'!$G$140</f>
        <v>0</v>
      </c>
      <c r="AJ21" s="1204">
        <f>'18'!$G$136</f>
        <v>-0.14999999999781721</v>
      </c>
      <c r="AK21" s="1204">
        <f>'18'!$G$137</f>
        <v>5.9599999999991269</v>
      </c>
      <c r="AL21" s="1204">
        <f>'18'!$G$138</f>
        <v>0</v>
      </c>
      <c r="AM21" s="1201">
        <f t="shared" si="1"/>
        <v>5.8100000000013097</v>
      </c>
      <c r="AO21" s="1210">
        <f t="shared" si="2"/>
        <v>-151.18999999974039</v>
      </c>
    </row>
    <row r="22" spans="1:41" s="1207" customFormat="1">
      <c r="A22" s="1205">
        <v>44062</v>
      </c>
      <c r="B22" s="1194">
        <f>'19'!G72</f>
        <v>11</v>
      </c>
      <c r="C22" s="1194">
        <f>'19'!$G$73</f>
        <v>3</v>
      </c>
      <c r="D22" s="1194">
        <f>'19'!$G$74</f>
        <v>17</v>
      </c>
      <c r="E22" s="1194">
        <f>'19'!$G$75</f>
        <v>154</v>
      </c>
      <c r="F22" s="1194">
        <f>'19'!$G$76</f>
        <v>77</v>
      </c>
      <c r="G22" s="1194">
        <f>'19'!$G$77</f>
        <v>51</v>
      </c>
      <c r="H22" s="1194">
        <f>'19'!$G$78</f>
        <v>376</v>
      </c>
      <c r="I22" s="1194">
        <f>'19'!$G$79</f>
        <v>166</v>
      </c>
      <c r="J22" s="1194">
        <f>'19'!$G$80</f>
        <v>280</v>
      </c>
      <c r="K22" s="1194">
        <f>'19'!$G$81</f>
        <v>82</v>
      </c>
      <c r="L22" s="1194">
        <f>'19'!$G$82</f>
        <v>22</v>
      </c>
      <c r="M22" s="1194">
        <f>'19'!$G$58</f>
        <v>67</v>
      </c>
      <c r="N22" s="1194">
        <f>'19'!$G$83</f>
        <v>324</v>
      </c>
      <c r="O22" s="1194">
        <f>'19'!G86</f>
        <v>105</v>
      </c>
      <c r="P22" s="1194">
        <f>'19'!G87</f>
        <v>36.19999999999709</v>
      </c>
      <c r="Q22" s="1194">
        <f>'19'!G88</f>
        <v>63.25</v>
      </c>
      <c r="R22" s="1194">
        <f>'19'!G87+'19'!H90</f>
        <v>41.19999999999709</v>
      </c>
      <c r="S22" s="1194">
        <f>'19'!$G$62</f>
        <v>2.0000000000436557E-2</v>
      </c>
      <c r="T22" s="1194">
        <f>'19'!$G$63</f>
        <v>17.299999999999955</v>
      </c>
      <c r="U22" s="1194">
        <f>'19'!$G$64</f>
        <v>367</v>
      </c>
      <c r="V22" s="1194">
        <f>'19'!$G$65</f>
        <v>377</v>
      </c>
      <c r="W22" s="1194">
        <f>'19'!$G$66</f>
        <v>387.08999999999651</v>
      </c>
      <c r="X22" s="1194">
        <f>'19'!$G$67</f>
        <v>689.35000000000582</v>
      </c>
      <c r="Y22" s="1194">
        <f>'19'!$G$68</f>
        <v>296.63999999999942</v>
      </c>
      <c r="Z22" s="1194">
        <f>'19'!$G$69</f>
        <v>290</v>
      </c>
      <c r="AA22" s="1194">
        <f>'19'!$G$84</f>
        <v>490</v>
      </c>
      <c r="AB22" s="1194">
        <f>'19'!$G$15</f>
        <v>563.12000000011176</v>
      </c>
      <c r="AC22" s="1194">
        <f>'19'!$G$123</f>
        <v>213.11999999999534</v>
      </c>
      <c r="AD22" s="1194">
        <f>'19'!$G$124</f>
        <v>0</v>
      </c>
      <c r="AE22" s="1194">
        <f>'19'!$G$125</f>
        <v>73</v>
      </c>
      <c r="AF22" s="1194">
        <f>'19'!$G$126</f>
        <v>27.099999999998545</v>
      </c>
      <c r="AG22" s="1194">
        <f>'19'!$G$127</f>
        <v>-0.1000000000003638</v>
      </c>
      <c r="AH22" s="1194">
        <f t="shared" si="0"/>
        <v>250.00000000011823</v>
      </c>
      <c r="AI22" s="1194">
        <f>'19'!$G$140</f>
        <v>-7.999999999992724E-2</v>
      </c>
      <c r="AJ22" s="1194">
        <f>'19'!$G$136</f>
        <v>1.7799999999988358</v>
      </c>
      <c r="AK22" s="1194">
        <f>'19'!$G$137</f>
        <v>0</v>
      </c>
      <c r="AL22" s="1194">
        <f>'19'!$G$138</f>
        <v>6.1399999999994179</v>
      </c>
      <c r="AM22" s="1206">
        <f t="shared" si="1"/>
        <v>7.9199999999982538</v>
      </c>
      <c r="AO22" s="1211">
        <f t="shared" si="2"/>
        <v>-36.880000000122891</v>
      </c>
    </row>
    <row r="23" spans="1:41">
      <c r="A23" s="1203">
        <v>44063</v>
      </c>
      <c r="B23" s="1204">
        <f>'20'!G72</f>
        <v>10</v>
      </c>
      <c r="C23" s="1204">
        <f>'20'!$G$73</f>
        <v>21</v>
      </c>
      <c r="D23" s="1204">
        <f>'20'!$G$74</f>
        <v>22</v>
      </c>
      <c r="E23" s="1204">
        <f>'20'!$G$75</f>
        <v>165</v>
      </c>
      <c r="F23" s="1204">
        <f>'20'!$G$76</f>
        <v>68</v>
      </c>
      <c r="G23" s="1204">
        <f>'20'!$G$77</f>
        <v>50</v>
      </c>
      <c r="H23" s="1194">
        <f>'20'!$G$78</f>
        <v>371</v>
      </c>
      <c r="I23" s="1194">
        <f>'20'!$G$79</f>
        <v>169</v>
      </c>
      <c r="J23" s="1194">
        <f>'20'!$G$80</f>
        <v>289</v>
      </c>
      <c r="K23" s="1194">
        <f>'20'!$G$81</f>
        <v>84</v>
      </c>
      <c r="L23" s="1194">
        <f>'20'!$G$82</f>
        <v>9</v>
      </c>
      <c r="M23" s="1194">
        <f>'20'!$G$58</f>
        <v>170.09000000000015</v>
      </c>
      <c r="N23" s="1194">
        <f>'20'!$G$83</f>
        <v>356</v>
      </c>
      <c r="O23" s="1194">
        <f>'20'!G86</f>
        <v>99</v>
      </c>
      <c r="P23" s="1194">
        <f>'20'!G87</f>
        <v>32</v>
      </c>
      <c r="Q23" s="1194">
        <f>'20'!G88</f>
        <v>109</v>
      </c>
      <c r="R23" s="1194">
        <f>'20'!G87+'20'!H90</f>
        <v>35</v>
      </c>
      <c r="S23" s="1204">
        <f>'20'!$G$62</f>
        <v>0</v>
      </c>
      <c r="T23" s="1204">
        <f>'20'!$G$63</f>
        <v>19.019999999999982</v>
      </c>
      <c r="U23" s="1204">
        <f>'20'!$G$64</f>
        <v>360.38999999999942</v>
      </c>
      <c r="V23" s="1204">
        <f>'20'!$G$65</f>
        <v>384.35000000000582</v>
      </c>
      <c r="W23" s="1204">
        <f>'20'!$G$66</f>
        <v>382.75999999999476</v>
      </c>
      <c r="X23" s="1204">
        <f>'20'!$G$67</f>
        <v>693.75</v>
      </c>
      <c r="Y23" s="1204">
        <f>'20'!$G$68</f>
        <v>292.90000000000146</v>
      </c>
      <c r="Z23" s="1204">
        <f>'20'!$G$69</f>
        <v>293</v>
      </c>
      <c r="AA23" s="1204">
        <f>'20'!$G$84</f>
        <v>489</v>
      </c>
      <c r="AB23" s="1204">
        <f>'20'!$G$15</f>
        <v>640</v>
      </c>
      <c r="AC23" s="1204">
        <f>'20'!$G$123</f>
        <v>212.32999999995809</v>
      </c>
      <c r="AD23" s="1204">
        <f>'20'!$G$124</f>
        <v>0</v>
      </c>
      <c r="AE23" s="1204">
        <f>'20'!$G$125</f>
        <v>52.880000000004657</v>
      </c>
      <c r="AF23" s="1204">
        <f>'20'!$G$126</f>
        <v>27.900000000001455</v>
      </c>
      <c r="AG23" s="1204">
        <f>'20'!$G$127</f>
        <v>0</v>
      </c>
      <c r="AH23" s="1204">
        <f t="shared" si="0"/>
        <v>346.8900000000358</v>
      </c>
      <c r="AI23" s="1204">
        <f>'20'!$G$140</f>
        <v>0</v>
      </c>
      <c r="AJ23" s="1204">
        <f>'20'!$G$136</f>
        <v>0</v>
      </c>
      <c r="AK23" s="1204">
        <f>'20'!$G$137</f>
        <v>6.0200000000004366</v>
      </c>
      <c r="AL23" s="1204">
        <f>'20'!$G$138</f>
        <v>0</v>
      </c>
      <c r="AM23" s="1201">
        <f t="shared" si="1"/>
        <v>6.0200000000004366</v>
      </c>
      <c r="AO23" s="1210">
        <f t="shared" si="2"/>
        <v>-134.56000000007771</v>
      </c>
    </row>
    <row r="24" spans="1:41">
      <c r="A24" s="1203">
        <v>44064</v>
      </c>
      <c r="B24" s="1204">
        <f>'21'!G72</f>
        <v>10</v>
      </c>
      <c r="C24" s="1204">
        <f>'21'!$G$73</f>
        <v>6</v>
      </c>
      <c r="D24" s="1204">
        <f>'21'!$G$74</f>
        <v>32</v>
      </c>
      <c r="E24" s="1204">
        <f>'21'!$G$75</f>
        <v>149</v>
      </c>
      <c r="F24" s="1204">
        <f>'21'!$G$76</f>
        <v>73</v>
      </c>
      <c r="G24" s="1204">
        <f>'21'!$G$77</f>
        <v>47</v>
      </c>
      <c r="H24" s="1194">
        <f>'21'!$G$78</f>
        <v>345</v>
      </c>
      <c r="I24" s="1194">
        <f>'21'!$G$79</f>
        <v>176</v>
      </c>
      <c r="J24" s="1194">
        <f>'21'!$G$80</f>
        <v>307</v>
      </c>
      <c r="K24" s="1194">
        <f>'21'!$G$81</f>
        <v>133</v>
      </c>
      <c r="L24" s="1194">
        <f>'21'!$G$82</f>
        <v>26</v>
      </c>
      <c r="M24" s="1194">
        <f>'21'!$G$58</f>
        <v>149.2599999999984</v>
      </c>
      <c r="N24" s="1194">
        <f>'21'!$G$83</f>
        <v>339</v>
      </c>
      <c r="O24" s="1194">
        <f>'21'!G86</f>
        <v>106</v>
      </c>
      <c r="P24" s="1194">
        <f>'21'!G87</f>
        <v>24</v>
      </c>
      <c r="Q24" s="1194">
        <f>'21'!G88</f>
        <v>161</v>
      </c>
      <c r="R24" s="1194">
        <f>'21'!G87+'21'!H90</f>
        <v>27.900000000000091</v>
      </c>
      <c r="S24" s="1204">
        <f>'21'!$G$62</f>
        <v>0</v>
      </c>
      <c r="T24" s="1204">
        <f>'21'!$G$63</f>
        <v>18.200000000000045</v>
      </c>
      <c r="U24" s="1204">
        <f>'21'!$G$64</f>
        <v>362.52000000000407</v>
      </c>
      <c r="V24" s="1204">
        <f>'21'!$G$65</f>
        <v>375.51999999998952</v>
      </c>
      <c r="W24" s="1204">
        <f>'21'!$G$66</f>
        <v>409.07000000000698</v>
      </c>
      <c r="X24" s="1204">
        <f>'21'!$G$67</f>
        <v>676.44000000000233</v>
      </c>
      <c r="Y24" s="1204">
        <f>'21'!$G$68</f>
        <v>296.31999999999971</v>
      </c>
      <c r="Z24" s="1204">
        <f>'21'!$G$69</f>
        <v>294.13999999999942</v>
      </c>
      <c r="AA24" s="1204">
        <f>'21'!$G$84</f>
        <v>485</v>
      </c>
      <c r="AB24" s="1204">
        <f>'21'!$G$15</f>
        <v>733</v>
      </c>
      <c r="AC24" s="1204">
        <f>'21'!$G$123</f>
        <v>209.08000000007451</v>
      </c>
      <c r="AD24" s="1204">
        <f>'21'!$G$124</f>
        <v>0</v>
      </c>
      <c r="AE24" s="1204">
        <f>'21'!$G$125</f>
        <v>64.820000000006985</v>
      </c>
      <c r="AF24" s="1204">
        <f>'21'!$G$126</f>
        <v>48</v>
      </c>
      <c r="AG24" s="1204">
        <f>'21'!$G$127</f>
        <v>0</v>
      </c>
      <c r="AH24" s="1204">
        <f t="shared" si="0"/>
        <v>411.09999999991851</v>
      </c>
      <c r="AI24" s="1204">
        <f>'21'!$G$140</f>
        <v>0</v>
      </c>
      <c r="AJ24" s="1204">
        <f>'21'!$G$136</f>
        <v>7.5900000000001455</v>
      </c>
      <c r="AK24" s="1204">
        <f>'21'!$G$137</f>
        <v>0</v>
      </c>
      <c r="AL24" s="1204">
        <f>'21'!$G$138</f>
        <v>0.53999999999359716</v>
      </c>
      <c r="AM24" s="1201">
        <f t="shared" si="1"/>
        <v>8.1299999999937427</v>
      </c>
      <c r="AO24" s="1210">
        <f t="shared" si="2"/>
        <v>-202.019999999844</v>
      </c>
    </row>
    <row r="25" spans="1:41">
      <c r="A25" s="1203">
        <v>44065</v>
      </c>
      <c r="B25" s="1204">
        <f>'22'!G72</f>
        <v>8</v>
      </c>
      <c r="C25" s="1204">
        <f>'22'!$G$73</f>
        <v>0</v>
      </c>
      <c r="D25" s="1204">
        <f>'22'!$G$74</f>
        <v>20</v>
      </c>
      <c r="E25" s="1204">
        <f>'22'!$G$75</f>
        <v>174</v>
      </c>
      <c r="F25" s="1204">
        <f>'22'!$G$76</f>
        <v>64</v>
      </c>
      <c r="G25" s="1204">
        <f>'22'!$G$77</f>
        <v>48</v>
      </c>
      <c r="H25" s="1194">
        <f>'22'!$G$78</f>
        <v>347</v>
      </c>
      <c r="I25" s="1194">
        <f>'22'!$G$79</f>
        <v>172</v>
      </c>
      <c r="J25" s="1194">
        <f>'22'!$G$80</f>
        <v>293</v>
      </c>
      <c r="K25" s="1194">
        <f>'22'!$G$81</f>
        <v>116</v>
      </c>
      <c r="L25" s="1194">
        <f>'22'!$G$82</f>
        <v>5</v>
      </c>
      <c r="M25" s="1194">
        <f>'22'!$G$58</f>
        <v>0</v>
      </c>
      <c r="N25" s="1194">
        <f>'22'!$G$83</f>
        <v>326</v>
      </c>
      <c r="O25" s="1194">
        <f>'22'!G86</f>
        <v>107</v>
      </c>
      <c r="P25" s="1194">
        <f>'22'!G87</f>
        <v>12</v>
      </c>
      <c r="Q25" s="1194">
        <f>'22'!G88</f>
        <v>66</v>
      </c>
      <c r="R25" s="1194">
        <f>'22'!G87+'22'!H90</f>
        <v>13.5</v>
      </c>
      <c r="S25" s="1204">
        <f>'22'!$G$62</f>
        <v>0</v>
      </c>
      <c r="T25" s="1204">
        <f>'22'!$G$63</f>
        <v>17.980000000000018</v>
      </c>
      <c r="U25" s="1204">
        <f>'22'!$G$64</f>
        <v>347.31999999999243</v>
      </c>
      <c r="V25" s="1204">
        <f>'22'!$G$65</f>
        <v>377.66000000000349</v>
      </c>
      <c r="W25" s="1204">
        <f>'22'!$G$66</f>
        <v>404.36000000000058</v>
      </c>
      <c r="X25" s="1204">
        <f>'22'!$G$67</f>
        <v>661.33999999999651</v>
      </c>
      <c r="Y25" s="1204">
        <f>'22'!$G$68</f>
        <v>323.43000000000029</v>
      </c>
      <c r="Z25" s="1204">
        <f>'22'!$G$69</f>
        <v>286.84000000000378</v>
      </c>
      <c r="AA25" s="1204">
        <f>'22'!$G$84</f>
        <v>480</v>
      </c>
      <c r="AB25" s="1204">
        <f>'22'!$G$15</f>
        <v>386</v>
      </c>
      <c r="AC25" s="1243">
        <f>'22'!$G$123</f>
        <v>214.13000000000466</v>
      </c>
      <c r="AD25" s="1204">
        <f>'22'!$G$124</f>
        <v>0</v>
      </c>
      <c r="AE25" s="1204">
        <f>'22'!$G$125</f>
        <v>53.529999999998836</v>
      </c>
      <c r="AF25" s="1204">
        <f>'22'!$G$126</f>
        <v>26.599999999998545</v>
      </c>
      <c r="AG25" s="1204">
        <f>'22'!$G$127</f>
        <v>0.1000000000003638</v>
      </c>
      <c r="AH25" s="1204">
        <f t="shared" si="0"/>
        <v>91.639999999997599</v>
      </c>
      <c r="AI25" s="1204">
        <f>'22'!$G$140</f>
        <v>0</v>
      </c>
      <c r="AJ25" s="1204">
        <f>'22'!$G$136</f>
        <v>0</v>
      </c>
      <c r="AK25" s="1204">
        <f>'22'!$G$137</f>
        <v>0</v>
      </c>
      <c r="AL25" s="1204">
        <f>'22'!$G$138</f>
        <v>0</v>
      </c>
      <c r="AM25" s="1201">
        <f t="shared" si="1"/>
        <v>0</v>
      </c>
      <c r="AO25" s="1210">
        <f t="shared" si="2"/>
        <v>122.49000000000706</v>
      </c>
    </row>
    <row r="26" spans="1:41">
      <c r="A26" s="1203">
        <v>44066</v>
      </c>
      <c r="B26" s="1204">
        <f>'23'!G72</f>
        <v>8</v>
      </c>
      <c r="C26" s="1204">
        <f>'23'!G72</f>
        <v>8</v>
      </c>
      <c r="D26" s="1204">
        <f>'23'!$G$74</f>
        <v>25</v>
      </c>
      <c r="E26" s="1204">
        <f>'23'!$G$75</f>
        <v>158</v>
      </c>
      <c r="F26" s="1204">
        <f>'23'!$G$76</f>
        <v>68</v>
      </c>
      <c r="G26" s="1204">
        <f>'23'!$G$77</f>
        <v>48</v>
      </c>
      <c r="H26" s="1194">
        <f>'23'!$G$78</f>
        <v>300</v>
      </c>
      <c r="I26" s="1194">
        <f>'23'!$G$79</f>
        <v>173</v>
      </c>
      <c r="J26" s="1194">
        <f>'23'!$G$80</f>
        <v>267</v>
      </c>
      <c r="K26" s="1194">
        <f>'23'!$G$81</f>
        <v>87</v>
      </c>
      <c r="L26" s="1194">
        <f>'23'!$G$82</f>
        <v>24</v>
      </c>
      <c r="M26" s="1194">
        <f>'23'!$G$58</f>
        <v>147.87000000000262</v>
      </c>
      <c r="N26" s="1241">
        <f>'23'!$G$83</f>
        <v>334</v>
      </c>
      <c r="O26" s="1194">
        <f>'23'!$G$86</f>
        <v>101</v>
      </c>
      <c r="P26" s="1194">
        <f>'23'!G87</f>
        <v>44</v>
      </c>
      <c r="Q26" s="1194">
        <f>'23'!G88</f>
        <v>149</v>
      </c>
      <c r="R26" s="1194">
        <f>'23'!G87+'23'!H90</f>
        <v>46.599999999999909</v>
      </c>
      <c r="S26" s="1204">
        <f>'23'!$G$62</f>
        <v>-0.2000000000007276</v>
      </c>
      <c r="T26" s="1204">
        <f>'23'!$G$63</f>
        <v>16.740000000000009</v>
      </c>
      <c r="U26" s="1204">
        <f>'23'!$G$64</f>
        <v>360.24000000000524</v>
      </c>
      <c r="V26" s="1204">
        <f>'23'!$G$65</f>
        <v>397.47999999999593</v>
      </c>
      <c r="W26" s="1204">
        <f>'23'!$G$66</f>
        <v>411.83999999999651</v>
      </c>
      <c r="X26" s="1204">
        <f>'23'!$G$67</f>
        <v>659.98000000001048</v>
      </c>
      <c r="Y26" s="1204">
        <f>'23'!$G$68</f>
        <v>343.72000000000116</v>
      </c>
      <c r="Z26" s="1204">
        <f>'23'!$G$69</f>
        <v>288.68999999999505</v>
      </c>
      <c r="AA26" s="1204">
        <f>'23'!$G$84</f>
        <v>476</v>
      </c>
      <c r="AB26" s="1204">
        <f>'23'!$G$15</f>
        <v>695.03000000002794</v>
      </c>
      <c r="AC26" s="1204">
        <f>'23'!$G$123</f>
        <v>186.21999999997206</v>
      </c>
      <c r="AD26" s="1204">
        <f>'23'!$G$124</f>
        <v>0</v>
      </c>
      <c r="AE26" s="1204">
        <f>'23'!$G$125</f>
        <v>66.449999999982538</v>
      </c>
      <c r="AF26" s="1204">
        <f>'23'!$G$126</f>
        <v>23.19999999999709</v>
      </c>
      <c r="AG26" s="1204">
        <f>'23'!$G$127</f>
        <v>0</v>
      </c>
      <c r="AH26" s="1204">
        <f t="shared" si="0"/>
        <v>419.16000000007625</v>
      </c>
      <c r="AI26" s="1204">
        <f>'23'!$G$140</f>
        <v>0</v>
      </c>
      <c r="AJ26" s="1204">
        <f>'23'!$G$136</f>
        <v>7.4700000000011642</v>
      </c>
      <c r="AK26" s="1204">
        <f>'23'!$G$137</f>
        <v>0</v>
      </c>
      <c r="AL26" s="1204">
        <f>'23'!$G$138</f>
        <v>0.52000000000407454</v>
      </c>
      <c r="AM26" s="1201">
        <f t="shared" si="1"/>
        <v>7.9900000000052387</v>
      </c>
      <c r="AO26" s="1210">
        <f t="shared" si="2"/>
        <v>-232.94000000010419</v>
      </c>
    </row>
    <row r="27" spans="1:41" s="1244" customFormat="1">
      <c r="A27" s="1205">
        <v>44067</v>
      </c>
      <c r="B27" s="1194">
        <f>'23'!G73</f>
        <v>1</v>
      </c>
      <c r="C27" s="1194">
        <f>'23'!G73</f>
        <v>1</v>
      </c>
      <c r="D27" s="1194">
        <f>'24'!$G$74</f>
        <v>30</v>
      </c>
      <c r="E27" s="1194">
        <f>'24'!$G$75</f>
        <v>163</v>
      </c>
      <c r="F27" s="1194">
        <f>'24'!$G$76</f>
        <v>88</v>
      </c>
      <c r="G27" s="1194">
        <f>'24'!$G$77</f>
        <v>51</v>
      </c>
      <c r="H27" s="1194">
        <f>'24'!$G$78</f>
        <v>340</v>
      </c>
      <c r="I27" s="1194">
        <f>'24'!$G$79</f>
        <v>176</v>
      </c>
      <c r="J27" s="1194">
        <f>'24'!$G$80</f>
        <v>282</v>
      </c>
      <c r="K27" s="1194">
        <f>'24'!$G$81</f>
        <v>79</v>
      </c>
      <c r="L27" s="1194">
        <f>'24'!$G$82</f>
        <v>13</v>
      </c>
      <c r="M27" s="1194">
        <f>'24'!$G$58</f>
        <v>150.52000000000044</v>
      </c>
      <c r="N27" s="1194">
        <f>'24'!$G$83</f>
        <v>340</v>
      </c>
      <c r="O27" s="1194">
        <f>'24'!G86</f>
        <v>170</v>
      </c>
      <c r="P27" s="1194">
        <f>'24'!G87</f>
        <v>40</v>
      </c>
      <c r="Q27" s="1194">
        <f>'24'!G88</f>
        <v>89</v>
      </c>
      <c r="R27" s="1194">
        <f>'24'!G87+'24'!H90</f>
        <v>44</v>
      </c>
      <c r="S27" s="1194">
        <f>'24'!$G$62</f>
        <v>0.18000000000029104</v>
      </c>
      <c r="T27" s="1194">
        <f>'24'!$G$63</f>
        <v>16.439999999999941</v>
      </c>
      <c r="U27" s="1194">
        <f>'24'!$G$64</f>
        <v>359.88000000000466</v>
      </c>
      <c r="V27" s="1194">
        <f>'24'!$G$65</f>
        <v>394.88000000000466</v>
      </c>
      <c r="W27" s="1194">
        <f>'24'!$G$66</f>
        <v>421.44000000000233</v>
      </c>
      <c r="X27" s="1194">
        <f>'24'!$G$67</f>
        <v>673.78999999997905</v>
      </c>
      <c r="Y27" s="1194">
        <f>'24'!$G$68</f>
        <v>359.23999999999796</v>
      </c>
      <c r="Z27" s="1194">
        <f>'24'!$G$69</f>
        <v>290.52000000000407</v>
      </c>
      <c r="AA27" s="1194">
        <f>'24'!$G$84</f>
        <v>503</v>
      </c>
      <c r="AB27" s="1194">
        <f>'24'!$G$15</f>
        <v>613.16999999992549</v>
      </c>
      <c r="AC27" s="1243">
        <f>'24'!$G$123</f>
        <v>194.23999999999069</v>
      </c>
      <c r="AD27" s="1243">
        <f>'24'!$G$124</f>
        <v>0</v>
      </c>
      <c r="AE27" s="1243">
        <f>'24'!$G$125</f>
        <v>58.89000000001397</v>
      </c>
      <c r="AF27" s="1194">
        <f>'24'!$G$126</f>
        <v>21.30000000000291</v>
      </c>
      <c r="AG27" s="1194">
        <f>'24'!$G$127</f>
        <v>0</v>
      </c>
      <c r="AH27" s="1243">
        <f>AB27-SUM(AC27:AG27)</f>
        <v>338.73999999991793</v>
      </c>
      <c r="AI27" s="1194">
        <f>'24'!$G$140</f>
        <v>0</v>
      </c>
      <c r="AJ27" s="1194">
        <f>'24'!$G$136</f>
        <v>3.3599999999969441</v>
      </c>
      <c r="AK27" s="1194">
        <f>'24'!$G$137</f>
        <v>2.6499999999978172</v>
      </c>
      <c r="AL27" s="1194">
        <f>'24'!$G$138</f>
        <v>0</v>
      </c>
      <c r="AM27" s="1206">
        <f t="shared" si="1"/>
        <v>6.0099999999947613</v>
      </c>
      <c r="AO27" s="1245">
        <f t="shared" si="2"/>
        <v>-144.49999999992724</v>
      </c>
    </row>
    <row r="28" spans="1:41">
      <c r="A28" s="1203">
        <v>44068</v>
      </c>
      <c r="B28" s="1204">
        <f>'25'!G72</f>
        <v>8</v>
      </c>
      <c r="C28" s="1204">
        <f>'25'!$G$73</f>
        <v>1</v>
      </c>
      <c r="D28" s="1204">
        <f>'25'!$G$74</f>
        <v>28</v>
      </c>
      <c r="E28" s="1204">
        <f>'25'!$G$75</f>
        <v>157</v>
      </c>
      <c r="F28" s="1204">
        <f>'25'!$G$76</f>
        <v>76</v>
      </c>
      <c r="G28" s="1204">
        <f>'25'!$G$77</f>
        <v>48</v>
      </c>
      <c r="H28" s="1194">
        <f>'25'!$G$78</f>
        <v>403</v>
      </c>
      <c r="I28" s="1194">
        <f>'25'!$G$79</f>
        <v>195</v>
      </c>
      <c r="J28" s="1194">
        <f>'25'!$G$80</f>
        <v>267</v>
      </c>
      <c r="K28" s="1194">
        <f>'25'!$G$81</f>
        <v>91</v>
      </c>
      <c r="L28" s="1194">
        <f>'25'!$G$82</f>
        <v>29</v>
      </c>
      <c r="M28" s="1194">
        <f>'25'!$G$58</f>
        <v>79.129999999997381</v>
      </c>
      <c r="N28" s="1194">
        <f>'25'!$G$83</f>
        <v>310</v>
      </c>
      <c r="O28" s="1194">
        <f>'25'!G86</f>
        <v>123</v>
      </c>
      <c r="P28" s="1194">
        <f>'25'!G87</f>
        <v>39</v>
      </c>
      <c r="Q28" s="1194">
        <f>'25'!G88</f>
        <v>133</v>
      </c>
      <c r="R28" s="1194">
        <f>'25'!G87+'25'!H90</f>
        <v>43</v>
      </c>
      <c r="S28" s="1204">
        <f>'25'!$G$62</f>
        <v>0</v>
      </c>
      <c r="T28" s="1204">
        <f>'25'!$G$63</f>
        <v>16.169999999999959</v>
      </c>
      <c r="U28" s="1204">
        <f>'25'!$G$64</f>
        <v>357.11999999999534</v>
      </c>
      <c r="V28" s="1204">
        <f>'25'!$G$65</f>
        <v>386.47000000000116</v>
      </c>
      <c r="W28" s="1204">
        <f>'25'!$G$66</f>
        <v>398.77000000000407</v>
      </c>
      <c r="X28" s="1204">
        <f>'25'!$G$67</f>
        <v>732.48000000001048</v>
      </c>
      <c r="Y28" s="1204">
        <f>'25'!$G$68</f>
        <v>387.41999999999825</v>
      </c>
      <c r="Z28" s="1204">
        <f>'25'!$G$69</f>
        <v>287.30999999999767</v>
      </c>
      <c r="AA28" s="1204">
        <f>'25'!$G$84</f>
        <v>486</v>
      </c>
      <c r="AB28" s="1204">
        <f>'25'!$G$15</f>
        <v>516.88000000012107</v>
      </c>
      <c r="AC28" s="1204">
        <f>'25'!$G$123</f>
        <v>196.63000000000466</v>
      </c>
      <c r="AD28" s="1204">
        <f>'25'!$G$124</f>
        <v>0</v>
      </c>
      <c r="AE28" s="1204">
        <f>'25'!$G$125</f>
        <v>68.429999999993015</v>
      </c>
      <c r="AF28" s="1204">
        <f>'25'!$G$126</f>
        <v>19</v>
      </c>
      <c r="AG28" s="1204">
        <f>'25'!$G$127</f>
        <v>-0.1000000000003638</v>
      </c>
      <c r="AH28" s="1204">
        <f t="shared" si="0"/>
        <v>232.92000000012376</v>
      </c>
      <c r="AI28" s="1204">
        <f>'25'!$G$140</f>
        <v>0</v>
      </c>
      <c r="AJ28" s="1204">
        <f>'25'!$G$136</f>
        <v>0.2000000000007276</v>
      </c>
      <c r="AK28" s="1204">
        <f>'25'!$G$137</f>
        <v>3.0000000002473826E-2</v>
      </c>
      <c r="AL28" s="1204">
        <f>'25'!$G$138</f>
        <v>9.4700000000011642</v>
      </c>
      <c r="AM28" s="1201">
        <f t="shared" si="1"/>
        <v>9.7000000000043656</v>
      </c>
      <c r="AO28" s="1210">
        <f t="shared" si="2"/>
        <v>-36.290000000119107</v>
      </c>
    </row>
    <row r="29" spans="1:41">
      <c r="A29" s="1203">
        <v>44069</v>
      </c>
      <c r="B29" s="1204">
        <f>'26'!G72</f>
        <v>8</v>
      </c>
      <c r="C29" s="1204">
        <f>'26'!$G$73</f>
        <v>2</v>
      </c>
      <c r="D29" s="1204">
        <f>'26'!$G$74</f>
        <v>18</v>
      </c>
      <c r="E29" s="1204">
        <f>'26'!$G$75</f>
        <v>161</v>
      </c>
      <c r="F29" s="1204">
        <f>'26'!$G$76</f>
        <v>70</v>
      </c>
      <c r="G29" s="1204">
        <f>'26'!$G$77</f>
        <v>49</v>
      </c>
      <c r="H29" s="1194">
        <f>'26'!$G$78</f>
        <v>387</v>
      </c>
      <c r="I29" s="1194">
        <f>'26'!$G$79</f>
        <v>204</v>
      </c>
      <c r="J29" s="1194">
        <f>'26'!$G$80</f>
        <v>297.84000000002561</v>
      </c>
      <c r="K29" s="1194">
        <f>'26'!$G$81</f>
        <v>150.1600000000326</v>
      </c>
      <c r="L29" s="1194">
        <f>'26'!$G$82</f>
        <v>6.3399999999965075</v>
      </c>
      <c r="M29" s="1194">
        <f>'26'!$G$58</f>
        <v>5.0000000010186341E-3</v>
      </c>
      <c r="N29" s="1194">
        <f>'26'!$G$83</f>
        <v>325</v>
      </c>
      <c r="O29" s="1194">
        <f>'26'!G86</f>
        <v>125.52000000001863</v>
      </c>
      <c r="P29" s="1194">
        <f>'26'!G87</f>
        <v>33</v>
      </c>
      <c r="Q29" s="1194">
        <f>'26'!G88</f>
        <v>86.290000000008149</v>
      </c>
      <c r="R29" s="1194">
        <f>'26'!G87+'26'!H90</f>
        <v>35.900000000000091</v>
      </c>
      <c r="S29" s="1204">
        <f>'26'!$G$62</f>
        <v>0</v>
      </c>
      <c r="T29" s="1204">
        <f>'26'!$G$63</f>
        <v>16.234000000000037</v>
      </c>
      <c r="U29" s="1204">
        <f>'26'!$G$64</f>
        <v>353.43300000000454</v>
      </c>
      <c r="V29" s="1204">
        <f>'26'!$G$65</f>
        <v>375.59900000000198</v>
      </c>
      <c r="W29" s="1204">
        <f>'26'!$G$66</f>
        <v>379.34299999999348</v>
      </c>
      <c r="X29" s="1204">
        <f>'26'!$G$67</f>
        <v>687.70999999999185</v>
      </c>
      <c r="Y29" s="1204">
        <f>'26'!$G$68</f>
        <v>340.21699999999691</v>
      </c>
      <c r="Z29" s="1204">
        <f>'26'!$G$69</f>
        <v>287.64299999999639</v>
      </c>
      <c r="AA29" s="1204">
        <f>'26'!$G$84</f>
        <v>491</v>
      </c>
      <c r="AB29" s="1204">
        <f>'26'!$G$15</f>
        <v>411.92499999981374</v>
      </c>
      <c r="AC29" s="1204">
        <f>'26'!$G$123</f>
        <v>204.28099999995902</v>
      </c>
      <c r="AD29" s="1204">
        <f>'26'!$G$124</f>
        <v>0</v>
      </c>
      <c r="AE29" s="1204">
        <f>'26'!$G$125</f>
        <v>92.720000000001164</v>
      </c>
      <c r="AF29" s="1204">
        <f>'26'!$G$126</f>
        <v>17.19999999999709</v>
      </c>
      <c r="AG29" s="1204">
        <f>'26'!$G$127</f>
        <v>0.1000000000003638</v>
      </c>
      <c r="AH29" s="1204">
        <f t="shared" si="0"/>
        <v>97.623999999856096</v>
      </c>
      <c r="AI29" s="1204">
        <f>'26'!$G$140</f>
        <v>0</v>
      </c>
      <c r="AJ29" s="1204">
        <f>'26'!$G$136</f>
        <v>-0.2000000000007276</v>
      </c>
      <c r="AK29" s="1204">
        <f>'26'!$G$137</f>
        <v>0</v>
      </c>
      <c r="AL29" s="1204">
        <f>'26'!$G$138</f>
        <v>0</v>
      </c>
      <c r="AM29" s="1201">
        <f t="shared" si="1"/>
        <v>-0.2000000000007276</v>
      </c>
      <c r="AO29" s="1210">
        <f t="shared" si="2"/>
        <v>106.65700000010293</v>
      </c>
    </row>
    <row r="30" spans="1:41">
      <c r="A30" s="1203">
        <v>44070</v>
      </c>
      <c r="B30" s="1204">
        <f>'27'!G72</f>
        <v>7</v>
      </c>
      <c r="C30" s="1204">
        <f>'27'!$G$73</f>
        <v>0</v>
      </c>
      <c r="D30" s="1204">
        <f>'27'!$G$74</f>
        <v>16</v>
      </c>
      <c r="E30" s="1204">
        <f>'27'!$G$75</f>
        <v>159</v>
      </c>
      <c r="F30" s="1204">
        <f>'27'!$G$76</f>
        <v>68</v>
      </c>
      <c r="G30" s="1204">
        <f>'27'!$G$77</f>
        <v>49</v>
      </c>
      <c r="H30" s="1194">
        <f>'27'!$G$78</f>
        <v>398</v>
      </c>
      <c r="I30" s="1194">
        <f>'27'!$G$79</f>
        <v>195</v>
      </c>
      <c r="J30" s="1194">
        <f>'27'!$G$80</f>
        <v>292.55999999999767</v>
      </c>
      <c r="K30" s="1194">
        <f>'27'!$G$81</f>
        <v>160.77000000001863</v>
      </c>
      <c r="L30" s="1194">
        <f>'27'!$G$82</f>
        <v>23.120000000009895</v>
      </c>
      <c r="M30" s="1194">
        <f>'27'!$G$58</f>
        <v>99.64600000000064</v>
      </c>
      <c r="N30" s="1194">
        <f>'27'!$G$83</f>
        <v>322</v>
      </c>
      <c r="O30" s="1194">
        <f>'27'!G86</f>
        <v>156.51999999996042</v>
      </c>
      <c r="P30" s="1194">
        <f>'27'!G87</f>
        <v>32.5</v>
      </c>
      <c r="Q30" s="1194">
        <f>'27'!G88</f>
        <v>105.77999999999884</v>
      </c>
      <c r="R30" s="1194">
        <f>'27'!G87+'27'!H90</f>
        <v>33.599999999999909</v>
      </c>
      <c r="S30" s="1204">
        <f>'27'!$G$62</f>
        <v>-0.18000000000029104</v>
      </c>
      <c r="T30" s="1204">
        <f>'27'!$G$63</f>
        <v>16.225999999999999</v>
      </c>
      <c r="U30" s="1204">
        <f>'27'!$G$64</f>
        <v>352.64800000000105</v>
      </c>
      <c r="V30" s="1204">
        <f>'27'!$G$65</f>
        <v>386.99199999999837</v>
      </c>
      <c r="W30" s="1204">
        <f>'27'!$G$66</f>
        <v>381.59200000000419</v>
      </c>
      <c r="X30" s="1204">
        <f>'27'!$G$67</f>
        <v>695.3300000000163</v>
      </c>
      <c r="Y30" s="1204">
        <f>'27'!$G$68</f>
        <v>319.05200000000332</v>
      </c>
      <c r="Z30" s="1204">
        <f>'27'!$G$69</f>
        <v>287</v>
      </c>
      <c r="AA30" s="1204">
        <f>'27'!$G$84</f>
        <v>490</v>
      </c>
      <c r="AB30" s="1204">
        <f>'27'!$G$15</f>
        <v>532.6840000001248</v>
      </c>
      <c r="AC30" s="1204">
        <f>'27'!$G$123</f>
        <v>197.3990000000922</v>
      </c>
      <c r="AD30" s="1204">
        <f>'27'!$G$124</f>
        <v>0</v>
      </c>
      <c r="AE30" s="1204">
        <f>'27'!$G$125</f>
        <v>86.790000000008149</v>
      </c>
      <c r="AF30" s="1204">
        <f>'27'!$G$126</f>
        <v>24.900000000001455</v>
      </c>
      <c r="AG30" s="1204">
        <f>'27'!$G$127</f>
        <v>0</v>
      </c>
      <c r="AH30" s="1204">
        <f t="shared" si="0"/>
        <v>223.59500000002299</v>
      </c>
      <c r="AI30" s="1204">
        <f>'27'!$G$140</f>
        <v>0</v>
      </c>
      <c r="AJ30" s="1204">
        <f>'27'!$G$136</f>
        <v>4.3100000000013097</v>
      </c>
      <c r="AK30" s="1204">
        <f>'27'!$G$137</f>
        <v>0.8599999999969441</v>
      </c>
      <c r="AL30" s="1204">
        <f>'27'!$G$138</f>
        <v>1.8300000000017462</v>
      </c>
      <c r="AM30" s="1201">
        <f t="shared" si="1"/>
        <v>7</v>
      </c>
      <c r="AO30" s="1210">
        <f t="shared" si="2"/>
        <v>-26.195999999930791</v>
      </c>
    </row>
    <row r="31" spans="1:41">
      <c r="A31" s="1203">
        <v>44071</v>
      </c>
      <c r="B31" s="1204">
        <f>'28'!G72</f>
        <v>7</v>
      </c>
      <c r="C31" s="1204">
        <f>'28'!$G$73</f>
        <v>3</v>
      </c>
      <c r="D31" s="1204">
        <f>'28'!$G$74</f>
        <v>16</v>
      </c>
      <c r="E31" s="1204">
        <f>'28'!$G$75</f>
        <v>169</v>
      </c>
      <c r="F31" s="1204">
        <f>'28'!$G$76</f>
        <v>62</v>
      </c>
      <c r="G31" s="1204">
        <f>'28'!$G$77</f>
        <v>48</v>
      </c>
      <c r="H31" s="1194">
        <f>'28'!$G$78</f>
        <v>388</v>
      </c>
      <c r="I31" s="1194">
        <f>'28'!$G$79</f>
        <v>199</v>
      </c>
      <c r="J31" s="1194">
        <f>'28'!$G$80</f>
        <v>326.63999999995576</v>
      </c>
      <c r="K31" s="1194">
        <f>'28'!$G$81</f>
        <v>149.22999999998137</v>
      </c>
      <c r="L31" s="1194">
        <f>'28'!$G$82</f>
        <v>14.179999999993015</v>
      </c>
      <c r="M31" s="1194">
        <f>'28'!$G$58</f>
        <v>202.28800000000047</v>
      </c>
      <c r="N31" s="1194">
        <f>'28'!$G$83</f>
        <v>344</v>
      </c>
      <c r="O31" s="1194">
        <f>'28'!G86</f>
        <v>149.64000000001397</v>
      </c>
      <c r="P31" s="1194">
        <f>'28'!G87</f>
        <v>17.30000000000291</v>
      </c>
      <c r="Q31" s="1194">
        <f>'28'!G88</f>
        <v>94.839999999996508</v>
      </c>
      <c r="R31" s="1194">
        <f>'28'!G87+'28'!H90</f>
        <v>18.30000000000291</v>
      </c>
      <c r="S31" s="1204">
        <f>'28'!$G$62</f>
        <v>0.18700000000171713</v>
      </c>
      <c r="T31" s="1204">
        <f>'28'!$G$63</f>
        <v>16.451000000000022</v>
      </c>
      <c r="U31" s="1204">
        <f>'28'!$G$64</f>
        <v>352.08799999998882</v>
      </c>
      <c r="V31" s="1204">
        <f>'28'!$G$65</f>
        <v>394.55199999999604</v>
      </c>
      <c r="W31" s="1204">
        <f>'28'!$G$66</f>
        <v>398.18399999999383</v>
      </c>
      <c r="X31" s="1204">
        <f>'28'!$G$67</f>
        <v>722.44999999998254</v>
      </c>
      <c r="Y31" s="1204">
        <f>'28'!$G$68</f>
        <v>353.04000000000087</v>
      </c>
      <c r="Z31" s="1204">
        <f>'28'!$G$69</f>
        <v>287.72800000000279</v>
      </c>
      <c r="AA31" s="1204">
        <f>'28'!$G$84</f>
        <v>443</v>
      </c>
      <c r="AB31" s="1204">
        <f>'28'!$G$15</f>
        <v>805.71699999994598</v>
      </c>
      <c r="AC31" s="1204">
        <f>'28'!$G$123</f>
        <v>202.7609999999404</v>
      </c>
      <c r="AD31" s="1204">
        <f>'28'!$G$124</f>
        <v>0.10000000000582077</v>
      </c>
      <c r="AE31" s="1204">
        <f>'28'!$G$125</f>
        <v>89.799999999988358</v>
      </c>
      <c r="AF31" s="1204">
        <f>'28'!$G$126</f>
        <v>25.099999999998545</v>
      </c>
      <c r="AG31" s="1204">
        <f>'28'!$G$127</f>
        <v>0</v>
      </c>
      <c r="AH31" s="1204">
        <f t="shared" si="0"/>
        <v>487.95600000001286</v>
      </c>
      <c r="AI31" s="1204">
        <f>'28'!$G$140</f>
        <v>0</v>
      </c>
      <c r="AJ31" s="1204">
        <f>'28'!$G$136</f>
        <v>9.0100000000020373</v>
      </c>
      <c r="AK31" s="1204">
        <f>'28'!$G$137</f>
        <v>0</v>
      </c>
      <c r="AL31" s="1204">
        <f>'28'!$G$138</f>
        <v>0</v>
      </c>
      <c r="AM31" s="1201">
        <f t="shared" si="1"/>
        <v>9.0100000000020373</v>
      </c>
      <c r="AO31" s="1210">
        <f t="shared" si="2"/>
        <v>-285.19500000007247</v>
      </c>
    </row>
    <row r="32" spans="1:41">
      <c r="A32" s="1203">
        <v>44072</v>
      </c>
      <c r="B32" s="1204">
        <f>'29'!G72</f>
        <v>8</v>
      </c>
      <c r="C32" s="1204">
        <f>'29'!$G$73</f>
        <v>1</v>
      </c>
      <c r="D32" s="1204">
        <f>'29'!$G$74</f>
        <v>19</v>
      </c>
      <c r="E32" s="1204">
        <f>'29'!$G$75</f>
        <v>181</v>
      </c>
      <c r="F32" s="1204">
        <f>'29'!$G$76</f>
        <v>66</v>
      </c>
      <c r="G32" s="1204">
        <f>'29'!$G$77</f>
        <v>50</v>
      </c>
      <c r="H32" s="1204">
        <f>'29'!$G$78</f>
        <v>442</v>
      </c>
      <c r="I32" s="1204">
        <f>'29'!$G$79</f>
        <v>201</v>
      </c>
      <c r="J32" s="1204">
        <f>'29'!$G$80</f>
        <v>336.20000000001164</v>
      </c>
      <c r="K32" s="1204">
        <f>'29'!$G$81</f>
        <v>162.8399999999674</v>
      </c>
      <c r="L32" s="1204">
        <f>'29'!$G$82</f>
        <v>20.389999999999418</v>
      </c>
      <c r="M32" s="1204">
        <f>'29'!$G$58</f>
        <v>130.29799999999886</v>
      </c>
      <c r="N32" s="1204">
        <f>'29'!$G$83</f>
        <v>344</v>
      </c>
      <c r="O32" s="1204">
        <f>'29'!G86</f>
        <v>119.84000000002561</v>
      </c>
      <c r="P32" s="1204">
        <f>'29'!G87</f>
        <v>11</v>
      </c>
      <c r="Q32" s="1204">
        <f>'29'!G88</f>
        <v>72.589999999996508</v>
      </c>
      <c r="R32" s="1204">
        <f>'29'!G87+'29'!H90</f>
        <v>22.199999999999818</v>
      </c>
      <c r="S32" s="1204">
        <f>'29'!$G$62</f>
        <v>-7.0000000014260877E-3</v>
      </c>
      <c r="T32" s="1204">
        <f>'29'!$G$63</f>
        <v>16.438999999999965</v>
      </c>
      <c r="U32" s="1204">
        <f>'29'!$G$64</f>
        <v>359.83200000000943</v>
      </c>
      <c r="V32" s="1204">
        <f>'29'!$G$65</f>
        <v>375.00800000000163</v>
      </c>
      <c r="W32" s="1204">
        <f>'29'!$G$66</f>
        <v>410.6880000000092</v>
      </c>
      <c r="X32" s="1204">
        <f>'29'!$G$67</f>
        <v>753.14000000001397</v>
      </c>
      <c r="Y32" s="1204">
        <f>'29'!$G$68</f>
        <v>357.30399999999645</v>
      </c>
      <c r="Z32" s="1204">
        <f>'29'!$G$69</f>
        <v>282.81599999999889</v>
      </c>
      <c r="AA32" s="1204">
        <f>'29'!$G$84</f>
        <v>498</v>
      </c>
      <c r="AB32" s="1204">
        <f>'29'!$G$15</f>
        <v>795.00800000014715</v>
      </c>
      <c r="AC32" s="1204">
        <f>'29'!$G$123</f>
        <v>210.21200000005774</v>
      </c>
      <c r="AD32" s="1204">
        <f>'29'!$G$124</f>
        <v>0.19999999999708962</v>
      </c>
      <c r="AE32" s="1204">
        <f>'29'!$G$125</f>
        <v>99.239999999990687</v>
      </c>
      <c r="AF32" s="1204">
        <f>'29'!$G$126</f>
        <v>42.600000000005821</v>
      </c>
      <c r="AG32" s="1204">
        <f>'29'!$G$127</f>
        <v>0</v>
      </c>
      <c r="AH32" s="1204">
        <f t="shared" si="0"/>
        <v>442.75600000009581</v>
      </c>
      <c r="AI32" s="1204">
        <f>'29'!$G$140</f>
        <v>0</v>
      </c>
      <c r="AJ32" s="1204">
        <f>'29'!$G$136</f>
        <v>7.7099999999991269</v>
      </c>
      <c r="AK32" s="1204">
        <f>'29'!$G$137</f>
        <v>0</v>
      </c>
      <c r="AL32" s="1204">
        <f>'29'!$G$138</f>
        <v>0</v>
      </c>
      <c r="AM32" s="1201">
        <f t="shared" si="1"/>
        <v>7.7099999999991269</v>
      </c>
      <c r="AO32" s="1210">
        <f t="shared" si="2"/>
        <v>-232.54400000003807</v>
      </c>
    </row>
    <row r="33" spans="1:41" s="1207" customFormat="1">
      <c r="A33" s="1203">
        <v>44073</v>
      </c>
      <c r="B33" s="1194">
        <f>'30'!G72</f>
        <v>8</v>
      </c>
      <c r="C33" s="1194">
        <f>'30'!$G$73</f>
        <v>2</v>
      </c>
      <c r="D33" s="1194">
        <f>'30'!$G$74</f>
        <v>23</v>
      </c>
      <c r="E33" s="1194">
        <f>'30'!$G$75</f>
        <v>168</v>
      </c>
      <c r="F33" s="1194">
        <f>'30'!$G$76</f>
        <v>57</v>
      </c>
      <c r="G33" s="1194">
        <f>'30'!$G$77</f>
        <v>51</v>
      </c>
      <c r="H33" s="1194">
        <f>'30'!$G$78</f>
        <v>482</v>
      </c>
      <c r="I33" s="1194">
        <f>'30'!$G$79</f>
        <v>199</v>
      </c>
      <c r="J33" s="1194">
        <f>'30'!$G$80</f>
        <v>321.64000000001397</v>
      </c>
      <c r="K33" s="1194">
        <f>'30'!$G$81</f>
        <v>174.52000000001863</v>
      </c>
      <c r="L33" s="1194">
        <f>'30'!$G$82</f>
        <v>20.619999999995343</v>
      </c>
      <c r="M33" s="1194">
        <f>'30'!$G$58</f>
        <v>114.93600000000151</v>
      </c>
      <c r="N33" s="1194">
        <f>'30'!$G$83</f>
        <v>364</v>
      </c>
      <c r="O33" s="1194">
        <f>'30'!G86</f>
        <v>177.71999999997206</v>
      </c>
      <c r="P33" s="1194">
        <f>'30'!G87</f>
        <v>34.5</v>
      </c>
      <c r="Q33" s="1194">
        <f>'30'!G88</f>
        <v>124.98999999999069</v>
      </c>
      <c r="R33" s="1194">
        <f>'30'!G87+'30'!H90</f>
        <v>41.300000000000182</v>
      </c>
      <c r="S33" s="1194">
        <f>'30'!$G$62</f>
        <v>0</v>
      </c>
      <c r="T33" s="1194">
        <f>'30'!$G$63</f>
        <v>16.470000000000027</v>
      </c>
      <c r="U33" s="1194">
        <f>'30'!$G$64</f>
        <v>423.62399999999616</v>
      </c>
      <c r="V33" s="1194">
        <f>'30'!$G$65</f>
        <v>392.4719999999943</v>
      </c>
      <c r="W33" s="1194">
        <f>'30'!$G$66</f>
        <v>430.79999999998836</v>
      </c>
      <c r="X33" s="1194">
        <f>'30'!$G$67</f>
        <v>830.63999999998487</v>
      </c>
      <c r="Y33" s="1194">
        <f>'30'!$G$68</f>
        <v>386.89600000000064</v>
      </c>
      <c r="Z33" s="1194">
        <f>'30'!$G$69</f>
        <v>292.88000000000466</v>
      </c>
      <c r="AA33" s="1194">
        <f>'30'!$G$84</f>
        <v>523</v>
      </c>
      <c r="AB33" s="1194">
        <f>'30'!$G$15</f>
        <v>675.18699999991804</v>
      </c>
      <c r="AC33" s="1194">
        <f>'30'!$G$123</f>
        <v>194.78699999989476</v>
      </c>
      <c r="AD33" s="1194">
        <f>'30'!$G$124</f>
        <v>0</v>
      </c>
      <c r="AE33" s="1194">
        <f>'30'!$G$125</f>
        <v>91.330000000016298</v>
      </c>
      <c r="AF33" s="1194">
        <f>'30'!$G$126</f>
        <v>28.399999999994179</v>
      </c>
      <c r="AG33" s="1194">
        <f>'30'!$G$127</f>
        <v>0</v>
      </c>
      <c r="AH33" s="1194">
        <f t="shared" si="0"/>
        <v>360.67000000001281</v>
      </c>
      <c r="AI33" s="1194">
        <f>'30'!$G$140</f>
        <v>0</v>
      </c>
      <c r="AJ33" s="1194">
        <f>'30'!$G$136</f>
        <v>6.2700000000004366</v>
      </c>
      <c r="AK33" s="1194">
        <f>'30'!$G$137</f>
        <v>0</v>
      </c>
      <c r="AL33" s="1194">
        <f>'30'!$G$138</f>
        <v>0</v>
      </c>
      <c r="AM33" s="1206">
        <f t="shared" si="1"/>
        <v>6.2700000000004366</v>
      </c>
      <c r="AO33" s="1211">
        <f t="shared" si="2"/>
        <v>-165.88300000011805</v>
      </c>
    </row>
    <row r="34" spans="1:41">
      <c r="A34" s="1203">
        <v>44074</v>
      </c>
      <c r="B34" s="1204">
        <f>'31'!G72</f>
        <v>-911</v>
      </c>
      <c r="C34" s="1204">
        <f>'31'!$G$73</f>
        <v>-165</v>
      </c>
      <c r="D34" s="1204">
        <f>'31'!$G$74</f>
        <v>-1560</v>
      </c>
      <c r="E34" s="1204">
        <f>'31'!$G$74</f>
        <v>-1560</v>
      </c>
      <c r="F34" s="1204">
        <f>'31'!$G$76</f>
        <v>-3720</v>
      </c>
      <c r="G34" s="1194">
        <f>'31'!$G$77</f>
        <v>-4179</v>
      </c>
      <c r="H34" s="1194">
        <f>'31'!$G$78</f>
        <v>-18516</v>
      </c>
      <c r="I34" s="1194">
        <f>'31'!$G$79</f>
        <v>-13790</v>
      </c>
      <c r="J34" s="1194">
        <f>'31'!$G$80</f>
        <v>-23497.880000000005</v>
      </c>
      <c r="K34" s="1194">
        <f>'31'!$G$81</f>
        <v>-10535.520000000019</v>
      </c>
      <c r="L34" s="1194">
        <f>'31'!$G$82</f>
        <v>-1703.6499999999942</v>
      </c>
      <c r="M34" s="1194">
        <f>'31'!$G$58</f>
        <v>-6341.6730000000007</v>
      </c>
      <c r="N34" s="1194">
        <f>'31'!$G$83</f>
        <v>-24782</v>
      </c>
      <c r="O34" s="1194">
        <f>'31'!G86</f>
        <v>-13405.399999999965</v>
      </c>
      <c r="P34" s="1194">
        <f>'31'!G88</f>
        <v>-7169.4899999999907</v>
      </c>
      <c r="Q34" s="1194">
        <f>'31'!G89</f>
        <v>-5735.1999999999971</v>
      </c>
      <c r="R34" s="1194">
        <f>'31'!G87+'31'!H90</f>
        <v>-2664.9999999999968</v>
      </c>
      <c r="S34" s="1204">
        <f>'31'!$G$62</f>
        <v>8.9999999981955625E-3</v>
      </c>
      <c r="T34" s="1204">
        <f>'31'!$G$63</f>
        <v>13304.109999999999</v>
      </c>
      <c r="U34" s="1204">
        <f>'31'!$G$64</f>
        <v>-27721.195</v>
      </c>
      <c r="V34" s="1204">
        <f>'31'!$G$65</f>
        <v>-34625.622999999992</v>
      </c>
      <c r="W34" s="1204">
        <f>'31'!$G$66</f>
        <v>-34157.376999999993</v>
      </c>
      <c r="X34" s="1204">
        <f>'31'!$G$67</f>
        <v>-49428.079999999987</v>
      </c>
      <c r="Y34" s="1204">
        <f>'31'!$G$68</f>
        <v>-26524.569</v>
      </c>
      <c r="Z34" s="1204">
        <f>'31'!$G$69</f>
        <v>-15156.857000000004</v>
      </c>
      <c r="AA34" s="1204">
        <f>'31'!$G$84</f>
        <v>-44441</v>
      </c>
      <c r="AB34" s="1204">
        <f>'31'!$G$15</f>
        <v>-44012.540999999968</v>
      </c>
      <c r="AC34" s="1204">
        <f>'31'!$G$123</f>
        <v>-16205.649999999907</v>
      </c>
      <c r="AD34" s="1204">
        <f>'31'!$G$124</f>
        <v>-1.1999999999970896</v>
      </c>
      <c r="AE34" s="1204">
        <f>'31'!$G$125</f>
        <v>-6115.8800000000047</v>
      </c>
      <c r="AF34" s="1204">
        <f>'31'!$G$126</f>
        <v>-1448.1999999999971</v>
      </c>
      <c r="AG34" s="1204">
        <f>'31'!$G$127</f>
        <v>-1.1000000000003638</v>
      </c>
      <c r="AH34" s="1204">
        <f t="shared" si="0"/>
        <v>-20240.511000000064</v>
      </c>
      <c r="AI34" s="1204">
        <f>'31'!$G$140</f>
        <v>-43.819999999999709</v>
      </c>
      <c r="AJ34" s="1204">
        <f>'31'!$G$136</f>
        <v>-152.36000000000058</v>
      </c>
      <c r="AK34" s="1204">
        <f>'31'!$G$137</f>
        <v>-93.94999999999709</v>
      </c>
      <c r="AL34" s="1204">
        <f>'31'!$G$138</f>
        <v>-237</v>
      </c>
      <c r="AM34" s="1201">
        <f t="shared" si="1"/>
        <v>-483.30999999999767</v>
      </c>
      <c r="AO34" s="1210">
        <f t="shared" si="2"/>
        <v>4034.8610000001572</v>
      </c>
    </row>
    <row r="35" spans="1:41">
      <c r="A35" s="1246"/>
      <c r="G35" s="1207"/>
      <c r="H35" s="1207"/>
      <c r="I35" s="1207"/>
      <c r="J35" s="1207"/>
      <c r="K35" s="1207"/>
      <c r="L35" s="1207"/>
      <c r="M35" s="1207"/>
      <c r="N35" s="1207"/>
      <c r="O35" s="1207"/>
      <c r="P35" s="1207"/>
      <c r="Q35" s="1207"/>
      <c r="R35" s="1207"/>
    </row>
    <row r="36" spans="1:41">
      <c r="A36" s="1247"/>
      <c r="AC36" s="1249" t="s">
        <v>122</v>
      </c>
      <c r="AD36" s="1250">
        <v>191</v>
      </c>
      <c r="AE36" s="1250"/>
      <c r="AF36" s="1250"/>
    </row>
    <row r="37" spans="1:41">
      <c r="A37" s="1247"/>
      <c r="AC37" s="1250"/>
      <c r="AD37" s="1250">
        <v>88</v>
      </c>
      <c r="AE37" s="1250"/>
      <c r="AF37" s="1250"/>
    </row>
    <row r="38" spans="1:41">
      <c r="A38" s="1247"/>
      <c r="AC38" s="1250"/>
      <c r="AD38" s="1251">
        <f>SUM(AD36:AD37)</f>
        <v>279</v>
      </c>
      <c r="AE38" s="1252" t="s">
        <v>123</v>
      </c>
      <c r="AF38" s="1252">
        <v>335</v>
      </c>
    </row>
    <row r="39" spans="1:41">
      <c r="A39" s="1247"/>
      <c r="AC39" s="1250"/>
      <c r="AD39" s="1250"/>
      <c r="AE39" s="1250"/>
      <c r="AF39" s="1250"/>
    </row>
    <row r="40" spans="1:41">
      <c r="A40" s="1247"/>
      <c r="B40" s="1210"/>
      <c r="C40" s="1210"/>
      <c r="D40" s="1210"/>
      <c r="E40" s="1210"/>
      <c r="F40" s="1210"/>
      <c r="G40" s="1210"/>
      <c r="H40" s="1210"/>
      <c r="I40" s="1210"/>
      <c r="J40" s="1210"/>
      <c r="K40" s="1210"/>
      <c r="L40" s="1210"/>
      <c r="M40" s="1210"/>
      <c r="N40" s="1210"/>
      <c r="O40" s="1210"/>
      <c r="P40" s="1210"/>
      <c r="Q40" s="1210"/>
      <c r="R40" s="1210"/>
      <c r="S40" s="1210"/>
      <c r="T40" s="1210"/>
      <c r="U40" s="1210"/>
      <c r="V40" s="1210"/>
      <c r="W40" s="1210"/>
      <c r="X40" s="1210"/>
      <c r="Y40" s="1210"/>
      <c r="Z40" s="1210"/>
      <c r="AB40" s="1210"/>
      <c r="AC40" s="1249" t="s">
        <v>124</v>
      </c>
      <c r="AD40" s="1251">
        <v>168</v>
      </c>
      <c r="AE40" s="1250"/>
      <c r="AF40" s="1250"/>
    </row>
    <row r="41" spans="1:41">
      <c r="A41" s="1247"/>
      <c r="AC41" s="1250"/>
      <c r="AD41" s="1250"/>
      <c r="AE41" s="1252" t="s">
        <v>125</v>
      </c>
      <c r="AF41" s="1250"/>
    </row>
    <row r="42" spans="1:41">
      <c r="A42" s="1247"/>
      <c r="AC42" s="1250" t="s">
        <v>126</v>
      </c>
      <c r="AD42" s="1250">
        <f>20*38.68</f>
        <v>773.6</v>
      </c>
      <c r="AE42" s="1250" t="s">
        <v>127</v>
      </c>
      <c r="AF42" s="1250"/>
    </row>
    <row r="43" spans="1:41">
      <c r="A43" s="1247"/>
    </row>
    <row r="44" spans="1:41">
      <c r="A44" s="1247"/>
    </row>
    <row r="45" spans="1:41">
      <c r="A45" s="1247"/>
    </row>
    <row r="46" spans="1:41">
      <c r="A46" s="1247"/>
    </row>
    <row r="47" spans="1:41">
      <c r="A47" s="1247"/>
    </row>
    <row r="48" spans="1:41">
      <c r="A48" s="1247"/>
    </row>
    <row r="49" spans="1:1">
      <c r="A49" s="1247"/>
    </row>
    <row r="50" spans="1:1">
      <c r="A50" s="1247"/>
    </row>
    <row r="51" spans="1:1">
      <c r="A51" s="1247"/>
    </row>
    <row r="52" spans="1:1">
      <c r="A52" s="1247"/>
    </row>
    <row r="53" spans="1:1">
      <c r="A53" s="1247"/>
    </row>
    <row r="54" spans="1:1">
      <c r="A54" s="1247"/>
    </row>
    <row r="55" spans="1:1">
      <c r="A55" s="1247"/>
    </row>
    <row r="56" spans="1:1">
      <c r="A56" s="1247"/>
    </row>
    <row r="57" spans="1:1">
      <c r="A57" s="1247"/>
    </row>
    <row r="58" spans="1:1">
      <c r="A58" s="1247"/>
    </row>
    <row r="59" spans="1:1">
      <c r="A59" s="1247"/>
    </row>
    <row r="60" spans="1:1">
      <c r="A60" s="1247"/>
    </row>
    <row r="61" spans="1:1">
      <c r="A61" s="1247"/>
    </row>
    <row r="62" spans="1:1">
      <c r="A62" s="1247"/>
    </row>
    <row r="63" spans="1:1">
      <c r="A63" s="1247"/>
    </row>
    <row r="64" spans="1:1">
      <c r="A64" s="1247"/>
    </row>
    <row r="65" spans="1:1">
      <c r="A65" s="1247"/>
    </row>
    <row r="66" spans="1:1">
      <c r="A66" s="1247"/>
    </row>
    <row r="67" spans="1:1">
      <c r="A67" s="1247"/>
    </row>
    <row r="68" spans="1:1">
      <c r="A68" s="1247"/>
    </row>
    <row r="69" spans="1:1">
      <c r="A69" s="1247"/>
    </row>
    <row r="70" spans="1:1">
      <c r="A70" s="1247"/>
    </row>
    <row r="71" spans="1:1">
      <c r="A71" s="1247"/>
    </row>
    <row r="72" spans="1:1">
      <c r="A72" s="1247"/>
    </row>
    <row r="73" spans="1:1">
      <c r="A73" s="1247"/>
    </row>
    <row r="74" spans="1:1">
      <c r="A74" s="1247"/>
    </row>
    <row r="75" spans="1:1">
      <c r="A75" s="1247"/>
    </row>
    <row r="76" spans="1:1">
      <c r="A76" s="1247"/>
    </row>
    <row r="77" spans="1:1">
      <c r="A77" s="1247"/>
    </row>
    <row r="78" spans="1:1">
      <c r="A78" s="1247"/>
    </row>
    <row r="79" spans="1:1">
      <c r="A79" s="1247"/>
    </row>
    <row r="80" spans="1:1">
      <c r="A80" s="1247"/>
    </row>
    <row r="81" spans="1:1">
      <c r="A81" s="1247"/>
    </row>
    <row r="82" spans="1:1">
      <c r="A82" s="1247"/>
    </row>
    <row r="83" spans="1:1">
      <c r="A83" s="1247"/>
    </row>
    <row r="84" spans="1:1">
      <c r="A84" s="1247"/>
    </row>
    <row r="85" spans="1:1">
      <c r="A85" s="1247"/>
    </row>
    <row r="86" spans="1:1">
      <c r="A86" s="1248"/>
    </row>
    <row r="87" spans="1:1">
      <c r="A87" s="1248"/>
    </row>
    <row r="88" spans="1:1">
      <c r="A88" s="1248"/>
    </row>
    <row r="89" spans="1:1">
      <c r="A89" s="1248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61" zoomScaleNormal="61" zoomScaleSheetLayoutView="61" zoomScalePageLayoutView="70" workbookViewId="0">
      <selection activeCell="A153" sqref="A1:XFD1048576"/>
    </sheetView>
  </sheetViews>
  <sheetFormatPr defaultColWidth="22.33203125" defaultRowHeight="29.25"/>
  <cols>
    <col min="1" max="1" width="48.44140625" style="594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  <c r="N1" s="420">
        <v>16121.41</v>
      </c>
    </row>
    <row r="2" spans="1:15" s="292" customFormat="1" ht="27">
      <c r="A2" s="716" t="s">
        <v>288</v>
      </c>
      <c r="B2" s="1195">
        <v>44136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30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v>2105025</v>
      </c>
      <c r="F7" s="595">
        <v>2123599</v>
      </c>
      <c r="G7" s="613">
        <f>F7-E7</f>
        <v>18574</v>
      </c>
      <c r="H7" s="600">
        <f>G7</f>
        <v>18574</v>
      </c>
      <c r="I7" s="614">
        <v>12000</v>
      </c>
      <c r="J7" s="693">
        <f>H7/DAY(B2)</f>
        <v>18574</v>
      </c>
      <c r="K7" s="690"/>
      <c r="L7" s="421"/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v>2115441</v>
      </c>
      <c r="F8" s="615">
        <v>2134072</v>
      </c>
      <c r="G8" s="616">
        <f>F8-E8</f>
        <v>18631</v>
      </c>
      <c r="H8" s="600">
        <f>G8</f>
        <v>18631</v>
      </c>
      <c r="I8" s="617">
        <v>12000</v>
      </c>
      <c r="J8" s="693">
        <f>H8/DAY(B2)</f>
        <v>18631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v>2017005.3</v>
      </c>
      <c r="F9" s="618">
        <v>2034943.5</v>
      </c>
      <c r="G9" s="613">
        <f>F9-E9</f>
        <v>17938.199999999953</v>
      </c>
      <c r="H9" s="600">
        <f t="shared" ref="H9:H13" si="0">G9</f>
        <v>17938.199999999953</v>
      </c>
      <c r="I9" s="619">
        <f>I8-J8</f>
        <v>-6631</v>
      </c>
      <c r="J9" s="693">
        <f>H9/DAY(B2)</f>
        <v>17938.199999999953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v>454609.79</v>
      </c>
      <c r="F10" s="618">
        <v>454609.79</v>
      </c>
      <c r="G10" s="613">
        <f t="shared" ref="G10:G12" si="1">F10-E10</f>
        <v>0</v>
      </c>
      <c r="H10" s="600">
        <f t="shared" si="0"/>
        <v>0</v>
      </c>
      <c r="I10" s="620"/>
      <c r="J10" s="693">
        <f>H10/DAY(B2)</f>
        <v>0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v>35390</v>
      </c>
      <c r="F11" s="595">
        <v>35390</v>
      </c>
      <c r="G11" s="613">
        <f t="shared" si="1"/>
        <v>0</v>
      </c>
      <c r="H11" s="600">
        <f t="shared" si="0"/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v>37630</v>
      </c>
      <c r="F12" s="618">
        <v>37630</v>
      </c>
      <c r="G12" s="613">
        <f t="shared" si="1"/>
        <v>0</v>
      </c>
      <c r="H12" s="600">
        <f t="shared" si="0"/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17938.199999999953</v>
      </c>
      <c r="H13" s="600">
        <f t="shared" si="0"/>
        <v>17938.199999999953</v>
      </c>
      <c r="I13" s="622">
        <f>G7-G13</f>
        <v>635.80000000004657</v>
      </c>
      <c r="J13" s="693">
        <f>H13/DAY(B2)</f>
        <v>17938.199999999953</v>
      </c>
      <c r="K13" s="527"/>
      <c r="L13" s="421"/>
      <c r="N13" s="426"/>
      <c r="O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17" t="s">
        <v>151</v>
      </c>
      <c r="B15" s="730"/>
      <c r="C15" s="730"/>
      <c r="D15" s="663" t="s">
        <v>152</v>
      </c>
      <c r="E15" s="624">
        <v>1530115.1939999999</v>
      </c>
      <c r="F15" s="624">
        <v>1530612.733</v>
      </c>
      <c r="G15" s="941">
        <f>(F15-E15)</f>
        <v>497.53900000010617</v>
      </c>
      <c r="H15" s="600">
        <f>G15</f>
        <v>497.53900000010617</v>
      </c>
      <c r="I15" s="614">
        <v>800</v>
      </c>
      <c r="J15" s="693">
        <f>H15/DAY(B2)</f>
        <v>497.53900000010617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302.46099999989383</v>
      </c>
      <c r="J16" s="694"/>
      <c r="K16" s="527"/>
      <c r="L16" s="421"/>
      <c r="N16" s="426"/>
      <c r="O16" s="426"/>
    </row>
    <row r="17" spans="1:1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32" t="s">
        <v>154</v>
      </c>
      <c r="B18" s="1433"/>
      <c r="C18" s="1434"/>
      <c r="D18" s="663" t="s">
        <v>155</v>
      </c>
      <c r="E18" s="624">
        <v>12</v>
      </c>
      <c r="F18" s="624">
        <v>14</v>
      </c>
      <c r="G18" s="621">
        <f>F18*10</f>
        <v>140</v>
      </c>
      <c r="H18" s="600">
        <f>G18</f>
        <v>140</v>
      </c>
      <c r="I18" s="614">
        <v>65</v>
      </c>
      <c r="J18" s="693">
        <f>H18/DAY(B2)</f>
        <v>140</v>
      </c>
      <c r="K18" s="527"/>
      <c r="L18" s="421"/>
      <c r="N18" s="426"/>
      <c r="O18" s="426"/>
    </row>
    <row r="19" spans="1:15" ht="27.75">
      <c r="A19" s="1432" t="s">
        <v>71</v>
      </c>
      <c r="B19" s="1433"/>
      <c r="C19" s="1434"/>
      <c r="D19" s="663" t="s">
        <v>155</v>
      </c>
      <c r="E19" s="624">
        <v>128195</v>
      </c>
      <c r="F19" s="624">
        <v>128250</v>
      </c>
      <c r="G19" s="613">
        <f t="shared" ref="G19" si="2">F19-E19</f>
        <v>55</v>
      </c>
      <c r="H19" s="600">
        <f t="shared" ref="H19" si="3">G19</f>
        <v>55</v>
      </c>
      <c r="I19" s="629"/>
      <c r="J19" s="693">
        <f>H19/DAY(B2)</f>
        <v>55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195</v>
      </c>
      <c r="H20" s="600">
        <f>G20</f>
        <v>195</v>
      </c>
      <c r="I20" s="632">
        <f>I18-J20</f>
        <v>-130</v>
      </c>
      <c r="J20" s="693">
        <f>H20/DAY(B2)</f>
        <v>195</v>
      </c>
      <c r="K20" s="527"/>
      <c r="L20" s="421"/>
      <c r="N20" s="426"/>
      <c r="O20" s="426"/>
    </row>
    <row r="21" spans="1:1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17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4">(F22-E22)</f>
        <v>0</v>
      </c>
      <c r="H22" s="600">
        <f>G22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17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 t="shared" ref="H23:H24" si="5">G23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f>SUM(G22:G23)</f>
        <v>0</v>
      </c>
      <c r="H24" s="600">
        <f t="shared" si="5"/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18631</v>
      </c>
      <c r="F27" s="641">
        <v>9.5</v>
      </c>
      <c r="G27" s="642">
        <f>E27*F27</f>
        <v>176994.5</v>
      </c>
      <c r="H27" s="600">
        <f>G27</f>
        <v>176994.5</v>
      </c>
      <c r="I27" s="643"/>
      <c r="J27" s="693">
        <f>H27/DAY(B2)</f>
        <v>176994.5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0">
        <f>G15</f>
        <v>497.53900000010617</v>
      </c>
      <c r="F28" s="641">
        <v>36.5</v>
      </c>
      <c r="G28" s="642">
        <f>E28*F28</f>
        <v>18160.173500003875</v>
      </c>
      <c r="H28" s="600">
        <f>G28</f>
        <v>18160.173500003875</v>
      </c>
      <c r="I28" s="645"/>
      <c r="J28" s="693">
        <f>H28/DAY(B2)</f>
        <v>18160.173500003875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0">
        <f>G24</f>
        <v>0</v>
      </c>
      <c r="F29" s="641">
        <v>69</v>
      </c>
      <c r="G29" s="642">
        <f>E29*F29</f>
        <v>0</v>
      </c>
      <c r="H29" s="600">
        <f>G29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0">
        <f>G19</f>
        <v>55</v>
      </c>
      <c r="F30" s="641">
        <v>145</v>
      </c>
      <c r="G30" s="642">
        <f>E30*F30</f>
        <v>7975</v>
      </c>
      <c r="H30" s="600">
        <f>G30</f>
        <v>7975</v>
      </c>
      <c r="I30" s="645"/>
      <c r="J30" s="693">
        <f>H30/DAY(B2)</f>
        <v>7975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0">
        <f>G18</f>
        <v>140</v>
      </c>
      <c r="F31" s="641">
        <v>80</v>
      </c>
      <c r="G31" s="642">
        <f>E31*F31</f>
        <v>11200</v>
      </c>
      <c r="H31" s="600">
        <f>G31</f>
        <v>11200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214329.67350000388</v>
      </c>
      <c r="H32" s="600">
        <f t="shared" ref="H32" si="6">G32</f>
        <v>214329.67350000388</v>
      </c>
      <c r="I32" s="649"/>
      <c r="J32" s="693">
        <f>H32/DAY(B2)</f>
        <v>214329.67350000388</v>
      </c>
      <c r="K32" s="417"/>
      <c r="L32" s="547"/>
      <c r="N32" s="556"/>
      <c r="O32" s="426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603343.47</v>
      </c>
      <c r="F35" s="650">
        <v>606077.03</v>
      </c>
      <c r="G35" s="613">
        <f>F35-E35</f>
        <v>2733.5600000000559</v>
      </c>
      <c r="H35" s="600">
        <f>G35</f>
        <v>2733.5600000000559</v>
      </c>
      <c r="I35" s="595"/>
      <c r="J35" s="693">
        <f>H35/DAY(B2)</f>
        <v>2733.5600000000559</v>
      </c>
      <c r="K35" s="527"/>
      <c r="L35" s="421"/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v>211359.95</v>
      </c>
      <c r="F36" s="650">
        <v>211824</v>
      </c>
      <c r="G36" s="613">
        <f t="shared" ref="G36:G46" si="7">F36-E36</f>
        <v>464.04999999998836</v>
      </c>
      <c r="H36" s="600">
        <f t="shared" ref="H36:H47" si="8">G36</f>
        <v>464.04999999998836</v>
      </c>
      <c r="I36" s="595"/>
      <c r="J36" s="693">
        <f>H36/DAY(B2)</f>
        <v>464.04999999998836</v>
      </c>
      <c r="K36" s="527"/>
      <c r="L36" s="421"/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v>399844.19</v>
      </c>
      <c r="F37" s="650">
        <v>401369.35</v>
      </c>
      <c r="G37" s="613">
        <f t="shared" si="7"/>
        <v>1525.1599999999744</v>
      </c>
      <c r="H37" s="600">
        <f t="shared" si="8"/>
        <v>1525.1599999999744</v>
      </c>
      <c r="I37" s="595"/>
      <c r="J37" s="693">
        <f>H37/DAY(B2)</f>
        <v>1525.1599999999744</v>
      </c>
      <c r="K37" s="527"/>
      <c r="L37" s="421"/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</v>
      </c>
      <c r="G38" s="613">
        <f t="shared" si="7"/>
        <v>0</v>
      </c>
      <c r="H38" s="600">
        <f t="shared" si="8"/>
        <v>0</v>
      </c>
      <c r="I38" s="595"/>
      <c r="J38" s="693">
        <f>H38/DAY(B2)</f>
        <v>0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v>872124.71</v>
      </c>
      <c r="F39" s="650">
        <v>876209.99</v>
      </c>
      <c r="G39" s="613">
        <f t="shared" si="7"/>
        <v>4085.2800000000279</v>
      </c>
      <c r="H39" s="600">
        <f t="shared" si="8"/>
        <v>4085.2800000000279</v>
      </c>
      <c r="I39" s="595"/>
      <c r="J39" s="693">
        <f>H39/DAY(B2)</f>
        <v>4085.2800000000279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v>0</v>
      </c>
      <c r="F40" s="650">
        <v>0</v>
      </c>
      <c r="G40" s="613">
        <f t="shared" si="7"/>
        <v>0</v>
      </c>
      <c r="H40" s="600">
        <f t="shared" si="8"/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300127.96999999997</v>
      </c>
      <c r="F41" s="650">
        <v>300127.96999999997</v>
      </c>
      <c r="G41" s="613">
        <f t="shared" si="7"/>
        <v>0</v>
      </c>
      <c r="H41" s="600">
        <f t="shared" si="8"/>
        <v>0</v>
      </c>
      <c r="I41" s="595"/>
      <c r="J41" s="693">
        <f>H41/DAY(B2)</f>
        <v>0</v>
      </c>
      <c r="K41" s="527"/>
      <c r="L41" s="421"/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v>396197.47</v>
      </c>
      <c r="F42" s="650">
        <v>396197.47</v>
      </c>
      <c r="G42" s="613">
        <f t="shared" si="7"/>
        <v>0</v>
      </c>
      <c r="H42" s="600">
        <f t="shared" si="8"/>
        <v>0</v>
      </c>
      <c r="I42" s="595"/>
      <c r="J42" s="693">
        <f>H42/DAY(B2)</f>
        <v>0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v>558324.06999999995</v>
      </c>
      <c r="F43" s="650">
        <v>560725.31000000006</v>
      </c>
      <c r="G43" s="613">
        <f t="shared" si="7"/>
        <v>2401.2400000001071</v>
      </c>
      <c r="H43" s="600">
        <f t="shared" si="8"/>
        <v>2401.2400000001071</v>
      </c>
      <c r="I43" s="595"/>
      <c r="J43" s="693">
        <f>H43/DAY(B2)</f>
        <v>2401.2400000001071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7"/>
        <v>0</v>
      </c>
      <c r="H44" s="600">
        <f t="shared" si="8"/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v>614.48</v>
      </c>
      <c r="F45" s="650">
        <v>614.48</v>
      </c>
      <c r="G45" s="613">
        <f t="shared" si="7"/>
        <v>0</v>
      </c>
      <c r="H45" s="600">
        <f t="shared" si="8"/>
        <v>0</v>
      </c>
      <c r="I45" s="595"/>
      <c r="J45" s="693">
        <f>H45/DAY(B2)</f>
        <v>0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v>187.49</v>
      </c>
      <c r="F46" s="650">
        <v>187.49</v>
      </c>
      <c r="G46" s="613">
        <f t="shared" si="7"/>
        <v>0</v>
      </c>
      <c r="H46" s="600">
        <f t="shared" si="8"/>
        <v>0</v>
      </c>
      <c r="I46" s="595"/>
      <c r="J46" s="693">
        <f>H46/DAY(B2)</f>
        <v>0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11209.290000000154</v>
      </c>
      <c r="H47" s="600">
        <f t="shared" si="8"/>
        <v>11209.290000000154</v>
      </c>
      <c r="I47" s="595"/>
      <c r="J47" s="693">
        <f>H47/DAY(B2)</f>
        <v>11209.290000000154</v>
      </c>
      <c r="K47" s="527"/>
      <c r="L47" s="421"/>
      <c r="N47" s="426"/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v>11728.838</v>
      </c>
      <c r="F49" s="650">
        <v>11728.838</v>
      </c>
      <c r="G49" s="613">
        <f t="shared" ref="G49:G58" si="9">F49-E49</f>
        <v>0</v>
      </c>
      <c r="H49" s="600">
        <f>G49</f>
        <v>0</v>
      </c>
      <c r="I49" s="595"/>
      <c r="J49" s="693">
        <f>H49/DAY(B2)</f>
        <v>0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v>263806.57</v>
      </c>
      <c r="F50" s="650">
        <v>264693.75</v>
      </c>
      <c r="G50" s="613">
        <f t="shared" si="9"/>
        <v>887.17999999999302</v>
      </c>
      <c r="H50" s="600">
        <f t="shared" ref="H50:H60" si="10">G50</f>
        <v>887.17999999999302</v>
      </c>
      <c r="I50" s="595"/>
      <c r="J50" s="693">
        <f>H50/DAY(B2)</f>
        <v>887.17999999999302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v>0</v>
      </c>
      <c r="F51" s="650">
        <v>0</v>
      </c>
      <c r="G51" s="613">
        <f t="shared" si="9"/>
        <v>0</v>
      </c>
      <c r="H51" s="600">
        <f t="shared" si="10"/>
        <v>0</v>
      </c>
      <c r="I51" s="595"/>
      <c r="J51" s="693">
        <f>H51/DAY(B2)</f>
        <v>0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v>318664.69</v>
      </c>
      <c r="F52" s="650">
        <v>320585.09000000003</v>
      </c>
      <c r="G52" s="613">
        <f t="shared" si="9"/>
        <v>1920.4000000000233</v>
      </c>
      <c r="H52" s="600">
        <f t="shared" si="10"/>
        <v>1920.4000000000233</v>
      </c>
      <c r="I52" s="595"/>
      <c r="J52" s="693">
        <f>H52/DAY(B2)</f>
        <v>1920.4000000000233</v>
      </c>
      <c r="K52" s="527"/>
      <c r="L52" s="421"/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v>16071</v>
      </c>
      <c r="F53" s="650">
        <v>16071</v>
      </c>
      <c r="G53" s="613">
        <f t="shared" si="9"/>
        <v>0</v>
      </c>
      <c r="H53" s="600">
        <f t="shared" si="10"/>
        <v>0</v>
      </c>
      <c r="I53" s="595"/>
      <c r="J53" s="693">
        <f>H53/DAY(B2)</f>
        <v>0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v>1403.665</v>
      </c>
      <c r="F54" s="650">
        <v>1478.9247</v>
      </c>
      <c r="G54" s="613">
        <f t="shared" si="9"/>
        <v>75.259700000000066</v>
      </c>
      <c r="H54" s="600">
        <f t="shared" si="10"/>
        <v>75.259700000000066</v>
      </c>
      <c r="I54" s="595"/>
      <c r="J54" s="693">
        <f>H54/DAY(B2)</f>
        <v>75.259700000000066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v>158493</v>
      </c>
      <c r="F55" s="650">
        <v>158492.63</v>
      </c>
      <c r="G55" s="613">
        <f t="shared" si="9"/>
        <v>-0.36999999999534339</v>
      </c>
      <c r="H55" s="600">
        <f t="shared" si="10"/>
        <v>-0.36999999999534339</v>
      </c>
      <c r="I55" s="595"/>
      <c r="J55" s="693">
        <f>H55/DAY(B2)</f>
        <v>-0.36999999999534339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v>303989.78999999998</v>
      </c>
      <c r="F56" s="650">
        <v>307997.67</v>
      </c>
      <c r="G56" s="613">
        <f t="shared" si="9"/>
        <v>4007.8800000000047</v>
      </c>
      <c r="H56" s="600">
        <f t="shared" si="10"/>
        <v>4007.8800000000047</v>
      </c>
      <c r="I56" s="595"/>
      <c r="J56" s="693">
        <f>H56/DAY(B2)</f>
        <v>4007.8800000000047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v>0</v>
      </c>
      <c r="F57" s="650">
        <v>0</v>
      </c>
      <c r="G57" s="613">
        <f t="shared" si="9"/>
        <v>0</v>
      </c>
      <c r="H57" s="600">
        <f t="shared" si="10"/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v>17464.271000000001</v>
      </c>
      <c r="F58" s="650">
        <v>17514.005000000001</v>
      </c>
      <c r="G58" s="613">
        <f t="shared" si="9"/>
        <v>49.734000000000378</v>
      </c>
      <c r="H58" s="600">
        <f t="shared" si="10"/>
        <v>49.734000000000378</v>
      </c>
      <c r="I58" s="595"/>
      <c r="J58" s="693">
        <f>H58/DAY(B2)</f>
        <v>49.734000000000378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6940.0837000000265</v>
      </c>
      <c r="H59" s="600">
        <f t="shared" si="10"/>
        <v>6940.0837000000265</v>
      </c>
      <c r="I59" s="595">
        <f>G7-G60</f>
        <v>424.62629999982164</v>
      </c>
      <c r="J59" s="693">
        <f>H59/DAY(B2)</f>
        <v>6940.0837000000265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18149.373700000178</v>
      </c>
      <c r="H60" s="600">
        <f t="shared" si="10"/>
        <v>18149.373700000178</v>
      </c>
      <c r="I60" s="595">
        <f>G13-G60</f>
        <v>-211.17370000022493</v>
      </c>
      <c r="J60" s="693">
        <f>H60/DAY(B2)</f>
        <v>18149.373700000178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v>20419.188999999998</v>
      </c>
      <c r="F62" s="654">
        <v>20419.188999999998</v>
      </c>
      <c r="G62" s="613">
        <f t="shared" ref="G62:G69" si="11">F62-E62</f>
        <v>0</v>
      </c>
      <c r="H62" s="600">
        <f>G62</f>
        <v>0</v>
      </c>
      <c r="I62" s="655"/>
      <c r="J62" s="693">
        <f>H62/DAY(B2)</f>
        <v>0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v>298.45999999999998</v>
      </c>
      <c r="F63" s="654">
        <v>318.15600000000001</v>
      </c>
      <c r="G63" s="613">
        <f t="shared" si="11"/>
        <v>19.696000000000026</v>
      </c>
      <c r="H63" s="600">
        <f t="shared" ref="H63:H70" si="12">G63</f>
        <v>19.696000000000026</v>
      </c>
      <c r="I63" s="655"/>
      <c r="J63" s="693">
        <f>H63/DAY(B2)</f>
        <v>19.696000000000026</v>
      </c>
      <c r="K63" s="527"/>
      <c r="L63" s="421"/>
      <c r="N63" s="426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24">
        <v>76063.087</v>
      </c>
      <c r="F64" s="624">
        <v>76427.986999999994</v>
      </c>
      <c r="G64" s="613">
        <f t="shared" si="11"/>
        <v>364.89999999999418</v>
      </c>
      <c r="H64" s="600">
        <f t="shared" si="12"/>
        <v>364.89999999999418</v>
      </c>
      <c r="I64" s="620"/>
      <c r="J64" s="693">
        <f>H64/DAY(B2)</f>
        <v>364.89999999999418</v>
      </c>
      <c r="K64" s="527"/>
      <c r="L64" s="421"/>
      <c r="N64" s="426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624">
        <v>85159.263000000006</v>
      </c>
      <c r="F65" s="624">
        <v>85549.422999999995</v>
      </c>
      <c r="G65" s="613">
        <f t="shared" si="11"/>
        <v>390.15999999998894</v>
      </c>
      <c r="H65" s="600">
        <f t="shared" si="12"/>
        <v>390.15999999998894</v>
      </c>
      <c r="I65" s="629"/>
      <c r="J65" s="693">
        <f>H65/DAY(B2)</f>
        <v>390.15999999998894</v>
      </c>
      <c r="K65" s="527"/>
      <c r="L65" s="421"/>
      <c r="N65" s="426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24">
        <v>78187.957999999999</v>
      </c>
      <c r="F66" s="624">
        <v>78580.457999999999</v>
      </c>
      <c r="G66" s="613">
        <f t="shared" si="11"/>
        <v>392.5</v>
      </c>
      <c r="H66" s="600">
        <f t="shared" si="12"/>
        <v>392.5</v>
      </c>
      <c r="I66" s="620"/>
      <c r="J66" s="693">
        <f>H66/DAY(B2)</f>
        <v>392.5</v>
      </c>
      <c r="K66" s="527"/>
      <c r="L66" s="421"/>
      <c r="N66" s="426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24">
        <v>126056.5</v>
      </c>
      <c r="F67" s="624">
        <v>126734.88</v>
      </c>
      <c r="G67" s="613">
        <f t="shared" si="11"/>
        <v>678.38000000000466</v>
      </c>
      <c r="H67" s="600">
        <f t="shared" si="12"/>
        <v>678.38000000000466</v>
      </c>
      <c r="I67" s="629"/>
      <c r="J67" s="693">
        <f>H67/DAY(B2)</f>
        <v>678.38000000000466</v>
      </c>
      <c r="K67" s="528"/>
      <c r="L67" s="421"/>
      <c r="N67" s="426"/>
      <c r="O67" s="426"/>
    </row>
    <row r="68" spans="1:15" ht="27.75">
      <c r="A68" s="1411" t="s">
        <v>111</v>
      </c>
      <c r="B68" s="1412"/>
      <c r="C68" s="1413"/>
      <c r="D68" s="768" t="s">
        <v>198</v>
      </c>
      <c r="E68" s="682">
        <v>33399.868999999999</v>
      </c>
      <c r="F68" s="682">
        <v>33731.614999999998</v>
      </c>
      <c r="G68" s="789">
        <f t="shared" si="11"/>
        <v>331.74599999999919</v>
      </c>
      <c r="H68" s="861">
        <f t="shared" si="12"/>
        <v>331.74599999999919</v>
      </c>
      <c r="I68" s="1382"/>
      <c r="J68" s="863">
        <f>H68/DAY(B2)</f>
        <v>331.74599999999919</v>
      </c>
      <c r="K68" s="529"/>
      <c r="L68" s="421"/>
      <c r="N68" s="426"/>
      <c r="O68" s="426"/>
    </row>
    <row r="69" spans="1:15" ht="27.75">
      <c r="A69" s="1411" t="s">
        <v>112</v>
      </c>
      <c r="B69" s="1412"/>
      <c r="C69" s="1413"/>
      <c r="D69" s="768" t="s">
        <v>198</v>
      </c>
      <c r="E69" s="682">
        <v>29252.365000000002</v>
      </c>
      <c r="F69" s="682">
        <v>29531.217000000001</v>
      </c>
      <c r="G69" s="789">
        <f t="shared" si="11"/>
        <v>278.85199999999895</v>
      </c>
      <c r="H69" s="861">
        <f t="shared" si="12"/>
        <v>278.85199999999895</v>
      </c>
      <c r="I69" s="1382"/>
      <c r="J69" s="863">
        <f>H69/DAY(B2)</f>
        <v>278.85199999999895</v>
      </c>
      <c r="K69" s="530"/>
      <c r="L69" s="421"/>
      <c r="N69" s="426"/>
      <c r="O69" s="426"/>
    </row>
    <row r="70" spans="1:15" ht="27.75">
      <c r="A70" s="1411" t="s">
        <v>200</v>
      </c>
      <c r="B70" s="1412"/>
      <c r="C70" s="1413"/>
      <c r="D70" s="768" t="s">
        <v>198</v>
      </c>
      <c r="E70" s="1383"/>
      <c r="F70" s="1383"/>
      <c r="G70" s="1383"/>
      <c r="H70" s="861">
        <f t="shared" si="12"/>
        <v>0</v>
      </c>
      <c r="I70" s="1383"/>
      <c r="J70" s="1384">
        <f>H70/DAY(B2)</f>
        <v>0</v>
      </c>
      <c r="K70" s="530"/>
      <c r="L70" s="421"/>
      <c r="N70" s="426"/>
      <c r="O70" s="426"/>
    </row>
    <row r="71" spans="1:15" ht="31.5">
      <c r="A71" s="1414" t="s">
        <v>201</v>
      </c>
      <c r="B71" s="1415"/>
      <c r="C71" s="1415"/>
      <c r="D71" s="1415"/>
      <c r="E71" s="1415"/>
      <c r="F71" s="1415"/>
      <c r="G71" s="1415"/>
      <c r="H71" s="1415"/>
      <c r="I71" s="1415"/>
      <c r="J71" s="1416"/>
      <c r="K71" s="529"/>
      <c r="L71" s="421"/>
      <c r="N71" s="426"/>
      <c r="O71" s="426"/>
    </row>
    <row r="72" spans="1:15" ht="27.75">
      <c r="A72" s="1411" t="s">
        <v>202</v>
      </c>
      <c r="B72" s="1412"/>
      <c r="C72" s="1413"/>
      <c r="D72" s="768" t="s">
        <v>198</v>
      </c>
      <c r="E72" s="660">
        <v>843933</v>
      </c>
      <c r="F72" s="660">
        <v>843945</v>
      </c>
      <c r="G72" s="789">
        <f t="shared" ref="G72:G84" si="13">F72-E72</f>
        <v>12</v>
      </c>
      <c r="H72" s="861">
        <f>G72</f>
        <v>12</v>
      </c>
      <c r="I72" s="1237"/>
      <c r="J72" s="863">
        <f>H72/DAY(B2)</f>
        <v>12</v>
      </c>
      <c r="K72" s="530"/>
      <c r="L72" s="421"/>
      <c r="N72" s="426"/>
      <c r="O72" s="426"/>
    </row>
    <row r="73" spans="1:15" ht="27.75">
      <c r="A73" s="1411" t="s">
        <v>203</v>
      </c>
      <c r="B73" s="1412"/>
      <c r="C73" s="1413"/>
      <c r="D73" s="768" t="s">
        <v>198</v>
      </c>
      <c r="E73" s="660">
        <v>885215</v>
      </c>
      <c r="F73" s="660">
        <v>885215</v>
      </c>
      <c r="G73" s="789">
        <f t="shared" si="13"/>
        <v>0</v>
      </c>
      <c r="H73" s="861">
        <f t="shared" ref="H73:H88" si="14">G73</f>
        <v>0</v>
      </c>
      <c r="I73" s="1237"/>
      <c r="J73" s="863">
        <f>H73/DAY(B2)</f>
        <v>0</v>
      </c>
      <c r="K73" s="529"/>
      <c r="L73" s="421"/>
      <c r="N73" s="426"/>
      <c r="O73" s="426"/>
    </row>
    <row r="74" spans="1:15" ht="27.75">
      <c r="A74" s="1411" t="s">
        <v>204</v>
      </c>
      <c r="B74" s="1412"/>
      <c r="C74" s="1413"/>
      <c r="D74" s="768" t="s">
        <v>198</v>
      </c>
      <c r="E74" s="660">
        <v>879636</v>
      </c>
      <c r="F74" s="660">
        <v>879652</v>
      </c>
      <c r="G74" s="789">
        <f t="shared" si="13"/>
        <v>16</v>
      </c>
      <c r="H74" s="861">
        <f t="shared" si="14"/>
        <v>16</v>
      </c>
      <c r="I74" s="1237"/>
      <c r="J74" s="863">
        <f>H74/DAY(B2)</f>
        <v>16</v>
      </c>
      <c r="K74" s="530"/>
      <c r="L74" s="421"/>
      <c r="N74" s="426"/>
      <c r="O74" s="426"/>
    </row>
    <row r="75" spans="1:15" ht="27.75">
      <c r="A75" s="1405" t="s">
        <v>205</v>
      </c>
      <c r="B75" s="1406"/>
      <c r="C75" s="1407"/>
      <c r="D75" s="768" t="s">
        <v>198</v>
      </c>
      <c r="E75" s="660">
        <v>721366</v>
      </c>
      <c r="F75" s="660">
        <v>721527</v>
      </c>
      <c r="G75" s="789">
        <f t="shared" si="13"/>
        <v>161</v>
      </c>
      <c r="H75" s="861">
        <f t="shared" si="14"/>
        <v>161</v>
      </c>
      <c r="I75" s="1237"/>
      <c r="J75" s="863">
        <f>H75/DAY(B2)</f>
        <v>161</v>
      </c>
      <c r="K75" s="529"/>
      <c r="L75" s="421"/>
      <c r="N75" s="426"/>
      <c r="O75" s="426"/>
    </row>
    <row r="76" spans="1:15" ht="27.75">
      <c r="A76" s="1405" t="s">
        <v>206</v>
      </c>
      <c r="B76" s="1406"/>
      <c r="C76" s="1407"/>
      <c r="D76" s="768" t="s">
        <v>198</v>
      </c>
      <c r="E76" s="660">
        <v>679652</v>
      </c>
      <c r="F76" s="660">
        <v>679712</v>
      </c>
      <c r="G76" s="789">
        <f t="shared" si="13"/>
        <v>60</v>
      </c>
      <c r="H76" s="861">
        <f t="shared" si="14"/>
        <v>60</v>
      </c>
      <c r="I76" s="1385"/>
      <c r="J76" s="863">
        <f>H76/DAY(B2)</f>
        <v>60</v>
      </c>
      <c r="K76" s="529"/>
      <c r="L76" s="421"/>
      <c r="N76" s="426"/>
      <c r="O76" s="426"/>
    </row>
    <row r="77" spans="1:15" ht="27.75">
      <c r="A77" s="1411" t="s">
        <v>207</v>
      </c>
      <c r="B77" s="1412"/>
      <c r="C77" s="1413"/>
      <c r="D77" s="768" t="s">
        <v>198</v>
      </c>
      <c r="E77" s="660">
        <v>692307</v>
      </c>
      <c r="F77" s="660">
        <v>692377</v>
      </c>
      <c r="G77" s="789">
        <f t="shared" si="13"/>
        <v>70</v>
      </c>
      <c r="H77" s="861">
        <f t="shared" si="14"/>
        <v>70</v>
      </c>
      <c r="I77" s="1385"/>
      <c r="J77" s="863">
        <f>H77/DAY(B2)</f>
        <v>70</v>
      </c>
      <c r="K77" s="529"/>
      <c r="L77" s="421"/>
      <c r="N77" s="426"/>
      <c r="O77" s="426"/>
    </row>
    <row r="78" spans="1:15" ht="27.75">
      <c r="A78" s="1386" t="s">
        <v>208</v>
      </c>
      <c r="B78" s="1387"/>
      <c r="C78" s="1387"/>
      <c r="D78" s="768" t="s">
        <v>198</v>
      </c>
      <c r="E78" s="660">
        <v>608014</v>
      </c>
      <c r="F78" s="660">
        <v>608343</v>
      </c>
      <c r="G78" s="789">
        <f t="shared" si="13"/>
        <v>329</v>
      </c>
      <c r="H78" s="861">
        <f t="shared" si="14"/>
        <v>329</v>
      </c>
      <c r="I78" s="1385"/>
      <c r="J78" s="863">
        <f>H78/DAY(B2)</f>
        <v>329</v>
      </c>
      <c r="K78" s="529"/>
      <c r="L78" s="421"/>
      <c r="N78" s="426"/>
      <c r="O78" s="426"/>
    </row>
    <row r="79" spans="1:15" ht="27.75">
      <c r="A79" s="1405" t="s">
        <v>97</v>
      </c>
      <c r="B79" s="1406"/>
      <c r="C79" s="1407"/>
      <c r="D79" s="768" t="s">
        <v>198</v>
      </c>
      <c r="E79" s="660">
        <v>792788</v>
      </c>
      <c r="F79" s="660">
        <v>792948</v>
      </c>
      <c r="G79" s="789">
        <f t="shared" si="13"/>
        <v>160</v>
      </c>
      <c r="H79" s="861">
        <f t="shared" si="14"/>
        <v>160</v>
      </c>
      <c r="I79" s="1385"/>
      <c r="J79" s="863">
        <f>H79/DAY(B2)</f>
        <v>160</v>
      </c>
      <c r="K79" s="529"/>
      <c r="L79" s="421"/>
      <c r="N79" s="426"/>
      <c r="O79" s="426"/>
    </row>
    <row r="80" spans="1:15" ht="27.75">
      <c r="A80" s="1405" t="s">
        <v>209</v>
      </c>
      <c r="B80" s="1406"/>
      <c r="C80" s="1407"/>
      <c r="D80" s="768" t="s">
        <v>198</v>
      </c>
      <c r="E80" s="660">
        <v>456865.04</v>
      </c>
      <c r="F80" s="660">
        <v>457168.04</v>
      </c>
      <c r="G80" s="789">
        <f t="shared" si="13"/>
        <v>303</v>
      </c>
      <c r="H80" s="861">
        <f t="shared" si="14"/>
        <v>303</v>
      </c>
      <c r="I80" s="1385"/>
      <c r="J80" s="863">
        <f>H80/DAY(B2)</f>
        <v>303</v>
      </c>
      <c r="K80" s="529"/>
      <c r="L80" s="421"/>
      <c r="N80" s="426"/>
      <c r="O80" s="426"/>
    </row>
    <row r="81" spans="1:15" ht="27.75">
      <c r="A81" s="1405" t="s">
        <v>210</v>
      </c>
      <c r="B81" s="1406"/>
      <c r="C81" s="1407"/>
      <c r="D81" s="768" t="s">
        <v>198</v>
      </c>
      <c r="E81" s="660">
        <v>611122.28</v>
      </c>
      <c r="F81" s="660">
        <v>611204.28</v>
      </c>
      <c r="G81" s="789">
        <f t="shared" si="13"/>
        <v>82</v>
      </c>
      <c r="H81" s="861">
        <f t="shared" si="14"/>
        <v>82</v>
      </c>
      <c r="I81" s="1385"/>
      <c r="J81" s="863">
        <f>H81/DAY(B2)</f>
        <v>82</v>
      </c>
      <c r="K81" s="529"/>
      <c r="L81" s="421"/>
      <c r="N81" s="426"/>
      <c r="O81" s="426"/>
    </row>
    <row r="82" spans="1:15" ht="27.75">
      <c r="A82" s="1405" t="s">
        <v>100</v>
      </c>
      <c r="B82" s="1406"/>
      <c r="C82" s="1407"/>
      <c r="D82" s="788" t="s">
        <v>143</v>
      </c>
      <c r="E82" s="682">
        <v>103029.95</v>
      </c>
      <c r="F82" s="682">
        <v>103055.69</v>
      </c>
      <c r="G82" s="789">
        <f t="shared" si="13"/>
        <v>25.740000000005239</v>
      </c>
      <c r="H82" s="861">
        <f t="shared" si="14"/>
        <v>25.740000000005239</v>
      </c>
      <c r="I82" s="861"/>
      <c r="J82" s="863">
        <f>H82/DAY(B2)</f>
        <v>25.740000000005239</v>
      </c>
      <c r="K82" s="529"/>
      <c r="L82" s="421"/>
      <c r="N82" s="426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v>952243</v>
      </c>
      <c r="F83" s="651">
        <v>952689</v>
      </c>
      <c r="G83" s="613">
        <f t="shared" si="13"/>
        <v>446</v>
      </c>
      <c r="H83" s="600">
        <f t="shared" si="14"/>
        <v>446</v>
      </c>
      <c r="I83" s="621"/>
      <c r="J83" s="693">
        <f>H83/DAY(B2)</f>
        <v>446</v>
      </c>
      <c r="K83" s="528"/>
      <c r="L83" s="421"/>
      <c r="N83" s="426"/>
      <c r="O83" s="877"/>
    </row>
    <row r="84" spans="1:15">
      <c r="A84" s="1321" t="s">
        <v>212</v>
      </c>
      <c r="B84" s="712"/>
      <c r="C84" s="712"/>
      <c r="D84" s="618" t="s">
        <v>143</v>
      </c>
      <c r="E84" s="768">
        <v>366433</v>
      </c>
      <c r="F84" s="768">
        <v>367029</v>
      </c>
      <c r="G84" s="613">
        <f t="shared" si="13"/>
        <v>596</v>
      </c>
      <c r="H84" s="600">
        <f t="shared" si="14"/>
        <v>596</v>
      </c>
      <c r="I84" s="621"/>
      <c r="J84" s="693">
        <f>H84/DAY(B2)</f>
        <v>596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2260.7400000000052</v>
      </c>
      <c r="H85" s="600">
        <f t="shared" si="14"/>
        <v>2260.7400000000052</v>
      </c>
      <c r="I85" s="621"/>
      <c r="J85" s="693">
        <f>H85/DAY(B2)</f>
        <v>2260.7400000000052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v>437026.5</v>
      </c>
      <c r="F86" s="784">
        <v>437049.04</v>
      </c>
      <c r="G86" s="861">
        <f t="shared" ref="G86:G90" si="15">F86-E86</f>
        <v>22.539999999979045</v>
      </c>
      <c r="H86" s="861">
        <f t="shared" si="14"/>
        <v>22.539999999979045</v>
      </c>
      <c r="I86" s="789"/>
      <c r="J86" s="863">
        <f>H86/DAY(B2)</f>
        <v>22.539999999979045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v>76100</v>
      </c>
      <c r="F87" s="784">
        <v>76138</v>
      </c>
      <c r="G87" s="861">
        <f t="shared" si="15"/>
        <v>38</v>
      </c>
      <c r="H87" s="861">
        <f t="shared" si="14"/>
        <v>38</v>
      </c>
      <c r="I87" s="789"/>
      <c r="J87" s="863">
        <f>H87/DAY(B2)</f>
        <v>38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v>140128.46</v>
      </c>
      <c r="F88" s="784">
        <v>140183.75</v>
      </c>
      <c r="G88" s="861">
        <f t="shared" si="15"/>
        <v>55.290000000008149</v>
      </c>
      <c r="H88" s="861">
        <f t="shared" si="14"/>
        <v>55.290000000008149</v>
      </c>
      <c r="I88" s="789"/>
      <c r="J88" s="863">
        <f>H88/DAY(B2)</f>
        <v>55.290000000008149</v>
      </c>
      <c r="K88" s="889"/>
      <c r="L88" s="890"/>
      <c r="N88" s="939"/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784">
        <v>54095.8</v>
      </c>
      <c r="F89" s="784">
        <v>54128</v>
      </c>
      <c r="G89" s="861">
        <f t="shared" si="15"/>
        <v>32.19999999999709</v>
      </c>
      <c r="H89" s="861">
        <f>G89</f>
        <v>32.19999999999709</v>
      </c>
      <c r="I89" s="789"/>
      <c r="J89" s="863">
        <f>H89/DAY(B2)</f>
        <v>32.19999999999709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v>2785.7</v>
      </c>
      <c r="F90" s="784">
        <v>2789</v>
      </c>
      <c r="G90" s="861">
        <f t="shared" si="15"/>
        <v>3.3000000000001819</v>
      </c>
      <c r="H90" s="861">
        <f>G90</f>
        <v>3.3000000000001819</v>
      </c>
      <c r="I90" s="789"/>
      <c r="J90" s="863">
        <f>H90/DAY(B2)</f>
        <v>3.3000000000001819</v>
      </c>
      <c r="K90" s="889"/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v>228650</v>
      </c>
      <c r="F92" s="624">
        <v>228755</v>
      </c>
      <c r="G92" s="613">
        <f t="shared" ref="G92:G93" si="16">F92-E92</f>
        <v>105</v>
      </c>
      <c r="H92" s="600">
        <f t="shared" ref="H92" si="17">G92</f>
        <v>105</v>
      </c>
      <c r="I92" s="620"/>
      <c r="J92" s="693">
        <f>H92/DAY(B2)</f>
        <v>105</v>
      </c>
      <c r="K92" s="528"/>
      <c r="L92" s="421"/>
      <c r="N92" s="426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v>158707</v>
      </c>
      <c r="F93" s="624">
        <v>158892</v>
      </c>
      <c r="G93" s="613">
        <f t="shared" si="16"/>
        <v>185</v>
      </c>
      <c r="H93" s="600">
        <f>G93</f>
        <v>185</v>
      </c>
      <c r="I93" s="620"/>
      <c r="J93" s="693">
        <f>H93/DAY(B2)</f>
        <v>185</v>
      </c>
      <c r="K93" s="424"/>
      <c r="L93" s="421"/>
      <c r="N93" s="426"/>
      <c r="O93" s="426"/>
    </row>
    <row r="94" spans="1:15">
      <c r="A94" s="1460" t="s">
        <v>219</v>
      </c>
      <c r="B94" s="1461"/>
      <c r="C94" s="1462"/>
      <c r="D94" s="663"/>
      <c r="E94" s="624"/>
      <c r="F94" s="624"/>
      <c r="G94" s="613">
        <f>G92+G93</f>
        <v>290</v>
      </c>
      <c r="H94" s="600"/>
      <c r="I94" s="620"/>
      <c r="J94" s="693"/>
      <c r="K94" s="424"/>
      <c r="L94" s="421"/>
      <c r="N94" s="426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v>399886</v>
      </c>
      <c r="F95" s="624">
        <v>399934</v>
      </c>
      <c r="G95" s="613">
        <f t="shared" ref="G95:G100" si="18">F95-E95</f>
        <v>48</v>
      </c>
      <c r="H95" s="600">
        <f t="shared" ref="H95:H101" si="19">G95</f>
        <v>48</v>
      </c>
      <c r="I95" s="620"/>
      <c r="J95" s="693">
        <f>H95/DAY(B2)</f>
        <v>48</v>
      </c>
      <c r="K95" s="424"/>
      <c r="L95" s="421"/>
      <c r="N95" s="426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v>98051</v>
      </c>
      <c r="F96" s="624">
        <v>98100</v>
      </c>
      <c r="G96" s="613">
        <f t="shared" si="18"/>
        <v>49</v>
      </c>
      <c r="H96" s="600">
        <f t="shared" si="19"/>
        <v>49</v>
      </c>
      <c r="I96" s="620"/>
      <c r="J96" s="693">
        <f>H96/DAY(B2)</f>
        <v>49</v>
      </c>
      <c r="K96" s="526"/>
      <c r="L96" s="421"/>
      <c r="N96" s="426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v>93565</v>
      </c>
      <c r="F97" s="624">
        <v>93579</v>
      </c>
      <c r="G97" s="613">
        <f t="shared" si="18"/>
        <v>14</v>
      </c>
      <c r="H97" s="600">
        <f t="shared" si="19"/>
        <v>14</v>
      </c>
      <c r="I97" s="620"/>
      <c r="J97" s="693">
        <f>H97/DAY(B2)</f>
        <v>14</v>
      </c>
      <c r="K97" s="531"/>
      <c r="L97" s="421"/>
      <c r="N97" s="426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v>140928</v>
      </c>
      <c r="F98" s="624">
        <v>140960</v>
      </c>
      <c r="G98" s="613">
        <f t="shared" si="18"/>
        <v>32</v>
      </c>
      <c r="H98" s="600">
        <f t="shared" si="19"/>
        <v>32</v>
      </c>
      <c r="I98" s="620"/>
      <c r="J98" s="693">
        <f>H98/DAY(B2)</f>
        <v>32</v>
      </c>
      <c r="K98" s="424"/>
      <c r="L98" s="421"/>
      <c r="N98" s="426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v>4716</v>
      </c>
      <c r="F99" s="624">
        <v>4733</v>
      </c>
      <c r="G99" s="613">
        <f t="shared" si="18"/>
        <v>17</v>
      </c>
      <c r="H99" s="600">
        <f t="shared" si="19"/>
        <v>17</v>
      </c>
      <c r="I99" s="620"/>
      <c r="J99" s="693">
        <f>H99/DAY(B2)</f>
        <v>17</v>
      </c>
      <c r="K99" s="424"/>
      <c r="L99" s="421"/>
      <c r="N99" s="426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v>3674</v>
      </c>
      <c r="F100" s="624">
        <v>3674</v>
      </c>
      <c r="G100" s="613">
        <f t="shared" si="18"/>
        <v>0</v>
      </c>
      <c r="H100" s="600">
        <f t="shared" si="19"/>
        <v>0</v>
      </c>
      <c r="I100" s="620" t="s">
        <v>226</v>
      </c>
      <c r="J100" s="693">
        <f>H100/DAY(B2)</f>
        <v>0</v>
      </c>
      <c r="K100" s="424"/>
      <c r="L100" s="421"/>
      <c r="N100" s="426"/>
      <c r="O100" s="426"/>
    </row>
    <row r="101" spans="1:15">
      <c r="A101" s="1460" t="s">
        <v>227</v>
      </c>
      <c r="B101" s="1461"/>
      <c r="C101" s="1462"/>
      <c r="D101" s="664"/>
      <c r="E101" s="664"/>
      <c r="F101" s="664"/>
      <c r="G101" s="665">
        <f>SUM(G95:G100)</f>
        <v>160</v>
      </c>
      <c r="H101" s="600">
        <f t="shared" si="19"/>
        <v>160</v>
      </c>
      <c r="I101" s="666"/>
      <c r="J101" s="693">
        <f>H101/DAY(B2)</f>
        <v>160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21" t="s">
        <v>230</v>
      </c>
      <c r="B104" s="1422"/>
      <c r="C104" s="1316"/>
      <c r="D104" s="763" t="s">
        <v>155</v>
      </c>
      <c r="E104" s="672"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60</v>
      </c>
      <c r="N104" s="556"/>
      <c r="O104" s="426"/>
    </row>
    <row r="105" spans="1:15" s="544" customFormat="1" ht="27.75">
      <c r="A105" s="1421" t="s">
        <v>77</v>
      </c>
      <c r="B105" s="1422"/>
      <c r="C105" s="1316"/>
      <c r="D105" s="763" t="s">
        <v>155</v>
      </c>
      <c r="E105" s="674">
        <v>34515</v>
      </c>
      <c r="F105" s="674">
        <v>34515</v>
      </c>
      <c r="G105" s="672">
        <f t="shared" ref="G105:G106" si="20">F105-E105</f>
        <v>0</v>
      </c>
      <c r="H105" s="673">
        <f>SUM(G105+'[3]1'!G77)</f>
        <v>70</v>
      </c>
      <c r="I105" s="672"/>
      <c r="J105" s="699">
        <f>H105/DAY(B2)</f>
        <v>70</v>
      </c>
      <c r="N105" s="556"/>
      <c r="O105" s="426"/>
    </row>
    <row r="106" spans="1:15" s="544" customFormat="1" ht="27.75">
      <c r="A106" s="1421" t="s">
        <v>78</v>
      </c>
      <c r="B106" s="1465"/>
      <c r="C106" s="1422"/>
      <c r="D106" s="763" t="s">
        <v>155</v>
      </c>
      <c r="E106" s="672">
        <v>18626</v>
      </c>
      <c r="F106" s="672">
        <v>18629</v>
      </c>
      <c r="G106" s="672">
        <f t="shared" si="20"/>
        <v>3</v>
      </c>
      <c r="H106" s="673">
        <f>SUM(G106+'[3]1'!G78)</f>
        <v>332</v>
      </c>
      <c r="I106" s="672"/>
      <c r="J106" s="699">
        <f>H106/DAY(B2)</f>
        <v>332</v>
      </c>
      <c r="N106" s="556"/>
      <c r="O106" s="426"/>
    </row>
    <row r="107" spans="1:15" s="544" customFormat="1" ht="27.75">
      <c r="A107" s="1423" t="s">
        <v>213</v>
      </c>
      <c r="B107" s="1424"/>
      <c r="C107" s="1316"/>
      <c r="D107" s="763"/>
      <c r="E107" s="672"/>
      <c r="F107" s="672"/>
      <c r="G107" s="672">
        <f>SUM(G104:G106)</f>
        <v>3</v>
      </c>
      <c r="H107" s="673">
        <f>SUM(G107+'[3]1'!G79)</f>
        <v>163</v>
      </c>
      <c r="I107" s="672"/>
      <c r="J107" s="699">
        <f>H107/DAY(B2)</f>
        <v>163</v>
      </c>
      <c r="N107" s="556"/>
      <c r="O107" s="426"/>
    </row>
    <row r="108" spans="1:15" s="544" customFormat="1" ht="27.75">
      <c r="A108" s="1427" t="s">
        <v>79</v>
      </c>
      <c r="B108" s="1428"/>
      <c r="C108" s="1316"/>
      <c r="D108" s="763" t="s">
        <v>155</v>
      </c>
      <c r="E108" s="672"/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21" t="s">
        <v>231</v>
      </c>
      <c r="B109" s="1422"/>
      <c r="C109" s="1316"/>
      <c r="D109" s="763" t="s">
        <v>155</v>
      </c>
      <c r="E109" s="672">
        <v>49626</v>
      </c>
      <c r="F109" s="672">
        <v>49676</v>
      </c>
      <c r="G109" s="672">
        <f>F109-E109</f>
        <v>50</v>
      </c>
      <c r="H109" s="673">
        <f>SUM(G109+'[3]1'!G81)</f>
        <v>132</v>
      </c>
      <c r="I109" s="672"/>
      <c r="J109" s="699">
        <f>H109/DAY(B2)</f>
        <v>132</v>
      </c>
      <c r="N109" s="556"/>
      <c r="O109" s="426"/>
    </row>
    <row r="110" spans="1:15" s="544" customFormat="1" ht="27.75">
      <c r="A110" s="1421" t="s">
        <v>232</v>
      </c>
      <c r="B110" s="1422"/>
      <c r="C110" s="1316"/>
      <c r="D110" s="763" t="s">
        <v>155</v>
      </c>
      <c r="E110" s="672">
        <v>24106</v>
      </c>
      <c r="F110" s="672">
        <v>24156</v>
      </c>
      <c r="G110" s="672">
        <f>F110-E110</f>
        <v>50</v>
      </c>
      <c r="H110" s="673">
        <f>SUM(G110+'[3]1'!G82)</f>
        <v>75.740000000005239</v>
      </c>
      <c r="I110" s="672"/>
      <c r="J110" s="699">
        <f>H110/DAY(B2)</f>
        <v>75.740000000005239</v>
      </c>
      <c r="N110" s="556"/>
      <c r="O110" s="426"/>
    </row>
    <row r="111" spans="1:15" s="544" customFormat="1" ht="27.75">
      <c r="A111" s="1421" t="s">
        <v>233</v>
      </c>
      <c r="B111" s="1422"/>
      <c r="C111" s="1316"/>
      <c r="D111" s="763" t="s">
        <v>155</v>
      </c>
      <c r="E111" s="672">
        <v>3201</v>
      </c>
      <c r="F111" s="672">
        <v>3201</v>
      </c>
      <c r="G111" s="672">
        <f>F111-E111</f>
        <v>0</v>
      </c>
      <c r="H111" s="673">
        <f>SUM(G111+'[3]1'!G83)</f>
        <v>446</v>
      </c>
      <c r="I111" s="672"/>
      <c r="J111" s="699">
        <f>H111/DAY(B2)</f>
        <v>446</v>
      </c>
      <c r="N111" s="556"/>
      <c r="O111" s="426"/>
    </row>
    <row r="112" spans="1:15" s="544" customFormat="1" ht="27.75">
      <c r="A112" s="1425" t="s">
        <v>121</v>
      </c>
      <c r="B112" s="1426"/>
      <c r="C112" s="1316"/>
      <c r="D112" s="763"/>
      <c r="E112" s="672"/>
      <c r="F112" s="672"/>
      <c r="G112" s="672">
        <f>SUM(G109:G111)</f>
        <v>100</v>
      </c>
      <c r="H112" s="673">
        <f>SUM(G112+'[3]1'!G84)</f>
        <v>696</v>
      </c>
      <c r="I112" s="672"/>
      <c r="J112" s="699">
        <f>H112/DAY(B2)</f>
        <v>696</v>
      </c>
      <c r="N112" s="556"/>
      <c r="O112" s="426"/>
    </row>
    <row r="113" spans="1:15" s="544" customFormat="1" ht="27.75">
      <c r="A113" s="1427" t="s">
        <v>234</v>
      </c>
      <c r="B113" s="1428"/>
      <c r="C113" s="1316"/>
      <c r="D113" s="763"/>
      <c r="E113" s="672"/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21" t="s">
        <v>235</v>
      </c>
      <c r="B114" s="1422"/>
      <c r="C114" s="715"/>
      <c r="D114" s="763" t="s">
        <v>155</v>
      </c>
      <c r="E114" s="674">
        <v>8282</v>
      </c>
      <c r="F114" s="674">
        <v>8302</v>
      </c>
      <c r="G114" s="674">
        <f>F114-E114</f>
        <v>20</v>
      </c>
      <c r="H114" s="673">
        <f>SUM(G114+'[3]1'!G91)</f>
        <v>20</v>
      </c>
      <c r="I114" s="672"/>
      <c r="J114" s="699">
        <f>H114/DAY(B2)</f>
        <v>20</v>
      </c>
      <c r="N114" s="556"/>
      <c r="O114" s="426"/>
    </row>
    <row r="115" spans="1:15" s="544" customFormat="1" ht="27.75">
      <c r="A115" s="1421" t="s">
        <v>236</v>
      </c>
      <c r="B115" s="1422"/>
      <c r="C115" s="715"/>
      <c r="D115" s="763" t="s">
        <v>155</v>
      </c>
      <c r="E115" s="674">
        <v>6544</v>
      </c>
      <c r="F115" s="674">
        <v>6551</v>
      </c>
      <c r="G115" s="674">
        <f t="shared" ref="G115:G116" si="21">F115-E115</f>
        <v>7</v>
      </c>
      <c r="H115" s="673">
        <f>SUM(G115+'[3]1'!G92)</f>
        <v>112</v>
      </c>
      <c r="I115" s="672"/>
      <c r="J115" s="699">
        <f>H115/DAY(B2)</f>
        <v>112</v>
      </c>
      <c r="N115" s="556"/>
      <c r="O115" s="426"/>
    </row>
    <row r="116" spans="1:15" s="544" customFormat="1" ht="27.75">
      <c r="A116" s="1421" t="s">
        <v>237</v>
      </c>
      <c r="B116" s="1422"/>
      <c r="C116" s="715"/>
      <c r="D116" s="763" t="s">
        <v>155</v>
      </c>
      <c r="E116" s="674"/>
      <c r="F116" s="674"/>
      <c r="G116" s="674">
        <f t="shared" si="21"/>
        <v>0</v>
      </c>
      <c r="H116" s="673">
        <f>SUM(G116+'[3]1'!G93)</f>
        <v>185</v>
      </c>
      <c r="I116" s="672"/>
      <c r="J116" s="699">
        <f>H116/DAY(B2)</f>
        <v>185</v>
      </c>
      <c r="N116" s="556"/>
      <c r="O116" s="426"/>
    </row>
    <row r="117" spans="1:15" s="557" customFormat="1" ht="27.75">
      <c r="A117" s="1423" t="s">
        <v>213</v>
      </c>
      <c r="B117" s="1424"/>
      <c r="C117" s="715"/>
      <c r="D117" s="764"/>
      <c r="E117" s="674"/>
      <c r="F117" s="674"/>
      <c r="G117" s="674">
        <f>SUM(G114:G116)</f>
        <v>27</v>
      </c>
      <c r="H117" s="673">
        <f>SUM(G117+'[3]1'!G95)</f>
        <v>75</v>
      </c>
      <c r="I117" s="674"/>
      <c r="J117" s="699">
        <f>H117/DAY(B2)</f>
        <v>75</v>
      </c>
      <c r="N117" s="585"/>
      <c r="O117" s="426"/>
    </row>
    <row r="118" spans="1:15" s="558" customFormat="1" ht="27.75">
      <c r="A118" s="1417" t="s">
        <v>238</v>
      </c>
      <c r="B118" s="1418"/>
      <c r="C118" s="1315"/>
      <c r="D118" s="765" t="s">
        <v>155</v>
      </c>
      <c r="E118" s="676">
        <f>SUM(F19+F92)</f>
        <v>357005</v>
      </c>
      <c r="F118" s="676">
        <f>SUM(G19+G92)</f>
        <v>160</v>
      </c>
      <c r="G118" s="676">
        <f>SUM(G19+G92)</f>
        <v>160</v>
      </c>
      <c r="H118" s="673">
        <f>SUM(G118+'[3]1'!G96)</f>
        <v>209</v>
      </c>
      <c r="I118" s="675"/>
      <c r="J118" s="700">
        <f>H118/DAY(B2)</f>
        <v>209</v>
      </c>
      <c r="N118" s="940"/>
      <c r="O118" s="426"/>
    </row>
    <row r="119" spans="1:15" s="558" customFormat="1" ht="27.75">
      <c r="A119" s="1417" t="s">
        <v>239</v>
      </c>
      <c r="B119" s="1418"/>
      <c r="C119" s="1315"/>
      <c r="D119" s="765" t="s">
        <v>155</v>
      </c>
      <c r="E119" s="676">
        <f>SUM(F95,F96,F97,F99,F100)</f>
        <v>600020</v>
      </c>
      <c r="F119" s="676">
        <f>SUM(G95,G96,G97,G99,G100)</f>
        <v>128</v>
      </c>
      <c r="G119" s="676">
        <f>SUM(G95,G96,G97,G99,G100)</f>
        <v>128</v>
      </c>
      <c r="H119" s="673">
        <f>SUM(G119+'[3]1'!G98)</f>
        <v>160</v>
      </c>
      <c r="I119" s="675"/>
      <c r="J119" s="700">
        <f>H119/DAY(B2)</f>
        <v>160</v>
      </c>
      <c r="N119" s="940"/>
      <c r="O119" s="426"/>
    </row>
    <row r="120" spans="1:15" s="558" customFormat="1" ht="27.75">
      <c r="A120" s="1417" t="s">
        <v>240</v>
      </c>
      <c r="B120" s="1418"/>
      <c r="C120" s="1315"/>
      <c r="D120" s="765" t="s">
        <v>155</v>
      </c>
      <c r="E120" s="674">
        <f>SUM(F112)</f>
        <v>0</v>
      </c>
      <c r="F120" s="674">
        <f>SUM(G112)</f>
        <v>100</v>
      </c>
      <c r="G120" s="674">
        <f>SUM(G112)</f>
        <v>100</v>
      </c>
      <c r="H120" s="673">
        <f>SUM(G120+'[3]1'!G100)</f>
        <v>100</v>
      </c>
      <c r="I120" s="675"/>
      <c r="J120" s="700">
        <f>H120/DAY(B2)</f>
        <v>100</v>
      </c>
      <c r="N120" s="940"/>
      <c r="O120" s="426"/>
    </row>
    <row r="121" spans="1:15" s="544" customFormat="1" ht="27.75">
      <c r="A121" s="1419"/>
      <c r="B121" s="1420"/>
      <c r="C121" s="1316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v>782924.88600000006</v>
      </c>
      <c r="F123" s="618">
        <v>783118.50800000003</v>
      </c>
      <c r="G123" s="613">
        <f>F123-E123</f>
        <v>193.62199999997392</v>
      </c>
      <c r="H123" s="600">
        <f>G123</f>
        <v>193.62199999997392</v>
      </c>
      <c r="I123" s="666"/>
      <c r="J123" s="693">
        <f>H123/DAY(B2)</f>
        <v>193.62199999997392</v>
      </c>
      <c r="K123" s="424"/>
      <c r="L123" s="421"/>
      <c r="N123" s="426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v>73581</v>
      </c>
      <c r="F124" s="767">
        <v>73581</v>
      </c>
      <c r="G124" s="613">
        <f t="shared" ref="G124:G127" si="22">F124-E124</f>
        <v>0</v>
      </c>
      <c r="H124" s="600">
        <f t="shared" ref="H124:H128" si="23">G124</f>
        <v>0</v>
      </c>
      <c r="I124" s="666"/>
      <c r="J124" s="693">
        <f>H124/DAY(B2)</f>
        <v>0</v>
      </c>
      <c r="K124" s="424"/>
      <c r="L124" s="421"/>
      <c r="N124" s="426"/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618">
        <v>131106.22</v>
      </c>
      <c r="F125" s="618">
        <v>131169.64000000001</v>
      </c>
      <c r="G125" s="613">
        <f t="shared" si="22"/>
        <v>63.420000000012806</v>
      </c>
      <c r="H125" s="600">
        <f t="shared" si="23"/>
        <v>63.420000000012806</v>
      </c>
      <c r="I125" s="666"/>
      <c r="J125" s="693">
        <f>H125/DAY(B2)</f>
        <v>63.420000000012806</v>
      </c>
      <c r="K125" s="424"/>
      <c r="L125" s="421"/>
      <c r="N125" s="426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v>55585.8</v>
      </c>
      <c r="F126" s="767">
        <v>55617.9</v>
      </c>
      <c r="G126" s="613">
        <f t="shared" si="22"/>
        <v>32.099999999998545</v>
      </c>
      <c r="H126" s="600">
        <f t="shared" si="23"/>
        <v>32.099999999998545</v>
      </c>
      <c r="I126" s="666"/>
      <c r="J126" s="693">
        <f>H126/DAY(B2)</f>
        <v>32.099999999998545</v>
      </c>
      <c r="K126" s="424"/>
      <c r="L126" s="421"/>
      <c r="N126" s="426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v>8639</v>
      </c>
      <c r="F127" s="767">
        <v>8639</v>
      </c>
      <c r="G127" s="613">
        <f t="shared" si="22"/>
        <v>0</v>
      </c>
      <c r="H127" s="600">
        <f t="shared" si="23"/>
        <v>0</v>
      </c>
      <c r="I127" s="620"/>
      <c r="J127" s="693">
        <f>H127/DAY(B2)</f>
        <v>0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208.3970000001209</v>
      </c>
      <c r="H128" s="600">
        <f t="shared" si="23"/>
        <v>208.3970000001209</v>
      </c>
      <c r="I128" s="620"/>
      <c r="J128" s="693">
        <f>H128/DAY(B2)</f>
        <v>208.3970000001209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v>0</v>
      </c>
      <c r="F130" s="624">
        <v>0</v>
      </c>
      <c r="G130" s="613">
        <f t="shared" ref="G130:G140" si="24">F130-E130</f>
        <v>0</v>
      </c>
      <c r="H130" s="600">
        <f>G130</f>
        <v>0</v>
      </c>
      <c r="I130" s="620"/>
      <c r="J130" s="693">
        <f>H130/DAY(B2)</f>
        <v>0</v>
      </c>
      <c r="N130" s="426"/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v>0</v>
      </c>
      <c r="F131" s="624">
        <v>0</v>
      </c>
      <c r="G131" s="613">
        <f t="shared" si="24"/>
        <v>0</v>
      </c>
      <c r="H131" s="600">
        <f t="shared" ref="H131:H140" si="25">G131</f>
        <v>0</v>
      </c>
      <c r="I131" s="620"/>
      <c r="J131" s="693">
        <f>H131/DAY(B2)</f>
        <v>0</v>
      </c>
      <c r="N131" s="426"/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v>38853</v>
      </c>
      <c r="F132" s="682">
        <v>38853</v>
      </c>
      <c r="G132" s="613">
        <f t="shared" si="24"/>
        <v>0</v>
      </c>
      <c r="H132" s="600">
        <f t="shared" si="25"/>
        <v>0</v>
      </c>
      <c r="I132" s="620"/>
      <c r="J132" s="693">
        <f>H132/DAY(B2)</f>
        <v>0</v>
      </c>
      <c r="N132" s="426"/>
      <c r="O132" s="426"/>
    </row>
    <row r="133" spans="1:15" s="934" customFormat="1" ht="27.75">
      <c r="A133" s="935" t="s">
        <v>253</v>
      </c>
      <c r="B133" s="936"/>
      <c r="C133" s="936"/>
      <c r="D133" s="865" t="s">
        <v>250</v>
      </c>
      <c r="E133" s="682">
        <v>34948</v>
      </c>
      <c r="F133" s="682">
        <v>34948</v>
      </c>
      <c r="G133" s="932">
        <f t="shared" si="24"/>
        <v>0</v>
      </c>
      <c r="H133" s="619">
        <f t="shared" si="25"/>
        <v>0</v>
      </c>
      <c r="I133" s="937"/>
      <c r="J133" s="933">
        <f>H133/DAY(B2)</f>
        <v>0</v>
      </c>
      <c r="N133" s="877"/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v>39736.269999999997</v>
      </c>
      <c r="F134" s="682">
        <v>39736</v>
      </c>
      <c r="G134" s="613">
        <f t="shared" si="24"/>
        <v>-0.26999999999679858</v>
      </c>
      <c r="H134" s="600">
        <f t="shared" si="25"/>
        <v>-0.26999999999679858</v>
      </c>
      <c r="I134" s="620"/>
      <c r="J134" s="693">
        <f>H134/DAY(B2)</f>
        <v>-0.26999999999679858</v>
      </c>
      <c r="N134" s="426"/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v>30993.02</v>
      </c>
      <c r="F135" s="682">
        <v>31017.02</v>
      </c>
      <c r="G135" s="613">
        <f t="shared" si="24"/>
        <v>24</v>
      </c>
      <c r="H135" s="600">
        <f t="shared" si="25"/>
        <v>24</v>
      </c>
      <c r="I135" s="620">
        <f>G132+G133+G134+G135</f>
        <v>23.730000000003201</v>
      </c>
      <c r="J135" s="693">
        <f>H135/DAY(B2)</f>
        <v>24</v>
      </c>
      <c r="N135" s="426"/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v>21598.03</v>
      </c>
      <c r="F136" s="682">
        <v>21598.03</v>
      </c>
      <c r="G136" s="613">
        <f t="shared" si="24"/>
        <v>0</v>
      </c>
      <c r="H136" s="600">
        <f t="shared" si="25"/>
        <v>0</v>
      </c>
      <c r="I136" s="620"/>
      <c r="J136" s="693">
        <f>H136/DAY(B2)</f>
        <v>0</v>
      </c>
      <c r="N136" s="426"/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v>24902.25</v>
      </c>
      <c r="F137" s="682">
        <v>24902.25</v>
      </c>
      <c r="G137" s="613">
        <f t="shared" si="24"/>
        <v>0</v>
      </c>
      <c r="H137" s="600">
        <f t="shared" si="25"/>
        <v>0</v>
      </c>
      <c r="I137" s="620"/>
      <c r="J137" s="693">
        <f>H137/DAY(B2)</f>
        <v>0</v>
      </c>
      <c r="N137" s="426"/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v>69881.649999999994</v>
      </c>
      <c r="F138" s="682">
        <v>69890.350000000006</v>
      </c>
      <c r="G138" s="613">
        <f t="shared" si="24"/>
        <v>8.7000000000116415</v>
      </c>
      <c r="H138" s="600">
        <f t="shared" si="25"/>
        <v>8.7000000000116415</v>
      </c>
      <c r="I138" s="620">
        <f>G136+G137+G138</f>
        <v>8.7000000000116415</v>
      </c>
      <c r="J138" s="693">
        <f>H138/DAY(B2)</f>
        <v>8.7000000000116415</v>
      </c>
      <c r="N138" s="426"/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24">
        <v>776.43</v>
      </c>
      <c r="F139" s="624">
        <v>781.87</v>
      </c>
      <c r="G139" s="613">
        <f t="shared" si="24"/>
        <v>5.4400000000000546</v>
      </c>
      <c r="H139" s="600">
        <f t="shared" si="25"/>
        <v>5.4400000000000546</v>
      </c>
      <c r="I139" s="683"/>
      <c r="J139" s="693">
        <f>H139/DAY(B2)</f>
        <v>5.4400000000000546</v>
      </c>
      <c r="N139" s="426"/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24">
        <v>4154.2700000000004</v>
      </c>
      <c r="F140" s="624">
        <v>4154.2700000000004</v>
      </c>
      <c r="G140" s="613">
        <f t="shared" si="24"/>
        <v>0</v>
      </c>
      <c r="H140" s="600">
        <f t="shared" si="25"/>
        <v>0</v>
      </c>
      <c r="I140" s="683">
        <f>G139+G140</f>
        <v>5.4400000000000546</v>
      </c>
      <c r="J140" s="693">
        <f>H140/DAY(B2)</f>
        <v>0</v>
      </c>
      <c r="N140" s="426"/>
      <c r="O140" s="426"/>
    </row>
    <row r="141" spans="1:15">
      <c r="A141" s="1438" t="s">
        <v>261</v>
      </c>
      <c r="B141" s="1439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5134.800000000163</v>
      </c>
      <c r="H142" s="600">
        <f>G142</f>
        <v>5134.800000000163</v>
      </c>
      <c r="I142" s="620"/>
      <c r="J142" s="693">
        <f>H142/DAY(B2)</f>
        <v>5134.800000000163</v>
      </c>
      <c r="K142" s="424"/>
      <c r="L142" s="421"/>
      <c r="N142" s="426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0.27645095294498562</v>
      </c>
      <c r="H143" s="600">
        <f t="shared" ref="H143:H153" si="26">G143</f>
        <v>0.27645095294498562</v>
      </c>
      <c r="I143" s="685"/>
      <c r="J143" s="693">
        <f>H143/DAY(B2)</f>
        <v>0.27645095294498562</v>
      </c>
      <c r="K143" s="424"/>
      <c r="L143" s="421"/>
      <c r="N143" s="426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4007.5100000000093</v>
      </c>
      <c r="H144" s="600">
        <f t="shared" si="26"/>
        <v>4007.5100000000093</v>
      </c>
      <c r="I144" s="620"/>
      <c r="J144" s="693">
        <f>H144/DAY(B2)</f>
        <v>4007.5100000000093</v>
      </c>
      <c r="K144" s="424"/>
      <c r="L144" s="421"/>
      <c r="N144" s="426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0.21575912565952457</v>
      </c>
      <c r="H145" s="600">
        <f t="shared" si="26"/>
        <v>0.21575912565952457</v>
      </c>
      <c r="I145" s="685"/>
      <c r="J145" s="693">
        <f>H145/DAY(B2)</f>
        <v>0.21575912565952457</v>
      </c>
      <c r="K145" s="424"/>
      <c r="L145" s="421"/>
      <c r="N145" s="426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4085.2800000000279</v>
      </c>
      <c r="H146" s="600">
        <f t="shared" si="26"/>
        <v>4085.2800000000279</v>
      </c>
      <c r="I146" s="686"/>
      <c r="J146" s="693">
        <f>H146/DAY(B2)</f>
        <v>4085.2800000000279</v>
      </c>
      <c r="K146" s="424"/>
      <c r="L146" s="421"/>
      <c r="N146" s="426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0.21994616130074449</v>
      </c>
      <c r="H147" s="600">
        <f t="shared" si="26"/>
        <v>0.21994616130074449</v>
      </c>
      <c r="I147" s="686"/>
      <c r="J147" s="693">
        <f>H147/DAY(B2)</f>
        <v>0.21994616130074449</v>
      </c>
      <c r="N147" s="426"/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1920.4000000000233</v>
      </c>
      <c r="H148" s="600">
        <f t="shared" si="26"/>
        <v>1920.4000000000233</v>
      </c>
      <c r="I148" s="620"/>
      <c r="J148" s="693">
        <f>H148/DAY(B2)</f>
        <v>1920.4000000000233</v>
      </c>
      <c r="K148" s="425"/>
      <c r="N148" s="426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0.10339183805319389</v>
      </c>
      <c r="H149" s="600">
        <f t="shared" si="26"/>
        <v>0.10339183805319389</v>
      </c>
      <c r="I149" s="686"/>
      <c r="J149" s="693">
        <f>H149/DAY(B2)</f>
        <v>0.10339183805319389</v>
      </c>
      <c r="N149" s="426"/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1351.2299999999814</v>
      </c>
      <c r="H150" s="600">
        <f t="shared" si="26"/>
        <v>1351.2299999999814</v>
      </c>
      <c r="I150" s="686"/>
      <c r="J150" s="693">
        <f>H150/DAY(B2)</f>
        <v>1351.2299999999814</v>
      </c>
      <c r="N150" s="426"/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7.2748465597070169E-2</v>
      </c>
      <c r="H151" s="600">
        <f t="shared" si="26"/>
        <v>7.2748465597070169E-2</v>
      </c>
      <c r="I151" s="620"/>
      <c r="J151" s="693">
        <f>H151/DAY(B2)</f>
        <v>7.2748465597070169E-2</v>
      </c>
      <c r="N151" s="426"/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1525.1599999999744</v>
      </c>
      <c r="H152" s="600">
        <f t="shared" si="26"/>
        <v>1525.1599999999744</v>
      </c>
      <c r="I152" s="620"/>
      <c r="J152" s="693">
        <f>H152/DAY(B2)</f>
        <v>1525.1599999999744</v>
      </c>
      <c r="N152" s="426"/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8.2112630558844324E-2</v>
      </c>
      <c r="H153" s="600">
        <f t="shared" si="26"/>
        <v>8.2112630558844324E-2</v>
      </c>
      <c r="I153" s="709"/>
      <c r="J153" s="710">
        <f>H153/DAY(B2)</f>
        <v>8.2112630558844324E-2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v>21641.404999999999</v>
      </c>
      <c r="F160" s="795">
        <v>21717.564999999999</v>
      </c>
      <c r="G160" s="613">
        <f t="shared" ref="G160:G171" si="27">F160-E160</f>
        <v>76.159999999999854</v>
      </c>
    </row>
    <row r="161" spans="1:7">
      <c r="A161" s="946" t="s">
        <v>275</v>
      </c>
      <c r="B161" s="947"/>
      <c r="C161" s="947"/>
      <c r="D161" s="651" t="s">
        <v>198</v>
      </c>
      <c r="E161" s="795">
        <v>13703.212</v>
      </c>
      <c r="F161" s="795">
        <v>13791.3</v>
      </c>
      <c r="G161" s="613">
        <f t="shared" si="27"/>
        <v>88.087999999999738</v>
      </c>
    </row>
    <row r="162" spans="1:7">
      <c r="A162" s="946" t="s">
        <v>276</v>
      </c>
      <c r="B162" s="947"/>
      <c r="C162" s="947"/>
      <c r="D162" s="651" t="s">
        <v>198</v>
      </c>
      <c r="E162" s="795">
        <v>30403.345000000001</v>
      </c>
      <c r="F162" s="795">
        <v>30657.753000000001</v>
      </c>
      <c r="G162" s="613">
        <f t="shared" si="27"/>
        <v>254.40799999999945</v>
      </c>
    </row>
    <row r="163" spans="1:7">
      <c r="A163" s="946" t="s">
        <v>277</v>
      </c>
      <c r="B163" s="947"/>
      <c r="C163" s="947"/>
      <c r="D163" s="651" t="s">
        <v>198</v>
      </c>
      <c r="E163" s="795">
        <v>3041.3094999999998</v>
      </c>
      <c r="F163" s="795">
        <v>3055.6233000000002</v>
      </c>
      <c r="G163" s="613">
        <f t="shared" si="27"/>
        <v>14.313800000000356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20419.188999999998</v>
      </c>
      <c r="F164" s="654">
        <f>F62</f>
        <v>20419.188999999998</v>
      </c>
      <c r="G164" s="613">
        <f t="shared" si="27"/>
        <v>0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28">E63</f>
        <v>298.45999999999998</v>
      </c>
      <c r="F165" s="654">
        <f t="shared" si="28"/>
        <v>318.15600000000001</v>
      </c>
      <c r="G165" s="613">
        <f t="shared" si="27"/>
        <v>19.696000000000026</v>
      </c>
    </row>
    <row r="166" spans="1:7" ht="27.75">
      <c r="A166" s="1404" t="s">
        <v>107</v>
      </c>
      <c r="B166" s="1404"/>
      <c r="C166" s="1404"/>
      <c r="D166" s="663" t="s">
        <v>198</v>
      </c>
      <c r="E166" s="654">
        <f t="shared" si="28"/>
        <v>76063.087</v>
      </c>
      <c r="F166" s="654">
        <f t="shared" si="28"/>
        <v>76427.986999999994</v>
      </c>
      <c r="G166" s="613">
        <f t="shared" si="27"/>
        <v>364.89999999999418</v>
      </c>
    </row>
    <row r="167" spans="1:7" ht="27.75">
      <c r="A167" s="1404" t="s">
        <v>108</v>
      </c>
      <c r="B167" s="1404"/>
      <c r="C167" s="1404"/>
      <c r="D167" s="663" t="s">
        <v>198</v>
      </c>
      <c r="E167" s="654">
        <f t="shared" si="28"/>
        <v>85159.263000000006</v>
      </c>
      <c r="F167" s="654">
        <f t="shared" si="28"/>
        <v>85549.422999999995</v>
      </c>
      <c r="G167" s="613">
        <f t="shared" si="27"/>
        <v>390.15999999998894</v>
      </c>
    </row>
    <row r="168" spans="1:7" ht="27.75">
      <c r="A168" s="1404" t="s">
        <v>109</v>
      </c>
      <c r="B168" s="1404"/>
      <c r="C168" s="1404"/>
      <c r="D168" s="663" t="s">
        <v>198</v>
      </c>
      <c r="E168" s="654">
        <f t="shared" si="28"/>
        <v>78187.957999999999</v>
      </c>
      <c r="F168" s="654">
        <f t="shared" si="28"/>
        <v>78580.457999999999</v>
      </c>
      <c r="G168" s="613">
        <f t="shared" si="27"/>
        <v>392.5</v>
      </c>
    </row>
    <row r="169" spans="1:7" ht="27.75">
      <c r="A169" s="1404" t="s">
        <v>110</v>
      </c>
      <c r="B169" s="1404"/>
      <c r="C169" s="1404"/>
      <c r="D169" s="663" t="s">
        <v>198</v>
      </c>
      <c r="E169" s="654">
        <f t="shared" si="28"/>
        <v>126056.5</v>
      </c>
      <c r="F169" s="654">
        <f t="shared" si="28"/>
        <v>126734.88</v>
      </c>
      <c r="G169" s="613">
        <f t="shared" si="27"/>
        <v>678.38000000000466</v>
      </c>
    </row>
    <row r="170" spans="1:7" ht="27.75">
      <c r="A170" s="1404" t="s">
        <v>111</v>
      </c>
      <c r="B170" s="1404"/>
      <c r="C170" s="1404"/>
      <c r="D170" s="663" t="s">
        <v>198</v>
      </c>
      <c r="E170" s="654">
        <f t="shared" si="28"/>
        <v>33399.868999999999</v>
      </c>
      <c r="F170" s="654">
        <f t="shared" si="28"/>
        <v>33731.614999999998</v>
      </c>
      <c r="G170" s="613">
        <f t="shared" si="27"/>
        <v>331.74599999999919</v>
      </c>
    </row>
    <row r="171" spans="1:7" ht="27.75">
      <c r="A171" s="1404" t="s">
        <v>112</v>
      </c>
      <c r="B171" s="1404"/>
      <c r="C171" s="1404"/>
      <c r="D171" s="663" t="s">
        <v>198</v>
      </c>
      <c r="E171" s="654">
        <f t="shared" si="28"/>
        <v>29252.365000000002</v>
      </c>
      <c r="F171" s="654">
        <f t="shared" si="28"/>
        <v>29531.217000000001</v>
      </c>
      <c r="G171" s="613">
        <f t="shared" si="27"/>
        <v>278.85199999999895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sqref="A1:XFD1048576"/>
    </sheetView>
  </sheetViews>
  <sheetFormatPr defaultColWidth="22.33203125" defaultRowHeight="29.25"/>
  <cols>
    <col min="1" max="1" width="41.88671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5" width="3.88671875" style="420" customWidth="1"/>
    <col min="16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288</v>
      </c>
      <c r="B2" s="1195">
        <v>44137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30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615">
        <f>'[3]1'!F7</f>
        <v>2123599</v>
      </c>
      <c r="F7" s="595">
        <v>2143031</v>
      </c>
      <c r="G7" s="613">
        <f>F7-E7</f>
        <v>19432</v>
      </c>
      <c r="H7" s="600">
        <f>G7+'[3]1'!H7</f>
        <v>38006</v>
      </c>
      <c r="I7" s="614">
        <f>'[3]1'!I7</f>
        <v>12000</v>
      </c>
      <c r="J7" s="693">
        <f>H7/DAY(B2)</f>
        <v>19003</v>
      </c>
      <c r="K7" s="690"/>
      <c r="L7" s="421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'[3]1'!F8</f>
        <v>2134072</v>
      </c>
      <c r="F8" s="615">
        <v>2153590</v>
      </c>
      <c r="G8" s="616">
        <f>F8-E8</f>
        <v>19518</v>
      </c>
      <c r="H8" s="600">
        <f>G8+'[3]1'!H8</f>
        <v>38149</v>
      </c>
      <c r="I8" s="617">
        <v>12000</v>
      </c>
      <c r="J8" s="693">
        <f>H8/DAY(B2)</f>
        <v>19074.5</v>
      </c>
      <c r="K8" s="690"/>
      <c r="L8" s="479"/>
      <c r="M8" s="542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'[3]1'!F9</f>
        <v>2034943.5</v>
      </c>
      <c r="F9" s="618">
        <v>2053696.7</v>
      </c>
      <c r="G9" s="613">
        <f t="shared" ref="G9:G11" si="0">F9-E9</f>
        <v>18753.199999999953</v>
      </c>
      <c r="H9" s="600">
        <f>G9+'[3]1'!H9</f>
        <v>36691.399999999907</v>
      </c>
      <c r="I9" s="619">
        <f>I8-J8</f>
        <v>-7074.5</v>
      </c>
      <c r="J9" s="693">
        <f>H9/DAY(B2)</f>
        <v>18345.699999999953</v>
      </c>
      <c r="K9" s="527"/>
      <c r="L9" s="421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'[3]1'!F10</f>
        <v>454609.79</v>
      </c>
      <c r="F10" s="618">
        <v>454610</v>
      </c>
      <c r="G10" s="613">
        <f t="shared" si="0"/>
        <v>0.21000000002095476</v>
      </c>
      <c r="H10" s="600">
        <f>G10+'[3]1'!H10</f>
        <v>0.21000000002095476</v>
      </c>
      <c r="I10" s="620"/>
      <c r="J10" s="693">
        <f>H10/DAY(B2)</f>
        <v>0.10500000001047738</v>
      </c>
      <c r="K10" s="527"/>
      <c r="L10" s="421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'[3]1'!F11</f>
        <v>35390</v>
      </c>
      <c r="F11" s="595">
        <v>35390</v>
      </c>
      <c r="G11" s="613">
        <f t="shared" si="0"/>
        <v>0</v>
      </c>
      <c r="H11" s="600">
        <f>G11+'[3]1'!H11</f>
        <v>0</v>
      </c>
      <c r="I11" s="620"/>
      <c r="J11" s="693">
        <f>H11/DAY(B2)</f>
        <v>0</v>
      </c>
      <c r="K11" s="527"/>
      <c r="L11" s="421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'[3]1'!F12</f>
        <v>37630</v>
      </c>
      <c r="F12" s="618">
        <v>37630</v>
      </c>
      <c r="G12" s="613">
        <v>0</v>
      </c>
      <c r="H12" s="600">
        <f>G12+'[3]1'!H12</f>
        <v>0</v>
      </c>
      <c r="I12" s="620"/>
      <c r="J12" s="693">
        <f>H12/DAY(B2)</f>
        <v>0</v>
      </c>
      <c r="K12" s="527"/>
      <c r="L12" s="421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18753.409999999974</v>
      </c>
      <c r="H13" s="600">
        <f>G13+'[3]1'!H13</f>
        <v>36691.609999999928</v>
      </c>
      <c r="I13" s="622">
        <f>G7-G13</f>
        <v>678.59000000002561</v>
      </c>
      <c r="J13" s="693">
        <f>H13/DAY(B2)</f>
        <v>18345.804999999964</v>
      </c>
      <c r="K13" s="527"/>
      <c r="L13" s="421"/>
      <c r="O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1317" t="s">
        <v>151</v>
      </c>
      <c r="B15" s="730"/>
      <c r="C15" s="730"/>
      <c r="D15" s="663" t="s">
        <v>152</v>
      </c>
      <c r="E15" s="624">
        <f>'[3]1'!F15</f>
        <v>1530612.733</v>
      </c>
      <c r="F15" s="788">
        <v>1531319.2720000001</v>
      </c>
      <c r="G15" s="941">
        <f>(F15-E15)</f>
        <v>706.53900000010617</v>
      </c>
      <c r="H15" s="600">
        <f>G15+'[3]1'!H15</f>
        <v>1204.0780000002123</v>
      </c>
      <c r="I15" s="614">
        <v>800</v>
      </c>
      <c r="J15" s="693">
        <f>H15/DAY(B2)</f>
        <v>602.03900000010617</v>
      </c>
      <c r="K15" s="527"/>
      <c r="L15" s="421"/>
      <c r="O15" s="426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197.96099999989383</v>
      </c>
      <c r="J16" s="694"/>
      <c r="K16" s="527"/>
      <c r="L16" s="421"/>
      <c r="O16" s="426">
        <f>G15-150</f>
        <v>556.53900000010617</v>
      </c>
    </row>
    <row r="17" spans="1:1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432" t="s">
        <v>154</v>
      </c>
      <c r="B18" s="1433"/>
      <c r="C18" s="1434"/>
      <c r="D18" s="663" t="s">
        <v>155</v>
      </c>
      <c r="E18" s="624">
        <f>'[3]1'!F18</f>
        <v>14</v>
      </c>
      <c r="F18" s="618">
        <v>13</v>
      </c>
      <c r="G18" s="621">
        <f>F18*10</f>
        <v>130</v>
      </c>
      <c r="H18" s="600">
        <f>G18+'[3]1'!H18</f>
        <v>270</v>
      </c>
      <c r="I18" s="614">
        <f>'[3]1'!I18</f>
        <v>65</v>
      </c>
      <c r="J18" s="693">
        <f>H18/DAY(B2)</f>
        <v>135</v>
      </c>
      <c r="K18" s="527"/>
      <c r="L18" s="421"/>
      <c r="O18" s="426"/>
    </row>
    <row r="19" spans="1:15" ht="27.75">
      <c r="A19" s="1432" t="s">
        <v>71</v>
      </c>
      <c r="B19" s="1433"/>
      <c r="C19" s="1434"/>
      <c r="D19" s="663" t="s">
        <v>155</v>
      </c>
      <c r="E19" s="624">
        <f>'[3]1'!F19</f>
        <v>128250</v>
      </c>
      <c r="F19" s="618">
        <v>128305</v>
      </c>
      <c r="G19" s="613">
        <f>F19-E19</f>
        <v>55</v>
      </c>
      <c r="H19" s="600">
        <f>G19+'[3]1'!H19</f>
        <v>110</v>
      </c>
      <c r="I19" s="629"/>
      <c r="J19" s="693">
        <f>H19/DAY(B2)</f>
        <v>55</v>
      </c>
      <c r="K19" s="527"/>
      <c r="L19" s="421"/>
      <c r="O19" s="426"/>
    </row>
    <row r="20" spans="1:15">
      <c r="A20" s="726" t="s">
        <v>156</v>
      </c>
      <c r="B20" s="727"/>
      <c r="C20" s="727"/>
      <c r="D20" s="630"/>
      <c r="E20" s="630"/>
      <c r="F20" s="663"/>
      <c r="G20" s="1198">
        <f>G18+G19</f>
        <v>185</v>
      </c>
      <c r="H20" s="600">
        <f>G20+'[3]1'!H20</f>
        <v>380</v>
      </c>
      <c r="I20" s="632">
        <f>I18-J20</f>
        <v>-125</v>
      </c>
      <c r="J20" s="693">
        <f>H20/DAY(B2)</f>
        <v>190</v>
      </c>
      <c r="K20" s="527"/>
      <c r="L20" s="421"/>
      <c r="O20" s="426"/>
    </row>
    <row r="21" spans="1:1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17" t="s">
        <v>158</v>
      </c>
      <c r="B22" s="730"/>
      <c r="C22" s="730"/>
      <c r="D22" s="663" t="s">
        <v>159</v>
      </c>
      <c r="E22" s="624">
        <f>'[3]1'!F22</f>
        <v>2250</v>
      </c>
      <c r="F22" s="618">
        <v>2250</v>
      </c>
      <c r="G22" s="621">
        <f t="shared" ref="G22" si="1">(F22-E22)</f>
        <v>0</v>
      </c>
      <c r="H22" s="600">
        <f>G22+'[3]1'!H22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17" t="s">
        <v>160</v>
      </c>
      <c r="B23" s="730"/>
      <c r="C23" s="730"/>
      <c r="D23" s="663" t="s">
        <v>159</v>
      </c>
      <c r="E23" s="624">
        <f>'[3]1'!F23</f>
        <v>2000</v>
      </c>
      <c r="F23" s="618">
        <v>2000</v>
      </c>
      <c r="G23" s="621">
        <v>0</v>
      </c>
      <c r="H23" s="600">
        <f>G23+'[3]1'!H23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19518</v>
      </c>
      <c r="F27" s="641">
        <v>9.5</v>
      </c>
      <c r="G27" s="642">
        <f>E27*F27</f>
        <v>185421</v>
      </c>
      <c r="H27" s="600">
        <f>G27+'[3]1'!H27</f>
        <v>362415.5</v>
      </c>
      <c r="I27" s="643"/>
      <c r="J27" s="693">
        <f>H27/DAY(B2)</f>
        <v>181207.75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706.53900000010617</v>
      </c>
      <c r="F28" s="641">
        <v>36.5</v>
      </c>
      <c r="G28" s="642">
        <f t="shared" ref="G28:G31" si="2">E28*F28</f>
        <v>25788.673500003875</v>
      </c>
      <c r="H28" s="600">
        <f>G28+'[3]1'!H28</f>
        <v>43948.84700000775</v>
      </c>
      <c r="I28" s="645"/>
      <c r="J28" s="693">
        <f>H28/DAY(B2)</f>
        <v>21974.423500003875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2"/>
        <v>0</v>
      </c>
      <c r="H29" s="600">
        <f>G29+'[3]1'!H29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55</v>
      </c>
      <c r="F30" s="641">
        <v>145</v>
      </c>
      <c r="G30" s="642">
        <f t="shared" si="2"/>
        <v>7975</v>
      </c>
      <c r="H30" s="600">
        <f>G30+'[3]1'!H30</f>
        <v>15950</v>
      </c>
      <c r="I30" s="645"/>
      <c r="J30" s="693">
        <f>H30/DAY(B2)</f>
        <v>7975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130</v>
      </c>
      <c r="F31" s="641">
        <v>80</v>
      </c>
      <c r="G31" s="642">
        <f t="shared" si="2"/>
        <v>10400</v>
      </c>
      <c r="H31" s="600">
        <f>G31+'[3]1'!H31</f>
        <v>21600</v>
      </c>
      <c r="I31" s="645"/>
      <c r="J31" s="693">
        <f>H31/DAY(B2)</f>
        <v>10800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229584.67350000388</v>
      </c>
      <c r="H32" s="600">
        <f>G32+'[3]1'!H32</f>
        <v>443914.34700000775</v>
      </c>
      <c r="I32" s="649"/>
      <c r="J32" s="693">
        <f>H32/DAY(B2)</f>
        <v>221957.17350000388</v>
      </c>
      <c r="K32" s="417"/>
      <c r="L32" s="547"/>
      <c r="O32" s="426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'[3]1'!F35</f>
        <v>606077.03</v>
      </c>
      <c r="F35" s="650">
        <v>608605.11</v>
      </c>
      <c r="G35" s="613">
        <f t="shared" ref="G35:G46" si="3">F35-E35</f>
        <v>2528.0799999999581</v>
      </c>
      <c r="H35" s="600">
        <f>G35+'[3]1'!H35</f>
        <v>5261.640000000014</v>
      </c>
      <c r="I35" s="595"/>
      <c r="J35" s="693">
        <f>H35/DAY(B2)</f>
        <v>2630.820000000007</v>
      </c>
      <c r="K35" s="527"/>
      <c r="L35" s="421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'[3]1'!F36</f>
        <v>211824</v>
      </c>
      <c r="F36" s="650">
        <v>212419.21</v>
      </c>
      <c r="G36" s="613">
        <f t="shared" si="3"/>
        <v>595.20999999999185</v>
      </c>
      <c r="H36" s="600">
        <f>G36+'[3]1'!H36</f>
        <v>1059.2599999999802</v>
      </c>
      <c r="I36" s="595"/>
      <c r="J36" s="693">
        <f>H36/DAY(B2)</f>
        <v>529.6299999999901</v>
      </c>
      <c r="K36" s="527"/>
      <c r="L36" s="421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'[3]1'!F37</f>
        <v>401369.35</v>
      </c>
      <c r="F37" s="650">
        <v>402893.03</v>
      </c>
      <c r="G37" s="613">
        <f t="shared" si="3"/>
        <v>1523.6800000000512</v>
      </c>
      <c r="H37" s="600">
        <f>G37+'[3]1'!H37</f>
        <v>3048.8400000000256</v>
      </c>
      <c r="I37" s="595"/>
      <c r="J37" s="693">
        <f>H37/DAY(B2)</f>
        <v>1524.4200000000128</v>
      </c>
      <c r="K37" s="527"/>
      <c r="L37" s="421"/>
      <c r="O37" s="770"/>
    </row>
    <row r="38" spans="1:15">
      <c r="A38" s="719" t="s">
        <v>178</v>
      </c>
      <c r="B38" s="720"/>
      <c r="C38" s="720"/>
      <c r="D38" s="663" t="s">
        <v>143</v>
      </c>
      <c r="E38" s="609">
        <f>'[3]1'!F38</f>
        <v>150714</v>
      </c>
      <c r="F38" s="609">
        <v>150714</v>
      </c>
      <c r="G38" s="613">
        <f t="shared" si="3"/>
        <v>0</v>
      </c>
      <c r="H38" s="600">
        <f>G38+'[3]1'!H38</f>
        <v>0</v>
      </c>
      <c r="I38" s="595"/>
      <c r="J38" s="693">
        <f>H38/DAY(B2)</f>
        <v>0</v>
      </c>
      <c r="K38" s="527"/>
      <c r="L38" s="421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'[3]1'!F39</f>
        <v>876209.99</v>
      </c>
      <c r="F39" s="650">
        <v>880208.39</v>
      </c>
      <c r="G39" s="613">
        <f t="shared" si="3"/>
        <v>3998.4000000000233</v>
      </c>
      <c r="H39" s="600">
        <f>G39+'[3]1'!H39</f>
        <v>8083.6800000000512</v>
      </c>
      <c r="I39" s="595"/>
      <c r="J39" s="693">
        <f>H39/DAY(B2)</f>
        <v>4041.8400000000256</v>
      </c>
      <c r="K39" s="527"/>
      <c r="L39" s="421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'[3]1'!F40</f>
        <v>0</v>
      </c>
      <c r="F40" s="650">
        <v>0</v>
      </c>
      <c r="G40" s="613">
        <f t="shared" si="3"/>
        <v>0</v>
      </c>
      <c r="H40" s="600">
        <f>G40+'[3]1'!H40</f>
        <v>0</v>
      </c>
      <c r="I40" s="595"/>
      <c r="J40" s="693">
        <f>H40/DAY(B2)</f>
        <v>0</v>
      </c>
      <c r="K40" s="528"/>
      <c r="L40" s="421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'[3]1'!F41</f>
        <v>300127.96999999997</v>
      </c>
      <c r="F41" s="650">
        <v>300127.90000000002</v>
      </c>
      <c r="G41" s="613">
        <f t="shared" si="3"/>
        <v>-6.9999999948777258E-2</v>
      </c>
      <c r="H41" s="600">
        <f>G41+'[3]1'!H41</f>
        <v>-6.9999999948777258E-2</v>
      </c>
      <c r="I41" s="595"/>
      <c r="J41" s="693">
        <f>H41/DAY(B2)</f>
        <v>-3.4999999974388629E-2</v>
      </c>
      <c r="K41" s="527"/>
      <c r="L41" s="421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'[3]1'!F42</f>
        <v>396197.47</v>
      </c>
      <c r="F42" s="650">
        <v>396197.47</v>
      </c>
      <c r="G42" s="613">
        <f t="shared" si="3"/>
        <v>0</v>
      </c>
      <c r="H42" s="600">
        <f>G42+'[3]1'!H42</f>
        <v>0</v>
      </c>
      <c r="I42" s="595"/>
      <c r="J42" s="693">
        <f>H42/DAY(B2)</f>
        <v>0</v>
      </c>
      <c r="K42" s="527"/>
      <c r="L42" s="421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'[3]1'!F43</f>
        <v>560725.31000000006</v>
      </c>
      <c r="F43" s="650">
        <v>563091.35</v>
      </c>
      <c r="G43" s="613">
        <f t="shared" si="3"/>
        <v>2366.0399999999208</v>
      </c>
      <c r="H43" s="600">
        <f>G43+'[3]1'!H43</f>
        <v>4767.2800000000279</v>
      </c>
      <c r="I43" s="595"/>
      <c r="J43" s="693">
        <f>H43/DAY(B2)</f>
        <v>2383.640000000014</v>
      </c>
      <c r="K43" s="527"/>
      <c r="L43" s="421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'[3]1'!F44</f>
        <v>0</v>
      </c>
      <c r="F44" s="650">
        <v>0</v>
      </c>
      <c r="G44" s="613">
        <f t="shared" si="3"/>
        <v>0</v>
      </c>
      <c r="H44" s="600">
        <f>G44+'[3]1'!H44</f>
        <v>0</v>
      </c>
      <c r="I44" s="595"/>
      <c r="J44" s="693">
        <f>H44/DAY(B2)</f>
        <v>0</v>
      </c>
      <c r="K44" s="527"/>
      <c r="L44" s="421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'[3]1'!F45</f>
        <v>614.48</v>
      </c>
      <c r="F45" s="650">
        <v>614</v>
      </c>
      <c r="G45" s="613">
        <f t="shared" si="3"/>
        <v>-0.48000000000001819</v>
      </c>
      <c r="H45" s="600">
        <f>G45+'[3]1'!H45</f>
        <v>-0.48000000000001819</v>
      </c>
      <c r="I45" s="595"/>
      <c r="J45" s="693">
        <f>H45/DAY(B2)</f>
        <v>-0.24000000000000909</v>
      </c>
      <c r="K45" s="527"/>
      <c r="L45" s="421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'[3]1'!F46</f>
        <v>187.49</v>
      </c>
      <c r="F46" s="650">
        <v>187</v>
      </c>
      <c r="G46" s="613">
        <f t="shared" si="3"/>
        <v>-0.49000000000000909</v>
      </c>
      <c r="H46" s="600">
        <f>G46+'[3]1'!H46</f>
        <v>-0.49000000000000909</v>
      </c>
      <c r="I46" s="595"/>
      <c r="J46" s="693">
        <f>H46/DAY(B2)</f>
        <v>-0.24500000000000455</v>
      </c>
      <c r="K46" s="527"/>
      <c r="L46" s="421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11010.369999999997</v>
      </c>
      <c r="H47" s="600">
        <f>G47+'[3]1'!H47</f>
        <v>22219.660000000149</v>
      </c>
      <c r="I47" s="595"/>
      <c r="J47" s="693">
        <f>H47/DAY(B2)</f>
        <v>11109.830000000075</v>
      </c>
      <c r="K47" s="527"/>
      <c r="L47" s="421"/>
      <c r="N47" s="426"/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'[3]1'!F49</f>
        <v>11728.838</v>
      </c>
      <c r="F49" s="650">
        <v>11728.852000000001</v>
      </c>
      <c r="G49" s="613">
        <f t="shared" ref="G49:G58" si="4">F49-E49</f>
        <v>1.4000000001033186E-2</v>
      </c>
      <c r="H49" s="600">
        <f>G49+'[3]1'!H49</f>
        <v>1.4000000001033186E-2</v>
      </c>
      <c r="I49" s="595"/>
      <c r="J49" s="693">
        <f>H49/DAY(B2)</f>
        <v>7.000000000516593E-3</v>
      </c>
      <c r="K49" s="527"/>
      <c r="L49" s="421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'[3]1'!F50</f>
        <v>264693.75</v>
      </c>
      <c r="F50" s="650">
        <v>266038.17</v>
      </c>
      <c r="G50" s="613">
        <f t="shared" si="4"/>
        <v>1344.4199999999837</v>
      </c>
      <c r="H50" s="600">
        <f>G50+'[3]1'!H50</f>
        <v>2231.5999999999767</v>
      </c>
      <c r="I50" s="595"/>
      <c r="J50" s="693">
        <f>H50/DAY(B2)</f>
        <v>1115.7999999999884</v>
      </c>
      <c r="K50" s="527"/>
      <c r="L50" s="421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'[3]1'!F51</f>
        <v>0</v>
      </c>
      <c r="F51" s="650">
        <v>0</v>
      </c>
      <c r="G51" s="613">
        <f t="shared" si="4"/>
        <v>0</v>
      </c>
      <c r="H51" s="600">
        <f>G51+'[3]1'!H51</f>
        <v>0</v>
      </c>
      <c r="I51" s="595"/>
      <c r="J51" s="693">
        <f>H51/DAY(B2)</f>
        <v>0</v>
      </c>
      <c r="K51" s="527"/>
      <c r="L51" s="421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'[3]1'!F52</f>
        <v>320585.09000000003</v>
      </c>
      <c r="F52" s="650">
        <v>322299.03000000003</v>
      </c>
      <c r="G52" s="613">
        <f t="shared" si="4"/>
        <v>1713.9400000000023</v>
      </c>
      <c r="H52" s="600">
        <f>G52+'[3]1'!H52</f>
        <v>3634.3400000000256</v>
      </c>
      <c r="I52" s="595"/>
      <c r="J52" s="693">
        <f>H52/DAY(B2)</f>
        <v>1817.1700000000128</v>
      </c>
      <c r="K52" s="527"/>
      <c r="L52" s="421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'[3]1'!F53</f>
        <v>16071</v>
      </c>
      <c r="F53" s="650">
        <v>16071</v>
      </c>
      <c r="G53" s="613">
        <f t="shared" si="4"/>
        <v>0</v>
      </c>
      <c r="H53" s="600">
        <f>G53+'[3]1'!H53</f>
        <v>0</v>
      </c>
      <c r="I53" s="595"/>
      <c r="J53" s="693">
        <f>H53/DAY(B2)</f>
        <v>0</v>
      </c>
      <c r="K53" s="527"/>
      <c r="L53" s="421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'[3]1'!F54</f>
        <v>1478.9247</v>
      </c>
      <c r="F54" s="650">
        <v>1548.23</v>
      </c>
      <c r="G54" s="613">
        <f t="shared" si="4"/>
        <v>69.305299999999988</v>
      </c>
      <c r="H54" s="600">
        <f>G54+'[3]1'!H54</f>
        <v>144.56500000000005</v>
      </c>
      <c r="I54" s="595"/>
      <c r="J54" s="693">
        <f>H54/DAY(B2)</f>
        <v>72.282500000000027</v>
      </c>
      <c r="K54" s="527"/>
      <c r="L54" s="421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'[3]1'!F55</f>
        <v>158492.63</v>
      </c>
      <c r="F55" s="1197">
        <v>158492.73000000001</v>
      </c>
      <c r="G55" s="613">
        <f t="shared" si="4"/>
        <v>0.10000000000582077</v>
      </c>
      <c r="H55" s="600">
        <f>G55+'[3]1'!H55</f>
        <v>-0.26999999998952262</v>
      </c>
      <c r="I55" s="595"/>
      <c r="J55" s="693">
        <f>H55/DAY(B2)</f>
        <v>-0.13499999999476131</v>
      </c>
      <c r="K55" s="527"/>
      <c r="L55" s="421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'[3]1'!F56</f>
        <v>307997.67</v>
      </c>
      <c r="F56" s="1197">
        <v>312611.51</v>
      </c>
      <c r="G56" s="613">
        <f t="shared" si="4"/>
        <v>4613.8400000000256</v>
      </c>
      <c r="H56" s="600">
        <f>G56+'[3]1'!H56</f>
        <v>8621.7200000000303</v>
      </c>
      <c r="I56" s="595"/>
      <c r="J56" s="693">
        <f>H56/DAY(B2)</f>
        <v>4310.8600000000151</v>
      </c>
      <c r="K56" s="526"/>
      <c r="L56" s="421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'[3]1'!F57</f>
        <v>0</v>
      </c>
      <c r="F57" s="650">
        <v>0</v>
      </c>
      <c r="G57" s="613">
        <f t="shared" si="4"/>
        <v>0</v>
      </c>
      <c r="H57" s="600">
        <f>G57+'[3]1'!H57</f>
        <v>0</v>
      </c>
      <c r="I57" s="595"/>
      <c r="J57" s="693">
        <f>H57/DAY(B2)</f>
        <v>0</v>
      </c>
      <c r="K57" s="527"/>
      <c r="L57" s="421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'[3]1'!F58</f>
        <v>17514.005000000001</v>
      </c>
      <c r="F58" s="790">
        <v>17695.417000000001</v>
      </c>
      <c r="G58" s="613">
        <f t="shared" si="4"/>
        <v>181.41200000000026</v>
      </c>
      <c r="H58" s="600">
        <f>G58+'[3]1'!H58</f>
        <v>231.14600000000064</v>
      </c>
      <c r="I58" s="595"/>
      <c r="J58" s="693">
        <f>H58/DAY(B2)</f>
        <v>115.57300000000032</v>
      </c>
      <c r="K58" s="527"/>
      <c r="L58" s="421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7923.0313000000187</v>
      </c>
      <c r="H59" s="600">
        <f>G59+'[3]1'!H59</f>
        <v>14863.115000000045</v>
      </c>
      <c r="I59" s="595">
        <f>G7-G60</f>
        <v>498.59869999998409</v>
      </c>
      <c r="J59" s="693">
        <f>H59/DAY(B2)</f>
        <v>7431.5575000000226</v>
      </c>
      <c r="K59" s="527"/>
      <c r="L59" s="421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18933.401300000016</v>
      </c>
      <c r="H60" s="600">
        <f>G60+'[3]1'!H60</f>
        <v>37082.775000000198</v>
      </c>
      <c r="I60" s="595">
        <f>G13-G60</f>
        <v>-179.99130000004152</v>
      </c>
      <c r="J60" s="693">
        <f>H60/DAY(B2)</f>
        <v>18541.387500000099</v>
      </c>
      <c r="K60" s="527"/>
      <c r="L60" s="421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'[3]1'!F62</f>
        <v>20419.188999999998</v>
      </c>
      <c r="F62" s="654">
        <v>20419.188999999998</v>
      </c>
      <c r="G62" s="613">
        <f t="shared" ref="G62:G69" si="5">F62-E62</f>
        <v>0</v>
      </c>
      <c r="H62" s="600">
        <f>G62+'[3]1'!H62</f>
        <v>0</v>
      </c>
      <c r="I62" s="655"/>
      <c r="J62" s="693">
        <f>H62/DAY(B2)</f>
        <v>0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'[3]1'!F63</f>
        <v>318.15600000000001</v>
      </c>
      <c r="F63" s="654">
        <v>337.52915000000002</v>
      </c>
      <c r="G63" s="613">
        <f t="shared" si="5"/>
        <v>19.37315000000001</v>
      </c>
      <c r="H63" s="600">
        <f>G63+'[3]1'!H63</f>
        <v>39.069150000000036</v>
      </c>
      <c r="I63" s="655"/>
      <c r="J63" s="693">
        <f>H63/DAY(B2)</f>
        <v>19.534575000000018</v>
      </c>
      <c r="K63" s="527"/>
      <c r="L63" s="421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24">
        <f>'[3]1'!F64</f>
        <v>76427.986999999994</v>
      </c>
      <c r="F64" s="618">
        <v>76786.263000000006</v>
      </c>
      <c r="G64" s="613">
        <f t="shared" si="5"/>
        <v>358.27600000001257</v>
      </c>
      <c r="H64" s="600">
        <f>G64+'[3]1'!H64</f>
        <v>723.17600000000675</v>
      </c>
      <c r="I64" s="620"/>
      <c r="J64" s="693">
        <f>H64/DAY(B2)</f>
        <v>361.58800000000338</v>
      </c>
      <c r="K64" s="527"/>
      <c r="L64" s="421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624">
        <f>'[3]1'!F65</f>
        <v>85549.422999999995</v>
      </c>
      <c r="F65" s="788">
        <v>85945.463000000003</v>
      </c>
      <c r="G65" s="613">
        <f t="shared" si="5"/>
        <v>396.04000000000815</v>
      </c>
      <c r="H65" s="600">
        <f>G65+'[3]1'!H65</f>
        <v>786.19999999999709</v>
      </c>
      <c r="I65" s="629"/>
      <c r="J65" s="693">
        <f>H65/DAY(B2)</f>
        <v>393.09999999999854</v>
      </c>
      <c r="K65" s="527"/>
      <c r="L65" s="421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24">
        <f>'[3]1'!F66</f>
        <v>78580.457999999999</v>
      </c>
      <c r="F66" s="618">
        <v>78976.558999999994</v>
      </c>
      <c r="G66" s="613">
        <f t="shared" si="5"/>
        <v>396.10099999999511</v>
      </c>
      <c r="H66" s="600">
        <f>G66+'[3]1'!H66</f>
        <v>788.60099999999511</v>
      </c>
      <c r="I66" s="620"/>
      <c r="J66" s="693">
        <f>H66/DAY(B2)</f>
        <v>394.30049999999756</v>
      </c>
      <c r="K66" s="527"/>
      <c r="L66" s="421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24">
        <f>'[3]1'!F67</f>
        <v>126734.88</v>
      </c>
      <c r="F67" s="618">
        <v>127374.99</v>
      </c>
      <c r="G67" s="613">
        <f t="shared" si="5"/>
        <v>640.11000000000058</v>
      </c>
      <c r="H67" s="600">
        <f>G67+'[3]1'!H67</f>
        <v>1318.4900000000052</v>
      </c>
      <c r="I67" s="629"/>
      <c r="J67" s="693">
        <f>H67/DAY(B2)</f>
        <v>659.24500000000262</v>
      </c>
      <c r="K67" s="528"/>
      <c r="L67" s="421"/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624">
        <f>'[3]1'!F68</f>
        <v>33731.614999999998</v>
      </c>
      <c r="F68" s="618">
        <v>34045.735000000001</v>
      </c>
      <c r="G68" s="613">
        <f t="shared" si="5"/>
        <v>314.12000000000262</v>
      </c>
      <c r="H68" s="600">
        <f>G68+'[3]1'!H68</f>
        <v>645.8660000000018</v>
      </c>
      <c r="I68" s="656"/>
      <c r="J68" s="693">
        <f>H68/DAY(B2)</f>
        <v>322.9330000000009</v>
      </c>
      <c r="K68" s="529"/>
      <c r="L68" s="421"/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624">
        <f>'[3]1'!F69</f>
        <v>29531.217000000001</v>
      </c>
      <c r="F69" s="618">
        <v>29784.334999999999</v>
      </c>
      <c r="G69" s="613">
        <f t="shared" si="5"/>
        <v>253.11799999999857</v>
      </c>
      <c r="H69" s="600">
        <f>G69+'[3]1'!H69</f>
        <v>531.96999999999753</v>
      </c>
      <c r="I69" s="656"/>
      <c r="J69" s="693">
        <f>H69/DAY(B2)</f>
        <v>265.98499999999876</v>
      </c>
      <c r="K69" s="530"/>
      <c r="L69" s="421"/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659">
        <f>'[3]1'!F72</f>
        <v>843945</v>
      </c>
      <c r="F72" s="792">
        <v>843954</v>
      </c>
      <c r="G72" s="613">
        <f t="shared" ref="G72:G84" si="6">F72-E72</f>
        <v>9</v>
      </c>
      <c r="H72" s="600">
        <f>G72+'[3]1'!H72</f>
        <v>21</v>
      </c>
      <c r="I72" s="620"/>
      <c r="J72" s="693">
        <f>H72/DAY(B2)</f>
        <v>10.5</v>
      </c>
      <c r="K72" s="530"/>
      <c r="L72" s="421"/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660">
        <f>'[3]1'!F73</f>
        <v>885215</v>
      </c>
      <c r="F73" s="792">
        <v>885215</v>
      </c>
      <c r="G73" s="789">
        <f t="shared" si="6"/>
        <v>0</v>
      </c>
      <c r="H73" s="600">
        <f>G73+'[3]1'!H73</f>
        <v>0</v>
      </c>
      <c r="I73" s="620"/>
      <c r="J73" s="693">
        <f>H73/DAY(B2)</f>
        <v>0</v>
      </c>
      <c r="K73" s="529"/>
      <c r="L73" s="421"/>
      <c r="O73" s="426"/>
    </row>
    <row r="74" spans="1:15" ht="27.75">
      <c r="A74" s="1429" t="s">
        <v>204</v>
      </c>
      <c r="B74" s="1430"/>
      <c r="C74" s="1431"/>
      <c r="D74" s="663" t="s">
        <v>198</v>
      </c>
      <c r="E74" s="661">
        <f>'[3]1'!F74</f>
        <v>879652</v>
      </c>
      <c r="F74" s="792">
        <v>879672</v>
      </c>
      <c r="G74" s="613">
        <f t="shared" si="6"/>
        <v>20</v>
      </c>
      <c r="H74" s="600">
        <f>G74+'[3]1'!H74</f>
        <v>36</v>
      </c>
      <c r="I74" s="620"/>
      <c r="J74" s="693">
        <f>H74/DAY(B2)</f>
        <v>18</v>
      </c>
      <c r="K74" s="530"/>
      <c r="L74" s="421"/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661">
        <f>'[3]1'!F75</f>
        <v>721527</v>
      </c>
      <c r="F75" s="792">
        <v>721704</v>
      </c>
      <c r="G75" s="613">
        <f t="shared" si="6"/>
        <v>177</v>
      </c>
      <c r="H75" s="600">
        <f>G75+'[3]1'!H75</f>
        <v>338</v>
      </c>
      <c r="I75" s="620"/>
      <c r="J75" s="693">
        <f>H75/DAY(B2)</f>
        <v>169</v>
      </c>
      <c r="K75" s="529"/>
      <c r="L75" s="421"/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660">
        <f>'[3]1'!F76</f>
        <v>679712</v>
      </c>
      <c r="F76" s="792">
        <v>679796</v>
      </c>
      <c r="G76" s="613">
        <f t="shared" si="6"/>
        <v>84</v>
      </c>
      <c r="H76" s="600">
        <f>G76+'[3]1'!H76</f>
        <v>144</v>
      </c>
      <c r="I76" s="645"/>
      <c r="J76" s="693">
        <f>H76/DAY(B2)</f>
        <v>72</v>
      </c>
      <c r="K76" s="529"/>
      <c r="L76" s="421"/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660">
        <f>'[3]1'!F77</f>
        <v>692377</v>
      </c>
      <c r="F77" s="792">
        <v>692442</v>
      </c>
      <c r="G77" s="789">
        <f t="shared" si="6"/>
        <v>65</v>
      </c>
      <c r="H77" s="600">
        <f>G77+'[3]1'!H77</f>
        <v>135</v>
      </c>
      <c r="I77" s="645"/>
      <c r="J77" s="693">
        <f>H77/DAY(B2)</f>
        <v>67.5</v>
      </c>
      <c r="K77" s="529"/>
      <c r="L77" s="421"/>
      <c r="O77" s="426"/>
    </row>
    <row r="78" spans="1:15" ht="27.75">
      <c r="A78" s="1320" t="s">
        <v>208</v>
      </c>
      <c r="B78" s="1314"/>
      <c r="C78" s="1314"/>
      <c r="D78" s="663" t="s">
        <v>198</v>
      </c>
      <c r="E78" s="661">
        <f>'[3]1'!F78</f>
        <v>608343</v>
      </c>
      <c r="F78" s="792">
        <v>608600</v>
      </c>
      <c r="G78" s="613">
        <f t="shared" si="6"/>
        <v>257</v>
      </c>
      <c r="H78" s="600">
        <f>G78+'[3]1'!H78</f>
        <v>586</v>
      </c>
      <c r="I78" s="645"/>
      <c r="J78" s="693">
        <f>H78/DAY(B2)</f>
        <v>293</v>
      </c>
      <c r="K78" s="529"/>
      <c r="L78" s="421"/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661">
        <f>'[3]1'!F79</f>
        <v>792948</v>
      </c>
      <c r="F79" s="793">
        <v>793121</v>
      </c>
      <c r="G79" s="613">
        <f t="shared" si="6"/>
        <v>173</v>
      </c>
      <c r="H79" s="600">
        <f>G79+'[3]1'!H79</f>
        <v>333</v>
      </c>
      <c r="I79" s="645"/>
      <c r="J79" s="693">
        <f>H79/DAY(B2)</f>
        <v>166.5</v>
      </c>
      <c r="K79" s="529"/>
      <c r="L79" s="421"/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660">
        <f>'[3]1'!F80</f>
        <v>457168.04</v>
      </c>
      <c r="F80" s="792">
        <v>457462</v>
      </c>
      <c r="G80" s="613">
        <f t="shared" si="6"/>
        <v>293.96000000002095</v>
      </c>
      <c r="H80" s="600">
        <f>G80+'[3]1'!H80</f>
        <v>596.96000000002095</v>
      </c>
      <c r="I80" s="645"/>
      <c r="J80" s="693">
        <f>H80/DAY(B2)</f>
        <v>298.48000000001048</v>
      </c>
      <c r="K80" s="529"/>
      <c r="L80" s="421"/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'[3]1'!F81</f>
        <v>611204.28</v>
      </c>
      <c r="F81" s="792">
        <v>611299</v>
      </c>
      <c r="G81" s="613">
        <f t="shared" si="6"/>
        <v>94.71999999997206</v>
      </c>
      <c r="H81" s="600">
        <f>G81+'[3]1'!H81</f>
        <v>176.71999999997206</v>
      </c>
      <c r="I81" s="645"/>
      <c r="J81" s="693">
        <f>H81/DAY(B2)</f>
        <v>88.35999999998603</v>
      </c>
      <c r="K81" s="529"/>
      <c r="L81" s="421"/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660">
        <f>'[3]1'!F82</f>
        <v>103055.69</v>
      </c>
      <c r="F82" s="788">
        <v>103074</v>
      </c>
      <c r="G82" s="613">
        <f t="shared" si="6"/>
        <v>18.309999999997672</v>
      </c>
      <c r="H82" s="600">
        <f>G82+'[3]1'!H82</f>
        <v>44.05000000000291</v>
      </c>
      <c r="I82" s="626"/>
      <c r="J82" s="693">
        <f>H82/DAY(B2)</f>
        <v>22.025000000001455</v>
      </c>
      <c r="K82" s="529"/>
      <c r="L82" s="421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'[3]1'!F83</f>
        <v>952689</v>
      </c>
      <c r="F83" s="651">
        <v>952959</v>
      </c>
      <c r="G83" s="613">
        <f t="shared" si="6"/>
        <v>270</v>
      </c>
      <c r="H83" s="600">
        <f>G83+'[3]1'!H83</f>
        <v>716</v>
      </c>
      <c r="I83" s="621"/>
      <c r="J83" s="693">
        <f>H83/DAY(B2)</f>
        <v>358</v>
      </c>
      <c r="K83" s="528"/>
      <c r="L83" s="421"/>
      <c r="O83" s="426"/>
    </row>
    <row r="84" spans="1:15">
      <c r="A84" s="1321" t="s">
        <v>212</v>
      </c>
      <c r="B84" s="712"/>
      <c r="C84" s="712"/>
      <c r="D84" s="618" t="s">
        <v>143</v>
      </c>
      <c r="E84" s="651">
        <f>'[3]1'!F84</f>
        <v>367029</v>
      </c>
      <c r="F84" s="768">
        <v>367631</v>
      </c>
      <c r="G84" s="613">
        <f t="shared" si="6"/>
        <v>602</v>
      </c>
      <c r="H84" s="600">
        <f>G84+'[3]1'!H84</f>
        <v>1198</v>
      </c>
      <c r="I84" s="621"/>
      <c r="J84" s="693">
        <f>H84/DAY(B2)</f>
        <v>599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51">
        <f>'[3]1'!F85</f>
        <v>0</v>
      </c>
      <c r="F85" s="663"/>
      <c r="G85" s="600">
        <f xml:space="preserve"> SUM(G71:G84)</f>
        <v>2063.9899999999907</v>
      </c>
      <c r="H85" s="600">
        <f>G85+'[3]1'!H84</f>
        <v>2659.9899999999907</v>
      </c>
      <c r="I85" s="621"/>
      <c r="J85" s="693">
        <f>H85/DAY(B2)</f>
        <v>1329.9949999999953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651">
        <f>'[3]1'!F86</f>
        <v>437049.04</v>
      </c>
      <c r="F86" s="784">
        <v>437193</v>
      </c>
      <c r="G86" s="861">
        <f t="shared" ref="G86:G90" si="7">F86-E86</f>
        <v>143.96000000002095</v>
      </c>
      <c r="H86" s="861">
        <f t="shared" ref="H86:H88" si="8">G86</f>
        <v>143.96000000002095</v>
      </c>
      <c r="I86" s="789"/>
      <c r="J86" s="863">
        <f>H86/DAY(B2)</f>
        <v>71.980000000010477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651">
        <f>'[3]1'!F87</f>
        <v>76138</v>
      </c>
      <c r="F87" s="784">
        <v>76183</v>
      </c>
      <c r="G87" s="861">
        <f t="shared" si="7"/>
        <v>45</v>
      </c>
      <c r="H87" s="861">
        <f t="shared" si="8"/>
        <v>45</v>
      </c>
      <c r="I87" s="789"/>
      <c r="J87" s="863">
        <f>H87/DAY(B2)</f>
        <v>22.5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651">
        <f>'[3]1'!F88</f>
        <v>140183.75</v>
      </c>
      <c r="F88" s="784">
        <v>140263</v>
      </c>
      <c r="G88" s="861">
        <f t="shared" si="7"/>
        <v>79.25</v>
      </c>
      <c r="H88" s="861">
        <f t="shared" si="8"/>
        <v>79.25</v>
      </c>
      <c r="I88" s="789"/>
      <c r="J88" s="863">
        <f>H88/DAY(B2)</f>
        <v>39.625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651">
        <f>'[3]1'!F89</f>
        <v>54128</v>
      </c>
      <c r="F89" s="784">
        <v>54179</v>
      </c>
      <c r="G89" s="861">
        <f t="shared" si="7"/>
        <v>51</v>
      </c>
      <c r="H89" s="861">
        <f>G89+'[3]1'!H89</f>
        <v>83.19999999999709</v>
      </c>
      <c r="I89" s="789"/>
      <c r="J89" s="863">
        <f>H89/DAY(B2)</f>
        <v>41.599999999998545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651">
        <f>'[3]1'!F90</f>
        <v>2789</v>
      </c>
      <c r="F90" s="784">
        <v>2794</v>
      </c>
      <c r="G90" s="861">
        <f t="shared" si="7"/>
        <v>5</v>
      </c>
      <c r="H90" s="861">
        <f>G90+'[3]1'!H90</f>
        <v>8.3000000000001819</v>
      </c>
      <c r="I90" s="789"/>
      <c r="J90" s="863">
        <f>H90/DAY(B2)</f>
        <v>4.1500000000000909</v>
      </c>
      <c r="K90" s="889"/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'[3]1'!F92</f>
        <v>228755</v>
      </c>
      <c r="F92" s="618">
        <v>228852</v>
      </c>
      <c r="G92" s="613">
        <f t="shared" ref="G92:G93" si="9">F92-E92</f>
        <v>97</v>
      </c>
      <c r="H92" s="600">
        <f>G92+'[3]1'!H92</f>
        <v>202</v>
      </c>
      <c r="I92" s="620"/>
      <c r="J92" s="693">
        <f>H92/DAY(B2)</f>
        <v>101</v>
      </c>
      <c r="K92" s="528"/>
      <c r="L92" s="421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'[3]1'!F93</f>
        <v>158892</v>
      </c>
      <c r="F93" s="618">
        <v>159050</v>
      </c>
      <c r="G93" s="613">
        <f t="shared" si="9"/>
        <v>158</v>
      </c>
      <c r="H93" s="600">
        <f>G93+'[3]1'!H93</f>
        <v>343</v>
      </c>
      <c r="I93" s="620"/>
      <c r="J93" s="693">
        <f>H93/DAY(B2)</f>
        <v>171.5</v>
      </c>
      <c r="K93" s="424"/>
      <c r="L93" s="421"/>
      <c r="O93" s="426"/>
    </row>
    <row r="94" spans="1:15">
      <c r="A94" s="1460" t="s">
        <v>219</v>
      </c>
      <c r="B94" s="1461"/>
      <c r="C94" s="1462"/>
      <c r="D94" s="663"/>
      <c r="E94" s="624"/>
      <c r="F94" s="618"/>
      <c r="G94" s="613">
        <f>G92+G93</f>
        <v>255</v>
      </c>
      <c r="H94" s="600">
        <f>G94+'[3]1'!H94</f>
        <v>255</v>
      </c>
      <c r="I94" s="620"/>
      <c r="J94" s="693">
        <f>H94/DAY(B2)</f>
        <v>127.5</v>
      </c>
      <c r="K94" s="424"/>
      <c r="L94" s="421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'[3]1'!F95</f>
        <v>399934</v>
      </c>
      <c r="F95" s="618">
        <v>399996</v>
      </c>
      <c r="G95" s="613">
        <f t="shared" ref="G95:G100" si="10">F95-E95</f>
        <v>62</v>
      </c>
      <c r="H95" s="600">
        <f>G95+'[3]1'!H95</f>
        <v>110</v>
      </c>
      <c r="I95" s="620"/>
      <c r="J95" s="693">
        <f>H95/DAY(B2)</f>
        <v>55</v>
      </c>
      <c r="K95" s="424"/>
      <c r="L95" s="421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f>'[3]1'!F96</f>
        <v>98100</v>
      </c>
      <c r="F96" s="618">
        <v>98136</v>
      </c>
      <c r="G96" s="613">
        <f t="shared" si="10"/>
        <v>36</v>
      </c>
      <c r="H96" s="600">
        <f>G96+'[3]1'!H96</f>
        <v>85</v>
      </c>
      <c r="I96" s="620"/>
      <c r="J96" s="693">
        <f>H96/DAY(B2)</f>
        <v>42.5</v>
      </c>
      <c r="K96" s="526"/>
      <c r="L96" s="421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f>'[3]1'!F97</f>
        <v>93579</v>
      </c>
      <c r="F97" s="618">
        <v>93593</v>
      </c>
      <c r="G97" s="613">
        <f t="shared" si="10"/>
        <v>14</v>
      </c>
      <c r="H97" s="600">
        <f>G97+'[3]1'!H97</f>
        <v>28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f>'[3]1'!F98</f>
        <v>140960</v>
      </c>
      <c r="F98" s="618">
        <v>140991</v>
      </c>
      <c r="G98" s="613">
        <f t="shared" si="10"/>
        <v>31</v>
      </c>
      <c r="H98" s="600">
        <f>G98+'[3]1'!H98</f>
        <v>63</v>
      </c>
      <c r="I98" s="620"/>
      <c r="J98" s="693">
        <f>H98/DAY(B2)</f>
        <v>31.5</v>
      </c>
      <c r="K98" s="424"/>
      <c r="L98" s="421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f>'[3]1'!F99</f>
        <v>4733</v>
      </c>
      <c r="F99" s="618">
        <v>4745</v>
      </c>
      <c r="G99" s="613">
        <f t="shared" si="10"/>
        <v>12</v>
      </c>
      <c r="H99" s="600">
        <f>G99+'[3]1'!H99</f>
        <v>29</v>
      </c>
      <c r="I99" s="620"/>
      <c r="J99" s="693">
        <f>H99/DAY(B2)</f>
        <v>14.5</v>
      </c>
      <c r="K99" s="424"/>
      <c r="L99" s="421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f>'[3]1'!F100</f>
        <v>3674</v>
      </c>
      <c r="F100" s="618">
        <v>3674</v>
      </c>
      <c r="G100" s="613">
        <f t="shared" si="10"/>
        <v>0</v>
      </c>
      <c r="H100" s="600">
        <f>G100+'[3]1'!H100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60" t="s">
        <v>227</v>
      </c>
      <c r="B101" s="1461"/>
      <c r="C101" s="1462"/>
      <c r="D101" s="664"/>
      <c r="E101" s="664"/>
      <c r="F101" s="664"/>
      <c r="G101" s="665">
        <f>SUM(G95:G100)</f>
        <v>155</v>
      </c>
      <c r="H101" s="600">
        <f>G101+'[3]1'!H101</f>
        <v>315</v>
      </c>
      <c r="I101" s="666"/>
      <c r="J101" s="693">
        <f>H101/DAY(B2)</f>
        <v>157.5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21" t="s">
        <v>230</v>
      </c>
      <c r="B104" s="1422"/>
      <c r="C104" s="1316"/>
      <c r="D104" s="763" t="s">
        <v>155</v>
      </c>
      <c r="E104" s="672">
        <f>'[3]1'!F104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30</v>
      </c>
      <c r="O104" s="426"/>
    </row>
    <row r="105" spans="1:15" s="544" customFormat="1" ht="27.75">
      <c r="A105" s="1421" t="s">
        <v>77</v>
      </c>
      <c r="B105" s="1422"/>
      <c r="C105" s="1316"/>
      <c r="D105" s="763" t="s">
        <v>155</v>
      </c>
      <c r="E105" s="674">
        <f>'[3]1'!F105</f>
        <v>34515</v>
      </c>
      <c r="F105" s="796">
        <v>34528</v>
      </c>
      <c r="G105" s="672">
        <f t="shared" ref="G105:G106" si="11">F105-E105</f>
        <v>13</v>
      </c>
      <c r="H105" s="673">
        <f>SUM(G105+'[3]1'!G77)</f>
        <v>83</v>
      </c>
      <c r="I105" s="672"/>
      <c r="J105" s="699">
        <f>H105/DAY(B2)</f>
        <v>41.5</v>
      </c>
      <c r="O105" s="426"/>
    </row>
    <row r="106" spans="1:15" s="544" customFormat="1" ht="27.75">
      <c r="A106" s="1421" t="s">
        <v>78</v>
      </c>
      <c r="B106" s="1465"/>
      <c r="C106" s="1422"/>
      <c r="D106" s="763" t="s">
        <v>155</v>
      </c>
      <c r="E106" s="672">
        <f>'[3]1'!F106</f>
        <v>18629</v>
      </c>
      <c r="F106" s="795">
        <v>18638</v>
      </c>
      <c r="G106" s="672">
        <f t="shared" si="11"/>
        <v>9</v>
      </c>
      <c r="H106" s="673">
        <f>SUM(G106+'[3]1'!G78)</f>
        <v>338</v>
      </c>
      <c r="I106" s="672"/>
      <c r="J106" s="699">
        <f>H106/DAY(B2)</f>
        <v>169</v>
      </c>
      <c r="O106" s="426"/>
    </row>
    <row r="107" spans="1:15" s="544" customFormat="1" ht="27.75">
      <c r="A107" s="1423" t="s">
        <v>213</v>
      </c>
      <c r="B107" s="1424"/>
      <c r="C107" s="1316"/>
      <c r="D107" s="763"/>
      <c r="E107" s="672"/>
      <c r="F107" s="795"/>
      <c r="G107" s="672">
        <f>SUM(G104:G106)</f>
        <v>22</v>
      </c>
      <c r="H107" s="673">
        <f>SUM(G107+'[3]1'!G79)</f>
        <v>182</v>
      </c>
      <c r="I107" s="672"/>
      <c r="J107" s="699">
        <f>H107/DAY(B2)</f>
        <v>91</v>
      </c>
      <c r="O107" s="426"/>
    </row>
    <row r="108" spans="1:15" s="544" customFormat="1" ht="27.75">
      <c r="A108" s="1427" t="s">
        <v>79</v>
      </c>
      <c r="B108" s="1428"/>
      <c r="C108" s="1316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421" t="s">
        <v>231</v>
      </c>
      <c r="B109" s="1422"/>
      <c r="C109" s="1316"/>
      <c r="D109" s="763" t="s">
        <v>155</v>
      </c>
      <c r="E109" s="672">
        <f>'[3]1'!F109</f>
        <v>49676</v>
      </c>
      <c r="F109" s="795">
        <v>49784</v>
      </c>
      <c r="G109" s="672">
        <f>F109-E109</f>
        <v>108</v>
      </c>
      <c r="H109" s="673">
        <f>SUM(G109+'[3]1'!G81)</f>
        <v>190</v>
      </c>
      <c r="I109" s="672"/>
      <c r="J109" s="699">
        <f>H109/DAY(B2)</f>
        <v>95</v>
      </c>
      <c r="O109" s="426"/>
    </row>
    <row r="110" spans="1:15" s="544" customFormat="1" ht="27.75">
      <c r="A110" s="1421" t="s">
        <v>232</v>
      </c>
      <c r="B110" s="1422"/>
      <c r="C110" s="1316"/>
      <c r="D110" s="763" t="s">
        <v>155</v>
      </c>
      <c r="E110" s="672">
        <f>'[3]1'!F110</f>
        <v>24156</v>
      </c>
      <c r="F110" s="795">
        <v>24178</v>
      </c>
      <c r="G110" s="672">
        <f t="shared" ref="G110:G111" si="12">F110-E110</f>
        <v>22</v>
      </c>
      <c r="H110" s="673">
        <f>SUM(G110+'[3]1'!G82)</f>
        <v>47.740000000005239</v>
      </c>
      <c r="I110" s="672"/>
      <c r="J110" s="699">
        <f>H110/DAY(B2)</f>
        <v>23.870000000002619</v>
      </c>
      <c r="O110" s="426"/>
    </row>
    <row r="111" spans="1:15" s="544" customFormat="1" ht="27.75">
      <c r="A111" s="1421" t="s">
        <v>233</v>
      </c>
      <c r="B111" s="1422"/>
      <c r="C111" s="1316"/>
      <c r="D111" s="763" t="s">
        <v>155</v>
      </c>
      <c r="E111" s="672">
        <f>'[3]1'!F111</f>
        <v>3201</v>
      </c>
      <c r="F111" s="795">
        <v>3211</v>
      </c>
      <c r="G111" s="672">
        <f t="shared" si="12"/>
        <v>10</v>
      </c>
      <c r="H111" s="673">
        <f>SUM(G111+'[3]1'!G83)</f>
        <v>456</v>
      </c>
      <c r="I111" s="672"/>
      <c r="J111" s="699">
        <f>H111/DAY(B2)</f>
        <v>228</v>
      </c>
      <c r="O111" s="426"/>
    </row>
    <row r="112" spans="1:15" s="544" customFormat="1" ht="27.75">
      <c r="A112" s="1425" t="s">
        <v>121</v>
      </c>
      <c r="B112" s="1426"/>
      <c r="C112" s="1316"/>
      <c r="D112" s="763"/>
      <c r="E112" s="672"/>
      <c r="F112" s="795"/>
      <c r="G112" s="672">
        <f>SUM(G109:G111)</f>
        <v>140</v>
      </c>
      <c r="H112" s="673">
        <f>SUM(G112+'[3]1'!G84)</f>
        <v>736</v>
      </c>
      <c r="I112" s="672"/>
      <c r="J112" s="699">
        <f>H112/DAY(B2)</f>
        <v>368</v>
      </c>
      <c r="O112" s="426"/>
    </row>
    <row r="113" spans="1:15" s="544" customFormat="1" ht="27.75">
      <c r="A113" s="1427" t="s">
        <v>234</v>
      </c>
      <c r="B113" s="1428"/>
      <c r="C113" s="1316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421" t="s">
        <v>235</v>
      </c>
      <c r="B114" s="1422"/>
      <c r="C114" s="715"/>
      <c r="D114" s="763" t="s">
        <v>155</v>
      </c>
      <c r="E114" s="674">
        <f>'[3]1'!F114</f>
        <v>8302</v>
      </c>
      <c r="F114" s="796">
        <v>8318</v>
      </c>
      <c r="G114" s="674">
        <f>F114-E114</f>
        <v>16</v>
      </c>
      <c r="H114" s="673">
        <f>SUM(G114+'[3]1'!G91)</f>
        <v>16</v>
      </c>
      <c r="I114" s="672"/>
      <c r="J114" s="699">
        <f>H114/DAY(B2)</f>
        <v>8</v>
      </c>
      <c r="O114" s="426"/>
    </row>
    <row r="115" spans="1:15" s="544" customFormat="1" ht="27.75">
      <c r="A115" s="1421" t="s">
        <v>236</v>
      </c>
      <c r="B115" s="1422"/>
      <c r="C115" s="715"/>
      <c r="D115" s="763" t="s">
        <v>155</v>
      </c>
      <c r="E115" s="674">
        <f>'[3]1'!F115</f>
        <v>6551</v>
      </c>
      <c r="F115" s="796">
        <v>6559</v>
      </c>
      <c r="G115" s="674">
        <f t="shared" ref="G115:G116" si="13">F115-E115</f>
        <v>8</v>
      </c>
      <c r="H115" s="673">
        <f>SUM(G115+'[3]1'!G92)</f>
        <v>113</v>
      </c>
      <c r="I115" s="672"/>
      <c r="J115" s="699">
        <f>H115/DAY(B2)</f>
        <v>56.5</v>
      </c>
      <c r="O115" s="426"/>
    </row>
    <row r="116" spans="1:15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92.5</v>
      </c>
      <c r="O116" s="426"/>
    </row>
    <row r="117" spans="1:15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24</v>
      </c>
      <c r="H117" s="673">
        <f>SUM(G117+'[3]1'!G95)</f>
        <v>72</v>
      </c>
      <c r="I117" s="674"/>
      <c r="J117" s="699">
        <f>H117/DAY(B2)</f>
        <v>36</v>
      </c>
      <c r="O117" s="426"/>
    </row>
    <row r="118" spans="1:15" s="558" customFormat="1" ht="27.75">
      <c r="A118" s="1417" t="s">
        <v>238</v>
      </c>
      <c r="B118" s="1418"/>
      <c r="C118" s="1315"/>
      <c r="D118" s="765" t="s">
        <v>155</v>
      </c>
      <c r="E118" s="676"/>
      <c r="F118" s="797">
        <f>SUM(G19+G92)</f>
        <v>152</v>
      </c>
      <c r="G118" s="676">
        <f>SUM(G19+G92)</f>
        <v>152</v>
      </c>
      <c r="H118" s="673">
        <f>SUM(G118+'[3]1'!G96)</f>
        <v>201</v>
      </c>
      <c r="I118" s="675"/>
      <c r="J118" s="700">
        <f>H118/DAY(B2)</f>
        <v>100.5</v>
      </c>
      <c r="O118" s="426"/>
    </row>
    <row r="119" spans="1:15" s="558" customFormat="1" ht="27.75">
      <c r="A119" s="1417" t="s">
        <v>239</v>
      </c>
      <c r="B119" s="1418"/>
      <c r="C119" s="1315"/>
      <c r="D119" s="765" t="s">
        <v>155</v>
      </c>
      <c r="E119" s="676"/>
      <c r="F119" s="797">
        <f>SUM(G95,G96,G97,G99,G100)</f>
        <v>124</v>
      </c>
      <c r="G119" s="676">
        <f>SUM(G95,G96,G97,G99,G100)</f>
        <v>124</v>
      </c>
      <c r="H119" s="673">
        <f>SUM(G119+'[3]1'!G98)</f>
        <v>156</v>
      </c>
      <c r="I119" s="675"/>
      <c r="J119" s="700">
        <f>H119/DAY(B2)</f>
        <v>78</v>
      </c>
      <c r="O119" s="426"/>
    </row>
    <row r="120" spans="1:15" s="558" customFormat="1" ht="27.75">
      <c r="A120" s="1417" t="s">
        <v>240</v>
      </c>
      <c r="B120" s="1418"/>
      <c r="C120" s="1315"/>
      <c r="D120" s="765" t="s">
        <v>155</v>
      </c>
      <c r="E120" s="674"/>
      <c r="F120" s="796">
        <f>SUM(G112)</f>
        <v>140</v>
      </c>
      <c r="G120" s="674">
        <f>SUM(G112)</f>
        <v>140</v>
      </c>
      <c r="H120" s="673">
        <f>SUM(G120+'[3]1'!G100)</f>
        <v>140</v>
      </c>
      <c r="I120" s="675"/>
      <c r="J120" s="700">
        <f>H120/DAY(B2)</f>
        <v>70</v>
      </c>
      <c r="O120" s="426"/>
    </row>
    <row r="121" spans="1:15" s="544" customFormat="1" ht="27.75">
      <c r="A121" s="1419"/>
      <c r="B121" s="1420"/>
      <c r="C121" s="1316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f>'[3]1'!F123</f>
        <v>783118.50800000003</v>
      </c>
      <c r="F123" s="618">
        <v>783322.36600000004</v>
      </c>
      <c r="G123" s="613">
        <f t="shared" ref="G123:G127" si="14">F123-E123</f>
        <v>203.85800000000745</v>
      </c>
      <c r="H123" s="600">
        <f>G123+'[3]1'!H123</f>
        <v>397.47999999998137</v>
      </c>
      <c r="I123" s="666"/>
      <c r="J123" s="693">
        <f>H123/DAY(B2)</f>
        <v>198.73999999999069</v>
      </c>
      <c r="K123" s="424"/>
      <c r="L123" s="421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f>'[3]1'!F124</f>
        <v>73581</v>
      </c>
      <c r="F124" s="767">
        <v>73581</v>
      </c>
      <c r="G124" s="613">
        <f t="shared" si="14"/>
        <v>0</v>
      </c>
      <c r="H124" s="600">
        <f>G124+'[3]1'!H124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618">
        <f>'[3]1'!F125</f>
        <v>131169.64000000001</v>
      </c>
      <c r="F125" s="618">
        <v>131233.99</v>
      </c>
      <c r="G125" s="613">
        <f t="shared" si="14"/>
        <v>64.349999999976717</v>
      </c>
      <c r="H125" s="600">
        <f>G125+'[3]1'!H125</f>
        <v>127.76999999998952</v>
      </c>
      <c r="I125" s="666"/>
      <c r="J125" s="693">
        <f>H125/DAY(B2)</f>
        <v>63.884999999994761</v>
      </c>
      <c r="K125" s="424"/>
      <c r="L125" s="421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f>'[3]1'!F126</f>
        <v>55617.9</v>
      </c>
      <c r="F126" s="767">
        <v>55639.5</v>
      </c>
      <c r="G126" s="613">
        <f t="shared" si="14"/>
        <v>21.599999999998545</v>
      </c>
      <c r="H126" s="600">
        <f>G126+'[3]1'!H126</f>
        <v>53.69999999999709</v>
      </c>
      <c r="I126" s="666"/>
      <c r="J126" s="693">
        <f>H126/DAY(B2)</f>
        <v>26.849999999998545</v>
      </c>
      <c r="K126" s="424"/>
      <c r="L126" s="421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f>'[3]1'!F127</f>
        <v>8639</v>
      </c>
      <c r="F127" s="767">
        <v>8639</v>
      </c>
      <c r="G127" s="613">
        <f t="shared" si="14"/>
        <v>0</v>
      </c>
      <c r="H127" s="600">
        <f>G127+'[3]1'!H127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416.73100000012346</v>
      </c>
      <c r="H128" s="600">
        <f>G128+'[3]1'!H128</f>
        <v>625.12800000024436</v>
      </c>
      <c r="I128" s="620"/>
      <c r="J128" s="693">
        <f>H128/DAY(B2)</f>
        <v>312.56400000012218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f>'[3]1'!F130</f>
        <v>0</v>
      </c>
      <c r="F130" s="618">
        <v>0</v>
      </c>
      <c r="G130" s="613">
        <f t="shared" ref="G130:G140" si="15">F130-E130</f>
        <v>0</v>
      </c>
      <c r="H130" s="600">
        <f>G130+'[3]1'!H130</f>
        <v>0</v>
      </c>
      <c r="I130" s="620"/>
      <c r="J130" s="693">
        <f>H130/DAY(B2)</f>
        <v>0</v>
      </c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f>'[3]1'!F131</f>
        <v>0</v>
      </c>
      <c r="F131" s="618">
        <v>0</v>
      </c>
      <c r="G131" s="613">
        <f t="shared" si="15"/>
        <v>0</v>
      </c>
      <c r="H131" s="600">
        <f>G131+'[3]1'!H131</f>
        <v>0</v>
      </c>
      <c r="I131" s="620"/>
      <c r="J131" s="693">
        <f>H131/DAY(B2)</f>
        <v>0</v>
      </c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f>'[3]1'!F132</f>
        <v>38853</v>
      </c>
      <c r="F132" s="788">
        <v>38853</v>
      </c>
      <c r="G132" s="613">
        <f t="shared" si="15"/>
        <v>0</v>
      </c>
      <c r="H132" s="600">
        <f>G132+'[3]1'!H132</f>
        <v>0</v>
      </c>
      <c r="I132" s="620"/>
      <c r="J132" s="693">
        <f>H132/DAY(B2)</f>
        <v>0</v>
      </c>
      <c r="O132" s="426"/>
    </row>
    <row r="133" spans="1:15" ht="27.75">
      <c r="A133" s="1317" t="s">
        <v>253</v>
      </c>
      <c r="B133" s="1318"/>
      <c r="C133" s="1318"/>
      <c r="D133" s="663" t="s">
        <v>250</v>
      </c>
      <c r="E133" s="682">
        <f>'[3]1'!F133</f>
        <v>34948</v>
      </c>
      <c r="F133" s="788">
        <v>34948</v>
      </c>
      <c r="G133" s="613">
        <f t="shared" si="15"/>
        <v>0</v>
      </c>
      <c r="H133" s="600">
        <f>G133+'[3]1'!H133</f>
        <v>0</v>
      </c>
      <c r="I133" s="620">
        <f>G132+G133+G134+G135</f>
        <v>24</v>
      </c>
      <c r="J133" s="693">
        <f>H133/DAY(B2)</f>
        <v>0</v>
      </c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f>'[3]1'!F134</f>
        <v>39736</v>
      </c>
      <c r="F134" s="788">
        <v>39736</v>
      </c>
      <c r="G134" s="613">
        <f t="shared" si="15"/>
        <v>0</v>
      </c>
      <c r="H134" s="600">
        <f>G134+'[3]1'!H134</f>
        <v>-0.26999999999679858</v>
      </c>
      <c r="I134" s="620"/>
      <c r="J134" s="693">
        <f>H134/DAY(B2)</f>
        <v>-0.13499999999839929</v>
      </c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f>'[3]1'!F135</f>
        <v>31017.02</v>
      </c>
      <c r="F135" s="788">
        <v>31041.02</v>
      </c>
      <c r="G135" s="613">
        <f t="shared" si="15"/>
        <v>24</v>
      </c>
      <c r="H135" s="600">
        <f>G135+'[3]1'!H135</f>
        <v>48</v>
      </c>
      <c r="I135" s="620"/>
      <c r="J135" s="693">
        <f>H135/DAY(B2)</f>
        <v>24</v>
      </c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f>'[3]1'!F136</f>
        <v>21598.03</v>
      </c>
      <c r="F136" s="788">
        <v>21606.15</v>
      </c>
      <c r="G136" s="613">
        <f t="shared" si="15"/>
        <v>8.1200000000026193</v>
      </c>
      <c r="H136" s="600">
        <f>G136+'[3]1'!H136</f>
        <v>8.1200000000026193</v>
      </c>
      <c r="I136" s="620"/>
      <c r="J136" s="693">
        <f>H136/DAY(B2)</f>
        <v>4.0600000000013097</v>
      </c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f>'[3]1'!F137</f>
        <v>24902.25</v>
      </c>
      <c r="F137" s="788">
        <v>24902.25</v>
      </c>
      <c r="G137" s="613">
        <f t="shared" si="15"/>
        <v>0</v>
      </c>
      <c r="H137" s="600">
        <f>G137+'[3]1'!H137</f>
        <v>0</v>
      </c>
      <c r="I137" s="620"/>
      <c r="J137" s="693">
        <f>H137/DAY(B2)</f>
        <v>0</v>
      </c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f>'[3]1'!F138</f>
        <v>69890.350000000006</v>
      </c>
      <c r="F138" s="788">
        <v>69891.89</v>
      </c>
      <c r="G138" s="613">
        <f t="shared" si="15"/>
        <v>1.5399999999935972</v>
      </c>
      <c r="H138" s="600">
        <f>G138+'[3]1'!H138</f>
        <v>10.240000000005239</v>
      </c>
      <c r="I138" s="620">
        <f>G136+G137+G138</f>
        <v>9.6599999999962165</v>
      </c>
      <c r="J138" s="693">
        <f>H138/DAY(B2)</f>
        <v>5.1200000000026193</v>
      </c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24">
        <f>'[3]1'!F139</f>
        <v>781.87</v>
      </c>
      <c r="F139" s="618">
        <v>785.22</v>
      </c>
      <c r="G139" s="613">
        <f t="shared" si="15"/>
        <v>3.3500000000000227</v>
      </c>
      <c r="H139" s="600">
        <f>G139+'[3]1'!H139</f>
        <v>8.7900000000000773</v>
      </c>
      <c r="I139" s="683"/>
      <c r="J139" s="693">
        <f>H139/DAY(B2)</f>
        <v>4.3950000000000387</v>
      </c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24">
        <f>'[3]1'!F140</f>
        <v>4154.2700000000004</v>
      </c>
      <c r="F140" s="618">
        <v>4156.9799999999996</v>
      </c>
      <c r="G140" s="613">
        <f t="shared" si="15"/>
        <v>2.7099999999991269</v>
      </c>
      <c r="H140" s="600">
        <f>G140+'[3]1'!H140</f>
        <v>2.7099999999991269</v>
      </c>
      <c r="I140" s="683">
        <f>G139+G140</f>
        <v>6.0599999999991496</v>
      </c>
      <c r="J140" s="693">
        <f>H140/DAY(B2)</f>
        <v>1.3549999999995634</v>
      </c>
      <c r="O140" s="426"/>
    </row>
    <row r="141" spans="1:15">
      <c r="A141" s="1438" t="s">
        <v>261</v>
      </c>
      <c r="B141" s="1439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4894.13399999988</v>
      </c>
      <c r="H142" s="600">
        <f>G142+'[3]1'!H142</f>
        <v>10028.934000000043</v>
      </c>
      <c r="I142" s="620"/>
      <c r="J142" s="693">
        <f>H142/DAY(B2)</f>
        <v>5014.4670000000215</v>
      </c>
      <c r="K142" s="424"/>
      <c r="L142" s="421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0.25185951008644913</v>
      </c>
      <c r="H143" s="600">
        <f>G143+'[3]1'!H153</f>
        <v>0.33397214064529346</v>
      </c>
      <c r="I143" s="685"/>
      <c r="J143" s="693">
        <f>H143/DAY(B2)</f>
        <v>0.16698607032264673</v>
      </c>
      <c r="K143" s="424"/>
      <c r="L143" s="421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4613.8700000000827</v>
      </c>
      <c r="H144" s="600">
        <f>G144+'[3]1'!H144</f>
        <v>8621.380000000092</v>
      </c>
      <c r="I144" s="620"/>
      <c r="J144" s="693">
        <f>H144/DAY(B2)</f>
        <v>4310.690000000046</v>
      </c>
      <c r="K144" s="424"/>
      <c r="L144" s="421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0.23743670234664896</v>
      </c>
      <c r="H145" s="600">
        <f>G145+'[3]1'!H145</f>
        <v>0.45319582800617353</v>
      </c>
      <c r="I145" s="685"/>
      <c r="J145" s="693">
        <f>H145/DAY(B2)</f>
        <v>0.22659791400308676</v>
      </c>
      <c r="K145" s="424"/>
      <c r="L145" s="421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3998.4000000000233</v>
      </c>
      <c r="H146" s="600">
        <f>G146+'[3]1'!H146</f>
        <v>8083.6800000000512</v>
      </c>
      <c r="I146" s="686"/>
      <c r="J146" s="693">
        <f>H146/DAY(B2)</f>
        <v>4041.8400000000256</v>
      </c>
      <c r="K146" s="424"/>
      <c r="L146" s="421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0.20576368876080811</v>
      </c>
      <c r="H147" s="600">
        <f>G147+'[3]1'!H147</f>
        <v>0.4257098500615526</v>
      </c>
      <c r="I147" s="686"/>
      <c r="J147" s="693">
        <f>H147/DAY(B2)</f>
        <v>0.2128549250307763</v>
      </c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1713.9400000000023</v>
      </c>
      <c r="H148" s="600">
        <f>G148+'[3]1'!H148</f>
        <v>3634.3400000000256</v>
      </c>
      <c r="I148" s="620"/>
      <c r="J148" s="693">
        <f>H148/DAY(B2)</f>
        <v>1817.1700000000128</v>
      </c>
      <c r="K148" s="425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8.8201934952655534E-2</v>
      </c>
      <c r="H149" s="600">
        <f>G149+'[3]1'!H149</f>
        <v>0.19159377300584943</v>
      </c>
      <c r="I149" s="686"/>
      <c r="J149" s="693">
        <f>H149/DAY(B2)</f>
        <v>9.5796886502924714E-2</v>
      </c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1939.6299999999756</v>
      </c>
      <c r="H150" s="600">
        <f>G150+'[3]1'!H150</f>
        <v>3290.8599999999569</v>
      </c>
      <c r="I150" s="686"/>
      <c r="J150" s="693">
        <f>H150/DAY(B2)</f>
        <v>1645.4299999999785</v>
      </c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9.9816282420748026E-2</v>
      </c>
      <c r="H151" s="600">
        <f>G151+'[3]1'!H151</f>
        <v>0.17256474801781818</v>
      </c>
      <c r="I151" s="620"/>
      <c r="J151" s="693">
        <f>H151/DAY(B2)</f>
        <v>8.6282374008909091E-2</v>
      </c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1523.6800000000512</v>
      </c>
      <c r="H152" s="600">
        <f>G152+'[3]1'!H152</f>
        <v>3048.8400000000256</v>
      </c>
      <c r="I152" s="620"/>
      <c r="J152" s="693">
        <f>H152/DAY(B2)</f>
        <v>1524.4200000000128</v>
      </c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7.8410868670237305E-2</v>
      </c>
      <c r="H153" s="600">
        <f>G153+'[3]1'!H153</f>
        <v>0.16052349922908163</v>
      </c>
      <c r="I153" s="709"/>
      <c r="J153" s="710">
        <f>H153/DAY(B2)</f>
        <v>8.0261749614540814E-2</v>
      </c>
      <c r="O153" s="426"/>
    </row>
    <row r="154" spans="1:15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O154" s="426"/>
    </row>
    <row r="157" spans="1:15" ht="29.25" customHeight="1">
      <c r="A157" s="1466" t="s">
        <v>278</v>
      </c>
      <c r="B157" s="1467"/>
      <c r="C157" s="1467"/>
      <c r="D157" s="1467"/>
      <c r="E157" s="1467"/>
      <c r="F157" s="1467"/>
      <c r="G157" s="1468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'[3]1'!F160</f>
        <v>21717.564999999999</v>
      </c>
      <c r="F160" s="795">
        <v>21795</v>
      </c>
      <c r="G160" s="613">
        <f t="shared" ref="G160:G171" si="16">F160-E160</f>
        <v>77.43500000000131</v>
      </c>
    </row>
    <row r="161" spans="1:7">
      <c r="A161" s="946" t="s">
        <v>275</v>
      </c>
      <c r="B161" s="947"/>
      <c r="C161" s="947"/>
      <c r="D161" s="651" t="s">
        <v>198</v>
      </c>
      <c r="E161" s="795">
        <f>'[3]1'!F161</f>
        <v>13791.3</v>
      </c>
      <c r="F161" s="795">
        <v>13880</v>
      </c>
      <c r="G161" s="613">
        <f>F161-E161</f>
        <v>88.700000000000728</v>
      </c>
    </row>
    <row r="162" spans="1:7">
      <c r="A162" s="946" t="s">
        <v>276</v>
      </c>
      <c r="B162" s="947"/>
      <c r="C162" s="947"/>
      <c r="D162" s="651" t="s">
        <v>198</v>
      </c>
      <c r="E162" s="795">
        <f>'[3]1'!F162</f>
        <v>30657.753000000001</v>
      </c>
      <c r="F162" s="795">
        <v>30917.352999999999</v>
      </c>
      <c r="G162" s="613">
        <f t="shared" si="16"/>
        <v>259.59999999999854</v>
      </c>
    </row>
    <row r="163" spans="1:7">
      <c r="A163" s="946" t="s">
        <v>277</v>
      </c>
      <c r="B163" s="947"/>
      <c r="C163" s="947"/>
      <c r="D163" s="651" t="s">
        <v>198</v>
      </c>
      <c r="E163" s="795">
        <f>'[3]1'!F163</f>
        <v>3055.6233000000002</v>
      </c>
      <c r="F163" s="795">
        <v>3069.5119</v>
      </c>
      <c r="G163" s="613">
        <f t="shared" si="16"/>
        <v>13.888599999999769</v>
      </c>
    </row>
    <row r="164" spans="1:7">
      <c r="A164" s="948" t="s">
        <v>106</v>
      </c>
      <c r="B164" s="745"/>
      <c r="C164" s="745"/>
      <c r="D164" s="651" t="s">
        <v>198</v>
      </c>
      <c r="E164" s="795">
        <f>'[3]1'!F164</f>
        <v>20419.188999999998</v>
      </c>
      <c r="F164" s="654">
        <f>F62</f>
        <v>20419.188999999998</v>
      </c>
      <c r="G164" s="613">
        <f t="shared" si="16"/>
        <v>0</v>
      </c>
    </row>
    <row r="165" spans="1:7">
      <c r="A165" s="948" t="s">
        <v>199</v>
      </c>
      <c r="B165" s="745"/>
      <c r="C165" s="745"/>
      <c r="D165" s="651" t="s">
        <v>198</v>
      </c>
      <c r="E165" s="795">
        <f>'[3]1'!F165</f>
        <v>318.15600000000001</v>
      </c>
      <c r="F165" s="654">
        <f t="shared" ref="F165:F171" si="17">F63</f>
        <v>337.52915000000002</v>
      </c>
      <c r="G165" s="613">
        <f t="shared" si="16"/>
        <v>19.37315000000001</v>
      </c>
    </row>
    <row r="166" spans="1:7" ht="27.75">
      <c r="A166" s="1314" t="s">
        <v>107</v>
      </c>
      <c r="B166" s="1314"/>
      <c r="C166" s="1314"/>
      <c r="D166" s="663" t="s">
        <v>198</v>
      </c>
      <c r="E166" s="795">
        <f>'[3]1'!F166</f>
        <v>76427.986999999994</v>
      </c>
      <c r="F166" s="654">
        <f t="shared" si="17"/>
        <v>76786.263000000006</v>
      </c>
      <c r="G166" s="613">
        <f t="shared" si="16"/>
        <v>358.27600000001257</v>
      </c>
    </row>
    <row r="167" spans="1:7" ht="27.75">
      <c r="A167" s="1314" t="s">
        <v>108</v>
      </c>
      <c r="B167" s="1314"/>
      <c r="C167" s="1314"/>
      <c r="D167" s="663" t="s">
        <v>198</v>
      </c>
      <c r="E167" s="795">
        <f>'[3]1'!F167</f>
        <v>85549.422999999995</v>
      </c>
      <c r="F167" s="654">
        <f t="shared" si="17"/>
        <v>85945.463000000003</v>
      </c>
      <c r="G167" s="613">
        <f t="shared" si="16"/>
        <v>396.04000000000815</v>
      </c>
    </row>
    <row r="168" spans="1:7" ht="27.75">
      <c r="A168" s="1314" t="s">
        <v>109</v>
      </c>
      <c r="B168" s="1314"/>
      <c r="C168" s="1314"/>
      <c r="D168" s="663" t="s">
        <v>198</v>
      </c>
      <c r="E168" s="795">
        <f>'[3]1'!F168</f>
        <v>78580.457999999999</v>
      </c>
      <c r="F168" s="654">
        <f t="shared" si="17"/>
        <v>78976.558999999994</v>
      </c>
      <c r="G168" s="613">
        <f t="shared" si="16"/>
        <v>396.10099999999511</v>
      </c>
    </row>
    <row r="169" spans="1:7" ht="27.75">
      <c r="A169" s="1314" t="s">
        <v>110</v>
      </c>
      <c r="B169" s="1314"/>
      <c r="C169" s="1314"/>
      <c r="D169" s="663" t="s">
        <v>198</v>
      </c>
      <c r="E169" s="795">
        <f>'[3]1'!F169</f>
        <v>126734.88</v>
      </c>
      <c r="F169" s="654">
        <f t="shared" si="17"/>
        <v>127374.99</v>
      </c>
      <c r="G169" s="613">
        <f t="shared" si="16"/>
        <v>640.11000000000058</v>
      </c>
    </row>
    <row r="170" spans="1:7" ht="27.75">
      <c r="A170" s="1314" t="s">
        <v>111</v>
      </c>
      <c r="B170" s="1314"/>
      <c r="C170" s="1314"/>
      <c r="D170" s="663" t="s">
        <v>198</v>
      </c>
      <c r="E170" s="795">
        <f>'[3]1'!F170</f>
        <v>33731.614999999998</v>
      </c>
      <c r="F170" s="654">
        <f t="shared" si="17"/>
        <v>34045.735000000001</v>
      </c>
      <c r="G170" s="613">
        <f t="shared" si="16"/>
        <v>314.12000000000262</v>
      </c>
    </row>
    <row r="171" spans="1:7" ht="27.75">
      <c r="A171" s="1314" t="s">
        <v>112</v>
      </c>
      <c r="B171" s="1314"/>
      <c r="C171" s="1314"/>
      <c r="D171" s="663" t="s">
        <v>198</v>
      </c>
      <c r="E171" s="795">
        <f>'[3]1'!F171</f>
        <v>29531.217000000001</v>
      </c>
      <c r="F171" s="654">
        <f t="shared" si="17"/>
        <v>29784.334999999999</v>
      </c>
      <c r="G171" s="613">
        <f t="shared" si="16"/>
        <v>253.11799999999857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6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293</v>
      </c>
      <c r="B2" s="1195">
        <v>44138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31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'[3]2'!F7</f>
        <v>2143031</v>
      </c>
      <c r="F7" s="595">
        <v>2161168</v>
      </c>
      <c r="G7" s="826">
        <f>F7-E7</f>
        <v>18137</v>
      </c>
      <c r="H7" s="816">
        <f>G7+'[3]2'!H7</f>
        <v>56143</v>
      </c>
      <c r="I7" s="817">
        <f>'[3]1'!I7</f>
        <v>12000</v>
      </c>
      <c r="J7" s="818">
        <f>H7/DAY(B2)</f>
        <v>18714.333333333332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5">
        <f>'[3]2'!F8</f>
        <v>2153590</v>
      </c>
      <c r="F8" s="615">
        <v>2171790</v>
      </c>
      <c r="G8" s="826">
        <f>F8-E8</f>
        <v>18200</v>
      </c>
      <c r="H8" s="816">
        <f>G8+'[3]2'!H8</f>
        <v>56349</v>
      </c>
      <c r="I8" s="823">
        <v>12000</v>
      </c>
      <c r="J8" s="818">
        <f>H8/DAY(B2)</f>
        <v>18783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'[3]2'!F9</f>
        <v>2053696.7</v>
      </c>
      <c r="F9" s="618">
        <v>2071206.7</v>
      </c>
      <c r="G9" s="839">
        <f t="shared" ref="G9:G12" si="0">F9-E9</f>
        <v>17510</v>
      </c>
      <c r="H9" s="816">
        <f>G9+'[3]2'!H9</f>
        <v>54201.399999999907</v>
      </c>
      <c r="I9" s="827">
        <f>I8-J8</f>
        <v>-6783</v>
      </c>
      <c r="J9" s="818">
        <f>H9/DAY(B2)</f>
        <v>18067.133333333302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'[3]2'!F10</f>
        <v>454610</v>
      </c>
      <c r="F10" s="618">
        <v>454610</v>
      </c>
      <c r="G10" s="826">
        <f t="shared" si="0"/>
        <v>0</v>
      </c>
      <c r="H10" s="816">
        <f>G10+'[3]2'!H10</f>
        <v>0.21000000002095476</v>
      </c>
      <c r="I10" s="828"/>
      <c r="J10" s="818">
        <f>H10/DAY(B2)</f>
        <v>7.0000000006984919E-2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'[3]2'!F11</f>
        <v>35390</v>
      </c>
      <c r="F11" s="595">
        <v>35390</v>
      </c>
      <c r="G11" s="826">
        <f t="shared" si="0"/>
        <v>0</v>
      </c>
      <c r="H11" s="816">
        <f>G11+'[3]2'!H11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'[3]2'!F12</f>
        <v>37630</v>
      </c>
      <c r="F12" s="618">
        <v>37630</v>
      </c>
      <c r="G12" s="826">
        <f t="shared" si="0"/>
        <v>0</v>
      </c>
      <c r="H12" s="816">
        <f>G12+'[3]2'!H12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17510</v>
      </c>
      <c r="H13" s="816">
        <f>G13+'[3]2'!H13</f>
        <v>54201.609999999928</v>
      </c>
      <c r="I13" s="832">
        <f>G7-G13</f>
        <v>627</v>
      </c>
      <c r="J13" s="818">
        <f>H13/DAY(B2)</f>
        <v>18067.203333333309</v>
      </c>
      <c r="K13" s="527"/>
      <c r="L13" s="421"/>
      <c r="O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625">
        <f>'[3]2'!F15</f>
        <v>1531319.2720000001</v>
      </c>
      <c r="F15" s="625">
        <v>1531765.132</v>
      </c>
      <c r="G15" s="941">
        <f>F15-E15</f>
        <v>445.85999999986961</v>
      </c>
      <c r="H15" s="626">
        <f>G15+'[3]2'!H15</f>
        <v>1649.938000000082</v>
      </c>
      <c r="I15" s="614">
        <v>800</v>
      </c>
      <c r="J15" s="694">
        <f>H15/DAY(B2)</f>
        <v>549.97933333336061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250.02066666663939</v>
      </c>
      <c r="J16" s="694"/>
      <c r="K16" s="527"/>
      <c r="L16" s="421"/>
      <c r="O16" s="426"/>
    </row>
    <row r="17" spans="1:1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478" t="s">
        <v>154</v>
      </c>
      <c r="B18" s="1479"/>
      <c r="C18" s="1480"/>
      <c r="D18" s="779" t="s">
        <v>155</v>
      </c>
      <c r="E18" s="776">
        <f>'[3]2'!F18</f>
        <v>13</v>
      </c>
      <c r="F18" s="618">
        <v>8</v>
      </c>
      <c r="G18" s="831">
        <f>F18*10</f>
        <v>80</v>
      </c>
      <c r="H18" s="816">
        <f>G18+'[3]2'!H18</f>
        <v>350</v>
      </c>
      <c r="I18" s="817">
        <f>'[3]1'!I18</f>
        <v>65</v>
      </c>
      <c r="J18" s="818">
        <f>H18/DAY(B2)</f>
        <v>116.66666666666667</v>
      </c>
      <c r="K18" s="527"/>
      <c r="L18" s="421"/>
      <c r="O18" s="426"/>
    </row>
    <row r="19" spans="1:15" ht="27.75">
      <c r="A19" s="1478" t="s">
        <v>71</v>
      </c>
      <c r="B19" s="1479"/>
      <c r="C19" s="1480"/>
      <c r="D19" s="779" t="s">
        <v>155</v>
      </c>
      <c r="E19" s="776">
        <f>'[3]2'!F19</f>
        <v>128305</v>
      </c>
      <c r="F19" s="618">
        <v>128358</v>
      </c>
      <c r="G19" s="826">
        <f t="shared" ref="G19" si="1">F19-E19</f>
        <v>53</v>
      </c>
      <c r="H19" s="816">
        <f>G19+'[3]2'!H19</f>
        <v>163</v>
      </c>
      <c r="I19" s="833"/>
      <c r="J19" s="818">
        <f>H19/DAY(B2)</f>
        <v>54.333333333333336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133</v>
      </c>
      <c r="H20" s="816">
        <f>G20+'[3]2'!H20</f>
        <v>513</v>
      </c>
      <c r="I20" s="835">
        <f>I18-J20</f>
        <v>-106</v>
      </c>
      <c r="J20" s="818">
        <f>H20/DAY(B2)</f>
        <v>171</v>
      </c>
      <c r="K20" s="527"/>
      <c r="L20" s="421"/>
      <c r="O20" s="426"/>
    </row>
    <row r="21" spans="1:1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17" t="s">
        <v>158</v>
      </c>
      <c r="B22" s="730"/>
      <c r="C22" s="730"/>
      <c r="D22" s="663" t="s">
        <v>159</v>
      </c>
      <c r="E22" s="776">
        <f>'[3]2'!F22</f>
        <v>2250</v>
      </c>
      <c r="F22" s="618">
        <v>2250</v>
      </c>
      <c r="G22" s="621">
        <f t="shared" ref="G22" si="2">(F22-E22)</f>
        <v>0</v>
      </c>
      <c r="H22" s="600">
        <f>G22+'[3]2'!H22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17" t="s">
        <v>160</v>
      </c>
      <c r="B23" s="730"/>
      <c r="C23" s="730"/>
      <c r="D23" s="663" t="s">
        <v>159</v>
      </c>
      <c r="E23" s="776">
        <f>'[3]2'!F23</f>
        <v>2000</v>
      </c>
      <c r="F23" s="618">
        <v>2000</v>
      </c>
      <c r="G23" s="621">
        <v>0</v>
      </c>
      <c r="H23" s="600">
        <f>G23+'[3]2'!H23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'[3]2'!F24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18200</v>
      </c>
      <c r="F27" s="641">
        <v>9.5</v>
      </c>
      <c r="G27" s="642">
        <f>E27*F27</f>
        <v>172900</v>
      </c>
      <c r="H27" s="600">
        <f>G27+'[3]2'!H27</f>
        <v>535315.5</v>
      </c>
      <c r="I27" s="643"/>
      <c r="J27" s="693">
        <f>H27/DAY(B2)</f>
        <v>178438.5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445.85999999986961</v>
      </c>
      <c r="F28" s="641">
        <v>36.5</v>
      </c>
      <c r="G28" s="642">
        <f>E28*F28</f>
        <v>16273.889999995241</v>
      </c>
      <c r="H28" s="600">
        <f>G28+'[3]2'!H28</f>
        <v>60222.737000002991</v>
      </c>
      <c r="I28" s="645"/>
      <c r="J28" s="693">
        <f>H28/DAY(B2)</f>
        <v>20074.245666667663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>E30*F30</f>
        <v>7685</v>
      </c>
      <c r="H30" s="600">
        <f>G30+'[3]2'!H30</f>
        <v>23635</v>
      </c>
      <c r="I30" s="645"/>
      <c r="J30" s="693">
        <f>H30/DAY(B2)</f>
        <v>7878.333333333333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G31+'[3]2'!H31</f>
        <v>28000</v>
      </c>
      <c r="I31" s="645"/>
      <c r="J31" s="693">
        <f>H31/DAY(B2)</f>
        <v>9333.3333333333339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203258.88999999524</v>
      </c>
      <c r="H32" s="600">
        <f>G32+'[3]2'!H32</f>
        <v>647173.23700000299</v>
      </c>
      <c r="I32" s="649"/>
      <c r="J32" s="693">
        <f>H32/DAY(B2)</f>
        <v>215724.41233333433</v>
      </c>
      <c r="K32" s="417"/>
      <c r="L32" s="547"/>
      <c r="O32" s="426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'[3]2'!F35</f>
        <v>608605.11</v>
      </c>
      <c r="F35" s="650">
        <v>611135.91</v>
      </c>
      <c r="G35" s="613">
        <f t="shared" ref="G35:G46" si="3">F35-E35</f>
        <v>2530.8000000000466</v>
      </c>
      <c r="H35" s="600">
        <f>G35+'[3]2'!H35</f>
        <v>7792.4400000000605</v>
      </c>
      <c r="I35" s="595"/>
      <c r="J35" s="693">
        <f>H35/DAY(B2)</f>
        <v>2597.48000000002</v>
      </c>
      <c r="K35" s="527"/>
      <c r="L35" s="421"/>
      <c r="N35" s="426">
        <v>1574.640000000014</v>
      </c>
      <c r="O35" s="426">
        <f>G35-N35</f>
        <v>956.1600000000326</v>
      </c>
    </row>
    <row r="36" spans="1:15">
      <c r="A36" s="719" t="s">
        <v>176</v>
      </c>
      <c r="B36" s="720"/>
      <c r="C36" s="720"/>
      <c r="D36" s="663" t="s">
        <v>143</v>
      </c>
      <c r="E36" s="650">
        <f>'[3]2'!F36</f>
        <v>212419.21</v>
      </c>
      <c r="F36" s="650">
        <v>212971.93</v>
      </c>
      <c r="G36" s="613">
        <f t="shared" si="3"/>
        <v>552.72000000000116</v>
      </c>
      <c r="H36" s="600">
        <f>G36+'[3]2'!H36</f>
        <v>1611.9799999999814</v>
      </c>
      <c r="I36" s="595"/>
      <c r="J36" s="693">
        <f>H36/DAY(B2)</f>
        <v>537.32666666666046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'[3]2'!F37</f>
        <v>402893.03</v>
      </c>
      <c r="F37" s="650">
        <v>404374.95</v>
      </c>
      <c r="G37" s="613">
        <f t="shared" si="3"/>
        <v>1481.9199999999837</v>
      </c>
      <c r="H37" s="600">
        <f>G37+'[3]2'!H37</f>
        <v>4530.7600000000093</v>
      </c>
      <c r="I37" s="595"/>
      <c r="J37" s="693">
        <f>H37/DAY(B2)</f>
        <v>1510.2533333333365</v>
      </c>
      <c r="K37" s="527"/>
      <c r="L37" s="421"/>
      <c r="N37" s="426">
        <v>1333.5200000000186</v>
      </c>
      <c r="O37" s="426">
        <f t="shared" ref="O37:O60" si="4">G37-N37</f>
        <v>148.39999999996508</v>
      </c>
    </row>
    <row r="38" spans="1:15">
      <c r="A38" s="719" t="s">
        <v>178</v>
      </c>
      <c r="B38" s="720"/>
      <c r="C38" s="720"/>
      <c r="D38" s="663" t="s">
        <v>143</v>
      </c>
      <c r="E38" s="609">
        <f>'[3]2'!F38</f>
        <v>150714</v>
      </c>
      <c r="F38" s="609">
        <v>150714</v>
      </c>
      <c r="G38" s="613">
        <f t="shared" si="3"/>
        <v>0</v>
      </c>
      <c r="H38" s="600">
        <f>G38+'[3]2'!H38</f>
        <v>0</v>
      </c>
      <c r="I38" s="595"/>
      <c r="J38" s="693">
        <f>H38/DAY(B2)</f>
        <v>0</v>
      </c>
      <c r="K38" s="527"/>
      <c r="L38" s="421"/>
      <c r="N38" s="426">
        <v>0</v>
      </c>
      <c r="O38" s="426">
        <f t="shared" si="4"/>
        <v>0</v>
      </c>
    </row>
    <row r="39" spans="1:15">
      <c r="A39" s="719" t="s">
        <v>179</v>
      </c>
      <c r="B39" s="720"/>
      <c r="C39" s="720"/>
      <c r="D39" s="663" t="s">
        <v>143</v>
      </c>
      <c r="E39" s="650">
        <f>'[3]2'!F39</f>
        <v>880208.39</v>
      </c>
      <c r="F39" s="650">
        <v>884135.03</v>
      </c>
      <c r="G39" s="613">
        <f t="shared" si="3"/>
        <v>3926.640000000014</v>
      </c>
      <c r="H39" s="600">
        <f>G39+'[3]2'!H39</f>
        <v>12010.320000000065</v>
      </c>
      <c r="I39" s="595"/>
      <c r="J39" s="693">
        <f>H39/DAY(B2)</f>
        <v>4003.4400000000219</v>
      </c>
      <c r="K39" s="527"/>
      <c r="L39" s="421"/>
      <c r="N39" s="426">
        <v>3225.2000000000698</v>
      </c>
      <c r="O39" s="426">
        <f t="shared" si="4"/>
        <v>701.43999999994412</v>
      </c>
    </row>
    <row r="40" spans="1:15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600">
        <f>G40+'[3]2'!H40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650">
        <f>'[3]2'!F41</f>
        <v>300127.90000000002</v>
      </c>
      <c r="F41" s="650">
        <v>300127.90000000002</v>
      </c>
      <c r="G41" s="613">
        <f t="shared" si="3"/>
        <v>0</v>
      </c>
      <c r="H41" s="600">
        <f>G41+'[3]2'!H41</f>
        <v>-6.9999999948777258E-2</v>
      </c>
      <c r="I41" s="595"/>
      <c r="J41" s="693">
        <f>H41/DAY(B2)</f>
        <v>-2.3333333316259086E-2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650">
        <f>'[3]2'!F42</f>
        <v>396197.47</v>
      </c>
      <c r="F42" s="1218">
        <v>396197.47</v>
      </c>
      <c r="G42" s="613">
        <f>F42-E42</f>
        <v>0</v>
      </c>
      <c r="H42" s="600">
        <f>G42+'[3]2'!H42</f>
        <v>0</v>
      </c>
      <c r="I42" s="595"/>
      <c r="J42" s="693">
        <f>H42/DAY(B2)</f>
        <v>0</v>
      </c>
      <c r="K42" s="527"/>
      <c r="L42" s="421"/>
      <c r="N42" s="426">
        <v>3723.6800000000221</v>
      </c>
      <c r="O42" s="426">
        <f t="shared" si="4"/>
        <v>-3723.6800000000221</v>
      </c>
    </row>
    <row r="43" spans="1:15">
      <c r="A43" s="719" t="s">
        <v>183</v>
      </c>
      <c r="B43" s="720"/>
      <c r="C43" s="720"/>
      <c r="D43" s="663" t="s">
        <v>143</v>
      </c>
      <c r="E43" s="650">
        <f>'[3]2'!F43</f>
        <v>563091.35</v>
      </c>
      <c r="F43" s="650">
        <v>565445.11</v>
      </c>
      <c r="G43" s="613">
        <f t="shared" si="3"/>
        <v>2353.7600000000093</v>
      </c>
      <c r="H43" s="600">
        <f>G43+'[3]2'!H43</f>
        <v>7121.0400000000373</v>
      </c>
      <c r="I43" s="595"/>
      <c r="J43" s="693">
        <f>H43/DAY(B2)</f>
        <v>2373.6800000000126</v>
      </c>
      <c r="K43" s="527"/>
      <c r="L43" s="421"/>
      <c r="N43" s="426">
        <v>2005.3199999999488</v>
      </c>
      <c r="O43" s="426">
        <f>G43-N43</f>
        <v>348.44000000006054</v>
      </c>
    </row>
    <row r="44" spans="1:15">
      <c r="A44" s="719" t="s">
        <v>184</v>
      </c>
      <c r="B44" s="720"/>
      <c r="C44" s="720"/>
      <c r="D44" s="663" t="s">
        <v>143</v>
      </c>
      <c r="E44" s="650">
        <f>'[3]2'!F44</f>
        <v>0</v>
      </c>
      <c r="F44" s="650">
        <v>0</v>
      </c>
      <c r="G44" s="613">
        <f t="shared" si="3"/>
        <v>0</v>
      </c>
      <c r="H44" s="600">
        <f>G44+'[3]2'!H44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650">
        <f>'[3]2'!F45</f>
        <v>614</v>
      </c>
      <c r="F45" s="650">
        <v>614</v>
      </c>
      <c r="G45" s="613">
        <f t="shared" si="3"/>
        <v>0</v>
      </c>
      <c r="H45" s="600">
        <f>G45+'[3]2'!H45</f>
        <v>-0.48000000000001819</v>
      </c>
      <c r="I45" s="595"/>
      <c r="J45" s="693">
        <f>H45/DAY(B2)</f>
        <v>-0.16000000000000605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650">
        <f>'[3]2'!F46</f>
        <v>187</v>
      </c>
      <c r="F46" s="650">
        <v>187</v>
      </c>
      <c r="G46" s="613">
        <f t="shared" si="3"/>
        <v>0</v>
      </c>
      <c r="H46" s="600">
        <f>G46+'[3]2'!H46</f>
        <v>-0.49000000000000909</v>
      </c>
      <c r="I46" s="595"/>
      <c r="J46" s="693">
        <f>H46/DAY(B2)</f>
        <v>-0.16333333333333636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10845.840000000055</v>
      </c>
      <c r="H47" s="600">
        <f>G47+'[3]2'!H47</f>
        <v>33065.500000000204</v>
      </c>
      <c r="I47" s="595"/>
      <c r="J47" s="693">
        <f>H47/DAY(B2)</f>
        <v>11021.833333333401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650">
        <f>'[3]2'!F49</f>
        <v>11728.852000000001</v>
      </c>
      <c r="F49" s="650">
        <v>11728.85</v>
      </c>
      <c r="G49" s="613">
        <f t="shared" ref="G49:G58" si="5">F49-E49</f>
        <v>-2.0000000004074536E-3</v>
      </c>
      <c r="H49" s="600">
        <f>G49+'[3]2'!H49</f>
        <v>1.2000000000625732E-2</v>
      </c>
      <c r="I49" s="595"/>
      <c r="J49" s="693">
        <f>H49/DAY(B2)</f>
        <v>4.0000000002085772E-3</v>
      </c>
      <c r="K49" s="527"/>
      <c r="L49" s="421"/>
      <c r="N49" s="426">
        <v>0</v>
      </c>
      <c r="O49" s="426">
        <f t="shared" si="4"/>
        <v>-2.0000000004074536E-3</v>
      </c>
    </row>
    <row r="50" spans="1:15">
      <c r="A50" s="719" t="s">
        <v>189</v>
      </c>
      <c r="B50" s="742"/>
      <c r="C50" s="742"/>
      <c r="D50" s="663" t="s">
        <v>143</v>
      </c>
      <c r="E50" s="650">
        <f>'[3]2'!F50</f>
        <v>266038.17</v>
      </c>
      <c r="F50" s="1218">
        <v>266911.77</v>
      </c>
      <c r="G50" s="613">
        <f t="shared" si="5"/>
        <v>873.60000000003492</v>
      </c>
      <c r="H50" s="600">
        <f>G50+'[3]2'!H50</f>
        <v>3105.2000000000116</v>
      </c>
      <c r="I50" s="595"/>
      <c r="J50" s="693">
        <f>H50/DAY(B2)</f>
        <v>1035.0666666666705</v>
      </c>
      <c r="K50" s="527"/>
      <c r="L50" s="421"/>
      <c r="N50" s="426">
        <v>859.42000000001281</v>
      </c>
      <c r="O50" s="426">
        <f t="shared" si="4"/>
        <v>14.180000000022119</v>
      </c>
    </row>
    <row r="51" spans="1:15">
      <c r="A51" s="719" t="s">
        <v>177</v>
      </c>
      <c r="B51" s="742"/>
      <c r="C51" s="742"/>
      <c r="D51" s="663" t="s">
        <v>143</v>
      </c>
      <c r="E51" s="650">
        <f>'[3]2'!F51</f>
        <v>0</v>
      </c>
      <c r="F51" s="650">
        <v>0</v>
      </c>
      <c r="G51" s="613">
        <f t="shared" si="5"/>
        <v>0</v>
      </c>
      <c r="H51" s="600">
        <f>G51+'[3]2'!H51</f>
        <v>0</v>
      </c>
      <c r="I51" s="595"/>
      <c r="J51" s="693">
        <f>H51/DAY(B2)</f>
        <v>0</v>
      </c>
      <c r="K51" s="527"/>
      <c r="L51" s="421"/>
      <c r="N51" s="426">
        <v>0</v>
      </c>
      <c r="O51" s="426">
        <f t="shared" si="4"/>
        <v>0</v>
      </c>
    </row>
    <row r="52" spans="1:15">
      <c r="A52" s="719" t="s">
        <v>190</v>
      </c>
      <c r="B52" s="742"/>
      <c r="C52" s="742"/>
      <c r="D52" s="663" t="s">
        <v>143</v>
      </c>
      <c r="E52" s="650">
        <f>'[3]2'!F52</f>
        <v>322299.03000000003</v>
      </c>
      <c r="F52" s="650">
        <v>324081.83</v>
      </c>
      <c r="G52" s="613">
        <f>F52-E52</f>
        <v>1782.7999999999884</v>
      </c>
      <c r="H52" s="600">
        <f>G52+'[3]2'!H52</f>
        <v>5417.140000000014</v>
      </c>
      <c r="I52" s="595"/>
      <c r="J52" s="693">
        <f>H52/DAY(B2)</f>
        <v>1805.7133333333379</v>
      </c>
      <c r="K52" s="527"/>
      <c r="L52" s="421"/>
      <c r="N52" s="426">
        <v>1313.4799999999814</v>
      </c>
      <c r="O52" s="426">
        <f t="shared" si="4"/>
        <v>469.32000000000698</v>
      </c>
    </row>
    <row r="53" spans="1:15">
      <c r="A53" s="719" t="s">
        <v>179</v>
      </c>
      <c r="B53" s="742"/>
      <c r="C53" s="742"/>
      <c r="D53" s="663" t="s">
        <v>143</v>
      </c>
      <c r="E53" s="650">
        <f>'[3]2'!F53</f>
        <v>16071</v>
      </c>
      <c r="F53" s="650">
        <v>16071</v>
      </c>
      <c r="G53" s="613">
        <f t="shared" si="5"/>
        <v>0</v>
      </c>
      <c r="H53" s="600">
        <f>G53+'[3]2'!H53</f>
        <v>0</v>
      </c>
      <c r="I53" s="595"/>
      <c r="J53" s="693">
        <f>H53/DAY(B2)</f>
        <v>0</v>
      </c>
      <c r="K53" s="527"/>
      <c r="L53" s="421"/>
      <c r="N53" s="426">
        <v>0</v>
      </c>
      <c r="O53" s="426">
        <f t="shared" si="4"/>
        <v>0</v>
      </c>
    </row>
    <row r="54" spans="1:15">
      <c r="A54" s="719" t="s">
        <v>191</v>
      </c>
      <c r="B54" s="742"/>
      <c r="C54" s="742"/>
      <c r="D54" s="663" t="s">
        <v>143</v>
      </c>
      <c r="E54" s="650">
        <f>'[3]2'!F54</f>
        <v>1548.23</v>
      </c>
      <c r="F54" s="790">
        <v>1621.3976</v>
      </c>
      <c r="G54" s="613">
        <f t="shared" si="5"/>
        <v>73.167599999999993</v>
      </c>
      <c r="H54" s="600">
        <f>G54+'[3]2'!H54</f>
        <v>217.73260000000005</v>
      </c>
      <c r="I54" s="595"/>
      <c r="J54" s="693">
        <f>H54/DAY(B2)</f>
        <v>72.577533333333349</v>
      </c>
      <c r="K54" s="527"/>
      <c r="L54" s="421"/>
      <c r="N54" s="426">
        <v>0</v>
      </c>
      <c r="O54" s="426">
        <f t="shared" si="4"/>
        <v>73.167599999999993</v>
      </c>
    </row>
    <row r="55" spans="1:15">
      <c r="A55" s="719" t="s">
        <v>192</v>
      </c>
      <c r="B55" s="742"/>
      <c r="C55" s="742"/>
      <c r="D55" s="663" t="s">
        <v>143</v>
      </c>
      <c r="E55" s="650">
        <f>'[3]2'!F55</f>
        <v>158492.73000000001</v>
      </c>
      <c r="F55" s="790">
        <v>158492.73000000001</v>
      </c>
      <c r="G55" s="613">
        <f t="shared" si="5"/>
        <v>0</v>
      </c>
      <c r="H55" s="600">
        <f>G55+'[3]2'!H55</f>
        <v>-0.26999999998952262</v>
      </c>
      <c r="I55" s="595"/>
      <c r="J55" s="693">
        <f>H55/DAY(B2)</f>
        <v>-8.999999999650754E-2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650">
        <f>'[3]2'!F56</f>
        <v>312611.51</v>
      </c>
      <c r="F56" s="790">
        <v>316705.67</v>
      </c>
      <c r="G56" s="613">
        <f t="shared" si="5"/>
        <v>4094.1599999999744</v>
      </c>
      <c r="H56" s="600">
        <f>G56+'[3]2'!H56</f>
        <v>12715.880000000005</v>
      </c>
      <c r="I56" s="595"/>
      <c r="J56" s="693">
        <f>H56/DAY(B2)</f>
        <v>4238.6266666666679</v>
      </c>
      <c r="K56" s="526"/>
      <c r="L56" s="421"/>
      <c r="N56" s="426">
        <v>0</v>
      </c>
      <c r="O56" s="426">
        <f t="shared" si="4"/>
        <v>4094.1599999999744</v>
      </c>
    </row>
    <row r="57" spans="1:15">
      <c r="A57" s="719" t="s">
        <v>183</v>
      </c>
      <c r="B57" s="742"/>
      <c r="C57" s="742"/>
      <c r="D57" s="663" t="s">
        <v>143</v>
      </c>
      <c r="E57" s="650">
        <f>'[3]2'!F57</f>
        <v>0</v>
      </c>
      <c r="F57" s="790">
        <v>0</v>
      </c>
      <c r="G57" s="613">
        <f t="shared" si="5"/>
        <v>0</v>
      </c>
      <c r="H57" s="600">
        <f>G57+'[3]2'!H57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650">
        <f>'[3]2'!F58</f>
        <v>17695.417000000001</v>
      </c>
      <c r="F58" s="790">
        <v>17737.215</v>
      </c>
      <c r="G58" s="613">
        <f t="shared" si="5"/>
        <v>41.797999999998865</v>
      </c>
      <c r="H58" s="600">
        <f>G58+'[3]2'!H58</f>
        <v>272.94399999999951</v>
      </c>
      <c r="I58" s="595"/>
      <c r="J58" s="693">
        <f>H58/DAY(B2)</f>
        <v>90.981333333333168</v>
      </c>
      <c r="K58" s="527"/>
      <c r="L58" s="421"/>
      <c r="N58" s="426">
        <v>43.554000000000087</v>
      </c>
      <c r="O58" s="426">
        <f t="shared" si="4"/>
        <v>-1.7560000000012224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6865.5235999999959</v>
      </c>
      <c r="H59" s="600">
        <f>G59+'[3]2'!H59</f>
        <v>21728.638600000042</v>
      </c>
      <c r="I59" s="595">
        <f>G7-G60</f>
        <v>425.63639999994848</v>
      </c>
      <c r="J59" s="693">
        <f>H59/DAY(B2)</f>
        <v>7242.8795333333474</v>
      </c>
      <c r="K59" s="527"/>
      <c r="L59" s="421"/>
      <c r="N59" s="426">
        <v>2216.5540000000001</v>
      </c>
      <c r="O59" s="426">
        <f>SUM(O35:O58)</f>
        <v>3080.769599999925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17711.363600000052</v>
      </c>
      <c r="H60" s="600">
        <f>G60+'[3]2'!H60</f>
        <v>54794.138600000253</v>
      </c>
      <c r="I60" s="595">
        <f>G13-G60</f>
        <v>-201.36360000005152</v>
      </c>
      <c r="J60" s="693">
        <f>H60/DAY(B2)</f>
        <v>18264.712866666752</v>
      </c>
      <c r="K60" s="527"/>
      <c r="L60" s="421"/>
      <c r="N60" s="426">
        <v>14722.134000000135</v>
      </c>
      <c r="O60" s="426">
        <f t="shared" si="4"/>
        <v>2989.2295999999169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'[3]2'!F62</f>
        <v>20419.188999999998</v>
      </c>
      <c r="F62" s="654">
        <v>20419</v>
      </c>
      <c r="G62" s="613">
        <f t="shared" ref="G62:G69" si="6">F62-E62</f>
        <v>-0.1889999999984866</v>
      </c>
      <c r="H62" s="600">
        <f>G62+'[3]2'!H62</f>
        <v>-0.1889999999984866</v>
      </c>
      <c r="I62" s="655"/>
      <c r="J62" s="693">
        <f>H62/DAY(B2)</f>
        <v>-6.2999999999495529E-2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'[3]2'!F63</f>
        <v>337.52915000000002</v>
      </c>
      <c r="F63" s="654">
        <v>356.76307000000003</v>
      </c>
      <c r="G63" s="613">
        <f t="shared" si="6"/>
        <v>19.233920000000012</v>
      </c>
      <c r="H63" s="600">
        <f>G63+'[3]2'!H63</f>
        <v>58.303070000000048</v>
      </c>
      <c r="I63" s="655"/>
      <c r="J63" s="693">
        <f>H63/DAY(B2)</f>
        <v>19.434356666666684</v>
      </c>
      <c r="K63" s="527"/>
      <c r="L63" s="421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24">
        <f>'[3]2'!F64</f>
        <v>76786.263000000006</v>
      </c>
      <c r="F64" s="618">
        <v>77154.070999999996</v>
      </c>
      <c r="G64" s="613">
        <f t="shared" si="6"/>
        <v>367.80799999998999</v>
      </c>
      <c r="H64" s="600">
        <f>G64+'[3]2'!H64</f>
        <v>1090.9839999999967</v>
      </c>
      <c r="I64" s="620"/>
      <c r="J64" s="693">
        <f>H64/DAY(B2)</f>
        <v>363.66133333333227</v>
      </c>
      <c r="K64" s="527"/>
      <c r="L64" s="421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624">
        <f>'[3]2'!F65</f>
        <v>85945.463000000003</v>
      </c>
      <c r="F65" s="788">
        <v>86340.159</v>
      </c>
      <c r="G65" s="613">
        <f t="shared" si="6"/>
        <v>394.69599999999627</v>
      </c>
      <c r="H65" s="600">
        <f>G65+'[3]2'!H65</f>
        <v>1180.8959999999934</v>
      </c>
      <c r="I65" s="629"/>
      <c r="J65" s="693">
        <f>H65/DAY(B2)</f>
        <v>393.63199999999779</v>
      </c>
      <c r="K65" s="527"/>
      <c r="L65" s="421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24">
        <f>'[3]2'!F66</f>
        <v>78976.558999999994</v>
      </c>
      <c r="F66" s="618">
        <v>79353.349000000002</v>
      </c>
      <c r="G66" s="613">
        <f t="shared" si="6"/>
        <v>376.79000000000815</v>
      </c>
      <c r="H66" s="600">
        <f>G66+'[3]2'!H66</f>
        <v>1165.3910000000033</v>
      </c>
      <c r="I66" s="620"/>
      <c r="J66" s="693">
        <f>H66/DAY(B2)</f>
        <v>388.46366666666773</v>
      </c>
      <c r="K66" s="527"/>
      <c r="L66" s="421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24">
        <f>'[3]2'!F67</f>
        <v>127374.99</v>
      </c>
      <c r="F67" s="618">
        <v>127990.02</v>
      </c>
      <c r="G67" s="613">
        <f t="shared" si="6"/>
        <v>615.02999999999884</v>
      </c>
      <c r="H67" s="600">
        <f>G67+'[3]2'!H67</f>
        <v>1933.5200000000041</v>
      </c>
      <c r="I67" s="629"/>
      <c r="J67" s="693">
        <f>H67/DAY(B2)</f>
        <v>644.50666666666802</v>
      </c>
      <c r="K67" s="528"/>
      <c r="L67" s="421"/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624">
        <f>'[3]2'!F68</f>
        <v>34045.735000000001</v>
      </c>
      <c r="F68" s="618">
        <v>34346.819000000003</v>
      </c>
      <c r="G68" s="613">
        <f t="shared" si="6"/>
        <v>301.08400000000256</v>
      </c>
      <c r="H68" s="600">
        <f>G68+'[3]2'!H68</f>
        <v>946.95000000000437</v>
      </c>
      <c r="I68" s="656"/>
      <c r="J68" s="693">
        <f>H68/DAY(B2)</f>
        <v>315.65000000000146</v>
      </c>
      <c r="K68" s="529"/>
      <c r="L68" s="421"/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624">
        <f>'[3]2'!F69</f>
        <v>29784.334999999999</v>
      </c>
      <c r="F69" s="618">
        <v>30044.791000000001</v>
      </c>
      <c r="G69" s="613">
        <f t="shared" si="6"/>
        <v>260.45600000000195</v>
      </c>
      <c r="H69" s="600">
        <f>G69+'[3]2'!H69</f>
        <v>792.42599999999948</v>
      </c>
      <c r="I69" s="656"/>
      <c r="J69" s="693">
        <f>H69/DAY(B2)</f>
        <v>264.14199999999983</v>
      </c>
      <c r="K69" s="530"/>
      <c r="L69" s="421"/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659">
        <f>'[3]2'!F72</f>
        <v>843954</v>
      </c>
      <c r="F72" s="791">
        <v>843956</v>
      </c>
      <c r="G72" s="613">
        <f t="shared" ref="G72:G84" si="7">F72-E72</f>
        <v>2</v>
      </c>
      <c r="H72" s="600">
        <f>G72+'[3]2'!H72</f>
        <v>23</v>
      </c>
      <c r="I72" s="620"/>
      <c r="J72" s="693">
        <f>H72/DAY(B2)</f>
        <v>7.666666666666667</v>
      </c>
      <c r="K72" s="530"/>
      <c r="L72" s="421"/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660">
        <f>'[3]2'!F73</f>
        <v>885215</v>
      </c>
      <c r="F73" s="792">
        <v>885217</v>
      </c>
      <c r="G73" s="613">
        <f t="shared" si="7"/>
        <v>2</v>
      </c>
      <c r="H73" s="600">
        <f>G73+'[3]2'!H73</f>
        <v>2</v>
      </c>
      <c r="I73" s="620"/>
      <c r="J73" s="693">
        <f>H73/DAY(B2)</f>
        <v>0.66666666666666663</v>
      </c>
      <c r="K73" s="529"/>
      <c r="L73" s="421"/>
      <c r="O73" s="426"/>
    </row>
    <row r="74" spans="1:15" ht="27.75">
      <c r="A74" s="1429" t="s">
        <v>204</v>
      </c>
      <c r="B74" s="1430"/>
      <c r="C74" s="1431"/>
      <c r="D74" s="663" t="s">
        <v>198</v>
      </c>
      <c r="E74" s="661">
        <f>'[3]2'!F74</f>
        <v>879672</v>
      </c>
      <c r="F74" s="793">
        <v>879685</v>
      </c>
      <c r="G74" s="613">
        <f t="shared" si="7"/>
        <v>13</v>
      </c>
      <c r="H74" s="600">
        <f>G74+'[3]2'!H74</f>
        <v>49</v>
      </c>
      <c r="I74" s="620"/>
      <c r="J74" s="693">
        <f>H74/DAY(B2)</f>
        <v>16.333333333333332</v>
      </c>
      <c r="K74" s="530"/>
      <c r="L74" s="421"/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661">
        <f>'[3]2'!F75</f>
        <v>721704</v>
      </c>
      <c r="F75" s="793">
        <v>721860</v>
      </c>
      <c r="G75" s="613">
        <f t="shared" si="7"/>
        <v>156</v>
      </c>
      <c r="H75" s="600">
        <f>G75+'[3]2'!H75</f>
        <v>494</v>
      </c>
      <c r="I75" s="620"/>
      <c r="J75" s="693">
        <f>H75/DAY(B2)</f>
        <v>164.66666666666666</v>
      </c>
      <c r="K75" s="529"/>
      <c r="L75" s="421"/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660">
        <f>'[3]2'!F76</f>
        <v>679796</v>
      </c>
      <c r="F76" s="792">
        <v>679847</v>
      </c>
      <c r="G76" s="613">
        <f t="shared" si="7"/>
        <v>51</v>
      </c>
      <c r="H76" s="600">
        <f>G76+'[3]2'!H76</f>
        <v>195</v>
      </c>
      <c r="I76" s="645"/>
      <c r="J76" s="693">
        <f>H76/DAY(B2)</f>
        <v>65</v>
      </c>
      <c r="K76" s="529"/>
      <c r="L76" s="421"/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660">
        <f>'[3]2'!F77</f>
        <v>692442</v>
      </c>
      <c r="F77" s="791">
        <v>692448</v>
      </c>
      <c r="G77" s="613">
        <f t="shared" si="7"/>
        <v>6</v>
      </c>
      <c r="H77" s="600">
        <f>G77+'[3]2'!H77</f>
        <v>141</v>
      </c>
      <c r="I77" s="645"/>
      <c r="J77" s="693">
        <f>H77/DAY(B2)</f>
        <v>47</v>
      </c>
      <c r="K77" s="529"/>
      <c r="L77" s="421"/>
      <c r="O77" s="426"/>
    </row>
    <row r="78" spans="1:15" ht="27.75">
      <c r="A78" s="1320" t="s">
        <v>208</v>
      </c>
      <c r="B78" s="1314"/>
      <c r="C78" s="1314"/>
      <c r="D78" s="663" t="s">
        <v>198</v>
      </c>
      <c r="E78" s="661">
        <f>'[3]2'!F78</f>
        <v>608600</v>
      </c>
      <c r="F78" s="793">
        <v>608922</v>
      </c>
      <c r="G78" s="613">
        <f t="shared" si="7"/>
        <v>322</v>
      </c>
      <c r="H78" s="600">
        <f>G78+'[3]2'!H78</f>
        <v>908</v>
      </c>
      <c r="I78" s="645"/>
      <c r="J78" s="693">
        <f>H78/DAY(B2)</f>
        <v>302.66666666666669</v>
      </c>
      <c r="K78" s="529"/>
      <c r="L78" s="421"/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661">
        <f>'[3]2'!F79</f>
        <v>793121</v>
      </c>
      <c r="F79" s="793">
        <v>793288</v>
      </c>
      <c r="G79" s="613">
        <f t="shared" si="7"/>
        <v>167</v>
      </c>
      <c r="H79" s="600">
        <f>G79+'[3]2'!H79</f>
        <v>500</v>
      </c>
      <c r="I79" s="645"/>
      <c r="J79" s="693">
        <f>H79/DAY(B2)</f>
        <v>166.66666666666666</v>
      </c>
      <c r="K79" s="529"/>
      <c r="L79" s="421"/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660">
        <f>'[3]2'!F80</f>
        <v>457462</v>
      </c>
      <c r="F80" s="791">
        <v>457724</v>
      </c>
      <c r="G80" s="613">
        <f t="shared" si="7"/>
        <v>262</v>
      </c>
      <c r="H80" s="600">
        <f>G80+'[3]2'!H80</f>
        <v>858.96000000002095</v>
      </c>
      <c r="I80" s="645"/>
      <c r="J80" s="693">
        <f>H80/DAY(B2)</f>
        <v>286.32000000000698</v>
      </c>
      <c r="K80" s="529"/>
      <c r="L80" s="421"/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'[3]2'!F81</f>
        <v>611299</v>
      </c>
      <c r="F81" s="792">
        <v>611418</v>
      </c>
      <c r="G81" s="613">
        <f t="shared" si="7"/>
        <v>119</v>
      </c>
      <c r="H81" s="600">
        <f>G81+'[3]2'!H81</f>
        <v>295.71999999997206</v>
      </c>
      <c r="I81" s="645"/>
      <c r="J81" s="693">
        <f>H81/DAY(B2)</f>
        <v>98.573333333324015</v>
      </c>
      <c r="K81" s="529"/>
      <c r="L81" s="421"/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'[3]2'!F82</f>
        <v>103074</v>
      </c>
      <c r="F82" s="788">
        <v>103095</v>
      </c>
      <c r="G82" s="613">
        <f t="shared" si="7"/>
        <v>21</v>
      </c>
      <c r="H82" s="600">
        <f>G82+'[3]2'!H82</f>
        <v>65.05000000000291</v>
      </c>
      <c r="I82" s="626"/>
      <c r="J82" s="693">
        <f>H82/DAY(B2)</f>
        <v>21.683333333334303</v>
      </c>
      <c r="K82" s="529"/>
      <c r="L82" s="421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'[3]2'!F83</f>
        <v>952959</v>
      </c>
      <c r="F83" s="651">
        <v>953430</v>
      </c>
      <c r="G83" s="613">
        <f t="shared" si="7"/>
        <v>471</v>
      </c>
      <c r="H83" s="600">
        <f>G83+'[3]2'!H83</f>
        <v>1187</v>
      </c>
      <c r="I83" s="621"/>
      <c r="J83" s="693">
        <f>H83/DAY(B2)</f>
        <v>395.66666666666669</v>
      </c>
      <c r="K83" s="528"/>
      <c r="L83" s="421"/>
      <c r="O83" s="426"/>
    </row>
    <row r="84" spans="1:15">
      <c r="A84" s="1321" t="s">
        <v>212</v>
      </c>
      <c r="B84" s="712"/>
      <c r="C84" s="712"/>
      <c r="D84" s="618" t="s">
        <v>143</v>
      </c>
      <c r="E84" s="768">
        <f>'[3]2'!F84</f>
        <v>367631</v>
      </c>
      <c r="F84" s="768">
        <v>368229</v>
      </c>
      <c r="G84" s="613">
        <f t="shared" si="7"/>
        <v>598</v>
      </c>
      <c r="H84" s="600">
        <f>G84+'[3]2'!H84</f>
        <v>1796</v>
      </c>
      <c r="I84" s="621"/>
      <c r="J84" s="693">
        <f>H84/DAY(B2)</f>
        <v>598.66666666666663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2190</v>
      </c>
      <c r="H85" s="600">
        <f>G85+'[3]2'!H85</f>
        <v>4849.9899999999907</v>
      </c>
      <c r="I85" s="621"/>
      <c r="J85" s="693">
        <f>H85/DAY(B2)</f>
        <v>1616.6633333333302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'[3]2'!F86</f>
        <v>437193</v>
      </c>
      <c r="F86" s="784">
        <v>437305</v>
      </c>
      <c r="G86" s="861">
        <f t="shared" ref="G86:G90" si="8">F86-E86</f>
        <v>112</v>
      </c>
      <c r="H86" s="600">
        <f>G86+'[3]2'!H86</f>
        <v>255.96000000002095</v>
      </c>
      <c r="I86" s="789"/>
      <c r="J86" s="863">
        <f>H86/DAY(B2)</f>
        <v>85.320000000006985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'[3]2'!F87</f>
        <v>76183</v>
      </c>
      <c r="F87" s="784">
        <v>76228</v>
      </c>
      <c r="G87" s="861">
        <f t="shared" si="8"/>
        <v>45</v>
      </c>
      <c r="H87" s="600">
        <f>G87+'[3]2'!H87</f>
        <v>90</v>
      </c>
      <c r="I87" s="789"/>
      <c r="J87" s="863">
        <f>H87/DAY(B2)</f>
        <v>30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'[3]2'!F88</f>
        <v>140263</v>
      </c>
      <c r="F88" s="784">
        <v>140311</v>
      </c>
      <c r="G88" s="861">
        <f t="shared" si="8"/>
        <v>48</v>
      </c>
      <c r="H88" s="600">
        <f>G88+'[3]2'!H88</f>
        <v>127.25</v>
      </c>
      <c r="I88" s="789"/>
      <c r="J88" s="863">
        <f>H88/DAY(B2)</f>
        <v>42.416666666666664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'[3]2'!F89</f>
        <v>54179</v>
      </c>
      <c r="F89" s="784">
        <v>54228</v>
      </c>
      <c r="G89" s="861">
        <f t="shared" si="8"/>
        <v>49</v>
      </c>
      <c r="H89" s="600">
        <f>G89+'[3]2'!H89</f>
        <v>132.19999999999709</v>
      </c>
      <c r="I89" s="789">
        <f>H89+'[3]1'!I89</f>
        <v>132.19999999999709</v>
      </c>
      <c r="J89" s="863">
        <f>H89/DAY(B2)</f>
        <v>44.066666666665697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'[3]2'!F90</f>
        <v>2794</v>
      </c>
      <c r="F90" s="784">
        <v>2799</v>
      </c>
      <c r="G90" s="861">
        <f t="shared" si="8"/>
        <v>5</v>
      </c>
      <c r="H90" s="600">
        <f>G90+'[3]2'!H90</f>
        <v>13.300000000000182</v>
      </c>
      <c r="I90" s="789">
        <f>H90+'[3]1'!I90</f>
        <v>13.300000000000182</v>
      </c>
      <c r="J90" s="863">
        <f>H90/DAY(B2)</f>
        <v>4.433333333333394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'[3]2'!F92</f>
        <v>228852</v>
      </c>
      <c r="F92" s="618">
        <v>228907</v>
      </c>
      <c r="G92" s="613">
        <f t="shared" ref="G92:G93" si="10">F92-E92</f>
        <v>55</v>
      </c>
      <c r="H92" s="600">
        <f>G92+'[3]2'!H92</f>
        <v>257</v>
      </c>
      <c r="I92" s="620"/>
      <c r="J92" s="693">
        <f>H92/DAY(B2)</f>
        <v>85.666666666666671</v>
      </c>
      <c r="K92" s="528"/>
      <c r="L92" s="421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'[3]2'!F93</f>
        <v>159050</v>
      </c>
      <c r="F93" s="618">
        <v>159234</v>
      </c>
      <c r="G93" s="613">
        <f t="shared" si="10"/>
        <v>184</v>
      </c>
      <c r="H93" s="600">
        <f>G93+'[3]2'!H93</f>
        <v>527</v>
      </c>
      <c r="I93" s="620"/>
      <c r="J93" s="693">
        <f>H93/DAY(B2)</f>
        <v>175.66666666666666</v>
      </c>
      <c r="K93" s="424"/>
      <c r="L93" s="421"/>
      <c r="O93" s="426"/>
    </row>
    <row r="94" spans="1:15">
      <c r="A94" s="1460" t="s">
        <v>219</v>
      </c>
      <c r="B94" s="1461"/>
      <c r="C94" s="1462"/>
      <c r="D94" s="663"/>
      <c r="E94" s="624"/>
      <c r="F94" s="618"/>
      <c r="G94" s="613">
        <f>G92+G93</f>
        <v>239</v>
      </c>
      <c r="H94" s="600">
        <f>G94+'[3]2'!H94</f>
        <v>494</v>
      </c>
      <c r="I94" s="620"/>
      <c r="J94" s="693">
        <f>H94/DAY(B2)</f>
        <v>164.66666666666666</v>
      </c>
      <c r="K94" s="424"/>
      <c r="L94" s="421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'[3]2'!F95</f>
        <v>399996</v>
      </c>
      <c r="F95" s="618">
        <v>400035</v>
      </c>
      <c r="G95" s="613">
        <f t="shared" ref="G95:G100" si="11">F95-E95</f>
        <v>39</v>
      </c>
      <c r="H95" s="600">
        <f>G95+'[3]2'!H95</f>
        <v>149</v>
      </c>
      <c r="I95" s="620"/>
      <c r="J95" s="693">
        <f>H95/DAY(B2)</f>
        <v>49.666666666666664</v>
      </c>
      <c r="K95" s="424"/>
      <c r="L95" s="421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f>'[3]2'!F96</f>
        <v>98136</v>
      </c>
      <c r="F96" s="618">
        <v>98178</v>
      </c>
      <c r="G96" s="613">
        <f t="shared" si="11"/>
        <v>42</v>
      </c>
      <c r="H96" s="600">
        <f>G96+'[3]2'!H96</f>
        <v>127</v>
      </c>
      <c r="I96" s="620"/>
      <c r="J96" s="693">
        <f>H96/DAY(B2)</f>
        <v>42.333333333333336</v>
      </c>
      <c r="K96" s="526"/>
      <c r="L96" s="421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f>'[3]2'!F97</f>
        <v>93593</v>
      </c>
      <c r="F97" s="618">
        <v>93607</v>
      </c>
      <c r="G97" s="613">
        <f t="shared" si="11"/>
        <v>14</v>
      </c>
      <c r="H97" s="600">
        <f>G97+'[3]2'!H97</f>
        <v>42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f>'[3]2'!F98</f>
        <v>140991</v>
      </c>
      <c r="F98" s="618">
        <v>141014</v>
      </c>
      <c r="G98" s="613">
        <f t="shared" si="11"/>
        <v>23</v>
      </c>
      <c r="H98" s="600">
        <f>G98+'[3]2'!H98</f>
        <v>86</v>
      </c>
      <c r="I98" s="620"/>
      <c r="J98" s="693">
        <f>H98/DAY(B2)</f>
        <v>28.666666666666668</v>
      </c>
      <c r="K98" s="424"/>
      <c r="L98" s="421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f>'[3]2'!F99</f>
        <v>4745</v>
      </c>
      <c r="F99" s="618">
        <v>4753</v>
      </c>
      <c r="G99" s="613">
        <f t="shared" si="11"/>
        <v>8</v>
      </c>
      <c r="H99" s="600">
        <f>G99+'[3]2'!H99</f>
        <v>37</v>
      </c>
      <c r="I99" s="620"/>
      <c r="J99" s="693">
        <f>H99/DAY(B2)</f>
        <v>12.333333333333334</v>
      </c>
      <c r="K99" s="424"/>
      <c r="L99" s="421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f>'[3]2'!F100</f>
        <v>3674</v>
      </c>
      <c r="F100" s="618">
        <v>3674</v>
      </c>
      <c r="G100" s="613">
        <f t="shared" si="11"/>
        <v>0</v>
      </c>
      <c r="H100" s="600">
        <f>G100+'[3]2'!H100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60" t="s">
        <v>227</v>
      </c>
      <c r="B101" s="1461"/>
      <c r="C101" s="1462"/>
      <c r="D101" s="664"/>
      <c r="E101" s="664"/>
      <c r="F101" s="664"/>
      <c r="G101" s="665">
        <f>SUM(G95:G100)</f>
        <v>126</v>
      </c>
      <c r="H101" s="600">
        <f>G101+'[3]2'!H101</f>
        <v>441</v>
      </c>
      <c r="I101" s="666"/>
      <c r="J101" s="693">
        <f>H101/DAY(B2)</f>
        <v>147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19" t="s">
        <v>230</v>
      </c>
      <c r="B104" s="1420"/>
      <c r="C104" s="1316"/>
      <c r="D104" s="763" t="s">
        <v>155</v>
      </c>
      <c r="E104" s="672">
        <f>'[3]2'!F104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20</v>
      </c>
      <c r="O104" s="426"/>
    </row>
    <row r="105" spans="1:15" s="544" customFormat="1" ht="27.75">
      <c r="A105" s="1419" t="s">
        <v>77</v>
      </c>
      <c r="B105" s="1420"/>
      <c r="C105" s="1316"/>
      <c r="D105" s="763" t="s">
        <v>155</v>
      </c>
      <c r="E105" s="674">
        <f>'[3]2'!F105</f>
        <v>34528</v>
      </c>
      <c r="F105" s="796">
        <v>34528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23.333333333333332</v>
      </c>
      <c r="O105" s="426"/>
    </row>
    <row r="106" spans="1:15" s="544" customFormat="1" ht="27.75">
      <c r="A106" s="1419" t="s">
        <v>78</v>
      </c>
      <c r="B106" s="1477"/>
      <c r="C106" s="1420"/>
      <c r="D106" s="763" t="s">
        <v>155</v>
      </c>
      <c r="E106" s="672">
        <f>'[3]2'!F106</f>
        <v>18638</v>
      </c>
      <c r="F106" s="795">
        <v>18641</v>
      </c>
      <c r="G106" s="672">
        <f t="shared" si="12"/>
        <v>3</v>
      </c>
      <c r="H106" s="673">
        <f>SUM(G106+'[3]1'!G78)</f>
        <v>332</v>
      </c>
      <c r="I106" s="672"/>
      <c r="J106" s="699">
        <f>H106/DAY(B2)</f>
        <v>110.66666666666667</v>
      </c>
      <c r="O106" s="426"/>
    </row>
    <row r="107" spans="1:15" s="544" customFormat="1" ht="27.75">
      <c r="A107" s="1425" t="s">
        <v>213</v>
      </c>
      <c r="B107" s="1426"/>
      <c r="C107" s="1316"/>
      <c r="D107" s="763"/>
      <c r="E107" s="672"/>
      <c r="F107" s="795" t="s">
        <v>280</v>
      </c>
      <c r="G107" s="672">
        <f>SUM(G104:G106)</f>
        <v>3</v>
      </c>
      <c r="H107" s="673">
        <f>SUM(G107+'[3]1'!G79)</f>
        <v>163</v>
      </c>
      <c r="I107" s="672"/>
      <c r="J107" s="699">
        <f>H107/DAY(B2)</f>
        <v>54.333333333333336</v>
      </c>
      <c r="O107" s="426"/>
    </row>
    <row r="108" spans="1:15" s="544" customFormat="1" ht="27.75">
      <c r="A108" s="1475" t="s">
        <v>79</v>
      </c>
      <c r="B108" s="1476"/>
      <c r="C108" s="1316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419" t="s">
        <v>231</v>
      </c>
      <c r="B109" s="1420"/>
      <c r="C109" s="1316"/>
      <c r="D109" s="763" t="s">
        <v>155</v>
      </c>
      <c r="E109" s="672">
        <f>'[3]2'!F109</f>
        <v>49784</v>
      </c>
      <c r="F109" s="795">
        <v>49833</v>
      </c>
      <c r="G109" s="672">
        <f>F109-E109</f>
        <v>49</v>
      </c>
      <c r="H109" s="673">
        <f>SUM(G109+'[3]1'!G81)</f>
        <v>131</v>
      </c>
      <c r="I109" s="672"/>
      <c r="J109" s="699">
        <f>H109/DAY(B2)</f>
        <v>43.666666666666664</v>
      </c>
      <c r="O109" s="426"/>
    </row>
    <row r="110" spans="1:15" s="544" customFormat="1" ht="27.75">
      <c r="A110" s="1419" t="s">
        <v>232</v>
      </c>
      <c r="B110" s="1420"/>
      <c r="C110" s="1316"/>
      <c r="D110" s="763" t="s">
        <v>155</v>
      </c>
      <c r="E110" s="672">
        <f>'[3]2'!F110</f>
        <v>24178</v>
      </c>
      <c r="F110" s="795">
        <v>24219</v>
      </c>
      <c r="G110" s="672">
        <f t="shared" ref="G110:G111" si="13">F110-E110</f>
        <v>41</v>
      </c>
      <c r="H110" s="673">
        <f>SUM(G110+'[3]1'!G82)</f>
        <v>66.740000000005239</v>
      </c>
      <c r="I110" s="672"/>
      <c r="J110" s="699">
        <f>H110/DAY(B2)</f>
        <v>22.246666666668414</v>
      </c>
      <c r="O110" s="426"/>
    </row>
    <row r="111" spans="1:15" s="544" customFormat="1" ht="27.75">
      <c r="A111" s="1419" t="s">
        <v>233</v>
      </c>
      <c r="B111" s="1420"/>
      <c r="C111" s="1316"/>
      <c r="D111" s="763" t="s">
        <v>155</v>
      </c>
      <c r="E111" s="672">
        <f>'[3]2'!F111</f>
        <v>3211</v>
      </c>
      <c r="F111" s="795">
        <v>3211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148.66666666666666</v>
      </c>
      <c r="O111" s="426"/>
    </row>
    <row r="112" spans="1:15" s="544" customFormat="1" ht="27.75">
      <c r="A112" s="1425" t="s">
        <v>121</v>
      </c>
      <c r="B112" s="1426"/>
      <c r="C112" s="1316"/>
      <c r="D112" s="763"/>
      <c r="E112" s="672"/>
      <c r="F112" s="795"/>
      <c r="G112" s="672">
        <f>SUM(G109:G111)</f>
        <v>90</v>
      </c>
      <c r="H112" s="673">
        <f>SUM(G112+'[3]1'!G84)</f>
        <v>686</v>
      </c>
      <c r="I112" s="672"/>
      <c r="J112" s="699">
        <f>H112/DAY(B2)</f>
        <v>228.66666666666666</v>
      </c>
      <c r="O112" s="426"/>
    </row>
    <row r="113" spans="1:15" s="544" customFormat="1" ht="27.75">
      <c r="A113" s="1475" t="s">
        <v>234</v>
      </c>
      <c r="B113" s="1476"/>
      <c r="C113" s="1316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419" t="s">
        <v>235</v>
      </c>
      <c r="B114" s="1420"/>
      <c r="C114" s="1315"/>
      <c r="D114" s="763" t="s">
        <v>155</v>
      </c>
      <c r="E114" s="674">
        <f>'[3]2'!F114</f>
        <v>8318</v>
      </c>
      <c r="F114" s="796">
        <v>8328</v>
      </c>
      <c r="G114" s="674">
        <f>F114-E114</f>
        <v>10</v>
      </c>
      <c r="H114" s="673">
        <f>SUM(G114+'[3]1'!G91)</f>
        <v>10</v>
      </c>
      <c r="I114" s="672"/>
      <c r="J114" s="699">
        <f>H114/DAY(B2)</f>
        <v>3.3333333333333335</v>
      </c>
      <c r="O114" s="426"/>
    </row>
    <row r="115" spans="1:15" s="544" customFormat="1" ht="27.75">
      <c r="A115" s="1419" t="s">
        <v>236</v>
      </c>
      <c r="B115" s="1420"/>
      <c r="C115" s="1315"/>
      <c r="D115" s="763" t="s">
        <v>155</v>
      </c>
      <c r="E115" s="674">
        <f>'[3]2'!F115</f>
        <v>6559</v>
      </c>
      <c r="F115" s="796">
        <v>6562</v>
      </c>
      <c r="G115" s="674">
        <f t="shared" ref="G115:G116" si="14">F115-E115</f>
        <v>3</v>
      </c>
      <c r="H115" s="673">
        <f>SUM(G115+'[3]1'!G92)</f>
        <v>108</v>
      </c>
      <c r="I115" s="672"/>
      <c r="J115" s="699">
        <f>H115/DAY(B2)</f>
        <v>36</v>
      </c>
      <c r="O115" s="426"/>
    </row>
    <row r="116" spans="1:15" s="544" customFormat="1" ht="27.75">
      <c r="A116" s="1419" t="s">
        <v>237</v>
      </c>
      <c r="B116" s="1420"/>
      <c r="C116" s="13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61.666666666666664</v>
      </c>
      <c r="O116" s="426"/>
    </row>
    <row r="117" spans="1:15" s="557" customFormat="1" ht="27.75">
      <c r="A117" s="1425" t="s">
        <v>213</v>
      </c>
      <c r="B117" s="1426"/>
      <c r="C117" s="1315"/>
      <c r="D117" s="942"/>
      <c r="E117" s="674"/>
      <c r="F117" s="796"/>
      <c r="G117" s="674">
        <f>SUM(G114:G116)</f>
        <v>13</v>
      </c>
      <c r="H117" s="673">
        <f>SUM(G117+'[3]1'!G95)</f>
        <v>61</v>
      </c>
      <c r="I117" s="674"/>
      <c r="J117" s="699">
        <f>H117/DAY(B2)</f>
        <v>20.333333333333332</v>
      </c>
      <c r="O117" s="426"/>
    </row>
    <row r="118" spans="1:15" s="557" customFormat="1" ht="27.75">
      <c r="A118" s="1417" t="s">
        <v>238</v>
      </c>
      <c r="B118" s="1418"/>
      <c r="C118" s="1315"/>
      <c r="D118" s="765" t="s">
        <v>155</v>
      </c>
      <c r="E118" s="676"/>
      <c r="F118" s="797">
        <f>SUM(G19+G92)</f>
        <v>108</v>
      </c>
      <c r="G118" s="676">
        <f>SUM(G19+G92)</f>
        <v>108</v>
      </c>
      <c r="H118" s="673">
        <f>SUM(G118+'[3]1'!G96)</f>
        <v>157</v>
      </c>
      <c r="I118" s="675"/>
      <c r="J118" s="700">
        <f>H118/DAY(B2)</f>
        <v>52.333333333333336</v>
      </c>
      <c r="O118" s="426"/>
    </row>
    <row r="119" spans="1:15" s="557" customFormat="1" ht="27.75">
      <c r="A119" s="1417" t="s">
        <v>239</v>
      </c>
      <c r="B119" s="1418"/>
      <c r="C119" s="1315"/>
      <c r="D119" s="765" t="s">
        <v>155</v>
      </c>
      <c r="E119" s="676"/>
      <c r="F119" s="797">
        <f>SUM(G95,G96,G97,G99,G100)</f>
        <v>103</v>
      </c>
      <c r="G119" s="676">
        <f>SUM(G95,G96,G97,G99,G100)</f>
        <v>103</v>
      </c>
      <c r="H119" s="673">
        <f>SUM(G119+'[3]1'!G98)</f>
        <v>135</v>
      </c>
      <c r="I119" s="675"/>
      <c r="J119" s="700">
        <f>H119/DAY(B2)</f>
        <v>45</v>
      </c>
      <c r="O119" s="426"/>
    </row>
    <row r="120" spans="1:15" s="557" customFormat="1" ht="27.75">
      <c r="A120" s="1417" t="s">
        <v>240</v>
      </c>
      <c r="B120" s="1418"/>
      <c r="C120" s="1315"/>
      <c r="D120" s="765" t="s">
        <v>155</v>
      </c>
      <c r="E120" s="674"/>
      <c r="F120" s="796">
        <f>SUM(G112)</f>
        <v>90</v>
      </c>
      <c r="G120" s="674">
        <f>SUM(G112)</f>
        <v>90</v>
      </c>
      <c r="H120" s="673">
        <f>SUM(G120+'[3]1'!G100)</f>
        <v>90</v>
      </c>
      <c r="I120" s="675"/>
      <c r="J120" s="700">
        <f>H120/DAY(B2)</f>
        <v>30</v>
      </c>
      <c r="O120" s="426"/>
    </row>
    <row r="121" spans="1:15" s="544" customFormat="1" ht="27.75">
      <c r="A121" s="1419"/>
      <c r="B121" s="1420"/>
      <c r="C121" s="1316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f>'[3]2'!F123</f>
        <v>783322.36600000004</v>
      </c>
      <c r="F123" s="618">
        <v>783470.88300000003</v>
      </c>
      <c r="G123" s="613">
        <f t="shared" ref="G123:G127" si="15">F123-E123</f>
        <v>148.51699999999255</v>
      </c>
      <c r="H123" s="600">
        <f>G123+'[3]2'!H123</f>
        <v>545.99699999997392</v>
      </c>
      <c r="I123" s="666"/>
      <c r="J123" s="693">
        <f>H123/DAY(B2)</f>
        <v>181.9989999999913</v>
      </c>
      <c r="K123" s="424"/>
      <c r="L123" s="421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f>'[3]2'!F124</f>
        <v>73581</v>
      </c>
      <c r="F124" s="767">
        <v>73581</v>
      </c>
      <c r="G124" s="613">
        <f t="shared" si="15"/>
        <v>0</v>
      </c>
      <c r="H124" s="600">
        <f>G124+'[3]2'!H124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618">
        <f>'[3]2'!F125</f>
        <v>131233.99</v>
      </c>
      <c r="F125" s="618">
        <v>131286.76999999999</v>
      </c>
      <c r="G125" s="613">
        <f t="shared" si="15"/>
        <v>52.779999999998836</v>
      </c>
      <c r="H125" s="600">
        <f>G125+'[3]2'!H125</f>
        <v>180.54999999998836</v>
      </c>
      <c r="I125" s="666"/>
      <c r="J125" s="693">
        <f>H125/DAY(B2)</f>
        <v>60.18333333332945</v>
      </c>
      <c r="K125" s="424"/>
      <c r="L125" s="421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f>'[3]2'!F126</f>
        <v>55639.5</v>
      </c>
      <c r="F126" s="767">
        <v>55659.4</v>
      </c>
      <c r="G126" s="613">
        <f t="shared" si="15"/>
        <v>19.900000000001455</v>
      </c>
      <c r="H126" s="600">
        <f>G126+'[3]2'!H126</f>
        <v>73.599999999998545</v>
      </c>
      <c r="I126" s="666"/>
      <c r="J126" s="693">
        <f>H126/DAY(B2)</f>
        <v>24.533333333332848</v>
      </c>
      <c r="K126" s="424"/>
      <c r="L126" s="421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f>'[3]2'!F127</f>
        <v>8639</v>
      </c>
      <c r="F127" s="767">
        <v>8639</v>
      </c>
      <c r="G127" s="613">
        <f t="shared" si="15"/>
        <v>0</v>
      </c>
      <c r="H127" s="600">
        <f>G127+'[3]2'!H127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224.66299999987677</v>
      </c>
      <c r="H128" s="600">
        <f>G128+'[3]2'!H128</f>
        <v>849.79100000012113</v>
      </c>
      <c r="I128" s="620"/>
      <c r="J128" s="693">
        <f>H128/DAY(B2)</f>
        <v>283.26366666670702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f>'[3]2'!F130</f>
        <v>0</v>
      </c>
      <c r="F130" s="618">
        <v>0</v>
      </c>
      <c r="G130" s="613">
        <f t="shared" ref="G130:G140" si="16">F130-E130</f>
        <v>0</v>
      </c>
      <c r="H130" s="600">
        <f>G130+'[3]2'!H130</f>
        <v>0</v>
      </c>
      <c r="I130" s="620"/>
      <c r="J130" s="693">
        <f>H130/DAY(B2)</f>
        <v>0</v>
      </c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f>'[3]2'!F131</f>
        <v>0</v>
      </c>
      <c r="F131" s="618">
        <v>0</v>
      </c>
      <c r="G131" s="613">
        <f t="shared" si="16"/>
        <v>0</v>
      </c>
      <c r="H131" s="600">
        <f>G131+'[3]2'!H131</f>
        <v>0</v>
      </c>
      <c r="I131" s="620"/>
      <c r="J131" s="693">
        <f>H131/DAY(B2)</f>
        <v>0</v>
      </c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f>'[3]2'!F132</f>
        <v>38853</v>
      </c>
      <c r="F132" s="788">
        <v>38853</v>
      </c>
      <c r="G132" s="613">
        <f t="shared" si="16"/>
        <v>0</v>
      </c>
      <c r="H132" s="600">
        <f>G132+'[3]2'!H132</f>
        <v>0</v>
      </c>
      <c r="I132" s="620"/>
      <c r="J132" s="693">
        <f>H132/DAY(B2)</f>
        <v>0</v>
      </c>
      <c r="O132" s="426"/>
    </row>
    <row r="133" spans="1:15" ht="27.75">
      <c r="A133" s="1317" t="s">
        <v>253</v>
      </c>
      <c r="B133" s="1318"/>
      <c r="C133" s="1318"/>
      <c r="D133" s="663" t="s">
        <v>250</v>
      </c>
      <c r="E133" s="682">
        <f>'[3]2'!F133</f>
        <v>34948</v>
      </c>
      <c r="F133" s="625">
        <v>34948</v>
      </c>
      <c r="G133" s="613">
        <f t="shared" si="16"/>
        <v>0</v>
      </c>
      <c r="H133" s="600">
        <f>G133+'[3]2'!H133</f>
        <v>0</v>
      </c>
      <c r="I133" s="620"/>
      <c r="J133" s="693">
        <f>H133/DAY(B2)</f>
        <v>0</v>
      </c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f>'[3]2'!F134</f>
        <v>39736</v>
      </c>
      <c r="F134" s="625">
        <v>39736</v>
      </c>
      <c r="G134" s="613">
        <f t="shared" si="16"/>
        <v>0</v>
      </c>
      <c r="H134" s="600">
        <f>G134+'[3]2'!H134</f>
        <v>-0.26999999999679858</v>
      </c>
      <c r="I134" s="620"/>
      <c r="J134" s="693">
        <f>H134/DAY(B2)</f>
        <v>-8.9999999998932864E-2</v>
      </c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f>'[3]2'!F135</f>
        <v>31041.02</v>
      </c>
      <c r="F135" s="625">
        <v>31065.02</v>
      </c>
      <c r="G135" s="613">
        <f t="shared" si="16"/>
        <v>24</v>
      </c>
      <c r="H135" s="600">
        <f>G135+'[3]2'!H135</f>
        <v>72</v>
      </c>
      <c r="I135" s="620">
        <f t="shared" ref="I135" si="17">G132+G133+G134+G135</f>
        <v>24</v>
      </c>
      <c r="J135" s="693">
        <f>H135/DAY(B2)</f>
        <v>24</v>
      </c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f>'[3]2'!F136</f>
        <v>21606.15</v>
      </c>
      <c r="F136" s="788">
        <v>21606.15</v>
      </c>
      <c r="G136" s="613">
        <f t="shared" si="16"/>
        <v>0</v>
      </c>
      <c r="H136" s="600">
        <f>G136+'[3]2'!H136</f>
        <v>8.1200000000026193</v>
      </c>
      <c r="I136" s="620"/>
      <c r="J136" s="693">
        <f>H136/DAY(B2)</f>
        <v>2.7066666666675396</v>
      </c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f>'[3]2'!F137</f>
        <v>24902.25</v>
      </c>
      <c r="F137" s="788">
        <v>24902.25</v>
      </c>
      <c r="G137" s="613">
        <f t="shared" si="16"/>
        <v>0</v>
      </c>
      <c r="H137" s="600">
        <f>G137+'[3]2'!H137</f>
        <v>0</v>
      </c>
      <c r="I137" s="620"/>
      <c r="J137" s="693">
        <f>H137/DAY(B2)</f>
        <v>0</v>
      </c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f>'[3]2'!F138</f>
        <v>69891.89</v>
      </c>
      <c r="F138" s="788">
        <v>69899.59</v>
      </c>
      <c r="G138" s="613">
        <f t="shared" si="16"/>
        <v>7.6999999999970896</v>
      </c>
      <c r="H138" s="600">
        <f>G138+'[3]2'!H138</f>
        <v>17.940000000002328</v>
      </c>
      <c r="I138" s="620">
        <f>G136+G137+G138</f>
        <v>7.6999999999970896</v>
      </c>
      <c r="J138" s="693">
        <f>H138/DAY(B2)</f>
        <v>5.9800000000007758</v>
      </c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82">
        <f>'[3]2'!F139</f>
        <v>785.22</v>
      </c>
      <c r="F139" s="625">
        <v>789.47</v>
      </c>
      <c r="G139" s="613">
        <f t="shared" si="16"/>
        <v>4.25</v>
      </c>
      <c r="H139" s="600">
        <f>G139+'[3]2'!H139</f>
        <v>13.040000000000077</v>
      </c>
      <c r="I139" s="683"/>
      <c r="J139" s="693">
        <f>H139/DAY(B2)</f>
        <v>4.3466666666666924</v>
      </c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82">
        <f>'[3]2'!F140</f>
        <v>4156.9799999999996</v>
      </c>
      <c r="F140" s="618">
        <v>4156.9799999999996</v>
      </c>
      <c r="G140" s="613">
        <f t="shared" si="16"/>
        <v>0</v>
      </c>
      <c r="H140" s="600">
        <f>G140+'[3]2'!H140</f>
        <v>2.7099999999991269</v>
      </c>
      <c r="I140" s="683">
        <f>G140+G177</f>
        <v>0</v>
      </c>
      <c r="J140" s="693">
        <f>H140/DAY(B2)</f>
        <v>0.90333333333304233</v>
      </c>
      <c r="O140" s="426"/>
    </row>
    <row r="141" spans="1:15">
      <c r="A141" s="1438" t="s">
        <v>261</v>
      </c>
      <c r="B141" s="1439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4884.5580000000555</v>
      </c>
      <c r="H142" s="600">
        <f>G142+'[3]2'!H142</f>
        <v>14913.492000000098</v>
      </c>
      <c r="I142" s="620"/>
      <c r="J142" s="693">
        <f>H142/DAY(B2)</f>
        <v>4971.1640000000325</v>
      </c>
      <c r="K142" s="424"/>
      <c r="L142" s="421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0.26931455036665686</v>
      </c>
      <c r="H143" s="600">
        <f>G143+'[3]2'!H143</f>
        <v>0.60328669101195032</v>
      </c>
      <c r="I143" s="685"/>
      <c r="J143" s="693">
        <f>H143/DAY(B2)</f>
        <v>0.2010955636706501</v>
      </c>
      <c r="K143" s="424"/>
      <c r="L143" s="421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4094.1599999999744</v>
      </c>
      <c r="H144" s="600">
        <f>G144+'[3]2'!H144</f>
        <v>12715.540000000066</v>
      </c>
      <c r="I144" s="620"/>
      <c r="J144" s="693">
        <f>H144/DAY(B2)</f>
        <v>4238.5133333333551</v>
      </c>
      <c r="K144" s="424"/>
      <c r="L144" s="421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0.22573523736009121</v>
      </c>
      <c r="H145" s="600">
        <f>G145+'[3]2'!H145</f>
        <v>0.6789310653662648</v>
      </c>
      <c r="I145" s="685"/>
      <c r="J145" s="693">
        <f>H145/DAY(B2)</f>
        <v>0.22631035512208827</v>
      </c>
      <c r="K145" s="424"/>
      <c r="L145" s="421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3926.640000000014</v>
      </c>
      <c r="H146" s="600">
        <f>G146+'[3]2'!H146</f>
        <v>12010.320000000065</v>
      </c>
      <c r="I146" s="686"/>
      <c r="J146" s="693">
        <f>H146/DAY(B2)</f>
        <v>4003.4400000000219</v>
      </c>
      <c r="K146" s="424"/>
      <c r="L146" s="421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0.21649886971384541</v>
      </c>
      <c r="H147" s="600">
        <f>G147+'[3]2'!H147</f>
        <v>0.64220871977539806</v>
      </c>
      <c r="I147" s="686"/>
      <c r="J147" s="693">
        <f>H147/DAY(B2)</f>
        <v>0.21406957325846601</v>
      </c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1782.7999999999884</v>
      </c>
      <c r="H148" s="600">
        <f>G148+'[3]2'!H148</f>
        <v>5417.140000000014</v>
      </c>
      <c r="I148" s="620"/>
      <c r="J148" s="693">
        <f>H148/DAY(B2)</f>
        <v>1805.7133333333379</v>
      </c>
      <c r="K148" s="425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9.8296300380437143E-2</v>
      </c>
      <c r="H149" s="600">
        <f>G149+'[3]2'!H149</f>
        <v>0.28989007338628658</v>
      </c>
      <c r="I149" s="686"/>
      <c r="J149" s="693">
        <f>H149/DAY(B2)</f>
        <v>9.6630024462095523E-2</v>
      </c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1426.3200000000361</v>
      </c>
      <c r="H150" s="600">
        <f>G150+'[3]2'!H150</f>
        <v>4717.179999999993</v>
      </c>
      <c r="I150" s="686"/>
      <c r="J150" s="693">
        <f>H150/DAY(B2)</f>
        <v>1572.3933333333309</v>
      </c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7.8641451177153668E-2</v>
      </c>
      <c r="H151" s="600">
        <f>G151+'[3]2'!H151</f>
        <v>0.25120619919497184</v>
      </c>
      <c r="I151" s="620"/>
      <c r="J151" s="693">
        <f>H151/DAY(B2)</f>
        <v>8.3735399731657278E-2</v>
      </c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1481.9199999999837</v>
      </c>
      <c r="H152" s="600">
        <f>G152+'[3]2'!H152</f>
        <v>4530.7600000000093</v>
      </c>
      <c r="I152" s="620"/>
      <c r="J152" s="693">
        <f>H152/DAY(B2)</f>
        <v>1510.2533333333365</v>
      </c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8.1707007774162413E-2</v>
      </c>
      <c r="H153" s="600">
        <f>G153+'[3]2'!H153</f>
        <v>0.24223050700324406</v>
      </c>
      <c r="I153" s="709"/>
      <c r="J153" s="710">
        <f>H153/DAY(B2)</f>
        <v>8.0743502334414685E-2</v>
      </c>
      <c r="O153" s="426"/>
    </row>
    <row r="154" spans="1:15">
      <c r="O154" s="426"/>
    </row>
    <row r="156" spans="1:15" ht="24" customHeight="1"/>
    <row r="157" spans="1:15" ht="29.25" customHeight="1">
      <c r="A157" s="1466" t="s">
        <v>278</v>
      </c>
      <c r="B157" s="1467"/>
      <c r="C157" s="1467"/>
      <c r="D157" s="1467"/>
      <c r="E157" s="1467"/>
      <c r="F157" s="1467"/>
      <c r="G157" s="1468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'[3]2'!F160</f>
        <v>21795</v>
      </c>
      <c r="F160" s="795">
        <v>21869.789000000001</v>
      </c>
      <c r="G160" s="613">
        <f t="shared" ref="G160:G171" si="18">F160-E160</f>
        <v>74.789000000000669</v>
      </c>
      <c r="H160" s="679">
        <v>72.86699999999837</v>
      </c>
      <c r="I160" s="680">
        <f>G160-H160</f>
        <v>1.9220000000022992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'[3]2'!F161</f>
        <v>13880</v>
      </c>
      <c r="F161" s="795">
        <v>13973.157999999999</v>
      </c>
      <c r="G161" s="613">
        <f t="shared" si="18"/>
        <v>93.157999999999447</v>
      </c>
      <c r="H161" s="679">
        <v>115.86999999999898</v>
      </c>
      <c r="I161" s="680">
        <f t="shared" ref="I161:I171" si="19">G161-H161</f>
        <v>-22.711999999999534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'[3]2'!F162</f>
        <v>30917.352999999999</v>
      </c>
      <c r="F162" s="795">
        <v>31173.109</v>
      </c>
      <c r="G162" s="613">
        <f t="shared" si="18"/>
        <v>255.75600000000122</v>
      </c>
      <c r="H162" s="679">
        <v>184.81999999999971</v>
      </c>
      <c r="I162" s="680">
        <f t="shared" si="19"/>
        <v>70.936000000001513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'[3]2'!F163</f>
        <v>3069.5119</v>
      </c>
      <c r="F163" s="795">
        <v>3083.1990999999998</v>
      </c>
      <c r="G163" s="613">
        <f t="shared" si="18"/>
        <v>13.687199999999848</v>
      </c>
      <c r="H163" s="679">
        <v>17.309999999999945</v>
      </c>
      <c r="I163" s="680">
        <f t="shared" si="19"/>
        <v>-3.6228000000000975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'[3]2'!F164</f>
        <v>20419.188999999998</v>
      </c>
      <c r="F164" s="654">
        <f>F62</f>
        <v>20419</v>
      </c>
      <c r="G164" s="613">
        <f t="shared" si="18"/>
        <v>-0.1889999999984866</v>
      </c>
      <c r="H164" s="679">
        <v>0</v>
      </c>
      <c r="I164" s="680">
        <f t="shared" si="19"/>
        <v>-0.1889999999984866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'[3]2'!F165</f>
        <v>337.52915000000002</v>
      </c>
      <c r="F165" s="654">
        <f t="shared" ref="F165:F171" si="20">F63</f>
        <v>356.76307000000003</v>
      </c>
      <c r="G165" s="613">
        <f t="shared" si="18"/>
        <v>19.233920000000012</v>
      </c>
      <c r="H165" s="679">
        <v>-0.47999999999956344</v>
      </c>
      <c r="I165" s="680">
        <f t="shared" si="19"/>
        <v>19.713919999999575</v>
      </c>
    </row>
    <row r="166" spans="1:9" ht="21.75" customHeight="1">
      <c r="A166" s="1314" t="s">
        <v>107</v>
      </c>
      <c r="B166" s="1314"/>
      <c r="C166" s="1314"/>
      <c r="D166" s="663" t="s">
        <v>198</v>
      </c>
      <c r="E166" s="795">
        <f>'[3]2'!F166</f>
        <v>76786.263000000006</v>
      </c>
      <c r="F166" s="654">
        <f t="shared" si="20"/>
        <v>77154.070999999996</v>
      </c>
      <c r="G166" s="613">
        <f t="shared" si="18"/>
        <v>367.80799999998999</v>
      </c>
      <c r="H166" s="679">
        <v>271.15200000000186</v>
      </c>
      <c r="I166" s="680">
        <f t="shared" si="19"/>
        <v>96.655999999988126</v>
      </c>
    </row>
    <row r="167" spans="1:9" ht="21.75" customHeight="1">
      <c r="A167" s="1314" t="s">
        <v>108</v>
      </c>
      <c r="B167" s="1314"/>
      <c r="C167" s="1314"/>
      <c r="D167" s="663" t="s">
        <v>198</v>
      </c>
      <c r="E167" s="795">
        <f>'[3]2'!F167</f>
        <v>85945.463000000003</v>
      </c>
      <c r="F167" s="654">
        <f t="shared" si="20"/>
        <v>86340.159</v>
      </c>
      <c r="G167" s="613">
        <f t="shared" si="18"/>
        <v>394.69599999999627</v>
      </c>
      <c r="H167" s="679">
        <v>372.92000000001281</v>
      </c>
      <c r="I167" s="680">
        <f t="shared" si="19"/>
        <v>21.775999999983469</v>
      </c>
    </row>
    <row r="168" spans="1:9" ht="21.75" customHeight="1">
      <c r="A168" s="1314" t="s">
        <v>109</v>
      </c>
      <c r="B168" s="1314"/>
      <c r="C168" s="1314"/>
      <c r="D168" s="663" t="s">
        <v>198</v>
      </c>
      <c r="E168" s="795">
        <f>'[3]2'!F168</f>
        <v>78976.558999999994</v>
      </c>
      <c r="F168" s="654">
        <f t="shared" si="20"/>
        <v>79353.349000000002</v>
      </c>
      <c r="G168" s="613">
        <f t="shared" si="18"/>
        <v>376.79000000000815</v>
      </c>
      <c r="H168" s="679">
        <v>384.8520000000135</v>
      </c>
      <c r="I168" s="680">
        <f>G168-H168</f>
        <v>-8.0620000000053551</v>
      </c>
    </row>
    <row r="169" spans="1:9" ht="12.75" customHeight="1">
      <c r="A169" s="1314" t="s">
        <v>110</v>
      </c>
      <c r="B169" s="1314"/>
      <c r="C169" s="1314"/>
      <c r="D169" s="663" t="s">
        <v>198</v>
      </c>
      <c r="E169" s="795">
        <f>'[3]2'!F169</f>
        <v>127374.99</v>
      </c>
      <c r="F169" s="654">
        <f t="shared" si="20"/>
        <v>127990.02</v>
      </c>
      <c r="G169" s="613">
        <f t="shared" si="18"/>
        <v>615.02999999999884</v>
      </c>
      <c r="H169" s="679">
        <v>451.52000000000407</v>
      </c>
      <c r="I169" s="680">
        <f t="shared" si="19"/>
        <v>163.50999999999476</v>
      </c>
    </row>
    <row r="170" spans="1:9" ht="24" customHeight="1">
      <c r="A170" s="1314" t="s">
        <v>111</v>
      </c>
      <c r="B170" s="1314"/>
      <c r="C170" s="1314"/>
      <c r="D170" s="663" t="s">
        <v>198</v>
      </c>
      <c r="E170" s="795">
        <f>'[3]2'!F170</f>
        <v>34045.735000000001</v>
      </c>
      <c r="F170" s="654">
        <f t="shared" si="20"/>
        <v>34346.819000000003</v>
      </c>
      <c r="G170" s="613">
        <f t="shared" si="18"/>
        <v>301.08400000000256</v>
      </c>
      <c r="H170" s="679">
        <v>264.56499999999869</v>
      </c>
      <c r="I170" s="680">
        <f t="shared" si="19"/>
        <v>36.519000000003871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'[3]2'!F171</f>
        <v>29784.334999999999</v>
      </c>
      <c r="F171" s="654">
        <f t="shared" si="20"/>
        <v>30044.791000000001</v>
      </c>
      <c r="G171" s="613">
        <f t="shared" si="18"/>
        <v>260.45600000000195</v>
      </c>
      <c r="H171" s="679">
        <v>137.0779999999977</v>
      </c>
      <c r="I171" s="680">
        <f t="shared" si="19"/>
        <v>123.37800000000425</v>
      </c>
    </row>
    <row r="172" spans="1:9" ht="27.75">
      <c r="A172" s="1404"/>
      <c r="B172" s="1404"/>
      <c r="C172" s="1404"/>
      <c r="D172" s="663"/>
      <c r="E172" s="654"/>
      <c r="F172" s="654"/>
      <c r="G172" s="613"/>
      <c r="I172" s="680">
        <f>SUM(I160:I171)</f>
        <v>499.82511999997439</v>
      </c>
    </row>
    <row r="176" spans="1:9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0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7:G157"/>
    <mergeCell ref="A172:C172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</mergeCells>
  <pageMargins left="0.22" right="0.17" top="0.14000000000000001" bottom="0.2" header="0.2" footer="0.2"/>
  <pageSetup paperSize="5" scale="2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sqref="A1:XFD1048576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6.1093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293</v>
      </c>
      <c r="B2" s="1195">
        <v>44139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31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595">
        <v>2161168</v>
      </c>
      <c r="F7" s="595">
        <v>2178839</v>
      </c>
      <c r="G7" s="826">
        <f>F7-E7</f>
        <v>17671</v>
      </c>
      <c r="H7" s="816">
        <f>G7+'[3]3'!H7</f>
        <v>73814</v>
      </c>
      <c r="I7" s="817">
        <f>'[3]1'!I7</f>
        <v>12000</v>
      </c>
      <c r="J7" s="818">
        <f>H7/DAY(B2)</f>
        <v>18453.5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615">
        <v>2171790</v>
      </c>
      <c r="F8" s="615">
        <v>2189519</v>
      </c>
      <c r="G8" s="826">
        <f>F8-E8</f>
        <v>17729</v>
      </c>
      <c r="H8" s="816">
        <f>G8+'[3]3'!H8</f>
        <v>74078</v>
      </c>
      <c r="I8" s="823">
        <v>12000</v>
      </c>
      <c r="J8" s="818">
        <f>H8/DAY(B2)</f>
        <v>18519.5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618">
        <v>2071206.7</v>
      </c>
      <c r="F9" s="618">
        <v>2088058.3</v>
      </c>
      <c r="G9" s="839">
        <f t="shared" ref="G9:G12" si="0">F9-E9</f>
        <v>16851.600000000093</v>
      </c>
      <c r="H9" s="816">
        <f>G9+'[3]3'!H9</f>
        <v>71053</v>
      </c>
      <c r="I9" s="827">
        <f>I8-J8</f>
        <v>-6519.5</v>
      </c>
      <c r="J9" s="818">
        <f>H9/DAY(B2)</f>
        <v>17763.25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618">
        <v>454610</v>
      </c>
      <c r="F10" s="618">
        <v>454610</v>
      </c>
      <c r="G10" s="826">
        <f t="shared" si="0"/>
        <v>0</v>
      </c>
      <c r="H10" s="816">
        <f>G10+'[3]3'!H10</f>
        <v>0.21000000002095476</v>
      </c>
      <c r="I10" s="828"/>
      <c r="J10" s="818">
        <f>H10/DAY(B2)</f>
        <v>5.2500000005238689E-2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595">
        <v>35390</v>
      </c>
      <c r="F11" s="595">
        <v>35390</v>
      </c>
      <c r="G11" s="826">
        <f t="shared" si="0"/>
        <v>0</v>
      </c>
      <c r="H11" s="816">
        <f>G11+'[3]3'!H11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618">
        <v>37630</v>
      </c>
      <c r="F12" s="618">
        <v>37630</v>
      </c>
      <c r="G12" s="826">
        <f t="shared" si="0"/>
        <v>0</v>
      </c>
      <c r="H12" s="816">
        <f>G12+'[3]3'!H12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16851.600000000093</v>
      </c>
      <c r="H13" s="816">
        <f>G13+'[3]3'!H13</f>
        <v>71053.210000000021</v>
      </c>
      <c r="I13" s="832">
        <f>G7-G13</f>
        <v>819.39999999990687</v>
      </c>
      <c r="J13" s="818">
        <f>H13/DAY(B2)</f>
        <v>17763.302500000005</v>
      </c>
      <c r="K13" s="527"/>
      <c r="L13" s="421"/>
      <c r="O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625">
        <v>1531765.132</v>
      </c>
      <c r="F15" s="625">
        <v>1532096.6459999999</v>
      </c>
      <c r="G15" s="941">
        <f>F15-E15</f>
        <v>331.51399999996647</v>
      </c>
      <c r="H15" s="816">
        <f>G15+'[3]3'!H15</f>
        <v>1981.4520000000484</v>
      </c>
      <c r="I15" s="614">
        <v>800</v>
      </c>
      <c r="J15" s="694">
        <f>H15/DAY(B2)</f>
        <v>495.36300000001211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304.63699999998789</v>
      </c>
      <c r="J16" s="694"/>
      <c r="K16" s="527"/>
      <c r="L16" s="421"/>
      <c r="O16" s="426"/>
    </row>
    <row r="17" spans="1:1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478" t="s">
        <v>154</v>
      </c>
      <c r="B18" s="1479"/>
      <c r="C18" s="1480"/>
      <c r="D18" s="779" t="s">
        <v>155</v>
      </c>
      <c r="E18" s="618">
        <v>8</v>
      </c>
      <c r="F18" s="618">
        <v>9</v>
      </c>
      <c r="G18" s="831">
        <f>F18*10</f>
        <v>90</v>
      </c>
      <c r="H18" s="816">
        <f>G18+'[3]3'!H18</f>
        <v>440</v>
      </c>
      <c r="I18" s="817">
        <f>'[3]1'!I18</f>
        <v>65</v>
      </c>
      <c r="J18" s="818">
        <f>H18/DAY(B2)</f>
        <v>110</v>
      </c>
      <c r="K18" s="527"/>
      <c r="L18" s="421"/>
      <c r="O18" s="426"/>
    </row>
    <row r="19" spans="1:15" ht="27.75">
      <c r="A19" s="1478" t="s">
        <v>71</v>
      </c>
      <c r="B19" s="1479"/>
      <c r="C19" s="1480"/>
      <c r="D19" s="779" t="s">
        <v>155</v>
      </c>
      <c r="E19" s="618">
        <v>128358</v>
      </c>
      <c r="F19" s="618">
        <v>128405</v>
      </c>
      <c r="G19" s="826">
        <f t="shared" ref="G19" si="1">F19-E19</f>
        <v>47</v>
      </c>
      <c r="H19" s="816">
        <f>G19+'[3]3'!H19</f>
        <v>210</v>
      </c>
      <c r="I19" s="833"/>
      <c r="J19" s="818">
        <f>H19/DAY(B2)</f>
        <v>52.5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137</v>
      </c>
      <c r="H20" s="816">
        <f>G20+'[3]3'!H20</f>
        <v>650</v>
      </c>
      <c r="I20" s="835">
        <f>I18-J20</f>
        <v>-97.5</v>
      </c>
      <c r="J20" s="818">
        <f>H20/DAY(B2)</f>
        <v>162.5</v>
      </c>
      <c r="K20" s="527"/>
      <c r="L20" s="421"/>
      <c r="O20" s="426"/>
    </row>
    <row r="21" spans="1:1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71" t="s">
        <v>158</v>
      </c>
      <c r="B22" s="730"/>
      <c r="C22" s="730"/>
      <c r="D22" s="663" t="s">
        <v>159</v>
      </c>
      <c r="E22" s="776">
        <f>'[3]2'!F22</f>
        <v>2250</v>
      </c>
      <c r="F22" s="618">
        <v>2250</v>
      </c>
      <c r="G22" s="621">
        <f t="shared" ref="G22" si="2">(F22-E22)</f>
        <v>0</v>
      </c>
      <c r="H22" s="816">
        <f>G22+'[3]3'!H22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71" t="s">
        <v>160</v>
      </c>
      <c r="B23" s="730"/>
      <c r="C23" s="730"/>
      <c r="D23" s="663" t="s">
        <v>159</v>
      </c>
      <c r="E23" s="776">
        <f>'[3]2'!F23</f>
        <v>2000</v>
      </c>
      <c r="F23" s="618">
        <v>2000</v>
      </c>
      <c r="G23" s="621">
        <v>0</v>
      </c>
      <c r="H23" s="816">
        <f>G23+'[3]3'!H23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'[3]2'!F24</f>
        <v>4250</v>
      </c>
      <c r="F24" s="625">
        <v>4250</v>
      </c>
      <c r="G24" s="621">
        <v>0</v>
      </c>
      <c r="H24" s="816">
        <f>G24+'[3]3'!H24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17729</v>
      </c>
      <c r="F27" s="641">
        <v>9.5</v>
      </c>
      <c r="G27" s="642">
        <f>E27*F27</f>
        <v>168425.5</v>
      </c>
      <c r="H27" s="816">
        <f>G27+'[3]3'!H27</f>
        <v>703741</v>
      </c>
      <c r="I27" s="643"/>
      <c r="J27" s="693">
        <f>H27/DAY(B2)</f>
        <v>175935.25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331.51399999996647</v>
      </c>
      <c r="F28" s="641">
        <v>36.5</v>
      </c>
      <c r="G28" s="642">
        <f>E28*F28</f>
        <v>12100.260999998776</v>
      </c>
      <c r="H28" s="816">
        <f>G28+'[3]3'!H28</f>
        <v>72322.998000001768</v>
      </c>
      <c r="I28" s="645"/>
      <c r="J28" s="693">
        <f>H28/DAY(B2)</f>
        <v>18080.749500000442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816">
        <f>G29+'[3]3'!H29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47</v>
      </c>
      <c r="F30" s="641">
        <v>145</v>
      </c>
      <c r="G30" s="642">
        <f>E30*F30</f>
        <v>6815</v>
      </c>
      <c r="H30" s="816">
        <f>G30+'[3]3'!H30</f>
        <v>30450</v>
      </c>
      <c r="I30" s="645"/>
      <c r="J30" s="693">
        <f>H30/DAY(B2)</f>
        <v>7612.5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90</v>
      </c>
      <c r="F31" s="641">
        <v>80</v>
      </c>
      <c r="G31" s="642">
        <f>E31*F31</f>
        <v>7200</v>
      </c>
      <c r="H31" s="816">
        <f>G31+'[3]3'!H31</f>
        <v>35200</v>
      </c>
      <c r="I31" s="645"/>
      <c r="J31" s="693">
        <f>H31/DAY(B2)</f>
        <v>8800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194540.76099999878</v>
      </c>
      <c r="H32" s="816">
        <f>G32+'[3]3'!H32</f>
        <v>841713.99800000177</v>
      </c>
      <c r="I32" s="649"/>
      <c r="J32" s="693">
        <f>H32/DAY(B2)</f>
        <v>210428.49950000044</v>
      </c>
      <c r="K32" s="417"/>
      <c r="L32" s="547"/>
      <c r="O32" s="426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611135.91</v>
      </c>
      <c r="F35" s="650">
        <v>613621.47</v>
      </c>
      <c r="G35" s="613">
        <f t="shared" ref="G35:G46" si="3">F35-E35</f>
        <v>2485.5599999999395</v>
      </c>
      <c r="H35" s="816">
        <f>G35+'[3]3'!H35</f>
        <v>10278</v>
      </c>
      <c r="I35" s="595"/>
      <c r="J35" s="693">
        <f>H35/DAY(B2)</f>
        <v>2569.5</v>
      </c>
      <c r="K35" s="527"/>
      <c r="L35" s="421"/>
      <c r="N35" s="426">
        <v>1574.640000000014</v>
      </c>
      <c r="O35" s="426">
        <f>G35-N35</f>
        <v>910.91999999992549</v>
      </c>
    </row>
    <row r="36" spans="1:15">
      <c r="A36" s="719" t="s">
        <v>176</v>
      </c>
      <c r="B36" s="720"/>
      <c r="C36" s="720"/>
      <c r="D36" s="663" t="s">
        <v>143</v>
      </c>
      <c r="E36" s="650">
        <v>212971.93</v>
      </c>
      <c r="F36" s="650">
        <v>213521.3</v>
      </c>
      <c r="G36" s="613">
        <f t="shared" si="3"/>
        <v>549.36999999999534</v>
      </c>
      <c r="H36" s="816">
        <f>G36+'[3]3'!H36</f>
        <v>2161.3499999999767</v>
      </c>
      <c r="I36" s="595"/>
      <c r="J36" s="693">
        <f>H36/DAY(B2)</f>
        <v>540.33749999999418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v>404374.95</v>
      </c>
      <c r="F37" s="650">
        <v>405829.8</v>
      </c>
      <c r="G37" s="613">
        <f t="shared" si="3"/>
        <v>1454.8499999999767</v>
      </c>
      <c r="H37" s="816">
        <f>G37+'[3]3'!H37</f>
        <v>5985.609999999986</v>
      </c>
      <c r="I37" s="595"/>
      <c r="J37" s="693">
        <f>H37/DAY(B2)</f>
        <v>1496.4024999999965</v>
      </c>
      <c r="K37" s="527"/>
      <c r="L37" s="421"/>
      <c r="N37" s="426">
        <v>1333.5200000000186</v>
      </c>
      <c r="O37" s="426">
        <f t="shared" ref="O37:O60" si="4">G37-N37</f>
        <v>121.32999999995809</v>
      </c>
    </row>
    <row r="38" spans="1:15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150714.20000000001</v>
      </c>
      <c r="G38" s="613">
        <f t="shared" si="3"/>
        <v>0.20000000001164153</v>
      </c>
      <c r="H38" s="816">
        <f>G38+'[3]3'!H38</f>
        <v>0.20000000001164153</v>
      </c>
      <c r="I38" s="595"/>
      <c r="J38" s="693">
        <f>H38/DAY(B2)</f>
        <v>5.0000000002910383E-2</v>
      </c>
      <c r="K38" s="527"/>
      <c r="L38" s="421"/>
      <c r="N38" s="426">
        <v>0</v>
      </c>
      <c r="O38" s="426">
        <f t="shared" si="4"/>
        <v>0.20000000001164153</v>
      </c>
    </row>
    <row r="39" spans="1:15">
      <c r="A39" s="719" t="s">
        <v>179</v>
      </c>
      <c r="B39" s="720"/>
      <c r="C39" s="720"/>
      <c r="D39" s="663" t="s">
        <v>143</v>
      </c>
      <c r="E39" s="650">
        <v>884135.03</v>
      </c>
      <c r="F39" s="650">
        <v>887861.91</v>
      </c>
      <c r="G39" s="613">
        <f t="shared" si="3"/>
        <v>3726.8800000000047</v>
      </c>
      <c r="H39" s="816">
        <f>G39+'[3]3'!H39</f>
        <v>15737.20000000007</v>
      </c>
      <c r="I39" s="595"/>
      <c r="J39" s="693">
        <f>H39/DAY(B2)</f>
        <v>3934.3000000000175</v>
      </c>
      <c r="K39" s="527"/>
      <c r="L39" s="421"/>
      <c r="N39" s="426">
        <v>3225.2000000000698</v>
      </c>
      <c r="O39" s="426">
        <f t="shared" si="4"/>
        <v>501.67999999993481</v>
      </c>
    </row>
    <row r="40" spans="1:15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816">
        <f>G40+'[3]3'!H40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650">
        <v>300127.90000000002</v>
      </c>
      <c r="F41" s="650">
        <v>300127.90000000002</v>
      </c>
      <c r="G41" s="613">
        <f t="shared" si="3"/>
        <v>0</v>
      </c>
      <c r="H41" s="816">
        <f>G41+'[3]3'!H41</f>
        <v>-6.9999999948777258E-2</v>
      </c>
      <c r="I41" s="595"/>
      <c r="J41" s="693">
        <f>H41/DAY(B2)</f>
        <v>-1.7499999987194315E-2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1218">
        <v>396197.47</v>
      </c>
      <c r="F42" s="1218">
        <v>396197.47</v>
      </c>
      <c r="G42" s="613">
        <f>F42-E42</f>
        <v>0</v>
      </c>
      <c r="H42" s="816">
        <f>G42+'[3]3'!H42</f>
        <v>0</v>
      </c>
      <c r="I42" s="595"/>
      <c r="J42" s="693">
        <f>H42/DAY(B2)</f>
        <v>0</v>
      </c>
      <c r="K42" s="527"/>
      <c r="L42" s="421"/>
      <c r="N42" s="426">
        <v>3723.6800000000221</v>
      </c>
      <c r="O42" s="426">
        <f t="shared" si="4"/>
        <v>-3723.6800000000221</v>
      </c>
    </row>
    <row r="43" spans="1:15">
      <c r="A43" s="719" t="s">
        <v>183</v>
      </c>
      <c r="B43" s="720"/>
      <c r="C43" s="720"/>
      <c r="D43" s="663" t="s">
        <v>143</v>
      </c>
      <c r="E43" s="650">
        <v>565445.11</v>
      </c>
      <c r="F43" s="650">
        <v>567788.79</v>
      </c>
      <c r="G43" s="613">
        <f t="shared" si="3"/>
        <v>2343.6800000000512</v>
      </c>
      <c r="H43" s="816">
        <f>G43+'[3]3'!H43</f>
        <v>9464.7200000000885</v>
      </c>
      <c r="I43" s="595"/>
      <c r="J43" s="693">
        <f>H43/DAY(B2)</f>
        <v>2366.1800000000221</v>
      </c>
      <c r="K43" s="527"/>
      <c r="L43" s="421"/>
      <c r="N43" s="426">
        <v>2005.3199999999488</v>
      </c>
      <c r="O43" s="426">
        <f>G43-N43</f>
        <v>338.36000000010245</v>
      </c>
    </row>
    <row r="44" spans="1:15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3"/>
        <v>0</v>
      </c>
      <c r="H44" s="816">
        <f>G44+'[3]3'!H44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650">
        <v>614</v>
      </c>
      <c r="F45" s="650">
        <v>614</v>
      </c>
      <c r="G45" s="613">
        <f t="shared" si="3"/>
        <v>0</v>
      </c>
      <c r="H45" s="816">
        <f>G45+'[3]3'!H45</f>
        <v>-0.48000000000001819</v>
      </c>
      <c r="I45" s="595"/>
      <c r="J45" s="693">
        <f>H45/DAY(B2)</f>
        <v>-0.12000000000000455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650">
        <v>187</v>
      </c>
      <c r="F46" s="650">
        <v>187</v>
      </c>
      <c r="G46" s="613">
        <f t="shared" si="3"/>
        <v>0</v>
      </c>
      <c r="H46" s="816">
        <f>G46+'[3]3'!H46</f>
        <v>-0.49000000000000909</v>
      </c>
      <c r="I46" s="595"/>
      <c r="J46" s="693">
        <f>H46/DAY(B2)</f>
        <v>-0.12250000000000227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10560.539999999979</v>
      </c>
      <c r="H47" s="816">
        <f>G47+'[3]3'!H47</f>
        <v>43626.040000000183</v>
      </c>
      <c r="I47" s="595"/>
      <c r="J47" s="693">
        <f>H47/DAY(B2)</f>
        <v>10906.510000000046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650">
        <v>11728.85</v>
      </c>
      <c r="F49" s="650">
        <v>11728.7</v>
      </c>
      <c r="G49" s="613">
        <f t="shared" ref="G49:G58" si="5">F49-E49</f>
        <v>-0.1499999999996362</v>
      </c>
      <c r="H49" s="816">
        <f>G49+'[3]3'!H49</f>
        <v>-0.13799999999901047</v>
      </c>
      <c r="I49" s="595"/>
      <c r="J49" s="693">
        <f>H49/DAY(B2)</f>
        <v>-3.4499999999752617E-2</v>
      </c>
      <c r="K49" s="527"/>
      <c r="L49" s="421"/>
      <c r="N49" s="426">
        <v>0</v>
      </c>
      <c r="O49" s="426">
        <f t="shared" si="4"/>
        <v>-0.1499999999996362</v>
      </c>
    </row>
    <row r="50" spans="1:15">
      <c r="A50" s="719" t="s">
        <v>189</v>
      </c>
      <c r="B50" s="742"/>
      <c r="C50" s="742"/>
      <c r="D50" s="663" t="s">
        <v>143</v>
      </c>
      <c r="E50" s="1218">
        <v>266911.77</v>
      </c>
      <c r="F50" s="1218">
        <v>267859.37</v>
      </c>
      <c r="G50" s="613">
        <f t="shared" si="5"/>
        <v>947.59999999997672</v>
      </c>
      <c r="H50" s="816">
        <f>G50+'[3]3'!H50</f>
        <v>4052.7999999999884</v>
      </c>
      <c r="I50" s="595"/>
      <c r="J50" s="693">
        <f>H50/DAY(B2)</f>
        <v>1013.1999999999971</v>
      </c>
      <c r="K50" s="527"/>
      <c r="L50" s="421"/>
      <c r="N50" s="426">
        <v>859.42000000001281</v>
      </c>
      <c r="O50" s="426">
        <f t="shared" si="4"/>
        <v>88.179999999963911</v>
      </c>
    </row>
    <row r="51" spans="1:15">
      <c r="A51" s="719" t="s">
        <v>177</v>
      </c>
      <c r="B51" s="742"/>
      <c r="C51" s="742"/>
      <c r="D51" s="663" t="s">
        <v>143</v>
      </c>
      <c r="E51" s="650">
        <v>0</v>
      </c>
      <c r="F51" s="650">
        <v>0</v>
      </c>
      <c r="G51" s="613">
        <f t="shared" si="5"/>
        <v>0</v>
      </c>
      <c r="H51" s="816">
        <f>G51+'[3]3'!H51</f>
        <v>0</v>
      </c>
      <c r="I51" s="595"/>
      <c r="J51" s="693">
        <f>H51/DAY(B2)</f>
        <v>0</v>
      </c>
      <c r="K51" s="527"/>
      <c r="L51" s="421"/>
      <c r="N51" s="426">
        <v>0</v>
      </c>
      <c r="O51" s="426">
        <f t="shared" si="4"/>
        <v>0</v>
      </c>
    </row>
    <row r="52" spans="1:15">
      <c r="A52" s="719" t="s">
        <v>190</v>
      </c>
      <c r="B52" s="742"/>
      <c r="C52" s="742"/>
      <c r="D52" s="663" t="s">
        <v>143</v>
      </c>
      <c r="E52" s="650">
        <v>324081.83</v>
      </c>
      <c r="F52" s="650">
        <v>325581.43</v>
      </c>
      <c r="G52" s="613">
        <f>F52-E52</f>
        <v>1499.5999999999767</v>
      </c>
      <c r="H52" s="816">
        <f>G52+'[3]3'!H52</f>
        <v>6916.7399999999907</v>
      </c>
      <c r="I52" s="595"/>
      <c r="J52" s="693">
        <f>H52/DAY(B2)</f>
        <v>1729.1849999999977</v>
      </c>
      <c r="K52" s="527"/>
      <c r="L52" s="421"/>
      <c r="N52" s="426">
        <v>1313.4799999999814</v>
      </c>
      <c r="O52" s="426">
        <f t="shared" si="4"/>
        <v>186.11999999999534</v>
      </c>
    </row>
    <row r="53" spans="1:15">
      <c r="A53" s="719" t="s">
        <v>179</v>
      </c>
      <c r="B53" s="742"/>
      <c r="C53" s="742"/>
      <c r="D53" s="663" t="s">
        <v>143</v>
      </c>
      <c r="E53" s="650">
        <v>16071</v>
      </c>
      <c r="F53" s="650">
        <v>16071</v>
      </c>
      <c r="G53" s="613">
        <f t="shared" si="5"/>
        <v>0</v>
      </c>
      <c r="H53" s="816">
        <f>G53+'[3]3'!H53</f>
        <v>0</v>
      </c>
      <c r="I53" s="595"/>
      <c r="J53" s="693">
        <f>H53/DAY(B2)</f>
        <v>0</v>
      </c>
      <c r="K53" s="527"/>
      <c r="L53" s="421"/>
      <c r="N53" s="426">
        <v>0</v>
      </c>
      <c r="O53" s="426">
        <f t="shared" si="4"/>
        <v>0</v>
      </c>
    </row>
    <row r="54" spans="1:15">
      <c r="A54" s="719" t="s">
        <v>191</v>
      </c>
      <c r="B54" s="742"/>
      <c r="C54" s="742"/>
      <c r="D54" s="663" t="s">
        <v>143</v>
      </c>
      <c r="E54" s="790">
        <v>1621.3976</v>
      </c>
      <c r="F54" s="790">
        <v>1692.7</v>
      </c>
      <c r="G54" s="613">
        <f t="shared" si="5"/>
        <v>71.302400000000034</v>
      </c>
      <c r="H54" s="816">
        <f>G54+'[3]3'!H54</f>
        <v>289.03500000000008</v>
      </c>
      <c r="I54" s="595"/>
      <c r="J54" s="693">
        <f>H54/DAY(B2)</f>
        <v>72.25875000000002</v>
      </c>
      <c r="K54" s="527"/>
      <c r="L54" s="421"/>
      <c r="N54" s="426">
        <v>0</v>
      </c>
      <c r="O54" s="426">
        <f t="shared" si="4"/>
        <v>71.302400000000034</v>
      </c>
    </row>
    <row r="55" spans="1:15">
      <c r="A55" s="719" t="s">
        <v>192</v>
      </c>
      <c r="B55" s="742"/>
      <c r="C55" s="742"/>
      <c r="D55" s="663" t="s">
        <v>143</v>
      </c>
      <c r="E55" s="790">
        <v>158492.73000000001</v>
      </c>
      <c r="F55" s="790">
        <v>158492.73000000001</v>
      </c>
      <c r="G55" s="613">
        <f t="shared" si="5"/>
        <v>0</v>
      </c>
      <c r="H55" s="816">
        <f>G55+'[3]3'!H55</f>
        <v>-0.26999999998952262</v>
      </c>
      <c r="I55" s="595"/>
      <c r="J55" s="693">
        <f>H55/DAY(B2)</f>
        <v>-6.7499999997380655E-2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790">
        <v>316705.67</v>
      </c>
      <c r="F56" s="790">
        <v>320581.43</v>
      </c>
      <c r="G56" s="613">
        <f t="shared" si="5"/>
        <v>3875.7600000000093</v>
      </c>
      <c r="H56" s="816">
        <f>G56+'[3]3'!H56</f>
        <v>16591.640000000014</v>
      </c>
      <c r="I56" s="595"/>
      <c r="J56" s="693">
        <f>H56/DAY(B2)</f>
        <v>4147.9100000000035</v>
      </c>
      <c r="K56" s="526"/>
      <c r="L56" s="421"/>
      <c r="N56" s="426">
        <v>0</v>
      </c>
      <c r="O56" s="426">
        <f t="shared" si="4"/>
        <v>3875.7600000000093</v>
      </c>
    </row>
    <row r="57" spans="1:15">
      <c r="A57" s="719" t="s">
        <v>183</v>
      </c>
      <c r="B57" s="742"/>
      <c r="C57" s="742"/>
      <c r="D57" s="663" t="s">
        <v>143</v>
      </c>
      <c r="E57" s="790">
        <v>0</v>
      </c>
      <c r="F57" s="790">
        <v>0</v>
      </c>
      <c r="G57" s="613">
        <f t="shared" si="5"/>
        <v>0</v>
      </c>
      <c r="H57" s="816">
        <f>G57+'[3]3'!H57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790">
        <v>17737.215</v>
      </c>
      <c r="F58" s="790">
        <v>17771.150000000001</v>
      </c>
      <c r="G58" s="613">
        <f t="shared" si="5"/>
        <v>33.93500000000131</v>
      </c>
      <c r="H58" s="816">
        <f>G58+'[3]3'!H58</f>
        <v>306.87900000000081</v>
      </c>
      <c r="I58" s="595"/>
      <c r="J58" s="693">
        <f>H58/DAY(B2)</f>
        <v>76.719750000000204</v>
      </c>
      <c r="K58" s="527"/>
      <c r="L58" s="421"/>
      <c r="N58" s="426">
        <v>43.554000000000087</v>
      </c>
      <c r="O58" s="426">
        <f t="shared" si="4"/>
        <v>-9.6189999999987776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6428.0473999999649</v>
      </c>
      <c r="H59" s="816">
        <f>G59+'[3]3'!H59</f>
        <v>28156.686000000009</v>
      </c>
      <c r="I59" s="595">
        <f>G7-G60</f>
        <v>682.41260000005423</v>
      </c>
      <c r="J59" s="693">
        <f>H59/DAY(B2)</f>
        <v>7039.1715000000022</v>
      </c>
      <c r="K59" s="527"/>
      <c r="L59" s="421"/>
      <c r="N59" s="426">
        <v>2216.5540000000001</v>
      </c>
      <c r="O59" s="426">
        <f>SUM(O35:O58)</f>
        <v>2361.3433999998233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16988.587399999946</v>
      </c>
      <c r="H60" s="816">
        <f>G60+'[3]3'!H60</f>
        <v>71782.726000000199</v>
      </c>
      <c r="I60" s="595">
        <f>G13-G60</f>
        <v>-136.98739999985264</v>
      </c>
      <c r="J60" s="693">
        <f>H60/DAY(B2)</f>
        <v>17945.68150000005</v>
      </c>
      <c r="K60" s="527"/>
      <c r="L60" s="421"/>
      <c r="N60" s="426">
        <v>14722.134000000135</v>
      </c>
      <c r="O60" s="426">
        <f t="shared" si="4"/>
        <v>2266.4533999998112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'[3]2'!F62</f>
        <v>20419.188999999998</v>
      </c>
      <c r="F62" s="654">
        <v>20419</v>
      </c>
      <c r="G62" s="613">
        <f t="shared" ref="G62:G69" si="6">F62-E62</f>
        <v>-0.1889999999984866</v>
      </c>
      <c r="H62" s="816">
        <f>G62+'[3]3'!H62</f>
        <v>-0.3779999999969732</v>
      </c>
      <c r="I62" s="655"/>
      <c r="J62" s="693">
        <f>H62/DAY(B2)</f>
        <v>-9.44999999992433E-2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v>356.76307000000003</v>
      </c>
      <c r="F63" s="654">
        <v>375.81</v>
      </c>
      <c r="G63" s="613">
        <f t="shared" si="6"/>
        <v>19.046929999999975</v>
      </c>
      <c r="H63" s="816">
        <f>G63+'[3]3'!H63</f>
        <v>77.350000000000023</v>
      </c>
      <c r="I63" s="655"/>
      <c r="J63" s="693">
        <f>H63/DAY(B2)</f>
        <v>19.337500000000006</v>
      </c>
      <c r="K63" s="527"/>
      <c r="L63" s="421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18">
        <v>77154.070999999996</v>
      </c>
      <c r="F64" s="618">
        <v>77507.73</v>
      </c>
      <c r="G64" s="613">
        <f t="shared" si="6"/>
        <v>353.65899999999965</v>
      </c>
      <c r="H64" s="816">
        <f>G64+'[3]3'!H64</f>
        <v>1444.6429999999964</v>
      </c>
      <c r="I64" s="620"/>
      <c r="J64" s="693">
        <f>H64/DAY(B2)</f>
        <v>361.1607499999991</v>
      </c>
      <c r="K64" s="527"/>
      <c r="L64" s="421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788">
        <v>86340.159</v>
      </c>
      <c r="F65" s="788">
        <v>86703.73</v>
      </c>
      <c r="G65" s="613">
        <f t="shared" si="6"/>
        <v>363.57099999999627</v>
      </c>
      <c r="H65" s="816">
        <f>G65+'[3]3'!H65</f>
        <v>1544.4669999999896</v>
      </c>
      <c r="I65" s="629"/>
      <c r="J65" s="693">
        <f>H65/DAY(B2)</f>
        <v>386.11674999999741</v>
      </c>
      <c r="K65" s="527"/>
      <c r="L65" s="421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18">
        <v>79353.349000000002</v>
      </c>
      <c r="F66" s="618">
        <v>79726.5</v>
      </c>
      <c r="G66" s="613">
        <f t="shared" si="6"/>
        <v>373.15099999999802</v>
      </c>
      <c r="H66" s="816">
        <f>G66+'[3]3'!H66</f>
        <v>1538.5420000000013</v>
      </c>
      <c r="I66" s="620"/>
      <c r="J66" s="693">
        <f>H66/DAY(B2)</f>
        <v>384.63550000000032</v>
      </c>
      <c r="K66" s="527"/>
      <c r="L66" s="421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18">
        <v>127990.02</v>
      </c>
      <c r="F67" s="618">
        <v>128562.41</v>
      </c>
      <c r="G67" s="613">
        <f t="shared" si="6"/>
        <v>572.38999999999942</v>
      </c>
      <c r="H67" s="816">
        <f>G67+'[3]3'!H67</f>
        <v>2505.9100000000035</v>
      </c>
      <c r="I67" s="629"/>
      <c r="J67" s="693">
        <f>H67/DAY(B2)</f>
        <v>626.47750000000087</v>
      </c>
      <c r="K67" s="528"/>
      <c r="L67" s="421"/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618">
        <v>34346.819000000003</v>
      </c>
      <c r="F68" s="618">
        <v>34639.32</v>
      </c>
      <c r="G68" s="613">
        <f t="shared" si="6"/>
        <v>292.50099999999657</v>
      </c>
      <c r="H68" s="816">
        <f>G68+'[3]3'!H68</f>
        <v>1239.4510000000009</v>
      </c>
      <c r="I68" s="656"/>
      <c r="J68" s="693">
        <f>H68/DAY(B2)</f>
        <v>309.86275000000023</v>
      </c>
      <c r="K68" s="529"/>
      <c r="L68" s="421"/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618">
        <v>30044.791000000001</v>
      </c>
      <c r="F69" s="618">
        <v>30245.71</v>
      </c>
      <c r="G69" s="613">
        <f t="shared" si="6"/>
        <v>200.91899999999805</v>
      </c>
      <c r="H69" s="816">
        <f>G69+'[3]3'!H69</f>
        <v>993.34499999999753</v>
      </c>
      <c r="I69" s="656"/>
      <c r="J69" s="693">
        <f>H69/DAY(B2)</f>
        <v>248.33624999999938</v>
      </c>
      <c r="K69" s="530"/>
      <c r="L69" s="421"/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791">
        <v>843956</v>
      </c>
      <c r="F72" s="791">
        <v>843961</v>
      </c>
      <c r="G72" s="613">
        <f t="shared" ref="G72:G84" si="7">F72-E72</f>
        <v>5</v>
      </c>
      <c r="H72" s="816">
        <f>G72+'[3]3'!H72</f>
        <v>28</v>
      </c>
      <c r="I72" s="620"/>
      <c r="J72" s="693">
        <f>H72/DAY(B2)</f>
        <v>7</v>
      </c>
      <c r="K72" s="530"/>
      <c r="L72" s="421"/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792">
        <v>885217</v>
      </c>
      <c r="F73" s="792">
        <v>885218</v>
      </c>
      <c r="G73" s="613">
        <f t="shared" si="7"/>
        <v>1</v>
      </c>
      <c r="H73" s="816">
        <f>G73+'[3]3'!H73</f>
        <v>3</v>
      </c>
      <c r="I73" s="620"/>
      <c r="J73" s="693">
        <f>H73/DAY(B2)</f>
        <v>0.75</v>
      </c>
      <c r="K73" s="529"/>
      <c r="L73" s="421"/>
      <c r="O73" s="426"/>
    </row>
    <row r="74" spans="1:15" ht="27.75">
      <c r="A74" s="1429" t="s">
        <v>204</v>
      </c>
      <c r="B74" s="1430"/>
      <c r="C74" s="1431"/>
      <c r="D74" s="663" t="s">
        <v>198</v>
      </c>
      <c r="E74" s="793">
        <v>879685</v>
      </c>
      <c r="F74" s="793">
        <v>879701</v>
      </c>
      <c r="G74" s="613">
        <f t="shared" si="7"/>
        <v>16</v>
      </c>
      <c r="H74" s="816">
        <f>G74+'[3]3'!H74</f>
        <v>65</v>
      </c>
      <c r="I74" s="620"/>
      <c r="J74" s="693">
        <f>H74/DAY(B2)</f>
        <v>16.25</v>
      </c>
      <c r="K74" s="530"/>
      <c r="L74" s="421"/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793">
        <v>721860</v>
      </c>
      <c r="F75" s="793">
        <v>722006</v>
      </c>
      <c r="G75" s="613">
        <f t="shared" si="7"/>
        <v>146</v>
      </c>
      <c r="H75" s="816">
        <f>G75+'[3]3'!H75</f>
        <v>640</v>
      </c>
      <c r="I75" s="620"/>
      <c r="J75" s="693">
        <f>H75/DAY(B2)</f>
        <v>160</v>
      </c>
      <c r="K75" s="529"/>
      <c r="L75" s="421"/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792">
        <v>679847</v>
      </c>
      <c r="F76" s="792">
        <v>679908</v>
      </c>
      <c r="G76" s="613">
        <f t="shared" si="7"/>
        <v>61</v>
      </c>
      <c r="H76" s="816">
        <f>G76+'[3]3'!H76</f>
        <v>256</v>
      </c>
      <c r="I76" s="645"/>
      <c r="J76" s="693">
        <f>H76/DAY(B2)</f>
        <v>64</v>
      </c>
      <c r="K76" s="529"/>
      <c r="L76" s="421"/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791">
        <v>692448</v>
      </c>
      <c r="F77" s="791">
        <v>692457</v>
      </c>
      <c r="G77" s="613">
        <f t="shared" si="7"/>
        <v>9</v>
      </c>
      <c r="H77" s="816">
        <f>G77+'[3]3'!H77</f>
        <v>150</v>
      </c>
      <c r="I77" s="645"/>
      <c r="J77" s="693">
        <f>H77/DAY(B2)</f>
        <v>37.5</v>
      </c>
      <c r="K77" s="529"/>
      <c r="L77" s="421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793">
        <v>608922</v>
      </c>
      <c r="F78" s="793">
        <v>609131</v>
      </c>
      <c r="G78" s="613">
        <f t="shared" si="7"/>
        <v>209</v>
      </c>
      <c r="H78" s="816">
        <f>G78+'[3]3'!H78</f>
        <v>1117</v>
      </c>
      <c r="I78" s="645"/>
      <c r="J78" s="693">
        <f>H78/DAY(B2)</f>
        <v>279.25</v>
      </c>
      <c r="K78" s="529"/>
      <c r="L78" s="421"/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793">
        <v>793288</v>
      </c>
      <c r="F79" s="793">
        <v>793458</v>
      </c>
      <c r="G79" s="613">
        <f t="shared" si="7"/>
        <v>170</v>
      </c>
      <c r="H79" s="816">
        <f>G79+'[3]3'!H79</f>
        <v>670</v>
      </c>
      <c r="I79" s="645"/>
      <c r="J79" s="693">
        <f>H79/DAY(B2)</f>
        <v>167.5</v>
      </c>
      <c r="K79" s="529"/>
      <c r="L79" s="421"/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791">
        <v>457724</v>
      </c>
      <c r="F80" s="791">
        <v>457976</v>
      </c>
      <c r="G80" s="613">
        <f t="shared" si="7"/>
        <v>252</v>
      </c>
      <c r="H80" s="816">
        <f>G80+'[3]3'!H80</f>
        <v>1110.960000000021</v>
      </c>
      <c r="I80" s="645"/>
      <c r="J80" s="693">
        <f>H80/DAY(B2)</f>
        <v>277.74000000000524</v>
      </c>
      <c r="K80" s="529"/>
      <c r="L80" s="421"/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792">
        <v>611418</v>
      </c>
      <c r="F81" s="792">
        <v>611511</v>
      </c>
      <c r="G81" s="613">
        <f t="shared" si="7"/>
        <v>93</v>
      </c>
      <c r="H81" s="816">
        <f>G81+'[3]3'!H81</f>
        <v>388.71999999997206</v>
      </c>
      <c r="I81" s="645"/>
      <c r="J81" s="693">
        <f>H81/DAY(B2)</f>
        <v>97.179999999993015</v>
      </c>
      <c r="K81" s="529"/>
      <c r="L81" s="421"/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788">
        <v>103095</v>
      </c>
      <c r="F82" s="788">
        <v>103100</v>
      </c>
      <c r="G82" s="613">
        <f t="shared" si="7"/>
        <v>5</v>
      </c>
      <c r="H82" s="816">
        <f>G82+'[3]3'!H82</f>
        <v>70.05000000000291</v>
      </c>
      <c r="I82" s="626"/>
      <c r="J82" s="693">
        <f>H82/DAY(B2)</f>
        <v>17.512500000000728</v>
      </c>
      <c r="K82" s="529"/>
      <c r="L82" s="421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v>953430</v>
      </c>
      <c r="F83" s="651">
        <v>953720</v>
      </c>
      <c r="G83" s="613">
        <f t="shared" si="7"/>
        <v>290</v>
      </c>
      <c r="H83" s="816">
        <f>G83+'[3]3'!H83</f>
        <v>1477</v>
      </c>
      <c r="I83" s="621"/>
      <c r="J83" s="693">
        <f>H83/DAY(B2)</f>
        <v>369.25</v>
      </c>
      <c r="K83" s="528"/>
      <c r="L83" s="421"/>
      <c r="O83" s="426"/>
    </row>
    <row r="84" spans="1:15">
      <c r="A84" s="1377" t="s">
        <v>212</v>
      </c>
      <c r="B84" s="712"/>
      <c r="C84" s="712"/>
      <c r="D84" s="618" t="s">
        <v>143</v>
      </c>
      <c r="E84" s="768">
        <v>368229</v>
      </c>
      <c r="F84" s="768">
        <v>368808</v>
      </c>
      <c r="G84" s="613">
        <f t="shared" si="7"/>
        <v>579</v>
      </c>
      <c r="H84" s="816">
        <f>G84+'[3]3'!H84</f>
        <v>2375</v>
      </c>
      <c r="I84" s="621"/>
      <c r="J84" s="693">
        <f>H84/DAY(B2)</f>
        <v>593.75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1836</v>
      </c>
      <c r="H85" s="816">
        <f>G85+'[3]3'!H85</f>
        <v>6685.9899999999907</v>
      </c>
      <c r="I85" s="621"/>
      <c r="J85" s="693">
        <f>H85/DAY(B2)</f>
        <v>1671.4974999999977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v>437305</v>
      </c>
      <c r="F86" s="784">
        <v>437464</v>
      </c>
      <c r="G86" s="861">
        <f t="shared" ref="G86:G90" si="8">F86-E86</f>
        <v>159</v>
      </c>
      <c r="H86" s="816">
        <f>G86+'[3]3'!H86</f>
        <v>414.96000000002095</v>
      </c>
      <c r="I86" s="789"/>
      <c r="J86" s="863">
        <f>H86/DAY(B2)</f>
        <v>103.74000000000524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v>76228</v>
      </c>
      <c r="F87" s="784">
        <v>76250</v>
      </c>
      <c r="G87" s="861">
        <f t="shared" si="8"/>
        <v>22</v>
      </c>
      <c r="H87" s="816">
        <f>G87+'[3]3'!H87</f>
        <v>112</v>
      </c>
      <c r="I87" s="789"/>
      <c r="J87" s="863">
        <f>H87/DAY(B2)</f>
        <v>28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v>140311</v>
      </c>
      <c r="F88" s="784">
        <v>140379</v>
      </c>
      <c r="G88" s="861">
        <f t="shared" si="8"/>
        <v>68</v>
      </c>
      <c r="H88" s="816">
        <f>G88+'[3]3'!H88</f>
        <v>195.25</v>
      </c>
      <c r="I88" s="789"/>
      <c r="J88" s="863">
        <f>H88/DAY(B2)</f>
        <v>48.8125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v>54228</v>
      </c>
      <c r="F89" s="784">
        <v>54301</v>
      </c>
      <c r="G89" s="861">
        <f t="shared" si="8"/>
        <v>73</v>
      </c>
      <c r="H89" s="816">
        <f>G89+'[3]3'!H89</f>
        <v>205.19999999999709</v>
      </c>
      <c r="I89" s="789">
        <f>H89+'[3]1'!I89</f>
        <v>205.19999999999709</v>
      </c>
      <c r="J89" s="863">
        <f>H89/DAY(B2)</f>
        <v>51.299999999999272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v>2799</v>
      </c>
      <c r="F90" s="784">
        <v>2801</v>
      </c>
      <c r="G90" s="861">
        <f t="shared" si="8"/>
        <v>2</v>
      </c>
      <c r="H90" s="816">
        <f>G90+'[3]3'!H90</f>
        <v>15.300000000000182</v>
      </c>
      <c r="I90" s="789">
        <f>H90+'[3]1'!I90</f>
        <v>15.300000000000182</v>
      </c>
      <c r="J90" s="863">
        <f>H90/DAY(B2)</f>
        <v>3.8250000000000455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'[3]2'!F92</f>
        <v>228852</v>
      </c>
      <c r="F92" s="618">
        <v>228907</v>
      </c>
      <c r="G92" s="613">
        <f t="shared" ref="G92:G93" si="10">F92-E92</f>
        <v>55</v>
      </c>
      <c r="H92" s="816">
        <f>G92+'[3]3'!H92</f>
        <v>312</v>
      </c>
      <c r="I92" s="620"/>
      <c r="J92" s="693">
        <f>H92/DAY(B2)</f>
        <v>78</v>
      </c>
      <c r="K92" s="528"/>
      <c r="L92" s="421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'[3]2'!F93</f>
        <v>159050</v>
      </c>
      <c r="F93" s="618">
        <v>159335</v>
      </c>
      <c r="G93" s="613">
        <f t="shared" si="10"/>
        <v>285</v>
      </c>
      <c r="H93" s="816">
        <f>G93+'[3]3'!H93</f>
        <v>812</v>
      </c>
      <c r="I93" s="620"/>
      <c r="J93" s="693">
        <f>H93/DAY(B2)</f>
        <v>203</v>
      </c>
      <c r="K93" s="424"/>
      <c r="L93" s="421"/>
      <c r="O93" s="426"/>
    </row>
    <row r="94" spans="1:15">
      <c r="A94" s="1460" t="s">
        <v>219</v>
      </c>
      <c r="B94" s="1461"/>
      <c r="C94" s="1462"/>
      <c r="D94" s="663"/>
      <c r="E94" s="624"/>
      <c r="F94" s="618"/>
      <c r="G94" s="613">
        <f>G92+G93</f>
        <v>340</v>
      </c>
      <c r="H94" s="816">
        <f>G94+'[3]3'!H94</f>
        <v>834</v>
      </c>
      <c r="I94" s="620"/>
      <c r="J94" s="693">
        <f>H94/DAY(B2)</f>
        <v>208.5</v>
      </c>
      <c r="K94" s="424"/>
      <c r="L94" s="421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'[3]2'!F95</f>
        <v>399996</v>
      </c>
      <c r="F95" s="618">
        <v>400035</v>
      </c>
      <c r="G95" s="613">
        <f t="shared" ref="G95:G100" si="11">F95-E95</f>
        <v>39</v>
      </c>
      <c r="H95" s="816">
        <f>G95+'[3]3'!H95</f>
        <v>188</v>
      </c>
      <c r="I95" s="620"/>
      <c r="J95" s="693">
        <f>H95/DAY(B2)</f>
        <v>47</v>
      </c>
      <c r="K95" s="424"/>
      <c r="L95" s="421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'[3]2'!F96</f>
        <v>98136</v>
      </c>
      <c r="F96" s="618">
        <v>98178</v>
      </c>
      <c r="G96" s="613">
        <f t="shared" si="11"/>
        <v>42</v>
      </c>
      <c r="H96" s="816">
        <f>G96+'[3]3'!H96</f>
        <v>169</v>
      </c>
      <c r="I96" s="620"/>
      <c r="J96" s="693">
        <f>H96/DAY(B2)</f>
        <v>42.25</v>
      </c>
      <c r="K96" s="526"/>
      <c r="L96" s="421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'[3]2'!F97</f>
        <v>93593</v>
      </c>
      <c r="F97" s="618">
        <v>93607</v>
      </c>
      <c r="G97" s="613">
        <f t="shared" si="11"/>
        <v>14</v>
      </c>
      <c r="H97" s="816">
        <f>G97+'[3]3'!H97</f>
        <v>56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'[3]2'!F98</f>
        <v>140991</v>
      </c>
      <c r="F98" s="618">
        <v>141014</v>
      </c>
      <c r="G98" s="613">
        <f t="shared" si="11"/>
        <v>23</v>
      </c>
      <c r="H98" s="816">
        <f>G98+'[3]3'!H98</f>
        <v>109</v>
      </c>
      <c r="I98" s="620"/>
      <c r="J98" s="693">
        <f>H98/DAY(B2)</f>
        <v>27.25</v>
      </c>
      <c r="K98" s="424"/>
      <c r="L98" s="421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'[3]2'!F99</f>
        <v>4745</v>
      </c>
      <c r="F99" s="618">
        <v>4753</v>
      </c>
      <c r="G99" s="613">
        <f t="shared" si="11"/>
        <v>8</v>
      </c>
      <c r="H99" s="816">
        <f>G99+'[3]3'!H99</f>
        <v>45</v>
      </c>
      <c r="I99" s="620"/>
      <c r="J99" s="693">
        <f>H99/DAY(B2)</f>
        <v>11.25</v>
      </c>
      <c r="K99" s="424"/>
      <c r="L99" s="421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'[3]2'!F100</f>
        <v>3674</v>
      </c>
      <c r="F100" s="618">
        <v>3674</v>
      </c>
      <c r="G100" s="613">
        <f t="shared" si="11"/>
        <v>0</v>
      </c>
      <c r="H100" s="816">
        <f>G100+'[3]3'!H100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460" t="s">
        <v>227</v>
      </c>
      <c r="B101" s="1461"/>
      <c r="C101" s="1462"/>
      <c r="D101" s="664"/>
      <c r="E101" s="664"/>
      <c r="F101" s="664"/>
      <c r="G101" s="665">
        <f>SUM(G95:G100)</f>
        <v>126</v>
      </c>
      <c r="H101" s="816">
        <f>G101+'[3]3'!H101</f>
        <v>567</v>
      </c>
      <c r="I101" s="666"/>
      <c r="J101" s="693">
        <f>H101/DAY(B2)</f>
        <v>141.75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19" t="s">
        <v>230</v>
      </c>
      <c r="B104" s="1420"/>
      <c r="C104" s="1380"/>
      <c r="D104" s="763" t="s">
        <v>155</v>
      </c>
      <c r="E104" s="672">
        <f>'[3]2'!F104</f>
        <v>7010</v>
      </c>
      <c r="F104" s="795">
        <v>7010</v>
      </c>
      <c r="G104" s="672">
        <f>F104-E104</f>
        <v>0</v>
      </c>
      <c r="H104" s="816">
        <f>G104+'[3]3'!H104</f>
        <v>60</v>
      </c>
      <c r="I104" s="672"/>
      <c r="J104" s="699">
        <f>H104/DAY(B2)</f>
        <v>15</v>
      </c>
      <c r="O104" s="426"/>
    </row>
    <row r="105" spans="1:15" s="544" customFormat="1" ht="27.75">
      <c r="A105" s="1419" t="s">
        <v>77</v>
      </c>
      <c r="B105" s="1420"/>
      <c r="C105" s="1380"/>
      <c r="D105" s="763" t="s">
        <v>155</v>
      </c>
      <c r="E105" s="674">
        <f>'[3]2'!F105</f>
        <v>34528</v>
      </c>
      <c r="F105" s="796">
        <v>34528</v>
      </c>
      <c r="G105" s="672">
        <f t="shared" ref="G105:G106" si="12">F105-E105</f>
        <v>0</v>
      </c>
      <c r="H105" s="816">
        <f>G105+'[3]3'!H105</f>
        <v>70</v>
      </c>
      <c r="I105" s="672"/>
      <c r="J105" s="699">
        <f>H105/DAY(B2)</f>
        <v>17.5</v>
      </c>
      <c r="O105" s="426"/>
    </row>
    <row r="106" spans="1:15" s="544" customFormat="1" ht="27.75">
      <c r="A106" s="1419" t="s">
        <v>78</v>
      </c>
      <c r="B106" s="1477"/>
      <c r="C106" s="1420"/>
      <c r="D106" s="763" t="s">
        <v>155</v>
      </c>
      <c r="E106" s="672">
        <f>'[3]2'!F106</f>
        <v>18638</v>
      </c>
      <c r="F106" s="795">
        <v>18641</v>
      </c>
      <c r="G106" s="672">
        <f t="shared" si="12"/>
        <v>3</v>
      </c>
      <c r="H106" s="816">
        <f>G106+'[3]3'!H106</f>
        <v>335</v>
      </c>
      <c r="I106" s="672"/>
      <c r="J106" s="699">
        <f>H106/DAY(B2)</f>
        <v>83.75</v>
      </c>
      <c r="O106" s="426"/>
    </row>
    <row r="107" spans="1:15" s="544" customFormat="1" ht="27.75">
      <c r="A107" s="1425" t="s">
        <v>213</v>
      </c>
      <c r="B107" s="1426"/>
      <c r="C107" s="1380"/>
      <c r="D107" s="763"/>
      <c r="E107" s="672"/>
      <c r="F107" s="795" t="s">
        <v>280</v>
      </c>
      <c r="G107" s="672">
        <f>SUM(G104:G106)</f>
        <v>3</v>
      </c>
      <c r="H107" s="816">
        <f>G107+'[3]3'!H107</f>
        <v>166</v>
      </c>
      <c r="I107" s="672"/>
      <c r="J107" s="699">
        <f>H107/DAY(B2)</f>
        <v>41.5</v>
      </c>
      <c r="O107" s="426"/>
    </row>
    <row r="108" spans="1:15" s="544" customFormat="1" ht="27.75">
      <c r="A108" s="1475" t="s">
        <v>79</v>
      </c>
      <c r="B108" s="1476"/>
      <c r="C108" s="1380"/>
      <c r="D108" s="763" t="s">
        <v>155</v>
      </c>
      <c r="E108" s="672"/>
      <c r="F108" s="795"/>
      <c r="G108" s="672"/>
      <c r="H108" s="816">
        <f>G108+'[3]3'!H108</f>
        <v>0</v>
      </c>
      <c r="I108" s="672"/>
      <c r="J108" s="699"/>
      <c r="O108" s="426"/>
    </row>
    <row r="109" spans="1:15" s="544" customFormat="1" ht="27.75">
      <c r="A109" s="1419" t="s">
        <v>231</v>
      </c>
      <c r="B109" s="1420"/>
      <c r="C109" s="1380"/>
      <c r="D109" s="763" t="s">
        <v>155</v>
      </c>
      <c r="E109" s="672">
        <f>'[3]2'!F109</f>
        <v>49784</v>
      </c>
      <c r="F109" s="795">
        <v>49865</v>
      </c>
      <c r="G109" s="672">
        <f>F109-E109</f>
        <v>81</v>
      </c>
      <c r="H109" s="816">
        <f>G109+'[3]3'!H109</f>
        <v>212</v>
      </c>
      <c r="I109" s="672"/>
      <c r="J109" s="699">
        <f>H109/DAY(B2)</f>
        <v>53</v>
      </c>
      <c r="O109" s="426"/>
    </row>
    <row r="110" spans="1:15" s="544" customFormat="1" ht="27.75">
      <c r="A110" s="1419" t="s">
        <v>232</v>
      </c>
      <c r="B110" s="1420"/>
      <c r="C110" s="1380"/>
      <c r="D110" s="763" t="s">
        <v>155</v>
      </c>
      <c r="E110" s="672">
        <f>'[3]2'!F110</f>
        <v>24178</v>
      </c>
      <c r="F110" s="795">
        <v>24261</v>
      </c>
      <c r="G110" s="672">
        <f t="shared" ref="G110:G111" si="13">F110-E110</f>
        <v>83</v>
      </c>
      <c r="H110" s="816">
        <f>G110+'[3]3'!H110</f>
        <v>149.74000000000524</v>
      </c>
      <c r="I110" s="672"/>
      <c r="J110" s="699">
        <f>H110/DAY(B2)</f>
        <v>37.43500000000131</v>
      </c>
      <c r="O110" s="426"/>
    </row>
    <row r="111" spans="1:15" s="544" customFormat="1" ht="27.75">
      <c r="A111" s="1419" t="s">
        <v>233</v>
      </c>
      <c r="B111" s="1420"/>
      <c r="C111" s="1380"/>
      <c r="D111" s="763" t="s">
        <v>155</v>
      </c>
      <c r="E111" s="672">
        <f>'[3]2'!F111</f>
        <v>3211</v>
      </c>
      <c r="F111" s="795">
        <v>3221</v>
      </c>
      <c r="G111" s="672">
        <f t="shared" si="13"/>
        <v>10</v>
      </c>
      <c r="H111" s="816">
        <f>G111+'[3]3'!H111</f>
        <v>456</v>
      </c>
      <c r="I111" s="672"/>
      <c r="J111" s="699">
        <f>H111/DAY(B2)</f>
        <v>114</v>
      </c>
      <c r="O111" s="426"/>
    </row>
    <row r="112" spans="1:15" s="544" customFormat="1" ht="27.75">
      <c r="A112" s="1425" t="s">
        <v>121</v>
      </c>
      <c r="B112" s="1426"/>
      <c r="C112" s="1380"/>
      <c r="D112" s="763"/>
      <c r="E112" s="672"/>
      <c r="F112" s="795"/>
      <c r="G112" s="672">
        <f>SUM(G109:G111)</f>
        <v>174</v>
      </c>
      <c r="H112" s="816">
        <f>G112+'[3]3'!H112</f>
        <v>860</v>
      </c>
      <c r="I112" s="672"/>
      <c r="J112" s="699">
        <f>H112/DAY(B2)</f>
        <v>215</v>
      </c>
      <c r="O112" s="426"/>
    </row>
    <row r="113" spans="1:15" s="544" customFormat="1" ht="27.75">
      <c r="A113" s="1475" t="s">
        <v>234</v>
      </c>
      <c r="B113" s="1476"/>
      <c r="C113" s="1380"/>
      <c r="D113" s="763"/>
      <c r="E113" s="672"/>
      <c r="F113" s="795"/>
      <c r="G113" s="672"/>
      <c r="H113" s="816">
        <f>G113+'[3]3'!H113</f>
        <v>0</v>
      </c>
      <c r="I113" s="672"/>
      <c r="J113" s="699">
        <f>H113/DAY(B2)</f>
        <v>0</v>
      </c>
      <c r="O113" s="426"/>
    </row>
    <row r="114" spans="1:15" s="544" customFormat="1" ht="27.75">
      <c r="A114" s="1419" t="s">
        <v>235</v>
      </c>
      <c r="B114" s="1420"/>
      <c r="C114" s="1379"/>
      <c r="D114" s="763" t="s">
        <v>155</v>
      </c>
      <c r="E114" s="674">
        <f>'[3]2'!F114</f>
        <v>8318</v>
      </c>
      <c r="F114" s="796">
        <v>8328</v>
      </c>
      <c r="G114" s="674">
        <f>F114-E114</f>
        <v>10</v>
      </c>
      <c r="H114" s="816">
        <f>G114+'[3]3'!H114</f>
        <v>20</v>
      </c>
      <c r="I114" s="672"/>
      <c r="J114" s="699">
        <f>H114/DAY(B2)</f>
        <v>5</v>
      </c>
      <c r="O114" s="426"/>
    </row>
    <row r="115" spans="1:15" s="544" customFormat="1" ht="27.75">
      <c r="A115" s="1419" t="s">
        <v>236</v>
      </c>
      <c r="B115" s="1420"/>
      <c r="C115" s="1379"/>
      <c r="D115" s="763" t="s">
        <v>155</v>
      </c>
      <c r="E115" s="674">
        <f>'[3]2'!F115</f>
        <v>6559</v>
      </c>
      <c r="F115" s="796">
        <v>6562</v>
      </c>
      <c r="G115" s="674">
        <f t="shared" ref="G115:G116" si="14">F115-E115</f>
        <v>3</v>
      </c>
      <c r="H115" s="816">
        <f>G115+'[3]3'!H115</f>
        <v>111</v>
      </c>
      <c r="I115" s="672"/>
      <c r="J115" s="699">
        <f>H115/DAY(B2)</f>
        <v>27.75</v>
      </c>
      <c r="O115" s="426"/>
    </row>
    <row r="116" spans="1:15" s="544" customFormat="1" ht="27.75">
      <c r="A116" s="1419" t="s">
        <v>237</v>
      </c>
      <c r="B116" s="1420"/>
      <c r="C116" s="1379"/>
      <c r="D116" s="763" t="s">
        <v>155</v>
      </c>
      <c r="E116" s="674"/>
      <c r="F116" s="796"/>
      <c r="G116" s="674">
        <f t="shared" si="14"/>
        <v>0</v>
      </c>
      <c r="H116" s="816">
        <f>G116+'[3]3'!H116</f>
        <v>185</v>
      </c>
      <c r="I116" s="672"/>
      <c r="J116" s="699">
        <f>H116/DAY(B2)</f>
        <v>46.25</v>
      </c>
      <c r="O116" s="426"/>
    </row>
    <row r="117" spans="1:15" s="557" customFormat="1" ht="27.75">
      <c r="A117" s="1425" t="s">
        <v>213</v>
      </c>
      <c r="B117" s="1426"/>
      <c r="C117" s="1379"/>
      <c r="D117" s="942"/>
      <c r="E117" s="674"/>
      <c r="F117" s="796"/>
      <c r="G117" s="674">
        <f>SUM(G114:G116)</f>
        <v>13</v>
      </c>
      <c r="H117" s="816">
        <f>G117+'[3]3'!H117</f>
        <v>74</v>
      </c>
      <c r="I117" s="674"/>
      <c r="J117" s="699">
        <f>H117/DAY(B2)</f>
        <v>18.5</v>
      </c>
      <c r="O117" s="426"/>
    </row>
    <row r="118" spans="1:15" s="557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102</v>
      </c>
      <c r="G118" s="676">
        <f>SUM(G19+G92)</f>
        <v>102</v>
      </c>
      <c r="H118" s="816">
        <f>G118+'[3]3'!H118</f>
        <v>259</v>
      </c>
      <c r="I118" s="675"/>
      <c r="J118" s="700">
        <f>H118/DAY(B2)</f>
        <v>64.75</v>
      </c>
      <c r="O118" s="426"/>
    </row>
    <row r="119" spans="1:15" s="557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103</v>
      </c>
      <c r="G119" s="676">
        <f>SUM(G95,G96,G97,G99,G100)</f>
        <v>103</v>
      </c>
      <c r="H119" s="816">
        <f>G119+'[3]3'!H119</f>
        <v>238</v>
      </c>
      <c r="I119" s="675"/>
      <c r="J119" s="700">
        <f>H119/DAY(B2)</f>
        <v>59.5</v>
      </c>
      <c r="O119" s="426"/>
    </row>
    <row r="120" spans="1:15" s="557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174</v>
      </c>
      <c r="G120" s="674">
        <f>SUM(G112)</f>
        <v>174</v>
      </c>
      <c r="H120" s="816">
        <f>G120+'[3]3'!H120</f>
        <v>264</v>
      </c>
      <c r="I120" s="675"/>
      <c r="J120" s="700">
        <f>H120/DAY(B2)</f>
        <v>66</v>
      </c>
      <c r="O120" s="426"/>
    </row>
    <row r="121" spans="1:15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'[3]3'!F123</f>
        <v>783470.88300000003</v>
      </c>
      <c r="F123" s="618">
        <v>783662.18</v>
      </c>
      <c r="G123" s="613">
        <f t="shared" ref="G123:G127" si="15">F123-E123</f>
        <v>191.29700000002049</v>
      </c>
      <c r="H123" s="816">
        <f>G123+'[3]3'!H123</f>
        <v>737.29399999999441</v>
      </c>
      <c r="I123" s="666"/>
      <c r="J123" s="693">
        <f>H123/DAY(B2)</f>
        <v>184.3234999999986</v>
      </c>
      <c r="K123" s="424"/>
      <c r="L123" s="421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618">
        <f>'[3]3'!F124</f>
        <v>73581</v>
      </c>
      <c r="F124" s="767">
        <v>73581</v>
      </c>
      <c r="G124" s="613">
        <f t="shared" si="15"/>
        <v>0</v>
      </c>
      <c r="H124" s="816">
        <f>G124+'[3]3'!H124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618">
        <f>'[3]3'!F125</f>
        <v>131286.76999999999</v>
      </c>
      <c r="F125" s="618">
        <v>131286.76999999999</v>
      </c>
      <c r="G125" s="613">
        <f t="shared" si="15"/>
        <v>0</v>
      </c>
      <c r="H125" s="816">
        <f>G125+'[3]3'!H125</f>
        <v>180.54999999998836</v>
      </c>
      <c r="I125" s="666"/>
      <c r="J125" s="693">
        <f>H125/DAY(B2)</f>
        <v>45.13749999999709</v>
      </c>
      <c r="K125" s="424"/>
      <c r="L125" s="421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18">
        <f>'[3]3'!F126</f>
        <v>55659.4</v>
      </c>
      <c r="F126" s="767">
        <v>55682.400000000001</v>
      </c>
      <c r="G126" s="613">
        <f t="shared" si="15"/>
        <v>23</v>
      </c>
      <c r="H126" s="816">
        <f>G126+'[3]3'!H126</f>
        <v>96.599999999998545</v>
      </c>
      <c r="I126" s="666"/>
      <c r="J126" s="693">
        <f>H126/DAY(B2)</f>
        <v>24.149999999999636</v>
      </c>
      <c r="K126" s="424"/>
      <c r="L126" s="421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618">
        <f>'[3]3'!F127</f>
        <v>8639</v>
      </c>
      <c r="F127" s="767">
        <v>8639</v>
      </c>
      <c r="G127" s="613">
        <f t="shared" si="15"/>
        <v>0</v>
      </c>
      <c r="H127" s="816">
        <f>G127+'[3]3'!H127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117.21699999994598</v>
      </c>
      <c r="H128" s="816">
        <f>G128+'[3]3'!H128</f>
        <v>967.00800000006711</v>
      </c>
      <c r="I128" s="620"/>
      <c r="J128" s="693">
        <f>H128/DAY(B2)</f>
        <v>241.75200000001678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'[3]2'!F130</f>
        <v>0</v>
      </c>
      <c r="F130" s="618">
        <v>0</v>
      </c>
      <c r="G130" s="613">
        <f t="shared" ref="G130:G140" si="16">F130-E130</f>
        <v>0</v>
      </c>
      <c r="H130" s="816">
        <f>G130+'[3]3'!H130</f>
        <v>0</v>
      </c>
      <c r="I130" s="620"/>
      <c r="J130" s="693">
        <f>H130/DAY(B2)</f>
        <v>0</v>
      </c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'[3]2'!F131</f>
        <v>0</v>
      </c>
      <c r="F131" s="618">
        <v>0</v>
      </c>
      <c r="G131" s="613">
        <f t="shared" si="16"/>
        <v>0</v>
      </c>
      <c r="H131" s="816">
        <f>G131+'[3]3'!H131</f>
        <v>0</v>
      </c>
      <c r="I131" s="620"/>
      <c r="J131" s="693">
        <f>H131/DAY(B2)</f>
        <v>0</v>
      </c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'[3]3'!F132</f>
        <v>38853</v>
      </c>
      <c r="F132" s="788">
        <v>38853</v>
      </c>
      <c r="G132" s="613">
        <f t="shared" si="16"/>
        <v>0</v>
      </c>
      <c r="H132" s="816">
        <f>G132+'[3]3'!H132</f>
        <v>0</v>
      </c>
      <c r="I132" s="620"/>
      <c r="J132" s="693">
        <f>H132/DAY(B2)</f>
        <v>0</v>
      </c>
      <c r="O132" s="426"/>
    </row>
    <row r="133" spans="1:15" ht="27.75">
      <c r="A133" s="1371" t="s">
        <v>253</v>
      </c>
      <c r="B133" s="1372"/>
      <c r="C133" s="1372"/>
      <c r="D133" s="663" t="s">
        <v>250</v>
      </c>
      <c r="E133" s="682">
        <f>'[3]3'!F133</f>
        <v>34948</v>
      </c>
      <c r="F133" s="625">
        <v>34948</v>
      </c>
      <c r="G133" s="613">
        <f t="shared" si="16"/>
        <v>0</v>
      </c>
      <c r="H133" s="816">
        <f>G133+'[3]3'!H133</f>
        <v>0</v>
      </c>
      <c r="I133" s="620"/>
      <c r="J133" s="693">
        <f>H133/DAY(B2)</f>
        <v>0</v>
      </c>
      <c r="O133" s="426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'[3]3'!F134</f>
        <v>39736</v>
      </c>
      <c r="F134" s="625">
        <v>39736</v>
      </c>
      <c r="G134" s="613">
        <f t="shared" si="16"/>
        <v>0</v>
      </c>
      <c r="H134" s="816">
        <f>G134+'[3]3'!H134</f>
        <v>-0.26999999999679858</v>
      </c>
      <c r="I134" s="620"/>
      <c r="J134" s="693">
        <f>H134/DAY(B2)</f>
        <v>-6.7499999999199645E-2</v>
      </c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'[3]3'!F135</f>
        <v>31065.02</v>
      </c>
      <c r="F135" s="625">
        <v>31089</v>
      </c>
      <c r="G135" s="613">
        <f t="shared" si="16"/>
        <v>23.979999999999563</v>
      </c>
      <c r="H135" s="816">
        <f>G135+'[3]3'!H135</f>
        <v>95.979999999999563</v>
      </c>
      <c r="I135" s="620">
        <f>G132+G133+G134+G135</f>
        <v>23.979999999999563</v>
      </c>
      <c r="J135" s="693">
        <f>H135/DAY(B2)</f>
        <v>23.994999999999891</v>
      </c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'[3]3'!F136</f>
        <v>21606.15</v>
      </c>
      <c r="F136" s="788">
        <v>21606.15</v>
      </c>
      <c r="G136" s="613">
        <f t="shared" si="16"/>
        <v>0</v>
      </c>
      <c r="H136" s="816">
        <f>G136+'[3]3'!H136</f>
        <v>8.1200000000026193</v>
      </c>
      <c r="I136" s="620"/>
      <c r="J136" s="693">
        <f>H136/DAY(B2)</f>
        <v>2.0300000000006548</v>
      </c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'[3]3'!F137</f>
        <v>24902.25</v>
      </c>
      <c r="F137" s="788">
        <v>24902.25</v>
      </c>
      <c r="G137" s="613">
        <f t="shared" si="16"/>
        <v>0</v>
      </c>
      <c r="H137" s="816">
        <f>G137+'[3]3'!H137</f>
        <v>0</v>
      </c>
      <c r="I137" s="620"/>
      <c r="J137" s="693">
        <f>H137/DAY(B2)</f>
        <v>0</v>
      </c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'[3]3'!F138</f>
        <v>69899.59</v>
      </c>
      <c r="F138" s="788">
        <v>69899.59</v>
      </c>
      <c r="G138" s="613">
        <f t="shared" si="16"/>
        <v>0</v>
      </c>
      <c r="H138" s="816">
        <f>G138+'[3]3'!H138</f>
        <v>17.940000000002328</v>
      </c>
      <c r="I138" s="620">
        <f>G136+G137+G138</f>
        <v>0</v>
      </c>
      <c r="J138" s="693">
        <f>H138/DAY(B2)</f>
        <v>4.4850000000005821</v>
      </c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82">
        <f>'[3]3'!F139</f>
        <v>789.47</v>
      </c>
      <c r="F139" s="625">
        <v>794.66</v>
      </c>
      <c r="G139" s="613">
        <f t="shared" si="16"/>
        <v>5.1899999999999409</v>
      </c>
      <c r="H139" s="816">
        <f>G139+'[3]3'!H139</f>
        <v>18.230000000000018</v>
      </c>
      <c r="I139" s="683"/>
      <c r="J139" s="693">
        <f>H139/DAY(B2)</f>
        <v>4.5575000000000045</v>
      </c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82">
        <f>'[3]3'!F140</f>
        <v>4156.9799999999996</v>
      </c>
      <c r="F140" s="618">
        <v>4156.9799999999996</v>
      </c>
      <c r="G140" s="613">
        <f t="shared" si="16"/>
        <v>0</v>
      </c>
      <c r="H140" s="816">
        <f>G140+'[3]3'!H140</f>
        <v>2.7099999999991269</v>
      </c>
      <c r="I140" s="683">
        <f>G140+G177</f>
        <v>0</v>
      </c>
      <c r="J140" s="693">
        <f>H140/DAY(B2)</f>
        <v>0.67749999999978172</v>
      </c>
      <c r="O140" s="426"/>
    </row>
    <row r="141" spans="1:15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4829.0899999999911</v>
      </c>
      <c r="H142" s="816">
        <f>G142+'[3]3'!H142</f>
        <v>19742.582000000089</v>
      </c>
      <c r="I142" s="620"/>
      <c r="J142" s="693">
        <f>H142/DAY(B2)</f>
        <v>4935.6455000000224</v>
      </c>
      <c r="K142" s="424"/>
      <c r="L142" s="421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0.27327768660517182</v>
      </c>
      <c r="H143" s="816">
        <f>G143+'[3]3'!H143</f>
        <v>0.87656437761712214</v>
      </c>
      <c r="I143" s="685"/>
      <c r="J143" s="693">
        <f>H143/DAY(B2)</f>
        <v>0.21914109440428053</v>
      </c>
      <c r="K143" s="424"/>
      <c r="L143" s="421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3875.7600000000093</v>
      </c>
      <c r="H144" s="816">
        <f>G144+'[3]3'!H144</f>
        <v>16591.300000000076</v>
      </c>
      <c r="I144" s="620"/>
      <c r="J144" s="693">
        <f>H144/DAY(B2)</f>
        <v>4147.8250000000189</v>
      </c>
      <c r="K144" s="424"/>
      <c r="L144" s="421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0.21932884386848561</v>
      </c>
      <c r="H145" s="816">
        <f>G145+'[3]3'!H145</f>
        <v>0.89825990923475041</v>
      </c>
      <c r="I145" s="685"/>
      <c r="J145" s="693">
        <f>H145/DAY(B2)</f>
        <v>0.2245649773086876</v>
      </c>
      <c r="K145" s="424"/>
      <c r="L145" s="421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3726.8800000000047</v>
      </c>
      <c r="H146" s="816">
        <f>G146+'[3]3'!H146</f>
        <v>15737.20000000007</v>
      </c>
      <c r="I146" s="686"/>
      <c r="J146" s="693">
        <f>H146/DAY(B2)</f>
        <v>3934.3000000000175</v>
      </c>
      <c r="K146" s="424"/>
      <c r="L146" s="421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0.21090374059193054</v>
      </c>
      <c r="H147" s="816">
        <f>G147+'[3]3'!H147</f>
        <v>0.85311246036732857</v>
      </c>
      <c r="I147" s="686"/>
      <c r="J147" s="693">
        <f>H147/DAY(B2)</f>
        <v>0.21327811509183214</v>
      </c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1499.7999999999884</v>
      </c>
      <c r="H148" s="816">
        <f>G148+'[3]3'!H148</f>
        <v>6916.9400000000023</v>
      </c>
      <c r="I148" s="620"/>
      <c r="J148" s="693">
        <f>H148/DAY(B2)</f>
        <v>1729.2350000000006</v>
      </c>
      <c r="K148" s="425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8.4873521589043543E-2</v>
      </c>
      <c r="H149" s="816">
        <f>G149+'[3]3'!H149</f>
        <v>0.37476359497533013</v>
      </c>
      <c r="I149" s="686"/>
      <c r="J149" s="693">
        <f>H149/DAY(B2)</f>
        <v>9.3690898743832532E-2</v>
      </c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1496.9699999999721</v>
      </c>
      <c r="H150" s="816">
        <f>G150+'[3]3'!H150</f>
        <v>6214.1499999999651</v>
      </c>
      <c r="I150" s="686"/>
      <c r="J150" s="693">
        <f>H150/DAY(B2)</f>
        <v>1553.5374999999913</v>
      </c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8.4713372191724978E-2</v>
      </c>
      <c r="H151" s="816">
        <f>G151+'[3]3'!H151</f>
        <v>0.33591957138669681</v>
      </c>
      <c r="I151" s="620"/>
      <c r="J151" s="693">
        <f>H151/DAY(B2)</f>
        <v>8.3979892846674203E-2</v>
      </c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1454.8499999999767</v>
      </c>
      <c r="H152" s="816">
        <f>G152+'[3]3'!H152</f>
        <v>5985.609999999986</v>
      </c>
      <c r="I152" s="620"/>
      <c r="J152" s="693">
        <f>H152/DAY(B2)</f>
        <v>1496.4024999999965</v>
      </c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8.2329805896665539E-2</v>
      </c>
      <c r="H153" s="816">
        <f>G153+'[3]3'!H153</f>
        <v>0.32456031289990961</v>
      </c>
      <c r="I153" s="709"/>
      <c r="J153" s="710">
        <f>H153/DAY(B2)</f>
        <v>8.1140078224977402E-2</v>
      </c>
      <c r="O153" s="426"/>
    </row>
    <row r="154" spans="1:15">
      <c r="O154" s="426"/>
    </row>
    <row r="156" spans="1:15" ht="24" customHeight="1"/>
    <row r="157" spans="1:15" ht="29.25" customHeight="1">
      <c r="A157" s="1466" t="s">
        <v>278</v>
      </c>
      <c r="B157" s="1467"/>
      <c r="C157" s="1467"/>
      <c r="D157" s="1467"/>
      <c r="E157" s="1467"/>
      <c r="F157" s="1467"/>
      <c r="G157" s="1468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'[3]2'!F160</f>
        <v>21795</v>
      </c>
      <c r="F160" s="795">
        <v>21869.789000000001</v>
      </c>
      <c r="G160" s="613">
        <f t="shared" ref="G160:G171" si="17">F160-E160</f>
        <v>74.789000000000669</v>
      </c>
      <c r="H160" s="679">
        <v>72.86699999999837</v>
      </c>
      <c r="I160" s="680">
        <f>G160-H160</f>
        <v>1.9220000000022992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'[3]2'!F161</f>
        <v>13880</v>
      </c>
      <c r="F161" s="795">
        <v>13973.157999999999</v>
      </c>
      <c r="G161" s="613">
        <f t="shared" si="17"/>
        <v>93.157999999999447</v>
      </c>
      <c r="H161" s="679">
        <v>115.86999999999898</v>
      </c>
      <c r="I161" s="680">
        <f t="shared" ref="I161:I171" si="18">G161-H161</f>
        <v>-22.711999999999534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'[3]2'!F162</f>
        <v>30917.352999999999</v>
      </c>
      <c r="F162" s="795">
        <v>31173.109</v>
      </c>
      <c r="G162" s="613">
        <f t="shared" si="17"/>
        <v>255.75600000000122</v>
      </c>
      <c r="H162" s="679">
        <v>184.81999999999971</v>
      </c>
      <c r="I162" s="680">
        <f t="shared" si="18"/>
        <v>70.936000000001513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'[3]2'!F163</f>
        <v>3069.5119</v>
      </c>
      <c r="F163" s="795">
        <v>3083.1990999999998</v>
      </c>
      <c r="G163" s="613">
        <f t="shared" si="17"/>
        <v>13.687199999999848</v>
      </c>
      <c r="H163" s="679">
        <v>17.309999999999945</v>
      </c>
      <c r="I163" s="680">
        <f t="shared" si="18"/>
        <v>-3.6228000000000975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'[3]2'!F164</f>
        <v>20419.188999999998</v>
      </c>
      <c r="F164" s="654">
        <f>F62</f>
        <v>20419</v>
      </c>
      <c r="G164" s="613">
        <f t="shared" si="17"/>
        <v>-0.1889999999984866</v>
      </c>
      <c r="H164" s="679">
        <v>0</v>
      </c>
      <c r="I164" s="680">
        <f t="shared" si="18"/>
        <v>-0.1889999999984866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'[3]2'!F165</f>
        <v>337.52915000000002</v>
      </c>
      <c r="F165" s="654">
        <f t="shared" ref="F165:F171" si="19">F63</f>
        <v>375.81</v>
      </c>
      <c r="G165" s="613">
        <f t="shared" si="17"/>
        <v>38.280849999999987</v>
      </c>
      <c r="H165" s="679">
        <v>-0.47999999999956344</v>
      </c>
      <c r="I165" s="680">
        <f t="shared" si="18"/>
        <v>38.76084999999955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'[3]2'!F166</f>
        <v>76786.263000000006</v>
      </c>
      <c r="F166" s="654">
        <f t="shared" si="19"/>
        <v>77507.73</v>
      </c>
      <c r="G166" s="613">
        <f t="shared" si="17"/>
        <v>721.46699999998964</v>
      </c>
      <c r="H166" s="679">
        <v>271.15200000000186</v>
      </c>
      <c r="I166" s="680">
        <f t="shared" si="18"/>
        <v>450.31499999998778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'[3]2'!F167</f>
        <v>85945.463000000003</v>
      </c>
      <c r="F167" s="654">
        <f t="shared" si="19"/>
        <v>86703.73</v>
      </c>
      <c r="G167" s="613">
        <f t="shared" si="17"/>
        <v>758.26699999999255</v>
      </c>
      <c r="H167" s="679">
        <v>372.92000000001281</v>
      </c>
      <c r="I167" s="680">
        <f t="shared" si="18"/>
        <v>385.34699999997974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'[3]2'!F168</f>
        <v>78976.558999999994</v>
      </c>
      <c r="F168" s="654">
        <f t="shared" si="19"/>
        <v>79726.5</v>
      </c>
      <c r="G168" s="613">
        <f t="shared" si="17"/>
        <v>749.94100000000617</v>
      </c>
      <c r="H168" s="679">
        <v>384.8520000000135</v>
      </c>
      <c r="I168" s="680">
        <f>G168-H168</f>
        <v>365.08899999999267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'[3]2'!F169</f>
        <v>127374.99</v>
      </c>
      <c r="F169" s="654">
        <f t="shared" si="19"/>
        <v>128562.41</v>
      </c>
      <c r="G169" s="613">
        <f t="shared" si="17"/>
        <v>1187.4199999999983</v>
      </c>
      <c r="H169" s="679">
        <v>451.52000000000407</v>
      </c>
      <c r="I169" s="680">
        <f t="shared" si="18"/>
        <v>735.89999999999418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'[3]2'!F170</f>
        <v>34045.735000000001</v>
      </c>
      <c r="F170" s="654">
        <f t="shared" si="19"/>
        <v>34639.32</v>
      </c>
      <c r="G170" s="613">
        <f t="shared" si="17"/>
        <v>593.58499999999913</v>
      </c>
      <c r="H170" s="679">
        <v>264.56499999999869</v>
      </c>
      <c r="I170" s="680">
        <f t="shared" si="18"/>
        <v>329.02000000000044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'[3]2'!F171</f>
        <v>29784.334999999999</v>
      </c>
      <c r="F171" s="654">
        <f t="shared" si="19"/>
        <v>30245.71</v>
      </c>
      <c r="G171" s="613">
        <f t="shared" si="17"/>
        <v>461.375</v>
      </c>
      <c r="H171" s="679">
        <v>137.0779999999977</v>
      </c>
      <c r="I171" s="680">
        <f t="shared" si="18"/>
        <v>324.2970000000023</v>
      </c>
    </row>
    <row r="172" spans="1:9" ht="27.75">
      <c r="A172" s="1404"/>
      <c r="B172" s="1404"/>
      <c r="C172" s="1404"/>
      <c r="D172" s="663"/>
      <c r="E172" s="654"/>
      <c r="F172" s="654"/>
      <c r="G172" s="613"/>
      <c r="I172" s="680">
        <f>SUM(I160:I171)</f>
        <v>2675.0630499999625</v>
      </c>
    </row>
    <row r="176" spans="1:9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0">
    <mergeCell ref="A157:G157"/>
    <mergeCell ref="A172:C17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A11" sqref="A1:XFD1048576"/>
    </sheetView>
  </sheetViews>
  <sheetFormatPr defaultColWidth="22.33203125" defaultRowHeight="29.25"/>
  <cols>
    <col min="1" max="1" width="41.33203125" style="594" customWidth="1"/>
    <col min="2" max="2" width="27.109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293</v>
      </c>
      <c r="B2" s="1195">
        <v>44140</v>
      </c>
      <c r="C2" s="1378" t="s">
        <v>69</v>
      </c>
      <c r="D2" s="752">
        <v>0.25</v>
      </c>
      <c r="E2" s="601"/>
      <c r="F2" s="77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28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0.76</v>
      </c>
      <c r="E4" s="604"/>
      <c r="F4" s="772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773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34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'[3]4'!F7</f>
        <v>2178839</v>
      </c>
      <c r="F7" s="848">
        <v>2196896</v>
      </c>
      <c r="G7" s="815">
        <f>F7-E7</f>
        <v>18057</v>
      </c>
      <c r="H7" s="816">
        <f>G7+'[3]4'!H7</f>
        <v>91871</v>
      </c>
      <c r="I7" s="817">
        <f>'[3]1'!I7</f>
        <v>12000</v>
      </c>
      <c r="J7" s="818">
        <f>H7/DAY(B2)</f>
        <v>18374.2</v>
      </c>
      <c r="K7" s="690"/>
      <c r="L7" s="421"/>
      <c r="N7" s="426"/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4">
        <f>'[3]4'!F8</f>
        <v>2189519</v>
      </c>
      <c r="F8" s="849">
        <v>2207663</v>
      </c>
      <c r="G8" s="826">
        <f t="shared" ref="G8:G9" si="0">F8-E8</f>
        <v>18144</v>
      </c>
      <c r="H8" s="816">
        <f>G8+'[3]4'!H8</f>
        <v>92222</v>
      </c>
      <c r="I8" s="823">
        <v>12000</v>
      </c>
      <c r="J8" s="818">
        <f>H8/DAY(B2)</f>
        <v>18444.400000000001</v>
      </c>
      <c r="K8" s="690"/>
      <c r="L8" s="479"/>
      <c r="M8" s="542"/>
      <c r="N8" s="841"/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'[3]4'!F9</f>
        <v>2088058.3</v>
      </c>
      <c r="F9" s="842">
        <v>2105684.9</v>
      </c>
      <c r="G9" s="826">
        <f t="shared" si="0"/>
        <v>17626.59999999986</v>
      </c>
      <c r="H9" s="816">
        <f>G9+'[3]4'!H9</f>
        <v>88679.59999999986</v>
      </c>
      <c r="I9" s="827">
        <f>I8-J8</f>
        <v>-6444.4000000000015</v>
      </c>
      <c r="J9" s="818">
        <f>H9/DAY(B2)</f>
        <v>17735.919999999973</v>
      </c>
      <c r="K9" s="527"/>
      <c r="L9" s="421"/>
      <c r="N9" s="426"/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'[3]4'!F10</f>
        <v>454610</v>
      </c>
      <c r="F10" s="842">
        <v>454610</v>
      </c>
      <c r="G10" s="826">
        <f>F10-E10</f>
        <v>0</v>
      </c>
      <c r="H10" s="816">
        <f>G10+'[3]4'!H10</f>
        <v>0.21000000002095476</v>
      </c>
      <c r="I10" s="828"/>
      <c r="J10" s="818">
        <f>H10/DAY(B2)</f>
        <v>4.2000000004190949E-2</v>
      </c>
      <c r="K10" s="527"/>
      <c r="L10" s="421"/>
      <c r="N10" s="426">
        <v>108</v>
      </c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'[3]4'!F11</f>
        <v>35390</v>
      </c>
      <c r="F11" s="848">
        <v>35390</v>
      </c>
      <c r="G11" s="826">
        <f>F11-E11</f>
        <v>0</v>
      </c>
      <c r="H11" s="816">
        <f>G11+'[3]4'!H11</f>
        <v>0</v>
      </c>
      <c r="I11" s="828"/>
      <c r="J11" s="818">
        <f>H11/DAY(B2)</f>
        <v>0</v>
      </c>
      <c r="K11" s="527"/>
      <c r="L11" s="421"/>
      <c r="N11" s="426">
        <v>28</v>
      </c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'[3]4'!F12</f>
        <v>37630</v>
      </c>
      <c r="F12" s="842">
        <v>37630</v>
      </c>
      <c r="G12" s="826">
        <f t="shared" ref="G12" si="1">F12-E12</f>
        <v>0</v>
      </c>
      <c r="H12" s="816">
        <f>G12+'[3]4'!H12</f>
        <v>0</v>
      </c>
      <c r="I12" s="828"/>
      <c r="J12" s="818">
        <f>H12/DAY(B2)</f>
        <v>0</v>
      </c>
      <c r="K12" s="527"/>
      <c r="L12" s="421"/>
      <c r="N12" s="426">
        <v>342</v>
      </c>
      <c r="O12" s="426"/>
    </row>
    <row r="13" spans="1:15">
      <c r="A13" s="829" t="s">
        <v>149</v>
      </c>
      <c r="B13" s="830"/>
      <c r="C13" s="830"/>
      <c r="D13" s="779"/>
      <c r="E13" s="774"/>
      <c r="F13" s="774"/>
      <c r="G13" s="831">
        <f>G9+G10+G11+G12</f>
        <v>17626.59999999986</v>
      </c>
      <c r="H13" s="816">
        <f>G13+'[3]4'!H13</f>
        <v>88679.809999999881</v>
      </c>
      <c r="I13" s="832">
        <f>G7-G13</f>
        <v>430.4000000001397</v>
      </c>
      <c r="J13" s="818">
        <f>H13/DAY(B2)</f>
        <v>17735.961999999978</v>
      </c>
      <c r="K13" s="527"/>
      <c r="L13" s="421"/>
      <c r="N13" s="426">
        <v>349</v>
      </c>
      <c r="O13" s="426"/>
    </row>
    <row r="14" spans="1:15">
      <c r="A14" s="1446" t="s">
        <v>150</v>
      </c>
      <c r="B14" s="1447"/>
      <c r="C14" s="1448"/>
      <c r="D14" s="612"/>
      <c r="E14" s="612"/>
      <c r="F14" s="623"/>
      <c r="G14" s="623"/>
      <c r="H14" s="612"/>
      <c r="I14" s="612"/>
      <c r="J14" s="692"/>
      <c r="K14" s="528"/>
      <c r="L14" s="421"/>
      <c r="N14" s="426">
        <v>432</v>
      </c>
      <c r="O14" s="426"/>
    </row>
    <row r="15" spans="1:15">
      <c r="A15" s="802" t="s">
        <v>151</v>
      </c>
      <c r="B15" s="803"/>
      <c r="C15" s="803"/>
      <c r="D15" s="804" t="s">
        <v>152</v>
      </c>
      <c r="E15" s="805">
        <f>'[3]4'!F15</f>
        <v>1532096.6459999999</v>
      </c>
      <c r="F15" s="850">
        <v>1532561.74</v>
      </c>
      <c r="G15" s="801">
        <f t="shared" ref="G15" si="2">F15-E15</f>
        <v>465.09400000004098</v>
      </c>
      <c r="H15" s="807">
        <f>G15+'[3]4'!H15</f>
        <v>2446.5460000000894</v>
      </c>
      <c r="I15" s="808">
        <v>800</v>
      </c>
      <c r="J15" s="809">
        <f>H15/DAY(B2)</f>
        <v>489.30920000001788</v>
      </c>
      <c r="K15" s="527"/>
      <c r="L15" s="421"/>
      <c r="N15" s="426"/>
      <c r="O15" s="426"/>
    </row>
    <row r="16" spans="1:15">
      <c r="A16" s="810"/>
      <c r="B16" s="811"/>
      <c r="C16" s="811"/>
      <c r="D16" s="804"/>
      <c r="E16" s="805"/>
      <c r="F16" s="840"/>
      <c r="G16" s="806"/>
      <c r="H16" s="807"/>
      <c r="I16" s="812">
        <f>I15-J15</f>
        <v>310.69079999998212</v>
      </c>
      <c r="J16" s="809"/>
      <c r="K16" s="527"/>
      <c r="L16" s="421"/>
      <c r="N16" s="426"/>
      <c r="O16" s="426"/>
    </row>
    <row r="17" spans="1:15">
      <c r="A17" s="1446" t="s">
        <v>153</v>
      </c>
      <c r="B17" s="1447"/>
      <c r="C17" s="1448"/>
      <c r="D17" s="612"/>
      <c r="E17" s="612"/>
      <c r="F17" s="623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78" t="s">
        <v>154</v>
      </c>
      <c r="B18" s="1479"/>
      <c r="C18" s="1480"/>
      <c r="D18" s="779" t="s">
        <v>155</v>
      </c>
      <c r="E18" s="776">
        <f>'[3]4'!F18</f>
        <v>9</v>
      </c>
      <c r="F18" s="776">
        <v>10</v>
      </c>
      <c r="G18" s="831">
        <f>F18*10</f>
        <v>100</v>
      </c>
      <c r="H18" s="816">
        <f>G18+'[3]4'!H18</f>
        <v>540</v>
      </c>
      <c r="I18" s="817">
        <f>'[3]1'!I18</f>
        <v>65</v>
      </c>
      <c r="J18" s="818">
        <f>H18/DAY(B2)</f>
        <v>108</v>
      </c>
      <c r="K18" s="527"/>
      <c r="L18" s="421"/>
      <c r="N18" s="426"/>
      <c r="O18" s="426"/>
    </row>
    <row r="19" spans="1:15" ht="27.75">
      <c r="A19" s="1478" t="s">
        <v>71</v>
      </c>
      <c r="B19" s="1479"/>
      <c r="C19" s="1480"/>
      <c r="D19" s="779" t="s">
        <v>155</v>
      </c>
      <c r="E19" s="776">
        <f>'[3]4'!F19</f>
        <v>128405</v>
      </c>
      <c r="F19" s="842">
        <v>128454</v>
      </c>
      <c r="G19" s="826">
        <f t="shared" ref="G19" si="3">F19-E19</f>
        <v>49</v>
      </c>
      <c r="H19" s="816">
        <f>G19+'[3]4'!H19</f>
        <v>259</v>
      </c>
      <c r="I19" s="833"/>
      <c r="J19" s="818">
        <f>H19/DAY(B2)</f>
        <v>51.8</v>
      </c>
      <c r="K19" s="527"/>
      <c r="L19" s="421"/>
      <c r="N19" s="426"/>
      <c r="O19" s="426"/>
    </row>
    <row r="20" spans="1:15">
      <c r="A20" s="829" t="s">
        <v>156</v>
      </c>
      <c r="B20" s="830"/>
      <c r="C20" s="830"/>
      <c r="D20" s="779"/>
      <c r="E20" s="779"/>
      <c r="F20" s="779"/>
      <c r="G20" s="834">
        <f>G18+G19</f>
        <v>149</v>
      </c>
      <c r="H20" s="816">
        <f>G20+'[3]4'!H20</f>
        <v>799</v>
      </c>
      <c r="I20" s="835">
        <f>I18-J20</f>
        <v>-94.800000000000011</v>
      </c>
      <c r="J20" s="818">
        <f>H20/DAY(B2)</f>
        <v>159.80000000000001</v>
      </c>
      <c r="K20" s="527"/>
      <c r="L20" s="421"/>
      <c r="N20" s="426"/>
      <c r="O20" s="426"/>
    </row>
    <row r="21" spans="1:15">
      <c r="A21" s="1446" t="s">
        <v>157</v>
      </c>
      <c r="B21" s="1447"/>
      <c r="C21" s="1448"/>
      <c r="D21" s="612"/>
      <c r="E21" s="612"/>
      <c r="F21" s="623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776">
        <f>'[3]4'!F22</f>
        <v>2250</v>
      </c>
      <c r="F22" s="776">
        <v>2250</v>
      </c>
      <c r="G22" s="621">
        <f t="shared" ref="G22" si="4">(F22-E22)</f>
        <v>0</v>
      </c>
      <c r="H22" s="600">
        <f>G22+'[3]4'!H22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776">
        <f>'[3]4'!F23</f>
        <v>2000</v>
      </c>
      <c r="F23" s="776">
        <v>2000</v>
      </c>
      <c r="G23" s="621">
        <v>0</v>
      </c>
      <c r="H23" s="600">
        <f>G23+'[3]4'!H23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'[3]4'!F24</f>
        <v>4250</v>
      </c>
      <c r="F24" s="778">
        <v>4250</v>
      </c>
      <c r="G24" s="621">
        <v>0</v>
      </c>
      <c r="H24" s="600">
        <f>G24+'[3]4'!H24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34"/>
      <c r="G25" s="634"/>
      <c r="H25" s="635"/>
      <c r="I25" s="636"/>
      <c r="J25" s="695"/>
      <c r="K25" s="417"/>
      <c r="L25" s="547"/>
      <c r="N25" s="42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774"/>
      <c r="G26" s="638"/>
      <c r="H26" s="600"/>
      <c r="I26" s="639"/>
      <c r="J26" s="693"/>
      <c r="K26" s="418"/>
      <c r="L26" s="547"/>
      <c r="N26" s="42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18144</v>
      </c>
      <c r="F27" s="641">
        <v>9.5</v>
      </c>
      <c r="G27" s="642">
        <f>E27*F27</f>
        <v>172368</v>
      </c>
      <c r="H27" s="600">
        <f>G27+'[3]4'!H27</f>
        <v>876109</v>
      </c>
      <c r="I27" s="643"/>
      <c r="J27" s="693">
        <f>H27/DAY(B2)</f>
        <v>175221.8</v>
      </c>
      <c r="K27" s="417"/>
      <c r="L27" s="547"/>
      <c r="N27" s="42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465.09400000004098</v>
      </c>
      <c r="F28" s="641">
        <v>36.5</v>
      </c>
      <c r="G28" s="642">
        <f>E28*F28</f>
        <v>16975.931000001496</v>
      </c>
      <c r="H28" s="600">
        <f>G28+'[3]4'!H28</f>
        <v>89298.929000003263</v>
      </c>
      <c r="I28" s="645"/>
      <c r="J28" s="693">
        <f>H28/DAY(B2)</f>
        <v>17859.785800000653</v>
      </c>
      <c r="K28" s="417"/>
      <c r="L28" s="547"/>
      <c r="N28" s="42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G29+'[3]4'!H29</f>
        <v>0</v>
      </c>
      <c r="I29" s="645"/>
      <c r="J29" s="693">
        <f>H29/DAY(B2)</f>
        <v>0</v>
      </c>
      <c r="K29" s="417"/>
      <c r="L29" s="547"/>
      <c r="N29" s="42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49</v>
      </c>
      <c r="F30" s="641">
        <v>145</v>
      </c>
      <c r="G30" s="642">
        <f>E30*F30</f>
        <v>7105</v>
      </c>
      <c r="H30" s="600">
        <f>G30+'[3]4'!H30</f>
        <v>37555</v>
      </c>
      <c r="I30" s="645"/>
      <c r="J30" s="693">
        <f>H30/DAY(B2)</f>
        <v>7511</v>
      </c>
      <c r="K30" s="417"/>
      <c r="L30" s="547"/>
      <c r="N30" s="42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>E31*F31</f>
        <v>8000</v>
      </c>
      <c r="H31" s="600">
        <f>G31+'[3]4'!H31</f>
        <v>43200</v>
      </c>
      <c r="I31" s="645"/>
      <c r="J31" s="693"/>
      <c r="K31" s="417"/>
      <c r="L31" s="547"/>
      <c r="N31" s="42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780"/>
      <c r="G32" s="648">
        <f>G27+G28+G29+G30+G31</f>
        <v>204448.9310000015</v>
      </c>
      <c r="H32" s="600">
        <f>G32+'[3]4'!H32</f>
        <v>1046162.9290000033</v>
      </c>
      <c r="I32" s="649"/>
      <c r="J32" s="693">
        <f>H32/DAY(B2)</f>
        <v>209232.58580000064</v>
      </c>
      <c r="K32" s="417"/>
      <c r="L32" s="547"/>
      <c r="N32" s="426"/>
      <c r="O32" s="426"/>
    </row>
    <row r="33" spans="1:15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34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'[3]4'!F35</f>
        <v>613621.47</v>
      </c>
      <c r="F35" s="851">
        <v>616217</v>
      </c>
      <c r="G35" s="613">
        <f t="shared" ref="G35:G46" si="5">F35-E35</f>
        <v>2595.5300000000279</v>
      </c>
      <c r="H35" s="600">
        <f>G35+'[3]4'!H35</f>
        <v>12873.530000000028</v>
      </c>
      <c r="I35" s="595"/>
      <c r="J35" s="693">
        <f>H35/DAY(B2)</f>
        <v>2574.7060000000056</v>
      </c>
      <c r="K35" s="527"/>
      <c r="L35" s="421"/>
      <c r="N35" s="426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'[3]4'!F36</f>
        <v>213521.3</v>
      </c>
      <c r="F36" s="851">
        <v>214117.51</v>
      </c>
      <c r="G36" s="613">
        <f t="shared" si="5"/>
        <v>596.21000000002095</v>
      </c>
      <c r="H36" s="600">
        <f>G36+'[3]4'!H36</f>
        <v>2757.5599999999977</v>
      </c>
      <c r="I36" s="595"/>
      <c r="J36" s="693">
        <f>H36/DAY(B2)</f>
        <v>551.51199999999949</v>
      </c>
      <c r="K36" s="527"/>
      <c r="L36" s="421"/>
      <c r="N36" s="769"/>
      <c r="O36" s="426"/>
    </row>
    <row r="37" spans="1:15">
      <c r="A37" s="719" t="s">
        <v>177</v>
      </c>
      <c r="B37" s="720"/>
      <c r="C37" s="720"/>
      <c r="D37" s="663" t="s">
        <v>143</v>
      </c>
      <c r="E37" s="650">
        <f>'[3]4'!F37</f>
        <v>405829.8</v>
      </c>
      <c r="F37" s="851">
        <v>407330.99</v>
      </c>
      <c r="G37" s="613">
        <f t="shared" si="5"/>
        <v>1501.1900000000023</v>
      </c>
      <c r="H37" s="600">
        <f>G37+'[3]4'!H37</f>
        <v>7486.7999999999884</v>
      </c>
      <c r="I37" s="595"/>
      <c r="J37" s="693">
        <f>H37/DAY(B2)</f>
        <v>1497.3599999999976</v>
      </c>
      <c r="K37" s="527"/>
      <c r="L37" s="421"/>
      <c r="N37" s="770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'[3]4'!F38</f>
        <v>150714.20000000001</v>
      </c>
      <c r="F38" s="852">
        <v>150714.20000000001</v>
      </c>
      <c r="G38" s="613">
        <f t="shared" si="5"/>
        <v>0</v>
      </c>
      <c r="H38" s="600">
        <f>G38+'[3]4'!H38</f>
        <v>0.20000000001164153</v>
      </c>
      <c r="I38" s="595"/>
      <c r="J38" s="693">
        <f>H38/DAY(B2)</f>
        <v>4.0000000002328305E-2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'[3]4'!F39</f>
        <v>887861.91</v>
      </c>
      <c r="F39" s="851">
        <v>891743.91</v>
      </c>
      <c r="G39" s="613">
        <f t="shared" si="5"/>
        <v>3882</v>
      </c>
      <c r="H39" s="600">
        <f>G39+'[3]4'!H39</f>
        <v>19619.20000000007</v>
      </c>
      <c r="I39" s="595"/>
      <c r="J39" s="693">
        <f>H39/DAY(B2)</f>
        <v>3923.8400000000138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'[3]4'!F40</f>
        <v>0.17</v>
      </c>
      <c r="F40" s="851">
        <v>0.17</v>
      </c>
      <c r="G40" s="613">
        <f t="shared" si="5"/>
        <v>0</v>
      </c>
      <c r="H40" s="600">
        <f>G40+'[3]4'!H40</f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'[3]4'!F41</f>
        <v>300127.90000000002</v>
      </c>
      <c r="F41" s="851">
        <v>300127.90000000002</v>
      </c>
      <c r="G41" s="613">
        <f t="shared" si="5"/>
        <v>0</v>
      </c>
      <c r="H41" s="600">
        <f>G41+'[3]4'!H41</f>
        <v>-6.9999999948777258E-2</v>
      </c>
      <c r="I41" s="595"/>
      <c r="J41" s="693">
        <f>H41/DAY(B2)</f>
        <v>-1.3999999989755452E-2</v>
      </c>
      <c r="K41" s="527"/>
      <c r="L41" s="421"/>
      <c r="N41" s="426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'[3]4'!F42</f>
        <v>396197.47</v>
      </c>
      <c r="F42" s="851">
        <v>396197.4</v>
      </c>
      <c r="G42" s="613">
        <f t="shared" si="5"/>
        <v>-6.9999999948777258E-2</v>
      </c>
      <c r="H42" s="600">
        <f>G42+'[3]4'!H42</f>
        <v>-6.9999999948777258E-2</v>
      </c>
      <c r="I42" s="595"/>
      <c r="J42" s="693">
        <f>H42/DAY(B2)</f>
        <v>-1.3999999989755452E-2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'[3]4'!F43</f>
        <v>567788.79</v>
      </c>
      <c r="F43" s="851">
        <v>570158.31000000006</v>
      </c>
      <c r="G43" s="613">
        <f t="shared" si="5"/>
        <v>2369.5200000000186</v>
      </c>
      <c r="H43" s="600">
        <f>G43+'[3]4'!H43</f>
        <v>11834.240000000107</v>
      </c>
      <c r="I43" s="595"/>
      <c r="J43" s="693">
        <f>H43/DAY(B2)</f>
        <v>2366.8480000000213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'[3]4'!F44</f>
        <v>0</v>
      </c>
      <c r="F44" s="851">
        <v>0</v>
      </c>
      <c r="G44" s="613">
        <f t="shared" si="5"/>
        <v>0</v>
      </c>
      <c r="H44" s="600">
        <f>G44+'[3]4'!H44</f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'[3]4'!F45</f>
        <v>614</v>
      </c>
      <c r="F45" s="851">
        <v>614</v>
      </c>
      <c r="G45" s="613">
        <f t="shared" si="5"/>
        <v>0</v>
      </c>
      <c r="H45" s="600">
        <f>G45+'[3]4'!H45</f>
        <v>-0.48000000000001819</v>
      </c>
      <c r="I45" s="595"/>
      <c r="J45" s="693">
        <f>H45/DAY(B2)</f>
        <v>-9.6000000000003638E-2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'[3]4'!F46</f>
        <v>187</v>
      </c>
      <c r="F46" s="851">
        <v>187</v>
      </c>
      <c r="G46" s="613">
        <f t="shared" si="5"/>
        <v>0</v>
      </c>
      <c r="H46" s="600">
        <f>G46+'[3]4'!H46</f>
        <v>-0.49000000000000909</v>
      </c>
      <c r="I46" s="595"/>
      <c r="J46" s="693">
        <f>H46/DAY(B2)</f>
        <v>-9.8000000000001822E-2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781"/>
      <c r="G47" s="621">
        <f>G35+G36+G37+G38+G39+G40+G41+G42+G43+G44+G45+G46</f>
        <v>10944.380000000121</v>
      </c>
      <c r="H47" s="600">
        <f>G47+'[3]4'!H47</f>
        <v>54570.420000000304</v>
      </c>
      <c r="I47" s="595"/>
      <c r="J47" s="693">
        <f>H47/DAY(B2)</f>
        <v>10914.084000000061</v>
      </c>
      <c r="K47" s="527"/>
      <c r="L47" s="421"/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34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'[3]4'!F49</f>
        <v>11728.7</v>
      </c>
      <c r="F49" s="851">
        <v>11728.838</v>
      </c>
      <c r="G49" s="613">
        <f t="shared" ref="G49:G58" si="6">F49-E49</f>
        <v>0.13799999999901047</v>
      </c>
      <c r="H49" s="600">
        <f>G49+'[3]4'!H49</f>
        <v>0</v>
      </c>
      <c r="I49" s="595"/>
      <c r="J49" s="693">
        <f>H49/DAY(B2)</f>
        <v>0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'[3]4'!F50</f>
        <v>267859.37</v>
      </c>
      <c r="F50" s="851">
        <v>268767.84999999998</v>
      </c>
      <c r="G50" s="613">
        <f t="shared" si="6"/>
        <v>908.47999999998137</v>
      </c>
      <c r="H50" s="600">
        <f>G50+'[3]4'!H50</f>
        <v>4961.2799999999697</v>
      </c>
      <c r="I50" s="595"/>
      <c r="J50" s="693">
        <f>H50/DAY(B2)</f>
        <v>992.25599999999395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'[3]4'!F51</f>
        <v>0</v>
      </c>
      <c r="F51" s="851">
        <v>0</v>
      </c>
      <c r="G51" s="613">
        <f t="shared" si="6"/>
        <v>0</v>
      </c>
      <c r="H51" s="600">
        <f>G51+'[3]4'!H51</f>
        <v>0</v>
      </c>
      <c r="I51" s="595"/>
      <c r="J51" s="693">
        <f>H51/DAY(B2)</f>
        <v>0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'[3]4'!F52</f>
        <v>325581.43</v>
      </c>
      <c r="F52" s="851">
        <v>327392.78999999998</v>
      </c>
      <c r="G52" s="613">
        <f t="shared" si="6"/>
        <v>1811.359999999986</v>
      </c>
      <c r="H52" s="600">
        <f>G52+'[3]4'!H52</f>
        <v>8728.0999999999767</v>
      </c>
      <c r="I52" s="595"/>
      <c r="J52" s="693">
        <f>H52/DAY(B2)</f>
        <v>1745.6199999999953</v>
      </c>
      <c r="K52" s="527"/>
      <c r="L52" s="421"/>
      <c r="N52" s="426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'[3]4'!F53</f>
        <v>16071</v>
      </c>
      <c r="F53" s="851">
        <v>16071</v>
      </c>
      <c r="G53" s="613">
        <f t="shared" si="6"/>
        <v>0</v>
      </c>
      <c r="H53" s="600">
        <f>G53+'[3]4'!H53</f>
        <v>0</v>
      </c>
      <c r="I53" s="595"/>
      <c r="J53" s="693">
        <f>H53/DAY(B2)</f>
        <v>0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'[3]4'!F54</f>
        <v>1692.7</v>
      </c>
      <c r="F54" s="851">
        <v>1767.2130999999999</v>
      </c>
      <c r="G54" s="613">
        <f t="shared" si="6"/>
        <v>74.513099999999895</v>
      </c>
      <c r="H54" s="600">
        <f>G54+'[3]4'!H54</f>
        <v>363.54809999999998</v>
      </c>
      <c r="I54" s="595"/>
      <c r="J54" s="693">
        <f>H54/DAY(B2)</f>
        <v>72.709620000000001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'[3]4'!F55</f>
        <v>158492.73000000001</v>
      </c>
      <c r="F55" s="853">
        <v>158492.73000000001</v>
      </c>
      <c r="G55" s="613">
        <f t="shared" si="6"/>
        <v>0</v>
      </c>
      <c r="H55" s="600">
        <f>G55+'[3]4'!H55</f>
        <v>-0.26999999998952262</v>
      </c>
      <c r="I55" s="595"/>
      <c r="J55" s="693">
        <f>H55/DAY(B2)</f>
        <v>-5.3999999997904523E-2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'[3]4'!F56</f>
        <v>320581.43</v>
      </c>
      <c r="F56" s="853">
        <v>324694.28999999998</v>
      </c>
      <c r="G56" s="613">
        <f t="shared" si="6"/>
        <v>4112.859999999986</v>
      </c>
      <c r="H56" s="600">
        <f>G56+'[3]4'!H56</f>
        <v>20704.5</v>
      </c>
      <c r="I56" s="595"/>
      <c r="J56" s="693">
        <f>H56/DAY(B2)</f>
        <v>4140.8999999999996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'[3]4'!F57</f>
        <v>0</v>
      </c>
      <c r="F57" s="851">
        <v>0</v>
      </c>
      <c r="G57" s="613">
        <f t="shared" si="6"/>
        <v>0</v>
      </c>
      <c r="H57" s="600">
        <f>G57+'[3]4'!H57</f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'[3]4'!F58</f>
        <v>17771.150000000001</v>
      </c>
      <c r="F58" s="854">
        <v>17806.665000000001</v>
      </c>
      <c r="G58" s="613">
        <f t="shared" si="6"/>
        <v>35.514999999999418</v>
      </c>
      <c r="H58" s="600">
        <f>G58+'[3]4'!H58</f>
        <v>342.39400000000023</v>
      </c>
      <c r="I58" s="595"/>
      <c r="J58" s="693">
        <f>H58/DAY(B2)</f>
        <v>68.478800000000049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845"/>
      <c r="G59" s="621">
        <f>G49+G50+G51+G52+G53+G54+G55+G56+G57+G58</f>
        <v>6942.866099999952</v>
      </c>
      <c r="H59" s="600">
        <f>G59+'[3]4'!H59</f>
        <v>35099.552099999957</v>
      </c>
      <c r="I59" s="595">
        <f>G7-G60</f>
        <v>169.75389999992694</v>
      </c>
      <c r="J59" s="693">
        <f>H59/DAY(B2)</f>
        <v>7019.9104199999911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781"/>
      <c r="G60" s="621">
        <f>G47+G59</f>
        <v>17887.246100000073</v>
      </c>
      <c r="H60" s="600">
        <f>G60+'[3]4'!H60</f>
        <v>89669.972100000276</v>
      </c>
      <c r="I60" s="595">
        <f>G13-G60</f>
        <v>-260.64610000021275</v>
      </c>
      <c r="J60" s="693">
        <f>H60/DAY(B2)</f>
        <v>17933.994420000054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78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'[3]4'!F62</f>
        <v>20419</v>
      </c>
      <c r="F62" s="855">
        <v>20419</v>
      </c>
      <c r="G62" s="613">
        <f t="shared" ref="G62:G69" si="7">F62-E62</f>
        <v>0</v>
      </c>
      <c r="H62" s="600">
        <f>G62+'[3]4'!H62</f>
        <v>-0.3779999999969732</v>
      </c>
      <c r="I62" s="655"/>
      <c r="J62" s="693">
        <f>H62/DAY(B2)</f>
        <v>-7.5599999999394638E-2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'[3]4'!F63</f>
        <v>375.81</v>
      </c>
      <c r="F63" s="855">
        <v>395.38346999999999</v>
      </c>
      <c r="G63" s="613">
        <f t="shared" si="7"/>
        <v>19.573469999999986</v>
      </c>
      <c r="H63" s="600">
        <f>G63+'[3]4'!H63</f>
        <v>96.923470000000009</v>
      </c>
      <c r="I63" s="655"/>
      <c r="J63" s="693">
        <f>H63/DAY(B2)</f>
        <v>19.384694000000003</v>
      </c>
      <c r="K63" s="527"/>
      <c r="L63" s="421"/>
      <c r="N63" s="426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24">
        <f>'[3]4'!F64</f>
        <v>77507.73</v>
      </c>
      <c r="F64" s="842">
        <v>77883.743000000002</v>
      </c>
      <c r="G64" s="613">
        <f t="shared" si="7"/>
        <v>376.01300000000629</v>
      </c>
      <c r="H64" s="600">
        <f>G64+'[3]4'!H64</f>
        <v>1820.6560000000027</v>
      </c>
      <c r="I64" s="620"/>
      <c r="J64" s="693">
        <f>H64/DAY(B2)</f>
        <v>364.13120000000055</v>
      </c>
      <c r="K64" s="527"/>
      <c r="L64" s="421"/>
      <c r="N64" s="426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624">
        <f>'[3]4'!F65</f>
        <v>86703.73</v>
      </c>
      <c r="F65" s="856">
        <v>87132.438999999998</v>
      </c>
      <c r="G65" s="613">
        <f t="shared" si="7"/>
        <v>428.70900000000256</v>
      </c>
      <c r="H65" s="600">
        <f>G65+'[3]4'!H65</f>
        <v>1973.1759999999922</v>
      </c>
      <c r="I65" s="629"/>
      <c r="J65" s="693">
        <f>H65/DAY(B2)</f>
        <v>394.63519999999846</v>
      </c>
      <c r="K65" s="527"/>
      <c r="L65" s="421"/>
      <c r="N65" s="426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24">
        <f>'[3]4'!F66</f>
        <v>79726.5</v>
      </c>
      <c r="F66" s="842">
        <v>80121.767000000007</v>
      </c>
      <c r="G66" s="613">
        <f t="shared" si="7"/>
        <v>395.2670000000071</v>
      </c>
      <c r="H66" s="600">
        <f>G66+'[3]4'!H66</f>
        <v>1933.8090000000084</v>
      </c>
      <c r="I66" s="620"/>
      <c r="J66" s="693">
        <f>H66/DAY(B2)</f>
        <v>386.7618000000017</v>
      </c>
      <c r="K66" s="527"/>
      <c r="L66" s="421"/>
      <c r="N66" s="426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24">
        <f>'[3]4'!F67</f>
        <v>128562.41</v>
      </c>
      <c r="F67" s="842">
        <v>129170.88</v>
      </c>
      <c r="G67" s="613">
        <f t="shared" si="7"/>
        <v>608.47000000000116</v>
      </c>
      <c r="H67" s="600">
        <f>G67+'[3]4'!H67</f>
        <v>3114.3800000000047</v>
      </c>
      <c r="I67" s="629"/>
      <c r="J67" s="693">
        <f>H67/DAY(B2)</f>
        <v>622.87600000000089</v>
      </c>
      <c r="K67" s="528"/>
      <c r="L67" s="421"/>
      <c r="N67" s="426"/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624">
        <f>'[3]4'!F68</f>
        <v>34639.32</v>
      </c>
      <c r="F68" s="842">
        <v>34941.366999999998</v>
      </c>
      <c r="G68" s="613">
        <f t="shared" si="7"/>
        <v>302.04699999999866</v>
      </c>
      <c r="H68" s="600">
        <f>G68+'[3]4'!H68</f>
        <v>1541.4979999999996</v>
      </c>
      <c r="I68" s="656"/>
      <c r="J68" s="693">
        <f>H68/DAY(B2)</f>
        <v>308.29959999999994</v>
      </c>
      <c r="K68" s="529"/>
      <c r="L68" s="421"/>
      <c r="N68" s="426"/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624">
        <f>'[3]4'!F69</f>
        <v>30245.71</v>
      </c>
      <c r="F69" s="842">
        <v>30460.381000000001</v>
      </c>
      <c r="G69" s="613">
        <f t="shared" si="7"/>
        <v>214.6710000000021</v>
      </c>
      <c r="H69" s="600">
        <f>G69+'[3]4'!H69</f>
        <v>1208.0159999999996</v>
      </c>
      <c r="I69" s="656"/>
      <c r="J69" s="693">
        <f>H69/DAY(B2)</f>
        <v>241.60319999999993</v>
      </c>
      <c r="K69" s="530"/>
      <c r="L69" s="421"/>
      <c r="N69" s="426"/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783"/>
      <c r="G70" s="658"/>
      <c r="H70" s="600"/>
      <c r="I70" s="658"/>
      <c r="J70" s="697"/>
      <c r="K70" s="530"/>
      <c r="L70" s="421"/>
      <c r="N70" s="426"/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659">
        <f>'[3]4'!F72</f>
        <v>843961</v>
      </c>
      <c r="F72" s="860">
        <v>843966</v>
      </c>
      <c r="G72" s="613">
        <f t="shared" ref="G72:G84" si="8">F72-E72</f>
        <v>5</v>
      </c>
      <c r="H72" s="600">
        <f>G72+'[3]4'!H72</f>
        <v>33</v>
      </c>
      <c r="I72" s="620"/>
      <c r="J72" s="693">
        <f>H72/DAY(B2)</f>
        <v>6.6</v>
      </c>
      <c r="K72" s="530"/>
      <c r="L72" s="421"/>
      <c r="N72" s="426"/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660">
        <f>'[3]4'!F73</f>
        <v>885218</v>
      </c>
      <c r="F73" s="859">
        <v>885219</v>
      </c>
      <c r="G73" s="789">
        <f t="shared" si="8"/>
        <v>1</v>
      </c>
      <c r="H73" s="600">
        <f>G73+'[3]4'!H73</f>
        <v>4</v>
      </c>
      <c r="I73" s="620"/>
      <c r="J73" s="693">
        <f>H73/DAY(B2)</f>
        <v>0.8</v>
      </c>
      <c r="K73" s="529"/>
      <c r="L73" s="421"/>
      <c r="N73" s="426"/>
      <c r="O73" s="426"/>
    </row>
    <row r="74" spans="1:15" ht="27.75">
      <c r="A74" s="1429" t="s">
        <v>204</v>
      </c>
      <c r="B74" s="1430"/>
      <c r="C74" s="1431"/>
      <c r="D74" s="663" t="s">
        <v>198</v>
      </c>
      <c r="E74" s="661">
        <f>'[3]4'!F74</f>
        <v>879701</v>
      </c>
      <c r="F74" s="860">
        <v>879719</v>
      </c>
      <c r="G74" s="613">
        <f t="shared" si="8"/>
        <v>18</v>
      </c>
      <c r="H74" s="600">
        <f>G74+'[3]4'!H74</f>
        <v>83</v>
      </c>
      <c r="I74" s="620"/>
      <c r="J74" s="693">
        <f>H74/DAY(B2)</f>
        <v>16.600000000000001</v>
      </c>
      <c r="K74" s="530"/>
      <c r="L74" s="421"/>
      <c r="N74" s="426"/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661">
        <f>'[3]4'!F75</f>
        <v>722006</v>
      </c>
      <c r="F75" s="847">
        <v>722155</v>
      </c>
      <c r="G75" s="613">
        <f t="shared" si="8"/>
        <v>149</v>
      </c>
      <c r="H75" s="600">
        <f>G75+'[3]4'!H75</f>
        <v>789</v>
      </c>
      <c r="I75" s="620"/>
      <c r="J75" s="693">
        <f>H75/DAY(B2)</f>
        <v>157.80000000000001</v>
      </c>
      <c r="K75" s="529"/>
      <c r="L75" s="421"/>
      <c r="N75" s="426"/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660">
        <f>'[3]4'!F76</f>
        <v>679908</v>
      </c>
      <c r="F76" s="859">
        <v>679975</v>
      </c>
      <c r="G76" s="613">
        <f t="shared" si="8"/>
        <v>67</v>
      </c>
      <c r="H76" s="600">
        <f>G76+'[3]4'!H76</f>
        <v>323</v>
      </c>
      <c r="I76" s="645"/>
      <c r="J76" s="693">
        <f>H76/DAY(B2)</f>
        <v>64.599999999999994</v>
      </c>
      <c r="K76" s="529"/>
      <c r="L76" s="421"/>
      <c r="N76" s="426"/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660">
        <f>'[3]4'!F77</f>
        <v>692457</v>
      </c>
      <c r="F77" s="859">
        <v>692512</v>
      </c>
      <c r="G77" s="789">
        <f t="shared" si="8"/>
        <v>55</v>
      </c>
      <c r="H77" s="600">
        <f>G77+'[3]4'!H77</f>
        <v>205</v>
      </c>
      <c r="I77" s="645"/>
      <c r="J77" s="693">
        <f>H77/DAY(B2)</f>
        <v>41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'[3]4'!F78</f>
        <v>609131</v>
      </c>
      <c r="F78" s="847">
        <v>609421</v>
      </c>
      <c r="G78" s="613">
        <f t="shared" si="8"/>
        <v>290</v>
      </c>
      <c r="H78" s="600">
        <f>G78+'[3]4'!H78</f>
        <v>1407</v>
      </c>
      <c r="I78" s="645"/>
      <c r="J78" s="693">
        <f>H78/DAY(B2)</f>
        <v>281.39999999999998</v>
      </c>
      <c r="K78" s="529"/>
      <c r="L78" s="421"/>
      <c r="N78" s="426"/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661">
        <f>'[3]4'!F79</f>
        <v>793458</v>
      </c>
      <c r="F79" s="847">
        <v>793601</v>
      </c>
      <c r="G79" s="613">
        <f t="shared" si="8"/>
        <v>143</v>
      </c>
      <c r="H79" s="600">
        <f>G79+'[3]4'!H79</f>
        <v>813</v>
      </c>
      <c r="I79" s="645"/>
      <c r="J79" s="693">
        <f>H79/DAY(B2)</f>
        <v>162.6</v>
      </c>
      <c r="K79" s="529"/>
      <c r="L79" s="421"/>
      <c r="N79" s="426"/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660">
        <f>'[3]4'!F80</f>
        <v>457976</v>
      </c>
      <c r="F80" s="859">
        <v>458275</v>
      </c>
      <c r="G80" s="613">
        <f t="shared" si="8"/>
        <v>299</v>
      </c>
      <c r="H80" s="600">
        <f>G80+'[3]4'!H80</f>
        <v>1409.960000000021</v>
      </c>
      <c r="I80" s="645"/>
      <c r="J80" s="693">
        <f>H80/DAY(B2)</f>
        <v>281.99200000000417</v>
      </c>
      <c r="K80" s="529"/>
      <c r="L80" s="421"/>
      <c r="N80" s="426"/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'[3]4'!F81</f>
        <v>611511</v>
      </c>
      <c r="F81" s="859">
        <v>611590</v>
      </c>
      <c r="G81" s="613">
        <f t="shared" si="8"/>
        <v>79</v>
      </c>
      <c r="H81" s="600">
        <f>G81+'[3]4'!H81</f>
        <v>467.71999999997206</v>
      </c>
      <c r="I81" s="645"/>
      <c r="J81" s="693">
        <f>H81/DAY(B2)</f>
        <v>93.543999999994412</v>
      </c>
      <c r="K81" s="529"/>
      <c r="L81" s="421"/>
      <c r="N81" s="426"/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'[3]4'!F82</f>
        <v>103100</v>
      </c>
      <c r="F82" s="856">
        <v>103123.92</v>
      </c>
      <c r="G82" s="613">
        <f t="shared" si="8"/>
        <v>23.919999999998254</v>
      </c>
      <c r="H82" s="600">
        <f>G82+'[3]4'!H82</f>
        <v>93.970000000001164</v>
      </c>
      <c r="I82" s="626"/>
      <c r="J82" s="693">
        <f>H82/DAY(B2)</f>
        <v>18.794000000000231</v>
      </c>
      <c r="K82" s="529"/>
      <c r="L82" s="421"/>
      <c r="N82" s="426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'[3]4'!F83</f>
        <v>953720</v>
      </c>
      <c r="F83" s="845">
        <v>954096</v>
      </c>
      <c r="G83" s="613">
        <f t="shared" si="8"/>
        <v>376</v>
      </c>
      <c r="H83" s="600">
        <f>G83+'[3]4'!H83</f>
        <v>1853</v>
      </c>
      <c r="I83" s="621"/>
      <c r="J83" s="693">
        <f>H83/DAY(B2)</f>
        <v>370.6</v>
      </c>
      <c r="K83" s="528"/>
      <c r="L83" s="421"/>
      <c r="N83" s="426"/>
      <c r="O83" s="426"/>
    </row>
    <row r="84" spans="1:15">
      <c r="A84" s="1377" t="s">
        <v>212</v>
      </c>
      <c r="B84" s="712"/>
      <c r="C84" s="712"/>
      <c r="D84" s="618" t="s">
        <v>143</v>
      </c>
      <c r="E84" s="768">
        <f>'[3]4'!F84</f>
        <v>368808</v>
      </c>
      <c r="F84" s="858">
        <v>369362</v>
      </c>
      <c r="G84" s="613">
        <f t="shared" si="8"/>
        <v>554</v>
      </c>
      <c r="H84" s="600">
        <f>G84+'[3]4'!H84</f>
        <v>2929</v>
      </c>
      <c r="I84" s="621"/>
      <c r="J84" s="693">
        <f>H84/DAY(B2)</f>
        <v>585.79999999999995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768">
        <f>'[3]4'!F85</f>
        <v>0</v>
      </c>
      <c r="F85" s="779"/>
      <c r="G85" s="600">
        <f xml:space="preserve"> SUM(G71:G84)</f>
        <v>2059.9199999999983</v>
      </c>
      <c r="H85" s="600">
        <f>G85+'[3]4'!H85</f>
        <v>8745.9099999999889</v>
      </c>
      <c r="I85" s="621"/>
      <c r="J85" s="693">
        <f>H85/DAY(B2)</f>
        <v>1749.1819999999977</v>
      </c>
      <c r="K85" s="424"/>
      <c r="L85" s="422"/>
      <c r="N85" s="426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'[3]4'!F86</f>
        <v>437464</v>
      </c>
      <c r="F86" s="784">
        <v>437572</v>
      </c>
      <c r="G86" s="861">
        <f t="shared" ref="G86:G90" si="9">F86-E86</f>
        <v>108</v>
      </c>
      <c r="H86" s="861">
        <f t="shared" ref="H86:H88" si="10">G86</f>
        <v>108</v>
      </c>
      <c r="I86" s="789"/>
      <c r="J86" s="863">
        <f>H86/DAY(B2)</f>
        <v>21.6</v>
      </c>
      <c r="K86" s="889"/>
      <c r="L86" s="890"/>
      <c r="N86" s="939">
        <f>G86-173</f>
        <v>-65</v>
      </c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'[3]4'!F87</f>
        <v>76250</v>
      </c>
      <c r="F87" s="784">
        <v>76253</v>
      </c>
      <c r="G87" s="861">
        <f t="shared" si="9"/>
        <v>3</v>
      </c>
      <c r="H87" s="861">
        <f t="shared" si="10"/>
        <v>3</v>
      </c>
      <c r="I87" s="789"/>
      <c r="J87" s="863">
        <f>H87/DAY(B2)</f>
        <v>0.6</v>
      </c>
      <c r="K87" s="889"/>
      <c r="L87" s="890"/>
      <c r="N87" s="891">
        <v>108</v>
      </c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'[3]4'!F88</f>
        <v>140379</v>
      </c>
      <c r="F88" s="784">
        <v>140419</v>
      </c>
      <c r="G88" s="861">
        <f t="shared" si="9"/>
        <v>40</v>
      </c>
      <c r="H88" s="861">
        <f t="shared" si="10"/>
        <v>40</v>
      </c>
      <c r="I88" s="789"/>
      <c r="J88" s="863">
        <f>H88/DAY(B2)</f>
        <v>8</v>
      </c>
      <c r="K88" s="889"/>
      <c r="L88" s="890"/>
      <c r="N88" s="891">
        <v>28</v>
      </c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768">
        <f>'[3]4'!F89</f>
        <v>54301</v>
      </c>
      <c r="F89" s="784">
        <v>54353</v>
      </c>
      <c r="G89" s="861">
        <f t="shared" si="9"/>
        <v>52</v>
      </c>
      <c r="H89" s="861">
        <f>G89</f>
        <v>52</v>
      </c>
      <c r="I89" s="789"/>
      <c r="J89" s="863">
        <f>H89/DAY(B2)</f>
        <v>10.4</v>
      </c>
      <c r="K89" s="889"/>
      <c r="L89" s="890"/>
      <c r="N89" s="939">
        <v>342</v>
      </c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'[3]4'!F90</f>
        <v>2801</v>
      </c>
      <c r="F90" s="784">
        <v>2803</v>
      </c>
      <c r="G90" s="861">
        <f t="shared" si="9"/>
        <v>2</v>
      </c>
      <c r="H90" s="861">
        <f>G90</f>
        <v>2</v>
      </c>
      <c r="I90" s="789"/>
      <c r="J90" s="863">
        <f>H90/DAY(B2)</f>
        <v>0.4</v>
      </c>
      <c r="K90" s="889"/>
      <c r="L90" s="890"/>
      <c r="N90" s="939">
        <v>349</v>
      </c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23"/>
      <c r="G91" s="628"/>
      <c r="H91" s="612"/>
      <c r="I91" s="612"/>
      <c r="J91" s="692"/>
      <c r="K91" s="424"/>
      <c r="L91" s="422"/>
      <c r="N91" s="426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'[3]4'!F92</f>
        <v>228907</v>
      </c>
      <c r="F92" s="842">
        <v>229035</v>
      </c>
      <c r="G92" s="613">
        <f t="shared" ref="G92:G93" si="11">F92-E92</f>
        <v>128</v>
      </c>
      <c r="H92" s="600">
        <f>G92+'[3]4'!H92</f>
        <v>440</v>
      </c>
      <c r="I92" s="620"/>
      <c r="J92" s="693">
        <f>H92/DAY(B2)</f>
        <v>88</v>
      </c>
      <c r="K92" s="528"/>
      <c r="L92" s="421"/>
      <c r="N92" s="426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'[3]4'!F93</f>
        <v>159335</v>
      </c>
      <c r="F93" s="842">
        <v>159463</v>
      </c>
      <c r="G93" s="613">
        <f t="shared" si="11"/>
        <v>128</v>
      </c>
      <c r="H93" s="600">
        <f>G93+'[3]4'!H93</f>
        <v>940</v>
      </c>
      <c r="I93" s="620"/>
      <c r="J93" s="693">
        <f>H93/DAY(B2)</f>
        <v>188</v>
      </c>
      <c r="K93" s="424"/>
      <c r="L93" s="421"/>
      <c r="N93" s="426"/>
      <c r="O93" s="426"/>
    </row>
    <row r="94" spans="1:15">
      <c r="A94" s="1460" t="s">
        <v>219</v>
      </c>
      <c r="B94" s="1461"/>
      <c r="C94" s="1462"/>
      <c r="D94" s="663"/>
      <c r="E94" s="624"/>
      <c r="F94" s="776"/>
      <c r="G94" s="613">
        <f>G92+G93</f>
        <v>256</v>
      </c>
      <c r="H94" s="600">
        <f>G94+'[3]4'!H94</f>
        <v>1090</v>
      </c>
      <c r="I94" s="620"/>
      <c r="J94" s="693">
        <f>H94/DAY(B2)</f>
        <v>218</v>
      </c>
      <c r="K94" s="424"/>
      <c r="L94" s="421"/>
      <c r="N94" s="426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'[3]4'!F95</f>
        <v>400035</v>
      </c>
      <c r="F95" s="842">
        <v>400126</v>
      </c>
      <c r="G95" s="613">
        <f t="shared" ref="G95:G100" si="12">F95-E95</f>
        <v>91</v>
      </c>
      <c r="H95" s="600">
        <f>G95+'[3]4'!H95</f>
        <v>279</v>
      </c>
      <c r="I95" s="620"/>
      <c r="J95" s="693">
        <f>H95/DAY(B2)</f>
        <v>55.8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'[3]4'!F96</f>
        <v>98178</v>
      </c>
      <c r="F96" s="842">
        <v>98266</v>
      </c>
      <c r="G96" s="613">
        <f t="shared" si="12"/>
        <v>88</v>
      </c>
      <c r="H96" s="600">
        <f>G96+'[3]4'!H96</f>
        <v>257</v>
      </c>
      <c r="I96" s="620"/>
      <c r="J96" s="693">
        <f>H96/DAY(B2)</f>
        <v>51.4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'[3]4'!F97</f>
        <v>93607</v>
      </c>
      <c r="F97" s="842">
        <v>93632</v>
      </c>
      <c r="G97" s="613">
        <f t="shared" si="12"/>
        <v>25</v>
      </c>
      <c r="H97" s="600">
        <f>G97+'[3]4'!H97</f>
        <v>81</v>
      </c>
      <c r="I97" s="620"/>
      <c r="J97" s="693">
        <f>H97/DAY(B2)</f>
        <v>16.2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'[3]4'!F98</f>
        <v>141014</v>
      </c>
      <c r="F98" s="842">
        <v>141109</v>
      </c>
      <c r="G98" s="613">
        <f t="shared" si="12"/>
        <v>95</v>
      </c>
      <c r="H98" s="600">
        <f>G98+'[3]4'!H98</f>
        <v>204</v>
      </c>
      <c r="I98" s="620"/>
      <c r="J98" s="693">
        <f>H98/DAY(B2)</f>
        <v>40.799999999999997</v>
      </c>
      <c r="K98" s="424"/>
      <c r="L98" s="421"/>
      <c r="N98" s="843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'[3]4'!F99</f>
        <v>4753</v>
      </c>
      <c r="F99" s="842">
        <v>4768</v>
      </c>
      <c r="G99" s="613">
        <f t="shared" si="12"/>
        <v>15</v>
      </c>
      <c r="H99" s="600">
        <f>G99+'[3]4'!H99</f>
        <v>60</v>
      </c>
      <c r="I99" s="620"/>
      <c r="J99" s="693">
        <f>H99/DAY(B2)</f>
        <v>12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'[3]4'!F100</f>
        <v>3674</v>
      </c>
      <c r="F100" s="842">
        <v>3674</v>
      </c>
      <c r="G100" s="613">
        <f t="shared" si="12"/>
        <v>0</v>
      </c>
      <c r="H100" s="600">
        <f>G100+'[3]4'!H100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60" t="s">
        <v>227</v>
      </c>
      <c r="B101" s="1461"/>
      <c r="C101" s="1462"/>
      <c r="D101" s="664"/>
      <c r="E101" s="664"/>
      <c r="F101" s="780"/>
      <c r="G101" s="665">
        <f>SUM(G95:G100)</f>
        <v>314</v>
      </c>
      <c r="H101" s="600">
        <f>G101+'[3]4'!H101</f>
        <v>881</v>
      </c>
      <c r="I101" s="666"/>
      <c r="J101" s="693">
        <f>H101/DAY(B2)</f>
        <v>176.2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85"/>
      <c r="G102" s="669"/>
      <c r="H102" s="670"/>
      <c r="I102" s="671"/>
      <c r="J102" s="698"/>
      <c r="N102" s="426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672"/>
      <c r="G103" s="672"/>
      <c r="H103" s="673"/>
      <c r="I103" s="672"/>
      <c r="J103" s="699"/>
      <c r="N103" s="426"/>
      <c r="O103" s="426"/>
    </row>
    <row r="104" spans="1:15" s="544" customFormat="1" ht="27.75">
      <c r="A104" s="1421" t="s">
        <v>230</v>
      </c>
      <c r="B104" s="1422"/>
      <c r="C104" s="1376"/>
      <c r="D104" s="763" t="s">
        <v>155</v>
      </c>
      <c r="E104" s="672">
        <f>'[3]4'!F104</f>
        <v>7010</v>
      </c>
      <c r="F104" s="846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12</v>
      </c>
      <c r="N104" s="426"/>
      <c r="O104" s="426"/>
    </row>
    <row r="105" spans="1:15" s="1691" customFormat="1" ht="27.75">
      <c r="A105" s="1685" t="s">
        <v>77</v>
      </c>
      <c r="B105" s="1686"/>
      <c r="C105" s="1687"/>
      <c r="D105" s="1688" t="s">
        <v>155</v>
      </c>
      <c r="E105" s="672">
        <f>'[3]4'!F105</f>
        <v>34528</v>
      </c>
      <c r="F105" s="857">
        <v>34529</v>
      </c>
      <c r="G105" s="857">
        <f t="shared" ref="G105:G106" si="13">F105-E105</f>
        <v>1</v>
      </c>
      <c r="H105" s="1689">
        <f>SUM(G105+'[3]1'!G77)</f>
        <v>71</v>
      </c>
      <c r="I105" s="857"/>
      <c r="J105" s="1690">
        <f>H105/DAY(B2)</f>
        <v>14.2</v>
      </c>
      <c r="N105" s="877"/>
      <c r="O105" s="877"/>
    </row>
    <row r="106" spans="1:15" s="544" customFormat="1" ht="27.75">
      <c r="A106" s="1421" t="s">
        <v>78</v>
      </c>
      <c r="B106" s="1465"/>
      <c r="C106" s="1422"/>
      <c r="D106" s="763" t="s">
        <v>155</v>
      </c>
      <c r="E106" s="672">
        <f>'[3]4'!F106</f>
        <v>18641</v>
      </c>
      <c r="F106" s="846">
        <v>18644</v>
      </c>
      <c r="G106" s="672">
        <f t="shared" si="13"/>
        <v>3</v>
      </c>
      <c r="H106" s="673">
        <f>SUM(G106+'[3]1'!G78)</f>
        <v>332</v>
      </c>
      <c r="I106" s="672"/>
      <c r="J106" s="699">
        <f>H106/DAY(B2)</f>
        <v>66.400000000000006</v>
      </c>
      <c r="N106" s="426"/>
      <c r="O106" s="426"/>
    </row>
    <row r="107" spans="1:15" s="544" customFormat="1" ht="27.75">
      <c r="A107" s="1423" t="s">
        <v>213</v>
      </c>
      <c r="B107" s="1424"/>
      <c r="C107" s="1376"/>
      <c r="D107" s="763"/>
      <c r="E107" s="672" t="str">
        <f>'[3]4'!F107</f>
        <v>.</v>
      </c>
      <c r="F107" s="672"/>
      <c r="G107" s="672">
        <f>SUM(G104:G106)</f>
        <v>4</v>
      </c>
      <c r="H107" s="673">
        <f>SUM(G107+'[3]1'!G79)</f>
        <v>164</v>
      </c>
      <c r="I107" s="672"/>
      <c r="J107" s="699">
        <f>H107/DAY(B2)</f>
        <v>32.799999999999997</v>
      </c>
      <c r="N107" s="426"/>
      <c r="O107" s="426"/>
    </row>
    <row r="108" spans="1:15" s="544" customFormat="1" ht="27.75">
      <c r="A108" s="1427" t="s">
        <v>79</v>
      </c>
      <c r="B108" s="1428"/>
      <c r="C108" s="1376"/>
      <c r="D108" s="763" t="s">
        <v>155</v>
      </c>
      <c r="E108" s="672">
        <f>'[3]4'!F108</f>
        <v>0</v>
      </c>
      <c r="F108" s="672"/>
      <c r="G108" s="672"/>
      <c r="H108" s="673"/>
      <c r="I108" s="672"/>
      <c r="J108" s="699"/>
      <c r="N108" s="426"/>
      <c r="O108" s="426"/>
    </row>
    <row r="109" spans="1:15" s="544" customFormat="1" ht="27.75">
      <c r="A109" s="1421" t="s">
        <v>231</v>
      </c>
      <c r="B109" s="1422"/>
      <c r="C109" s="1376"/>
      <c r="D109" s="763" t="s">
        <v>155</v>
      </c>
      <c r="E109" s="672">
        <f>'[3]4'!F109</f>
        <v>49865</v>
      </c>
      <c r="F109" s="846">
        <v>49940</v>
      </c>
      <c r="G109" s="672">
        <f>F109-E109</f>
        <v>75</v>
      </c>
      <c r="H109" s="673">
        <f>SUM(G109+'[3]1'!G81)</f>
        <v>157</v>
      </c>
      <c r="I109" s="672"/>
      <c r="J109" s="699">
        <f>H109/DAY(B2)</f>
        <v>31.4</v>
      </c>
      <c r="N109" s="426"/>
    </row>
    <row r="110" spans="1:15" s="544" customFormat="1" ht="27.75">
      <c r="A110" s="1421" t="s">
        <v>232</v>
      </c>
      <c r="B110" s="1422"/>
      <c r="C110" s="1376"/>
      <c r="D110" s="763" t="s">
        <v>155</v>
      </c>
      <c r="E110" s="672">
        <f>'[3]4'!F110</f>
        <v>24261</v>
      </c>
      <c r="F110" s="846">
        <v>24296</v>
      </c>
      <c r="G110" s="672">
        <f t="shared" ref="G110:G111" si="14">F110-E110</f>
        <v>35</v>
      </c>
      <c r="H110" s="673">
        <f>SUM(G110+'[3]1'!G82)</f>
        <v>60.740000000005239</v>
      </c>
      <c r="I110" s="672"/>
      <c r="J110" s="699">
        <f>H110/DAY(B2)</f>
        <v>12.148000000001048</v>
      </c>
      <c r="N110" s="426"/>
    </row>
    <row r="111" spans="1:15" s="544" customFormat="1" ht="27.75">
      <c r="A111" s="1421" t="s">
        <v>233</v>
      </c>
      <c r="B111" s="1422"/>
      <c r="C111" s="1376"/>
      <c r="D111" s="763" t="s">
        <v>155</v>
      </c>
      <c r="E111" s="672">
        <f>'[3]4'!F111</f>
        <v>3221</v>
      </c>
      <c r="F111" s="846">
        <v>3221</v>
      </c>
      <c r="G111" s="672">
        <f t="shared" si="14"/>
        <v>0</v>
      </c>
      <c r="H111" s="673">
        <f>SUM(G111+'[3]1'!G83)</f>
        <v>446</v>
      </c>
      <c r="I111" s="672"/>
      <c r="J111" s="699">
        <f>H111/DAY(B2)</f>
        <v>89.2</v>
      </c>
      <c r="N111" s="426"/>
    </row>
    <row r="112" spans="1:15" s="544" customFormat="1" ht="27.75">
      <c r="A112" s="1423" t="s">
        <v>121</v>
      </c>
      <c r="B112" s="1424"/>
      <c r="C112" s="1376"/>
      <c r="D112" s="763"/>
      <c r="E112" s="672">
        <f>'[3]4'!F112</f>
        <v>0</v>
      </c>
      <c r="F112" s="672"/>
      <c r="G112" s="672">
        <f>SUM(G109:G111)</f>
        <v>110</v>
      </c>
      <c r="H112" s="673">
        <f>SUM(G112+'[3]1'!G84)</f>
        <v>706</v>
      </c>
      <c r="I112" s="672"/>
      <c r="J112" s="699">
        <f>H112/DAY(B2)</f>
        <v>141.19999999999999</v>
      </c>
      <c r="N112" s="426"/>
    </row>
    <row r="113" spans="1:14" s="544" customFormat="1" ht="27.75">
      <c r="A113" s="1427" t="s">
        <v>234</v>
      </c>
      <c r="B113" s="1428"/>
      <c r="C113" s="1376"/>
      <c r="D113" s="763"/>
      <c r="E113" s="672">
        <f>'[3]4'!F113</f>
        <v>0</v>
      </c>
      <c r="F113" s="672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21" t="s">
        <v>235</v>
      </c>
      <c r="B114" s="1422"/>
      <c r="C114" s="715"/>
      <c r="D114" s="763" t="s">
        <v>155</v>
      </c>
      <c r="E114" s="672">
        <f>'[3]4'!F114</f>
        <v>8328</v>
      </c>
      <c r="F114" s="844">
        <v>8346</v>
      </c>
      <c r="G114" s="674">
        <f>F114-E114</f>
        <v>18</v>
      </c>
      <c r="H114" s="673">
        <f>SUM(G114+'[3]1'!G91)</f>
        <v>18</v>
      </c>
      <c r="I114" s="672"/>
      <c r="J114" s="699">
        <f>H114/DAY(B2)</f>
        <v>3.6</v>
      </c>
      <c r="N114" s="426"/>
    </row>
    <row r="115" spans="1:14" s="544" customFormat="1" ht="27.75">
      <c r="A115" s="1421" t="s">
        <v>236</v>
      </c>
      <c r="B115" s="1422"/>
      <c r="C115" s="715"/>
      <c r="D115" s="763" t="s">
        <v>155</v>
      </c>
      <c r="E115" s="672">
        <f>'[3]4'!F115</f>
        <v>6562</v>
      </c>
      <c r="F115" s="844">
        <v>6571</v>
      </c>
      <c r="G115" s="674">
        <f t="shared" ref="G115:G116" si="15">F115-E115</f>
        <v>9</v>
      </c>
      <c r="H115" s="673">
        <f>SUM(G115+'[3]1'!G92)</f>
        <v>114</v>
      </c>
      <c r="I115" s="672"/>
      <c r="J115" s="699">
        <f>H115/DAY(B2)</f>
        <v>22.8</v>
      </c>
      <c r="N115" s="426"/>
    </row>
    <row r="116" spans="1:14" s="544" customFormat="1" ht="27.75">
      <c r="A116" s="1421" t="s">
        <v>237</v>
      </c>
      <c r="B116" s="1422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185</v>
      </c>
      <c r="I116" s="672"/>
      <c r="J116" s="699">
        <f>H116/DAY(B2)</f>
        <v>37</v>
      </c>
      <c r="N116" s="426"/>
    </row>
    <row r="117" spans="1:14" s="557" customFormat="1" ht="27.75">
      <c r="A117" s="1423" t="s">
        <v>213</v>
      </c>
      <c r="B117" s="1424"/>
      <c r="C117" s="715"/>
      <c r="D117" s="764"/>
      <c r="E117" s="674"/>
      <c r="F117" s="674"/>
      <c r="G117" s="674">
        <f>SUM(G114:G116)</f>
        <v>27</v>
      </c>
      <c r="H117" s="673">
        <f>SUM(G117+'[3]1'!G95)</f>
        <v>75</v>
      </c>
      <c r="I117" s="674"/>
      <c r="J117" s="699">
        <f>H117/DAY(B2)</f>
        <v>15</v>
      </c>
      <c r="N117" s="426"/>
    </row>
    <row r="118" spans="1:14" s="558" customFormat="1" ht="27.75">
      <c r="A118" s="1417" t="s">
        <v>238</v>
      </c>
      <c r="B118" s="1418"/>
      <c r="C118" s="1379"/>
      <c r="D118" s="765" t="s">
        <v>155</v>
      </c>
      <c r="E118" s="676"/>
      <c r="F118" s="676">
        <f>SUM(G19+G92)</f>
        <v>177</v>
      </c>
      <c r="G118" s="676">
        <f>SUM(G19+G92)</f>
        <v>177</v>
      </c>
      <c r="H118" s="673">
        <f>SUM(G118+'[3]1'!G96)</f>
        <v>226</v>
      </c>
      <c r="I118" s="675"/>
      <c r="J118" s="700">
        <f>H118/DAY(B2)</f>
        <v>45.2</v>
      </c>
      <c r="N118" s="426"/>
    </row>
    <row r="119" spans="1:14" s="558" customFormat="1" ht="27.75">
      <c r="A119" s="1417" t="s">
        <v>239</v>
      </c>
      <c r="B119" s="1418"/>
      <c r="C119" s="1379"/>
      <c r="D119" s="765" t="s">
        <v>155</v>
      </c>
      <c r="E119" s="676"/>
      <c r="F119" s="676">
        <f>SUM(G95,G96,G97,G99,G100)</f>
        <v>219</v>
      </c>
      <c r="G119" s="676">
        <f>SUM(G95,G96,G97,G99,G100)</f>
        <v>219</v>
      </c>
      <c r="H119" s="673">
        <f>SUM(G119+'[3]1'!G98)</f>
        <v>251</v>
      </c>
      <c r="I119" s="675"/>
      <c r="J119" s="700">
        <f>H119/DAY(B2)</f>
        <v>50.2</v>
      </c>
      <c r="N119" s="426"/>
    </row>
    <row r="120" spans="1:14" s="558" customFormat="1" ht="27.75">
      <c r="A120" s="1417" t="s">
        <v>240</v>
      </c>
      <c r="B120" s="1418"/>
      <c r="C120" s="1379"/>
      <c r="D120" s="765" t="s">
        <v>155</v>
      </c>
      <c r="E120" s="674"/>
      <c r="F120" s="674">
        <f>SUM(G112)</f>
        <v>110</v>
      </c>
      <c r="G120" s="674">
        <f>SUM(G112)</f>
        <v>110</v>
      </c>
      <c r="H120" s="673">
        <f>SUM(G120+'[3]1'!G100)</f>
        <v>110</v>
      </c>
      <c r="I120" s="675"/>
      <c r="J120" s="700">
        <f>H120/DAY(B2)</f>
        <v>22</v>
      </c>
      <c r="N120" s="426"/>
    </row>
    <row r="121" spans="1:14" s="544" customFormat="1" ht="27.75">
      <c r="A121" s="1419"/>
      <c r="B121" s="1420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426"/>
    </row>
    <row r="122" spans="1:14">
      <c r="A122" s="1457" t="s">
        <v>241</v>
      </c>
      <c r="B122" s="1458"/>
      <c r="C122" s="1459"/>
      <c r="D122" s="612"/>
      <c r="E122" s="612"/>
      <c r="F122" s="623"/>
      <c r="G122" s="623"/>
      <c r="H122" s="623"/>
      <c r="I122" s="623"/>
      <c r="J122" s="704"/>
      <c r="K122" s="424"/>
      <c r="L122" s="421"/>
      <c r="N122" s="426"/>
    </row>
    <row r="123" spans="1:14" s="934" customFormat="1" ht="27.75">
      <c r="A123" s="935" t="s">
        <v>242</v>
      </c>
      <c r="B123" s="936"/>
      <c r="C123" s="936"/>
      <c r="D123" s="865" t="s">
        <v>152</v>
      </c>
      <c r="E123" s="767">
        <f>'[3]4'!F123</f>
        <v>783662.18</v>
      </c>
      <c r="F123" s="1692">
        <v>783833.01399999997</v>
      </c>
      <c r="G123" s="932">
        <f t="shared" ref="G123:G127" si="16">F123-E123</f>
        <v>170.83399999991525</v>
      </c>
      <c r="H123" s="619">
        <f>G123+'[3]4'!H123</f>
        <v>908.12799999990966</v>
      </c>
      <c r="I123" s="1693"/>
      <c r="J123" s="933">
        <f>H123/DAY(B2)</f>
        <v>181.62559999998194</v>
      </c>
      <c r="K123" s="1694"/>
      <c r="L123" s="1695"/>
      <c r="N123" s="877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'[3]4'!F124</f>
        <v>73581</v>
      </c>
      <c r="F124" s="786">
        <v>73581</v>
      </c>
      <c r="G124" s="613">
        <f t="shared" si="16"/>
        <v>0</v>
      </c>
      <c r="H124" s="600">
        <f>G124+'[3]4'!H124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29" t="s">
        <v>244</v>
      </c>
      <c r="B125" s="1430"/>
      <c r="C125" s="1431"/>
      <c r="D125" s="663" t="s">
        <v>152</v>
      </c>
      <c r="E125" s="767">
        <f>'[3]4'!F125</f>
        <v>131286.76999999999</v>
      </c>
      <c r="F125" s="842">
        <v>131401.31</v>
      </c>
      <c r="G125" s="613">
        <f t="shared" si="16"/>
        <v>114.54000000000815</v>
      </c>
      <c r="H125" s="600">
        <f>G125+'[3]4'!H125</f>
        <v>295.08999999999651</v>
      </c>
      <c r="I125" s="666"/>
      <c r="J125" s="693">
        <f>H125/DAY(B2)</f>
        <v>59.017999999999304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767">
        <f>'[3]4'!F126</f>
        <v>55682.400000000001</v>
      </c>
      <c r="F126" s="778">
        <v>55705.1</v>
      </c>
      <c r="G126" s="613">
        <f t="shared" si="16"/>
        <v>22.69999999999709</v>
      </c>
      <c r="H126" s="600">
        <f>G126+'[3]4'!H126</f>
        <v>119.29999999999563</v>
      </c>
      <c r="I126" s="666"/>
      <c r="J126" s="693">
        <f>H126/DAY(B2)</f>
        <v>23.859999999999125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'[3]4'!F127</f>
        <v>8639</v>
      </c>
      <c r="F127" s="786">
        <v>8639</v>
      </c>
      <c r="G127" s="613">
        <f t="shared" si="16"/>
        <v>0</v>
      </c>
      <c r="H127" s="600">
        <f>G127+'[3]4'!H127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776"/>
      <c r="G128" s="613">
        <f>G15-SUM(G123:G127)</f>
        <v>157.02000000012049</v>
      </c>
      <c r="H128" s="600">
        <f>G128+'[3]4'!H128</f>
        <v>1124.0280000001876</v>
      </c>
      <c r="I128" s="620"/>
      <c r="J128" s="693">
        <f>H128/DAY(B2)</f>
        <v>224.80560000003751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34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'[3]4'!F130</f>
        <v>0</v>
      </c>
      <c r="F130" s="776">
        <v>0</v>
      </c>
      <c r="G130" s="613">
        <f t="shared" ref="G130:G140" si="17">F130-E130</f>
        <v>0</v>
      </c>
      <c r="H130" s="600">
        <f>G130+'[3]4'!H130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'[3]4'!F131</f>
        <v>0</v>
      </c>
      <c r="F131" s="776">
        <v>0</v>
      </c>
      <c r="G131" s="613">
        <f t="shared" si="17"/>
        <v>0</v>
      </c>
      <c r="H131" s="600">
        <f>G131+'[3]4'!H131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82">
        <f>'[3]4'!F132</f>
        <v>38853</v>
      </c>
      <c r="F132" s="777">
        <v>38853</v>
      </c>
      <c r="G132" s="613">
        <f t="shared" si="17"/>
        <v>0</v>
      </c>
      <c r="H132" s="600">
        <f>G132+'[3]4'!H132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82">
        <f>'[3]4'!F133</f>
        <v>34948</v>
      </c>
      <c r="F133" s="777">
        <v>34948</v>
      </c>
      <c r="G133" s="613">
        <f t="shared" si="17"/>
        <v>0</v>
      </c>
      <c r="H133" s="600">
        <f>G133+'[3]4'!H133</f>
        <v>0</v>
      </c>
      <c r="I133" s="620">
        <f>G132+G133+G134+G135</f>
        <v>24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82">
        <f>'[3]4'!F134</f>
        <v>39736</v>
      </c>
      <c r="F134" s="777">
        <v>39736</v>
      </c>
      <c r="G134" s="613">
        <f t="shared" si="17"/>
        <v>0</v>
      </c>
      <c r="H134" s="600">
        <f>G134+'[3]4'!H134</f>
        <v>-0.26999999999679858</v>
      </c>
      <c r="I134" s="620"/>
      <c r="J134" s="693">
        <f>H134/DAY(B2)</f>
        <v>-5.3999999999359713E-2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82">
        <f>'[3]4'!F135</f>
        <v>31089</v>
      </c>
      <c r="F135" s="777">
        <v>31113</v>
      </c>
      <c r="G135" s="613">
        <f t="shared" si="17"/>
        <v>24</v>
      </c>
      <c r="H135" s="600">
        <f>G135+'[3]4'!H135</f>
        <v>119.97999999999956</v>
      </c>
      <c r="I135" s="620"/>
      <c r="J135" s="693">
        <f>H135/DAY(B2)</f>
        <v>23.995999999999913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'[3]4'!F136</f>
        <v>21606.15</v>
      </c>
      <c r="F136" s="777">
        <v>21606.154999999999</v>
      </c>
      <c r="G136" s="613">
        <f t="shared" si="17"/>
        <v>4.9999999973806553E-3</v>
      </c>
      <c r="H136" s="600">
        <f>G136+'[3]4'!H136</f>
        <v>8.125</v>
      </c>
      <c r="I136" s="620">
        <f>G136+G137+G138</f>
        <v>8.7549999999973807</v>
      </c>
      <c r="J136" s="693">
        <f>H136/DAY(B2)</f>
        <v>1.625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'[3]4'!F137</f>
        <v>24902.25</v>
      </c>
      <c r="F137" s="777">
        <v>24902.25</v>
      </c>
      <c r="G137" s="613">
        <f t="shared" si="17"/>
        <v>0</v>
      </c>
      <c r="H137" s="600">
        <f>G137+'[3]4'!H137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'[3]4'!F138</f>
        <v>69899.59</v>
      </c>
      <c r="F138" s="777">
        <v>69908.34</v>
      </c>
      <c r="G138" s="613">
        <f t="shared" si="17"/>
        <v>8.75</v>
      </c>
      <c r="H138" s="600">
        <f>G138+'[3]4'!H138</f>
        <v>26.690000000002328</v>
      </c>
      <c r="I138" s="620"/>
      <c r="J138" s="693">
        <f>H138/DAY(B2)</f>
        <v>5.3380000000004655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82">
        <f>'[3]4'!F139</f>
        <v>794.66</v>
      </c>
      <c r="F139" s="778">
        <v>799.78</v>
      </c>
      <c r="G139" s="613">
        <f t="shared" si="17"/>
        <v>5.1200000000000045</v>
      </c>
      <c r="H139" s="600">
        <f>G139+'[3]4'!H139</f>
        <v>23.350000000000023</v>
      </c>
      <c r="I139" s="683">
        <f>G139+G140</f>
        <v>5.1200000000000045</v>
      </c>
      <c r="J139" s="693">
        <f>H139/DAY(B2)</f>
        <v>4.6700000000000044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82">
        <f>'[3]4'!F140</f>
        <v>4156.9799999999996</v>
      </c>
      <c r="F140" s="786">
        <v>4156.9799999999996</v>
      </c>
      <c r="G140" s="613">
        <f t="shared" si="17"/>
        <v>0</v>
      </c>
      <c r="H140" s="600">
        <f>G140+'[3]4'!H140</f>
        <v>2.7099999999991269</v>
      </c>
      <c r="I140" s="683"/>
      <c r="J140" s="693">
        <f>H140/DAY(B2)</f>
        <v>0.5419999999998254</v>
      </c>
      <c r="N140" s="426"/>
    </row>
    <row r="141" spans="1:14">
      <c r="A141" s="1438" t="s">
        <v>261</v>
      </c>
      <c r="B141" s="1439"/>
      <c r="C141" s="1375"/>
      <c r="D141" s="612"/>
      <c r="E141" s="612"/>
      <c r="F141" s="623"/>
      <c r="G141" s="623"/>
      <c r="H141" s="623"/>
      <c r="I141" s="623"/>
      <c r="J141" s="704"/>
      <c r="K141" s="424"/>
      <c r="L141" s="421"/>
      <c r="N141" s="426"/>
    </row>
    <row r="142" spans="1:14" ht="27.75">
      <c r="A142" s="1432" t="s">
        <v>262</v>
      </c>
      <c r="B142" s="1433"/>
      <c r="C142" s="1434"/>
      <c r="D142" s="663" t="s">
        <v>143</v>
      </c>
      <c r="E142" s="663"/>
      <c r="F142" s="779"/>
      <c r="G142" s="600">
        <f>G35+G43+G49+G57</f>
        <v>4965.1880000000456</v>
      </c>
      <c r="H142" s="600">
        <f>G142+'[3]4'!H142</f>
        <v>24707.770000000135</v>
      </c>
      <c r="I142" s="620"/>
      <c r="J142" s="693">
        <f>H142/DAY(B2)</f>
        <v>4941.5540000000274</v>
      </c>
      <c r="K142" s="424"/>
      <c r="L142" s="421"/>
      <c r="N142" s="426"/>
    </row>
    <row r="143" spans="1:14" ht="27.75">
      <c r="A143" s="1432" t="s">
        <v>263</v>
      </c>
      <c r="B143" s="1433"/>
      <c r="C143" s="1434"/>
      <c r="D143" s="663" t="s">
        <v>24</v>
      </c>
      <c r="E143" s="651"/>
      <c r="F143" s="781"/>
      <c r="G143" s="684">
        <f>G142/G7</f>
        <v>0.27497302984992222</v>
      </c>
      <c r="H143" s="600">
        <f>G143+'[3]4'!H143</f>
        <v>1.1515374074670444</v>
      </c>
      <c r="I143" s="685"/>
      <c r="J143" s="693">
        <f>H143/DAY(B2)</f>
        <v>0.23030748149340888</v>
      </c>
      <c r="K143" s="424"/>
      <c r="L143" s="421"/>
      <c r="N143" s="426"/>
    </row>
    <row r="144" spans="1:14" ht="27.75">
      <c r="A144" s="1432" t="s">
        <v>264</v>
      </c>
      <c r="B144" s="1433"/>
      <c r="C144" s="1434"/>
      <c r="D144" s="663" t="s">
        <v>143</v>
      </c>
      <c r="E144" s="595"/>
      <c r="F144" s="774"/>
      <c r="G144" s="600">
        <f>G41+G42+G55+G56</f>
        <v>4112.7900000000373</v>
      </c>
      <c r="H144" s="600">
        <f>G144+'[3]4'!H144</f>
        <v>20704.090000000113</v>
      </c>
      <c r="I144" s="620"/>
      <c r="J144" s="693">
        <f>H144/DAY(B2)</f>
        <v>4140.8180000000229</v>
      </c>
      <c r="K144" s="424"/>
      <c r="L144" s="421"/>
      <c r="N144" s="426"/>
    </row>
    <row r="145" spans="1:14" ht="27.75">
      <c r="A145" s="1432" t="s">
        <v>265</v>
      </c>
      <c r="B145" s="1433"/>
      <c r="C145" s="1434"/>
      <c r="D145" s="663" t="s">
        <v>24</v>
      </c>
      <c r="E145" s="595"/>
      <c r="F145" s="774"/>
      <c r="G145" s="684">
        <f>G144/G7</f>
        <v>0.22776707094201901</v>
      </c>
      <c r="H145" s="600">
        <f>G145+'[3]4'!H145</f>
        <v>1.1260269801767695</v>
      </c>
      <c r="I145" s="685"/>
      <c r="J145" s="693">
        <f>H145/DAY(B2)</f>
        <v>0.22520539603535389</v>
      </c>
      <c r="K145" s="424"/>
      <c r="L145" s="421"/>
      <c r="N145" s="426"/>
    </row>
    <row r="146" spans="1:14" ht="27.75">
      <c r="A146" s="1432" t="s">
        <v>266</v>
      </c>
      <c r="B146" s="1433"/>
      <c r="C146" s="1434"/>
      <c r="D146" s="663" t="s">
        <v>143</v>
      </c>
      <c r="E146" s="595"/>
      <c r="F146" s="774"/>
      <c r="G146" s="600">
        <f>G39+G53</f>
        <v>3882</v>
      </c>
      <c r="H146" s="600">
        <f>G146+'[3]4'!H146</f>
        <v>19619.20000000007</v>
      </c>
      <c r="I146" s="686"/>
      <c r="J146" s="693">
        <f>H146/DAY(B2)</f>
        <v>3923.8400000000138</v>
      </c>
      <c r="K146" s="424"/>
      <c r="L146" s="421"/>
      <c r="N146" s="426"/>
    </row>
    <row r="147" spans="1:14" ht="27.75">
      <c r="A147" s="1432" t="s">
        <v>267</v>
      </c>
      <c r="B147" s="1433"/>
      <c r="C147" s="1434"/>
      <c r="D147" s="663" t="s">
        <v>24</v>
      </c>
      <c r="E147" s="595"/>
      <c r="F147" s="774"/>
      <c r="G147" s="684">
        <f>G146/G7</f>
        <v>0.2149858780528327</v>
      </c>
      <c r="H147" s="600">
        <f>G147+'[3]4'!H147</f>
        <v>1.0680983384201612</v>
      </c>
      <c r="I147" s="686"/>
      <c r="J147" s="693">
        <f>H147/DAY(B2)</f>
        <v>0.21361966768403223</v>
      </c>
      <c r="N147" s="426"/>
    </row>
    <row r="148" spans="1:14" ht="27.75">
      <c r="A148" s="1432" t="s">
        <v>268</v>
      </c>
      <c r="B148" s="1433"/>
      <c r="C148" s="1434"/>
      <c r="D148" s="663" t="s">
        <v>194</v>
      </c>
      <c r="E148" s="595"/>
      <c r="F148" s="774"/>
      <c r="G148" s="600">
        <f>G38+G52</f>
        <v>1811.359999999986</v>
      </c>
      <c r="H148" s="600">
        <f>G148+'[3]4'!H148</f>
        <v>8728.2999999999884</v>
      </c>
      <c r="I148" s="620"/>
      <c r="J148" s="693">
        <f>H148/DAY(B2)</f>
        <v>1745.6599999999976</v>
      </c>
      <c r="K148" s="425"/>
      <c r="N148" s="426"/>
    </row>
    <row r="149" spans="1:14" ht="27.75">
      <c r="A149" s="1432" t="s">
        <v>269</v>
      </c>
      <c r="B149" s="1433"/>
      <c r="C149" s="1434"/>
      <c r="D149" s="663" t="s">
        <v>24</v>
      </c>
      <c r="E149" s="595"/>
      <c r="F149" s="774"/>
      <c r="G149" s="684">
        <f>G148/G7</f>
        <v>0.1003134518469284</v>
      </c>
      <c r="H149" s="600">
        <f>G149+'[3]4'!H149</f>
        <v>0.47507704682225854</v>
      </c>
      <c r="I149" s="686"/>
      <c r="J149" s="693">
        <f>H149/DAY(B2)</f>
        <v>9.5015409364451714E-2</v>
      </c>
      <c r="N149" s="426"/>
    </row>
    <row r="150" spans="1:14" ht="27.75">
      <c r="A150" s="1432" t="s">
        <v>270</v>
      </c>
      <c r="B150" s="1433"/>
      <c r="C150" s="1434"/>
      <c r="D150" s="663" t="s">
        <v>194</v>
      </c>
      <c r="E150" s="595"/>
      <c r="F150" s="774"/>
      <c r="G150" s="600">
        <f>G36+G50</f>
        <v>1504.6900000000023</v>
      </c>
      <c r="H150" s="600">
        <f>G150+'[3]4'!H150</f>
        <v>7718.8399999999674</v>
      </c>
      <c r="I150" s="686"/>
      <c r="J150" s="693">
        <f>H150/DAY(B2)</f>
        <v>1543.7679999999934</v>
      </c>
      <c r="N150" s="426"/>
    </row>
    <row r="151" spans="1:14" ht="27.75">
      <c r="A151" s="1432" t="s">
        <v>271</v>
      </c>
      <c r="B151" s="1433"/>
      <c r="C151" s="1434"/>
      <c r="D151" s="663" t="s">
        <v>24</v>
      </c>
      <c r="E151" s="595"/>
      <c r="F151" s="774"/>
      <c r="G151" s="684">
        <f>G150/G7</f>
        <v>8.3330010522235279E-2</v>
      </c>
      <c r="H151" s="600">
        <f>G151+'[3]4'!H151</f>
        <v>0.41924958190893208</v>
      </c>
      <c r="I151" s="620"/>
      <c r="J151" s="693">
        <f>H151/DAY(B2)</f>
        <v>8.3849916381786418E-2</v>
      </c>
      <c r="N151" s="426"/>
    </row>
    <row r="152" spans="1:14" ht="27.75">
      <c r="A152" s="1432" t="s">
        <v>272</v>
      </c>
      <c r="B152" s="1433"/>
      <c r="C152" s="1434"/>
      <c r="D152" s="663" t="s">
        <v>194</v>
      </c>
      <c r="E152" s="595"/>
      <c r="F152" s="774"/>
      <c r="G152" s="600">
        <f>G37+G51</f>
        <v>1501.1900000000023</v>
      </c>
      <c r="H152" s="600">
        <f>G152+'[3]4'!H152</f>
        <v>7486.7999999999884</v>
      </c>
      <c r="I152" s="620"/>
      <c r="J152" s="693">
        <f>H152/DAY(B2)</f>
        <v>1497.3599999999976</v>
      </c>
      <c r="N152" s="426"/>
    </row>
    <row r="153" spans="1:14" ht="28.5" thickBot="1">
      <c r="A153" s="1435" t="s">
        <v>273</v>
      </c>
      <c r="B153" s="1436"/>
      <c r="C153" s="1437"/>
      <c r="D153" s="766" t="s">
        <v>24</v>
      </c>
      <c r="E153" s="706"/>
      <c r="F153" s="787"/>
      <c r="G153" s="707">
        <f>G152/G7</f>
        <v>8.3136179874840913E-2</v>
      </c>
      <c r="H153" s="600">
        <f>G153+'[3]4'!H153</f>
        <v>0.40769649277475051</v>
      </c>
      <c r="I153" s="709"/>
      <c r="J153" s="710">
        <f>H153/DAY(B2)</f>
        <v>8.1539298554950096E-2</v>
      </c>
      <c r="N153" s="426"/>
    </row>
    <row r="154" spans="1:14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N154" s="426"/>
    </row>
    <row r="157" spans="1:14" ht="27.75">
      <c r="A157" s="1466" t="s">
        <v>278</v>
      </c>
      <c r="B157" s="1467"/>
      <c r="C157" s="1467"/>
      <c r="D157" s="1467"/>
      <c r="E157" s="1467"/>
      <c r="F157" s="1467"/>
      <c r="G157" s="1468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'[3]4'!F160</f>
        <v>21869.789000000001</v>
      </c>
      <c r="F160" s="795">
        <v>22020.422999999999</v>
      </c>
      <c r="G160" s="613">
        <f t="shared" ref="G160:G171" si="18">F160-E160</f>
        <v>150.6339999999982</v>
      </c>
      <c r="H160" s="679">
        <v>72.86699999999837</v>
      </c>
      <c r="I160" s="680">
        <f>G160-H160</f>
        <v>77.766999999999825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'[3]4'!F161</f>
        <v>13973.157999999999</v>
      </c>
      <c r="F161" s="795">
        <v>14147.539000000001</v>
      </c>
      <c r="G161" s="613">
        <f t="shared" si="18"/>
        <v>174.38100000000122</v>
      </c>
      <c r="H161" s="679">
        <v>115.86999999999898</v>
      </c>
      <c r="I161" s="680">
        <f t="shared" ref="I161:I171" si="19">G161-H161</f>
        <v>58.511000000002241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'[3]4'!F162</f>
        <v>31173.109</v>
      </c>
      <c r="F162" s="795">
        <v>31643.850999999999</v>
      </c>
      <c r="G162" s="613">
        <f t="shared" si="18"/>
        <v>470.74199999999837</v>
      </c>
      <c r="H162" s="679">
        <v>184.81999999999971</v>
      </c>
      <c r="I162" s="680">
        <f t="shared" si="19"/>
        <v>285.92199999999866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'[3]4'!F163</f>
        <v>3083.1990999999998</v>
      </c>
      <c r="F163" s="795">
        <v>3111.78</v>
      </c>
      <c r="G163" s="613">
        <f t="shared" si="18"/>
        <v>28.580900000000383</v>
      </c>
      <c r="H163" s="679">
        <v>17.309999999999945</v>
      </c>
      <c r="I163" s="680">
        <f t="shared" si="19"/>
        <v>11.270900000000438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'[3]4'!F164</f>
        <v>20419</v>
      </c>
      <c r="F164" s="654">
        <f>F62</f>
        <v>20419</v>
      </c>
      <c r="G164" s="613">
        <f t="shared" si="18"/>
        <v>0</v>
      </c>
      <c r="H164" s="679">
        <v>0</v>
      </c>
      <c r="I164" s="680">
        <f t="shared" si="19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'[3]4'!F165</f>
        <v>375.81</v>
      </c>
      <c r="F165" s="654">
        <f t="shared" ref="F165" si="20">F63</f>
        <v>395.38346999999999</v>
      </c>
      <c r="G165" s="613">
        <f t="shared" si="18"/>
        <v>19.573469999999986</v>
      </c>
      <c r="H165" s="679">
        <v>-0.47999999999956344</v>
      </c>
      <c r="I165" s="680">
        <f t="shared" si="19"/>
        <v>20.05346999999955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'[3]4'!F166</f>
        <v>77507.73</v>
      </c>
      <c r="F166" s="654">
        <f>F64</f>
        <v>77883.743000000002</v>
      </c>
      <c r="G166" s="613">
        <f t="shared" si="18"/>
        <v>376.01300000000629</v>
      </c>
      <c r="H166" s="679">
        <v>271.15200000000186</v>
      </c>
      <c r="I166" s="680">
        <f t="shared" si="19"/>
        <v>104.86100000000442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'[3]4'!F167</f>
        <v>86703.73</v>
      </c>
      <c r="F167" s="654">
        <f t="shared" ref="F167:F171" si="21">F65</f>
        <v>87132.438999999998</v>
      </c>
      <c r="G167" s="613">
        <f t="shared" si="18"/>
        <v>428.70900000000256</v>
      </c>
      <c r="H167" s="679">
        <v>372.92000000001281</v>
      </c>
      <c r="I167" s="680">
        <f t="shared" si="19"/>
        <v>55.788999999989755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'[3]4'!F168</f>
        <v>79726.5</v>
      </c>
      <c r="F168" s="654">
        <f t="shared" si="21"/>
        <v>80121.767000000007</v>
      </c>
      <c r="G168" s="613">
        <f t="shared" si="18"/>
        <v>395.2670000000071</v>
      </c>
      <c r="H168" s="679">
        <v>384.8520000000135</v>
      </c>
      <c r="I168" s="680">
        <f>G168-H168</f>
        <v>10.414999999993597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'[3]4'!F169</f>
        <v>128562.41</v>
      </c>
      <c r="F169" s="654">
        <f t="shared" si="21"/>
        <v>129170.88</v>
      </c>
      <c r="G169" s="613">
        <f t="shared" si="18"/>
        <v>608.47000000000116</v>
      </c>
      <c r="H169" s="679">
        <v>451.52000000000407</v>
      </c>
      <c r="I169" s="680">
        <f t="shared" si="19"/>
        <v>156.94999999999709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'[3]4'!F170</f>
        <v>34639.32</v>
      </c>
      <c r="F170" s="654">
        <f t="shared" si="21"/>
        <v>34941.366999999998</v>
      </c>
      <c r="G170" s="613">
        <f t="shared" si="18"/>
        <v>302.04699999999866</v>
      </c>
      <c r="H170" s="679">
        <v>264.56499999999869</v>
      </c>
      <c r="I170" s="680">
        <f t="shared" si="19"/>
        <v>37.481999999999971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'[3]4'!F171</f>
        <v>30245.71</v>
      </c>
      <c r="F171" s="654">
        <f t="shared" si="21"/>
        <v>30460.381000000001</v>
      </c>
      <c r="G171" s="613">
        <f t="shared" si="18"/>
        <v>214.6710000000021</v>
      </c>
      <c r="H171" s="679">
        <v>137.0779999999977</v>
      </c>
      <c r="I171" s="680">
        <f t="shared" si="19"/>
        <v>77.593000000004395</v>
      </c>
    </row>
  </sheetData>
  <mergeCells count="69"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A94" sqref="A1:XFD1048576"/>
    </sheetView>
  </sheetViews>
  <sheetFormatPr defaultColWidth="22.33203125" defaultRowHeight="29.25"/>
  <cols>
    <col min="1" max="1" width="42.109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7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7" s="292" customFormat="1" ht="27">
      <c r="A2" s="716" t="s">
        <v>293</v>
      </c>
      <c r="B2" s="1195">
        <v>44141</v>
      </c>
      <c r="C2" s="1378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7" s="292" customFormat="1" ht="27">
      <c r="A3" s="711"/>
      <c r="B3" s="755"/>
      <c r="C3" s="1378" t="s">
        <v>131</v>
      </c>
      <c r="D3" s="753">
        <v>35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7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7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7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7" ht="30" thickBot="1">
      <c r="A7" s="813" t="s">
        <v>142</v>
      </c>
      <c r="B7" s="814"/>
      <c r="C7" s="814"/>
      <c r="D7" s="779" t="s">
        <v>143</v>
      </c>
      <c r="E7" s="774">
        <f>'[3]5'!F7</f>
        <v>2196896</v>
      </c>
      <c r="F7" s="595">
        <v>2215501</v>
      </c>
      <c r="G7" s="826">
        <f>F7-E7</f>
        <v>18605</v>
      </c>
      <c r="H7" s="816">
        <f>G7+'[3]5'!H7</f>
        <v>110476</v>
      </c>
      <c r="I7" s="817">
        <f>'[3]1'!I7</f>
        <v>12000</v>
      </c>
      <c r="J7" s="818">
        <f>H7/DAY(B2)</f>
        <v>18412.666666666668</v>
      </c>
      <c r="K7" s="690"/>
      <c r="L7" s="421"/>
      <c r="N7" s="864"/>
    </row>
    <row r="8" spans="1:17" ht="27.75" thickBot="1">
      <c r="A8" s="819" t="s">
        <v>144</v>
      </c>
      <c r="B8" s="820"/>
      <c r="C8" s="821"/>
      <c r="D8" s="822" t="s">
        <v>25</v>
      </c>
      <c r="E8" s="774">
        <f>'[3]5'!F8</f>
        <v>2207663</v>
      </c>
      <c r="F8" s="615">
        <v>2226361</v>
      </c>
      <c r="G8" s="826">
        <f t="shared" ref="G8:G12" si="0">F8-E8</f>
        <v>18698</v>
      </c>
      <c r="H8" s="816">
        <f>G8+'[3]5'!H8</f>
        <v>110920</v>
      </c>
      <c r="I8" s="823">
        <v>12000</v>
      </c>
      <c r="J8" s="818">
        <f>H8/DAY(B2)</f>
        <v>18486.666666666668</v>
      </c>
      <c r="K8" s="690"/>
      <c r="L8" s="479"/>
      <c r="M8" s="542"/>
      <c r="N8" s="841"/>
      <c r="O8" s="426"/>
    </row>
    <row r="9" spans="1:17">
      <c r="A9" s="824" t="s">
        <v>145</v>
      </c>
      <c r="B9" s="825"/>
      <c r="C9" s="825"/>
      <c r="D9" s="779" t="s">
        <v>143</v>
      </c>
      <c r="E9" s="776">
        <f>'[3]5'!F9</f>
        <v>2105684.9</v>
      </c>
      <c r="F9" s="618">
        <v>2123651.2999999998</v>
      </c>
      <c r="G9" s="826">
        <f t="shared" si="0"/>
        <v>17966.399999999907</v>
      </c>
      <c r="H9" s="816">
        <f>G9+'[3]5'!H9</f>
        <v>106645.99999999977</v>
      </c>
      <c r="I9" s="827">
        <f>I8-J8</f>
        <v>-6486.6666666666679</v>
      </c>
      <c r="J9" s="818">
        <f>H9/DAY(B2)</f>
        <v>17774.333333333296</v>
      </c>
      <c r="K9" s="527"/>
      <c r="L9" s="421"/>
      <c r="N9" s="426"/>
      <c r="O9" s="542"/>
    </row>
    <row r="10" spans="1:17">
      <c r="A10" s="813" t="s">
        <v>146</v>
      </c>
      <c r="B10" s="814"/>
      <c r="C10" s="814"/>
      <c r="D10" s="779" t="s">
        <v>143</v>
      </c>
      <c r="E10" s="776">
        <f>'[3]5'!F10</f>
        <v>454610</v>
      </c>
      <c r="F10" s="618">
        <v>454610</v>
      </c>
      <c r="G10" s="826">
        <f t="shared" si="0"/>
        <v>0</v>
      </c>
      <c r="H10" s="816">
        <f>G10+'[3]5'!H10</f>
        <v>0.21000000002095476</v>
      </c>
      <c r="I10" s="828"/>
      <c r="J10" s="818">
        <f>H10/DAY(B2)</f>
        <v>3.500000000349246E-2</v>
      </c>
      <c r="K10" s="527"/>
      <c r="L10" s="421"/>
      <c r="N10" s="426"/>
      <c r="O10" s="542"/>
      <c r="Q10" s="542"/>
    </row>
    <row r="11" spans="1:17">
      <c r="A11" s="813" t="s">
        <v>147</v>
      </c>
      <c r="B11" s="814"/>
      <c r="C11" s="814"/>
      <c r="D11" s="779" t="s">
        <v>143</v>
      </c>
      <c r="E11" s="774">
        <f>'[3]5'!F11</f>
        <v>35390</v>
      </c>
      <c r="F11" s="595">
        <v>35390</v>
      </c>
      <c r="G11" s="826">
        <f t="shared" si="0"/>
        <v>0</v>
      </c>
      <c r="H11" s="816">
        <f>G11+'[3]5'!H11</f>
        <v>0</v>
      </c>
      <c r="I11" s="828"/>
      <c r="J11" s="818">
        <f>H11/DAY(B2)</f>
        <v>0</v>
      </c>
      <c r="K11" s="527"/>
      <c r="L11" s="421"/>
      <c r="N11" s="426"/>
      <c r="O11" s="542"/>
      <c r="Q11" s="542"/>
    </row>
    <row r="12" spans="1:17">
      <c r="A12" s="813" t="s">
        <v>148</v>
      </c>
      <c r="B12" s="814"/>
      <c r="C12" s="814"/>
      <c r="D12" s="779" t="s">
        <v>143</v>
      </c>
      <c r="E12" s="776">
        <f>'[3]5'!F12</f>
        <v>37630</v>
      </c>
      <c r="F12" s="618">
        <v>37630</v>
      </c>
      <c r="G12" s="826">
        <f t="shared" si="0"/>
        <v>0</v>
      </c>
      <c r="H12" s="816">
        <f>G12+'[3]5'!H12</f>
        <v>0</v>
      </c>
      <c r="I12" s="828"/>
      <c r="J12" s="818">
        <f>H12/DAY(B2)</f>
        <v>0</v>
      </c>
      <c r="K12" s="527"/>
      <c r="L12" s="421"/>
      <c r="N12" s="426"/>
      <c r="O12" s="542"/>
      <c r="Q12" s="542"/>
    </row>
    <row r="13" spans="1:17">
      <c r="A13" s="829" t="s">
        <v>149</v>
      </c>
      <c r="B13" s="830"/>
      <c r="C13" s="830"/>
      <c r="D13" s="779"/>
      <c r="E13" s="774"/>
      <c r="F13" s="595"/>
      <c r="G13" s="831">
        <f>G9+G10+G11+G12</f>
        <v>17966.399999999907</v>
      </c>
      <c r="H13" s="816">
        <f>G13+'[3]5'!H13</f>
        <v>106646.20999999979</v>
      </c>
      <c r="I13" s="832">
        <f>G7-G13</f>
        <v>638.60000000009313</v>
      </c>
      <c r="J13" s="818">
        <f>H13/DAY(B2)</f>
        <v>17774.368333333299</v>
      </c>
      <c r="K13" s="527"/>
      <c r="L13" s="421"/>
      <c r="N13" s="426"/>
      <c r="O13" s="542"/>
      <c r="Q13" s="542"/>
    </row>
    <row r="14" spans="1:17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7">
      <c r="A15" s="954" t="s">
        <v>151</v>
      </c>
      <c r="B15" s="949"/>
      <c r="C15" s="949"/>
      <c r="D15" s="664" t="s">
        <v>152</v>
      </c>
      <c r="E15" s="625">
        <f>'[3]5'!F15</f>
        <v>1532561.74</v>
      </c>
      <c r="F15" s="625">
        <v>1533179.2139999999</v>
      </c>
      <c r="G15" s="613">
        <f>(F15-E15)</f>
        <v>617.47399999992922</v>
      </c>
      <c r="H15" s="626">
        <f>G15+'[3]5'!H15</f>
        <v>3064.0200000000186</v>
      </c>
      <c r="I15" s="614">
        <v>800</v>
      </c>
      <c r="J15" s="694">
        <f>H15/DAY(B2)</f>
        <v>510.67000000000309</v>
      </c>
      <c r="K15" s="527"/>
      <c r="L15" s="421"/>
      <c r="N15" s="426"/>
    </row>
    <row r="16" spans="1:17">
      <c r="A16" s="952"/>
      <c r="B16" s="953"/>
      <c r="C16" s="953"/>
      <c r="D16" s="950"/>
      <c r="E16" s="951"/>
      <c r="F16" s="625"/>
      <c r="G16" s="1199"/>
      <c r="H16" s="1214"/>
      <c r="I16" s="627">
        <f>I15-J15</f>
        <v>289.32999999999691</v>
      </c>
      <c r="J16" s="1215"/>
      <c r="K16" s="527"/>
      <c r="L16" s="421"/>
      <c r="N16" s="426"/>
    </row>
    <row r="17" spans="1:14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478" t="s">
        <v>154</v>
      </c>
      <c r="B18" s="1479"/>
      <c r="C18" s="1480"/>
      <c r="D18" s="780" t="s">
        <v>155</v>
      </c>
      <c r="E18" s="778">
        <f>'[3]5'!F18</f>
        <v>10</v>
      </c>
      <c r="F18" s="625">
        <v>11</v>
      </c>
      <c r="G18" s="826">
        <f>F18*10</f>
        <v>110</v>
      </c>
      <c r="H18" s="816">
        <f>G18+'[3]5'!H18</f>
        <v>650</v>
      </c>
      <c r="I18" s="817">
        <f>'[3]1'!I18</f>
        <v>65</v>
      </c>
      <c r="J18" s="818">
        <f>H18/DAY(B2)</f>
        <v>108.33333333333333</v>
      </c>
      <c r="K18" s="527"/>
      <c r="L18" s="421"/>
      <c r="N18" s="426"/>
    </row>
    <row r="19" spans="1:14" ht="27.75">
      <c r="A19" s="1478" t="s">
        <v>71</v>
      </c>
      <c r="B19" s="1479"/>
      <c r="C19" s="1480"/>
      <c r="D19" s="779" t="s">
        <v>155</v>
      </c>
      <c r="E19" s="776">
        <f>'[3]5'!F19</f>
        <v>128454</v>
      </c>
      <c r="F19" s="618">
        <v>128506</v>
      </c>
      <c r="G19" s="826">
        <f t="shared" ref="G19" si="1">F19-E19</f>
        <v>52</v>
      </c>
      <c r="H19" s="816">
        <f>G19+'[3]5'!H19</f>
        <v>311</v>
      </c>
      <c r="I19" s="833"/>
      <c r="J19" s="818">
        <f>H19/DAY(B2)</f>
        <v>51.833333333333336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162</v>
      </c>
      <c r="H20" s="816">
        <f>G20+'[3]5'!H20</f>
        <v>961</v>
      </c>
      <c r="I20" s="835">
        <f>I18-J20</f>
        <v>-95.166666666666657</v>
      </c>
      <c r="J20" s="818">
        <f>H20/DAY(B2)</f>
        <v>160.16666666666666</v>
      </c>
      <c r="K20" s="527"/>
      <c r="L20" s="421"/>
      <c r="N20" s="426"/>
    </row>
    <row r="21" spans="1:14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776">
        <f>'[3]5'!F22</f>
        <v>2250</v>
      </c>
      <c r="F22" s="618">
        <v>2250</v>
      </c>
      <c r="G22" s="621">
        <f t="shared" ref="G22" si="2">(F22-E22)</f>
        <v>0</v>
      </c>
      <c r="H22" s="600">
        <f>G22+'[3]5'!H22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776">
        <f>'[3]5'!F23</f>
        <v>2000</v>
      </c>
      <c r="F23" s="618">
        <v>2000</v>
      </c>
      <c r="G23" s="621">
        <v>0</v>
      </c>
      <c r="H23" s="600">
        <f>G23+'[3]5'!H23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'[3]5'!F24</f>
        <v>4250</v>
      </c>
      <c r="F24" s="625">
        <v>4250</v>
      </c>
      <c r="G24" s="621">
        <v>0</v>
      </c>
      <c r="H24" s="600">
        <f>G24+'[3]5'!H24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18698</v>
      </c>
      <c r="F27" s="641">
        <v>9.5</v>
      </c>
      <c r="G27" s="642">
        <f>E27*F27</f>
        <v>177631</v>
      </c>
      <c r="H27" s="600">
        <f>G27+'[3]5'!H27</f>
        <v>1053740</v>
      </c>
      <c r="I27" s="643"/>
      <c r="J27" s="693">
        <f>H27/DAY(B2)</f>
        <v>175623.33333333334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617.47399999992922</v>
      </c>
      <c r="F28" s="641">
        <v>36.5</v>
      </c>
      <c r="G28" s="642">
        <f t="shared" ref="G28:G31" si="3">E28*F28</f>
        <v>22537.800999997417</v>
      </c>
      <c r="H28" s="600">
        <f>G28+'[3]5'!H28</f>
        <v>111836.73000000068</v>
      </c>
      <c r="I28" s="645"/>
      <c r="J28" s="693">
        <f>H28/DAY(B2)</f>
        <v>18639.455000000115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G29+'[3]5'!H29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 t="shared" si="3"/>
        <v>7540</v>
      </c>
      <c r="H30" s="600">
        <f>G30+'[3]5'!H30</f>
        <v>45095</v>
      </c>
      <c r="I30" s="645"/>
      <c r="J30" s="693">
        <f>H30/DAY(B2)</f>
        <v>7515.833333333333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 t="shared" si="3"/>
        <v>8800</v>
      </c>
      <c r="H31" s="600">
        <f>G31+'[3]5'!H31</f>
        <v>52000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216508.80099999742</v>
      </c>
      <c r="H32" s="600">
        <f>G32+'[3]5'!H32</f>
        <v>1262671.7300000007</v>
      </c>
      <c r="I32" s="649"/>
      <c r="J32" s="693">
        <f>H32/DAY(B2)</f>
        <v>210445.28833333345</v>
      </c>
      <c r="K32" s="417"/>
      <c r="L32" s="547"/>
      <c r="N32" s="426"/>
    </row>
    <row r="33" spans="1:14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'[3]5'!F35</f>
        <v>616217</v>
      </c>
      <c r="F35" s="650">
        <v>618698.31000000006</v>
      </c>
      <c r="G35" s="613">
        <f t="shared" ref="G35:G46" si="4">F35-E35</f>
        <v>2481.3100000000559</v>
      </c>
      <c r="H35" s="600">
        <f>G35+'[3]5'!H35</f>
        <v>15354.840000000084</v>
      </c>
      <c r="I35" s="595"/>
      <c r="J35" s="693">
        <f>H35/DAY(B2)</f>
        <v>2559.140000000014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'[3]5'!F36</f>
        <v>214117.51</v>
      </c>
      <c r="F36" s="650">
        <v>214909.63</v>
      </c>
      <c r="G36" s="613">
        <f t="shared" si="4"/>
        <v>792.11999999999534</v>
      </c>
      <c r="H36" s="600">
        <f>G36+'[3]5'!H36</f>
        <v>3549.679999999993</v>
      </c>
      <c r="I36" s="595"/>
      <c r="J36" s="693">
        <f>H36/DAY(B2)</f>
        <v>591.61333333333221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'[3]5'!F37</f>
        <v>407330.99</v>
      </c>
      <c r="F37" s="650">
        <v>408847.43</v>
      </c>
      <c r="G37" s="613">
        <f t="shared" si="4"/>
        <v>1516.4400000000023</v>
      </c>
      <c r="H37" s="600">
        <f>G37+'[3]5'!H37</f>
        <v>9003.2399999999907</v>
      </c>
      <c r="I37" s="595"/>
      <c r="J37" s="693">
        <f>H37/DAY(B2)</f>
        <v>1500.5399999999984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'[3]5'!F38</f>
        <v>150714.20000000001</v>
      </c>
      <c r="F38" s="609">
        <v>150714.38</v>
      </c>
      <c r="G38" s="613">
        <f t="shared" si="4"/>
        <v>0.17999999999301508</v>
      </c>
      <c r="H38" s="600">
        <f>G38+'[3]5'!H38</f>
        <v>0.38000000000465661</v>
      </c>
      <c r="I38" s="595"/>
      <c r="J38" s="693">
        <f>H38/DAY(B2)</f>
        <v>6.333333333410944E-2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'[3]5'!F39</f>
        <v>891743.91</v>
      </c>
      <c r="F39" s="650">
        <v>895612.87</v>
      </c>
      <c r="G39" s="613">
        <f t="shared" si="4"/>
        <v>3868.9599999999627</v>
      </c>
      <c r="H39" s="600">
        <f>G39+'[3]5'!H39</f>
        <v>23488.160000000033</v>
      </c>
      <c r="I39" s="595"/>
      <c r="J39" s="693">
        <f>H39/DAY(B2)</f>
        <v>3914.6933333333386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'[3]5'!F40</f>
        <v>0.17</v>
      </c>
      <c r="F40" s="650">
        <v>0.17</v>
      </c>
      <c r="G40" s="613">
        <f t="shared" si="4"/>
        <v>0</v>
      </c>
      <c r="H40" s="600">
        <f>G40+'[3]5'!H40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'[3]5'!F41</f>
        <v>300127.90000000002</v>
      </c>
      <c r="F41" s="650">
        <v>300127.90000000002</v>
      </c>
      <c r="G41" s="613">
        <f>F41-E41</f>
        <v>0</v>
      </c>
      <c r="H41" s="600">
        <f>G41+'[3]5'!H41</f>
        <v>-6.9999999948777258E-2</v>
      </c>
      <c r="I41" s="595"/>
      <c r="J41" s="693">
        <f>H41/DAY(B2)</f>
        <v>-1.1666666658129543E-2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'[3]5'!F42</f>
        <v>396197.4</v>
      </c>
      <c r="F42" s="650">
        <v>396197.4</v>
      </c>
      <c r="G42" s="613">
        <f t="shared" si="4"/>
        <v>0</v>
      </c>
      <c r="H42" s="600">
        <f>G42+'[3]5'!H42</f>
        <v>-6.9999999948777258E-2</v>
      </c>
      <c r="I42" s="595"/>
      <c r="J42" s="693">
        <f>H42/DAY(B2)</f>
        <v>-1.1666666658129543E-2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'[3]5'!F43</f>
        <v>570158.31000000006</v>
      </c>
      <c r="F43" s="650">
        <v>572565.15</v>
      </c>
      <c r="G43" s="613">
        <f t="shared" si="4"/>
        <v>2406.8399999999674</v>
      </c>
      <c r="H43" s="600">
        <f>G43+'[3]5'!H43</f>
        <v>14241.080000000075</v>
      </c>
      <c r="I43" s="595"/>
      <c r="J43" s="693">
        <f>H43/DAY(B2)</f>
        <v>2373.5133333333456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'[3]5'!F44</f>
        <v>0</v>
      </c>
      <c r="F44" s="650">
        <v>0</v>
      </c>
      <c r="G44" s="613">
        <f t="shared" si="4"/>
        <v>0</v>
      </c>
      <c r="H44" s="600">
        <f>G44+'[3]5'!H44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'[3]5'!F45</f>
        <v>614</v>
      </c>
      <c r="F45" s="650">
        <v>614</v>
      </c>
      <c r="G45" s="613">
        <f t="shared" si="4"/>
        <v>0</v>
      </c>
      <c r="H45" s="600">
        <f>G45+'[3]5'!H45</f>
        <v>-0.48000000000001819</v>
      </c>
      <c r="I45" s="595"/>
      <c r="J45" s="693">
        <f>H45/DAY(B2)</f>
        <v>-8.0000000000003027E-2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'[3]5'!F46</f>
        <v>187</v>
      </c>
      <c r="F46" s="650">
        <v>187</v>
      </c>
      <c r="G46" s="613">
        <f t="shared" si="4"/>
        <v>0</v>
      </c>
      <c r="H46" s="600">
        <f>G46+'[3]5'!H46</f>
        <v>-0.49000000000000909</v>
      </c>
      <c r="I46" s="595"/>
      <c r="J46" s="693">
        <f>H46/DAY(B2)</f>
        <v>-8.1666666666668178E-2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11065.849999999977</v>
      </c>
      <c r="H47" s="600">
        <f>G47+'[3]5'!H47</f>
        <v>65636.270000000281</v>
      </c>
      <c r="I47" s="595"/>
      <c r="J47" s="693">
        <f>H47/DAY(B2)</f>
        <v>10939.378333333379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'[3]5'!F49</f>
        <v>11728.838</v>
      </c>
      <c r="F49" s="650">
        <v>11728.38</v>
      </c>
      <c r="G49" s="613">
        <f t="shared" ref="G49:G58" si="5">F49-E49</f>
        <v>-0.45800000000053842</v>
      </c>
      <c r="H49" s="600">
        <f>G49+'[3]5'!H49</f>
        <v>-0.45800000000053842</v>
      </c>
      <c r="I49" s="595"/>
      <c r="J49" s="693">
        <f>H49/DAY(B2)</f>
        <v>-7.633333333342307E-2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'[3]5'!F50</f>
        <v>268767.84999999998</v>
      </c>
      <c r="F50" s="650">
        <v>269690.23</v>
      </c>
      <c r="G50" s="613">
        <f t="shared" si="5"/>
        <v>922.38000000000466</v>
      </c>
      <c r="H50" s="600">
        <f>G50+'[3]5'!H50</f>
        <v>5883.6599999999744</v>
      </c>
      <c r="I50" s="595"/>
      <c r="J50" s="693">
        <f>H50/DAY(B2)</f>
        <v>980.60999999999569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'[3]5'!F51</f>
        <v>0</v>
      </c>
      <c r="F51" s="650">
        <v>0</v>
      </c>
      <c r="G51" s="613">
        <f t="shared" si="5"/>
        <v>0</v>
      </c>
      <c r="H51" s="600">
        <f>G51+'[3]5'!H51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'[3]5'!F52</f>
        <v>327392.78999999998</v>
      </c>
      <c r="F52" s="650">
        <v>329160.19</v>
      </c>
      <c r="G52" s="613">
        <f t="shared" si="5"/>
        <v>1767.4000000000233</v>
      </c>
      <c r="H52" s="600">
        <f>G52+'[3]5'!H52</f>
        <v>10495.5</v>
      </c>
      <c r="I52" s="595"/>
      <c r="J52" s="693">
        <f>H52/DAY(B2)</f>
        <v>1749.25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'[3]5'!F53</f>
        <v>16071</v>
      </c>
      <c r="F53" s="650">
        <v>16071</v>
      </c>
      <c r="G53" s="613">
        <f t="shared" si="5"/>
        <v>0</v>
      </c>
      <c r="H53" s="600">
        <f>G53+'[3]5'!H53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'[3]5'!F54</f>
        <v>1767.2130999999999</v>
      </c>
      <c r="F54" s="650">
        <v>1842.5495000000001</v>
      </c>
      <c r="G54" s="613">
        <f t="shared" si="5"/>
        <v>75.33640000000014</v>
      </c>
      <c r="H54" s="600">
        <f>G54+'[3]5'!H54</f>
        <v>438.88450000000012</v>
      </c>
      <c r="I54" s="595"/>
      <c r="J54" s="693">
        <f>H54/DAY(B2)</f>
        <v>73.147416666666686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'[3]5'!F55</f>
        <v>158492.73000000001</v>
      </c>
      <c r="F55" s="790">
        <v>158492.73000000001</v>
      </c>
      <c r="G55" s="789">
        <f t="shared" si="5"/>
        <v>0</v>
      </c>
      <c r="H55" s="861">
        <f>G55+'[3]5'!H55</f>
        <v>-0.26999999998952262</v>
      </c>
      <c r="I55" s="862"/>
      <c r="J55" s="863">
        <f>H55/DAY(B2)</f>
        <v>-4.499999999825377E-2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'[3]5'!F56</f>
        <v>324694.28999999998</v>
      </c>
      <c r="F56" s="790">
        <v>328865.15000000002</v>
      </c>
      <c r="G56" s="613">
        <f t="shared" si="5"/>
        <v>4170.8600000000442</v>
      </c>
      <c r="H56" s="600">
        <f>G56+'[3]5'!H56</f>
        <v>24875.360000000044</v>
      </c>
      <c r="I56" s="595"/>
      <c r="J56" s="693">
        <f>H56/DAY(B2)</f>
        <v>4145.8933333333407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'[3]5'!F57</f>
        <v>0</v>
      </c>
      <c r="F57" s="650">
        <v>0</v>
      </c>
      <c r="G57" s="613">
        <f t="shared" si="5"/>
        <v>0</v>
      </c>
      <c r="H57" s="600">
        <f>G57+'[3]5'!H57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'[3]5'!F58</f>
        <v>17806.665000000001</v>
      </c>
      <c r="F58" s="790">
        <v>17990.683000000001</v>
      </c>
      <c r="G58" s="613">
        <f t="shared" si="5"/>
        <v>184.01800000000003</v>
      </c>
      <c r="H58" s="600">
        <f>G58+'[3]5'!H58</f>
        <v>526.41200000000026</v>
      </c>
      <c r="I58" s="595"/>
      <c r="J58" s="693">
        <f>H58/DAY(B2)</f>
        <v>87.735333333333372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7119.5364000000718</v>
      </c>
      <c r="H59" s="600">
        <f>G59+'[3]5'!H59</f>
        <v>42219.088500000027</v>
      </c>
      <c r="I59" s="595">
        <f>G7-G60</f>
        <v>419.61359999995329</v>
      </c>
      <c r="J59" s="693">
        <f>H59/DAY(B2)</f>
        <v>7036.5147500000048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18185.386400000047</v>
      </c>
      <c r="H60" s="600">
        <f>G60+'[3]5'!H60</f>
        <v>107855.35850000032</v>
      </c>
      <c r="I60" s="595">
        <f>G13-G60</f>
        <v>-218.98640000013984</v>
      </c>
      <c r="J60" s="693">
        <f>H60/DAY(B2)</f>
        <v>17975.893083333387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'[3]5'!F62</f>
        <v>20419</v>
      </c>
      <c r="F62" s="654">
        <v>20419</v>
      </c>
      <c r="G62" s="613">
        <f t="shared" ref="G62:G69" si="6">F62-E62</f>
        <v>0</v>
      </c>
      <c r="H62" s="600">
        <f>G62+'[3]5'!H62</f>
        <v>-0.3779999999969732</v>
      </c>
      <c r="I62" s="655"/>
      <c r="J62" s="693">
        <f>H62/DAY(B2)</f>
        <v>-6.2999999999495529E-2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'[3]5'!F63</f>
        <v>395.38346999999999</v>
      </c>
      <c r="F63" s="654">
        <v>414.94</v>
      </c>
      <c r="G63" s="613">
        <f t="shared" si="6"/>
        <v>19.556530000000009</v>
      </c>
      <c r="H63" s="600">
        <f>G63+'[3]5'!H63</f>
        <v>116.48000000000002</v>
      </c>
      <c r="I63" s="655"/>
      <c r="J63" s="693">
        <f>H63/DAY(B2)</f>
        <v>19.413333333333338</v>
      </c>
      <c r="K63" s="527"/>
      <c r="L63" s="421"/>
      <c r="N63" s="426"/>
    </row>
    <row r="64" spans="1:14" ht="27.75">
      <c r="A64" s="1429" t="s">
        <v>107</v>
      </c>
      <c r="B64" s="1430"/>
      <c r="C64" s="1431"/>
      <c r="D64" s="663" t="s">
        <v>198</v>
      </c>
      <c r="E64" s="624">
        <f>'[3]5'!F64</f>
        <v>77883.743000000002</v>
      </c>
      <c r="F64" s="618">
        <v>78247.510999999999</v>
      </c>
      <c r="G64" s="613">
        <f t="shared" si="6"/>
        <v>363.76799999999639</v>
      </c>
      <c r="H64" s="600">
        <f>G64+'[3]5'!H64</f>
        <v>2184.4239999999991</v>
      </c>
      <c r="I64" s="620"/>
      <c r="J64" s="693">
        <f>H64/DAY(B2)</f>
        <v>364.07066666666651</v>
      </c>
      <c r="K64" s="527"/>
      <c r="L64" s="421"/>
      <c r="N64" s="426"/>
    </row>
    <row r="65" spans="1:14" ht="27.75">
      <c r="A65" s="1429" t="s">
        <v>108</v>
      </c>
      <c r="B65" s="1430"/>
      <c r="C65" s="1431"/>
      <c r="D65" s="663" t="s">
        <v>198</v>
      </c>
      <c r="E65" s="624">
        <f>'[3]5'!F65</f>
        <v>87132.438999999998</v>
      </c>
      <c r="F65" s="788">
        <v>87506.175000000003</v>
      </c>
      <c r="G65" s="613">
        <f t="shared" si="6"/>
        <v>373.73600000000442</v>
      </c>
      <c r="H65" s="600">
        <f>G65+'[3]5'!H65</f>
        <v>2346.9119999999966</v>
      </c>
      <c r="I65" s="629"/>
      <c r="J65" s="693">
        <f>H65/DAY(B2)</f>
        <v>391.15199999999942</v>
      </c>
      <c r="K65" s="527"/>
      <c r="L65" s="421"/>
      <c r="N65" s="426"/>
    </row>
    <row r="66" spans="1:14" ht="27.75">
      <c r="A66" s="1429" t="s">
        <v>109</v>
      </c>
      <c r="B66" s="1430"/>
      <c r="C66" s="1431"/>
      <c r="D66" s="663" t="s">
        <v>198</v>
      </c>
      <c r="E66" s="624">
        <f>'[3]5'!F66</f>
        <v>80121.767000000007</v>
      </c>
      <c r="F66" s="618">
        <v>80504.095000000001</v>
      </c>
      <c r="G66" s="613">
        <f t="shared" si="6"/>
        <v>382.32799999999406</v>
      </c>
      <c r="H66" s="600">
        <f>G66+'[3]5'!H66</f>
        <v>2316.1370000000024</v>
      </c>
      <c r="I66" s="620"/>
      <c r="J66" s="693">
        <f>H66/DAY(B2)</f>
        <v>386.02283333333372</v>
      </c>
      <c r="K66" s="527"/>
      <c r="L66" s="421"/>
      <c r="N66" s="426"/>
    </row>
    <row r="67" spans="1:14" ht="27.75">
      <c r="A67" s="1429" t="s">
        <v>110</v>
      </c>
      <c r="B67" s="1430"/>
      <c r="C67" s="1431"/>
      <c r="D67" s="663" t="s">
        <v>198</v>
      </c>
      <c r="E67" s="624">
        <f>'[3]5'!F67</f>
        <v>129170.88</v>
      </c>
      <c r="F67" s="618">
        <v>129809.24</v>
      </c>
      <c r="G67" s="613">
        <f t="shared" si="6"/>
        <v>638.36000000000058</v>
      </c>
      <c r="H67" s="600">
        <f>G67+'[3]5'!H67</f>
        <v>3752.7400000000052</v>
      </c>
      <c r="I67" s="629"/>
      <c r="J67" s="693">
        <f>H67/DAY(B2)</f>
        <v>625.4566666666675</v>
      </c>
      <c r="K67" s="528"/>
      <c r="L67" s="421"/>
      <c r="N67" s="426"/>
    </row>
    <row r="68" spans="1:14" ht="27.75">
      <c r="A68" s="1429" t="s">
        <v>111</v>
      </c>
      <c r="B68" s="1430"/>
      <c r="C68" s="1431"/>
      <c r="D68" s="663" t="s">
        <v>198</v>
      </c>
      <c r="E68" s="624">
        <f>'[3]5'!F68</f>
        <v>34941.366999999998</v>
      </c>
      <c r="F68" s="618">
        <v>35253.822999999997</v>
      </c>
      <c r="G68" s="613">
        <f t="shared" si="6"/>
        <v>312.45599999999831</v>
      </c>
      <c r="H68" s="600">
        <f>G68+'[3]5'!H68</f>
        <v>1853.9539999999979</v>
      </c>
      <c r="I68" s="656"/>
      <c r="J68" s="693">
        <f>H68/DAY(B2)</f>
        <v>308.99233333333297</v>
      </c>
      <c r="K68" s="529"/>
      <c r="L68" s="421"/>
      <c r="N68" s="426"/>
    </row>
    <row r="69" spans="1:14" ht="27.75">
      <c r="A69" s="1429" t="s">
        <v>112</v>
      </c>
      <c r="B69" s="1430"/>
      <c r="C69" s="1431"/>
      <c r="D69" s="663" t="s">
        <v>198</v>
      </c>
      <c r="E69" s="624">
        <f>'[3]5'!F69</f>
        <v>30460.381000000001</v>
      </c>
      <c r="F69" s="618">
        <v>30670.811000000002</v>
      </c>
      <c r="G69" s="613">
        <f t="shared" si="6"/>
        <v>210.43000000000029</v>
      </c>
      <c r="H69" s="600">
        <f>G69+'[3]5'!H69</f>
        <v>1418.4459999999999</v>
      </c>
      <c r="I69" s="656"/>
      <c r="J69" s="693">
        <f>H69/DAY(B2)</f>
        <v>236.40766666666664</v>
      </c>
      <c r="K69" s="530"/>
      <c r="L69" s="421"/>
      <c r="N69" s="426"/>
    </row>
    <row r="70" spans="1:14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</row>
    <row r="72" spans="1:14" ht="27.75">
      <c r="A72" s="1429" t="s">
        <v>202</v>
      </c>
      <c r="B72" s="1430"/>
      <c r="C72" s="1431"/>
      <c r="D72" s="663" t="s">
        <v>198</v>
      </c>
      <c r="E72" s="659">
        <f>'[3]5'!F72</f>
        <v>843966</v>
      </c>
      <c r="F72" s="791">
        <v>843974</v>
      </c>
      <c r="G72" s="613">
        <f t="shared" ref="G72:G84" si="7">F72-E72</f>
        <v>8</v>
      </c>
      <c r="H72" s="600">
        <f>G72+'[3]5'!H72</f>
        <v>41</v>
      </c>
      <c r="I72" s="620"/>
      <c r="J72" s="693">
        <f>H72/DAY(B2)</f>
        <v>6.833333333333333</v>
      </c>
      <c r="K72" s="530"/>
      <c r="L72" s="421"/>
      <c r="N72" s="426"/>
    </row>
    <row r="73" spans="1:14" ht="27.75">
      <c r="A73" s="1429" t="s">
        <v>203</v>
      </c>
      <c r="B73" s="1430"/>
      <c r="C73" s="1431"/>
      <c r="D73" s="663" t="s">
        <v>198</v>
      </c>
      <c r="E73" s="660">
        <f>'[3]5'!F73</f>
        <v>885219</v>
      </c>
      <c r="F73" s="792">
        <v>885220</v>
      </c>
      <c r="G73" s="789">
        <f t="shared" si="7"/>
        <v>1</v>
      </c>
      <c r="H73" s="600">
        <f>G73+'[3]5'!H73</f>
        <v>5</v>
      </c>
      <c r="I73" s="620"/>
      <c r="J73" s="693">
        <f>H73/DAY(B2)</f>
        <v>0.83333333333333337</v>
      </c>
      <c r="K73" s="529"/>
      <c r="L73" s="421"/>
      <c r="N73" s="426"/>
    </row>
    <row r="74" spans="1:14" ht="27.75">
      <c r="A74" s="1429" t="s">
        <v>204</v>
      </c>
      <c r="B74" s="1430"/>
      <c r="C74" s="1431"/>
      <c r="D74" s="663" t="s">
        <v>198</v>
      </c>
      <c r="E74" s="661">
        <f>'[3]5'!F74</f>
        <v>879719</v>
      </c>
      <c r="F74" s="791">
        <v>879736</v>
      </c>
      <c r="G74" s="613">
        <f t="shared" si="7"/>
        <v>17</v>
      </c>
      <c r="H74" s="600">
        <f>G74+'[3]5'!H74</f>
        <v>100</v>
      </c>
      <c r="I74" s="620"/>
      <c r="J74" s="693">
        <f>H74/DAY(B2)</f>
        <v>16.666666666666668</v>
      </c>
      <c r="K74" s="530"/>
      <c r="L74" s="421"/>
      <c r="N74" s="426"/>
    </row>
    <row r="75" spans="1:14" ht="27.75">
      <c r="A75" s="1408" t="s">
        <v>205</v>
      </c>
      <c r="B75" s="1409"/>
      <c r="C75" s="1410"/>
      <c r="D75" s="663" t="s">
        <v>198</v>
      </c>
      <c r="E75" s="660">
        <f>'[3]5'!F75</f>
        <v>722155</v>
      </c>
      <c r="F75" s="792">
        <v>722305</v>
      </c>
      <c r="G75" s="613">
        <f t="shared" si="7"/>
        <v>150</v>
      </c>
      <c r="H75" s="600">
        <f>G75+'[3]5'!H75</f>
        <v>939</v>
      </c>
      <c r="I75" s="620"/>
      <c r="J75" s="693">
        <f>H75/DAY(B2)</f>
        <v>156.5</v>
      </c>
      <c r="K75" s="529"/>
      <c r="L75" s="421"/>
      <c r="N75" s="426"/>
    </row>
    <row r="76" spans="1:14" s="543" customFormat="1" ht="27.75">
      <c r="A76" s="1405" t="s">
        <v>206</v>
      </c>
      <c r="B76" s="1406"/>
      <c r="C76" s="1407"/>
      <c r="D76" s="768" t="s">
        <v>198</v>
      </c>
      <c r="E76" s="660">
        <f>'[3]5'!F76</f>
        <v>679975</v>
      </c>
      <c r="F76" s="792">
        <v>680050</v>
      </c>
      <c r="G76" s="789">
        <f t="shared" si="7"/>
        <v>75</v>
      </c>
      <c r="H76" s="861">
        <f>G76+'[3]5'!H76</f>
        <v>398</v>
      </c>
      <c r="I76" s="1385"/>
      <c r="J76" s="863">
        <f>H76/DAY(B2)</f>
        <v>66.333333333333329</v>
      </c>
      <c r="K76" s="1696"/>
      <c r="L76" s="1272"/>
      <c r="N76" s="869"/>
    </row>
    <row r="77" spans="1:14" ht="27.75">
      <c r="A77" s="1429" t="s">
        <v>207</v>
      </c>
      <c r="B77" s="1430"/>
      <c r="C77" s="1431"/>
      <c r="D77" s="663" t="s">
        <v>198</v>
      </c>
      <c r="E77" s="660">
        <f>'[3]5'!F77</f>
        <v>692512</v>
      </c>
      <c r="F77" s="792">
        <v>692554</v>
      </c>
      <c r="G77" s="789">
        <f t="shared" si="7"/>
        <v>42</v>
      </c>
      <c r="H77" s="600">
        <f>G77+'[3]5'!H77</f>
        <v>247</v>
      </c>
      <c r="I77" s="645"/>
      <c r="J77" s="693">
        <f>H77/DAY(B2)</f>
        <v>41.166666666666664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'[3]5'!F78</f>
        <v>609421</v>
      </c>
      <c r="F78" s="793">
        <v>609738</v>
      </c>
      <c r="G78" s="613">
        <f t="shared" si="7"/>
        <v>317</v>
      </c>
      <c r="H78" s="600">
        <f>G78+'[3]5'!H78</f>
        <v>1724</v>
      </c>
      <c r="I78" s="645"/>
      <c r="J78" s="693">
        <f>H78/DAY(B2)</f>
        <v>287.33333333333331</v>
      </c>
      <c r="K78" s="529"/>
      <c r="L78" s="421"/>
      <c r="N78" s="426"/>
    </row>
    <row r="79" spans="1:14" ht="27.75">
      <c r="A79" s="1408" t="s">
        <v>97</v>
      </c>
      <c r="B79" s="1409"/>
      <c r="C79" s="1410"/>
      <c r="D79" s="664" t="s">
        <v>198</v>
      </c>
      <c r="E79" s="661">
        <f>'[3]5'!F79</f>
        <v>793601</v>
      </c>
      <c r="F79" s="793">
        <v>793765</v>
      </c>
      <c r="G79" s="613">
        <f t="shared" si="7"/>
        <v>164</v>
      </c>
      <c r="H79" s="600">
        <f>G79+'[3]5'!H79</f>
        <v>977</v>
      </c>
      <c r="I79" s="645"/>
      <c r="J79" s="693">
        <f>H79/DAY(B2)</f>
        <v>162.83333333333334</v>
      </c>
      <c r="K79" s="529"/>
      <c r="L79" s="421"/>
      <c r="N79" s="426"/>
    </row>
    <row r="80" spans="1:14" ht="27.75">
      <c r="A80" s="1408" t="s">
        <v>209</v>
      </c>
      <c r="B80" s="1409"/>
      <c r="C80" s="1410"/>
      <c r="D80" s="664" t="s">
        <v>198</v>
      </c>
      <c r="E80" s="660">
        <f>'[3]5'!F80</f>
        <v>458275</v>
      </c>
      <c r="F80" s="792">
        <v>458541.16</v>
      </c>
      <c r="G80" s="613">
        <f t="shared" si="7"/>
        <v>266.15999999997439</v>
      </c>
      <c r="H80" s="600">
        <f>G80+'[3]5'!H80</f>
        <v>1676.1199999999953</v>
      </c>
      <c r="I80" s="645"/>
      <c r="J80" s="693">
        <f>H80/DAY(B2)</f>
        <v>279.35333333333256</v>
      </c>
      <c r="K80" s="529"/>
      <c r="L80" s="421"/>
      <c r="N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'[3]5'!F81</f>
        <v>611590</v>
      </c>
      <c r="F81" s="792">
        <v>611708.64</v>
      </c>
      <c r="G81" s="613">
        <f t="shared" si="7"/>
        <v>118.64000000001397</v>
      </c>
      <c r="H81" s="600">
        <f>G81+'[3]5'!H81</f>
        <v>586.35999999998603</v>
      </c>
      <c r="I81" s="645"/>
      <c r="J81" s="693">
        <f>H81/DAY(B2)</f>
        <v>97.726666666664343</v>
      </c>
      <c r="K81" s="529"/>
      <c r="L81" s="421"/>
      <c r="N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'[3]5'!F82</f>
        <v>103123.92</v>
      </c>
      <c r="F82" s="788">
        <v>103129.03</v>
      </c>
      <c r="G82" s="613">
        <f t="shared" si="7"/>
        <v>5.1100000000005821</v>
      </c>
      <c r="H82" s="600">
        <f>G82+'[3]5'!H82</f>
        <v>99.080000000001746</v>
      </c>
      <c r="I82" s="626"/>
      <c r="J82" s="693">
        <f>H82/DAY(B2)</f>
        <v>16.513333333333623</v>
      </c>
      <c r="K82" s="529"/>
      <c r="L82" s="421"/>
      <c r="N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'[3]5'!F83</f>
        <v>954096</v>
      </c>
      <c r="F83" s="651">
        <v>954485</v>
      </c>
      <c r="G83" s="613">
        <f t="shared" si="7"/>
        <v>389</v>
      </c>
      <c r="H83" s="600">
        <f>G83+'[3]5'!H83</f>
        <v>2242</v>
      </c>
      <c r="I83" s="621"/>
      <c r="J83" s="693">
        <f>H83/DAY(B2)</f>
        <v>373.66666666666669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'[3]5'!F84</f>
        <v>369362</v>
      </c>
      <c r="F84" s="768">
        <v>369978</v>
      </c>
      <c r="G84" s="613">
        <f t="shared" si="7"/>
        <v>616</v>
      </c>
      <c r="H84" s="600">
        <f>G84+'[3]5'!H84</f>
        <v>3545</v>
      </c>
      <c r="I84" s="621"/>
      <c r="J84" s="693">
        <f>H84/DAY(B2)</f>
        <v>590.83333333333337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2168.9099999999889</v>
      </c>
      <c r="H85" s="600">
        <f>G85+'[3]5'!H85</f>
        <v>10914.819999999978</v>
      </c>
      <c r="I85" s="621"/>
      <c r="J85" s="693">
        <f>H85/DAY(B2)</f>
        <v>1819.1366666666629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'[3]5'!F86</f>
        <v>437572</v>
      </c>
      <c r="F86" s="784">
        <v>437690.04</v>
      </c>
      <c r="G86" s="861">
        <f t="shared" ref="G86:G90" si="8">F86-E86</f>
        <v>118.03999999997905</v>
      </c>
      <c r="H86" s="861">
        <f t="shared" ref="H86:H88" si="9">G86</f>
        <v>118.03999999997905</v>
      </c>
      <c r="I86" s="789"/>
      <c r="J86" s="863">
        <f>H86/DAY(B2)</f>
        <v>19.67333333332984</v>
      </c>
      <c r="K86" s="889"/>
      <c r="L86" s="890"/>
      <c r="O86" s="869"/>
    </row>
    <row r="87" spans="1:15" s="891" customFormat="1">
      <c r="A87" s="1697" t="s">
        <v>103</v>
      </c>
      <c r="B87" s="887"/>
      <c r="C87" s="887"/>
      <c r="D87" s="888" t="s">
        <v>194</v>
      </c>
      <c r="E87" s="768">
        <f>'[3]5'!F87</f>
        <v>76253</v>
      </c>
      <c r="F87" s="784">
        <v>76260</v>
      </c>
      <c r="G87" s="861">
        <f t="shared" si="8"/>
        <v>7</v>
      </c>
      <c r="H87" s="861">
        <f t="shared" si="9"/>
        <v>7</v>
      </c>
      <c r="I87" s="789"/>
      <c r="J87" s="863">
        <f>H87/DAY(B2)</f>
        <v>1.1666666666666667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'[3]5'!F88</f>
        <v>140419</v>
      </c>
      <c r="F88" s="784">
        <v>140491.20000000001</v>
      </c>
      <c r="G88" s="861">
        <f t="shared" si="8"/>
        <v>72.200000000011642</v>
      </c>
      <c r="H88" s="861">
        <f t="shared" si="9"/>
        <v>72.200000000011642</v>
      </c>
      <c r="I88" s="789"/>
      <c r="J88" s="863">
        <f>H88/DAY(B2)</f>
        <v>12.033333333335273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'[3]5'!F89</f>
        <v>54353</v>
      </c>
      <c r="F89" s="784">
        <v>54425</v>
      </c>
      <c r="G89" s="861">
        <f t="shared" si="8"/>
        <v>72</v>
      </c>
      <c r="H89" s="861">
        <f>G89</f>
        <v>72</v>
      </c>
      <c r="I89" s="789"/>
      <c r="J89" s="863">
        <f>H89/DAY(B2)</f>
        <v>12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'[3]5'!F90</f>
        <v>2803</v>
      </c>
      <c r="F90" s="784">
        <v>2808.7</v>
      </c>
      <c r="G90" s="861">
        <f t="shared" si="8"/>
        <v>5.6999999999998181</v>
      </c>
      <c r="H90" s="861">
        <f>G90</f>
        <v>5.6999999999998181</v>
      </c>
      <c r="I90" s="789"/>
      <c r="J90" s="863">
        <f>H90/DAY(B2)</f>
        <v>0.94999999999996965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'[3]5'!F92</f>
        <v>229035</v>
      </c>
      <c r="F92" s="618">
        <v>229140</v>
      </c>
      <c r="G92" s="613">
        <f t="shared" ref="G92:G93" si="10">F92-E92</f>
        <v>105</v>
      </c>
      <c r="H92" s="600">
        <f>G92+'[3]5'!H92</f>
        <v>545</v>
      </c>
      <c r="I92" s="620"/>
      <c r="J92" s="693">
        <f>H92/DAY(B2)</f>
        <v>90.833333333333329</v>
      </c>
      <c r="K92" s="528"/>
      <c r="L92" s="421"/>
      <c r="N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'[3]5'!F93</f>
        <v>159463</v>
      </c>
      <c r="F93" s="618">
        <v>159626</v>
      </c>
      <c r="G93" s="613">
        <f t="shared" si="10"/>
        <v>163</v>
      </c>
      <c r="H93" s="600">
        <f>G93+'[3]5'!H93</f>
        <v>1103</v>
      </c>
      <c r="I93" s="620"/>
      <c r="J93" s="693">
        <f>H93/DAY(B2)</f>
        <v>183.83333333333334</v>
      </c>
      <c r="K93" s="424"/>
      <c r="L93" s="421"/>
      <c r="N93" s="426"/>
    </row>
    <row r="94" spans="1:15">
      <c r="A94" s="1460" t="s">
        <v>219</v>
      </c>
      <c r="B94" s="1461"/>
      <c r="C94" s="1462"/>
      <c r="D94" s="663"/>
      <c r="E94" s="624">
        <f>'[3]5'!F94</f>
        <v>0</v>
      </c>
      <c r="F94" s="618"/>
      <c r="G94" s="613">
        <f>G92+G93</f>
        <v>268</v>
      </c>
      <c r="H94" s="600">
        <f>G94+'[3]5'!H94</f>
        <v>1358</v>
      </c>
      <c r="I94" s="620"/>
      <c r="J94" s="693">
        <f>H94/DAY(B2)</f>
        <v>226.33333333333334</v>
      </c>
      <c r="K94" s="424"/>
      <c r="L94" s="421"/>
      <c r="N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'[3]5'!F95</f>
        <v>400126</v>
      </c>
      <c r="F95" s="618">
        <v>400198</v>
      </c>
      <c r="G95" s="613">
        <f t="shared" ref="G95:G100" si="11">F95-E95</f>
        <v>72</v>
      </c>
      <c r="H95" s="600">
        <f>G95+'[3]5'!H95</f>
        <v>351</v>
      </c>
      <c r="I95" s="620"/>
      <c r="J95" s="693">
        <f>H95/DAY(B2)</f>
        <v>58.5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'[3]5'!F96</f>
        <v>98266</v>
      </c>
      <c r="F96" s="618">
        <v>98310</v>
      </c>
      <c r="G96" s="613">
        <f t="shared" si="11"/>
        <v>44</v>
      </c>
      <c r="H96" s="600">
        <f>G96+'[3]5'!H96</f>
        <v>301</v>
      </c>
      <c r="I96" s="620"/>
      <c r="J96" s="693">
        <f>H96/DAY(B2)</f>
        <v>50.166666666666664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'[3]5'!F97</f>
        <v>93632</v>
      </c>
      <c r="F97" s="618">
        <v>93701</v>
      </c>
      <c r="G97" s="613">
        <f t="shared" si="11"/>
        <v>69</v>
      </c>
      <c r="H97" s="600">
        <f>G97+'[3]5'!H97</f>
        <v>150</v>
      </c>
      <c r="I97" s="620"/>
      <c r="J97" s="693">
        <f>H97/DAY(B2)</f>
        <v>25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'[3]5'!F98</f>
        <v>141109</v>
      </c>
      <c r="F98" s="618">
        <v>141149</v>
      </c>
      <c r="G98" s="613">
        <f t="shared" si="11"/>
        <v>40</v>
      </c>
      <c r="H98" s="600">
        <f>G98+'[3]5'!H98</f>
        <v>244</v>
      </c>
      <c r="I98" s="620"/>
      <c r="J98" s="693">
        <f>H98/DAY(B2)</f>
        <v>40.666666666666664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'[3]5'!F99</f>
        <v>4768</v>
      </c>
      <c r="F99" s="618">
        <v>4773</v>
      </c>
      <c r="G99" s="613">
        <f t="shared" si="11"/>
        <v>5</v>
      </c>
      <c r="H99" s="600">
        <f>G99+'[3]5'!H99</f>
        <v>65</v>
      </c>
      <c r="I99" s="620"/>
      <c r="J99" s="693">
        <f>H99/DAY(B2)</f>
        <v>10.833333333333334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'[3]5'!F100</f>
        <v>3674</v>
      </c>
      <c r="F100" s="618">
        <v>3674</v>
      </c>
      <c r="G100" s="613">
        <f t="shared" si="11"/>
        <v>0</v>
      </c>
      <c r="H100" s="600">
        <f>G100+'[3]5'!H100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60" t="s">
        <v>227</v>
      </c>
      <c r="B101" s="1461"/>
      <c r="C101" s="1462"/>
      <c r="D101" s="664"/>
      <c r="E101" s="664"/>
      <c r="F101" s="664"/>
      <c r="G101" s="665">
        <f>SUM(G95:G100)</f>
        <v>230</v>
      </c>
      <c r="H101" s="600">
        <f>G101+'[3]5'!H101</f>
        <v>1111</v>
      </c>
      <c r="I101" s="666"/>
      <c r="J101" s="693">
        <f>H101/DAY(B2)</f>
        <v>185.16666666666666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21" t="s">
        <v>230</v>
      </c>
      <c r="B104" s="1422"/>
      <c r="C104" s="1376"/>
      <c r="D104" s="763" t="s">
        <v>155</v>
      </c>
      <c r="E104" s="672">
        <f>'[3]5'!F104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10</v>
      </c>
      <c r="N104" s="426"/>
    </row>
    <row r="105" spans="1:14" s="544" customFormat="1" ht="27.75">
      <c r="A105" s="1421" t="s">
        <v>77</v>
      </c>
      <c r="B105" s="1422"/>
      <c r="C105" s="1376"/>
      <c r="D105" s="763" t="s">
        <v>155</v>
      </c>
      <c r="E105" s="672">
        <f>'[3]5'!F105</f>
        <v>34529</v>
      </c>
      <c r="F105" s="796">
        <v>34546</v>
      </c>
      <c r="G105" s="672">
        <f t="shared" ref="G105" si="12">F105-E105</f>
        <v>17</v>
      </c>
      <c r="H105" s="673">
        <f>SUM(G105+'[3]1'!G77)</f>
        <v>87</v>
      </c>
      <c r="I105" s="672"/>
      <c r="J105" s="699">
        <f>H105/DAY(B2)</f>
        <v>14.5</v>
      </c>
      <c r="N105" s="426"/>
    </row>
    <row r="106" spans="1:14" s="544" customFormat="1" ht="27.75">
      <c r="A106" s="1421" t="s">
        <v>78</v>
      </c>
      <c r="B106" s="1465"/>
      <c r="C106" s="1422"/>
      <c r="D106" s="763" t="s">
        <v>155</v>
      </c>
      <c r="E106" s="672">
        <f>'[3]5'!F106</f>
        <v>18644</v>
      </c>
      <c r="F106" s="795">
        <v>18649</v>
      </c>
      <c r="G106" s="672">
        <f>F106-E106</f>
        <v>5</v>
      </c>
      <c r="H106" s="673">
        <f>SUM(G106+'[3]1'!G78)</f>
        <v>334</v>
      </c>
      <c r="I106" s="672"/>
      <c r="J106" s="699">
        <f>H106/DAY(B2)</f>
        <v>55.666666666666664</v>
      </c>
      <c r="N106" s="426"/>
    </row>
    <row r="107" spans="1:14" s="544" customFormat="1" ht="27.75">
      <c r="A107" s="1423" t="s">
        <v>213</v>
      </c>
      <c r="B107" s="1424"/>
      <c r="C107" s="1376"/>
      <c r="D107" s="763"/>
      <c r="E107" s="672"/>
      <c r="F107" s="795"/>
      <c r="G107" s="672">
        <f>SUM(G104:G106)</f>
        <v>22</v>
      </c>
      <c r="H107" s="673">
        <f>SUM(G107+'[3]1'!G79)</f>
        <v>182</v>
      </c>
      <c r="I107" s="672"/>
      <c r="J107" s="699">
        <f>H107/DAY(B2)</f>
        <v>30.333333333333332</v>
      </c>
      <c r="N107" s="426"/>
    </row>
    <row r="108" spans="1:14" s="544" customFormat="1" ht="27.75">
      <c r="A108" s="1427" t="s">
        <v>79</v>
      </c>
      <c r="B108" s="1428"/>
      <c r="C108" s="1376"/>
      <c r="D108" s="763" t="s">
        <v>155</v>
      </c>
      <c r="E108" s="672"/>
      <c r="F108" s="795"/>
      <c r="G108" s="672"/>
      <c r="H108" s="673"/>
      <c r="I108" s="672"/>
      <c r="J108" s="699"/>
      <c r="N108" s="426"/>
    </row>
    <row r="109" spans="1:14" s="557" customFormat="1" ht="27.75">
      <c r="A109" s="1698" t="s">
        <v>231</v>
      </c>
      <c r="B109" s="1699"/>
      <c r="C109" s="715"/>
      <c r="D109" s="765" t="s">
        <v>155</v>
      </c>
      <c r="E109" s="674">
        <f>'[3]5'!F109</f>
        <v>49940</v>
      </c>
      <c r="F109" s="796">
        <v>50072</v>
      </c>
      <c r="G109" s="674">
        <f>F109-E109</f>
        <v>132</v>
      </c>
      <c r="H109" s="676">
        <f>SUM(G109+'[3]1'!G81)</f>
        <v>214</v>
      </c>
      <c r="I109" s="674"/>
      <c r="J109" s="700">
        <f>H109/DAY(B2)</f>
        <v>35.666666666666664</v>
      </c>
      <c r="N109" s="869"/>
    </row>
    <row r="110" spans="1:14" s="544" customFormat="1" ht="27.75">
      <c r="A110" s="1421" t="s">
        <v>232</v>
      </c>
      <c r="B110" s="1422"/>
      <c r="C110" s="1376"/>
      <c r="D110" s="763" t="s">
        <v>155</v>
      </c>
      <c r="E110" s="672">
        <f>'[3]5'!F110</f>
        <v>24296</v>
      </c>
      <c r="F110" s="795">
        <v>24339</v>
      </c>
      <c r="G110" s="672">
        <f t="shared" ref="G110:G111" si="13">F110-E110</f>
        <v>43</v>
      </c>
      <c r="H110" s="673">
        <f>SUM(G110+'[3]1'!G82)</f>
        <v>68.740000000005239</v>
      </c>
      <c r="I110" s="672"/>
      <c r="J110" s="699">
        <f>H110/DAY(B2)</f>
        <v>11.456666666667539</v>
      </c>
      <c r="N110" s="426"/>
    </row>
    <row r="111" spans="1:14" s="544" customFormat="1" ht="27.75">
      <c r="A111" s="1421" t="s">
        <v>233</v>
      </c>
      <c r="B111" s="1422"/>
      <c r="C111" s="1376"/>
      <c r="D111" s="763" t="s">
        <v>155</v>
      </c>
      <c r="E111" s="672">
        <f>'[3]5'!F111</f>
        <v>3221</v>
      </c>
      <c r="F111" s="795">
        <v>3228</v>
      </c>
      <c r="G111" s="672">
        <f t="shared" si="13"/>
        <v>7</v>
      </c>
      <c r="H111" s="673">
        <f>SUM(G111+'[3]1'!G83)</f>
        <v>453</v>
      </c>
      <c r="I111" s="672"/>
      <c r="J111" s="699">
        <f>H111/DAY(B2)</f>
        <v>75.5</v>
      </c>
      <c r="N111" s="426"/>
    </row>
    <row r="112" spans="1:14" s="544" customFormat="1" ht="27.75">
      <c r="A112" s="1423" t="s">
        <v>121</v>
      </c>
      <c r="B112" s="1424"/>
      <c r="C112" s="1376"/>
      <c r="D112" s="763"/>
      <c r="E112" s="672"/>
      <c r="F112" s="795"/>
      <c r="G112" s="672">
        <f>SUM(G109:G111)</f>
        <v>182</v>
      </c>
      <c r="H112" s="673">
        <f>SUM(G112+'[3]1'!G84)</f>
        <v>778</v>
      </c>
      <c r="I112" s="672"/>
      <c r="J112" s="699">
        <f>H112/DAY(B2)</f>
        <v>129.66666666666666</v>
      </c>
      <c r="N112" s="426"/>
    </row>
    <row r="113" spans="1:14" s="544" customFormat="1" ht="27.75">
      <c r="A113" s="1427" t="s">
        <v>234</v>
      </c>
      <c r="B113" s="1428"/>
      <c r="C113" s="1376"/>
      <c r="D113" s="763"/>
      <c r="E113" s="672"/>
      <c r="F113" s="795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21" t="s">
        <v>235</v>
      </c>
      <c r="B114" s="1422"/>
      <c r="C114" s="715"/>
      <c r="D114" s="763" t="s">
        <v>155</v>
      </c>
      <c r="E114" s="672">
        <f>'[3]5'!F114</f>
        <v>8346</v>
      </c>
      <c r="F114" s="796">
        <v>8353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1.1666666666666667</v>
      </c>
      <c r="N114" s="426"/>
    </row>
    <row r="115" spans="1:14" s="544" customFormat="1" ht="27.75">
      <c r="A115" s="1421" t="s">
        <v>236</v>
      </c>
      <c r="B115" s="1422"/>
      <c r="C115" s="715"/>
      <c r="D115" s="763" t="s">
        <v>155</v>
      </c>
      <c r="E115" s="672">
        <f>'[3]5'!F115</f>
        <v>6571</v>
      </c>
      <c r="F115" s="796">
        <v>6576</v>
      </c>
      <c r="G115" s="674">
        <f t="shared" ref="G115:G116" si="14">F115-E115</f>
        <v>5</v>
      </c>
      <c r="H115" s="673">
        <f>SUM(G115+'[3]1'!G92)</f>
        <v>110</v>
      </c>
      <c r="I115" s="672"/>
      <c r="J115" s="699">
        <f>H115/DAY(B2)</f>
        <v>18.333333333333332</v>
      </c>
      <c r="N115" s="426"/>
    </row>
    <row r="116" spans="1:14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30.833333333333332</v>
      </c>
      <c r="N116" s="426"/>
    </row>
    <row r="117" spans="1:14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10</v>
      </c>
      <c r="N117" s="426"/>
    </row>
    <row r="118" spans="1:14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157</v>
      </c>
      <c r="G118" s="676">
        <f>SUM(G19+G92)</f>
        <v>157</v>
      </c>
      <c r="H118" s="673">
        <f>SUM(G118+'[3]1'!G96)</f>
        <v>206</v>
      </c>
      <c r="I118" s="675"/>
      <c r="J118" s="700">
        <f>H118/DAY(B2)</f>
        <v>34.333333333333336</v>
      </c>
      <c r="N118" s="426"/>
    </row>
    <row r="119" spans="1:14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190</v>
      </c>
      <c r="G119" s="676">
        <f>SUM(G95,G96,G97,G99,G100)</f>
        <v>190</v>
      </c>
      <c r="H119" s="673">
        <f>SUM(G119+'[3]1'!G98)</f>
        <v>222</v>
      </c>
      <c r="I119" s="675"/>
      <c r="J119" s="700">
        <f>H119/DAY(B2)</f>
        <v>37</v>
      </c>
      <c r="N119" s="426"/>
    </row>
    <row r="120" spans="1:14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182</v>
      </c>
      <c r="G120" s="674">
        <f>SUM(G112)</f>
        <v>182</v>
      </c>
      <c r="H120" s="673">
        <f>SUM(G120+'[3]1'!G100)</f>
        <v>182</v>
      </c>
      <c r="I120" s="675"/>
      <c r="J120" s="700">
        <f>H120/DAY(B2)</f>
        <v>30.333333333333332</v>
      </c>
      <c r="N120" s="426"/>
    </row>
    <row r="121" spans="1:14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'[3]5'!F123</f>
        <v>783833.01399999997</v>
      </c>
      <c r="F123" s="618">
        <v>784001.72</v>
      </c>
      <c r="G123" s="613">
        <f t="shared" ref="G123:G127" si="15">F123-E123</f>
        <v>168.70600000000559</v>
      </c>
      <c r="H123" s="600">
        <f>G123+'[3]5'!H123</f>
        <v>1076.8339999999152</v>
      </c>
      <c r="I123" s="666"/>
      <c r="J123" s="693">
        <f>H123/DAY(B2)</f>
        <v>179.4723333333192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'[3]5'!F124</f>
        <v>73581</v>
      </c>
      <c r="F124" s="767">
        <v>73581</v>
      </c>
      <c r="G124" s="613">
        <f t="shared" si="15"/>
        <v>0</v>
      </c>
      <c r="H124" s="600">
        <f>G124+'[3]5'!H124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29" t="s">
        <v>244</v>
      </c>
      <c r="B125" s="1430"/>
      <c r="C125" s="1431"/>
      <c r="D125" s="663" t="s">
        <v>152</v>
      </c>
      <c r="E125" s="618">
        <f>'[3]5'!F125</f>
        <v>131401.31</v>
      </c>
      <c r="F125" s="618">
        <v>131461.70000000001</v>
      </c>
      <c r="G125" s="613">
        <f t="shared" si="15"/>
        <v>60.39000000001397</v>
      </c>
      <c r="H125" s="600">
        <f>G125+'[3]5'!H125</f>
        <v>355.48000000001048</v>
      </c>
      <c r="I125" s="666"/>
      <c r="J125" s="693">
        <f>H125/DAY(B2)</f>
        <v>59.246666666668411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'[3]5'!F126</f>
        <v>55705.1</v>
      </c>
      <c r="F126" s="625">
        <v>55722.7</v>
      </c>
      <c r="G126" s="613">
        <f t="shared" si="15"/>
        <v>17.599999999998545</v>
      </c>
      <c r="H126" s="600">
        <f>G126+'[3]5'!H126</f>
        <v>136.89999999999418</v>
      </c>
      <c r="I126" s="666"/>
      <c r="J126" s="693">
        <f>H126/DAY(B2)</f>
        <v>22.816666666665697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'[3]5'!F127</f>
        <v>8639</v>
      </c>
      <c r="F127" s="767">
        <v>8639</v>
      </c>
      <c r="G127" s="613">
        <f t="shared" si="15"/>
        <v>0</v>
      </c>
      <c r="H127" s="600">
        <f>G127+'[3]5'!H127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370.77799999991112</v>
      </c>
      <c r="H128" s="600">
        <f>G128+'[3]5'!H128</f>
        <v>1494.8060000000987</v>
      </c>
      <c r="I128" s="620"/>
      <c r="J128" s="693">
        <f>H128/DAY(B2)</f>
        <v>249.13433333334979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>
        <v>35</v>
      </c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'[3]5'!F130</f>
        <v>0</v>
      </c>
      <c r="F130" s="618">
        <v>0</v>
      </c>
      <c r="G130" s="613">
        <f t="shared" ref="G130:G140" si="16">F130-E130</f>
        <v>0</v>
      </c>
      <c r="H130" s="600">
        <f>G130+'[3]5'!H130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'[3]5'!F131</f>
        <v>0</v>
      </c>
      <c r="F131" s="618">
        <v>0</v>
      </c>
      <c r="G131" s="613">
        <f t="shared" si="16"/>
        <v>0</v>
      </c>
      <c r="H131" s="600">
        <f>G131+'[3]5'!H131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'[3]5'!F132</f>
        <v>38853</v>
      </c>
      <c r="F132" s="767">
        <v>38853</v>
      </c>
      <c r="G132" s="613">
        <f t="shared" si="16"/>
        <v>0</v>
      </c>
      <c r="H132" s="600">
        <f>G132+'[3]5'!H132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'[3]5'!F133</f>
        <v>34948</v>
      </c>
      <c r="F133" s="625">
        <v>34948</v>
      </c>
      <c r="G133" s="613">
        <f t="shared" si="16"/>
        <v>0</v>
      </c>
      <c r="H133" s="600">
        <f>G133+'[3]5'!H133</f>
        <v>0</v>
      </c>
      <c r="I133" s="620">
        <f>G132+G133+G134+G135</f>
        <v>24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'[3]5'!F134</f>
        <v>39736</v>
      </c>
      <c r="F134" s="767">
        <v>39736</v>
      </c>
      <c r="G134" s="613">
        <f t="shared" si="16"/>
        <v>0</v>
      </c>
      <c r="H134" s="600">
        <f>G134+'[3]5'!H134</f>
        <v>-0.26999999999679858</v>
      </c>
      <c r="I134" s="620"/>
      <c r="J134" s="693">
        <f>H134/DAY(B2)</f>
        <v>-4.4999999999466432E-2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62">
        <f>'[3]5'!F135</f>
        <v>31113</v>
      </c>
      <c r="F135" s="625">
        <v>31137</v>
      </c>
      <c r="G135" s="613">
        <f t="shared" si="16"/>
        <v>24</v>
      </c>
      <c r="H135" s="600">
        <f>G135+'[3]5'!H135</f>
        <v>143.97999999999956</v>
      </c>
      <c r="I135" s="620"/>
      <c r="J135" s="693">
        <f>H135/DAY(B2)</f>
        <v>23.996666666666595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'[3]5'!F136</f>
        <v>21606.154999999999</v>
      </c>
      <c r="F136" s="788">
        <v>21613.08</v>
      </c>
      <c r="G136" s="613">
        <f t="shared" si="16"/>
        <v>6.9250000000029104</v>
      </c>
      <c r="H136" s="600">
        <f>G136+'[3]5'!H136</f>
        <v>15.05000000000291</v>
      </c>
      <c r="I136" s="620">
        <f>G136+G137+G138</f>
        <v>6.9250000000029104</v>
      </c>
      <c r="J136" s="693">
        <f>H136/DAY(B2)</f>
        <v>2.5083333333338182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'[3]5'!F137</f>
        <v>24902.25</v>
      </c>
      <c r="F137" s="788">
        <v>24902.25</v>
      </c>
      <c r="G137" s="613">
        <f t="shared" si="16"/>
        <v>0</v>
      </c>
      <c r="H137" s="600">
        <f>G137+'[3]5'!H137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'[3]5'!F138</f>
        <v>69908.34</v>
      </c>
      <c r="F138" s="788">
        <v>69908.34</v>
      </c>
      <c r="G138" s="613">
        <f t="shared" si="16"/>
        <v>0</v>
      </c>
      <c r="H138" s="600">
        <f>G138+'[3]5'!H138</f>
        <v>26.690000000002328</v>
      </c>
      <c r="I138" s="620"/>
      <c r="J138" s="693">
        <f>H138/DAY(B2)</f>
        <v>4.4483333333337214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'[3]5'!F139</f>
        <v>799.78</v>
      </c>
      <c r="F139" s="625">
        <v>804.76</v>
      </c>
      <c r="G139" s="613">
        <f t="shared" si="16"/>
        <v>4.9800000000000182</v>
      </c>
      <c r="H139" s="600">
        <f>G139+'[3]5'!H139</f>
        <v>28.330000000000041</v>
      </c>
      <c r="I139" s="683">
        <f>G140+G1277</f>
        <v>0</v>
      </c>
      <c r="J139" s="693">
        <f>H139/DAY(B2)</f>
        <v>4.7216666666666738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838">
        <f>'[3]5'!F140</f>
        <v>4156.9799999999996</v>
      </c>
      <c r="F140" s="767">
        <v>4156.9799999999996</v>
      </c>
      <c r="G140" s="613">
        <f t="shared" si="16"/>
        <v>0</v>
      </c>
      <c r="H140" s="600">
        <f>G140+'[3]5'!H140</f>
        <v>2.7099999999991269</v>
      </c>
      <c r="I140" s="683"/>
      <c r="J140" s="693">
        <f>H140/DAY(B2)</f>
        <v>0.45166666666652117</v>
      </c>
      <c r="N140" s="426"/>
    </row>
    <row r="141" spans="1:14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4887.6920000000227</v>
      </c>
      <c r="H142" s="600">
        <f>G142+'[3]5'!H142</f>
        <v>29595.46200000016</v>
      </c>
      <c r="I142" s="620"/>
      <c r="J142" s="693">
        <f>H142/DAY(B2)</f>
        <v>4932.5770000000266</v>
      </c>
      <c r="K142" s="424"/>
      <c r="L142" s="421"/>
      <c r="N142" s="426"/>
    </row>
    <row r="143" spans="1:14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0.26270851921526595</v>
      </c>
      <c r="H143" s="600">
        <f>G143+'[3]5'!H143</f>
        <v>1.4142459266823102</v>
      </c>
      <c r="I143" s="685"/>
      <c r="J143" s="693">
        <f>H143/DAY(B2)</f>
        <v>0.23570765444705169</v>
      </c>
      <c r="K143" s="424"/>
      <c r="L143" s="421"/>
      <c r="N143" s="426"/>
    </row>
    <row r="144" spans="1:14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4170.8600000000442</v>
      </c>
      <c r="H144" s="600">
        <f>G144+'[3]5'!H144</f>
        <v>24874.950000000157</v>
      </c>
      <c r="I144" s="620"/>
      <c r="J144" s="693">
        <f>H144/DAY(B2)</f>
        <v>4145.8250000000262</v>
      </c>
      <c r="K144" s="424"/>
      <c r="L144" s="421"/>
      <c r="N144" s="426"/>
    </row>
    <row r="145" spans="1:14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0.22417952163397173</v>
      </c>
      <c r="H145" s="600">
        <f>G145+'[3]5'!H145</f>
        <v>1.3502065018107412</v>
      </c>
      <c r="I145" s="685"/>
      <c r="J145" s="693">
        <f>H145/DAY(B2)</f>
        <v>0.22503441696845686</v>
      </c>
      <c r="K145" s="424"/>
      <c r="L145" s="421"/>
      <c r="N145" s="426"/>
    </row>
    <row r="146" spans="1:14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3868.9599999999627</v>
      </c>
      <c r="H146" s="600">
        <f>G146+'[3]5'!H146</f>
        <v>23488.160000000033</v>
      </c>
      <c r="I146" s="686"/>
      <c r="J146" s="693">
        <f>H146/DAY(B2)</f>
        <v>3914.6933333333386</v>
      </c>
      <c r="K146" s="424"/>
      <c r="L146" s="421"/>
      <c r="N146" s="426"/>
    </row>
    <row r="147" spans="1:14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0.20795270088685636</v>
      </c>
      <c r="H147" s="600">
        <f>G147+'[3]5'!H147</f>
        <v>1.2760510393070175</v>
      </c>
      <c r="I147" s="686"/>
      <c r="J147" s="693">
        <f>H147/DAY(B2)</f>
        <v>0.21267517321783624</v>
      </c>
      <c r="N147" s="426"/>
    </row>
    <row r="148" spans="1:14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1767.5800000000163</v>
      </c>
      <c r="H148" s="600">
        <f>G148+'[3]5'!H148</f>
        <v>10495.880000000005</v>
      </c>
      <c r="I148" s="620"/>
      <c r="J148" s="693">
        <f>H148/DAY(B2)</f>
        <v>1749.3133333333342</v>
      </c>
      <c r="K148" s="425"/>
      <c r="N148" s="426"/>
    </row>
    <row r="149" spans="1:14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9.5005643644182541E-2</v>
      </c>
      <c r="H149" s="600">
        <f>G149+'[3]5'!H149</f>
        <v>0.57008269046644111</v>
      </c>
      <c r="I149" s="686"/>
      <c r="J149" s="693">
        <f>H149/DAY(B2)</f>
        <v>9.5013781744406847E-2</v>
      </c>
      <c r="N149" s="426"/>
    </row>
    <row r="150" spans="1:14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1714.5</v>
      </c>
      <c r="H150" s="600">
        <f>G150+'[3]5'!H150</f>
        <v>9433.3399999999674</v>
      </c>
      <c r="I150" s="686"/>
      <c r="J150" s="693">
        <f>H150/DAY(B2)</f>
        <v>1572.2233333333279</v>
      </c>
      <c r="N150" s="426"/>
    </row>
    <row r="151" spans="1:14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9.2152647137866167E-2</v>
      </c>
      <c r="H151" s="600">
        <f>G151+'[3]5'!H151</f>
        <v>0.51140222904679822</v>
      </c>
      <c r="I151" s="620"/>
      <c r="J151" s="693">
        <f>H151/DAY(B2)</f>
        <v>8.5233704841133032E-2</v>
      </c>
      <c r="N151" s="426"/>
    </row>
    <row r="152" spans="1:14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1516.4400000000023</v>
      </c>
      <c r="H152" s="600">
        <f>G152+'[3]5'!H152</f>
        <v>9003.2399999999907</v>
      </c>
      <c r="I152" s="620"/>
      <c r="J152" s="693">
        <f>H152/DAY(B2)</f>
        <v>1500.5399999999984</v>
      </c>
      <c r="N152" s="426"/>
    </row>
    <row r="153" spans="1:14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8.1507121741467473E-2</v>
      </c>
      <c r="H153" s="600">
        <f>G153+'[3]5'!H153</f>
        <v>0.48920361451621797</v>
      </c>
      <c r="I153" s="709"/>
      <c r="J153" s="710">
        <f>H153/DAY(B2)</f>
        <v>8.1533935752702999E-2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466" t="s">
        <v>278</v>
      </c>
      <c r="B157" s="1467"/>
      <c r="C157" s="1467"/>
      <c r="D157" s="1467"/>
      <c r="E157" s="1467"/>
      <c r="F157" s="1467"/>
      <c r="G157" s="1468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'[3]5'!F160</f>
        <v>22020.422999999999</v>
      </c>
      <c r="F160" s="795">
        <v>22096.091</v>
      </c>
      <c r="G160" s="613">
        <f t="shared" ref="G160:G171" si="17">F160-E160</f>
        <v>75.668000000001484</v>
      </c>
      <c r="H160" s="679">
        <v>72.86699999999837</v>
      </c>
      <c r="I160" s="680">
        <f>G160-H160</f>
        <v>2.8010000000031141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'[3]5'!F161</f>
        <v>14147.539000000001</v>
      </c>
      <c r="F161" s="795">
        <v>14235.672</v>
      </c>
      <c r="G161" s="613">
        <f t="shared" si="17"/>
        <v>88.132999999999811</v>
      </c>
      <c r="H161" s="679">
        <v>115.86999999999898</v>
      </c>
      <c r="I161" s="680">
        <f t="shared" ref="I161:I171" si="18">G161-H161</f>
        <v>-27.736999999999171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'[3]5'!F162</f>
        <v>31643.850999999999</v>
      </c>
      <c r="F162" s="795">
        <v>31875.190999999999</v>
      </c>
      <c r="G162" s="613">
        <f t="shared" si="17"/>
        <v>231.34000000000015</v>
      </c>
      <c r="H162" s="679">
        <v>184.81999999999971</v>
      </c>
      <c r="I162" s="680">
        <f t="shared" si="18"/>
        <v>46.520000000000437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'[3]5'!F163</f>
        <v>3111.78</v>
      </c>
      <c r="F163" s="795">
        <v>3120.5311000000002</v>
      </c>
      <c r="G163" s="613">
        <f t="shared" si="17"/>
        <v>8.7510999999999513</v>
      </c>
      <c r="H163" s="679">
        <v>17.309999999999945</v>
      </c>
      <c r="I163" s="680">
        <f t="shared" si="18"/>
        <v>-8.5588999999999942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'[3]5'!F164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'[3]5'!F165</f>
        <v>395.38346999999999</v>
      </c>
      <c r="F165" s="654">
        <f>F63</f>
        <v>414.94</v>
      </c>
      <c r="G165" s="613">
        <f t="shared" si="17"/>
        <v>19.556530000000009</v>
      </c>
      <c r="H165" s="679">
        <v>-0.47999999999956344</v>
      </c>
      <c r="I165" s="680">
        <f t="shared" si="18"/>
        <v>20.036529999999573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'[3]5'!F166</f>
        <v>77883.743000000002</v>
      </c>
      <c r="F166" s="654">
        <f t="shared" ref="F166:F171" si="19">F64</f>
        <v>78247.510999999999</v>
      </c>
      <c r="G166" s="613">
        <f t="shared" si="17"/>
        <v>363.76799999999639</v>
      </c>
      <c r="H166" s="679">
        <v>271.15200000000186</v>
      </c>
      <c r="I166" s="680">
        <f t="shared" si="18"/>
        <v>92.615999999994528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'[3]5'!F167</f>
        <v>87132.438999999998</v>
      </c>
      <c r="F167" s="654">
        <f t="shared" si="19"/>
        <v>87506.175000000003</v>
      </c>
      <c r="G167" s="613">
        <f t="shared" si="17"/>
        <v>373.73600000000442</v>
      </c>
      <c r="H167" s="679">
        <v>372.92000000001281</v>
      </c>
      <c r="I167" s="680">
        <f t="shared" si="18"/>
        <v>0.8159999999916181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'[3]5'!F168</f>
        <v>80121.767000000007</v>
      </c>
      <c r="F168" s="654">
        <f t="shared" si="19"/>
        <v>80504.095000000001</v>
      </c>
      <c r="G168" s="613">
        <f t="shared" si="17"/>
        <v>382.32799999999406</v>
      </c>
      <c r="H168" s="679">
        <v>384.8520000000135</v>
      </c>
      <c r="I168" s="680">
        <f>G168-H168</f>
        <v>-2.5240000000194414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'[3]5'!F169</f>
        <v>129170.88</v>
      </c>
      <c r="F169" s="654">
        <f t="shared" si="19"/>
        <v>129809.24</v>
      </c>
      <c r="G169" s="613">
        <f t="shared" si="17"/>
        <v>638.36000000000058</v>
      </c>
      <c r="H169" s="679">
        <v>451.52000000000407</v>
      </c>
      <c r="I169" s="680">
        <f t="shared" si="18"/>
        <v>186.83999999999651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'[3]5'!F170</f>
        <v>34941.366999999998</v>
      </c>
      <c r="F170" s="654">
        <f t="shared" si="19"/>
        <v>35253.822999999997</v>
      </c>
      <c r="G170" s="613">
        <f t="shared" si="17"/>
        <v>312.45599999999831</v>
      </c>
      <c r="H170" s="679">
        <v>264.56499999999869</v>
      </c>
      <c r="I170" s="680">
        <f t="shared" si="18"/>
        <v>47.890999999999622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'[3]5'!F171</f>
        <v>30460.381000000001</v>
      </c>
      <c r="F171" s="654">
        <f t="shared" si="19"/>
        <v>30670.811000000002</v>
      </c>
      <c r="G171" s="613">
        <f t="shared" si="17"/>
        <v>210.43000000000029</v>
      </c>
      <c r="H171" s="679">
        <v>137.0779999999977</v>
      </c>
      <c r="I171" s="680">
        <f t="shared" si="18"/>
        <v>73.35200000000259</v>
      </c>
    </row>
  </sheetData>
  <mergeCells count="69"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sqref="A1:XFD1048576"/>
    </sheetView>
  </sheetViews>
  <sheetFormatPr defaultColWidth="22.33203125" defaultRowHeight="29.25"/>
  <cols>
    <col min="1" max="1" width="42.33203125" style="594" customWidth="1"/>
    <col min="2" max="2" width="31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25.33203125" style="679" customWidth="1"/>
    <col min="9" max="9" width="20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6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6" s="292" customFormat="1" ht="27">
      <c r="A2" s="716" t="s">
        <v>293</v>
      </c>
      <c r="B2" s="1195">
        <v>44142</v>
      </c>
      <c r="C2" s="1378" t="s">
        <v>69</v>
      </c>
      <c r="D2" s="752">
        <v>0.54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6" s="292" customFormat="1" ht="27">
      <c r="A3" s="711"/>
      <c r="B3" s="755"/>
      <c r="C3" s="1378" t="s">
        <v>131</v>
      </c>
      <c r="D3" s="753">
        <v>28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6" s="292" customFormat="1" ht="27">
      <c r="A4" s="717"/>
      <c r="B4" s="757"/>
      <c r="C4" s="1378" t="s">
        <v>133</v>
      </c>
      <c r="D4" s="752">
        <v>0.78</v>
      </c>
      <c r="E4" s="604"/>
      <c r="F4" s="604"/>
      <c r="G4" s="604"/>
      <c r="H4" s="604"/>
      <c r="I4" s="605"/>
      <c r="J4" s="756"/>
      <c r="K4" s="416"/>
      <c r="L4" s="304"/>
    </row>
    <row r="5" spans="1:16">
      <c r="A5" s="718" t="s">
        <v>134</v>
      </c>
      <c r="B5" s="599"/>
      <c r="C5" s="599"/>
      <c r="D5" s="651" t="s">
        <v>226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'[3]6'!F7</f>
        <v>2215501</v>
      </c>
      <c r="F7" s="595">
        <v>2234013</v>
      </c>
      <c r="G7" s="826">
        <f t="shared" ref="G7:G12" si="0">F7-E7</f>
        <v>18512</v>
      </c>
      <c r="H7" s="816">
        <f>G7+'[3]6'!H7</f>
        <v>128988</v>
      </c>
      <c r="I7" s="817">
        <f>'[3]1'!I7</f>
        <v>12000</v>
      </c>
      <c r="J7" s="818">
        <f>H7/DAY(B2)</f>
        <v>18426.857142857141</v>
      </c>
      <c r="K7" s="690"/>
      <c r="L7" s="421"/>
      <c r="N7" s="864"/>
      <c r="P7" s="420" t="s">
        <v>226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'[3]6'!F8</f>
        <v>2226361</v>
      </c>
      <c r="F8" s="615">
        <v>2244938</v>
      </c>
      <c r="G8" s="826">
        <f t="shared" si="0"/>
        <v>18577</v>
      </c>
      <c r="H8" s="816">
        <f>G8+'[3]6'!H8</f>
        <v>129497</v>
      </c>
      <c r="I8" s="823">
        <v>12000</v>
      </c>
      <c r="J8" s="818">
        <f>H8/DAY(B2)</f>
        <v>18499.571428571428</v>
      </c>
      <c r="K8" s="690"/>
      <c r="L8" s="479"/>
      <c r="M8" s="542"/>
      <c r="N8" s="841"/>
    </row>
    <row r="9" spans="1:16">
      <c r="A9" s="824" t="s">
        <v>145</v>
      </c>
      <c r="B9" s="825"/>
      <c r="C9" s="825"/>
      <c r="D9" s="779" t="s">
        <v>143</v>
      </c>
      <c r="E9" s="776">
        <f>'[3]6'!F9</f>
        <v>2123651.2999999998</v>
      </c>
      <c r="F9" s="618">
        <v>2141511.2999999998</v>
      </c>
      <c r="G9" s="826">
        <f t="shared" si="0"/>
        <v>17860</v>
      </c>
      <c r="H9" s="816">
        <f>G9+'[3]6'!H9</f>
        <v>124505.99999999977</v>
      </c>
      <c r="I9" s="827">
        <f>I8-J8</f>
        <v>-6499.5714285714275</v>
      </c>
      <c r="J9" s="818">
        <f>H9/DAY(B2)</f>
        <v>17786.571428571395</v>
      </c>
      <c r="K9" s="527"/>
      <c r="L9" s="421"/>
      <c r="N9" s="426"/>
    </row>
    <row r="10" spans="1:16">
      <c r="A10" s="813" t="s">
        <v>146</v>
      </c>
      <c r="B10" s="814"/>
      <c r="C10" s="814"/>
      <c r="D10" s="779" t="s">
        <v>143</v>
      </c>
      <c r="E10" s="776">
        <f>'[3]6'!F10</f>
        <v>454610</v>
      </c>
      <c r="F10" s="618">
        <v>454610</v>
      </c>
      <c r="G10" s="826">
        <f t="shared" si="0"/>
        <v>0</v>
      </c>
      <c r="H10" s="816">
        <f>G10+'[3]6'!H10</f>
        <v>0.21000000002095476</v>
      </c>
      <c r="I10" s="828"/>
      <c r="J10" s="818">
        <f>H10/DAY(B2)</f>
        <v>3.0000000002993538E-2</v>
      </c>
      <c r="K10" s="527"/>
      <c r="L10" s="421"/>
      <c r="N10" s="426"/>
    </row>
    <row r="11" spans="1:16">
      <c r="A11" s="813" t="s">
        <v>147</v>
      </c>
      <c r="B11" s="814"/>
      <c r="C11" s="814"/>
      <c r="D11" s="779" t="s">
        <v>143</v>
      </c>
      <c r="E11" s="774">
        <f>'[3]6'!F11</f>
        <v>35390</v>
      </c>
      <c r="F11" s="595">
        <v>35390</v>
      </c>
      <c r="G11" s="826">
        <f t="shared" si="0"/>
        <v>0</v>
      </c>
      <c r="H11" s="816">
        <f>G11+'[3]6'!H11</f>
        <v>0</v>
      </c>
      <c r="I11" s="828"/>
      <c r="J11" s="818">
        <f>H11/DAY(B2)</f>
        <v>0</v>
      </c>
      <c r="K11" s="527"/>
      <c r="L11" s="421"/>
      <c r="N11" s="426"/>
    </row>
    <row r="12" spans="1:16">
      <c r="A12" s="813" t="s">
        <v>148</v>
      </c>
      <c r="B12" s="814"/>
      <c r="C12" s="814"/>
      <c r="D12" s="779" t="s">
        <v>143</v>
      </c>
      <c r="E12" s="776">
        <f>'[3]6'!F12</f>
        <v>37630</v>
      </c>
      <c r="F12" s="618">
        <v>37630</v>
      </c>
      <c r="G12" s="826">
        <f t="shared" si="0"/>
        <v>0</v>
      </c>
      <c r="H12" s="816">
        <f>G12+'[3]6'!H12</f>
        <v>0</v>
      </c>
      <c r="I12" s="828"/>
      <c r="J12" s="818">
        <f>H12/DAY(B2)</f>
        <v>0</v>
      </c>
      <c r="K12" s="527"/>
      <c r="L12" s="421"/>
      <c r="N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17860</v>
      </c>
      <c r="H13" s="816">
        <f>G13+'[3]6'!H13</f>
        <v>124506.20999999979</v>
      </c>
      <c r="I13" s="832">
        <f>G7-G13</f>
        <v>652</v>
      </c>
      <c r="J13" s="818">
        <f>H13/DAY(B2)</f>
        <v>17786.601428571397</v>
      </c>
      <c r="K13" s="527"/>
      <c r="L13" s="421"/>
      <c r="N13" s="426"/>
    </row>
    <row r="14" spans="1:16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6">
      <c r="A15" s="954" t="s">
        <v>151</v>
      </c>
      <c r="B15" s="955"/>
      <c r="C15" s="955"/>
      <c r="D15" s="664" t="s">
        <v>152</v>
      </c>
      <c r="E15" s="625">
        <f>'[3]6'!F15</f>
        <v>1533179.2139999999</v>
      </c>
      <c r="F15" s="625">
        <v>1533706.5819999999</v>
      </c>
      <c r="G15" s="801">
        <f>(F15-E15)</f>
        <v>527.36800000001676</v>
      </c>
      <c r="H15" s="626">
        <f>G15+'[3]6'!H15</f>
        <v>3591.3880000000354</v>
      </c>
      <c r="I15" s="1227">
        <v>800</v>
      </c>
      <c r="J15" s="694">
        <f>H15/DAY(B2)</f>
        <v>513.05542857143359</v>
      </c>
      <c r="K15" s="527"/>
      <c r="L15" s="421"/>
      <c r="N15" s="426"/>
    </row>
    <row r="16" spans="1:16">
      <c r="A16" s="728"/>
      <c r="B16" s="729"/>
      <c r="C16" s="729"/>
      <c r="D16" s="664"/>
      <c r="E16" s="625"/>
      <c r="F16" s="625"/>
      <c r="G16" s="613"/>
      <c r="H16" s="626"/>
      <c r="I16" s="622">
        <f>I15-J15</f>
        <v>286.94457142856641</v>
      </c>
      <c r="J16" s="694"/>
      <c r="K16" s="527"/>
      <c r="L16" s="421"/>
      <c r="N16" s="426"/>
    </row>
    <row r="17" spans="1:14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478" t="s">
        <v>154</v>
      </c>
      <c r="B18" s="1479"/>
      <c r="C18" s="1480"/>
      <c r="D18" s="779" t="s">
        <v>155</v>
      </c>
      <c r="E18" s="776">
        <f>'[3]6'!F18</f>
        <v>11</v>
      </c>
      <c r="F18" s="618">
        <v>11</v>
      </c>
      <c r="G18" s="831">
        <f>F18*10</f>
        <v>110</v>
      </c>
      <c r="H18" s="816">
        <f>G18+'[3]6'!H18</f>
        <v>760</v>
      </c>
      <c r="I18" s="817">
        <f>'[3]1'!I18</f>
        <v>65</v>
      </c>
      <c r="J18" s="818">
        <f>H18/DAY(B2)</f>
        <v>108.57142857142857</v>
      </c>
      <c r="K18" s="527"/>
      <c r="L18" s="421"/>
      <c r="N18" s="426"/>
    </row>
    <row r="19" spans="1:14" ht="27.75">
      <c r="A19" s="1478" t="s">
        <v>71</v>
      </c>
      <c r="B19" s="1479"/>
      <c r="C19" s="1480"/>
      <c r="D19" s="779" t="s">
        <v>155</v>
      </c>
      <c r="E19" s="776">
        <f>'[3]6'!F19</f>
        <v>128506</v>
      </c>
      <c r="F19" s="618">
        <v>128551</v>
      </c>
      <c r="G19" s="826">
        <f t="shared" ref="G19" si="1">F19-E19</f>
        <v>45</v>
      </c>
      <c r="H19" s="816">
        <f>G19+'[3]6'!H19</f>
        <v>356</v>
      </c>
      <c r="I19" s="833"/>
      <c r="J19" s="818">
        <f>H19/DAY(B2)</f>
        <v>50.857142857142854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155</v>
      </c>
      <c r="H20" s="816">
        <f>G20+'[3]6'!H20</f>
        <v>1116</v>
      </c>
      <c r="I20" s="835">
        <f>I18-J20</f>
        <v>-94.428571428571416</v>
      </c>
      <c r="J20" s="818">
        <f>H20/DAY(B2)</f>
        <v>159.42857142857142</v>
      </c>
      <c r="K20" s="527"/>
      <c r="L20" s="421"/>
      <c r="N20" s="426"/>
    </row>
    <row r="21" spans="1:14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776">
        <f>'[3]6'!F22</f>
        <v>2250</v>
      </c>
      <c r="F22" s="618">
        <v>2250</v>
      </c>
      <c r="G22" s="621">
        <f t="shared" ref="G22" si="2">(F22-E22)</f>
        <v>0</v>
      </c>
      <c r="H22" s="600">
        <f>G22+'[3]6'!H22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776">
        <f>'[3]6'!F23</f>
        <v>2000</v>
      </c>
      <c r="F23" s="618">
        <v>2000</v>
      </c>
      <c r="G23" s="621">
        <v>0</v>
      </c>
      <c r="H23" s="600">
        <f>G23+'[3]6'!H23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'[3]6'!F24</f>
        <v>4250</v>
      </c>
      <c r="F24" s="625">
        <v>4250</v>
      </c>
      <c r="G24" s="621">
        <v>0</v>
      </c>
      <c r="H24" s="600">
        <f>G24+'[3]6'!H24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18577</v>
      </c>
      <c r="F27" s="641">
        <v>9.5</v>
      </c>
      <c r="G27" s="642">
        <f>E27*F27</f>
        <v>176481.5</v>
      </c>
      <c r="H27" s="600">
        <f>G27+'[3]6'!H27</f>
        <v>1230221.5</v>
      </c>
      <c r="I27" s="643"/>
      <c r="J27" s="693">
        <f>H27/DAY(B2)</f>
        <v>175745.92857142858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527.36800000001676</v>
      </c>
      <c r="F28" s="641">
        <v>36.5</v>
      </c>
      <c r="G28" s="642">
        <f>E28*F28</f>
        <v>19248.932000000612</v>
      </c>
      <c r="H28" s="600">
        <f>G28+'[3]6'!H28</f>
        <v>131085.66200000129</v>
      </c>
      <c r="I28" s="645"/>
      <c r="J28" s="693">
        <f>H28/DAY(B2)</f>
        <v>18726.523142857328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45</v>
      </c>
      <c r="F30" s="641">
        <v>145</v>
      </c>
      <c r="G30" s="642">
        <f>E30*F30</f>
        <v>6525</v>
      </c>
      <c r="H30" s="600">
        <f>G30+'[3]6'!H30</f>
        <v>51620</v>
      </c>
      <c r="I30" s="645"/>
      <c r="J30" s="693">
        <f>H30/DAY(B2)</f>
        <v>7374.2857142857147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>E31*F31</f>
        <v>8800</v>
      </c>
      <c r="H31" s="600">
        <f>G31+'[3]6'!H31</f>
        <v>60800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1216">
        <f>G27+G28+G29+G30+G31</f>
        <v>211055.43200000061</v>
      </c>
      <c r="H32" s="600">
        <f>G32+'[3]6'!H32</f>
        <v>1473727.1620000014</v>
      </c>
      <c r="I32" s="649"/>
      <c r="J32" s="693">
        <f>H32/DAY(B2)</f>
        <v>210532.45171428591</v>
      </c>
      <c r="K32" s="417"/>
      <c r="L32" s="547"/>
      <c r="N32" s="426"/>
    </row>
    <row r="33" spans="1:14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'[3]6'!F35</f>
        <v>618698.31000000006</v>
      </c>
      <c r="F35" s="650">
        <v>621195.67000000004</v>
      </c>
      <c r="G35" s="613">
        <f t="shared" ref="G35:G46" si="3">F35-E35</f>
        <v>2497.359999999986</v>
      </c>
      <c r="H35" s="600">
        <f>G35+'[3]6'!H35</f>
        <v>17852.20000000007</v>
      </c>
      <c r="I35" s="595"/>
      <c r="J35" s="693">
        <f>H35/DAY(B2)</f>
        <v>2550.3142857142957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'[3]6'!F36</f>
        <v>214909.63</v>
      </c>
      <c r="F36" s="650">
        <v>215532.85</v>
      </c>
      <c r="G36" s="613">
        <f t="shared" si="3"/>
        <v>623.22000000000116</v>
      </c>
      <c r="H36" s="600">
        <f>G36+'[3]6'!H36</f>
        <v>4172.8999999999942</v>
      </c>
      <c r="I36" s="595"/>
      <c r="J36" s="693">
        <f>H36/DAY(B2)</f>
        <v>596.12857142857058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'[3]6'!F37</f>
        <v>408847.43</v>
      </c>
      <c r="F37" s="650">
        <v>410385.19</v>
      </c>
      <c r="G37" s="613">
        <f t="shared" si="3"/>
        <v>1537.7600000000093</v>
      </c>
      <c r="H37" s="600">
        <f>G37+'[3]6'!H37</f>
        <v>10541</v>
      </c>
      <c r="I37" s="595"/>
      <c r="J37" s="693">
        <f>H37/DAY(B2)</f>
        <v>1505.8571428571429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'[3]6'!F38</f>
        <v>150714.38</v>
      </c>
      <c r="F38" s="609">
        <v>150714</v>
      </c>
      <c r="G38" s="613">
        <f t="shared" si="3"/>
        <v>-0.38000000000465661</v>
      </c>
      <c r="H38" s="600">
        <f>G38+'[3]6'!H38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'[3]6'!F39</f>
        <v>895612.87</v>
      </c>
      <c r="F39" s="650">
        <v>899625.43</v>
      </c>
      <c r="G39" s="613">
        <f t="shared" si="3"/>
        <v>4012.5600000000559</v>
      </c>
      <c r="H39" s="600">
        <f>G39+'[3]6'!H39</f>
        <v>27500.720000000088</v>
      </c>
      <c r="I39" s="595"/>
      <c r="J39" s="693">
        <f>H39/DAY(B2)</f>
        <v>3928.6742857142985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'[3]6'!F40</f>
        <v>0.17</v>
      </c>
      <c r="F40" s="650">
        <v>0.17</v>
      </c>
      <c r="G40" s="613">
        <f t="shared" si="3"/>
        <v>0</v>
      </c>
      <c r="H40" s="600">
        <f>G40+'[3]6'!H40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'[3]6'!F41</f>
        <v>300127.90000000002</v>
      </c>
      <c r="F41" s="650">
        <v>300127.90000000002</v>
      </c>
      <c r="G41" s="613">
        <f t="shared" si="3"/>
        <v>0</v>
      </c>
      <c r="H41" s="600">
        <f>G41+'[3]6'!H41</f>
        <v>-6.9999999948777258E-2</v>
      </c>
      <c r="I41" s="595"/>
      <c r="J41" s="693">
        <f>H41/DAY(B2)</f>
        <v>-9.9999999926824647E-3</v>
      </c>
      <c r="K41" s="527"/>
      <c r="L41" s="421"/>
      <c r="N41" s="426"/>
    </row>
    <row r="42" spans="1:14">
      <c r="A42" s="728" t="s">
        <v>182</v>
      </c>
      <c r="B42" s="729"/>
      <c r="C42" s="729"/>
      <c r="D42" s="664" t="s">
        <v>143</v>
      </c>
      <c r="E42" s="1218">
        <f>'[3]6'!F42</f>
        <v>396197.4</v>
      </c>
      <c r="F42" s="1218">
        <v>396197.4</v>
      </c>
      <c r="G42" s="932">
        <f t="shared" si="3"/>
        <v>0</v>
      </c>
      <c r="H42" s="600">
        <f>G42+'[3]6'!H42</f>
        <v>-6.9999999948777258E-2</v>
      </c>
      <c r="I42" s="595"/>
      <c r="J42" s="693">
        <f>H42/DAY(B2)</f>
        <v>-9.9999999926824647E-3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'[3]6'!F43</f>
        <v>572565.15</v>
      </c>
      <c r="F43" s="650">
        <v>574902.63</v>
      </c>
      <c r="G43" s="613">
        <f t="shared" si="3"/>
        <v>2337.4799999999814</v>
      </c>
      <c r="H43" s="600">
        <f>G43+'[3]6'!H43</f>
        <v>16578.560000000056</v>
      </c>
      <c r="I43" s="595"/>
      <c r="J43" s="693">
        <f>H43/DAY(B2)</f>
        <v>2368.3657142857223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'[3]6'!F44</f>
        <v>0</v>
      </c>
      <c r="F44" s="650">
        <v>0</v>
      </c>
      <c r="G44" s="613">
        <f t="shared" si="3"/>
        <v>0</v>
      </c>
      <c r="H44" s="600">
        <f>G44+'[3]6'!H44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'[3]6'!F45</f>
        <v>614</v>
      </c>
      <c r="F45" s="650">
        <v>614</v>
      </c>
      <c r="G45" s="613">
        <f t="shared" si="3"/>
        <v>0</v>
      </c>
      <c r="H45" s="600">
        <f>G45+'[3]6'!H45</f>
        <v>-0.48000000000001819</v>
      </c>
      <c r="I45" s="595"/>
      <c r="J45" s="693">
        <f>H45/DAY(B2)</f>
        <v>-6.857142857143117E-2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'[3]6'!F46</f>
        <v>187</v>
      </c>
      <c r="F46" s="650">
        <v>187</v>
      </c>
      <c r="G46" s="613">
        <f t="shared" si="3"/>
        <v>0</v>
      </c>
      <c r="H46" s="600">
        <f>G46+'[3]6'!H46</f>
        <v>-0.49000000000000909</v>
      </c>
      <c r="I46" s="595"/>
      <c r="J46" s="693">
        <f>H46/DAY(B2)</f>
        <v>-7.0000000000001297E-2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11008.000000000029</v>
      </c>
      <c r="H47" s="600">
        <f>G47+'[3]6'!H47</f>
        <v>76644.27000000031</v>
      </c>
      <c r="I47" s="595"/>
      <c r="J47" s="693">
        <f>H47/DAY(B2)</f>
        <v>10949.181428571474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'[3]6'!F49</f>
        <v>11728.38</v>
      </c>
      <c r="F49" s="650">
        <v>11728.38</v>
      </c>
      <c r="G49" s="613">
        <f t="shared" ref="G49:G58" si="4">F49-E49</f>
        <v>0</v>
      </c>
      <c r="H49" s="600">
        <f>G49+'[3]6'!H49</f>
        <v>-0.45800000000053842</v>
      </c>
      <c r="I49" s="595"/>
      <c r="J49" s="693">
        <f>H49/DAY(B2)</f>
        <v>-6.5428571428648344E-2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'[3]6'!F50</f>
        <v>269690.23</v>
      </c>
      <c r="F50" s="650">
        <v>270636.57</v>
      </c>
      <c r="G50" s="613">
        <f t="shared" si="4"/>
        <v>946.34000000002561</v>
      </c>
      <c r="H50" s="600">
        <f>G50+'[3]6'!H50</f>
        <v>6830</v>
      </c>
      <c r="I50" s="595"/>
      <c r="J50" s="693">
        <f>H50/DAY(B2)</f>
        <v>975.71428571428567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'[3]6'!F51</f>
        <v>0</v>
      </c>
      <c r="F51" s="650">
        <v>0</v>
      </c>
      <c r="G51" s="613">
        <f t="shared" si="4"/>
        <v>0</v>
      </c>
      <c r="H51" s="600">
        <f>G51+'[3]6'!H51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'[3]6'!F52</f>
        <v>329160.19</v>
      </c>
      <c r="F52" s="650">
        <v>330862.53000000003</v>
      </c>
      <c r="G52" s="613">
        <f t="shared" si="4"/>
        <v>1702.3400000000256</v>
      </c>
      <c r="H52" s="600">
        <f>G52+'[3]6'!H52</f>
        <v>12197.840000000026</v>
      </c>
      <c r="I52" s="595"/>
      <c r="J52" s="693">
        <f>H52/DAY(B2)</f>
        <v>1742.5485714285751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'[3]6'!F53</f>
        <v>16071</v>
      </c>
      <c r="F53" s="650">
        <v>16071</v>
      </c>
      <c r="G53" s="613">
        <f t="shared" si="4"/>
        <v>0</v>
      </c>
      <c r="H53" s="600">
        <f>G53+'[3]6'!H53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'[3]6'!F54</f>
        <v>1842.5495000000001</v>
      </c>
      <c r="F54" s="650">
        <v>1915.2147</v>
      </c>
      <c r="G54" s="613">
        <f t="shared" si="4"/>
        <v>72.665199999999913</v>
      </c>
      <c r="H54" s="600">
        <f>G54+'[3]6'!H54</f>
        <v>511.54970000000003</v>
      </c>
      <c r="I54" s="595"/>
      <c r="J54" s="693">
        <f>H54/DAY(B2)</f>
        <v>73.078528571428578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'[3]6'!F55</f>
        <v>158492.73000000001</v>
      </c>
      <c r="F55" s="790">
        <v>158492.73000000001</v>
      </c>
      <c r="G55" s="789">
        <f t="shared" si="4"/>
        <v>0</v>
      </c>
      <c r="H55" s="861">
        <f>G55+'[3]6'!H55</f>
        <v>-0.26999999998952262</v>
      </c>
      <c r="I55" s="862"/>
      <c r="J55" s="863">
        <f>H55/DAY(B2)</f>
        <v>-3.8571428569931801E-2</v>
      </c>
      <c r="K55" s="527"/>
      <c r="L55" s="421"/>
      <c r="N55" s="426"/>
    </row>
    <row r="56" spans="1:14">
      <c r="A56" s="728" t="s">
        <v>193</v>
      </c>
      <c r="B56" s="1226"/>
      <c r="C56" s="1226"/>
      <c r="D56" s="664" t="s">
        <v>194</v>
      </c>
      <c r="E56" s="1197">
        <f>'[3]6'!F56</f>
        <v>328865.15000000002</v>
      </c>
      <c r="F56" s="1197">
        <v>333140.39</v>
      </c>
      <c r="G56" s="613">
        <f t="shared" si="4"/>
        <v>4275.2399999999907</v>
      </c>
      <c r="H56" s="600">
        <f>G56+'[3]6'!H56</f>
        <v>29150.600000000035</v>
      </c>
      <c r="I56" s="595"/>
      <c r="J56" s="693">
        <f>H56/DAY(B2)</f>
        <v>4164.3714285714332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'[3]6'!F57</f>
        <v>0</v>
      </c>
      <c r="F57" s="650">
        <v>0</v>
      </c>
      <c r="G57" s="613">
        <f t="shared" si="4"/>
        <v>0</v>
      </c>
      <c r="H57" s="600">
        <f>G57+'[3]6'!H57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'[3]6'!F58</f>
        <v>17990.683000000001</v>
      </c>
      <c r="F58" s="790">
        <v>18035.512999999999</v>
      </c>
      <c r="G58" s="613">
        <f t="shared" si="4"/>
        <v>44.829999999998108</v>
      </c>
      <c r="H58" s="600">
        <f>G58+'[3]6'!H58</f>
        <v>571.24199999999837</v>
      </c>
      <c r="I58" s="595"/>
      <c r="J58" s="693">
        <f>H58/DAY(B2)</f>
        <v>81.605999999999767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7041.4152000000395</v>
      </c>
      <c r="H59" s="600">
        <f>G59+'[3]6'!H59</f>
        <v>49260.503700000067</v>
      </c>
      <c r="I59" s="595">
        <f>G7-G60</f>
        <v>462.58479999993142</v>
      </c>
      <c r="J59" s="693">
        <f>H59/DAY(B2)</f>
        <v>7037.2148142857241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18049.415200000069</v>
      </c>
      <c r="H60" s="600">
        <f>G60+'[3]6'!H60</f>
        <v>125904.7737000004</v>
      </c>
      <c r="I60" s="595">
        <f>G13-G60</f>
        <v>-189.41520000006858</v>
      </c>
      <c r="J60" s="693">
        <f>H60/DAY(B2)</f>
        <v>17986.396242857201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'[3]6'!F62</f>
        <v>20419</v>
      </c>
      <c r="F62" s="654">
        <v>20419</v>
      </c>
      <c r="G62" s="613">
        <f t="shared" ref="G62:G69" si="5">F62-E62</f>
        <v>0</v>
      </c>
      <c r="H62" s="600">
        <f>G62+'[3]6'!H62</f>
        <v>-0.3779999999969732</v>
      </c>
      <c r="I62" s="655"/>
      <c r="J62" s="693">
        <f>H62/DAY(B2)</f>
        <v>-5.3999999999567602E-2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'[3]6'!F63</f>
        <v>414.94</v>
      </c>
      <c r="F63" s="654">
        <v>433.43</v>
      </c>
      <c r="G63" s="613">
        <f t="shared" si="5"/>
        <v>18.490000000000009</v>
      </c>
      <c r="H63" s="600">
        <f>G63+'[3]6'!H63</f>
        <v>134.97000000000003</v>
      </c>
      <c r="I63" s="655"/>
      <c r="J63" s="693">
        <f>H63/DAY(B2)</f>
        <v>19.281428571428574</v>
      </c>
      <c r="K63" s="527"/>
      <c r="L63" s="421"/>
      <c r="N63" s="426"/>
    </row>
    <row r="64" spans="1:14" ht="27.75">
      <c r="A64" s="1429" t="s">
        <v>107</v>
      </c>
      <c r="B64" s="1430"/>
      <c r="C64" s="1431"/>
      <c r="D64" s="663" t="s">
        <v>198</v>
      </c>
      <c r="E64" s="624">
        <f>'[3]6'!F64</f>
        <v>78247.510999999999</v>
      </c>
      <c r="F64" s="618">
        <v>78597.407000000007</v>
      </c>
      <c r="G64" s="613">
        <f t="shared" si="5"/>
        <v>349.89600000000792</v>
      </c>
      <c r="H64" s="600">
        <f>G64+'[3]6'!H64</f>
        <v>2534.320000000007</v>
      </c>
      <c r="I64" s="620"/>
      <c r="J64" s="693">
        <f>H64/DAY(B2)</f>
        <v>362.04571428571529</v>
      </c>
      <c r="K64" s="527"/>
      <c r="L64" s="421"/>
      <c r="N64" s="426"/>
    </row>
    <row r="65" spans="1:14" ht="27.75">
      <c r="A65" s="1429" t="s">
        <v>108</v>
      </c>
      <c r="B65" s="1430"/>
      <c r="C65" s="1431"/>
      <c r="D65" s="663" t="s">
        <v>198</v>
      </c>
      <c r="E65" s="624">
        <f>'[3]6'!F65</f>
        <v>87506.175000000003</v>
      </c>
      <c r="F65" s="788">
        <v>87898.743000000002</v>
      </c>
      <c r="G65" s="613">
        <f t="shared" si="5"/>
        <v>392.5679999999993</v>
      </c>
      <c r="H65" s="600">
        <f>G65+'[3]6'!H65</f>
        <v>2739.4799999999959</v>
      </c>
      <c r="I65" s="629"/>
      <c r="J65" s="693">
        <f>H65/DAY(B2)</f>
        <v>391.35428571428514</v>
      </c>
      <c r="K65" s="527"/>
      <c r="L65" s="421"/>
      <c r="N65" s="426"/>
    </row>
    <row r="66" spans="1:14" ht="27.75">
      <c r="A66" s="1429" t="s">
        <v>109</v>
      </c>
      <c r="B66" s="1430"/>
      <c r="C66" s="1431"/>
      <c r="D66" s="663" t="s">
        <v>198</v>
      </c>
      <c r="E66" s="624">
        <f>'[3]6'!F66</f>
        <v>80504.095000000001</v>
      </c>
      <c r="F66" s="618">
        <v>80882.663</v>
      </c>
      <c r="G66" s="613">
        <f t="shared" si="5"/>
        <v>378.5679999999993</v>
      </c>
      <c r="H66" s="600">
        <f>G66+'[3]6'!H66</f>
        <v>2694.7050000000017</v>
      </c>
      <c r="I66" s="620"/>
      <c r="J66" s="693">
        <f>H66/DAY(B2)</f>
        <v>384.95785714285739</v>
      </c>
      <c r="K66" s="527"/>
      <c r="L66" s="421"/>
      <c r="N66" s="426"/>
    </row>
    <row r="67" spans="1:14" ht="27.75">
      <c r="A67" s="1429" t="s">
        <v>110</v>
      </c>
      <c r="B67" s="1430"/>
      <c r="C67" s="1431"/>
      <c r="D67" s="663" t="s">
        <v>198</v>
      </c>
      <c r="E67" s="624">
        <f>'[3]6'!F67</f>
        <v>129809.24</v>
      </c>
      <c r="F67" s="618">
        <v>130507.66</v>
      </c>
      <c r="G67" s="613">
        <f t="shared" si="5"/>
        <v>698.41999999999825</v>
      </c>
      <c r="H67" s="600">
        <f>G67+'[3]6'!H67</f>
        <v>4451.1600000000035</v>
      </c>
      <c r="I67" s="629"/>
      <c r="J67" s="693">
        <f>H67/DAY(B2)</f>
        <v>635.88000000000045</v>
      </c>
      <c r="K67" s="528"/>
      <c r="L67" s="421"/>
      <c r="N67" s="426"/>
    </row>
    <row r="68" spans="1:14" ht="27.75">
      <c r="A68" s="1429" t="s">
        <v>111</v>
      </c>
      <c r="B68" s="1430"/>
      <c r="C68" s="1431"/>
      <c r="D68" s="663" t="s">
        <v>198</v>
      </c>
      <c r="E68" s="624">
        <f>'[3]6'!F68</f>
        <v>35253.822999999997</v>
      </c>
      <c r="F68" s="618">
        <v>35579.347000000002</v>
      </c>
      <c r="G68" s="613">
        <f t="shared" si="5"/>
        <v>325.52400000000489</v>
      </c>
      <c r="H68" s="600">
        <f>G68+'[3]6'!H68</f>
        <v>2179.4780000000028</v>
      </c>
      <c r="I68" s="656"/>
      <c r="J68" s="693">
        <f>H68/DAY(B2)</f>
        <v>311.35400000000038</v>
      </c>
      <c r="K68" s="529"/>
      <c r="L68" s="421"/>
      <c r="N68" s="426"/>
    </row>
    <row r="69" spans="1:14" ht="27.75">
      <c r="A69" s="1429" t="s">
        <v>112</v>
      </c>
      <c r="B69" s="1430"/>
      <c r="C69" s="1431"/>
      <c r="D69" s="663" t="s">
        <v>198</v>
      </c>
      <c r="E69" s="624">
        <f>'[3]6'!F69</f>
        <v>30670.811000000002</v>
      </c>
      <c r="F69" s="618">
        <v>30948.825000000001</v>
      </c>
      <c r="G69" s="613">
        <f t="shared" si="5"/>
        <v>278.01399999999921</v>
      </c>
      <c r="H69" s="600">
        <f>G69+'[3]6'!H69</f>
        <v>1696.4599999999991</v>
      </c>
      <c r="I69" s="656"/>
      <c r="J69" s="693">
        <f>H69/DAY(B2)</f>
        <v>242.35142857142844</v>
      </c>
      <c r="K69" s="530"/>
      <c r="L69" s="421"/>
      <c r="N69" s="426"/>
    </row>
    <row r="70" spans="1:14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</row>
    <row r="72" spans="1:14" ht="27.75">
      <c r="A72" s="1429" t="s">
        <v>202</v>
      </c>
      <c r="B72" s="1430"/>
      <c r="C72" s="1431"/>
      <c r="D72" s="663" t="s">
        <v>198</v>
      </c>
      <c r="E72" s="659">
        <f>'[3]6'!F72</f>
        <v>843974</v>
      </c>
      <c r="F72" s="791">
        <v>843984</v>
      </c>
      <c r="G72" s="613">
        <f t="shared" ref="G72:G84" si="6">F72-E72</f>
        <v>10</v>
      </c>
      <c r="H72" s="600">
        <f>G72+'[3]6'!H72</f>
        <v>51</v>
      </c>
      <c r="I72" s="620"/>
      <c r="J72" s="693">
        <f>H72/DAY(B2)</f>
        <v>7.2857142857142856</v>
      </c>
      <c r="K72" s="530"/>
      <c r="L72" s="421"/>
      <c r="N72" s="426"/>
    </row>
    <row r="73" spans="1:14" ht="27.75">
      <c r="A73" s="1429" t="s">
        <v>203</v>
      </c>
      <c r="B73" s="1430"/>
      <c r="C73" s="1431"/>
      <c r="D73" s="663" t="s">
        <v>198</v>
      </c>
      <c r="E73" s="660">
        <f>'[3]6'!F73</f>
        <v>885220</v>
      </c>
      <c r="F73" s="792">
        <v>885221</v>
      </c>
      <c r="G73" s="789">
        <f t="shared" si="6"/>
        <v>1</v>
      </c>
      <c r="H73" s="600">
        <f>G73+'[3]6'!H73</f>
        <v>6</v>
      </c>
      <c r="I73" s="620"/>
      <c r="J73" s="693">
        <f>H73/DAY(B2)</f>
        <v>0.8571428571428571</v>
      </c>
      <c r="K73" s="529"/>
      <c r="L73" s="421"/>
      <c r="N73" s="426"/>
    </row>
    <row r="74" spans="1:14" ht="27.75">
      <c r="A74" s="1429" t="s">
        <v>204</v>
      </c>
      <c r="B74" s="1430"/>
      <c r="C74" s="1431"/>
      <c r="D74" s="663" t="s">
        <v>198</v>
      </c>
      <c r="E74" s="661">
        <f>'[3]6'!F74</f>
        <v>879736</v>
      </c>
      <c r="F74" s="791">
        <v>879751</v>
      </c>
      <c r="G74" s="613">
        <f t="shared" si="6"/>
        <v>15</v>
      </c>
      <c r="H74" s="600">
        <f>G74+'[3]6'!H74</f>
        <v>115</v>
      </c>
      <c r="I74" s="620"/>
      <c r="J74" s="693">
        <f>H74/DAY(B2)</f>
        <v>16.428571428571427</v>
      </c>
      <c r="K74" s="530"/>
      <c r="L74" s="421"/>
      <c r="N74" s="426"/>
    </row>
    <row r="75" spans="1:14" ht="27.75">
      <c r="A75" s="1408" t="s">
        <v>205</v>
      </c>
      <c r="B75" s="1409"/>
      <c r="C75" s="1410"/>
      <c r="D75" s="663" t="s">
        <v>198</v>
      </c>
      <c r="E75" s="660">
        <f>'[3]6'!F75</f>
        <v>722305</v>
      </c>
      <c r="F75" s="792">
        <v>722462</v>
      </c>
      <c r="G75" s="613">
        <f t="shared" si="6"/>
        <v>157</v>
      </c>
      <c r="H75" s="600">
        <f>G75+'[3]6'!H75</f>
        <v>1096</v>
      </c>
      <c r="I75" s="620"/>
      <c r="J75" s="693">
        <f>H75/DAY(B2)</f>
        <v>156.57142857142858</v>
      </c>
      <c r="K75" s="529"/>
      <c r="L75" s="421"/>
      <c r="N75" s="426"/>
    </row>
    <row r="76" spans="1:14" ht="27.75">
      <c r="A76" s="1408" t="s">
        <v>206</v>
      </c>
      <c r="B76" s="1409"/>
      <c r="C76" s="1410"/>
      <c r="D76" s="663" t="s">
        <v>198</v>
      </c>
      <c r="E76" s="660">
        <f>'[3]6'!F76</f>
        <v>680050</v>
      </c>
      <c r="F76" s="792">
        <v>680111</v>
      </c>
      <c r="G76" s="613">
        <f t="shared" si="6"/>
        <v>61</v>
      </c>
      <c r="H76" s="600">
        <f>G76+'[3]6'!H76</f>
        <v>459</v>
      </c>
      <c r="I76" s="645"/>
      <c r="J76" s="693">
        <f>H76/DAY(B2)</f>
        <v>65.571428571428569</v>
      </c>
      <c r="K76" s="529"/>
      <c r="L76" s="421"/>
      <c r="N76" s="426"/>
    </row>
    <row r="77" spans="1:14" ht="27.75">
      <c r="A77" s="1429" t="s">
        <v>207</v>
      </c>
      <c r="B77" s="1430"/>
      <c r="C77" s="1431"/>
      <c r="D77" s="663" t="s">
        <v>198</v>
      </c>
      <c r="E77" s="660">
        <f>'[3]6'!F77</f>
        <v>692554</v>
      </c>
      <c r="F77" s="792">
        <v>692599</v>
      </c>
      <c r="G77" s="789">
        <f t="shared" si="6"/>
        <v>45</v>
      </c>
      <c r="H77" s="600">
        <f>G77+'[3]6'!H77</f>
        <v>292</v>
      </c>
      <c r="I77" s="645"/>
      <c r="J77" s="693">
        <f>H77/DAY(B2)</f>
        <v>41.714285714285715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'[3]6'!F78</f>
        <v>609738</v>
      </c>
      <c r="F78" s="793">
        <v>610102</v>
      </c>
      <c r="G78" s="613">
        <f t="shared" si="6"/>
        <v>364</v>
      </c>
      <c r="H78" s="600">
        <f>G78+'[3]6'!H78</f>
        <v>2088</v>
      </c>
      <c r="I78" s="645"/>
      <c r="J78" s="693">
        <f>H78/DAY(B2)</f>
        <v>298.28571428571428</v>
      </c>
      <c r="K78" s="529"/>
      <c r="L78" s="421"/>
      <c r="N78" s="426"/>
    </row>
    <row r="79" spans="1:14" ht="27.75">
      <c r="A79" s="1408" t="s">
        <v>97</v>
      </c>
      <c r="B79" s="1409"/>
      <c r="C79" s="1410"/>
      <c r="D79" s="664" t="s">
        <v>198</v>
      </c>
      <c r="E79" s="661">
        <f>'[3]6'!F79</f>
        <v>793765</v>
      </c>
      <c r="F79" s="793">
        <v>793911</v>
      </c>
      <c r="G79" s="613">
        <f t="shared" si="6"/>
        <v>146</v>
      </c>
      <c r="H79" s="600">
        <f>G79+'[3]6'!H79</f>
        <v>1123</v>
      </c>
      <c r="I79" s="645"/>
      <c r="J79" s="693">
        <f>H79/DAY(B2)</f>
        <v>160.42857142857142</v>
      </c>
      <c r="K79" s="529"/>
      <c r="L79" s="421"/>
      <c r="N79" s="426"/>
    </row>
    <row r="80" spans="1:14" ht="27.75">
      <c r="A80" s="1408" t="s">
        <v>209</v>
      </c>
      <c r="B80" s="1409"/>
      <c r="C80" s="1410"/>
      <c r="D80" s="664" t="s">
        <v>198</v>
      </c>
      <c r="E80" s="660">
        <f>'[3]6'!F80</f>
        <v>458541.16</v>
      </c>
      <c r="F80" s="792">
        <v>458828.28</v>
      </c>
      <c r="G80" s="613">
        <f t="shared" si="6"/>
        <v>287.12000000005355</v>
      </c>
      <c r="H80" s="600">
        <f>G80+'[3]6'!H80</f>
        <v>1963.2400000000489</v>
      </c>
      <c r="I80" s="645"/>
      <c r="J80" s="693">
        <f>H80/DAY(B2)</f>
        <v>280.46285714286415</v>
      </c>
      <c r="K80" s="529"/>
      <c r="L80" s="421"/>
      <c r="N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'[3]6'!F81</f>
        <v>611708.64</v>
      </c>
      <c r="F81" s="792">
        <v>611823.31999999995</v>
      </c>
      <c r="G81" s="613">
        <f t="shared" si="6"/>
        <v>114.67999999993481</v>
      </c>
      <c r="H81" s="600">
        <f>G81+'[3]6'!H81</f>
        <v>701.03999999992084</v>
      </c>
      <c r="I81" s="645"/>
      <c r="J81" s="693">
        <f>H81/DAY(B2)</f>
        <v>100.14857142856012</v>
      </c>
      <c r="K81" s="529"/>
      <c r="L81" s="421"/>
      <c r="N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'[3]6'!F82</f>
        <v>103129.03</v>
      </c>
      <c r="F82" s="788">
        <v>103165.17</v>
      </c>
      <c r="G82" s="613">
        <f t="shared" si="6"/>
        <v>36.139999999999418</v>
      </c>
      <c r="H82" s="600">
        <f>G82+'[3]6'!H82</f>
        <v>135.22000000000116</v>
      </c>
      <c r="I82" s="626"/>
      <c r="J82" s="693">
        <f>H82/DAY(B2)</f>
        <v>19.317142857143022</v>
      </c>
      <c r="K82" s="529"/>
      <c r="L82" s="421"/>
      <c r="N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'[3]6'!F83</f>
        <v>954485</v>
      </c>
      <c r="F83" s="651">
        <v>954817</v>
      </c>
      <c r="G83" s="613">
        <f t="shared" si="6"/>
        <v>332</v>
      </c>
      <c r="H83" s="600">
        <f>G83+'[3]6'!H83</f>
        <v>2574</v>
      </c>
      <c r="I83" s="621"/>
      <c r="J83" s="693">
        <f>H83/DAY(B2)</f>
        <v>367.71428571428572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'[3]6'!F84</f>
        <v>369978</v>
      </c>
      <c r="F84" s="768">
        <v>370402</v>
      </c>
      <c r="G84" s="613">
        <f t="shared" si="6"/>
        <v>424</v>
      </c>
      <c r="H84" s="600">
        <f>G84+'[3]6'!H84</f>
        <v>3969</v>
      </c>
      <c r="I84" s="621"/>
      <c r="J84" s="693">
        <f>H84/DAY(B2)</f>
        <v>567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1992.9399999999878</v>
      </c>
      <c r="H85" s="600">
        <f>G85+'[3]6'!H85</f>
        <v>12907.759999999966</v>
      </c>
      <c r="I85" s="621"/>
      <c r="J85" s="693">
        <f>H85/DAY(B2)</f>
        <v>1843.9657142857093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788" t="s">
        <v>194</v>
      </c>
      <c r="E86" s="768">
        <f>'[3]6'!F86</f>
        <v>437690.04</v>
      </c>
      <c r="F86" s="784">
        <v>437840.44</v>
      </c>
      <c r="G86" s="861">
        <f t="shared" ref="G86:G90" si="7">F86-E86</f>
        <v>150.40000000002328</v>
      </c>
      <c r="H86" s="861">
        <f t="shared" ref="H86:H88" si="8">G86</f>
        <v>150.40000000002328</v>
      </c>
      <c r="I86" s="789"/>
      <c r="J86" s="863">
        <f>H86/DAY(B2)</f>
        <v>21.485714285717613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788" t="s">
        <v>194</v>
      </c>
      <c r="E87" s="768">
        <f>'[3]6'!F87</f>
        <v>76260</v>
      </c>
      <c r="F87" s="784">
        <v>76277.399999999994</v>
      </c>
      <c r="G87" s="861">
        <f t="shared" si="7"/>
        <v>17.399999999994179</v>
      </c>
      <c r="H87" s="861">
        <f t="shared" si="8"/>
        <v>17.399999999994179</v>
      </c>
      <c r="I87" s="789"/>
      <c r="J87" s="863">
        <f>H87/DAY(B2)</f>
        <v>2.485714285713454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788" t="s">
        <v>194</v>
      </c>
      <c r="E88" s="768">
        <f>'[3]6'!F88</f>
        <v>140491.20000000001</v>
      </c>
      <c r="F88" s="784">
        <v>140516.85999999999</v>
      </c>
      <c r="G88" s="861">
        <f t="shared" si="7"/>
        <v>25.659999999974389</v>
      </c>
      <c r="H88" s="861">
        <f t="shared" si="8"/>
        <v>25.659999999974389</v>
      </c>
      <c r="I88" s="789"/>
      <c r="J88" s="863">
        <f>H88/DAY(B2)</f>
        <v>3.6657142857106271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788" t="s">
        <v>194</v>
      </c>
      <c r="E89" s="768">
        <f>'[3]6'!F89</f>
        <v>54425</v>
      </c>
      <c r="F89" s="784">
        <v>54474.2</v>
      </c>
      <c r="G89" s="861">
        <f t="shared" si="7"/>
        <v>49.19999999999709</v>
      </c>
      <c r="H89" s="861">
        <f>G89</f>
        <v>49.19999999999709</v>
      </c>
      <c r="I89" s="789"/>
      <c r="J89" s="863">
        <f>H89/DAY(B2)</f>
        <v>7.0285714285710128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788" t="s">
        <v>194</v>
      </c>
      <c r="E90" s="768">
        <f>'[3]6'!F90</f>
        <v>2808.7</v>
      </c>
      <c r="F90" s="784">
        <v>2811.1</v>
      </c>
      <c r="G90" s="861">
        <f t="shared" si="7"/>
        <v>2.4000000000000909</v>
      </c>
      <c r="H90" s="861">
        <f>G90</f>
        <v>2.4000000000000909</v>
      </c>
      <c r="I90" s="789"/>
      <c r="J90" s="863">
        <f>H90/DAY(B2)</f>
        <v>0.34285714285715585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'[3]6'!F92</f>
        <v>229140</v>
      </c>
      <c r="F92" s="618">
        <v>229227</v>
      </c>
      <c r="G92" s="613">
        <f t="shared" ref="G92:G93" si="9">F92-E92</f>
        <v>87</v>
      </c>
      <c r="H92" s="600">
        <f>G92+'[3]6'!H92</f>
        <v>632</v>
      </c>
      <c r="I92" s="620"/>
      <c r="J92" s="693">
        <f>H92/DAY(B2)</f>
        <v>90.285714285714292</v>
      </c>
      <c r="K92" s="528"/>
      <c r="L92" s="421"/>
      <c r="N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'[3]6'!F93</f>
        <v>159626</v>
      </c>
      <c r="F93" s="618">
        <v>159761</v>
      </c>
      <c r="G93" s="613">
        <f t="shared" si="9"/>
        <v>135</v>
      </c>
      <c r="H93" s="600">
        <f>G93+'[3]6'!H93</f>
        <v>1238</v>
      </c>
      <c r="I93" s="620"/>
      <c r="J93" s="693">
        <f>H93/DAY(B2)</f>
        <v>176.85714285714286</v>
      </c>
      <c r="K93" s="424"/>
      <c r="L93" s="421"/>
      <c r="N93" s="426"/>
    </row>
    <row r="94" spans="1:15">
      <c r="A94" s="1460" t="s">
        <v>219</v>
      </c>
      <c r="B94" s="1461"/>
      <c r="C94" s="1462"/>
      <c r="D94" s="663"/>
      <c r="E94" s="624">
        <f>'[3]6'!F94</f>
        <v>0</v>
      </c>
      <c r="F94" s="618"/>
      <c r="G94" s="613">
        <f>G92+G93</f>
        <v>222</v>
      </c>
      <c r="H94" s="600">
        <f>G94+'[3]6'!H94</f>
        <v>1580</v>
      </c>
      <c r="I94" s="620"/>
      <c r="J94" s="693">
        <f>H94/DAY(B2)</f>
        <v>225.71428571428572</v>
      </c>
      <c r="K94" s="424"/>
      <c r="L94" s="421"/>
      <c r="N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'[3]6'!F95</f>
        <v>400198</v>
      </c>
      <c r="F95" s="618">
        <v>400243</v>
      </c>
      <c r="G95" s="613">
        <f t="shared" ref="G95:G100" si="10">F95-E95</f>
        <v>45</v>
      </c>
      <c r="H95" s="600">
        <f>G95+'[3]6'!H95</f>
        <v>396</v>
      </c>
      <c r="I95" s="620"/>
      <c r="J95" s="693">
        <f>H95/DAY(B2)</f>
        <v>56.571428571428569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'[3]6'!F96</f>
        <v>98310</v>
      </c>
      <c r="F96" s="618">
        <v>98354</v>
      </c>
      <c r="G96" s="613">
        <f t="shared" si="10"/>
        <v>44</v>
      </c>
      <c r="H96" s="600">
        <f>G96+'[3]6'!H96</f>
        <v>345</v>
      </c>
      <c r="I96" s="620"/>
      <c r="J96" s="693">
        <f>H96/DAY(B2)</f>
        <v>49.285714285714285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'[3]6'!F97</f>
        <v>93701</v>
      </c>
      <c r="F97" s="618">
        <v>93720</v>
      </c>
      <c r="G97" s="613">
        <f t="shared" si="10"/>
        <v>19</v>
      </c>
      <c r="H97" s="600">
        <f>G97+'[3]6'!H97</f>
        <v>169</v>
      </c>
      <c r="I97" s="620"/>
      <c r="J97" s="693">
        <f>H97/DAY(B2)</f>
        <v>24.142857142857142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'[3]6'!F98</f>
        <v>141149</v>
      </c>
      <c r="F98" s="618">
        <v>141174</v>
      </c>
      <c r="G98" s="613">
        <f t="shared" si="10"/>
        <v>25</v>
      </c>
      <c r="H98" s="600">
        <f>G98+'[3]6'!H98</f>
        <v>269</v>
      </c>
      <c r="I98" s="620"/>
      <c r="J98" s="693">
        <f>H98/DAY(B2)</f>
        <v>38.428571428571431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'[3]6'!F99</f>
        <v>4773</v>
      </c>
      <c r="F99" s="618">
        <v>4780</v>
      </c>
      <c r="G99" s="613">
        <f t="shared" si="10"/>
        <v>7</v>
      </c>
      <c r="H99" s="600">
        <f>G99+'[3]6'!H99</f>
        <v>72</v>
      </c>
      <c r="I99" s="620"/>
      <c r="J99" s="693">
        <f>H99/DAY(B2)</f>
        <v>10.285714285714286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'[3]6'!F100</f>
        <v>3674</v>
      </c>
      <c r="F100" s="618">
        <v>3674</v>
      </c>
      <c r="G100" s="613">
        <f t="shared" si="10"/>
        <v>0</v>
      </c>
      <c r="H100" s="600">
        <f>G100+'[3]6'!H100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60" t="s">
        <v>227</v>
      </c>
      <c r="B101" s="1461"/>
      <c r="C101" s="1462"/>
      <c r="D101" s="664"/>
      <c r="E101" s="664"/>
      <c r="F101" s="664"/>
      <c r="G101" s="665">
        <f>SUM(G95:G100)</f>
        <v>140</v>
      </c>
      <c r="H101" s="600">
        <f>G101+'[3]6'!H101</f>
        <v>1251</v>
      </c>
      <c r="I101" s="666"/>
      <c r="J101" s="693">
        <f>H101/DAY(B2)</f>
        <v>178.71428571428572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21" t="s">
        <v>230</v>
      </c>
      <c r="B104" s="1422"/>
      <c r="C104" s="1376"/>
      <c r="D104" s="763" t="s">
        <v>155</v>
      </c>
      <c r="E104" s="672"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8.5714285714285712</v>
      </c>
      <c r="N104" s="426"/>
    </row>
    <row r="105" spans="1:14" s="544" customFormat="1" ht="27.75">
      <c r="A105" s="1421" t="s">
        <v>77</v>
      </c>
      <c r="B105" s="1422"/>
      <c r="C105" s="1376"/>
      <c r="D105" s="763" t="s">
        <v>155</v>
      </c>
      <c r="E105" s="672">
        <f>'[3]6'!F105</f>
        <v>34546</v>
      </c>
      <c r="F105" s="796">
        <v>34546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10</v>
      </c>
      <c r="N105" s="426"/>
    </row>
    <row r="106" spans="1:14" s="544" customFormat="1" ht="27.75">
      <c r="A106" s="1421" t="s">
        <v>78</v>
      </c>
      <c r="B106" s="1465"/>
      <c r="C106" s="1422"/>
      <c r="D106" s="763" t="s">
        <v>155</v>
      </c>
      <c r="E106" s="672">
        <f>'[3]6'!F106</f>
        <v>18649</v>
      </c>
      <c r="F106" s="796">
        <v>18653</v>
      </c>
      <c r="G106" s="672">
        <f t="shared" si="11"/>
        <v>4</v>
      </c>
      <c r="H106" s="673">
        <f>SUM(G106+'[3]1'!G78)</f>
        <v>333</v>
      </c>
      <c r="I106" s="672"/>
      <c r="J106" s="699">
        <f>H106/DAY(B2)</f>
        <v>47.571428571428569</v>
      </c>
      <c r="N106" s="426"/>
    </row>
    <row r="107" spans="1:14" s="544" customFormat="1" ht="27.75">
      <c r="A107" s="1423" t="s">
        <v>213</v>
      </c>
      <c r="B107" s="1424"/>
      <c r="C107" s="1376"/>
      <c r="D107" s="763"/>
      <c r="E107" s="672"/>
      <c r="F107" s="796"/>
      <c r="G107" s="672">
        <f>SUM(G104:G106)</f>
        <v>4</v>
      </c>
      <c r="H107" s="673">
        <f>SUM(G107+'[3]1'!G79)</f>
        <v>164</v>
      </c>
      <c r="I107" s="672"/>
      <c r="J107" s="699">
        <f>H107/DAY(B2)</f>
        <v>23.428571428571427</v>
      </c>
      <c r="N107" s="426"/>
    </row>
    <row r="108" spans="1:14" s="544" customFormat="1" ht="27.75">
      <c r="A108" s="1427" t="s">
        <v>79</v>
      </c>
      <c r="B108" s="1428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21" t="s">
        <v>231</v>
      </c>
      <c r="B109" s="1422"/>
      <c r="C109" s="1376"/>
      <c r="D109" s="763" t="s">
        <v>155</v>
      </c>
      <c r="E109" s="672">
        <f>'[3]6'!F109</f>
        <v>50072</v>
      </c>
      <c r="F109" s="796">
        <v>50111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17.285714285714285</v>
      </c>
      <c r="N109" s="426"/>
    </row>
    <row r="110" spans="1:14" s="544" customFormat="1" ht="27.75">
      <c r="A110" s="1421" t="s">
        <v>232</v>
      </c>
      <c r="B110" s="1422"/>
      <c r="C110" s="1376"/>
      <c r="D110" s="763" t="s">
        <v>155</v>
      </c>
      <c r="E110" s="672">
        <f>'[3]6'!F110</f>
        <v>24339</v>
      </c>
      <c r="F110" s="796">
        <v>24373</v>
      </c>
      <c r="G110" s="672">
        <f t="shared" ref="G110:G111" si="12">F110-E110</f>
        <v>34</v>
      </c>
      <c r="H110" s="673">
        <f>SUM(G110+'[3]1'!G82)</f>
        <v>59.740000000005239</v>
      </c>
      <c r="I110" s="672"/>
      <c r="J110" s="699">
        <f>H110/DAY(B2)</f>
        <v>8.5342857142864634</v>
      </c>
      <c r="N110" s="426"/>
    </row>
    <row r="111" spans="1:14" s="544" customFormat="1" ht="27.75">
      <c r="A111" s="1421" t="s">
        <v>233</v>
      </c>
      <c r="B111" s="1422"/>
      <c r="C111" s="1376"/>
      <c r="D111" s="763" t="s">
        <v>155</v>
      </c>
      <c r="E111" s="672">
        <f>'[3]6'!F111</f>
        <v>3228</v>
      </c>
      <c r="F111" s="796">
        <v>3228</v>
      </c>
      <c r="G111" s="672">
        <f t="shared" si="12"/>
        <v>0</v>
      </c>
      <c r="H111" s="673">
        <f>SUM(G111+'[3]1'!G83)</f>
        <v>446</v>
      </c>
      <c r="I111" s="672"/>
      <c r="J111" s="699">
        <f>H111/DAY(B2)</f>
        <v>63.714285714285715</v>
      </c>
      <c r="N111" s="426"/>
    </row>
    <row r="112" spans="1:14" s="544" customFormat="1" ht="27.75">
      <c r="A112" s="1423" t="s">
        <v>121</v>
      </c>
      <c r="B112" s="1424"/>
      <c r="C112" s="1376"/>
      <c r="D112" s="763"/>
      <c r="E112" s="672"/>
      <c r="F112" s="796"/>
      <c r="G112" s="672">
        <f>SUM(G109:G111)</f>
        <v>73</v>
      </c>
      <c r="H112" s="673">
        <f>SUM(G112+'[3]1'!G84)</f>
        <v>669</v>
      </c>
      <c r="I112" s="672"/>
      <c r="J112" s="699">
        <f>H112/DAY(B2)</f>
        <v>95.571428571428569</v>
      </c>
      <c r="N112" s="426"/>
    </row>
    <row r="113" spans="1:14" s="544" customFormat="1" ht="27.75">
      <c r="A113" s="1427" t="s">
        <v>234</v>
      </c>
      <c r="B113" s="1428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21" t="s">
        <v>235</v>
      </c>
      <c r="B114" s="1422"/>
      <c r="C114" s="715"/>
      <c r="D114" s="763" t="s">
        <v>155</v>
      </c>
      <c r="E114" s="672">
        <f>'[3]6'!F114</f>
        <v>8353</v>
      </c>
      <c r="F114" s="796">
        <v>8361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1.1428571428571428</v>
      </c>
      <c r="N114" s="426"/>
    </row>
    <row r="115" spans="1:14" s="544" customFormat="1" ht="27.75">
      <c r="A115" s="1421" t="s">
        <v>236</v>
      </c>
      <c r="B115" s="1422"/>
      <c r="C115" s="715"/>
      <c r="D115" s="763" t="s">
        <v>155</v>
      </c>
      <c r="E115" s="672">
        <f>'[3]6'!F115</f>
        <v>6576</v>
      </c>
      <c r="F115" s="796">
        <v>6581</v>
      </c>
      <c r="G115" s="674">
        <f t="shared" ref="G115:G116" si="13">F115-E115</f>
        <v>5</v>
      </c>
      <c r="H115" s="673">
        <f>SUM(G115+'[3]1'!G92)</f>
        <v>110</v>
      </c>
      <c r="I115" s="672"/>
      <c r="J115" s="699">
        <f>H115/DAY(B2)</f>
        <v>15.714285714285714</v>
      </c>
      <c r="N115" s="426"/>
    </row>
    <row r="116" spans="1:14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26.428571428571427</v>
      </c>
      <c r="N116" s="426"/>
    </row>
    <row r="117" spans="1:14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13</v>
      </c>
      <c r="H117" s="673">
        <f>SUM(G117+'[3]1'!G95)</f>
        <v>61</v>
      </c>
      <c r="I117" s="674"/>
      <c r="J117" s="699">
        <f>H117/DAY(B2)</f>
        <v>8.7142857142857135</v>
      </c>
      <c r="N117" s="426"/>
    </row>
    <row r="118" spans="1:14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132</v>
      </c>
      <c r="G118" s="676">
        <f>SUM(G19+G92)</f>
        <v>132</v>
      </c>
      <c r="H118" s="673">
        <f>SUM(G118+'[3]1'!G96)</f>
        <v>181</v>
      </c>
      <c r="I118" s="675"/>
      <c r="J118" s="700">
        <f>H118/DAY(B2)</f>
        <v>25.857142857142858</v>
      </c>
      <c r="N118" s="426"/>
    </row>
    <row r="119" spans="1:14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115</v>
      </c>
      <c r="G119" s="676">
        <f>SUM(G95,G96,G97,G99,G100)</f>
        <v>115</v>
      </c>
      <c r="H119" s="673">
        <f>SUM(G119+'[3]1'!G98)</f>
        <v>147</v>
      </c>
      <c r="I119" s="675"/>
      <c r="J119" s="700">
        <f>H119/DAY(B2)</f>
        <v>21</v>
      </c>
      <c r="N119" s="426"/>
    </row>
    <row r="120" spans="1:14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73</v>
      </c>
      <c r="G120" s="674">
        <f>SUM(G112)</f>
        <v>73</v>
      </c>
      <c r="H120" s="673">
        <f>SUM(G120+'[3]1'!G100)</f>
        <v>73</v>
      </c>
      <c r="I120" s="675"/>
      <c r="J120" s="700">
        <f>H120/DAY(B2)</f>
        <v>10.428571428571429</v>
      </c>
      <c r="N120" s="426"/>
    </row>
    <row r="121" spans="1:14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1219">
        <f>'[3]6'!F123</f>
        <v>784001.72</v>
      </c>
      <c r="F123" s="1219">
        <v>784193.69</v>
      </c>
      <c r="G123" s="1220">
        <f t="shared" ref="G123:G127" si="14">F123-E123</f>
        <v>191.96999999997206</v>
      </c>
      <c r="H123" s="600">
        <f>G123+'[3]6'!H123</f>
        <v>1268.8039999998873</v>
      </c>
      <c r="I123" s="666"/>
      <c r="J123" s="693">
        <f>H123/DAY(B2)</f>
        <v>181.2577142856982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625">
        <f>'[3]6'!F124</f>
        <v>73581</v>
      </c>
      <c r="F124" s="625">
        <v>73581</v>
      </c>
      <c r="G124" s="613">
        <f t="shared" si="14"/>
        <v>0</v>
      </c>
      <c r="H124" s="600">
        <f>G124+'[3]6'!H124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29" t="s">
        <v>244</v>
      </c>
      <c r="B125" s="1430"/>
      <c r="C125" s="1431"/>
      <c r="D125" s="663" t="s">
        <v>152</v>
      </c>
      <c r="E125" s="1225">
        <f>'[3]6'!F125</f>
        <v>131461.70000000001</v>
      </c>
      <c r="F125" s="1225">
        <v>131537.26999999999</v>
      </c>
      <c r="G125" s="1221">
        <f t="shared" si="14"/>
        <v>75.569999999977881</v>
      </c>
      <c r="H125" s="600">
        <f>G125+'[3]6'!H125</f>
        <v>431.04999999998836</v>
      </c>
      <c r="I125" s="666"/>
      <c r="J125" s="693">
        <f>H125/DAY(B2)</f>
        <v>61.578571428569767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'[3]6'!F126</f>
        <v>55722.7</v>
      </c>
      <c r="F126" s="625">
        <v>55749.9</v>
      </c>
      <c r="G126" s="613">
        <f t="shared" si="14"/>
        <v>27.200000000004366</v>
      </c>
      <c r="H126" s="600">
        <f>G126+'[3]6'!H126</f>
        <v>164.09999999999854</v>
      </c>
      <c r="I126" s="666"/>
      <c r="J126" s="693">
        <f>H126/DAY(B2)</f>
        <v>23.442857142856933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625">
        <f>'[3]6'!F127</f>
        <v>8639</v>
      </c>
      <c r="F127" s="625">
        <v>8639</v>
      </c>
      <c r="G127" s="613">
        <f t="shared" si="14"/>
        <v>0</v>
      </c>
      <c r="H127" s="600">
        <f>G127+'[3]6'!H127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1217">
        <f>G15-SUM(G123:G127)</f>
        <v>232.62800000006246</v>
      </c>
      <c r="H128" s="600">
        <f>G128+'[3]6'!H128</f>
        <v>1727.4340000001612</v>
      </c>
      <c r="I128" s="620"/>
      <c r="J128" s="693">
        <f>H128/DAY(B2)</f>
        <v>246.77628571430873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'[3]6'!F130</f>
        <v>0</v>
      </c>
      <c r="F130" s="618">
        <v>0</v>
      </c>
      <c r="G130" s="613">
        <f t="shared" ref="G130:G140" si="15">F130-E130</f>
        <v>0</v>
      </c>
      <c r="H130" s="600">
        <f>G130+'[3]6'!H130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'[3]6'!F131</f>
        <v>0</v>
      </c>
      <c r="F131" s="618">
        <v>0</v>
      </c>
      <c r="G131" s="613">
        <f t="shared" si="15"/>
        <v>0</v>
      </c>
      <c r="H131" s="600">
        <f>G131+'[3]6'!H131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62">
        <f>'[3]6'!F132</f>
        <v>38853</v>
      </c>
      <c r="F132" s="625">
        <v>38853</v>
      </c>
      <c r="G132" s="613">
        <f t="shared" si="15"/>
        <v>0</v>
      </c>
      <c r="H132" s="600">
        <f>G132+'[3]6'!H132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838">
        <f>'[3]6'!F133</f>
        <v>34948</v>
      </c>
      <c r="F133" s="767">
        <v>34948</v>
      </c>
      <c r="G133" s="932">
        <f t="shared" si="15"/>
        <v>0</v>
      </c>
      <c r="H133" s="600">
        <f>G133+'[3]6'!H133</f>
        <v>0</v>
      </c>
      <c r="I133" s="620">
        <f>G132+G133+G134+G135</f>
        <v>24.470000000001164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62">
        <f>'[3]6'!F134</f>
        <v>39736</v>
      </c>
      <c r="F134" s="625">
        <v>39736</v>
      </c>
      <c r="G134" s="613">
        <f t="shared" si="15"/>
        <v>0</v>
      </c>
      <c r="H134" s="600">
        <f>G134+'[3]6'!H134</f>
        <v>-0.26999999999679858</v>
      </c>
      <c r="I134" s="620"/>
      <c r="J134" s="693">
        <f>H134/DAY(B2)</f>
        <v>-3.8571428570971227E-2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'[3]6'!F135</f>
        <v>31137</v>
      </c>
      <c r="F135" s="767">
        <v>31161.47</v>
      </c>
      <c r="G135" s="932">
        <f t="shared" si="15"/>
        <v>24.470000000001164</v>
      </c>
      <c r="H135" s="600">
        <f>G135+'[3]6'!H135</f>
        <v>168.45000000000073</v>
      </c>
      <c r="I135" s="620"/>
      <c r="J135" s="693">
        <f>H135/DAY(B2)</f>
        <v>24.06428571428582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'[3]6'!F136</f>
        <v>21613.08</v>
      </c>
      <c r="F136" s="788">
        <v>21613.08</v>
      </c>
      <c r="G136" s="613">
        <f t="shared" si="15"/>
        <v>0</v>
      </c>
      <c r="H136" s="600">
        <f>G136+'[3]6'!H136</f>
        <v>15.05000000000291</v>
      </c>
      <c r="I136" s="620">
        <f>G136+G137+G138</f>
        <v>8.9700000000011642</v>
      </c>
      <c r="J136" s="693">
        <f>H136/DAY(B2)</f>
        <v>2.1500000000004156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'[3]6'!F137</f>
        <v>24902.25</v>
      </c>
      <c r="F137" s="788">
        <v>24902</v>
      </c>
      <c r="G137" s="613">
        <f t="shared" si="15"/>
        <v>-0.25</v>
      </c>
      <c r="H137" s="600">
        <f>G137+'[3]6'!H137</f>
        <v>-0.25</v>
      </c>
      <c r="I137" s="620"/>
      <c r="J137" s="693">
        <f>H137/DAY(B2)</f>
        <v>-3.5714285714285712E-2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1223">
        <f>'[3]6'!F138</f>
        <v>69908.34</v>
      </c>
      <c r="F138" s="1224">
        <v>69917.56</v>
      </c>
      <c r="G138" s="1217">
        <f t="shared" si="15"/>
        <v>9.2200000000011642</v>
      </c>
      <c r="H138" s="600">
        <f>G138+'[3]6'!H138</f>
        <v>35.910000000003492</v>
      </c>
      <c r="I138" s="620"/>
      <c r="J138" s="693">
        <f>H138/DAY(B2)</f>
        <v>5.130000000000499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'[3]6'!F139</f>
        <v>804.76</v>
      </c>
      <c r="F139" s="625">
        <v>810.24</v>
      </c>
      <c r="G139" s="613">
        <f t="shared" si="15"/>
        <v>5.4800000000000182</v>
      </c>
      <c r="H139" s="600">
        <f>G139+'[3]6'!H139</f>
        <v>33.810000000000059</v>
      </c>
      <c r="I139" s="683">
        <f>G139+G140</f>
        <v>5.4800000000000182</v>
      </c>
      <c r="J139" s="693">
        <f>H139/DAY(B2)</f>
        <v>4.8300000000000081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1222">
        <f>'[3]6'!F140</f>
        <v>4156.9799999999996</v>
      </c>
      <c r="F140" s="1219">
        <v>4156.9799999999996</v>
      </c>
      <c r="G140" s="1220">
        <f t="shared" si="15"/>
        <v>0</v>
      </c>
      <c r="H140" s="600">
        <f>G140+'[3]6'!H140</f>
        <v>2.7099999999991269</v>
      </c>
      <c r="I140" s="683"/>
      <c r="J140" s="693">
        <f>H140/DAY(B2)</f>
        <v>0.38714285714273239</v>
      </c>
      <c r="N140" s="426"/>
    </row>
    <row r="141" spans="1:14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4834.8399999999674</v>
      </c>
      <c r="H142" s="600">
        <f>G142+'[3]6'!H142</f>
        <v>34430.302000000127</v>
      </c>
      <c r="I142" s="620"/>
      <c r="J142" s="693">
        <f>H142/DAY(B2)</f>
        <v>4918.6145714285894</v>
      </c>
      <c r="K142" s="424"/>
      <c r="L142" s="421"/>
      <c r="N142" s="426"/>
    </row>
    <row r="143" spans="1:14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0.26117329299913394</v>
      </c>
      <c r="H143" s="600">
        <f>G143+'[3]6'!H143</f>
        <v>1.6754192196814441</v>
      </c>
      <c r="I143" s="685"/>
      <c r="J143" s="693">
        <f>H143/DAY(B2)</f>
        <v>0.23934560281163489</v>
      </c>
      <c r="K143" s="424"/>
      <c r="L143" s="421"/>
      <c r="N143" s="426"/>
    </row>
    <row r="144" spans="1:14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4275.2399999999907</v>
      </c>
      <c r="H144" s="600">
        <f>G144+'[3]6'!H144</f>
        <v>29150.190000000148</v>
      </c>
      <c r="I144" s="620"/>
      <c r="J144" s="693">
        <f>H144/DAY(B2)</f>
        <v>4164.3128571428779</v>
      </c>
      <c r="K144" s="424"/>
      <c r="L144" s="421"/>
      <c r="N144" s="426"/>
    </row>
    <row r="145" spans="1:14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0.23094425237683613</v>
      </c>
      <c r="H145" s="600">
        <f>G145+'[3]6'!H145</f>
        <v>1.5811507541875773</v>
      </c>
      <c r="I145" s="685"/>
      <c r="J145" s="693">
        <f>H145/DAY(B2)</f>
        <v>0.2258786791696539</v>
      </c>
      <c r="K145" s="424"/>
      <c r="L145" s="421"/>
      <c r="N145" s="426"/>
    </row>
    <row r="146" spans="1:14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4012.5600000000559</v>
      </c>
      <c r="H146" s="600">
        <f>G146+'[3]6'!H146</f>
        <v>27500.720000000088</v>
      </c>
      <c r="I146" s="686"/>
      <c r="J146" s="693">
        <f>H146/DAY(B2)</f>
        <v>3928.6742857142985</v>
      </c>
      <c r="K146" s="424"/>
      <c r="L146" s="421"/>
      <c r="N146" s="426"/>
    </row>
    <row r="147" spans="1:14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0.21675453759723726</v>
      </c>
      <c r="H147" s="600">
        <f>G147+'[3]6'!H147</f>
        <v>1.4928055769042547</v>
      </c>
      <c r="I147" s="686"/>
      <c r="J147" s="693">
        <f>H147/DAY(B2)</f>
        <v>0.21325793955775069</v>
      </c>
      <c r="N147" s="426"/>
    </row>
    <row r="148" spans="1:14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1701.960000000021</v>
      </c>
      <c r="H148" s="600">
        <f>G148+'[3]6'!H148</f>
        <v>12197.840000000026</v>
      </c>
      <c r="I148" s="620"/>
      <c r="J148" s="693">
        <f>H148/DAY(B2)</f>
        <v>1742.5485714285751</v>
      </c>
      <c r="K148" s="425"/>
      <c r="N148" s="426"/>
    </row>
    <row r="149" spans="1:14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9.1938202247192138E-2</v>
      </c>
      <c r="H149" s="600">
        <f>G149+'[3]6'!H149</f>
        <v>0.66202089271363329</v>
      </c>
      <c r="I149" s="686"/>
      <c r="J149" s="693">
        <f>H149/DAY(B2)</f>
        <v>9.4574413244804756E-2</v>
      </c>
      <c r="N149" s="426"/>
    </row>
    <row r="150" spans="1:14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1569.5600000000268</v>
      </c>
      <c r="H150" s="600">
        <f>G150+'[3]6'!H150</f>
        <v>11002.899999999994</v>
      </c>
      <c r="I150" s="686"/>
      <c r="J150" s="693">
        <f>H150/DAY(B2)</f>
        <v>1571.8428571428562</v>
      </c>
      <c r="N150" s="426"/>
    </row>
    <row r="151" spans="1:14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8.4786084701816491E-2</v>
      </c>
      <c r="H151" s="600">
        <f>G151+'[3]6'!H151</f>
        <v>0.5961883137486147</v>
      </c>
      <c r="I151" s="620"/>
      <c r="J151" s="693">
        <f>H151/DAY(B2)</f>
        <v>8.5169759106944951E-2</v>
      </c>
      <c r="N151" s="426"/>
    </row>
    <row r="152" spans="1:14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1537.7600000000093</v>
      </c>
      <c r="H152" s="600">
        <f>G152+'[3]6'!H152</f>
        <v>10541</v>
      </c>
      <c r="I152" s="620"/>
      <c r="J152" s="693">
        <f>H152/DAY(B2)</f>
        <v>1505.8571428571429</v>
      </c>
      <c r="N152" s="426"/>
    </row>
    <row r="153" spans="1:14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8.3068280034572672E-2</v>
      </c>
      <c r="H153" s="600">
        <f>G153+'[3]6'!H153</f>
        <v>0.57227189455079064</v>
      </c>
      <c r="I153" s="709"/>
      <c r="J153" s="710">
        <f>H153/DAY(B2)</f>
        <v>8.1753127792970087E-2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466" t="s">
        <v>278</v>
      </c>
      <c r="B157" s="1467"/>
      <c r="C157" s="1467"/>
      <c r="D157" s="1467"/>
      <c r="E157" s="1467"/>
      <c r="F157" s="1467"/>
      <c r="G157" s="1468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'[3]6'!F160</f>
        <v>22096.091</v>
      </c>
      <c r="F160" s="795">
        <v>22168.638999999999</v>
      </c>
      <c r="G160" s="613">
        <f t="shared" ref="G160:G170" si="16">F160-E160</f>
        <v>72.547999999998865</v>
      </c>
      <c r="H160" s="679">
        <v>72.86699999999837</v>
      </c>
      <c r="I160" s="680">
        <f>G160-H160</f>
        <v>-0.31899999999950523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'[3]6'!F161</f>
        <v>14235.672</v>
      </c>
      <c r="F161" s="795">
        <v>14324.466</v>
      </c>
      <c r="G161" s="613">
        <f t="shared" si="16"/>
        <v>88.793999999999869</v>
      </c>
      <c r="H161" s="679">
        <v>115.86999999999898</v>
      </c>
      <c r="I161" s="680">
        <f t="shared" ref="I161:I171" si="17">G161-H161</f>
        <v>-27.075999999999112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'[3]6'!F162</f>
        <v>31875.190999999999</v>
      </c>
      <c r="F162" s="795">
        <v>32090.566999999999</v>
      </c>
      <c r="G162" s="613">
        <f t="shared" si="16"/>
        <v>215.3760000000002</v>
      </c>
      <c r="H162" s="679">
        <v>184.81999999999971</v>
      </c>
      <c r="I162" s="680">
        <f t="shared" si="17"/>
        <v>30.556000000000495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'[3]6'!F163</f>
        <v>3120.5311000000002</v>
      </c>
      <c r="F163" s="795">
        <v>3132.6293000000001</v>
      </c>
      <c r="G163" s="613">
        <f t="shared" si="16"/>
        <v>12.098199999999906</v>
      </c>
      <c r="H163" s="679">
        <v>17.309999999999945</v>
      </c>
      <c r="I163" s="680">
        <f t="shared" si="17"/>
        <v>-5.2118000000000393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'[3]6'!F164</f>
        <v>20419</v>
      </c>
      <c r="F164" s="654">
        <f>F62</f>
        <v>20419</v>
      </c>
      <c r="G164" s="613">
        <f t="shared" si="16"/>
        <v>0</v>
      </c>
      <c r="H164" s="679">
        <v>0</v>
      </c>
      <c r="I164" s="680">
        <f t="shared" si="17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'[3]6'!F165</f>
        <v>414.94</v>
      </c>
      <c r="F165" s="654">
        <f t="shared" ref="F165" si="18">F63</f>
        <v>433.43</v>
      </c>
      <c r="G165" s="613">
        <f t="shared" si="16"/>
        <v>18.490000000000009</v>
      </c>
      <c r="H165" s="679">
        <v>-0.47999999999956344</v>
      </c>
      <c r="I165" s="680">
        <f t="shared" si="17"/>
        <v>18.969999999999573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'[3]6'!F166</f>
        <v>78247.510999999999</v>
      </c>
      <c r="F166" s="654">
        <f>F64</f>
        <v>78597.407000000007</v>
      </c>
      <c r="G166" s="613">
        <f t="shared" si="16"/>
        <v>349.89600000000792</v>
      </c>
      <c r="H166" s="679">
        <v>271.15200000000186</v>
      </c>
      <c r="I166" s="680">
        <f t="shared" si="17"/>
        <v>78.744000000006054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'[3]6'!F167</f>
        <v>87506.175000000003</v>
      </c>
      <c r="F167" s="654">
        <f t="shared" ref="F167:F171" si="19">F65</f>
        <v>87898.743000000002</v>
      </c>
      <c r="G167" s="613">
        <f t="shared" si="16"/>
        <v>392.5679999999993</v>
      </c>
      <c r="H167" s="679">
        <v>372.92000000001281</v>
      </c>
      <c r="I167" s="680">
        <f t="shared" si="17"/>
        <v>19.647999999986496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'[3]6'!F168</f>
        <v>80504.095000000001</v>
      </c>
      <c r="F168" s="654">
        <f t="shared" si="19"/>
        <v>80882.663</v>
      </c>
      <c r="G168" s="613">
        <f>F168-E168</f>
        <v>378.5679999999993</v>
      </c>
      <c r="H168" s="679">
        <v>384.8520000000135</v>
      </c>
      <c r="I168" s="680">
        <f>G168-H168</f>
        <v>-6.2840000000142027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'[3]6'!F169</f>
        <v>129809.24</v>
      </c>
      <c r="F169" s="654">
        <f t="shared" si="19"/>
        <v>130507.66</v>
      </c>
      <c r="G169" s="613">
        <f t="shared" si="16"/>
        <v>698.41999999999825</v>
      </c>
      <c r="H169" s="679">
        <v>451.52000000000407</v>
      </c>
      <c r="I169" s="680">
        <f t="shared" si="17"/>
        <v>246.89999999999418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'[3]6'!F170</f>
        <v>35253.822999999997</v>
      </c>
      <c r="F170" s="654">
        <f t="shared" si="19"/>
        <v>35579.347000000002</v>
      </c>
      <c r="G170" s="613">
        <f t="shared" si="16"/>
        <v>325.52400000000489</v>
      </c>
      <c r="H170" s="679">
        <v>264.56499999999869</v>
      </c>
      <c r="I170" s="680">
        <f t="shared" si="17"/>
        <v>60.959000000006199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'[3]6'!F171</f>
        <v>30670.811000000002</v>
      </c>
      <c r="F171" s="654">
        <f t="shared" si="19"/>
        <v>30948.825000000001</v>
      </c>
      <c r="G171" s="613">
        <f>F171-E171</f>
        <v>278.01399999999921</v>
      </c>
      <c r="H171" s="679">
        <v>137.0779999999977</v>
      </c>
      <c r="I171" s="680">
        <f t="shared" si="17"/>
        <v>140.93600000000151</v>
      </c>
    </row>
  </sheetData>
  <mergeCells count="69"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A7" sqref="A1:XFD1048576"/>
    </sheetView>
  </sheetViews>
  <sheetFormatPr defaultColWidth="22.33203125" defaultRowHeight="29.25"/>
  <cols>
    <col min="1" max="1" width="42.33203125" style="594" customWidth="1"/>
    <col min="2" max="2" width="31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293</v>
      </c>
      <c r="B2" s="1195">
        <v>44143</v>
      </c>
      <c r="C2" s="1378" t="s">
        <v>69</v>
      </c>
      <c r="D2" s="752">
        <v>0.45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0.79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'[3]7'!F7</f>
        <v>2234013</v>
      </c>
      <c r="F7" s="595">
        <v>2253595</v>
      </c>
      <c r="G7" s="815">
        <f>F7-E7</f>
        <v>19582</v>
      </c>
      <c r="H7" s="816">
        <f>G7+'[3]7'!H7</f>
        <v>148570</v>
      </c>
      <c r="I7" s="817">
        <f>'[3]1'!I7</f>
        <v>12000</v>
      </c>
      <c r="J7" s="818">
        <f>H7/DAY(B2)</f>
        <v>18571.25</v>
      </c>
      <c r="K7" s="690"/>
      <c r="L7" s="421"/>
      <c r="N7" s="864">
        <v>11335</v>
      </c>
      <c r="O7" s="426">
        <f>G7-N7</f>
        <v>8247</v>
      </c>
    </row>
    <row r="8" spans="1:15" ht="27.75" thickBot="1">
      <c r="A8" s="819" t="s">
        <v>144</v>
      </c>
      <c r="B8" s="820"/>
      <c r="C8" s="821"/>
      <c r="D8" s="822" t="s">
        <v>25</v>
      </c>
      <c r="E8" s="774">
        <f>'[3]7'!F8</f>
        <v>2244938</v>
      </c>
      <c r="F8" s="615">
        <v>2264584</v>
      </c>
      <c r="G8" s="826">
        <f>F8-E8</f>
        <v>19646</v>
      </c>
      <c r="H8" s="816">
        <f>G8+'[3]7'!H8</f>
        <v>149143</v>
      </c>
      <c r="I8" s="823">
        <v>12000</v>
      </c>
      <c r="J8" s="818">
        <f>H8/DAY(B2)</f>
        <v>18642.875</v>
      </c>
      <c r="K8" s="690"/>
      <c r="L8" s="479"/>
      <c r="M8" s="542"/>
      <c r="N8" s="841"/>
    </row>
    <row r="9" spans="1:15">
      <c r="A9" s="824" t="s">
        <v>145</v>
      </c>
      <c r="B9" s="825"/>
      <c r="C9" s="825"/>
      <c r="D9" s="779" t="s">
        <v>143</v>
      </c>
      <c r="E9" s="776">
        <f>'[3]7'!F9</f>
        <v>2141511.2999999998</v>
      </c>
      <c r="F9" s="618">
        <v>2160415</v>
      </c>
      <c r="G9" s="839">
        <f t="shared" ref="G9:G12" si="0">F9-E9</f>
        <v>18903.700000000186</v>
      </c>
      <c r="H9" s="816">
        <f>G9+'[3]7'!H9</f>
        <v>143409.69999999995</v>
      </c>
      <c r="I9" s="827">
        <f>I7-J7</f>
        <v>-6571.25</v>
      </c>
      <c r="J9" s="818">
        <f>H9/DAY(B2)</f>
        <v>17926.212499999994</v>
      </c>
      <c r="K9" s="527"/>
      <c r="L9" s="421"/>
      <c r="N9" s="426"/>
    </row>
    <row r="10" spans="1:15">
      <c r="A10" s="813" t="s">
        <v>146</v>
      </c>
      <c r="B10" s="814"/>
      <c r="C10" s="814"/>
      <c r="D10" s="779" t="s">
        <v>143</v>
      </c>
      <c r="E10" s="776">
        <f>'[3]7'!F10</f>
        <v>454610</v>
      </c>
      <c r="F10" s="618">
        <v>454610</v>
      </c>
      <c r="G10" s="826">
        <f t="shared" si="0"/>
        <v>0</v>
      </c>
      <c r="H10" s="816">
        <f>G10+'[3]7'!H10</f>
        <v>0.21000000002095476</v>
      </c>
      <c r="I10" s="828"/>
      <c r="J10" s="818">
        <f>H10/DAY(B2)</f>
        <v>2.6250000002619345E-2</v>
      </c>
      <c r="K10" s="527"/>
      <c r="L10" s="421"/>
      <c r="N10" s="426"/>
    </row>
    <row r="11" spans="1:15">
      <c r="A11" s="813" t="s">
        <v>147</v>
      </c>
      <c r="B11" s="814"/>
      <c r="C11" s="814"/>
      <c r="D11" s="779" t="s">
        <v>143</v>
      </c>
      <c r="E11" s="774">
        <f>'[3]7'!F11</f>
        <v>35390</v>
      </c>
      <c r="F11" s="595">
        <v>35390</v>
      </c>
      <c r="G11" s="826">
        <f t="shared" si="0"/>
        <v>0</v>
      </c>
      <c r="H11" s="816">
        <f>G11+'[3]7'!H11</f>
        <v>0</v>
      </c>
      <c r="I11" s="828"/>
      <c r="J11" s="818">
        <f>H11/DAY(B2)</f>
        <v>0</v>
      </c>
      <c r="K11" s="527"/>
      <c r="L11" s="421"/>
      <c r="N11" s="426"/>
    </row>
    <row r="12" spans="1:15">
      <c r="A12" s="813" t="s">
        <v>148</v>
      </c>
      <c r="B12" s="814"/>
      <c r="C12" s="814"/>
      <c r="D12" s="779" t="s">
        <v>143</v>
      </c>
      <c r="E12" s="776">
        <f>'[3]7'!F12</f>
        <v>37630</v>
      </c>
      <c r="F12" s="618">
        <v>37630</v>
      </c>
      <c r="G12" s="826">
        <f t="shared" si="0"/>
        <v>0</v>
      </c>
      <c r="H12" s="816">
        <f>G12+'[3]7'!H12</f>
        <v>0</v>
      </c>
      <c r="I12" s="828"/>
      <c r="J12" s="818">
        <f>H12/DAY(B2)</f>
        <v>0</v>
      </c>
      <c r="K12" s="527"/>
      <c r="L12" s="421"/>
      <c r="N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18903.700000000186</v>
      </c>
      <c r="H13" s="816">
        <f>G13+'[3]7'!H13</f>
        <v>143409.90999999997</v>
      </c>
      <c r="I13" s="832">
        <f>G7-G13</f>
        <v>678.29999999981374</v>
      </c>
      <c r="J13" s="818">
        <f>H13/DAY(B2)</f>
        <v>17926.238749999997</v>
      </c>
      <c r="K13" s="527"/>
      <c r="L13" s="421"/>
      <c r="N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5">
      <c r="A15" s="802" t="s">
        <v>151</v>
      </c>
      <c r="B15" s="803"/>
      <c r="C15" s="803"/>
      <c r="D15" s="804" t="s">
        <v>152</v>
      </c>
      <c r="E15" s="805">
        <f>'[3]7'!F15</f>
        <v>1533706.5819999999</v>
      </c>
      <c r="F15" s="837">
        <v>1534085.621</v>
      </c>
      <c r="G15" s="801">
        <f>(F15-E15)</f>
        <v>379.03900000010617</v>
      </c>
      <c r="H15" s="807">
        <f>G15+'[3]7'!H15</f>
        <v>3970.4270000001416</v>
      </c>
      <c r="I15" s="808">
        <v>800</v>
      </c>
      <c r="J15" s="809">
        <f>H15/DAY(B2)</f>
        <v>496.3033750000177</v>
      </c>
      <c r="K15" s="527"/>
      <c r="L15" s="421"/>
      <c r="N15" s="426"/>
    </row>
    <row r="16" spans="1:15">
      <c r="A16" s="810"/>
      <c r="B16" s="811"/>
      <c r="C16" s="811"/>
      <c r="D16" s="804"/>
      <c r="E16" s="805"/>
      <c r="F16" s="837"/>
      <c r="G16" s="806"/>
      <c r="H16" s="807"/>
      <c r="I16" s="812">
        <f>I15-J15</f>
        <v>303.6966249999823</v>
      </c>
      <c r="J16" s="809"/>
      <c r="K16" s="527"/>
      <c r="L16" s="421"/>
      <c r="N16" s="426"/>
    </row>
    <row r="17" spans="1:14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478" t="s">
        <v>154</v>
      </c>
      <c r="B18" s="1479"/>
      <c r="C18" s="1480"/>
      <c r="D18" s="779" t="s">
        <v>155</v>
      </c>
      <c r="E18" s="776">
        <f>'[3]7'!F18</f>
        <v>11</v>
      </c>
      <c r="F18" s="618">
        <v>10</v>
      </c>
      <c r="G18" s="831">
        <f>F18*10</f>
        <v>100</v>
      </c>
      <c r="H18" s="816">
        <f>G18+'[3]7'!H18</f>
        <v>860</v>
      </c>
      <c r="I18" s="817">
        <f>'[3]1'!I18</f>
        <v>65</v>
      </c>
      <c r="J18" s="818">
        <f>H18/DAY(B2)</f>
        <v>107.5</v>
      </c>
      <c r="K18" s="527"/>
      <c r="L18" s="421"/>
      <c r="N18" s="426"/>
    </row>
    <row r="19" spans="1:14" ht="27.75">
      <c r="A19" s="1478" t="s">
        <v>71</v>
      </c>
      <c r="B19" s="1479"/>
      <c r="C19" s="1480"/>
      <c r="D19" s="779" t="s">
        <v>155</v>
      </c>
      <c r="E19" s="776">
        <f>'[3]7'!F19</f>
        <v>128551</v>
      </c>
      <c r="F19" s="618">
        <v>128604</v>
      </c>
      <c r="G19" s="826">
        <f t="shared" ref="G19" si="1">F19-E19</f>
        <v>53</v>
      </c>
      <c r="H19" s="816">
        <f>G19+'[3]7'!H19</f>
        <v>409</v>
      </c>
      <c r="I19" s="833"/>
      <c r="J19" s="818">
        <f>H19/DAY(B2)</f>
        <v>51.125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153</v>
      </c>
      <c r="H20" s="816">
        <f>G20+'[3]7'!H20</f>
        <v>1269</v>
      </c>
      <c r="I20" s="835">
        <f>I18-J20</f>
        <v>-93.625</v>
      </c>
      <c r="J20" s="818">
        <f>H20/DAY(B2)</f>
        <v>158.625</v>
      </c>
      <c r="K20" s="527"/>
      <c r="L20" s="421"/>
      <c r="N20" s="426"/>
    </row>
    <row r="21" spans="1:14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'[3]7'!F22</f>
        <v>2250</v>
      </c>
      <c r="F22" s="618">
        <v>2250</v>
      </c>
      <c r="G22" s="621">
        <f t="shared" ref="G22" si="2">(F22-E22)</f>
        <v>0</v>
      </c>
      <c r="H22" s="600">
        <f>G22+'[3]7'!H22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'[3]7'!F23</f>
        <v>2000</v>
      </c>
      <c r="F23" s="618">
        <v>2000</v>
      </c>
      <c r="G23" s="621">
        <v>0</v>
      </c>
      <c r="H23" s="600">
        <f>G23+'[3]7'!H23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'[3]7'!F24</f>
        <v>4250</v>
      </c>
      <c r="F24" s="625">
        <v>4250</v>
      </c>
      <c r="G24" s="621">
        <v>0</v>
      </c>
      <c r="H24" s="600">
        <f>G24+'[3]7'!H24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19646</v>
      </c>
      <c r="F27" s="641">
        <v>9.5</v>
      </c>
      <c r="G27" s="642">
        <f>E27*F27</f>
        <v>186637</v>
      </c>
      <c r="H27" s="600">
        <f>G27+'[3]7'!H27</f>
        <v>1416858.5</v>
      </c>
      <c r="I27" s="643"/>
      <c r="J27" s="693">
        <f>H27/DAY(B2)</f>
        <v>177107.3125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379.03900000010617</v>
      </c>
      <c r="F28" s="641">
        <v>36.5</v>
      </c>
      <c r="G28" s="642">
        <f t="shared" ref="G28:G31" si="3">E28*F28</f>
        <v>13834.923500003875</v>
      </c>
      <c r="H28" s="600">
        <f>G28+'[3]7'!H28</f>
        <v>144920.58550000517</v>
      </c>
      <c r="I28" s="645"/>
      <c r="J28" s="693">
        <f>H28/DAY(B2)</f>
        <v>18115.073187500646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G29+'[3]7'!H29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 t="shared" si="3"/>
        <v>7685</v>
      </c>
      <c r="H30" s="600">
        <f>G30+'[3]7'!H30</f>
        <v>59305</v>
      </c>
      <c r="I30" s="645"/>
      <c r="J30" s="693">
        <f>H30/DAY(B2)</f>
        <v>7413.125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 t="shared" si="3"/>
        <v>8000</v>
      </c>
      <c r="H31" s="600">
        <f>G31+'[3]7'!H31</f>
        <v>68800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216156.92350000388</v>
      </c>
      <c r="H32" s="600">
        <f>G32+'[3]7'!H32</f>
        <v>1689884.0855000052</v>
      </c>
      <c r="I32" s="649"/>
      <c r="J32" s="693">
        <f>H32/DAY(B2)</f>
        <v>211235.51068750065</v>
      </c>
      <c r="K32" s="417"/>
      <c r="L32" s="547"/>
      <c r="N32" s="426"/>
    </row>
    <row r="33" spans="1:14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'[3]7'!F35</f>
        <v>621195.67000000004</v>
      </c>
      <c r="F35" s="650">
        <v>623871.51</v>
      </c>
      <c r="G35" s="613">
        <f t="shared" ref="G35:G46" si="4">F35-E35</f>
        <v>2675.8399999999674</v>
      </c>
      <c r="H35" s="600">
        <f>G35+'[3]7'!H35</f>
        <v>20528.040000000037</v>
      </c>
      <c r="I35" s="595"/>
      <c r="J35" s="693">
        <f>H35/DAY(B2)</f>
        <v>2566.0050000000047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'[3]7'!F36</f>
        <v>215532.85</v>
      </c>
      <c r="F36" s="650">
        <v>216310.17</v>
      </c>
      <c r="G36" s="613">
        <f t="shared" si="4"/>
        <v>777.32000000000698</v>
      </c>
      <c r="H36" s="600">
        <f>G36+'[3]7'!H36</f>
        <v>4950.2200000000012</v>
      </c>
      <c r="I36" s="595"/>
      <c r="J36" s="693">
        <f>H36/DAY(B2)</f>
        <v>618.77750000000015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'[3]7'!F37</f>
        <v>410385.19</v>
      </c>
      <c r="F37" s="650">
        <v>411959.71</v>
      </c>
      <c r="G37" s="613">
        <f t="shared" si="4"/>
        <v>1574.5200000000186</v>
      </c>
      <c r="H37" s="600">
        <f>G37+'[3]7'!H37</f>
        <v>12115.520000000019</v>
      </c>
      <c r="I37" s="595"/>
      <c r="J37" s="693">
        <f>H37/DAY(B2)</f>
        <v>1514.4400000000023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'[3]7'!F38</f>
        <v>150714</v>
      </c>
      <c r="F38" s="609">
        <v>150714</v>
      </c>
      <c r="G38" s="613">
        <f t="shared" si="4"/>
        <v>0</v>
      </c>
      <c r="H38" s="600">
        <f>G38+'[3]7'!H38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'[3]7'!F39</f>
        <v>899625.43</v>
      </c>
      <c r="F39" s="650">
        <v>903756.15</v>
      </c>
      <c r="G39" s="613">
        <f t="shared" si="4"/>
        <v>4130.7199999999721</v>
      </c>
      <c r="H39" s="600">
        <f>G39+'[3]7'!H39</f>
        <v>31631.440000000061</v>
      </c>
      <c r="I39" s="595"/>
      <c r="J39" s="693">
        <f>H39/DAY(B2)</f>
        <v>3953.9300000000076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'[3]7'!F40</f>
        <v>0.17</v>
      </c>
      <c r="F40" s="650">
        <v>0.17</v>
      </c>
      <c r="G40" s="613">
        <f t="shared" si="4"/>
        <v>0</v>
      </c>
      <c r="H40" s="600">
        <f>G40+'[3]7'!H40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'[3]7'!F41</f>
        <v>300127.90000000002</v>
      </c>
      <c r="F41" s="650">
        <v>300127.90000000002</v>
      </c>
      <c r="G41" s="613">
        <f t="shared" si="4"/>
        <v>0</v>
      </c>
      <c r="H41" s="600">
        <f>G41+'[3]7'!H41</f>
        <v>-6.9999999948777258E-2</v>
      </c>
      <c r="I41" s="595"/>
      <c r="J41" s="693">
        <f>H41/DAY(B2)</f>
        <v>-8.7499999935971573E-3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'[3]7'!F42</f>
        <v>396197.4</v>
      </c>
      <c r="F42" s="650">
        <v>396197.4</v>
      </c>
      <c r="G42" s="613">
        <f t="shared" si="4"/>
        <v>0</v>
      </c>
      <c r="H42" s="600">
        <f>G42+'[3]7'!H42</f>
        <v>-6.9999999948777258E-2</v>
      </c>
      <c r="I42" s="595"/>
      <c r="J42" s="693">
        <f>H42/DAY(B2)</f>
        <v>-8.7499999935971573E-3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'[3]7'!F43</f>
        <v>574902.63</v>
      </c>
      <c r="F43" s="650">
        <v>577328.15</v>
      </c>
      <c r="G43" s="613">
        <f t="shared" si="4"/>
        <v>2425.5200000000186</v>
      </c>
      <c r="H43" s="600">
        <f>G43+'[3]7'!H43</f>
        <v>19004.080000000075</v>
      </c>
      <c r="I43" s="595"/>
      <c r="J43" s="693">
        <f>H43/DAY(B2)</f>
        <v>2375.5100000000093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'[3]7'!F44</f>
        <v>0</v>
      </c>
      <c r="F44" s="650">
        <v>0</v>
      </c>
      <c r="G44" s="613">
        <f t="shared" si="4"/>
        <v>0</v>
      </c>
      <c r="H44" s="600">
        <f>G44+'[3]7'!H44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'[3]7'!F45</f>
        <v>614</v>
      </c>
      <c r="F45" s="650">
        <v>614</v>
      </c>
      <c r="G45" s="613">
        <f t="shared" si="4"/>
        <v>0</v>
      </c>
      <c r="H45" s="600">
        <f>G45+'[3]7'!H45</f>
        <v>-0.48000000000001819</v>
      </c>
      <c r="I45" s="595"/>
      <c r="J45" s="693">
        <f>H45/DAY(B2)</f>
        <v>-6.0000000000002274E-2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'[3]7'!F46</f>
        <v>187</v>
      </c>
      <c r="F46" s="650">
        <v>187</v>
      </c>
      <c r="G46" s="613">
        <f t="shared" si="4"/>
        <v>0</v>
      </c>
      <c r="H46" s="600">
        <f>G46+'[3]7'!H46</f>
        <v>-0.49000000000000909</v>
      </c>
      <c r="I46" s="595"/>
      <c r="J46" s="693">
        <f>H46/DAY(B2)</f>
        <v>-6.1250000000001137E-2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11583.919999999984</v>
      </c>
      <c r="H47" s="600">
        <f>G47+'[3]7'!H47</f>
        <v>88228.190000000293</v>
      </c>
      <c r="I47" s="595"/>
      <c r="J47" s="693">
        <f>H47/DAY(B2)</f>
        <v>11028.523750000037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'[3]7'!F49</f>
        <v>11728.38</v>
      </c>
      <c r="F49" s="650">
        <v>11728.38</v>
      </c>
      <c r="G49" s="613">
        <f t="shared" ref="G49:G58" si="5">F49-E49</f>
        <v>0</v>
      </c>
      <c r="H49" s="600">
        <f>G49+'[3]7'!H49</f>
        <v>-0.45800000000053842</v>
      </c>
      <c r="I49" s="595"/>
      <c r="J49" s="693">
        <f>H49/DAY(B2)</f>
        <v>-5.7250000000067303E-2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'[3]7'!F50</f>
        <v>270636.57</v>
      </c>
      <c r="F50" s="650">
        <v>271683.63</v>
      </c>
      <c r="G50" s="613">
        <f t="shared" si="5"/>
        <v>1047.0599999999977</v>
      </c>
      <c r="H50" s="600">
        <f>G50+'[3]7'!H50</f>
        <v>7877.0599999999977</v>
      </c>
      <c r="I50" s="595"/>
      <c r="J50" s="693">
        <f>H50/DAY(B2)</f>
        <v>984.63249999999971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'[3]7'!F51</f>
        <v>0</v>
      </c>
      <c r="F51" s="650">
        <v>0</v>
      </c>
      <c r="G51" s="613">
        <f t="shared" si="5"/>
        <v>0</v>
      </c>
      <c r="H51" s="600">
        <f>G51+'[3]7'!H51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'[3]7'!F52</f>
        <v>330862.53000000003</v>
      </c>
      <c r="F52" s="650">
        <v>332616.27</v>
      </c>
      <c r="G52" s="613">
        <f t="shared" si="5"/>
        <v>1753.7399999999907</v>
      </c>
      <c r="H52" s="600">
        <f>G52+'[3]7'!H52</f>
        <v>13951.580000000016</v>
      </c>
      <c r="I52" s="595"/>
      <c r="J52" s="693">
        <f>H52/DAY(B2)</f>
        <v>1743.947500000002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'[3]7'!F53</f>
        <v>16071</v>
      </c>
      <c r="F53" s="650">
        <v>16071</v>
      </c>
      <c r="G53" s="613">
        <f t="shared" si="5"/>
        <v>0</v>
      </c>
      <c r="H53" s="600">
        <f>G53+'[3]7'!H53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'[3]7'!F54</f>
        <v>1915.2147</v>
      </c>
      <c r="F54" s="650">
        <v>1990.1043</v>
      </c>
      <c r="G54" s="613">
        <f t="shared" si="5"/>
        <v>74.889599999999973</v>
      </c>
      <c r="H54" s="600">
        <f>G54+'[3]7'!H54</f>
        <v>586.4393</v>
      </c>
      <c r="I54" s="595"/>
      <c r="J54" s="693">
        <f>H54/DAY(B2)</f>
        <v>73.3049125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'[3]7'!F55</f>
        <v>158492.73000000001</v>
      </c>
      <c r="F55" s="790">
        <v>158492.73000000001</v>
      </c>
      <c r="G55" s="789">
        <f t="shared" si="5"/>
        <v>0</v>
      </c>
      <c r="H55" s="861">
        <f>G55+'[3]7'!H55</f>
        <v>-0.26999999998952262</v>
      </c>
      <c r="I55" s="862"/>
      <c r="J55" s="863">
        <f>H55/DAY(B2)</f>
        <v>-3.3749999998690328E-2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'[3]7'!F56</f>
        <v>333140.39</v>
      </c>
      <c r="F56" s="790">
        <v>337777.31</v>
      </c>
      <c r="G56" s="613">
        <f t="shared" si="5"/>
        <v>4636.9199999999837</v>
      </c>
      <c r="H56" s="600">
        <f>G56+'[3]7'!H56</f>
        <v>33787.520000000019</v>
      </c>
      <c r="I56" s="595"/>
      <c r="J56" s="693">
        <f>H56/DAY(B2)</f>
        <v>4223.4400000000023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'[3]7'!F57</f>
        <v>0</v>
      </c>
      <c r="F57" s="650">
        <v>0</v>
      </c>
      <c r="G57" s="613">
        <f t="shared" si="5"/>
        <v>0</v>
      </c>
      <c r="H57" s="600">
        <f>G57+'[3]7'!H57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'[3]7'!F58</f>
        <v>18035.512999999999</v>
      </c>
      <c r="F58" s="790">
        <v>18042.974999999999</v>
      </c>
      <c r="G58" s="613">
        <f t="shared" si="5"/>
        <v>7.4619999999995343</v>
      </c>
      <c r="H58" s="600">
        <f>G58+'[3]7'!H58</f>
        <v>578.7039999999979</v>
      </c>
      <c r="I58" s="595"/>
      <c r="J58" s="693">
        <f>H58/DAY(B2)</f>
        <v>72.337999999999738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7520.071599999972</v>
      </c>
      <c r="H59" s="600">
        <f>G59+'[3]7'!H59</f>
        <v>56780.57530000004</v>
      </c>
      <c r="I59" s="595">
        <f>G7-G60</f>
        <v>478.00840000004246</v>
      </c>
      <c r="J59" s="693">
        <f>H59/DAY(B2)</f>
        <v>7097.5719125000051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19103.991599999958</v>
      </c>
      <c r="H60" s="600">
        <f>G60+'[3]7'!H60</f>
        <v>145008.76530000035</v>
      </c>
      <c r="I60" s="595">
        <f>G13-G60</f>
        <v>-200.29159999977128</v>
      </c>
      <c r="J60" s="693">
        <f>H60/DAY(B2)</f>
        <v>18126.095662500044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'[3]7'!F62</f>
        <v>20419</v>
      </c>
      <c r="F62" s="654">
        <v>20419</v>
      </c>
      <c r="G62" s="613">
        <f t="shared" ref="G62:G69" si="6">F62-E62</f>
        <v>0</v>
      </c>
      <c r="H62" s="600">
        <f>G62+'[3]7'!H62</f>
        <v>-0.3779999999969732</v>
      </c>
      <c r="I62" s="655"/>
      <c r="J62" s="693">
        <f>H62/DAY(B2)</f>
        <v>-4.724999999962165E-2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'[3]7'!F63</f>
        <v>433.43</v>
      </c>
      <c r="F63" s="654">
        <v>453.19600000000003</v>
      </c>
      <c r="G63" s="613">
        <f t="shared" si="6"/>
        <v>19.76600000000002</v>
      </c>
      <c r="H63" s="600">
        <f>G63+'[3]7'!H63</f>
        <v>154.73600000000005</v>
      </c>
      <c r="I63" s="655"/>
      <c r="J63" s="693">
        <f>H63/DAY(B2)</f>
        <v>19.342000000000006</v>
      </c>
      <c r="K63" s="527"/>
      <c r="L63" s="421"/>
      <c r="N63" s="426"/>
    </row>
    <row r="64" spans="1:14" ht="27.75">
      <c r="A64" s="1429" t="s">
        <v>107</v>
      </c>
      <c r="B64" s="1430"/>
      <c r="C64" s="1431"/>
      <c r="D64" s="663" t="s">
        <v>198</v>
      </c>
      <c r="E64" s="624">
        <f>'[3]7'!F64</f>
        <v>78597.407000000007</v>
      </c>
      <c r="F64" s="618">
        <v>78958.794999999998</v>
      </c>
      <c r="G64" s="613">
        <f t="shared" si="6"/>
        <v>361.38799999999173</v>
      </c>
      <c r="H64" s="600">
        <f>G64+'[3]7'!H64</f>
        <v>2895.7079999999987</v>
      </c>
      <c r="I64" s="620"/>
      <c r="J64" s="693">
        <f>H64/DAY(B2)</f>
        <v>361.96349999999984</v>
      </c>
      <c r="K64" s="527"/>
      <c r="L64" s="421"/>
      <c r="N64" s="426"/>
    </row>
    <row r="65" spans="1:14" ht="27.75">
      <c r="A65" s="1429" t="s">
        <v>108</v>
      </c>
      <c r="B65" s="1430"/>
      <c r="C65" s="1431"/>
      <c r="D65" s="663" t="s">
        <v>198</v>
      </c>
      <c r="E65" s="624">
        <f>'[3]7'!F65</f>
        <v>87898.743000000002</v>
      </c>
      <c r="F65" s="788">
        <v>88304.078999999998</v>
      </c>
      <c r="G65" s="613">
        <f t="shared" si="6"/>
        <v>405.33599999999569</v>
      </c>
      <c r="H65" s="600">
        <f>G65+'[3]7'!H65</f>
        <v>3144.8159999999916</v>
      </c>
      <c r="I65" s="629"/>
      <c r="J65" s="693">
        <f>H65/DAY(B2)</f>
        <v>393.10199999999895</v>
      </c>
      <c r="K65" s="527"/>
      <c r="L65" s="421"/>
      <c r="N65" s="426"/>
    </row>
    <row r="66" spans="1:14" ht="27.75">
      <c r="A66" s="1429" t="s">
        <v>109</v>
      </c>
      <c r="B66" s="1430"/>
      <c r="C66" s="1431"/>
      <c r="D66" s="663" t="s">
        <v>198</v>
      </c>
      <c r="E66" s="624">
        <f>'[3]7'!F66</f>
        <v>80882.663</v>
      </c>
      <c r="F66" s="618">
        <v>81281.934999999998</v>
      </c>
      <c r="G66" s="613">
        <f t="shared" si="6"/>
        <v>399.27199999999721</v>
      </c>
      <c r="H66" s="600">
        <f>G66+'[3]7'!H66</f>
        <v>3093.976999999999</v>
      </c>
      <c r="I66" s="620"/>
      <c r="J66" s="693">
        <f>H66/DAY(B2)</f>
        <v>386.74712499999987</v>
      </c>
      <c r="K66" s="527"/>
      <c r="L66" s="421"/>
      <c r="N66" s="426"/>
    </row>
    <row r="67" spans="1:14" ht="27.75">
      <c r="A67" s="1429" t="s">
        <v>110</v>
      </c>
      <c r="B67" s="1430"/>
      <c r="C67" s="1431"/>
      <c r="D67" s="663" t="s">
        <v>198</v>
      </c>
      <c r="E67" s="624">
        <f>'[3]7'!F67</f>
        <v>130507.66</v>
      </c>
      <c r="F67" s="618">
        <v>131208.91</v>
      </c>
      <c r="G67" s="613">
        <f t="shared" si="6"/>
        <v>701.25</v>
      </c>
      <c r="H67" s="600">
        <f>G67+'[3]7'!H67</f>
        <v>5152.4100000000035</v>
      </c>
      <c r="I67" s="629"/>
      <c r="J67" s="693">
        <f>H67/DAY(B2)</f>
        <v>644.05125000000044</v>
      </c>
      <c r="K67" s="528"/>
      <c r="L67" s="421"/>
      <c r="N67" s="426"/>
    </row>
    <row r="68" spans="1:14" ht="27.75">
      <c r="A68" s="1429" t="s">
        <v>111</v>
      </c>
      <c r="B68" s="1430"/>
      <c r="C68" s="1431"/>
      <c r="D68" s="663" t="s">
        <v>198</v>
      </c>
      <c r="E68" s="624">
        <f>'[3]7'!F68</f>
        <v>35579.347000000002</v>
      </c>
      <c r="F68" s="618">
        <v>35919.747000000003</v>
      </c>
      <c r="G68" s="613">
        <f t="shared" si="6"/>
        <v>340.40000000000146</v>
      </c>
      <c r="H68" s="600">
        <f>G68+'[3]7'!H68</f>
        <v>2519.8780000000042</v>
      </c>
      <c r="I68" s="656"/>
      <c r="J68" s="693">
        <f>H68/DAY(B2)</f>
        <v>314.98475000000053</v>
      </c>
      <c r="K68" s="529"/>
      <c r="L68" s="421"/>
      <c r="N68" s="426"/>
    </row>
    <row r="69" spans="1:14" ht="27.75">
      <c r="A69" s="1429" t="s">
        <v>112</v>
      </c>
      <c r="B69" s="1430"/>
      <c r="C69" s="1431"/>
      <c r="D69" s="663" t="s">
        <v>198</v>
      </c>
      <c r="E69" s="624">
        <f>'[3]7'!F69</f>
        <v>30948.825000000001</v>
      </c>
      <c r="F69" s="618">
        <v>31252.830999999998</v>
      </c>
      <c r="G69" s="613">
        <f t="shared" si="6"/>
        <v>304.00599999999758</v>
      </c>
      <c r="H69" s="600">
        <f>G69+'[3]7'!H69</f>
        <v>2000.4659999999967</v>
      </c>
      <c r="I69" s="656"/>
      <c r="J69" s="693">
        <f>H69/DAY(B2)</f>
        <v>250.05824999999959</v>
      </c>
      <c r="K69" s="530"/>
      <c r="L69" s="421"/>
      <c r="N69" s="426"/>
    </row>
    <row r="70" spans="1:14" ht="27.75">
      <c r="A70" s="1469" t="s">
        <v>200</v>
      </c>
      <c r="B70" s="1470"/>
      <c r="C70" s="1471"/>
      <c r="D70" s="663" t="s">
        <v>198</v>
      </c>
      <c r="E70" s="658"/>
      <c r="F70" s="658" t="s">
        <v>280</v>
      </c>
      <c r="G70" s="658"/>
      <c r="H70" s="600"/>
      <c r="I70" s="658"/>
      <c r="J70" s="697"/>
      <c r="K70" s="530"/>
      <c r="L70" s="421"/>
      <c r="N70" s="426"/>
    </row>
    <row r="71" spans="1:14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</row>
    <row r="72" spans="1:14" ht="27.75">
      <c r="A72" s="1429" t="s">
        <v>202</v>
      </c>
      <c r="B72" s="1430"/>
      <c r="C72" s="1431"/>
      <c r="D72" s="663" t="s">
        <v>198</v>
      </c>
      <c r="E72" s="659">
        <f>'[3]7'!F72</f>
        <v>843984</v>
      </c>
      <c r="F72" s="791">
        <v>843993</v>
      </c>
      <c r="G72" s="613">
        <f t="shared" ref="G72:G84" si="7">F72-E72</f>
        <v>9</v>
      </c>
      <c r="H72" s="600">
        <f>G72+'[3]7'!H72</f>
        <v>60</v>
      </c>
      <c r="I72" s="620"/>
      <c r="J72" s="693">
        <f>H72/DAY(B2)</f>
        <v>7.5</v>
      </c>
      <c r="K72" s="530"/>
      <c r="L72" s="421"/>
      <c r="N72" s="426"/>
    </row>
    <row r="73" spans="1:14" ht="27.75">
      <c r="A73" s="1429" t="s">
        <v>203</v>
      </c>
      <c r="B73" s="1430"/>
      <c r="C73" s="1431"/>
      <c r="D73" s="663" t="s">
        <v>198</v>
      </c>
      <c r="E73" s="660">
        <f>'[3]7'!F73</f>
        <v>885221</v>
      </c>
      <c r="F73" s="792">
        <v>885222</v>
      </c>
      <c r="G73" s="789">
        <f t="shared" si="7"/>
        <v>1</v>
      </c>
      <c r="H73" s="600">
        <f>G73+'[3]7'!H73</f>
        <v>7</v>
      </c>
      <c r="I73" s="620"/>
      <c r="J73" s="693">
        <f>H73/DAY(B2)</f>
        <v>0.875</v>
      </c>
      <c r="K73" s="529"/>
      <c r="L73" s="421"/>
      <c r="N73" s="426"/>
    </row>
    <row r="74" spans="1:14" ht="27.75">
      <c r="A74" s="1429" t="s">
        <v>204</v>
      </c>
      <c r="B74" s="1430"/>
      <c r="C74" s="1431"/>
      <c r="D74" s="663" t="s">
        <v>198</v>
      </c>
      <c r="E74" s="661">
        <f>'[3]7'!F74</f>
        <v>879751</v>
      </c>
      <c r="F74" s="791">
        <v>879767</v>
      </c>
      <c r="G74" s="613">
        <f t="shared" si="7"/>
        <v>16</v>
      </c>
      <c r="H74" s="600">
        <f>G74+'[3]7'!H74</f>
        <v>131</v>
      </c>
      <c r="I74" s="620"/>
      <c r="J74" s="693">
        <f>H74/DAY(B2)</f>
        <v>16.375</v>
      </c>
      <c r="K74" s="530"/>
      <c r="L74" s="421"/>
      <c r="N74" s="426"/>
    </row>
    <row r="75" spans="1:14" ht="27.75">
      <c r="A75" s="1408" t="s">
        <v>205</v>
      </c>
      <c r="B75" s="1409"/>
      <c r="C75" s="1410"/>
      <c r="D75" s="663" t="s">
        <v>198</v>
      </c>
      <c r="E75" s="660">
        <f>'[3]7'!F75</f>
        <v>722462</v>
      </c>
      <c r="F75" s="792">
        <v>722624</v>
      </c>
      <c r="G75" s="613">
        <f t="shared" si="7"/>
        <v>162</v>
      </c>
      <c r="H75" s="600">
        <f>G75+'[3]7'!H75</f>
        <v>1258</v>
      </c>
      <c r="I75" s="620"/>
      <c r="J75" s="693">
        <f>H75/DAY(B2)</f>
        <v>157.25</v>
      </c>
      <c r="K75" s="529"/>
      <c r="L75" s="421"/>
      <c r="N75" s="426"/>
    </row>
    <row r="76" spans="1:14" ht="27.75">
      <c r="A76" s="1408" t="s">
        <v>206</v>
      </c>
      <c r="B76" s="1409"/>
      <c r="C76" s="1410"/>
      <c r="D76" s="663" t="s">
        <v>198</v>
      </c>
      <c r="E76" s="660">
        <f>'[3]7'!F76</f>
        <v>680111</v>
      </c>
      <c r="F76" s="792">
        <v>680181</v>
      </c>
      <c r="G76" s="613">
        <f t="shared" si="7"/>
        <v>70</v>
      </c>
      <c r="H76" s="600">
        <f>G76+'[3]7'!H76</f>
        <v>529</v>
      </c>
      <c r="I76" s="645"/>
      <c r="J76" s="693">
        <f>H76/DAY(B2)</f>
        <v>66.125</v>
      </c>
      <c r="K76" s="529"/>
      <c r="L76" s="421"/>
      <c r="N76" s="426"/>
    </row>
    <row r="77" spans="1:14" ht="27.75">
      <c r="A77" s="1429" t="s">
        <v>207</v>
      </c>
      <c r="B77" s="1430"/>
      <c r="C77" s="1431"/>
      <c r="D77" s="663" t="s">
        <v>198</v>
      </c>
      <c r="E77" s="659">
        <f>'[3]7'!F77</f>
        <v>692599</v>
      </c>
      <c r="F77" s="791">
        <v>692648</v>
      </c>
      <c r="G77" s="789">
        <f t="shared" si="7"/>
        <v>49</v>
      </c>
      <c r="H77" s="600">
        <f>G77+'[3]7'!H77</f>
        <v>341</v>
      </c>
      <c r="I77" s="645"/>
      <c r="J77" s="693">
        <f>H77/DAY(B2)</f>
        <v>42.625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'[3]7'!F78</f>
        <v>610102</v>
      </c>
      <c r="F78" s="793">
        <v>610475</v>
      </c>
      <c r="G78" s="613">
        <f t="shared" si="7"/>
        <v>373</v>
      </c>
      <c r="H78" s="600">
        <f>G78+'[3]7'!H78</f>
        <v>2461</v>
      </c>
      <c r="I78" s="645"/>
      <c r="J78" s="693">
        <f>H78/DAY(B2)</f>
        <v>307.625</v>
      </c>
      <c r="K78" s="529"/>
      <c r="L78" s="421"/>
      <c r="N78" s="426"/>
    </row>
    <row r="79" spans="1:14" ht="27.75">
      <c r="A79" s="1408" t="s">
        <v>97</v>
      </c>
      <c r="B79" s="1409"/>
      <c r="C79" s="1410"/>
      <c r="D79" s="664" t="s">
        <v>198</v>
      </c>
      <c r="E79" s="661">
        <f>'[3]7'!F79</f>
        <v>793911</v>
      </c>
      <c r="F79" s="793">
        <v>794060</v>
      </c>
      <c r="G79" s="613">
        <f t="shared" si="7"/>
        <v>149</v>
      </c>
      <c r="H79" s="600">
        <f>G79+'[3]7'!H79</f>
        <v>1272</v>
      </c>
      <c r="I79" s="645"/>
      <c r="J79" s="693">
        <f>H79/DAY(B2)</f>
        <v>159</v>
      </c>
      <c r="K79" s="529"/>
      <c r="L79" s="421"/>
      <c r="N79" s="426"/>
    </row>
    <row r="80" spans="1:14" ht="27.75">
      <c r="A80" s="1408" t="s">
        <v>209</v>
      </c>
      <c r="B80" s="1409"/>
      <c r="C80" s="1410"/>
      <c r="D80" s="664" t="s">
        <v>198</v>
      </c>
      <c r="E80" s="660">
        <f>'[3]7'!F80</f>
        <v>458828.28</v>
      </c>
      <c r="F80" s="792">
        <v>459125.04</v>
      </c>
      <c r="G80" s="613">
        <f t="shared" si="7"/>
        <v>296.75999999995111</v>
      </c>
      <c r="H80" s="600">
        <f>G80+'[3]7'!H80</f>
        <v>2260</v>
      </c>
      <c r="I80" s="645"/>
      <c r="J80" s="693">
        <f>H80/DAY(B2)</f>
        <v>282.5</v>
      </c>
      <c r="K80" s="529"/>
      <c r="L80" s="421"/>
      <c r="N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'[3]7'!F81</f>
        <v>611823.31999999995</v>
      </c>
      <c r="F81" s="792">
        <v>611916.12</v>
      </c>
      <c r="G81" s="613">
        <f t="shared" si="7"/>
        <v>92.800000000046566</v>
      </c>
      <c r="H81" s="600">
        <f>G81+'[3]7'!H81</f>
        <v>793.8399999999674</v>
      </c>
      <c r="I81" s="645"/>
      <c r="J81" s="693">
        <f>H81/DAY(B2)</f>
        <v>99.229999999995925</v>
      </c>
      <c r="K81" s="529"/>
      <c r="L81" s="421"/>
      <c r="N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'[3]7'!F82</f>
        <v>103165.17</v>
      </c>
      <c r="F82" s="788">
        <v>103169.84</v>
      </c>
      <c r="G82" s="613">
        <f t="shared" si="7"/>
        <v>4.6699999999982538</v>
      </c>
      <c r="H82" s="600">
        <f>G82+'[3]7'!H82</f>
        <v>139.88999999999942</v>
      </c>
      <c r="I82" s="626"/>
      <c r="J82" s="693">
        <f>H82/DAY(B2)</f>
        <v>17.486249999999927</v>
      </c>
      <c r="K82" s="529"/>
      <c r="L82" s="421"/>
      <c r="N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'[3]7'!F83</f>
        <v>954817</v>
      </c>
      <c r="F83" s="651">
        <v>955153</v>
      </c>
      <c r="G83" s="613">
        <f t="shared" si="7"/>
        <v>336</v>
      </c>
      <c r="H83" s="600">
        <f>G83+'[3]7'!H83</f>
        <v>2910</v>
      </c>
      <c r="I83" s="621"/>
      <c r="J83" s="693">
        <f>H83/DAY(B2)</f>
        <v>363.75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'[3]7'!F84</f>
        <v>370402</v>
      </c>
      <c r="F84" s="768">
        <v>370813</v>
      </c>
      <c r="G84" s="613">
        <f t="shared" si="7"/>
        <v>411</v>
      </c>
      <c r="H84" s="600">
        <f>G84+'[3]7'!H84</f>
        <v>4380</v>
      </c>
      <c r="I84" s="621"/>
      <c r="J84" s="693">
        <f>H84/DAY(B2)</f>
        <v>547.5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1970.2299999999959</v>
      </c>
      <c r="H85" s="600">
        <f>G85+'[3]7'!H85</f>
        <v>14877.989999999962</v>
      </c>
      <c r="I85" s="621"/>
      <c r="J85" s="693">
        <f>H85/DAY(B2)</f>
        <v>1859.7487499999952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'[3]7'!F86</f>
        <v>437840.44</v>
      </c>
      <c r="F86" s="784">
        <v>437983.32</v>
      </c>
      <c r="G86" s="861">
        <f t="shared" ref="G86:G90" si="8">F86-E86</f>
        <v>142.88000000000466</v>
      </c>
      <c r="H86" s="861">
        <f t="shared" ref="H86:H88" si="9">G86</f>
        <v>142.88000000000466</v>
      </c>
      <c r="I86" s="789"/>
      <c r="J86" s="863">
        <f>H86/DAY(B2)</f>
        <v>17.860000000000582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'[3]7'!F87</f>
        <v>76277.399999999994</v>
      </c>
      <c r="F87" s="784">
        <v>76288.2</v>
      </c>
      <c r="G87" s="861">
        <f t="shared" si="8"/>
        <v>10.80000000000291</v>
      </c>
      <c r="H87" s="861">
        <f t="shared" si="9"/>
        <v>10.80000000000291</v>
      </c>
      <c r="I87" s="789"/>
      <c r="J87" s="863">
        <f>H87/DAY(B2)</f>
        <v>1.3500000000003638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'[3]7'!F88</f>
        <v>140516.85999999999</v>
      </c>
      <c r="F88" s="784">
        <v>140582.60999999999</v>
      </c>
      <c r="G88" s="861">
        <f t="shared" si="8"/>
        <v>65.75</v>
      </c>
      <c r="H88" s="861">
        <f t="shared" si="9"/>
        <v>65.75</v>
      </c>
      <c r="I88" s="789"/>
      <c r="J88" s="863">
        <f>H88/DAY(B2)</f>
        <v>8.21875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'[3]7'!F89</f>
        <v>54474.2</v>
      </c>
      <c r="F89" s="784">
        <v>54526.6</v>
      </c>
      <c r="G89" s="861">
        <f t="shared" si="8"/>
        <v>52.400000000001455</v>
      </c>
      <c r="H89" s="861">
        <f>G89</f>
        <v>52.400000000001455</v>
      </c>
      <c r="I89" s="789"/>
      <c r="J89" s="863">
        <f>H89/DAY(B2)</f>
        <v>6.5500000000001819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'[3]7'!F90</f>
        <v>2811.1</v>
      </c>
      <c r="F90" s="784">
        <v>2813.71</v>
      </c>
      <c r="G90" s="861">
        <f t="shared" si="8"/>
        <v>2.6100000000001273</v>
      </c>
      <c r="H90" s="861">
        <f>G90</f>
        <v>2.6100000000001273</v>
      </c>
      <c r="I90" s="789"/>
      <c r="J90" s="863">
        <f>H90/DAY(B2)</f>
        <v>0.32625000000001592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'[3]7'!F92</f>
        <v>229227</v>
      </c>
      <c r="F92" s="618">
        <v>229307</v>
      </c>
      <c r="G92" s="613">
        <f t="shared" ref="G92:G93" si="10">F92-E92</f>
        <v>80</v>
      </c>
      <c r="H92" s="600">
        <f>G92+'[3]7'!H92</f>
        <v>712</v>
      </c>
      <c r="I92" s="620"/>
      <c r="J92" s="693">
        <f>H92/DAY(B2)</f>
        <v>89</v>
      </c>
      <c r="K92" s="528"/>
      <c r="L92" s="421"/>
      <c r="N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'[3]7'!F93</f>
        <v>159761</v>
      </c>
      <c r="F93" s="618">
        <v>159904</v>
      </c>
      <c r="G93" s="613">
        <f t="shared" si="10"/>
        <v>143</v>
      </c>
      <c r="H93" s="600">
        <f>G93+'[3]7'!H93</f>
        <v>1381</v>
      </c>
      <c r="I93" s="620"/>
      <c r="J93" s="693">
        <f>H93/DAY(B2)</f>
        <v>172.625</v>
      </c>
      <c r="K93" s="424"/>
      <c r="L93" s="421"/>
      <c r="N93" s="426"/>
    </row>
    <row r="94" spans="1:15">
      <c r="A94" s="1460" t="s">
        <v>219</v>
      </c>
      <c r="B94" s="1461"/>
      <c r="C94" s="1462"/>
      <c r="D94" s="663"/>
      <c r="E94" s="624">
        <f>'[3]7'!F94</f>
        <v>0</v>
      </c>
      <c r="F94" s="618"/>
      <c r="G94" s="613">
        <f>G92+G93</f>
        <v>223</v>
      </c>
      <c r="H94" s="600">
        <f>G94+'[3]7'!H94</f>
        <v>1803</v>
      </c>
      <c r="I94" s="620"/>
      <c r="J94" s="693">
        <f>H94/DAY(B2)</f>
        <v>225.375</v>
      </c>
      <c r="K94" s="424"/>
      <c r="L94" s="421"/>
      <c r="N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'[3]7'!F95</f>
        <v>400243</v>
      </c>
      <c r="F95" s="618">
        <v>400284</v>
      </c>
      <c r="G95" s="613">
        <f t="shared" ref="G95:G100" si="11">F95-E95</f>
        <v>41</v>
      </c>
      <c r="H95" s="600">
        <f>G95+'[3]7'!H95</f>
        <v>437</v>
      </c>
      <c r="I95" s="620"/>
      <c r="J95" s="693">
        <f>H95/DAY(B2)</f>
        <v>54.625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'[3]7'!F96</f>
        <v>98354</v>
      </c>
      <c r="F96" s="618">
        <v>98404</v>
      </c>
      <c r="G96" s="613">
        <f t="shared" si="11"/>
        <v>50</v>
      </c>
      <c r="H96" s="600">
        <f>G96+'[3]7'!H96</f>
        <v>395</v>
      </c>
      <c r="I96" s="620"/>
      <c r="J96" s="693">
        <f>H96/DAY(B2)</f>
        <v>49.375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'[3]7'!F97</f>
        <v>93720</v>
      </c>
      <c r="F97" s="618">
        <v>93761</v>
      </c>
      <c r="G97" s="613">
        <f t="shared" si="11"/>
        <v>41</v>
      </c>
      <c r="H97" s="600">
        <f>G97+'[3]7'!H97</f>
        <v>210</v>
      </c>
      <c r="I97" s="620"/>
      <c r="J97" s="693">
        <f>H97/DAY(B2)</f>
        <v>26.25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'[3]7'!F98</f>
        <v>141174</v>
      </c>
      <c r="F98" s="618">
        <v>141215</v>
      </c>
      <c r="G98" s="613">
        <f t="shared" si="11"/>
        <v>41</v>
      </c>
      <c r="H98" s="600">
        <f>G98+'[3]7'!H98</f>
        <v>310</v>
      </c>
      <c r="I98" s="620"/>
      <c r="J98" s="693">
        <f>H98/DAY(B2)</f>
        <v>38.75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'[3]7'!F99</f>
        <v>4780</v>
      </c>
      <c r="F99" s="618">
        <v>4788</v>
      </c>
      <c r="G99" s="613">
        <f t="shared" si="11"/>
        <v>8</v>
      </c>
      <c r="H99" s="600">
        <f>G99+'[3]7'!H99</f>
        <v>80</v>
      </c>
      <c r="I99" s="620"/>
      <c r="J99" s="693">
        <f>H99/DAY(B2)</f>
        <v>10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'[3]7'!F100</f>
        <v>3674</v>
      </c>
      <c r="F100" s="618">
        <v>3674</v>
      </c>
      <c r="G100" s="613">
        <f t="shared" si="11"/>
        <v>0</v>
      </c>
      <c r="H100" s="600">
        <f>G100+'[3]7'!H100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60" t="s">
        <v>227</v>
      </c>
      <c r="B101" s="1461"/>
      <c r="C101" s="1462"/>
      <c r="D101" s="664"/>
      <c r="E101" s="664"/>
      <c r="F101" s="664"/>
      <c r="G101" s="665">
        <f>SUM(G95:G100)</f>
        <v>181</v>
      </c>
      <c r="H101" s="600">
        <f>G101+'[3]7'!H101</f>
        <v>1432</v>
      </c>
      <c r="I101" s="666"/>
      <c r="J101" s="693">
        <f>H101/DAY(B2)</f>
        <v>179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21" t="s">
        <v>230</v>
      </c>
      <c r="B104" s="1422"/>
      <c r="C104" s="1376"/>
      <c r="D104" s="763" t="s">
        <v>155</v>
      </c>
      <c r="E104" s="672">
        <f>'[3]7'!F104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7.5</v>
      </c>
      <c r="N104" s="426"/>
    </row>
    <row r="105" spans="1:14" s="544" customFormat="1" ht="27.75">
      <c r="A105" s="1421" t="s">
        <v>77</v>
      </c>
      <c r="B105" s="1422"/>
      <c r="C105" s="1376"/>
      <c r="D105" s="763" t="s">
        <v>155</v>
      </c>
      <c r="E105" s="672">
        <f>'[3]7'!F105</f>
        <v>34546</v>
      </c>
      <c r="F105" s="796">
        <v>34546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8.75</v>
      </c>
      <c r="N105" s="426"/>
    </row>
    <row r="106" spans="1:14" s="544" customFormat="1" ht="27.75">
      <c r="A106" s="1421" t="s">
        <v>78</v>
      </c>
      <c r="B106" s="1465"/>
      <c r="C106" s="1422"/>
      <c r="D106" s="763" t="s">
        <v>155</v>
      </c>
      <c r="E106" s="672">
        <f>'[3]7'!F106</f>
        <v>18653</v>
      </c>
      <c r="F106" s="796">
        <v>18653</v>
      </c>
      <c r="G106" s="672">
        <f t="shared" si="12"/>
        <v>0</v>
      </c>
      <c r="H106" s="673">
        <f>SUM(G106+'[3]1'!G78)</f>
        <v>329</v>
      </c>
      <c r="I106" s="672"/>
      <c r="J106" s="699">
        <f>H106/DAY(B2)</f>
        <v>41.125</v>
      </c>
      <c r="N106" s="426"/>
    </row>
    <row r="107" spans="1:14" s="544" customFormat="1" ht="27.75">
      <c r="A107" s="1423" t="s">
        <v>213</v>
      </c>
      <c r="B107" s="1424"/>
      <c r="C107" s="1376"/>
      <c r="D107" s="763"/>
      <c r="E107" s="672"/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20</v>
      </c>
      <c r="N107" s="426"/>
    </row>
    <row r="108" spans="1:14" s="544" customFormat="1" ht="27.75">
      <c r="A108" s="1427" t="s">
        <v>79</v>
      </c>
      <c r="B108" s="1428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21" t="s">
        <v>231</v>
      </c>
      <c r="B109" s="1422"/>
      <c r="C109" s="1376"/>
      <c r="D109" s="763" t="s">
        <v>155</v>
      </c>
      <c r="E109" s="672">
        <f>'[3]7'!F109</f>
        <v>50111</v>
      </c>
      <c r="F109" s="796">
        <v>50171</v>
      </c>
      <c r="G109" s="672">
        <f>F109-E109</f>
        <v>60</v>
      </c>
      <c r="H109" s="673">
        <f>SUM(G109+'[3]1'!G81)</f>
        <v>142</v>
      </c>
      <c r="I109" s="672"/>
      <c r="J109" s="699">
        <f>H109/DAY(B2)</f>
        <v>17.75</v>
      </c>
      <c r="N109" s="426"/>
    </row>
    <row r="110" spans="1:14" s="544" customFormat="1" ht="27.75">
      <c r="A110" s="1421" t="s">
        <v>232</v>
      </c>
      <c r="B110" s="1422"/>
      <c r="C110" s="1376"/>
      <c r="D110" s="763" t="s">
        <v>155</v>
      </c>
      <c r="E110" s="672">
        <f>'[3]7'!F110</f>
        <v>24373</v>
      </c>
      <c r="F110" s="796">
        <v>24417</v>
      </c>
      <c r="G110" s="672">
        <f t="shared" ref="G110:G111" si="13">F110-E110</f>
        <v>44</v>
      </c>
      <c r="H110" s="673">
        <f>SUM(G110+'[3]1'!G82)</f>
        <v>69.740000000005239</v>
      </c>
      <c r="I110" s="672"/>
      <c r="J110" s="699">
        <f>H110/DAY(B2)</f>
        <v>8.7175000000006548</v>
      </c>
      <c r="N110" s="426"/>
    </row>
    <row r="111" spans="1:14" s="544" customFormat="1" ht="27.75">
      <c r="A111" s="1421" t="s">
        <v>233</v>
      </c>
      <c r="B111" s="1422"/>
      <c r="C111" s="1376"/>
      <c r="D111" s="763" t="s">
        <v>155</v>
      </c>
      <c r="E111" s="672">
        <f>'[3]7'!F111</f>
        <v>3228</v>
      </c>
      <c r="F111" s="796">
        <v>3228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55.75</v>
      </c>
      <c r="N111" s="426"/>
    </row>
    <row r="112" spans="1:14" s="544" customFormat="1" ht="27.75">
      <c r="A112" s="1423" t="s">
        <v>121</v>
      </c>
      <c r="B112" s="1424"/>
      <c r="C112" s="1376"/>
      <c r="D112" s="763"/>
      <c r="E112" s="672"/>
      <c r="F112" s="796"/>
      <c r="G112" s="672">
        <f>SUM(G109:G111)</f>
        <v>104</v>
      </c>
      <c r="H112" s="673">
        <f>SUM(G112+'[3]1'!G84)</f>
        <v>700</v>
      </c>
      <c r="I112" s="672"/>
      <c r="J112" s="699">
        <f>H112/DAY(B2)</f>
        <v>87.5</v>
      </c>
      <c r="N112" s="426"/>
    </row>
    <row r="113" spans="1:14" s="544" customFormat="1" ht="27.75">
      <c r="A113" s="1427" t="s">
        <v>234</v>
      </c>
      <c r="B113" s="1428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21" t="s">
        <v>235</v>
      </c>
      <c r="B114" s="1422"/>
      <c r="C114" s="715"/>
      <c r="D114" s="763" t="s">
        <v>155</v>
      </c>
      <c r="E114" s="672">
        <f>'[3]7'!F114</f>
        <v>8361</v>
      </c>
      <c r="F114" s="796">
        <v>8372</v>
      </c>
      <c r="G114" s="674">
        <f>F114-E114</f>
        <v>11</v>
      </c>
      <c r="H114" s="673">
        <f>SUM(G114+'[3]1'!G91)</f>
        <v>11</v>
      </c>
      <c r="I114" s="672"/>
      <c r="J114" s="699">
        <f>H114/DAY(B2)</f>
        <v>1.375</v>
      </c>
      <c r="N114" s="426"/>
    </row>
    <row r="115" spans="1:14" s="544" customFormat="1" ht="27.75">
      <c r="A115" s="1421" t="s">
        <v>236</v>
      </c>
      <c r="B115" s="1422"/>
      <c r="C115" s="715"/>
      <c r="D115" s="763" t="s">
        <v>155</v>
      </c>
      <c r="E115" s="672">
        <f>'[3]7'!F115</f>
        <v>6581</v>
      </c>
      <c r="F115" s="796">
        <v>6589</v>
      </c>
      <c r="G115" s="674">
        <f t="shared" ref="G115:G116" si="14">F115-E115</f>
        <v>8</v>
      </c>
      <c r="H115" s="673">
        <f>SUM(G115+'[3]1'!G92)</f>
        <v>113</v>
      </c>
      <c r="I115" s="672"/>
      <c r="J115" s="699">
        <f>H115/DAY(B2)</f>
        <v>14.125</v>
      </c>
      <c r="N115" s="426"/>
    </row>
    <row r="116" spans="1:14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23.125</v>
      </c>
      <c r="N116" s="426"/>
    </row>
    <row r="117" spans="1:14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19</v>
      </c>
      <c r="H117" s="673">
        <f>SUM(G117+'[3]1'!G95)</f>
        <v>67</v>
      </c>
      <c r="I117" s="674"/>
      <c r="J117" s="699">
        <f>H117/DAY(B2)</f>
        <v>8.375</v>
      </c>
      <c r="N117" s="426"/>
    </row>
    <row r="118" spans="1:14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133</v>
      </c>
      <c r="G118" s="676">
        <f>SUM(G19+G92)</f>
        <v>133</v>
      </c>
      <c r="H118" s="673">
        <f>SUM(G118+'[3]1'!G96)</f>
        <v>182</v>
      </c>
      <c r="I118" s="675"/>
      <c r="J118" s="700">
        <f>H118/DAY(B2)</f>
        <v>22.75</v>
      </c>
      <c r="N118" s="426"/>
    </row>
    <row r="119" spans="1:14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140</v>
      </c>
      <c r="G119" s="676">
        <f>SUM(G95,G96,G97,G99,G100)</f>
        <v>140</v>
      </c>
      <c r="H119" s="673">
        <f>SUM(G119+'[3]1'!G98)</f>
        <v>172</v>
      </c>
      <c r="I119" s="675"/>
      <c r="J119" s="700">
        <f>H119/DAY(B2)</f>
        <v>21.5</v>
      </c>
      <c r="N119" s="426"/>
    </row>
    <row r="120" spans="1:14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104</v>
      </c>
      <c r="G120" s="674">
        <f>SUM(G112)</f>
        <v>104</v>
      </c>
      <c r="H120" s="673">
        <f>SUM(G120+'[3]1'!G100)</f>
        <v>104</v>
      </c>
      <c r="I120" s="675"/>
      <c r="J120" s="700">
        <f>H120/DAY(B2)</f>
        <v>13</v>
      </c>
      <c r="N120" s="426"/>
    </row>
    <row r="121" spans="1:14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'[3]7'!F123</f>
        <v>784193.69</v>
      </c>
      <c r="F123" s="618">
        <v>784407.36300000001</v>
      </c>
      <c r="G123" s="613">
        <f t="shared" ref="G123:G127" si="15">F123-E123</f>
        <v>213.67300000006799</v>
      </c>
      <c r="H123" s="600">
        <f>G123+'[3]7'!H123</f>
        <v>1482.4769999999553</v>
      </c>
      <c r="I123" s="666"/>
      <c r="J123" s="693">
        <f>H123/DAY(B2)</f>
        <v>185.30962499999441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'[3]7'!F124</f>
        <v>73581</v>
      </c>
      <c r="F124" s="767">
        <v>73581</v>
      </c>
      <c r="G124" s="613">
        <f t="shared" si="15"/>
        <v>0</v>
      </c>
      <c r="H124" s="600">
        <f>G124+'[3]7'!H124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29" t="s">
        <v>244</v>
      </c>
      <c r="B125" s="1430"/>
      <c r="C125" s="1431"/>
      <c r="D125" s="663" t="s">
        <v>152</v>
      </c>
      <c r="E125" s="618">
        <f>'[3]7'!F125</f>
        <v>131537.26999999999</v>
      </c>
      <c r="F125" s="618">
        <v>131603.01</v>
      </c>
      <c r="G125" s="613">
        <f t="shared" si="15"/>
        <v>65.740000000019791</v>
      </c>
      <c r="H125" s="600">
        <f>G125+'[3]7'!H125</f>
        <v>496.79000000000815</v>
      </c>
      <c r="I125" s="666"/>
      <c r="J125" s="693">
        <f>H125/DAY(B2)</f>
        <v>62.098750000001019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'[3]7'!F126</f>
        <v>55749.9</v>
      </c>
      <c r="F126" s="625">
        <v>55774.7</v>
      </c>
      <c r="G126" s="613">
        <f t="shared" si="15"/>
        <v>24.799999999995634</v>
      </c>
      <c r="H126" s="600">
        <f>G126+'[3]7'!H126</f>
        <v>188.89999999999418</v>
      </c>
      <c r="I126" s="666"/>
      <c r="J126" s="693">
        <f>H126/DAY(B2)</f>
        <v>23.612499999999272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'[3]7'!F127</f>
        <v>8639</v>
      </c>
      <c r="F127" s="767">
        <v>8639</v>
      </c>
      <c r="G127" s="613">
        <f t="shared" si="15"/>
        <v>0</v>
      </c>
      <c r="H127" s="600">
        <f>G127+'[3]7'!H127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74.826000000022759</v>
      </c>
      <c r="H128" s="600"/>
      <c r="I128" s="620"/>
      <c r="J128" s="693"/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'[3]7'!F130</f>
        <v>0</v>
      </c>
      <c r="F130" s="618">
        <v>0</v>
      </c>
      <c r="G130" s="613">
        <f t="shared" ref="G130:G140" si="16">F130-E130</f>
        <v>0</v>
      </c>
      <c r="H130" s="600">
        <f>G130+'[3]7'!H130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'[3]7'!F131</f>
        <v>0</v>
      </c>
      <c r="F131" s="618">
        <v>0</v>
      </c>
      <c r="G131" s="613">
        <f t="shared" si="16"/>
        <v>0</v>
      </c>
      <c r="H131" s="600">
        <f>G131+'[3]7'!H131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'[3]7'!F132</f>
        <v>38853</v>
      </c>
      <c r="F132" s="767">
        <v>38853</v>
      </c>
      <c r="G132" s="613">
        <f t="shared" si="16"/>
        <v>0</v>
      </c>
      <c r="H132" s="600">
        <f>G132+'[3]7'!H132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'[3]7'!F133</f>
        <v>34948</v>
      </c>
      <c r="F133" s="625">
        <v>34948</v>
      </c>
      <c r="G133" s="613">
        <f t="shared" si="16"/>
        <v>0</v>
      </c>
      <c r="H133" s="600">
        <f>G133+'[3]7'!H133</f>
        <v>0</v>
      </c>
      <c r="I133" s="620">
        <f>G132+G133+G134+G135</f>
        <v>23.529999999998836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'[3]7'!F134</f>
        <v>39736</v>
      </c>
      <c r="F134" s="767">
        <v>39736</v>
      </c>
      <c r="G134" s="613">
        <f t="shared" si="16"/>
        <v>0</v>
      </c>
      <c r="H134" s="600">
        <f>G134+'[3]7'!H134</f>
        <v>-0.26999999999679858</v>
      </c>
      <c r="I134" s="620"/>
      <c r="J134" s="693">
        <f>H134/DAY(B2)</f>
        <v>-3.3749999999599822E-2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'[3]7'!F135</f>
        <v>31161.47</v>
      </c>
      <c r="F135" s="767">
        <v>31185</v>
      </c>
      <c r="G135" s="613">
        <f t="shared" si="16"/>
        <v>23.529999999998836</v>
      </c>
      <c r="H135" s="600">
        <f>G135+'[3]7'!H135</f>
        <v>191.97999999999956</v>
      </c>
      <c r="I135" s="620"/>
      <c r="J135" s="693">
        <f>H135/DAY(B2)</f>
        <v>23.997499999999945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'[3]7'!F136</f>
        <v>21613.08</v>
      </c>
      <c r="F136" s="788">
        <v>21613.08</v>
      </c>
      <c r="G136" s="613">
        <f t="shared" si="16"/>
        <v>0</v>
      </c>
      <c r="H136" s="600">
        <f>G136+'[3]7'!H136</f>
        <v>15.05000000000291</v>
      </c>
      <c r="I136" s="620">
        <f>G134+G135+G136</f>
        <v>23.529999999998836</v>
      </c>
      <c r="J136" s="693">
        <f>H136/DAY(B2)</f>
        <v>1.8812500000003638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'[3]7'!F137</f>
        <v>24902</v>
      </c>
      <c r="F137" s="788">
        <v>24902.25</v>
      </c>
      <c r="G137" s="613">
        <f t="shared" si="16"/>
        <v>0.25</v>
      </c>
      <c r="H137" s="600">
        <f>G137+'[3]7'!H137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'[3]7'!F138</f>
        <v>69917.56</v>
      </c>
      <c r="F138" s="788">
        <v>69917.56</v>
      </c>
      <c r="G138" s="613">
        <f t="shared" si="16"/>
        <v>0</v>
      </c>
      <c r="H138" s="600">
        <f>G138+'[3]7'!H138</f>
        <v>35.910000000003492</v>
      </c>
      <c r="I138" s="620">
        <f>G137+G138</f>
        <v>0.25</v>
      </c>
      <c r="J138" s="693">
        <f>H138/DAY(B2)</f>
        <v>4.4887500000004366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838">
        <f>'[3]7'!F139</f>
        <v>810.24</v>
      </c>
      <c r="F139" s="767">
        <v>816.34</v>
      </c>
      <c r="G139" s="613">
        <f t="shared" si="16"/>
        <v>6.1000000000000227</v>
      </c>
      <c r="H139" s="600">
        <f>G139+'[3]7'!H139</f>
        <v>39.910000000000082</v>
      </c>
      <c r="I139" s="683"/>
      <c r="J139" s="693">
        <f>H139/DAY(B2)</f>
        <v>4.9887500000000102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'[3]7'!F140</f>
        <v>4156.9799999999996</v>
      </c>
      <c r="F140" s="618">
        <v>4156.9799999999996</v>
      </c>
      <c r="G140" s="613">
        <f t="shared" si="16"/>
        <v>0</v>
      </c>
      <c r="H140" s="600">
        <f>G140+'[3]7'!H140</f>
        <v>2.7099999999991269</v>
      </c>
      <c r="I140" s="683"/>
      <c r="J140" s="693">
        <f>H140/DAY(B2)</f>
        <v>0.33874999999989086</v>
      </c>
      <c r="N140" s="426"/>
    </row>
    <row r="141" spans="1:14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5101.359999999986</v>
      </c>
      <c r="H142" s="600">
        <f>G142+'[3]7'!H142</f>
        <v>39531.662000000113</v>
      </c>
      <c r="I142" s="620"/>
      <c r="J142" s="693">
        <f>H142/DAY(B2)</f>
        <v>4941.4577500000141</v>
      </c>
      <c r="K142" s="424"/>
      <c r="L142" s="421"/>
      <c r="N142" s="426"/>
    </row>
    <row r="143" spans="1:14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0.26051271575937013</v>
      </c>
      <c r="H143" s="600">
        <f>G143+'[3]7'!H143</f>
        <v>1.9359319354408142</v>
      </c>
      <c r="I143" s="685"/>
      <c r="J143" s="693">
        <f>H143/DAY(B2)</f>
        <v>0.24199149193010178</v>
      </c>
      <c r="K143" s="424"/>
      <c r="L143" s="421"/>
      <c r="N143" s="426"/>
    </row>
    <row r="144" spans="1:14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4636.9199999999837</v>
      </c>
      <c r="H144" s="600">
        <f>G144+'[3]7'!H144</f>
        <v>33787.110000000132</v>
      </c>
      <c r="I144" s="620"/>
      <c r="J144" s="693">
        <f>H144/DAY(B2)</f>
        <v>4223.3887500000164</v>
      </c>
      <c r="K144" s="424"/>
      <c r="L144" s="421"/>
      <c r="N144" s="426"/>
    </row>
    <row r="145" spans="1:14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0.23679501583086424</v>
      </c>
      <c r="H145" s="600">
        <f>G145+'[3]7'!H145</f>
        <v>1.8179457700184416</v>
      </c>
      <c r="I145" s="685"/>
      <c r="J145" s="693">
        <f>H145/DAY(B2)</f>
        <v>0.2272432212523052</v>
      </c>
      <c r="K145" s="424"/>
      <c r="L145" s="421"/>
      <c r="N145" s="426"/>
    </row>
    <row r="146" spans="1:14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4130.7199999999721</v>
      </c>
      <c r="H146" s="600">
        <f>G146+'[3]7'!H146</f>
        <v>31631.440000000061</v>
      </c>
      <c r="I146" s="686"/>
      <c r="J146" s="693">
        <f>H146/DAY(B2)</f>
        <v>3953.9300000000076</v>
      </c>
      <c r="K146" s="424"/>
      <c r="L146" s="421"/>
      <c r="N146" s="426"/>
    </row>
    <row r="147" spans="1:14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0.21094474517413808</v>
      </c>
      <c r="H147" s="600">
        <f>G147+'[3]7'!H147</f>
        <v>1.7037503220783927</v>
      </c>
      <c r="I147" s="686"/>
      <c r="J147" s="693">
        <f>H147/DAY(B2)</f>
        <v>0.21296879025979909</v>
      </c>
      <c r="N147" s="426"/>
    </row>
    <row r="148" spans="1:14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1753.7399999999907</v>
      </c>
      <c r="H148" s="600">
        <f>G148+'[3]7'!H148</f>
        <v>13951.580000000016</v>
      </c>
      <c r="I148" s="620"/>
      <c r="J148" s="693">
        <f>H148/DAY(B2)</f>
        <v>1743.947500000002</v>
      </c>
      <c r="K148" s="425"/>
      <c r="N148" s="426"/>
    </row>
    <row r="149" spans="1:14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8.9558778470023012E-2</v>
      </c>
      <c r="H149" s="600">
        <f>G149+'[3]7'!H149</f>
        <v>0.75157967118365632</v>
      </c>
      <c r="I149" s="686"/>
      <c r="J149" s="693">
        <f>H149/DAY(B2)</f>
        <v>9.394745889795704E-2</v>
      </c>
      <c r="N149" s="426"/>
    </row>
    <row r="150" spans="1:14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1824.3800000000047</v>
      </c>
      <c r="H150" s="600">
        <f>G150+'[3]7'!H150</f>
        <v>12827.279999999999</v>
      </c>
      <c r="I150" s="686"/>
      <c r="J150" s="693">
        <f>H150/DAY(B2)</f>
        <v>1603.4099999999999</v>
      </c>
      <c r="N150" s="426"/>
    </row>
    <row r="151" spans="1:14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9.3166173016035372E-2</v>
      </c>
      <c r="H151" s="600">
        <f>G151+'[3]7'!H151</f>
        <v>0.68935448676465005</v>
      </c>
      <c r="I151" s="620"/>
      <c r="J151" s="693">
        <f>H151/DAY(B2)</f>
        <v>8.6169310845581257E-2</v>
      </c>
      <c r="N151" s="426"/>
    </row>
    <row r="152" spans="1:14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1574.5200000000186</v>
      </c>
      <c r="H152" s="600">
        <f>G152+'[3]7'!H152</f>
        <v>12115.520000000019</v>
      </c>
      <c r="I152" s="620"/>
      <c r="J152" s="693">
        <f>H152/DAY(B2)</f>
        <v>1514.4400000000023</v>
      </c>
      <c r="N152" s="426"/>
    </row>
    <row r="153" spans="1:14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8.0406495761414495E-2</v>
      </c>
      <c r="H153" s="600">
        <f>G153+'[3]7'!H153</f>
        <v>0.65267839031220509</v>
      </c>
      <c r="I153" s="709"/>
      <c r="J153" s="710">
        <f>H153/DAY(B2)</f>
        <v>8.1584798789025637E-2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466" t="s">
        <v>278</v>
      </c>
      <c r="B157" s="1467"/>
      <c r="C157" s="1467"/>
      <c r="D157" s="1467"/>
      <c r="E157" s="1467"/>
      <c r="F157" s="1467"/>
      <c r="G157" s="1468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'[3]7'!F160</f>
        <v>22168.638999999999</v>
      </c>
      <c r="F160" s="795">
        <v>22243.041000000001</v>
      </c>
      <c r="G160" s="613">
        <f t="shared" ref="G160:G171" si="17">F160-E160</f>
        <v>74.402000000001863</v>
      </c>
      <c r="H160" s="679">
        <v>72.86699999999837</v>
      </c>
      <c r="I160" s="680">
        <f>G160-H160</f>
        <v>1.5350000000034925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'[3]7'!F161</f>
        <v>14324.466</v>
      </c>
      <c r="F161" s="795">
        <v>14409.633</v>
      </c>
      <c r="G161" s="613">
        <f t="shared" si="17"/>
        <v>85.166999999999462</v>
      </c>
      <c r="H161" s="679">
        <v>115.86999999999898</v>
      </c>
      <c r="I161" s="680">
        <f t="shared" ref="I161:I171" si="18">G161-H161</f>
        <v>-30.70299999999952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'[3]7'!F162</f>
        <v>32090.566999999999</v>
      </c>
      <c r="F162" s="795">
        <v>32312.705000000002</v>
      </c>
      <c r="G162" s="613">
        <f t="shared" si="17"/>
        <v>222.13800000000265</v>
      </c>
      <c r="H162" s="679">
        <v>184.81999999999971</v>
      </c>
      <c r="I162" s="680">
        <f t="shared" si="18"/>
        <v>37.318000000002939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'[3]7'!F163</f>
        <v>3132.6293000000001</v>
      </c>
      <c r="F163" s="795">
        <v>3145.5717</v>
      </c>
      <c r="G163" s="613">
        <f t="shared" si="17"/>
        <v>12.942399999999907</v>
      </c>
      <c r="H163" s="679">
        <v>17.309999999999945</v>
      </c>
      <c r="I163" s="680">
        <f t="shared" si="18"/>
        <v>-4.3676000000000386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'[3]7'!F164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'[3]7'!F165</f>
        <v>433.43</v>
      </c>
      <c r="F165" s="654">
        <f t="shared" ref="F165:F171" si="19">F63</f>
        <v>453.19600000000003</v>
      </c>
      <c r="G165" s="613">
        <f t="shared" si="17"/>
        <v>19.76600000000002</v>
      </c>
      <c r="H165" s="679">
        <v>-0.47999999999956344</v>
      </c>
      <c r="I165" s="680">
        <f t="shared" si="18"/>
        <v>20.245999999999583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'[3]7'!F166</f>
        <v>78597.407000000007</v>
      </c>
      <c r="F166" s="654">
        <f t="shared" si="19"/>
        <v>78958.794999999998</v>
      </c>
      <c r="G166" s="613">
        <f t="shared" si="17"/>
        <v>361.38799999999173</v>
      </c>
      <c r="H166" s="679">
        <v>271.15200000000186</v>
      </c>
      <c r="I166" s="680">
        <f t="shared" si="18"/>
        <v>90.235999999989872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'[3]7'!F167</f>
        <v>87898.743000000002</v>
      </c>
      <c r="F167" s="654">
        <f t="shared" si="19"/>
        <v>88304.078999999998</v>
      </c>
      <c r="G167" s="613">
        <f t="shared" si="17"/>
        <v>405.33599999999569</v>
      </c>
      <c r="H167" s="679">
        <v>372.92000000001281</v>
      </c>
      <c r="I167" s="680">
        <f t="shared" si="18"/>
        <v>32.415999999982887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'[3]7'!F168</f>
        <v>80882.663</v>
      </c>
      <c r="F168" s="654">
        <f t="shared" si="19"/>
        <v>81281.934999999998</v>
      </c>
      <c r="G168" s="613">
        <f t="shared" si="17"/>
        <v>399.27199999999721</v>
      </c>
      <c r="H168" s="679">
        <v>384.8520000000135</v>
      </c>
      <c r="I168" s="680">
        <f>G168-H168</f>
        <v>14.419999999983702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'[3]7'!F169</f>
        <v>130507.66</v>
      </c>
      <c r="F169" s="654">
        <f t="shared" si="19"/>
        <v>131208.91</v>
      </c>
      <c r="G169" s="613">
        <f t="shared" si="17"/>
        <v>701.25</v>
      </c>
      <c r="H169" s="679">
        <v>451.52000000000407</v>
      </c>
      <c r="I169" s="680">
        <f t="shared" si="18"/>
        <v>249.72999999999593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'[3]7'!F170</f>
        <v>35579.347000000002</v>
      </c>
      <c r="F170" s="654">
        <f t="shared" si="19"/>
        <v>35919.747000000003</v>
      </c>
      <c r="G170" s="613">
        <f t="shared" si="17"/>
        <v>340.40000000000146</v>
      </c>
      <c r="H170" s="679">
        <v>264.56499999999869</v>
      </c>
      <c r="I170" s="680">
        <f t="shared" si="18"/>
        <v>75.835000000002765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'[3]7'!F171</f>
        <v>30948.825000000001</v>
      </c>
      <c r="F171" s="654">
        <f t="shared" si="19"/>
        <v>31252.830999999998</v>
      </c>
      <c r="G171" s="613">
        <f t="shared" si="17"/>
        <v>304.00599999999758</v>
      </c>
      <c r="H171" s="679">
        <v>137.0779999999977</v>
      </c>
      <c r="I171" s="680">
        <f t="shared" si="18"/>
        <v>166.92799999999988</v>
      </c>
    </row>
    <row r="176" spans="1:9" ht="18.75" customHeight="1"/>
    <row r="184" ht="20.25" customHeight="1"/>
    <row r="185" ht="20.25" customHeight="1"/>
  </sheetData>
  <mergeCells count="69">
    <mergeCell ref="A157:G15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B3" sqref="B3"/>
    </sheetView>
  </sheetViews>
  <sheetFormatPr defaultColWidth="22.33203125" defaultRowHeight="29.25"/>
  <cols>
    <col min="1" max="1" width="42.33203125" style="594" customWidth="1"/>
    <col min="2" max="2" width="31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293</v>
      </c>
      <c r="B2" s="1195">
        <v>44144</v>
      </c>
      <c r="C2" s="1378" t="s">
        <v>69</v>
      </c>
      <c r="D2" s="752">
        <v>0.45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0.79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'[3]7'!F7</f>
        <v>2234013</v>
      </c>
      <c r="F7" s="595">
        <v>2253595</v>
      </c>
      <c r="G7" s="815">
        <f>F7-E7</f>
        <v>19582</v>
      </c>
      <c r="H7" s="816">
        <f>G7+'[3]7'!H7</f>
        <v>148570</v>
      </c>
      <c r="I7" s="817">
        <f>'[3]1'!I7</f>
        <v>12000</v>
      </c>
      <c r="J7" s="818">
        <f>H7/DAY(B2)</f>
        <v>16507.777777777777</v>
      </c>
      <c r="K7" s="690"/>
      <c r="L7" s="421"/>
      <c r="N7" s="864">
        <v>11335</v>
      </c>
      <c r="O7" s="426">
        <f>G7-N7</f>
        <v>8247</v>
      </c>
    </row>
    <row r="8" spans="1:15" ht="27.75" thickBot="1">
      <c r="A8" s="819" t="s">
        <v>144</v>
      </c>
      <c r="B8" s="820"/>
      <c r="C8" s="821"/>
      <c r="D8" s="822" t="s">
        <v>25</v>
      </c>
      <c r="E8" s="774">
        <f>'[3]7'!F8</f>
        <v>2244938</v>
      </c>
      <c r="F8" s="615">
        <v>2264584</v>
      </c>
      <c r="G8" s="826">
        <f>F8-E8</f>
        <v>19646</v>
      </c>
      <c r="H8" s="816">
        <f>G8+'[3]7'!H8</f>
        <v>149143</v>
      </c>
      <c r="I8" s="823">
        <v>12000</v>
      </c>
      <c r="J8" s="818">
        <f>H8/DAY(B2)</f>
        <v>16571.444444444445</v>
      </c>
      <c r="K8" s="690"/>
      <c r="L8" s="479"/>
      <c r="M8" s="542"/>
      <c r="N8" s="841"/>
    </row>
    <row r="9" spans="1:15">
      <c r="A9" s="824" t="s">
        <v>145</v>
      </c>
      <c r="B9" s="825"/>
      <c r="C9" s="825"/>
      <c r="D9" s="779" t="s">
        <v>143</v>
      </c>
      <c r="E9" s="776">
        <f>'[3]7'!F9</f>
        <v>2141511.2999999998</v>
      </c>
      <c r="F9" s="618">
        <v>2160415</v>
      </c>
      <c r="G9" s="839">
        <f t="shared" ref="G9:G12" si="0">F9-E9</f>
        <v>18903.700000000186</v>
      </c>
      <c r="H9" s="816">
        <f>G9+'[3]7'!H9</f>
        <v>143409.69999999995</v>
      </c>
      <c r="I9" s="827">
        <f>I7-J7</f>
        <v>-4507.7777777777774</v>
      </c>
      <c r="J9" s="818">
        <f>H9/DAY(B2)</f>
        <v>15934.411111111105</v>
      </c>
      <c r="K9" s="527"/>
      <c r="L9" s="421"/>
      <c r="N9" s="426"/>
    </row>
    <row r="10" spans="1:15">
      <c r="A10" s="813" t="s">
        <v>146</v>
      </c>
      <c r="B10" s="814"/>
      <c r="C10" s="814"/>
      <c r="D10" s="779" t="s">
        <v>143</v>
      </c>
      <c r="E10" s="776">
        <f>'[3]7'!F10</f>
        <v>454610</v>
      </c>
      <c r="F10" s="618">
        <v>454610</v>
      </c>
      <c r="G10" s="826">
        <f t="shared" si="0"/>
        <v>0</v>
      </c>
      <c r="H10" s="816">
        <f>G10+'[3]7'!H10</f>
        <v>0.21000000002095476</v>
      </c>
      <c r="I10" s="828"/>
      <c r="J10" s="818">
        <f>H10/DAY(B2)</f>
        <v>2.3333333335661639E-2</v>
      </c>
      <c r="K10" s="527"/>
      <c r="L10" s="421"/>
      <c r="N10" s="426"/>
    </row>
    <row r="11" spans="1:15">
      <c r="A11" s="813" t="s">
        <v>147</v>
      </c>
      <c r="B11" s="814"/>
      <c r="C11" s="814"/>
      <c r="D11" s="779" t="s">
        <v>143</v>
      </c>
      <c r="E11" s="774">
        <f>'[3]7'!F11</f>
        <v>35390</v>
      </c>
      <c r="F11" s="595">
        <v>35390</v>
      </c>
      <c r="G11" s="826">
        <f t="shared" si="0"/>
        <v>0</v>
      </c>
      <c r="H11" s="816">
        <f>G11+'[3]7'!H11</f>
        <v>0</v>
      </c>
      <c r="I11" s="828"/>
      <c r="J11" s="818">
        <f>H11/DAY(B2)</f>
        <v>0</v>
      </c>
      <c r="K11" s="527"/>
      <c r="L11" s="421"/>
      <c r="N11" s="426"/>
    </row>
    <row r="12" spans="1:15">
      <c r="A12" s="813" t="s">
        <v>148</v>
      </c>
      <c r="B12" s="814"/>
      <c r="C12" s="814"/>
      <c r="D12" s="779" t="s">
        <v>143</v>
      </c>
      <c r="E12" s="776">
        <f>'[3]7'!F12</f>
        <v>37630</v>
      </c>
      <c r="F12" s="618">
        <v>37630</v>
      </c>
      <c r="G12" s="826">
        <f t="shared" si="0"/>
        <v>0</v>
      </c>
      <c r="H12" s="816">
        <f>G12+'[3]7'!H12</f>
        <v>0</v>
      </c>
      <c r="I12" s="828"/>
      <c r="J12" s="818">
        <f>H12/DAY(B2)</f>
        <v>0</v>
      </c>
      <c r="K12" s="527"/>
      <c r="L12" s="421"/>
      <c r="N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18903.700000000186</v>
      </c>
      <c r="H13" s="816">
        <f>G13+'[3]7'!H13</f>
        <v>143409.90999999997</v>
      </c>
      <c r="I13" s="832">
        <f>G7-G13</f>
        <v>678.29999999981374</v>
      </c>
      <c r="J13" s="818">
        <f>H13/DAY(B2)</f>
        <v>15934.434444444441</v>
      </c>
      <c r="K13" s="527"/>
      <c r="L13" s="421"/>
      <c r="N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5">
      <c r="A15" s="802" t="s">
        <v>151</v>
      </c>
      <c r="B15" s="803"/>
      <c r="C15" s="803"/>
      <c r="D15" s="804" t="s">
        <v>152</v>
      </c>
      <c r="E15" s="805">
        <f>'[3]7'!F15</f>
        <v>1533706.5819999999</v>
      </c>
      <c r="F15" s="837">
        <v>1534085.621</v>
      </c>
      <c r="G15" s="801">
        <f>(F15-E15)</f>
        <v>379.03900000010617</v>
      </c>
      <c r="H15" s="807">
        <f>G15+'[3]7'!H15</f>
        <v>3970.4270000001416</v>
      </c>
      <c r="I15" s="808">
        <v>800</v>
      </c>
      <c r="J15" s="809">
        <f>H15/DAY(B2)</f>
        <v>441.1585555555713</v>
      </c>
      <c r="K15" s="527"/>
      <c r="L15" s="421"/>
      <c r="N15" s="426"/>
    </row>
    <row r="16" spans="1:15">
      <c r="A16" s="810"/>
      <c r="B16" s="811"/>
      <c r="C16" s="811"/>
      <c r="D16" s="804"/>
      <c r="E16" s="805"/>
      <c r="F16" s="837"/>
      <c r="G16" s="806"/>
      <c r="H16" s="807"/>
      <c r="I16" s="812">
        <f>I15-J15</f>
        <v>358.8414444444287</v>
      </c>
      <c r="J16" s="809"/>
      <c r="K16" s="527"/>
      <c r="L16" s="421"/>
      <c r="N16" s="426"/>
    </row>
    <row r="17" spans="1:14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478" t="s">
        <v>154</v>
      </c>
      <c r="B18" s="1479"/>
      <c r="C18" s="1480"/>
      <c r="D18" s="779" t="s">
        <v>155</v>
      </c>
      <c r="E18" s="776">
        <f>'[3]7'!F18</f>
        <v>11</v>
      </c>
      <c r="F18" s="618">
        <v>10</v>
      </c>
      <c r="G18" s="831">
        <f>F18*10</f>
        <v>100</v>
      </c>
      <c r="H18" s="816">
        <f>G18+'[3]7'!H18</f>
        <v>860</v>
      </c>
      <c r="I18" s="817">
        <f>'[3]1'!I18</f>
        <v>65</v>
      </c>
      <c r="J18" s="818">
        <f>H18/DAY(B2)</f>
        <v>95.555555555555557</v>
      </c>
      <c r="K18" s="527"/>
      <c r="L18" s="421"/>
      <c r="N18" s="426"/>
    </row>
    <row r="19" spans="1:14" ht="27.75">
      <c r="A19" s="1478" t="s">
        <v>71</v>
      </c>
      <c r="B19" s="1479"/>
      <c r="C19" s="1480"/>
      <c r="D19" s="779" t="s">
        <v>155</v>
      </c>
      <c r="E19" s="776">
        <f>'[3]7'!F19</f>
        <v>128551</v>
      </c>
      <c r="F19" s="618">
        <v>128604</v>
      </c>
      <c r="G19" s="826">
        <f t="shared" ref="G19" si="1">F19-E19</f>
        <v>53</v>
      </c>
      <c r="H19" s="816">
        <f>G19+'[3]7'!H19</f>
        <v>409</v>
      </c>
      <c r="I19" s="833"/>
      <c r="J19" s="818">
        <f>H19/DAY(B2)</f>
        <v>45.444444444444443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153</v>
      </c>
      <c r="H20" s="816">
        <f>G20+'[3]7'!H20</f>
        <v>1269</v>
      </c>
      <c r="I20" s="835">
        <f>I18-J20</f>
        <v>-76</v>
      </c>
      <c r="J20" s="818">
        <f>H20/DAY(B2)</f>
        <v>141</v>
      </c>
      <c r="K20" s="527"/>
      <c r="L20" s="421"/>
      <c r="N20" s="426"/>
    </row>
    <row r="21" spans="1:14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'[3]7'!F22</f>
        <v>2250</v>
      </c>
      <c r="F22" s="618">
        <v>2250</v>
      </c>
      <c r="G22" s="621">
        <f t="shared" ref="G22" si="2">(F22-E22)</f>
        <v>0</v>
      </c>
      <c r="H22" s="600">
        <f>G22+'[3]7'!H22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'[3]7'!F23</f>
        <v>2000</v>
      </c>
      <c r="F23" s="618">
        <v>2000</v>
      </c>
      <c r="G23" s="621">
        <v>0</v>
      </c>
      <c r="H23" s="600">
        <f>G23+'[3]7'!H23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'[3]7'!F24</f>
        <v>4250</v>
      </c>
      <c r="F24" s="625">
        <v>4250</v>
      </c>
      <c r="G24" s="621">
        <v>0</v>
      </c>
      <c r="H24" s="600">
        <f>G24+'[3]7'!H24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19646</v>
      </c>
      <c r="F27" s="641">
        <v>9.5</v>
      </c>
      <c r="G27" s="642">
        <f>E27*F27</f>
        <v>186637</v>
      </c>
      <c r="H27" s="600">
        <f>G27+'[3]7'!H27</f>
        <v>1416858.5</v>
      </c>
      <c r="I27" s="643"/>
      <c r="J27" s="693">
        <f>H27/DAY(B2)</f>
        <v>157428.72222222222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379.03900000010617</v>
      </c>
      <c r="F28" s="641">
        <v>36.5</v>
      </c>
      <c r="G28" s="642">
        <f t="shared" ref="G28:G31" si="3">E28*F28</f>
        <v>13834.923500003875</v>
      </c>
      <c r="H28" s="600">
        <f>G28+'[3]7'!H28</f>
        <v>144920.58550000517</v>
      </c>
      <c r="I28" s="645"/>
      <c r="J28" s="693">
        <f>H28/DAY(B2)</f>
        <v>16102.287277778352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G29+'[3]7'!H29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 t="shared" si="3"/>
        <v>7685</v>
      </c>
      <c r="H30" s="600">
        <f>G30+'[3]7'!H30</f>
        <v>59305</v>
      </c>
      <c r="I30" s="645"/>
      <c r="J30" s="693">
        <f>H30/DAY(B2)</f>
        <v>6589.4444444444443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 t="shared" si="3"/>
        <v>8000</v>
      </c>
      <c r="H31" s="600">
        <f>G31+'[3]7'!H31</f>
        <v>68800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216156.92350000388</v>
      </c>
      <c r="H32" s="600">
        <f>G32+'[3]7'!H32</f>
        <v>1689884.0855000052</v>
      </c>
      <c r="I32" s="649"/>
      <c r="J32" s="693">
        <f>H32/DAY(B2)</f>
        <v>187764.89838888947</v>
      </c>
      <c r="K32" s="417"/>
      <c r="L32" s="547"/>
      <c r="N32" s="426"/>
    </row>
    <row r="33" spans="1:14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'[3]7'!F35</f>
        <v>621195.67000000004</v>
      </c>
      <c r="F35" s="650">
        <v>623871.51</v>
      </c>
      <c r="G35" s="613">
        <f t="shared" ref="G35:G46" si="4">F35-E35</f>
        <v>2675.8399999999674</v>
      </c>
      <c r="H35" s="600">
        <f>G35+'[3]7'!H35</f>
        <v>20528.040000000037</v>
      </c>
      <c r="I35" s="595"/>
      <c r="J35" s="693">
        <f>H35/DAY(B2)</f>
        <v>2280.8933333333375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'[3]7'!F36</f>
        <v>215532.85</v>
      </c>
      <c r="F36" s="650">
        <v>216310.17</v>
      </c>
      <c r="G36" s="613">
        <f t="shared" si="4"/>
        <v>777.32000000000698</v>
      </c>
      <c r="H36" s="600">
        <f>G36+'[3]7'!H36</f>
        <v>4950.2200000000012</v>
      </c>
      <c r="I36" s="595"/>
      <c r="J36" s="693">
        <f>H36/DAY(B2)</f>
        <v>550.02444444444461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'[3]7'!F37</f>
        <v>410385.19</v>
      </c>
      <c r="F37" s="650">
        <v>411959.71</v>
      </c>
      <c r="G37" s="613">
        <f t="shared" si="4"/>
        <v>1574.5200000000186</v>
      </c>
      <c r="H37" s="600">
        <f>G37+'[3]7'!H37</f>
        <v>12115.520000000019</v>
      </c>
      <c r="I37" s="595"/>
      <c r="J37" s="693">
        <f>H37/DAY(B2)</f>
        <v>1346.1688888888909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'[3]7'!F38</f>
        <v>150714</v>
      </c>
      <c r="F38" s="609">
        <v>150714</v>
      </c>
      <c r="G38" s="613">
        <f t="shared" si="4"/>
        <v>0</v>
      </c>
      <c r="H38" s="600">
        <f>G38+'[3]7'!H38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'[3]7'!F39</f>
        <v>899625.43</v>
      </c>
      <c r="F39" s="650">
        <v>903756.15</v>
      </c>
      <c r="G39" s="613">
        <f t="shared" si="4"/>
        <v>4130.7199999999721</v>
      </c>
      <c r="H39" s="600">
        <f>G39+'[3]7'!H39</f>
        <v>31631.440000000061</v>
      </c>
      <c r="I39" s="595"/>
      <c r="J39" s="693">
        <f>H39/DAY(B2)</f>
        <v>3514.604444444451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'[3]7'!F40</f>
        <v>0.17</v>
      </c>
      <c r="F40" s="650">
        <v>0.17</v>
      </c>
      <c r="G40" s="613">
        <f t="shared" si="4"/>
        <v>0</v>
      </c>
      <c r="H40" s="600">
        <f>G40+'[3]7'!H40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'[3]7'!F41</f>
        <v>300127.90000000002</v>
      </c>
      <c r="F41" s="650">
        <v>300127.90000000002</v>
      </c>
      <c r="G41" s="613">
        <f t="shared" si="4"/>
        <v>0</v>
      </c>
      <c r="H41" s="600">
        <f>G41+'[3]7'!H41</f>
        <v>-6.9999999948777258E-2</v>
      </c>
      <c r="I41" s="595"/>
      <c r="J41" s="693">
        <f>H41/DAY(B2)</f>
        <v>-7.7777777720863623E-3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'[3]7'!F42</f>
        <v>396197.4</v>
      </c>
      <c r="F42" s="650">
        <v>396197.4</v>
      </c>
      <c r="G42" s="613">
        <f t="shared" si="4"/>
        <v>0</v>
      </c>
      <c r="H42" s="600">
        <f>G42+'[3]7'!H42</f>
        <v>-6.9999999948777258E-2</v>
      </c>
      <c r="I42" s="595"/>
      <c r="J42" s="693">
        <f>H42/DAY(B2)</f>
        <v>-7.7777777720863623E-3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'[3]7'!F43</f>
        <v>574902.63</v>
      </c>
      <c r="F43" s="650">
        <v>577328.15</v>
      </c>
      <c r="G43" s="613">
        <f t="shared" si="4"/>
        <v>2425.5200000000186</v>
      </c>
      <c r="H43" s="600">
        <f>G43+'[3]7'!H43</f>
        <v>19004.080000000075</v>
      </c>
      <c r="I43" s="595"/>
      <c r="J43" s="693">
        <f>H43/DAY(B2)</f>
        <v>2111.5644444444529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'[3]7'!F44</f>
        <v>0</v>
      </c>
      <c r="F44" s="650">
        <v>0</v>
      </c>
      <c r="G44" s="613">
        <f t="shared" si="4"/>
        <v>0</v>
      </c>
      <c r="H44" s="600">
        <f>G44+'[3]7'!H44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'[3]7'!F45</f>
        <v>614</v>
      </c>
      <c r="F45" s="650">
        <v>614</v>
      </c>
      <c r="G45" s="613">
        <f t="shared" si="4"/>
        <v>0</v>
      </c>
      <c r="H45" s="600">
        <f>G45+'[3]7'!H45</f>
        <v>-0.48000000000001819</v>
      </c>
      <c r="I45" s="595"/>
      <c r="J45" s="693">
        <f>H45/DAY(B2)</f>
        <v>-5.3333333333335356E-2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'[3]7'!F46</f>
        <v>187</v>
      </c>
      <c r="F46" s="650">
        <v>187</v>
      </c>
      <c r="G46" s="613">
        <f t="shared" si="4"/>
        <v>0</v>
      </c>
      <c r="H46" s="600">
        <f>G46+'[3]7'!H46</f>
        <v>-0.49000000000000909</v>
      </c>
      <c r="I46" s="595"/>
      <c r="J46" s="693">
        <f>H46/DAY(B2)</f>
        <v>-5.4444444444445454E-2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11583.919999999984</v>
      </c>
      <c r="H47" s="600">
        <f>G47+'[3]7'!H47</f>
        <v>88228.190000000293</v>
      </c>
      <c r="I47" s="595"/>
      <c r="J47" s="693">
        <f>H47/DAY(B2)</f>
        <v>9803.1322222222552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'[3]7'!F49</f>
        <v>11728.38</v>
      </c>
      <c r="F49" s="650">
        <v>11728.38</v>
      </c>
      <c r="G49" s="613">
        <f t="shared" ref="G49:G58" si="5">F49-E49</f>
        <v>0</v>
      </c>
      <c r="H49" s="600">
        <f>G49+'[3]7'!H49</f>
        <v>-0.45800000000053842</v>
      </c>
      <c r="I49" s="595"/>
      <c r="J49" s="693">
        <f>H49/DAY(B2)</f>
        <v>-5.0888888888948713E-2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'[3]7'!F50</f>
        <v>270636.57</v>
      </c>
      <c r="F50" s="650">
        <v>271683.63</v>
      </c>
      <c r="G50" s="613">
        <f t="shared" si="5"/>
        <v>1047.0599999999977</v>
      </c>
      <c r="H50" s="600">
        <f>G50+'[3]7'!H50</f>
        <v>7877.0599999999977</v>
      </c>
      <c r="I50" s="595"/>
      <c r="J50" s="693">
        <f>H50/DAY(B2)</f>
        <v>875.2288888888886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'[3]7'!F51</f>
        <v>0</v>
      </c>
      <c r="F51" s="650">
        <v>0</v>
      </c>
      <c r="G51" s="613">
        <f t="shared" si="5"/>
        <v>0</v>
      </c>
      <c r="H51" s="600">
        <f>G51+'[3]7'!H51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'[3]7'!F52</f>
        <v>330862.53000000003</v>
      </c>
      <c r="F52" s="650">
        <v>332616.27</v>
      </c>
      <c r="G52" s="613">
        <f t="shared" si="5"/>
        <v>1753.7399999999907</v>
      </c>
      <c r="H52" s="600">
        <f>G52+'[3]7'!H52</f>
        <v>13951.580000000016</v>
      </c>
      <c r="I52" s="595"/>
      <c r="J52" s="693">
        <f>H52/DAY(B2)</f>
        <v>1550.1755555555574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'[3]7'!F53</f>
        <v>16071</v>
      </c>
      <c r="F53" s="650">
        <v>16071</v>
      </c>
      <c r="G53" s="613">
        <f t="shared" si="5"/>
        <v>0</v>
      </c>
      <c r="H53" s="600">
        <f>G53+'[3]7'!H53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'[3]7'!F54</f>
        <v>1915.2147</v>
      </c>
      <c r="F54" s="650">
        <v>1990.1043</v>
      </c>
      <c r="G54" s="613">
        <f t="shared" si="5"/>
        <v>74.889599999999973</v>
      </c>
      <c r="H54" s="600">
        <f>G54+'[3]7'!H54</f>
        <v>586.4393</v>
      </c>
      <c r="I54" s="595"/>
      <c r="J54" s="693">
        <f>H54/DAY(B2)</f>
        <v>65.159922222222221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'[3]7'!F55</f>
        <v>158492.73000000001</v>
      </c>
      <c r="F55" s="790">
        <v>158492.73000000001</v>
      </c>
      <c r="G55" s="789">
        <f t="shared" si="5"/>
        <v>0</v>
      </c>
      <c r="H55" s="861">
        <f>G55+'[3]7'!H55</f>
        <v>-0.26999999998952262</v>
      </c>
      <c r="I55" s="862"/>
      <c r="J55" s="863">
        <f>H55/DAY(B2)</f>
        <v>-2.9999999998835847E-2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'[3]7'!F56</f>
        <v>333140.39</v>
      </c>
      <c r="F56" s="790">
        <v>337777.31</v>
      </c>
      <c r="G56" s="613">
        <f t="shared" si="5"/>
        <v>4636.9199999999837</v>
      </c>
      <c r="H56" s="600">
        <f>G56+'[3]7'!H56</f>
        <v>33787.520000000019</v>
      </c>
      <c r="I56" s="595"/>
      <c r="J56" s="693">
        <f>H56/DAY(B2)</f>
        <v>3754.1688888888912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'[3]7'!F57</f>
        <v>0</v>
      </c>
      <c r="F57" s="650">
        <v>0</v>
      </c>
      <c r="G57" s="613">
        <f t="shared" si="5"/>
        <v>0</v>
      </c>
      <c r="H57" s="600">
        <f>G57+'[3]7'!H57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'[3]7'!F58</f>
        <v>18035.512999999999</v>
      </c>
      <c r="F58" s="790">
        <v>18042.974999999999</v>
      </c>
      <c r="G58" s="613">
        <f t="shared" si="5"/>
        <v>7.4619999999995343</v>
      </c>
      <c r="H58" s="600">
        <f>G58+'[3]7'!H58</f>
        <v>578.7039999999979</v>
      </c>
      <c r="I58" s="595"/>
      <c r="J58" s="693">
        <f>H58/DAY(B2)</f>
        <v>64.30044444444421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7520.071599999972</v>
      </c>
      <c r="H59" s="600">
        <f>G59+'[3]7'!H59</f>
        <v>56780.57530000004</v>
      </c>
      <c r="I59" s="595">
        <f>G7-G60</f>
        <v>478.00840000004246</v>
      </c>
      <c r="J59" s="693">
        <f>H59/DAY(B2)</f>
        <v>6308.9528111111158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19103.991599999958</v>
      </c>
      <c r="H60" s="600">
        <f>G60+'[3]7'!H60</f>
        <v>145008.76530000035</v>
      </c>
      <c r="I60" s="595">
        <f>G13-G60</f>
        <v>-200.29159999977128</v>
      </c>
      <c r="J60" s="693">
        <f>H60/DAY(B2)</f>
        <v>16112.085033333373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'[3]7'!F62</f>
        <v>20419</v>
      </c>
      <c r="F62" s="654">
        <v>20419</v>
      </c>
      <c r="G62" s="613">
        <f t="shared" ref="G62:G69" si="6">F62-E62</f>
        <v>0</v>
      </c>
      <c r="H62" s="600">
        <f>G62+'[3]7'!H62</f>
        <v>-0.3779999999969732</v>
      </c>
      <c r="I62" s="655"/>
      <c r="J62" s="693">
        <f>H62/DAY(B2)</f>
        <v>-4.1999999999663688E-2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'[3]7'!F63</f>
        <v>433.43</v>
      </c>
      <c r="F63" s="654">
        <v>453.19600000000003</v>
      </c>
      <c r="G63" s="613">
        <f t="shared" si="6"/>
        <v>19.76600000000002</v>
      </c>
      <c r="H63" s="600">
        <f>G63+'[3]7'!H63</f>
        <v>154.73600000000005</v>
      </c>
      <c r="I63" s="655"/>
      <c r="J63" s="693">
        <f>H63/DAY(B2)</f>
        <v>17.192888888888895</v>
      </c>
      <c r="K63" s="527"/>
      <c r="L63" s="421"/>
      <c r="N63" s="426"/>
    </row>
    <row r="64" spans="1:14" ht="27.75">
      <c r="A64" s="1429" t="s">
        <v>107</v>
      </c>
      <c r="B64" s="1430"/>
      <c r="C64" s="1431"/>
      <c r="D64" s="663" t="s">
        <v>198</v>
      </c>
      <c r="E64" s="624">
        <f>'[3]7'!F64</f>
        <v>78597.407000000007</v>
      </c>
      <c r="F64" s="618">
        <v>78958.794999999998</v>
      </c>
      <c r="G64" s="613">
        <f t="shared" si="6"/>
        <v>361.38799999999173</v>
      </c>
      <c r="H64" s="600">
        <f>G64+'[3]7'!H64</f>
        <v>2895.7079999999987</v>
      </c>
      <c r="I64" s="620"/>
      <c r="J64" s="693">
        <f>H64/DAY(B2)</f>
        <v>321.74533333333318</v>
      </c>
      <c r="K64" s="527"/>
      <c r="L64" s="421"/>
      <c r="N64" s="426"/>
    </row>
    <row r="65" spans="1:14" ht="27.75">
      <c r="A65" s="1429" t="s">
        <v>108</v>
      </c>
      <c r="B65" s="1430"/>
      <c r="C65" s="1431"/>
      <c r="D65" s="663" t="s">
        <v>198</v>
      </c>
      <c r="E65" s="624">
        <f>'[3]7'!F65</f>
        <v>87898.743000000002</v>
      </c>
      <c r="F65" s="788">
        <v>88304.078999999998</v>
      </c>
      <c r="G65" s="613">
        <f t="shared" si="6"/>
        <v>405.33599999999569</v>
      </c>
      <c r="H65" s="600">
        <f>G65+'[3]7'!H65</f>
        <v>3144.8159999999916</v>
      </c>
      <c r="I65" s="629"/>
      <c r="J65" s="693">
        <f>H65/DAY(B2)</f>
        <v>349.42399999999907</v>
      </c>
      <c r="K65" s="527"/>
      <c r="L65" s="421"/>
      <c r="N65" s="426"/>
    </row>
    <row r="66" spans="1:14" ht="27.75">
      <c r="A66" s="1429" t="s">
        <v>109</v>
      </c>
      <c r="B66" s="1430"/>
      <c r="C66" s="1431"/>
      <c r="D66" s="663" t="s">
        <v>198</v>
      </c>
      <c r="E66" s="624">
        <f>'[3]7'!F66</f>
        <v>80882.663</v>
      </c>
      <c r="F66" s="618">
        <v>81281.934999999998</v>
      </c>
      <c r="G66" s="613">
        <f t="shared" si="6"/>
        <v>399.27199999999721</v>
      </c>
      <c r="H66" s="600">
        <f>G66+'[3]7'!H66</f>
        <v>3093.976999999999</v>
      </c>
      <c r="I66" s="620"/>
      <c r="J66" s="693">
        <f>H66/DAY(B2)</f>
        <v>343.77522222222211</v>
      </c>
      <c r="K66" s="527"/>
      <c r="L66" s="421"/>
      <c r="N66" s="426"/>
    </row>
    <row r="67" spans="1:14" ht="27.75">
      <c r="A67" s="1429" t="s">
        <v>110</v>
      </c>
      <c r="B67" s="1430"/>
      <c r="C67" s="1431"/>
      <c r="D67" s="663" t="s">
        <v>198</v>
      </c>
      <c r="E67" s="624">
        <f>'[3]7'!F67</f>
        <v>130507.66</v>
      </c>
      <c r="F67" s="618">
        <v>131208.91</v>
      </c>
      <c r="G67" s="613">
        <f t="shared" si="6"/>
        <v>701.25</v>
      </c>
      <c r="H67" s="600">
        <f>G67+'[3]7'!H67</f>
        <v>5152.4100000000035</v>
      </c>
      <c r="I67" s="629"/>
      <c r="J67" s="693">
        <f>H67/DAY(B2)</f>
        <v>572.49000000000035</v>
      </c>
      <c r="K67" s="528"/>
      <c r="L67" s="421"/>
      <c r="N67" s="426"/>
    </row>
    <row r="68" spans="1:14" ht="27.75">
      <c r="A68" s="1429" t="s">
        <v>111</v>
      </c>
      <c r="B68" s="1430"/>
      <c r="C68" s="1431"/>
      <c r="D68" s="663" t="s">
        <v>198</v>
      </c>
      <c r="E68" s="624">
        <f>'[3]7'!F68</f>
        <v>35579.347000000002</v>
      </c>
      <c r="F68" s="618">
        <v>35919.747000000003</v>
      </c>
      <c r="G68" s="613">
        <f t="shared" si="6"/>
        <v>340.40000000000146</v>
      </c>
      <c r="H68" s="600">
        <f>G68+'[3]7'!H68</f>
        <v>2519.8780000000042</v>
      </c>
      <c r="I68" s="656"/>
      <c r="J68" s="693">
        <f>H68/DAY(B2)</f>
        <v>279.98644444444494</v>
      </c>
      <c r="K68" s="529"/>
      <c r="L68" s="421"/>
      <c r="N68" s="426"/>
    </row>
    <row r="69" spans="1:14" ht="27.75">
      <c r="A69" s="1429" t="s">
        <v>112</v>
      </c>
      <c r="B69" s="1430"/>
      <c r="C69" s="1431"/>
      <c r="D69" s="663" t="s">
        <v>198</v>
      </c>
      <c r="E69" s="624">
        <f>'[3]7'!F69</f>
        <v>30948.825000000001</v>
      </c>
      <c r="F69" s="618">
        <v>31252.830999999998</v>
      </c>
      <c r="G69" s="613">
        <f t="shared" si="6"/>
        <v>304.00599999999758</v>
      </c>
      <c r="H69" s="600">
        <f>G69+'[3]7'!H69</f>
        <v>2000.4659999999967</v>
      </c>
      <c r="I69" s="656"/>
      <c r="J69" s="693">
        <f>H69/DAY(B2)</f>
        <v>222.27399999999963</v>
      </c>
      <c r="K69" s="530"/>
      <c r="L69" s="421"/>
      <c r="N69" s="426"/>
    </row>
    <row r="70" spans="1:14" ht="27.75">
      <c r="A70" s="1469" t="s">
        <v>200</v>
      </c>
      <c r="B70" s="1470"/>
      <c r="C70" s="1471"/>
      <c r="D70" s="663" t="s">
        <v>198</v>
      </c>
      <c r="E70" s="658"/>
      <c r="F70" s="658" t="s">
        <v>280</v>
      </c>
      <c r="G70" s="658"/>
      <c r="H70" s="600"/>
      <c r="I70" s="658"/>
      <c r="J70" s="697"/>
      <c r="K70" s="530"/>
      <c r="L70" s="421"/>
      <c r="N70" s="426"/>
    </row>
    <row r="71" spans="1:14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</row>
    <row r="72" spans="1:14" ht="27.75">
      <c r="A72" s="1429" t="s">
        <v>202</v>
      </c>
      <c r="B72" s="1430"/>
      <c r="C72" s="1431"/>
      <c r="D72" s="663" t="s">
        <v>198</v>
      </c>
      <c r="E72" s="659">
        <f>'[3]7'!F72</f>
        <v>843984</v>
      </c>
      <c r="F72" s="791">
        <v>843993</v>
      </c>
      <c r="G72" s="613">
        <f t="shared" ref="G72:G84" si="7">F72-E72</f>
        <v>9</v>
      </c>
      <c r="H72" s="600">
        <f>G72+'[3]7'!H72</f>
        <v>60</v>
      </c>
      <c r="I72" s="620"/>
      <c r="J72" s="693">
        <f>H72/DAY(B2)</f>
        <v>6.666666666666667</v>
      </c>
      <c r="K72" s="530"/>
      <c r="L72" s="421"/>
      <c r="N72" s="426"/>
    </row>
    <row r="73" spans="1:14" ht="27.75">
      <c r="A73" s="1429" t="s">
        <v>203</v>
      </c>
      <c r="B73" s="1430"/>
      <c r="C73" s="1431"/>
      <c r="D73" s="663" t="s">
        <v>198</v>
      </c>
      <c r="E73" s="660">
        <f>'[3]7'!F73</f>
        <v>885221</v>
      </c>
      <c r="F73" s="792">
        <v>885222</v>
      </c>
      <c r="G73" s="789">
        <f t="shared" si="7"/>
        <v>1</v>
      </c>
      <c r="H73" s="600">
        <f>G73+'[3]7'!H73</f>
        <v>7</v>
      </c>
      <c r="I73" s="620"/>
      <c r="J73" s="693">
        <f>H73/DAY(B2)</f>
        <v>0.77777777777777779</v>
      </c>
      <c r="K73" s="529"/>
      <c r="L73" s="421"/>
      <c r="N73" s="426"/>
    </row>
    <row r="74" spans="1:14" ht="27.75">
      <c r="A74" s="1429" t="s">
        <v>204</v>
      </c>
      <c r="B74" s="1430"/>
      <c r="C74" s="1431"/>
      <c r="D74" s="663" t="s">
        <v>198</v>
      </c>
      <c r="E74" s="661">
        <f>'[3]7'!F74</f>
        <v>879751</v>
      </c>
      <c r="F74" s="791">
        <v>879767</v>
      </c>
      <c r="G74" s="613">
        <f t="shared" si="7"/>
        <v>16</v>
      </c>
      <c r="H74" s="600">
        <f>G74+'[3]7'!H74</f>
        <v>131</v>
      </c>
      <c r="I74" s="620"/>
      <c r="J74" s="693">
        <f>H74/DAY(B2)</f>
        <v>14.555555555555555</v>
      </c>
      <c r="K74" s="530"/>
      <c r="L74" s="421"/>
      <c r="N74" s="426"/>
    </row>
    <row r="75" spans="1:14" ht="27.75">
      <c r="A75" s="1408" t="s">
        <v>205</v>
      </c>
      <c r="B75" s="1409"/>
      <c r="C75" s="1410"/>
      <c r="D75" s="663" t="s">
        <v>198</v>
      </c>
      <c r="E75" s="660">
        <f>'[3]7'!F75</f>
        <v>722462</v>
      </c>
      <c r="F75" s="792">
        <v>722624</v>
      </c>
      <c r="G75" s="613">
        <f t="shared" si="7"/>
        <v>162</v>
      </c>
      <c r="H75" s="600">
        <f>G75+'[3]7'!H75</f>
        <v>1258</v>
      </c>
      <c r="I75" s="620"/>
      <c r="J75" s="693">
        <f>H75/DAY(B2)</f>
        <v>139.77777777777777</v>
      </c>
      <c r="K75" s="529"/>
      <c r="L75" s="421"/>
      <c r="N75" s="426"/>
    </row>
    <row r="76" spans="1:14" ht="27.75">
      <c r="A76" s="1408" t="s">
        <v>206</v>
      </c>
      <c r="B76" s="1409"/>
      <c r="C76" s="1410"/>
      <c r="D76" s="663" t="s">
        <v>198</v>
      </c>
      <c r="E76" s="660">
        <f>'[3]7'!F76</f>
        <v>680111</v>
      </c>
      <c r="F76" s="792">
        <v>680181</v>
      </c>
      <c r="G76" s="613">
        <f t="shared" si="7"/>
        <v>70</v>
      </c>
      <c r="H76" s="600">
        <f>G76+'[3]7'!H76</f>
        <v>529</v>
      </c>
      <c r="I76" s="645"/>
      <c r="J76" s="693">
        <f>H76/DAY(B2)</f>
        <v>58.777777777777779</v>
      </c>
      <c r="K76" s="529"/>
      <c r="L76" s="421"/>
      <c r="N76" s="426"/>
    </row>
    <row r="77" spans="1:14" ht="27.75">
      <c r="A77" s="1429" t="s">
        <v>207</v>
      </c>
      <c r="B77" s="1430"/>
      <c r="C77" s="1431"/>
      <c r="D77" s="663" t="s">
        <v>198</v>
      </c>
      <c r="E77" s="659">
        <f>'[3]7'!F77</f>
        <v>692599</v>
      </c>
      <c r="F77" s="791">
        <v>692648</v>
      </c>
      <c r="G77" s="789">
        <f t="shared" si="7"/>
        <v>49</v>
      </c>
      <c r="H77" s="600">
        <f>G77+'[3]7'!H77</f>
        <v>341</v>
      </c>
      <c r="I77" s="645"/>
      <c r="J77" s="693">
        <f>H77/DAY(B2)</f>
        <v>37.888888888888886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'[3]7'!F78</f>
        <v>610102</v>
      </c>
      <c r="F78" s="793">
        <v>610475</v>
      </c>
      <c r="G78" s="613">
        <f t="shared" si="7"/>
        <v>373</v>
      </c>
      <c r="H78" s="600">
        <f>G78+'[3]7'!H78</f>
        <v>2461</v>
      </c>
      <c r="I78" s="645"/>
      <c r="J78" s="693">
        <f>H78/DAY(B2)</f>
        <v>273.44444444444446</v>
      </c>
      <c r="K78" s="529"/>
      <c r="L78" s="421"/>
      <c r="N78" s="426"/>
    </row>
    <row r="79" spans="1:14" ht="27.75">
      <c r="A79" s="1408" t="s">
        <v>97</v>
      </c>
      <c r="B79" s="1409"/>
      <c r="C79" s="1410"/>
      <c r="D79" s="664" t="s">
        <v>198</v>
      </c>
      <c r="E79" s="661">
        <f>'[3]7'!F79</f>
        <v>793911</v>
      </c>
      <c r="F79" s="793">
        <v>794060</v>
      </c>
      <c r="G79" s="613">
        <f t="shared" si="7"/>
        <v>149</v>
      </c>
      <c r="H79" s="600">
        <f>G79+'[3]7'!H79</f>
        <v>1272</v>
      </c>
      <c r="I79" s="645"/>
      <c r="J79" s="693">
        <f>H79/DAY(B2)</f>
        <v>141.33333333333334</v>
      </c>
      <c r="K79" s="529"/>
      <c r="L79" s="421"/>
      <c r="N79" s="426"/>
    </row>
    <row r="80" spans="1:14" ht="27.75">
      <c r="A80" s="1408" t="s">
        <v>209</v>
      </c>
      <c r="B80" s="1409"/>
      <c r="C80" s="1410"/>
      <c r="D80" s="664" t="s">
        <v>198</v>
      </c>
      <c r="E80" s="660">
        <f>'[3]7'!F80</f>
        <v>458828.28</v>
      </c>
      <c r="F80" s="792">
        <v>459125.04</v>
      </c>
      <c r="G80" s="613">
        <f t="shared" si="7"/>
        <v>296.75999999995111</v>
      </c>
      <c r="H80" s="600">
        <f>G80+'[3]7'!H80</f>
        <v>2260</v>
      </c>
      <c r="I80" s="645"/>
      <c r="J80" s="693">
        <f>H80/DAY(B2)</f>
        <v>251.11111111111111</v>
      </c>
      <c r="K80" s="529"/>
      <c r="L80" s="421"/>
      <c r="N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'[3]7'!F81</f>
        <v>611823.31999999995</v>
      </c>
      <c r="F81" s="792">
        <v>611916.12</v>
      </c>
      <c r="G81" s="613">
        <f t="shared" si="7"/>
        <v>92.800000000046566</v>
      </c>
      <c r="H81" s="600">
        <f>G81+'[3]7'!H81</f>
        <v>793.8399999999674</v>
      </c>
      <c r="I81" s="645"/>
      <c r="J81" s="693">
        <f>H81/DAY(B2)</f>
        <v>88.204444444440824</v>
      </c>
      <c r="K81" s="529"/>
      <c r="L81" s="421"/>
      <c r="N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'[3]7'!F82</f>
        <v>103165.17</v>
      </c>
      <c r="F82" s="788">
        <v>103169.84</v>
      </c>
      <c r="G82" s="613">
        <f t="shared" si="7"/>
        <v>4.6699999999982538</v>
      </c>
      <c r="H82" s="600">
        <f>G82+'[3]7'!H82</f>
        <v>139.88999999999942</v>
      </c>
      <c r="I82" s="626"/>
      <c r="J82" s="693">
        <f>H82/DAY(B2)</f>
        <v>15.543333333333269</v>
      </c>
      <c r="K82" s="529"/>
      <c r="L82" s="421"/>
      <c r="N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'[3]7'!F83</f>
        <v>954817</v>
      </c>
      <c r="F83" s="651">
        <v>955153</v>
      </c>
      <c r="G83" s="613">
        <f t="shared" si="7"/>
        <v>336</v>
      </c>
      <c r="H83" s="600">
        <f>G83+'[3]7'!H83</f>
        <v>2910</v>
      </c>
      <c r="I83" s="621"/>
      <c r="J83" s="693">
        <f>H83/DAY(B2)</f>
        <v>323.33333333333331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'[3]7'!F84</f>
        <v>370402</v>
      </c>
      <c r="F84" s="768">
        <v>370813</v>
      </c>
      <c r="G84" s="613">
        <f t="shared" si="7"/>
        <v>411</v>
      </c>
      <c r="H84" s="600">
        <f>G84+'[3]7'!H84</f>
        <v>4380</v>
      </c>
      <c r="I84" s="621"/>
      <c r="J84" s="693">
        <f>H84/DAY(B2)</f>
        <v>486.66666666666669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1970.2299999999959</v>
      </c>
      <c r="H85" s="600">
        <f>G85+'[3]7'!H85</f>
        <v>14877.989999999962</v>
      </c>
      <c r="I85" s="621"/>
      <c r="J85" s="693">
        <f>H85/DAY(B2)</f>
        <v>1653.1099999999958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'[3]7'!F86</f>
        <v>437840.44</v>
      </c>
      <c r="F86" s="784">
        <v>437983.32</v>
      </c>
      <c r="G86" s="861">
        <f t="shared" ref="G86:G90" si="8">F86-E86</f>
        <v>142.88000000000466</v>
      </c>
      <c r="H86" s="861">
        <f t="shared" ref="H86:H88" si="9">G86</f>
        <v>142.88000000000466</v>
      </c>
      <c r="I86" s="789"/>
      <c r="J86" s="863">
        <f>H86/DAY(B2)</f>
        <v>15.875555555556073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'[3]7'!F87</f>
        <v>76277.399999999994</v>
      </c>
      <c r="F87" s="784">
        <v>76288.2</v>
      </c>
      <c r="G87" s="861">
        <f t="shared" si="8"/>
        <v>10.80000000000291</v>
      </c>
      <c r="H87" s="861">
        <f t="shared" si="9"/>
        <v>10.80000000000291</v>
      </c>
      <c r="I87" s="789"/>
      <c r="J87" s="863">
        <f>H87/DAY(B2)</f>
        <v>1.2000000000003235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'[3]7'!F88</f>
        <v>140516.85999999999</v>
      </c>
      <c r="F88" s="784">
        <v>140582.60999999999</v>
      </c>
      <c r="G88" s="861">
        <f t="shared" si="8"/>
        <v>65.75</v>
      </c>
      <c r="H88" s="861">
        <f t="shared" si="9"/>
        <v>65.75</v>
      </c>
      <c r="I88" s="789"/>
      <c r="J88" s="863">
        <f>H88/DAY(B2)</f>
        <v>7.3055555555555554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'[3]7'!F89</f>
        <v>54474.2</v>
      </c>
      <c r="F89" s="784">
        <v>54526.6</v>
      </c>
      <c r="G89" s="861">
        <f t="shared" si="8"/>
        <v>52.400000000001455</v>
      </c>
      <c r="H89" s="861">
        <f>G89</f>
        <v>52.400000000001455</v>
      </c>
      <c r="I89" s="789"/>
      <c r="J89" s="863">
        <f>H89/DAY(B2)</f>
        <v>5.8222222222223836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'[3]7'!F90</f>
        <v>2811.1</v>
      </c>
      <c r="F90" s="784">
        <v>2813.71</v>
      </c>
      <c r="G90" s="861">
        <f t="shared" si="8"/>
        <v>2.6100000000001273</v>
      </c>
      <c r="H90" s="861">
        <f>G90</f>
        <v>2.6100000000001273</v>
      </c>
      <c r="I90" s="789"/>
      <c r="J90" s="863">
        <f>H90/DAY(B2)</f>
        <v>0.29000000000001414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'[3]7'!F92</f>
        <v>229227</v>
      </c>
      <c r="F92" s="618">
        <v>229307</v>
      </c>
      <c r="G92" s="613">
        <f t="shared" ref="G92:G93" si="10">F92-E92</f>
        <v>80</v>
      </c>
      <c r="H92" s="600">
        <f>G92+'[3]7'!H92</f>
        <v>712</v>
      </c>
      <c r="I92" s="620"/>
      <c r="J92" s="693">
        <f>H92/DAY(B2)</f>
        <v>79.111111111111114</v>
      </c>
      <c r="K92" s="528"/>
      <c r="L92" s="421"/>
      <c r="N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'[3]7'!F93</f>
        <v>159761</v>
      </c>
      <c r="F93" s="618">
        <v>159904</v>
      </c>
      <c r="G93" s="613">
        <f t="shared" si="10"/>
        <v>143</v>
      </c>
      <c r="H93" s="600">
        <f>G93+'[3]7'!H93</f>
        <v>1381</v>
      </c>
      <c r="I93" s="620"/>
      <c r="J93" s="693">
        <f>H93/DAY(B2)</f>
        <v>153.44444444444446</v>
      </c>
      <c r="K93" s="424"/>
      <c r="L93" s="421"/>
      <c r="N93" s="426"/>
    </row>
    <row r="94" spans="1:15">
      <c r="A94" s="1460" t="s">
        <v>219</v>
      </c>
      <c r="B94" s="1461"/>
      <c r="C94" s="1462"/>
      <c r="D94" s="663"/>
      <c r="E94" s="624">
        <f>'[3]7'!F94</f>
        <v>0</v>
      </c>
      <c r="F94" s="618"/>
      <c r="G94" s="613">
        <f>G92+G93</f>
        <v>223</v>
      </c>
      <c r="H94" s="600">
        <f>G94+'[3]7'!H94</f>
        <v>1803</v>
      </c>
      <c r="I94" s="620"/>
      <c r="J94" s="693">
        <f>H94/DAY(B2)</f>
        <v>200.33333333333334</v>
      </c>
      <c r="K94" s="424"/>
      <c r="L94" s="421"/>
      <c r="N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'[3]7'!F95</f>
        <v>400243</v>
      </c>
      <c r="F95" s="618">
        <v>400284</v>
      </c>
      <c r="G95" s="613">
        <f t="shared" ref="G95:G100" si="11">F95-E95</f>
        <v>41</v>
      </c>
      <c r="H95" s="600">
        <f>G95+'[3]7'!H95</f>
        <v>437</v>
      </c>
      <c r="I95" s="620"/>
      <c r="J95" s="693">
        <f>H95/DAY(B2)</f>
        <v>48.555555555555557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'[3]7'!F96</f>
        <v>98354</v>
      </c>
      <c r="F96" s="618">
        <v>98404</v>
      </c>
      <c r="G96" s="613">
        <f t="shared" si="11"/>
        <v>50</v>
      </c>
      <c r="H96" s="600">
        <f>G96+'[3]7'!H96</f>
        <v>395</v>
      </c>
      <c r="I96" s="620"/>
      <c r="J96" s="693">
        <f>H96/DAY(B2)</f>
        <v>43.888888888888886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'[3]7'!F97</f>
        <v>93720</v>
      </c>
      <c r="F97" s="618">
        <v>93761</v>
      </c>
      <c r="G97" s="613">
        <f t="shared" si="11"/>
        <v>41</v>
      </c>
      <c r="H97" s="600">
        <f>G97+'[3]7'!H97</f>
        <v>210</v>
      </c>
      <c r="I97" s="620"/>
      <c r="J97" s="693">
        <f>H97/DAY(B2)</f>
        <v>23.333333333333332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'[3]7'!F98</f>
        <v>141174</v>
      </c>
      <c r="F98" s="618">
        <v>141215</v>
      </c>
      <c r="G98" s="613">
        <f t="shared" si="11"/>
        <v>41</v>
      </c>
      <c r="H98" s="600">
        <f>G98+'[3]7'!H98</f>
        <v>310</v>
      </c>
      <c r="I98" s="620"/>
      <c r="J98" s="693">
        <f>H98/DAY(B2)</f>
        <v>34.444444444444443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'[3]7'!F99</f>
        <v>4780</v>
      </c>
      <c r="F99" s="618">
        <v>4788</v>
      </c>
      <c r="G99" s="613">
        <f t="shared" si="11"/>
        <v>8</v>
      </c>
      <c r="H99" s="600">
        <f>G99+'[3]7'!H99</f>
        <v>80</v>
      </c>
      <c r="I99" s="620"/>
      <c r="J99" s="693">
        <f>H99/DAY(B2)</f>
        <v>8.8888888888888893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'[3]7'!F100</f>
        <v>3674</v>
      </c>
      <c r="F100" s="618">
        <v>3674</v>
      </c>
      <c r="G100" s="613">
        <f t="shared" si="11"/>
        <v>0</v>
      </c>
      <c r="H100" s="600">
        <f>G100+'[3]7'!H100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460" t="s">
        <v>227</v>
      </c>
      <c r="B101" s="1461"/>
      <c r="C101" s="1462"/>
      <c r="D101" s="664"/>
      <c r="E101" s="664"/>
      <c r="F101" s="664"/>
      <c r="G101" s="665">
        <f>SUM(G95:G100)</f>
        <v>181</v>
      </c>
      <c r="H101" s="600">
        <f>G101+'[3]7'!H101</f>
        <v>1432</v>
      </c>
      <c r="I101" s="666"/>
      <c r="J101" s="693">
        <f>H101/DAY(B2)</f>
        <v>159.11111111111111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21" t="s">
        <v>230</v>
      </c>
      <c r="B104" s="1422"/>
      <c r="C104" s="1376"/>
      <c r="D104" s="763" t="s">
        <v>155</v>
      </c>
      <c r="E104" s="672">
        <f>'[3]7'!F104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6.666666666666667</v>
      </c>
      <c r="N104" s="426"/>
    </row>
    <row r="105" spans="1:14" s="544" customFormat="1" ht="27.75">
      <c r="A105" s="1421" t="s">
        <v>77</v>
      </c>
      <c r="B105" s="1422"/>
      <c r="C105" s="1376"/>
      <c r="D105" s="763" t="s">
        <v>155</v>
      </c>
      <c r="E105" s="672">
        <f>'[3]7'!F105</f>
        <v>34546</v>
      </c>
      <c r="F105" s="796">
        <v>34546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7.7777777777777777</v>
      </c>
      <c r="N105" s="426"/>
    </row>
    <row r="106" spans="1:14" s="544" customFormat="1" ht="27.75">
      <c r="A106" s="1421" t="s">
        <v>78</v>
      </c>
      <c r="B106" s="1465"/>
      <c r="C106" s="1422"/>
      <c r="D106" s="763" t="s">
        <v>155</v>
      </c>
      <c r="E106" s="672">
        <f>'[3]7'!F106</f>
        <v>18653</v>
      </c>
      <c r="F106" s="796">
        <v>18653</v>
      </c>
      <c r="G106" s="672">
        <f t="shared" si="12"/>
        <v>0</v>
      </c>
      <c r="H106" s="673">
        <f>SUM(G106+'[3]1'!G78)</f>
        <v>329</v>
      </c>
      <c r="I106" s="672"/>
      <c r="J106" s="699">
        <f>H106/DAY(B2)</f>
        <v>36.555555555555557</v>
      </c>
      <c r="N106" s="426"/>
    </row>
    <row r="107" spans="1:14" s="544" customFormat="1" ht="27.75">
      <c r="A107" s="1423" t="s">
        <v>213</v>
      </c>
      <c r="B107" s="1424"/>
      <c r="C107" s="1376"/>
      <c r="D107" s="763"/>
      <c r="E107" s="672"/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17.777777777777779</v>
      </c>
      <c r="N107" s="426"/>
    </row>
    <row r="108" spans="1:14" s="544" customFormat="1" ht="27.75">
      <c r="A108" s="1427" t="s">
        <v>79</v>
      </c>
      <c r="B108" s="1428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21" t="s">
        <v>231</v>
      </c>
      <c r="B109" s="1422"/>
      <c r="C109" s="1376"/>
      <c r="D109" s="763" t="s">
        <v>155</v>
      </c>
      <c r="E109" s="672">
        <f>'[3]7'!F109</f>
        <v>50111</v>
      </c>
      <c r="F109" s="796">
        <v>50171</v>
      </c>
      <c r="G109" s="672">
        <f>F109-E109</f>
        <v>60</v>
      </c>
      <c r="H109" s="673">
        <f>SUM(G109+'[3]1'!G81)</f>
        <v>142</v>
      </c>
      <c r="I109" s="672"/>
      <c r="J109" s="699">
        <f>H109/DAY(B2)</f>
        <v>15.777777777777779</v>
      </c>
      <c r="N109" s="426"/>
    </row>
    <row r="110" spans="1:14" s="544" customFormat="1" ht="27.75">
      <c r="A110" s="1421" t="s">
        <v>232</v>
      </c>
      <c r="B110" s="1422"/>
      <c r="C110" s="1376"/>
      <c r="D110" s="763" t="s">
        <v>155</v>
      </c>
      <c r="E110" s="672">
        <f>'[3]7'!F110</f>
        <v>24373</v>
      </c>
      <c r="F110" s="796">
        <v>24417</v>
      </c>
      <c r="G110" s="672">
        <f t="shared" ref="G110:G111" si="13">F110-E110</f>
        <v>44</v>
      </c>
      <c r="H110" s="673">
        <f>SUM(G110+'[3]1'!G82)</f>
        <v>69.740000000005239</v>
      </c>
      <c r="I110" s="672"/>
      <c r="J110" s="699">
        <f>H110/DAY(B2)</f>
        <v>7.7488888888894714</v>
      </c>
      <c r="N110" s="426"/>
    </row>
    <row r="111" spans="1:14" s="544" customFormat="1" ht="27.75">
      <c r="A111" s="1421" t="s">
        <v>233</v>
      </c>
      <c r="B111" s="1422"/>
      <c r="C111" s="1376"/>
      <c r="D111" s="763" t="s">
        <v>155</v>
      </c>
      <c r="E111" s="672">
        <f>'[3]7'!F111</f>
        <v>3228</v>
      </c>
      <c r="F111" s="796">
        <v>3228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49.555555555555557</v>
      </c>
      <c r="N111" s="426"/>
    </row>
    <row r="112" spans="1:14" s="544" customFormat="1" ht="27.75">
      <c r="A112" s="1423" t="s">
        <v>121</v>
      </c>
      <c r="B112" s="1424"/>
      <c r="C112" s="1376"/>
      <c r="D112" s="763"/>
      <c r="E112" s="672"/>
      <c r="F112" s="796"/>
      <c r="G112" s="672">
        <f>SUM(G109:G111)</f>
        <v>104</v>
      </c>
      <c r="H112" s="673">
        <f>SUM(G112+'[3]1'!G84)</f>
        <v>700</v>
      </c>
      <c r="I112" s="672"/>
      <c r="J112" s="699">
        <f>H112/DAY(B2)</f>
        <v>77.777777777777771</v>
      </c>
      <c r="N112" s="426"/>
    </row>
    <row r="113" spans="1:14" s="544" customFormat="1" ht="27.75">
      <c r="A113" s="1427" t="s">
        <v>234</v>
      </c>
      <c r="B113" s="1428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21" t="s">
        <v>235</v>
      </c>
      <c r="B114" s="1422"/>
      <c r="C114" s="715"/>
      <c r="D114" s="763" t="s">
        <v>155</v>
      </c>
      <c r="E114" s="672">
        <f>'[3]7'!F114</f>
        <v>8361</v>
      </c>
      <c r="F114" s="796">
        <v>8372</v>
      </c>
      <c r="G114" s="674">
        <f>F114-E114</f>
        <v>11</v>
      </c>
      <c r="H114" s="673">
        <f>SUM(G114+'[3]1'!G91)</f>
        <v>11</v>
      </c>
      <c r="I114" s="672"/>
      <c r="J114" s="699">
        <f>H114/DAY(B2)</f>
        <v>1.2222222222222223</v>
      </c>
      <c r="N114" s="426"/>
    </row>
    <row r="115" spans="1:14" s="544" customFormat="1" ht="27.75">
      <c r="A115" s="1421" t="s">
        <v>236</v>
      </c>
      <c r="B115" s="1422"/>
      <c r="C115" s="715"/>
      <c r="D115" s="763" t="s">
        <v>155</v>
      </c>
      <c r="E115" s="672">
        <f>'[3]7'!F115</f>
        <v>6581</v>
      </c>
      <c r="F115" s="796">
        <v>6589</v>
      </c>
      <c r="G115" s="674">
        <f t="shared" ref="G115:G116" si="14">F115-E115</f>
        <v>8</v>
      </c>
      <c r="H115" s="673">
        <f>SUM(G115+'[3]1'!G92)</f>
        <v>113</v>
      </c>
      <c r="I115" s="672"/>
      <c r="J115" s="699">
        <f>H115/DAY(B2)</f>
        <v>12.555555555555555</v>
      </c>
      <c r="N115" s="426"/>
    </row>
    <row r="116" spans="1:14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20.555555555555557</v>
      </c>
      <c r="N116" s="426"/>
    </row>
    <row r="117" spans="1:14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19</v>
      </c>
      <c r="H117" s="673">
        <f>SUM(G117+'[3]1'!G95)</f>
        <v>67</v>
      </c>
      <c r="I117" s="674"/>
      <c r="J117" s="699">
        <f>H117/DAY(B2)</f>
        <v>7.4444444444444446</v>
      </c>
      <c r="N117" s="426"/>
    </row>
    <row r="118" spans="1:14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133</v>
      </c>
      <c r="G118" s="676">
        <f>SUM(G19+G92)</f>
        <v>133</v>
      </c>
      <c r="H118" s="673">
        <f>SUM(G118+'[3]1'!G96)</f>
        <v>182</v>
      </c>
      <c r="I118" s="675"/>
      <c r="J118" s="700">
        <f>H118/DAY(B2)</f>
        <v>20.222222222222221</v>
      </c>
      <c r="N118" s="426"/>
    </row>
    <row r="119" spans="1:14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140</v>
      </c>
      <c r="G119" s="676">
        <f>SUM(G95,G96,G97,G99,G100)</f>
        <v>140</v>
      </c>
      <c r="H119" s="673">
        <f>SUM(G119+'[3]1'!G98)</f>
        <v>172</v>
      </c>
      <c r="I119" s="675"/>
      <c r="J119" s="700">
        <f>H119/DAY(B2)</f>
        <v>19.111111111111111</v>
      </c>
      <c r="N119" s="426"/>
    </row>
    <row r="120" spans="1:14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104</v>
      </c>
      <c r="G120" s="674">
        <f>SUM(G112)</f>
        <v>104</v>
      </c>
      <c r="H120" s="673">
        <f>SUM(G120+'[3]1'!G100)</f>
        <v>104</v>
      </c>
      <c r="I120" s="675"/>
      <c r="J120" s="700">
        <f>H120/DAY(B2)</f>
        <v>11.555555555555555</v>
      </c>
      <c r="N120" s="426"/>
    </row>
    <row r="121" spans="1:14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'[3]7'!F123</f>
        <v>784193.69</v>
      </c>
      <c r="F123" s="618">
        <v>784407.36300000001</v>
      </c>
      <c r="G123" s="613">
        <f t="shared" ref="G123:G127" si="15">F123-E123</f>
        <v>213.67300000006799</v>
      </c>
      <c r="H123" s="600">
        <f>G123+'[3]7'!H123</f>
        <v>1482.4769999999553</v>
      </c>
      <c r="I123" s="666"/>
      <c r="J123" s="693">
        <f>H123/DAY(B2)</f>
        <v>164.71966666666171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'[3]7'!F124</f>
        <v>73581</v>
      </c>
      <c r="F124" s="767">
        <v>73581</v>
      </c>
      <c r="G124" s="613">
        <f t="shared" si="15"/>
        <v>0</v>
      </c>
      <c r="H124" s="600">
        <f>G124+'[3]7'!H124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29" t="s">
        <v>244</v>
      </c>
      <c r="B125" s="1430"/>
      <c r="C125" s="1431"/>
      <c r="D125" s="663" t="s">
        <v>152</v>
      </c>
      <c r="E125" s="618">
        <f>'[3]7'!F125</f>
        <v>131537.26999999999</v>
      </c>
      <c r="F125" s="618">
        <v>131603.01</v>
      </c>
      <c r="G125" s="613">
        <f t="shared" si="15"/>
        <v>65.740000000019791</v>
      </c>
      <c r="H125" s="600">
        <f>G125+'[3]7'!H125</f>
        <v>496.79000000000815</v>
      </c>
      <c r="I125" s="666"/>
      <c r="J125" s="693">
        <f>H125/DAY(B2)</f>
        <v>55.198888888889797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'[3]7'!F126</f>
        <v>55749.9</v>
      </c>
      <c r="F126" s="625">
        <v>55774.7</v>
      </c>
      <c r="G126" s="613">
        <f t="shared" si="15"/>
        <v>24.799999999995634</v>
      </c>
      <c r="H126" s="600">
        <f>G126+'[3]7'!H126</f>
        <v>188.89999999999418</v>
      </c>
      <c r="I126" s="666"/>
      <c r="J126" s="693">
        <f>H126/DAY(B2)</f>
        <v>20.988888888888241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'[3]7'!F127</f>
        <v>8639</v>
      </c>
      <c r="F127" s="767">
        <v>8639</v>
      </c>
      <c r="G127" s="613">
        <f t="shared" si="15"/>
        <v>0</v>
      </c>
      <c r="H127" s="600">
        <f>G127+'[3]7'!H127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74.826000000022759</v>
      </c>
      <c r="H128" s="600"/>
      <c r="I128" s="620"/>
      <c r="J128" s="693"/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'[3]7'!F130</f>
        <v>0</v>
      </c>
      <c r="F130" s="618">
        <v>0</v>
      </c>
      <c r="G130" s="613">
        <f t="shared" ref="G130:G140" si="16">F130-E130</f>
        <v>0</v>
      </c>
      <c r="H130" s="600">
        <f>G130+'[3]7'!H130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'[3]7'!F131</f>
        <v>0</v>
      </c>
      <c r="F131" s="618">
        <v>0</v>
      </c>
      <c r="G131" s="613">
        <f t="shared" si="16"/>
        <v>0</v>
      </c>
      <c r="H131" s="600">
        <f>G131+'[3]7'!H131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'[3]7'!F132</f>
        <v>38853</v>
      </c>
      <c r="F132" s="767">
        <v>38853</v>
      </c>
      <c r="G132" s="613">
        <f t="shared" si="16"/>
        <v>0</v>
      </c>
      <c r="H132" s="600">
        <f>G132+'[3]7'!H132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'[3]7'!F133</f>
        <v>34948</v>
      </c>
      <c r="F133" s="625">
        <v>34948</v>
      </c>
      <c r="G133" s="613">
        <f t="shared" si="16"/>
        <v>0</v>
      </c>
      <c r="H133" s="600">
        <f>G133+'[3]7'!H133</f>
        <v>0</v>
      </c>
      <c r="I133" s="620">
        <f>G132+G133+G134+G135</f>
        <v>23.529999999998836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'[3]7'!F134</f>
        <v>39736</v>
      </c>
      <c r="F134" s="767">
        <v>39736</v>
      </c>
      <c r="G134" s="613">
        <f t="shared" si="16"/>
        <v>0</v>
      </c>
      <c r="H134" s="600">
        <f>G134+'[3]7'!H134</f>
        <v>-0.26999999999679858</v>
      </c>
      <c r="I134" s="620"/>
      <c r="J134" s="693">
        <f>H134/DAY(B2)</f>
        <v>-2.9999999999644287E-2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'[3]7'!F135</f>
        <v>31161.47</v>
      </c>
      <c r="F135" s="767">
        <v>31185</v>
      </c>
      <c r="G135" s="613">
        <f t="shared" si="16"/>
        <v>23.529999999998836</v>
      </c>
      <c r="H135" s="600">
        <f>G135+'[3]7'!H135</f>
        <v>191.97999999999956</v>
      </c>
      <c r="I135" s="620"/>
      <c r="J135" s="693">
        <f>H135/DAY(B2)</f>
        <v>21.331111111111063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'[3]7'!F136</f>
        <v>21613.08</v>
      </c>
      <c r="F136" s="788">
        <v>21613.08</v>
      </c>
      <c r="G136" s="613">
        <f t="shared" si="16"/>
        <v>0</v>
      </c>
      <c r="H136" s="600">
        <f>G136+'[3]7'!H136</f>
        <v>15.05000000000291</v>
      </c>
      <c r="I136" s="620">
        <f>G134+G135+G136</f>
        <v>23.529999999998836</v>
      </c>
      <c r="J136" s="693">
        <f>H136/DAY(B2)</f>
        <v>1.6722222222225456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'[3]7'!F137</f>
        <v>24902</v>
      </c>
      <c r="F137" s="788">
        <v>24902.25</v>
      </c>
      <c r="G137" s="613">
        <f t="shared" si="16"/>
        <v>0.25</v>
      </c>
      <c r="H137" s="600">
        <f>G137+'[3]7'!H137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'[3]7'!F138</f>
        <v>69917.56</v>
      </c>
      <c r="F138" s="788">
        <v>69917.56</v>
      </c>
      <c r="G138" s="613">
        <f t="shared" si="16"/>
        <v>0</v>
      </c>
      <c r="H138" s="600">
        <f>G138+'[3]7'!H138</f>
        <v>35.910000000003492</v>
      </c>
      <c r="I138" s="620">
        <f>G137+G138</f>
        <v>0.25</v>
      </c>
      <c r="J138" s="693">
        <f>H138/DAY(B2)</f>
        <v>3.9900000000003879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838">
        <f>'[3]7'!F139</f>
        <v>810.24</v>
      </c>
      <c r="F139" s="767">
        <v>816.34</v>
      </c>
      <c r="G139" s="613">
        <f t="shared" si="16"/>
        <v>6.1000000000000227</v>
      </c>
      <c r="H139" s="600">
        <f>G139+'[3]7'!H139</f>
        <v>39.910000000000082</v>
      </c>
      <c r="I139" s="683"/>
      <c r="J139" s="693">
        <f>H139/DAY(B2)</f>
        <v>4.4344444444444537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'[3]7'!F140</f>
        <v>4156.9799999999996</v>
      </c>
      <c r="F140" s="618">
        <v>4156.9799999999996</v>
      </c>
      <c r="G140" s="613">
        <f t="shared" si="16"/>
        <v>0</v>
      </c>
      <c r="H140" s="600">
        <f>G140+'[3]7'!H140</f>
        <v>2.7099999999991269</v>
      </c>
      <c r="I140" s="683"/>
      <c r="J140" s="693">
        <f>H140/DAY(B2)</f>
        <v>0.30111111111101407</v>
      </c>
      <c r="N140" s="426"/>
    </row>
    <row r="141" spans="1:14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5101.359999999986</v>
      </c>
      <c r="H142" s="600">
        <f>G142+'[3]7'!H142</f>
        <v>39531.662000000113</v>
      </c>
      <c r="I142" s="620"/>
      <c r="J142" s="693">
        <f>H142/DAY(B2)</f>
        <v>4392.4068888889014</v>
      </c>
      <c r="K142" s="424"/>
      <c r="L142" s="421"/>
      <c r="N142" s="426"/>
    </row>
    <row r="143" spans="1:14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0.26051271575937013</v>
      </c>
      <c r="H143" s="600">
        <f>G143+'[3]7'!H143</f>
        <v>1.9359319354408142</v>
      </c>
      <c r="I143" s="685"/>
      <c r="J143" s="693">
        <f>H143/DAY(B2)</f>
        <v>0.21510354838231269</v>
      </c>
      <c r="K143" s="424"/>
      <c r="L143" s="421"/>
      <c r="N143" s="426"/>
    </row>
    <row r="144" spans="1:14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4636.9199999999837</v>
      </c>
      <c r="H144" s="600">
        <f>G144+'[3]7'!H144</f>
        <v>33787.110000000132</v>
      </c>
      <c r="I144" s="620"/>
      <c r="J144" s="693">
        <f>H144/DAY(B2)</f>
        <v>3754.123333333348</v>
      </c>
      <c r="K144" s="424"/>
      <c r="L144" s="421"/>
      <c r="N144" s="426"/>
    </row>
    <row r="145" spans="1:14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0.23679501583086424</v>
      </c>
      <c r="H145" s="600">
        <f>G145+'[3]7'!H145</f>
        <v>1.8179457700184416</v>
      </c>
      <c r="I145" s="685"/>
      <c r="J145" s="693">
        <f>H145/DAY(B2)</f>
        <v>0.2019939744464935</v>
      </c>
      <c r="K145" s="424"/>
      <c r="L145" s="421"/>
      <c r="N145" s="426"/>
    </row>
    <row r="146" spans="1:14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4130.7199999999721</v>
      </c>
      <c r="H146" s="600">
        <f>G146+'[3]7'!H146</f>
        <v>31631.440000000061</v>
      </c>
      <c r="I146" s="686"/>
      <c r="J146" s="693">
        <f>H146/DAY(B2)</f>
        <v>3514.604444444451</v>
      </c>
      <c r="K146" s="424"/>
      <c r="L146" s="421"/>
      <c r="N146" s="426"/>
    </row>
    <row r="147" spans="1:14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0.21094474517413808</v>
      </c>
      <c r="H147" s="600">
        <f>G147+'[3]7'!H147</f>
        <v>1.7037503220783927</v>
      </c>
      <c r="I147" s="686"/>
      <c r="J147" s="693">
        <f>H147/DAY(B2)</f>
        <v>0.18930559134204364</v>
      </c>
      <c r="N147" s="426"/>
    </row>
    <row r="148" spans="1:14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1753.7399999999907</v>
      </c>
      <c r="H148" s="600">
        <f>G148+'[3]7'!H148</f>
        <v>13951.580000000016</v>
      </c>
      <c r="I148" s="620"/>
      <c r="J148" s="693">
        <f>H148/DAY(B2)</f>
        <v>1550.1755555555574</v>
      </c>
      <c r="K148" s="425"/>
      <c r="N148" s="426"/>
    </row>
    <row r="149" spans="1:14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8.9558778470023012E-2</v>
      </c>
      <c r="H149" s="600">
        <f>G149+'[3]7'!H149</f>
        <v>0.75157967118365632</v>
      </c>
      <c r="I149" s="686"/>
      <c r="J149" s="693">
        <f>H149/DAY(B2)</f>
        <v>8.3508852353739588E-2</v>
      </c>
      <c r="N149" s="426"/>
    </row>
    <row r="150" spans="1:14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1824.3800000000047</v>
      </c>
      <c r="H150" s="600">
        <f>G150+'[3]7'!H150</f>
        <v>12827.279999999999</v>
      </c>
      <c r="I150" s="686"/>
      <c r="J150" s="693">
        <f>H150/DAY(B2)</f>
        <v>1425.2533333333331</v>
      </c>
      <c r="N150" s="426"/>
    </row>
    <row r="151" spans="1:14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9.3166173016035372E-2</v>
      </c>
      <c r="H151" s="600">
        <f>G151+'[3]7'!H151</f>
        <v>0.68935448676465005</v>
      </c>
      <c r="I151" s="620"/>
      <c r="J151" s="693">
        <f>H151/DAY(B2)</f>
        <v>7.659494297385E-2</v>
      </c>
      <c r="N151" s="426"/>
    </row>
    <row r="152" spans="1:14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1574.5200000000186</v>
      </c>
      <c r="H152" s="600">
        <f>G152+'[3]7'!H152</f>
        <v>12115.520000000019</v>
      </c>
      <c r="I152" s="620"/>
      <c r="J152" s="693">
        <f>H152/DAY(B2)</f>
        <v>1346.1688888888909</v>
      </c>
      <c r="N152" s="426"/>
    </row>
    <row r="153" spans="1:14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8.0406495761414495E-2</v>
      </c>
      <c r="H153" s="600">
        <f>G153+'[3]7'!H153</f>
        <v>0.65267839031220509</v>
      </c>
      <c r="I153" s="709"/>
      <c r="J153" s="710">
        <f>H153/DAY(B2)</f>
        <v>7.2519821145800564E-2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466" t="s">
        <v>278</v>
      </c>
      <c r="B157" s="1467"/>
      <c r="C157" s="1467"/>
      <c r="D157" s="1467"/>
      <c r="E157" s="1467"/>
      <c r="F157" s="1467"/>
      <c r="G157" s="1468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'[3]7'!F160</f>
        <v>22168.638999999999</v>
      </c>
      <c r="F160" s="795">
        <v>22243.041000000001</v>
      </c>
      <c r="G160" s="613">
        <f t="shared" ref="G160:G171" si="17">F160-E160</f>
        <v>74.402000000001863</v>
      </c>
      <c r="H160" s="679">
        <v>72.86699999999837</v>
      </c>
      <c r="I160" s="680">
        <f>G160-H160</f>
        <v>1.5350000000034925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'[3]7'!F161</f>
        <v>14324.466</v>
      </c>
      <c r="F161" s="795">
        <v>14409.633</v>
      </c>
      <c r="G161" s="613">
        <f t="shared" si="17"/>
        <v>85.166999999999462</v>
      </c>
      <c r="H161" s="679">
        <v>115.86999999999898</v>
      </c>
      <c r="I161" s="680">
        <f t="shared" ref="I161:I171" si="18">G161-H161</f>
        <v>-30.70299999999952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'[3]7'!F162</f>
        <v>32090.566999999999</v>
      </c>
      <c r="F162" s="795">
        <v>32312.705000000002</v>
      </c>
      <c r="G162" s="613">
        <f t="shared" si="17"/>
        <v>222.13800000000265</v>
      </c>
      <c r="H162" s="679">
        <v>184.81999999999971</v>
      </c>
      <c r="I162" s="680">
        <f t="shared" si="18"/>
        <v>37.318000000002939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'[3]7'!F163</f>
        <v>3132.6293000000001</v>
      </c>
      <c r="F163" s="795">
        <v>3145.5717</v>
      </c>
      <c r="G163" s="613">
        <f t="shared" si="17"/>
        <v>12.942399999999907</v>
      </c>
      <c r="H163" s="679">
        <v>17.309999999999945</v>
      </c>
      <c r="I163" s="680">
        <f t="shared" si="18"/>
        <v>-4.3676000000000386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'[3]7'!F164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'[3]7'!F165</f>
        <v>433.43</v>
      </c>
      <c r="F165" s="654">
        <f t="shared" ref="F165:F171" si="19">F63</f>
        <v>453.19600000000003</v>
      </c>
      <c r="G165" s="613">
        <f t="shared" si="17"/>
        <v>19.76600000000002</v>
      </c>
      <c r="H165" s="679">
        <v>-0.47999999999956344</v>
      </c>
      <c r="I165" s="680">
        <f t="shared" si="18"/>
        <v>20.245999999999583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'[3]7'!F166</f>
        <v>78597.407000000007</v>
      </c>
      <c r="F166" s="654">
        <f t="shared" si="19"/>
        <v>78958.794999999998</v>
      </c>
      <c r="G166" s="613">
        <f t="shared" si="17"/>
        <v>361.38799999999173</v>
      </c>
      <c r="H166" s="679">
        <v>271.15200000000186</v>
      </c>
      <c r="I166" s="680">
        <f t="shared" si="18"/>
        <v>90.235999999989872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'[3]7'!F167</f>
        <v>87898.743000000002</v>
      </c>
      <c r="F167" s="654">
        <f t="shared" si="19"/>
        <v>88304.078999999998</v>
      </c>
      <c r="G167" s="613">
        <f t="shared" si="17"/>
        <v>405.33599999999569</v>
      </c>
      <c r="H167" s="679">
        <v>372.92000000001281</v>
      </c>
      <c r="I167" s="680">
        <f t="shared" si="18"/>
        <v>32.415999999982887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'[3]7'!F168</f>
        <v>80882.663</v>
      </c>
      <c r="F168" s="654">
        <f t="shared" si="19"/>
        <v>81281.934999999998</v>
      </c>
      <c r="G168" s="613">
        <f t="shared" si="17"/>
        <v>399.27199999999721</v>
      </c>
      <c r="H168" s="679">
        <v>384.8520000000135</v>
      </c>
      <c r="I168" s="680">
        <f>G168-H168</f>
        <v>14.419999999983702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'[3]7'!F169</f>
        <v>130507.66</v>
      </c>
      <c r="F169" s="654">
        <f t="shared" si="19"/>
        <v>131208.91</v>
      </c>
      <c r="G169" s="613">
        <f t="shared" si="17"/>
        <v>701.25</v>
      </c>
      <c r="H169" s="679">
        <v>451.52000000000407</v>
      </c>
      <c r="I169" s="680">
        <f t="shared" si="18"/>
        <v>249.72999999999593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'[3]7'!F170</f>
        <v>35579.347000000002</v>
      </c>
      <c r="F170" s="654">
        <f t="shared" si="19"/>
        <v>35919.747000000003</v>
      </c>
      <c r="G170" s="613">
        <f t="shared" si="17"/>
        <v>340.40000000000146</v>
      </c>
      <c r="H170" s="679">
        <v>264.56499999999869</v>
      </c>
      <c r="I170" s="680">
        <f t="shared" si="18"/>
        <v>75.835000000002765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'[3]7'!F171</f>
        <v>30948.825000000001</v>
      </c>
      <c r="F171" s="654">
        <f t="shared" si="19"/>
        <v>31252.830999999998</v>
      </c>
      <c r="G171" s="613">
        <f t="shared" si="17"/>
        <v>304.00599999999758</v>
      </c>
      <c r="H171" s="679">
        <v>137.0779999999977</v>
      </c>
      <c r="I171" s="680">
        <f t="shared" si="18"/>
        <v>166.92799999999988</v>
      </c>
    </row>
    <row r="176" spans="1:9" ht="18.75" customHeight="1"/>
    <row r="177" ht="18.75" customHeight="1"/>
    <row r="181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</sheetData>
  <mergeCells count="69">
    <mergeCell ref="A157:G15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sqref="A1:XFD1048576"/>
    </sheetView>
  </sheetViews>
  <sheetFormatPr defaultColWidth="22.33203125" defaultRowHeight="29.25"/>
  <cols>
    <col min="1" max="1" width="41.77734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543" customWidth="1"/>
    <col min="15" max="16384" width="22.33203125" style="420"/>
  </cols>
  <sheetData>
    <row r="1" spans="1:14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4" s="292" customFormat="1" ht="27">
      <c r="A2" s="716" t="s">
        <v>319</v>
      </c>
      <c r="B2" s="1195">
        <v>44145</v>
      </c>
      <c r="C2" s="1378" t="s">
        <v>69</v>
      </c>
      <c r="D2" s="752">
        <v>0.19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66"/>
    </row>
    <row r="3" spans="1:14" s="292" customFormat="1" ht="27">
      <c r="A3" s="711"/>
      <c r="B3" s="755"/>
      <c r="C3" s="1378" t="s">
        <v>131</v>
      </c>
      <c r="D3" s="753">
        <v>31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866"/>
    </row>
    <row r="4" spans="1:14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66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'[3]9'!F7</f>
        <v>2253595</v>
      </c>
      <c r="F7" s="595">
        <v>2290659</v>
      </c>
      <c r="G7" s="815">
        <f>F7-E7</f>
        <v>37064</v>
      </c>
      <c r="H7" s="816">
        <f>G7+'[3]9'!H7</f>
        <v>185634</v>
      </c>
      <c r="I7" s="817">
        <v>12000</v>
      </c>
      <c r="J7" s="818">
        <f>H7/DAY(B2)</f>
        <v>18563.400000000001</v>
      </c>
      <c r="K7" s="690"/>
      <c r="L7" s="421"/>
      <c r="N7" s="867"/>
    </row>
    <row r="8" spans="1:14" ht="27.75" thickBot="1">
      <c r="A8" s="819" t="s">
        <v>144</v>
      </c>
      <c r="B8" s="820"/>
      <c r="C8" s="821"/>
      <c r="D8" s="822" t="s">
        <v>25</v>
      </c>
      <c r="E8" s="774">
        <f>'[3]9'!F8</f>
        <v>2264584</v>
      </c>
      <c r="F8" s="615">
        <v>2301761</v>
      </c>
      <c r="G8" s="826">
        <f>F8-E8</f>
        <v>37177</v>
      </c>
      <c r="H8" s="816">
        <f>G8+'[3]9'!H8</f>
        <v>186320</v>
      </c>
      <c r="I8" s="823">
        <v>12000</v>
      </c>
      <c r="J8" s="818">
        <f>H8/DAY(B2)</f>
        <v>18632</v>
      </c>
      <c r="K8" s="690"/>
      <c r="L8" s="479"/>
      <c r="M8" s="542"/>
      <c r="N8" s="868"/>
    </row>
    <row r="9" spans="1:14">
      <c r="A9" s="824" t="s">
        <v>145</v>
      </c>
      <c r="B9" s="825"/>
      <c r="C9" s="825"/>
      <c r="D9" s="779" t="s">
        <v>143</v>
      </c>
      <c r="E9" s="774">
        <f>'[3]9'!F9</f>
        <v>2160415</v>
      </c>
      <c r="F9" s="618">
        <v>2196071</v>
      </c>
      <c r="G9" s="839">
        <f t="shared" ref="G9:G12" si="0">F9-E9</f>
        <v>35656</v>
      </c>
      <c r="H9" s="816">
        <f>G9+'[3]9'!H9</f>
        <v>179065.69999999995</v>
      </c>
      <c r="I9" s="827">
        <f>I7-J7</f>
        <v>-6563.4000000000015</v>
      </c>
      <c r="J9" s="818">
        <f>H9/DAY(B2)</f>
        <v>17906.569999999996</v>
      </c>
      <c r="K9" s="527"/>
      <c r="L9" s="421"/>
      <c r="N9" s="869"/>
    </row>
    <row r="10" spans="1:14">
      <c r="A10" s="813" t="s">
        <v>146</v>
      </c>
      <c r="B10" s="814"/>
      <c r="C10" s="814"/>
      <c r="D10" s="779" t="s">
        <v>143</v>
      </c>
      <c r="E10" s="774">
        <f>'[3]9'!F10</f>
        <v>454610</v>
      </c>
      <c r="F10" s="618">
        <v>454610</v>
      </c>
      <c r="G10" s="826">
        <f t="shared" si="0"/>
        <v>0</v>
      </c>
      <c r="H10" s="816">
        <f>G10+'[3]9'!H10</f>
        <v>0.21000000002095476</v>
      </c>
      <c r="I10" s="828"/>
      <c r="J10" s="818">
        <f>H10/DAY(B2)</f>
        <v>2.1000000002095474E-2</v>
      </c>
      <c r="K10" s="527"/>
      <c r="L10" s="421"/>
      <c r="N10" s="869"/>
    </row>
    <row r="11" spans="1:14">
      <c r="A11" s="813" t="s">
        <v>147</v>
      </c>
      <c r="B11" s="814"/>
      <c r="C11" s="814"/>
      <c r="D11" s="779" t="s">
        <v>143</v>
      </c>
      <c r="E11" s="774">
        <f>'[3]9'!F11</f>
        <v>35390</v>
      </c>
      <c r="F11" s="595">
        <v>35390</v>
      </c>
      <c r="G11" s="826">
        <f t="shared" si="0"/>
        <v>0</v>
      </c>
      <c r="H11" s="816">
        <f>G11+'[3]9'!H11</f>
        <v>0</v>
      </c>
      <c r="I11" s="828"/>
      <c r="J11" s="818">
        <f>H11/DAY(B2)</f>
        <v>0</v>
      </c>
      <c r="K11" s="527"/>
      <c r="L11" s="421"/>
      <c r="N11" s="869"/>
    </row>
    <row r="12" spans="1:14">
      <c r="A12" s="813" t="s">
        <v>148</v>
      </c>
      <c r="B12" s="814"/>
      <c r="C12" s="814"/>
      <c r="D12" s="779" t="s">
        <v>143</v>
      </c>
      <c r="E12" s="774">
        <f>'[3]9'!F12</f>
        <v>37630</v>
      </c>
      <c r="F12" s="618">
        <v>37630</v>
      </c>
      <c r="G12" s="826">
        <f t="shared" si="0"/>
        <v>0</v>
      </c>
      <c r="H12" s="816">
        <f>G12+'[3]9'!H12</f>
        <v>0</v>
      </c>
      <c r="I12" s="828"/>
      <c r="J12" s="818">
        <f>H12/DAY(B2)</f>
        <v>0</v>
      </c>
      <c r="K12" s="527"/>
      <c r="L12" s="421"/>
      <c r="N12" s="869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35656</v>
      </c>
      <c r="H13" s="816">
        <f>G13+'[3]9'!H13</f>
        <v>179065.90999999997</v>
      </c>
      <c r="I13" s="832">
        <f>G7-G13</f>
        <v>1408</v>
      </c>
      <c r="J13" s="818">
        <f>H13/DAY(B2)</f>
        <v>17906.590999999997</v>
      </c>
      <c r="K13" s="527"/>
      <c r="L13" s="421"/>
      <c r="N13" s="869"/>
    </row>
    <row r="14" spans="1:14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869"/>
    </row>
    <row r="15" spans="1:14">
      <c r="A15" s="954" t="s">
        <v>151</v>
      </c>
      <c r="B15" s="949"/>
      <c r="C15" s="949"/>
      <c r="D15" s="664" t="s">
        <v>152</v>
      </c>
      <c r="E15" s="625">
        <f>'[3]9'!F15</f>
        <v>1534085.621</v>
      </c>
      <c r="F15" s="625">
        <v>1535428</v>
      </c>
      <c r="G15" s="801">
        <f>(F15-E15)</f>
        <v>1342.3789999999572</v>
      </c>
      <c r="H15" s="626">
        <f>G15+'[3]9'!H15</f>
        <v>5312.8060000000987</v>
      </c>
      <c r="I15" s="614">
        <v>800</v>
      </c>
      <c r="J15" s="694">
        <f>H15/DAY(B2)</f>
        <v>531.28060000000983</v>
      </c>
      <c r="K15" s="527"/>
      <c r="L15" s="421"/>
      <c r="N15" s="869"/>
    </row>
    <row r="16" spans="1:14">
      <c r="A16" s="952"/>
      <c r="B16" s="953"/>
      <c r="C16" s="953"/>
      <c r="D16" s="950"/>
      <c r="E16" s="951"/>
      <c r="F16" s="625"/>
      <c r="G16" s="806"/>
      <c r="H16" s="626"/>
      <c r="I16" s="622">
        <f>I15-J15</f>
        <v>268.71939999999017</v>
      </c>
      <c r="J16" s="694"/>
      <c r="K16" s="527"/>
      <c r="L16" s="421"/>
      <c r="N16" s="869"/>
    </row>
    <row r="17" spans="1:14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869"/>
    </row>
    <row r="18" spans="1:14" ht="27.75">
      <c r="A18" s="1478" t="s">
        <v>154</v>
      </c>
      <c r="B18" s="1479"/>
      <c r="C18" s="1480"/>
      <c r="D18" s="779" t="s">
        <v>155</v>
      </c>
      <c r="E18" s="776">
        <f>'[3]9'!F18</f>
        <v>10</v>
      </c>
      <c r="F18" s="618">
        <v>16</v>
      </c>
      <c r="G18" s="831">
        <f>F18*10</f>
        <v>160</v>
      </c>
      <c r="H18" s="816">
        <f>G18+'[3]9'!H18</f>
        <v>1020</v>
      </c>
      <c r="I18" s="817">
        <v>65</v>
      </c>
      <c r="J18" s="818">
        <f>H18/DAY(B2)</f>
        <v>102</v>
      </c>
      <c r="K18" s="527"/>
      <c r="L18" s="421"/>
      <c r="N18" s="869"/>
    </row>
    <row r="19" spans="1:14" ht="27.75">
      <c r="A19" s="1478" t="s">
        <v>71</v>
      </c>
      <c r="B19" s="1479"/>
      <c r="C19" s="1480"/>
      <c r="D19" s="779" t="s">
        <v>155</v>
      </c>
      <c r="E19" s="776">
        <f>'[3]9'!F19</f>
        <v>128604</v>
      </c>
      <c r="F19" s="618">
        <v>128710</v>
      </c>
      <c r="G19" s="826">
        <f t="shared" ref="G19" si="1">F19-E19</f>
        <v>106</v>
      </c>
      <c r="H19" s="816">
        <f>G19+'[3]9'!H19</f>
        <v>515</v>
      </c>
      <c r="I19" s="833"/>
      <c r="J19" s="818">
        <f>H19/DAY(B2)</f>
        <v>51.5</v>
      </c>
      <c r="K19" s="527"/>
      <c r="L19" s="421"/>
      <c r="N19" s="869"/>
    </row>
    <row r="20" spans="1:14">
      <c r="A20" s="829" t="s">
        <v>156</v>
      </c>
      <c r="B20" s="830"/>
      <c r="C20" s="830"/>
      <c r="D20" s="779"/>
      <c r="E20" s="779"/>
      <c r="F20" s="664"/>
      <c r="G20" s="834">
        <f>G18+G19</f>
        <v>266</v>
      </c>
      <c r="H20" s="816">
        <f>G20+'[3]9'!H20</f>
        <v>1535</v>
      </c>
      <c r="I20" s="835">
        <f>I18-J20</f>
        <v>-88.5</v>
      </c>
      <c r="J20" s="818">
        <f>H20/DAY(B2)</f>
        <v>153.5</v>
      </c>
      <c r="K20" s="527"/>
      <c r="L20" s="421"/>
      <c r="N20" s="869"/>
    </row>
    <row r="21" spans="1:14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869"/>
    </row>
    <row r="22" spans="1:14">
      <c r="A22" s="1371" t="s">
        <v>158</v>
      </c>
      <c r="B22" s="730"/>
      <c r="C22" s="730"/>
      <c r="D22" s="663" t="s">
        <v>159</v>
      </c>
      <c r="E22" s="776">
        <f>'[3]9'!F22</f>
        <v>2250</v>
      </c>
      <c r="F22" s="618">
        <v>2250</v>
      </c>
      <c r="G22" s="621">
        <f t="shared" ref="G22" si="2">(F22-E22)</f>
        <v>0</v>
      </c>
      <c r="H22" s="600">
        <f>G22+'[3]9'!H22</f>
        <v>0</v>
      </c>
      <c r="I22" s="620"/>
      <c r="J22" s="693">
        <f>H22/DAY(B2)</f>
        <v>0</v>
      </c>
      <c r="K22" s="527"/>
      <c r="L22" s="421"/>
      <c r="N22" s="869"/>
    </row>
    <row r="23" spans="1:14">
      <c r="A23" s="1371" t="s">
        <v>160</v>
      </c>
      <c r="B23" s="730"/>
      <c r="C23" s="730"/>
      <c r="D23" s="663" t="s">
        <v>159</v>
      </c>
      <c r="E23" s="776">
        <f>'[3]9'!F23</f>
        <v>2000</v>
      </c>
      <c r="F23" s="618">
        <v>2000</v>
      </c>
      <c r="G23" s="621">
        <v>0</v>
      </c>
      <c r="H23" s="600">
        <f>G23+'[3]9'!H23</f>
        <v>0</v>
      </c>
      <c r="I23" s="620"/>
      <c r="J23" s="693">
        <f>H23/DAY(B2)</f>
        <v>0</v>
      </c>
      <c r="K23" s="527"/>
      <c r="L23" s="421"/>
      <c r="N23" s="869"/>
    </row>
    <row r="24" spans="1:14">
      <c r="A24" s="731" t="s">
        <v>161</v>
      </c>
      <c r="B24" s="732"/>
      <c r="C24" s="732"/>
      <c r="D24" s="651" t="s">
        <v>159</v>
      </c>
      <c r="E24" s="633">
        <f>'[3]9'!F24</f>
        <v>4250</v>
      </c>
      <c r="F24" s="625">
        <v>4250</v>
      </c>
      <c r="G24" s="621">
        <v>0</v>
      </c>
      <c r="H24" s="600">
        <f>G24+'[3]9'!H24</f>
        <v>0</v>
      </c>
      <c r="I24" s="620"/>
      <c r="J24" s="693">
        <f>H24/DAY(B2)</f>
        <v>0</v>
      </c>
      <c r="K24" s="527"/>
      <c r="L24" s="421"/>
      <c r="N24" s="869"/>
    </row>
    <row r="25" spans="1:14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869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69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37177</v>
      </c>
      <c r="F27" s="641">
        <v>9.5</v>
      </c>
      <c r="G27" s="642">
        <f>E27*F27</f>
        <v>353181.5</v>
      </c>
      <c r="H27" s="600">
        <f>G27+'[3]9'!H27</f>
        <v>1770040</v>
      </c>
      <c r="I27" s="643"/>
      <c r="J27" s="693">
        <f>H27/DAY(B2)</f>
        <v>177004</v>
      </c>
      <c r="K27" s="417"/>
      <c r="L27" s="547"/>
      <c r="N27" s="869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1342.3789999999572</v>
      </c>
      <c r="F28" s="641">
        <v>36.5</v>
      </c>
      <c r="G28" s="642">
        <f>E28*F28</f>
        <v>48996.833499998436</v>
      </c>
      <c r="H28" s="600">
        <f>G28+'[3]9'!H28</f>
        <v>193917.4190000036</v>
      </c>
      <c r="I28" s="645"/>
      <c r="J28" s="693">
        <f>H28/DAY(B2)</f>
        <v>19391.741900000361</v>
      </c>
      <c r="K28" s="417"/>
      <c r="L28" s="547"/>
      <c r="N28" s="869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G29+'[3]9'!H29</f>
        <v>0</v>
      </c>
      <c r="I29" s="645"/>
      <c r="J29" s="693">
        <f>H29/DAY(B2)</f>
        <v>0</v>
      </c>
      <c r="K29" s="417"/>
      <c r="L29" s="547"/>
      <c r="N29" s="869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106</v>
      </c>
      <c r="F30" s="641">
        <v>145</v>
      </c>
      <c r="G30" s="642">
        <f>E30*F30</f>
        <v>15370</v>
      </c>
      <c r="H30" s="600">
        <f>G30+'[3]9'!H30</f>
        <v>74675</v>
      </c>
      <c r="I30" s="645"/>
      <c r="J30" s="693">
        <f>H30/DAY(B2)</f>
        <v>7467.5</v>
      </c>
      <c r="K30" s="417"/>
      <c r="L30" s="547"/>
      <c r="N30" s="869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160</v>
      </c>
      <c r="F31" s="641">
        <v>80</v>
      </c>
      <c r="G31" s="642">
        <f>E31*F31</f>
        <v>12800</v>
      </c>
      <c r="H31" s="600">
        <f>G31+'[3]9'!H31</f>
        <v>81600</v>
      </c>
      <c r="I31" s="645"/>
      <c r="J31" s="693">
        <f>H31/DAY(B2)</f>
        <v>8160</v>
      </c>
      <c r="K31" s="417"/>
      <c r="L31" s="547"/>
      <c r="N31" s="869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430348.33349999844</v>
      </c>
      <c r="H32" s="600">
        <f>G32+'[3]9'!H32</f>
        <v>2120232.4190000035</v>
      </c>
      <c r="I32" s="649"/>
      <c r="J32" s="693">
        <f>H32/DAY(B2)</f>
        <v>212023.24190000034</v>
      </c>
      <c r="K32" s="417"/>
      <c r="L32" s="547"/>
      <c r="N32" s="869"/>
    </row>
    <row r="33" spans="1:14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869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69"/>
    </row>
    <row r="35" spans="1:14">
      <c r="A35" s="719" t="s">
        <v>175</v>
      </c>
      <c r="B35" s="720"/>
      <c r="C35" s="720"/>
      <c r="D35" s="663" t="s">
        <v>143</v>
      </c>
      <c r="E35" s="650">
        <f>'[3]9'!F35</f>
        <v>623871.51</v>
      </c>
      <c r="F35" s="1197">
        <v>628718</v>
      </c>
      <c r="G35" s="613">
        <f t="shared" ref="G35:G46" si="3">F35-E35</f>
        <v>4846.4899999999907</v>
      </c>
      <c r="H35" s="600">
        <f>G35+'[3]9'!H35</f>
        <v>25374.530000000028</v>
      </c>
      <c r="I35" s="595"/>
      <c r="J35" s="693">
        <f>H35/DAY(B2)</f>
        <v>2537.4530000000027</v>
      </c>
      <c r="K35" s="527"/>
      <c r="L35" s="421"/>
      <c r="N35" s="869"/>
    </row>
    <row r="36" spans="1:14">
      <c r="A36" s="719" t="s">
        <v>176</v>
      </c>
      <c r="B36" s="720"/>
      <c r="C36" s="720"/>
      <c r="D36" s="663" t="s">
        <v>143</v>
      </c>
      <c r="E36" s="650">
        <f>'[3]9'!F36</f>
        <v>216310.17</v>
      </c>
      <c r="F36" s="1197">
        <v>217419</v>
      </c>
      <c r="G36" s="613">
        <f t="shared" si="3"/>
        <v>1108.8299999999872</v>
      </c>
      <c r="H36" s="600">
        <f>G36+'[3]9'!H36</f>
        <v>6059.0499999999884</v>
      </c>
      <c r="I36" s="595"/>
      <c r="J36" s="693">
        <f>H36/DAY(B2)</f>
        <v>605.90499999999884</v>
      </c>
      <c r="K36" s="527"/>
      <c r="L36" s="421"/>
      <c r="N36" s="870"/>
    </row>
    <row r="37" spans="1:14">
      <c r="A37" s="719" t="s">
        <v>177</v>
      </c>
      <c r="B37" s="720"/>
      <c r="C37" s="720"/>
      <c r="D37" s="663" t="s">
        <v>143</v>
      </c>
      <c r="E37" s="650">
        <f>'[3]9'!F37</f>
        <v>411959.71</v>
      </c>
      <c r="F37" s="1197">
        <v>414862</v>
      </c>
      <c r="G37" s="613">
        <f t="shared" si="3"/>
        <v>2902.289999999979</v>
      </c>
      <c r="H37" s="600">
        <f>G37+'[3]9'!H37</f>
        <v>15017.809999999998</v>
      </c>
      <c r="I37" s="595"/>
      <c r="J37" s="693">
        <f>H37/DAY(B2)</f>
        <v>1501.7809999999997</v>
      </c>
      <c r="K37" s="527"/>
      <c r="L37" s="421"/>
      <c r="N37" s="870"/>
    </row>
    <row r="38" spans="1:14">
      <c r="A38" s="719" t="s">
        <v>178</v>
      </c>
      <c r="B38" s="720"/>
      <c r="C38" s="720"/>
      <c r="D38" s="663" t="s">
        <v>143</v>
      </c>
      <c r="E38" s="650">
        <f>'[3]9'!F38</f>
        <v>150714</v>
      </c>
      <c r="F38" s="607">
        <v>150714</v>
      </c>
      <c r="G38" s="613">
        <f t="shared" si="3"/>
        <v>0</v>
      </c>
      <c r="H38" s="600">
        <f>G38+'[3]9'!H38</f>
        <v>0</v>
      </c>
      <c r="I38" s="595"/>
      <c r="J38" s="693">
        <f>H38/DAY(B2)</f>
        <v>0</v>
      </c>
      <c r="K38" s="527"/>
      <c r="L38" s="421"/>
      <c r="N38" s="869"/>
    </row>
    <row r="39" spans="1:14">
      <c r="A39" s="719" t="s">
        <v>179</v>
      </c>
      <c r="B39" s="720"/>
      <c r="C39" s="720"/>
      <c r="D39" s="663" t="s">
        <v>143</v>
      </c>
      <c r="E39" s="650">
        <f>'[3]9'!F39</f>
        <v>903756.15</v>
      </c>
      <c r="F39" s="1197">
        <v>911823</v>
      </c>
      <c r="G39" s="613">
        <f t="shared" si="3"/>
        <v>8066.8499999999767</v>
      </c>
      <c r="H39" s="600">
        <f>G39+'[3]9'!H39</f>
        <v>39698.290000000037</v>
      </c>
      <c r="I39" s="595"/>
      <c r="J39" s="693">
        <f>H39/DAY(B2)</f>
        <v>3969.8290000000038</v>
      </c>
      <c r="K39" s="527"/>
      <c r="L39" s="421"/>
      <c r="N39" s="869"/>
    </row>
    <row r="40" spans="1:14">
      <c r="A40" s="740" t="s">
        <v>180</v>
      </c>
      <c r="B40" s="741"/>
      <c r="C40" s="741"/>
      <c r="D40" s="663" t="s">
        <v>143</v>
      </c>
      <c r="E40" s="650">
        <f>'[3]9'!F40</f>
        <v>0.17</v>
      </c>
      <c r="F40" s="1197">
        <v>0.17</v>
      </c>
      <c r="G40" s="613">
        <f t="shared" si="3"/>
        <v>0</v>
      </c>
      <c r="H40" s="600">
        <f>G40+'[3]9'!H40</f>
        <v>0</v>
      </c>
      <c r="I40" s="595"/>
      <c r="J40" s="693">
        <f>H40/DAY(B2)</f>
        <v>0</v>
      </c>
      <c r="K40" s="528"/>
      <c r="L40" s="421"/>
      <c r="N40" s="869"/>
    </row>
    <row r="41" spans="1:14">
      <c r="A41" s="719" t="s">
        <v>181</v>
      </c>
      <c r="B41" s="720"/>
      <c r="C41" s="720"/>
      <c r="D41" s="663" t="s">
        <v>143</v>
      </c>
      <c r="E41" s="650">
        <f>'[3]9'!F41</f>
        <v>300127.90000000002</v>
      </c>
      <c r="F41" s="1197">
        <v>300127.90000000002</v>
      </c>
      <c r="G41" s="613">
        <f>F41-E41</f>
        <v>0</v>
      </c>
      <c r="H41" s="600">
        <f>G41+'[3]9'!H41</f>
        <v>-6.9999999948777258E-2</v>
      </c>
      <c r="I41" s="595"/>
      <c r="J41" s="693">
        <f>H41/DAY(B2)</f>
        <v>-6.999999994877726E-3</v>
      </c>
      <c r="K41" s="527"/>
      <c r="L41" s="421"/>
      <c r="N41" s="869"/>
    </row>
    <row r="42" spans="1:14">
      <c r="A42" s="719" t="s">
        <v>182</v>
      </c>
      <c r="B42" s="720"/>
      <c r="C42" s="720"/>
      <c r="D42" s="663" t="s">
        <v>143</v>
      </c>
      <c r="E42" s="650">
        <f>'[3]9'!F42</f>
        <v>396197.4</v>
      </c>
      <c r="F42" s="1197">
        <v>396197.4</v>
      </c>
      <c r="G42" s="613">
        <f t="shared" si="3"/>
        <v>0</v>
      </c>
      <c r="H42" s="600">
        <f>G42+'[3]9'!H42</f>
        <v>-6.9999999948777258E-2</v>
      </c>
      <c r="I42" s="595"/>
      <c r="J42" s="693">
        <f>H42/DAY(B2)</f>
        <v>-6.999999994877726E-3</v>
      </c>
      <c r="K42" s="527"/>
      <c r="L42" s="421"/>
      <c r="N42" s="869"/>
    </row>
    <row r="43" spans="1:14">
      <c r="A43" s="719" t="s">
        <v>183</v>
      </c>
      <c r="B43" s="720"/>
      <c r="C43" s="720"/>
      <c r="D43" s="663" t="s">
        <v>143</v>
      </c>
      <c r="E43" s="650">
        <f>'[3]9'!F43</f>
        <v>577328.15</v>
      </c>
      <c r="F43" s="1197">
        <v>582061</v>
      </c>
      <c r="G43" s="613">
        <f t="shared" si="3"/>
        <v>4732.8499999999767</v>
      </c>
      <c r="H43" s="600">
        <f>G43+'[3]9'!H43</f>
        <v>23736.930000000051</v>
      </c>
      <c r="I43" s="595"/>
      <c r="J43" s="693">
        <f>H43/DAY(B2)</f>
        <v>2373.6930000000052</v>
      </c>
      <c r="K43" s="527"/>
      <c r="L43" s="421"/>
      <c r="N43" s="869"/>
    </row>
    <row r="44" spans="1:14">
      <c r="A44" s="719" t="s">
        <v>184</v>
      </c>
      <c r="B44" s="720"/>
      <c r="C44" s="720"/>
      <c r="D44" s="663" t="s">
        <v>143</v>
      </c>
      <c r="E44" s="650">
        <f>'[3]9'!F44</f>
        <v>0</v>
      </c>
      <c r="F44" s="650">
        <v>0</v>
      </c>
      <c r="G44" s="613">
        <f t="shared" si="3"/>
        <v>0</v>
      </c>
      <c r="H44" s="600">
        <f>G44+'[3]9'!H44</f>
        <v>0</v>
      </c>
      <c r="I44" s="595"/>
      <c r="J44" s="693">
        <f>H44/DAY(B2)</f>
        <v>0</v>
      </c>
      <c r="K44" s="527"/>
      <c r="L44" s="421"/>
      <c r="N44" s="869"/>
    </row>
    <row r="45" spans="1:14">
      <c r="A45" s="719" t="s">
        <v>185</v>
      </c>
      <c r="B45" s="720"/>
      <c r="C45" s="720"/>
      <c r="D45" s="663" t="s">
        <v>143</v>
      </c>
      <c r="E45" s="650">
        <f>'[3]9'!F45</f>
        <v>614</v>
      </c>
      <c r="F45" s="650">
        <v>614</v>
      </c>
      <c r="G45" s="613">
        <f t="shared" si="3"/>
        <v>0</v>
      </c>
      <c r="H45" s="600">
        <f>G45+'[3]9'!H45</f>
        <v>-0.48000000000001819</v>
      </c>
      <c r="I45" s="595"/>
      <c r="J45" s="693">
        <f>H45/DAY(B2)</f>
        <v>-4.8000000000001819E-2</v>
      </c>
      <c r="K45" s="527"/>
      <c r="L45" s="421"/>
      <c r="N45" s="869"/>
    </row>
    <row r="46" spans="1:14">
      <c r="A46" s="719" t="s">
        <v>186</v>
      </c>
      <c r="B46" s="720"/>
      <c r="C46" s="720"/>
      <c r="D46" s="663" t="s">
        <v>143</v>
      </c>
      <c r="E46" s="650">
        <f>'[3]9'!F46</f>
        <v>187</v>
      </c>
      <c r="F46" s="650">
        <v>187</v>
      </c>
      <c r="G46" s="613">
        <f t="shared" si="3"/>
        <v>0</v>
      </c>
      <c r="H46" s="600">
        <f>G46+'[3]9'!H46</f>
        <v>-0.49000000000000909</v>
      </c>
      <c r="I46" s="595"/>
      <c r="J46" s="693">
        <f>H46/DAY(B2)</f>
        <v>-4.9000000000000911E-2</v>
      </c>
      <c r="K46" s="527"/>
      <c r="L46" s="421"/>
      <c r="N46" s="869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21657.30999999991</v>
      </c>
      <c r="H47" s="600">
        <f>G47+'[3]9'!H47</f>
        <v>109885.5000000002</v>
      </c>
      <c r="I47" s="595"/>
      <c r="J47" s="693">
        <f>H47/DAY(B2)</f>
        <v>10988.550000000021</v>
      </c>
      <c r="K47" s="527"/>
      <c r="L47" s="421"/>
      <c r="N47" s="869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69"/>
    </row>
    <row r="49" spans="1:14">
      <c r="A49" s="719" t="s">
        <v>175</v>
      </c>
      <c r="B49" s="742"/>
      <c r="C49" s="742"/>
      <c r="D49" s="663" t="s">
        <v>143</v>
      </c>
      <c r="E49" s="650">
        <f>'[3]9'!F49</f>
        <v>11728.38</v>
      </c>
      <c r="F49" s="650">
        <v>11728.83</v>
      </c>
      <c r="G49" s="613">
        <f t="shared" ref="G49:G58" si="4">F49-E49</f>
        <v>0.4500000000007276</v>
      </c>
      <c r="H49" s="600">
        <f>G49+'[3]9'!H49</f>
        <v>-7.9999999998108251E-3</v>
      </c>
      <c r="I49" s="595"/>
      <c r="J49" s="693">
        <f>H49/DAY(B2)</f>
        <v>-7.9999999998108255E-4</v>
      </c>
      <c r="K49" s="527"/>
      <c r="L49" s="421"/>
      <c r="N49" s="869"/>
    </row>
    <row r="50" spans="1:14">
      <c r="A50" s="719" t="s">
        <v>189</v>
      </c>
      <c r="B50" s="742"/>
      <c r="C50" s="742"/>
      <c r="D50" s="663" t="s">
        <v>143</v>
      </c>
      <c r="E50" s="650">
        <f>'[3]9'!F50</f>
        <v>271683.63</v>
      </c>
      <c r="F50" s="1197">
        <v>273936</v>
      </c>
      <c r="G50" s="613">
        <f t="shared" si="4"/>
        <v>2252.3699999999953</v>
      </c>
      <c r="H50" s="600">
        <f>G50+'[3]9'!H50</f>
        <v>10129.429999999993</v>
      </c>
      <c r="I50" s="595"/>
      <c r="J50" s="693">
        <f>H50/DAY(B2)</f>
        <v>1012.9429999999993</v>
      </c>
      <c r="K50" s="527"/>
      <c r="L50" s="421"/>
      <c r="N50" s="869"/>
    </row>
    <row r="51" spans="1:14">
      <c r="A51" s="719" t="s">
        <v>177</v>
      </c>
      <c r="B51" s="742"/>
      <c r="C51" s="742"/>
      <c r="D51" s="663" t="s">
        <v>143</v>
      </c>
      <c r="E51" s="650">
        <f>'[3]9'!F51</f>
        <v>0</v>
      </c>
      <c r="F51" s="650">
        <v>0</v>
      </c>
      <c r="G51" s="613">
        <f t="shared" si="4"/>
        <v>0</v>
      </c>
      <c r="H51" s="600">
        <f>G51+'[3]9'!H51</f>
        <v>0</v>
      </c>
      <c r="I51" s="595"/>
      <c r="J51" s="693">
        <f>H51/DAY(B2)</f>
        <v>0</v>
      </c>
      <c r="K51" s="527"/>
      <c r="L51" s="421"/>
      <c r="N51" s="869"/>
    </row>
    <row r="52" spans="1:14">
      <c r="A52" s="719" t="s">
        <v>190</v>
      </c>
      <c r="B52" s="742"/>
      <c r="C52" s="742"/>
      <c r="D52" s="663" t="s">
        <v>143</v>
      </c>
      <c r="E52" s="650">
        <f>'[3]9'!F52</f>
        <v>332616.27</v>
      </c>
      <c r="F52" s="650">
        <v>336241</v>
      </c>
      <c r="G52" s="613">
        <f t="shared" si="4"/>
        <v>3624.7299999999814</v>
      </c>
      <c r="H52" s="600">
        <f>G52+'[3]9'!H52</f>
        <v>17576.309999999998</v>
      </c>
      <c r="I52" s="595"/>
      <c r="J52" s="693">
        <f>H52/DAY(B2)</f>
        <v>1757.6309999999999</v>
      </c>
      <c r="K52" s="527"/>
      <c r="L52" s="421"/>
      <c r="N52" s="869"/>
    </row>
    <row r="53" spans="1:14">
      <c r="A53" s="719" t="s">
        <v>179</v>
      </c>
      <c r="B53" s="742"/>
      <c r="C53" s="742"/>
      <c r="D53" s="663" t="s">
        <v>143</v>
      </c>
      <c r="E53" s="650">
        <f>'[3]9'!F53</f>
        <v>16071</v>
      </c>
      <c r="F53" s="650">
        <v>16071</v>
      </c>
      <c r="G53" s="613">
        <f t="shared" si="4"/>
        <v>0</v>
      </c>
      <c r="H53" s="600">
        <f>G53+'[3]9'!H53</f>
        <v>0</v>
      </c>
      <c r="I53" s="595"/>
      <c r="J53" s="693">
        <f>H53/DAY(B2)</f>
        <v>0</v>
      </c>
      <c r="K53" s="527"/>
      <c r="L53" s="421"/>
      <c r="N53" s="869"/>
    </row>
    <row r="54" spans="1:14">
      <c r="A54" s="719" t="s">
        <v>191</v>
      </c>
      <c r="B54" s="742"/>
      <c r="C54" s="742"/>
      <c r="D54" s="663" t="s">
        <v>143</v>
      </c>
      <c r="E54" s="650">
        <f>'[3]9'!F54</f>
        <v>1990.1043</v>
      </c>
      <c r="F54" s="650">
        <v>2139</v>
      </c>
      <c r="G54" s="613">
        <f t="shared" si="4"/>
        <v>148.89570000000003</v>
      </c>
      <c r="H54" s="600">
        <f>G54+'[3]9'!H54</f>
        <v>735.33500000000004</v>
      </c>
      <c r="I54" s="595"/>
      <c r="J54" s="693">
        <f>H54/DAY(B2)</f>
        <v>73.533500000000004</v>
      </c>
      <c r="K54" s="527"/>
      <c r="L54" s="421"/>
      <c r="N54" s="869"/>
    </row>
    <row r="55" spans="1:14">
      <c r="A55" s="719" t="s">
        <v>192</v>
      </c>
      <c r="B55" s="742"/>
      <c r="C55" s="742"/>
      <c r="D55" s="663" t="s">
        <v>143</v>
      </c>
      <c r="E55" s="650">
        <f>'[3]9'!F55</f>
        <v>158492.73000000001</v>
      </c>
      <c r="F55" s="790">
        <v>158492.73000000001</v>
      </c>
      <c r="G55" s="789">
        <f t="shared" si="4"/>
        <v>0</v>
      </c>
      <c r="H55" s="861">
        <f>G55+'[3]9'!H55</f>
        <v>-0.26999999998952262</v>
      </c>
      <c r="I55" s="862"/>
      <c r="J55" s="863">
        <f>H55/DAY(B2)</f>
        <v>-2.6999999998952261E-2</v>
      </c>
      <c r="K55" s="527"/>
      <c r="L55" s="421"/>
      <c r="N55" s="869"/>
    </row>
    <row r="56" spans="1:14">
      <c r="A56" s="719" t="s">
        <v>193</v>
      </c>
      <c r="B56" s="742"/>
      <c r="C56" s="742"/>
      <c r="D56" s="663" t="s">
        <v>194</v>
      </c>
      <c r="E56" s="650">
        <f>'[3]9'!F56</f>
        <v>337777.31</v>
      </c>
      <c r="F56" s="790">
        <v>345832</v>
      </c>
      <c r="G56" s="613">
        <f t="shared" si="4"/>
        <v>8054.6900000000023</v>
      </c>
      <c r="H56" s="600">
        <f>G56+'[3]9'!H56</f>
        <v>41842.210000000021</v>
      </c>
      <c r="I56" s="595"/>
      <c r="J56" s="693">
        <f>H56/DAY(B2)</f>
        <v>4184.2210000000023</v>
      </c>
      <c r="K56" s="526"/>
      <c r="L56" s="421"/>
      <c r="N56" s="869"/>
    </row>
    <row r="57" spans="1:14">
      <c r="A57" s="719" t="s">
        <v>183</v>
      </c>
      <c r="B57" s="742"/>
      <c r="C57" s="742"/>
      <c r="D57" s="663" t="s">
        <v>143</v>
      </c>
      <c r="E57" s="650">
        <f>'[3]9'!F57</f>
        <v>0</v>
      </c>
      <c r="F57" s="650">
        <v>0</v>
      </c>
      <c r="G57" s="613">
        <f t="shared" si="4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69"/>
    </row>
    <row r="58" spans="1:14">
      <c r="A58" s="719" t="s">
        <v>195</v>
      </c>
      <c r="B58" s="742"/>
      <c r="C58" s="742"/>
      <c r="D58" s="663" t="s">
        <v>143</v>
      </c>
      <c r="E58" s="650">
        <f>'[3]9'!F58</f>
        <v>18042.974999999999</v>
      </c>
      <c r="F58" s="790">
        <v>18348</v>
      </c>
      <c r="G58" s="613">
        <f t="shared" si="4"/>
        <v>305.02500000000146</v>
      </c>
      <c r="H58" s="600">
        <f>G58+'[3]9'!H58</f>
        <v>883.72899999999936</v>
      </c>
      <c r="I58" s="595"/>
      <c r="J58" s="693">
        <f>H58/DAY(B2)</f>
        <v>88.37289999999993</v>
      </c>
      <c r="K58" s="527"/>
      <c r="L58" s="421"/>
      <c r="N58" s="869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14386.160699999982</v>
      </c>
      <c r="H59" s="600">
        <f>G59+'[3]9'!H59</f>
        <v>71166.736000000019</v>
      </c>
      <c r="I59" s="595">
        <f>G7-G60</f>
        <v>1020.5293000001111</v>
      </c>
      <c r="J59" s="693">
        <f>H59/DAY(B2)</f>
        <v>7116.6736000000019</v>
      </c>
      <c r="K59" s="527"/>
      <c r="L59" s="421"/>
      <c r="N59" s="869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36043.470699999889</v>
      </c>
      <c r="H60" s="600">
        <f>G60+'[3]9'!H60</f>
        <v>181052.23600000024</v>
      </c>
      <c r="I60" s="595">
        <f>G13-G60</f>
        <v>-387.47069999988889</v>
      </c>
      <c r="J60" s="693">
        <f>H60/DAY(B2)</f>
        <v>18105.223600000023</v>
      </c>
      <c r="K60" s="527"/>
      <c r="L60" s="421"/>
      <c r="N60" s="869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69"/>
    </row>
    <row r="62" spans="1:14">
      <c r="A62" s="744" t="s">
        <v>106</v>
      </c>
      <c r="B62" s="745"/>
      <c r="C62" s="745"/>
      <c r="D62" s="651" t="s">
        <v>198</v>
      </c>
      <c r="E62" s="654">
        <f>'[3]9'!F62</f>
        <v>20419</v>
      </c>
      <c r="F62" s="654">
        <v>20419</v>
      </c>
      <c r="G62" s="613">
        <f t="shared" ref="G62:G69" si="5">F62-E62</f>
        <v>0</v>
      </c>
      <c r="H62" s="600">
        <f>G62+'[3]9'!H62</f>
        <v>-0.3779999999969732</v>
      </c>
      <c r="I62" s="655"/>
      <c r="J62" s="693">
        <f>H62/DAY(B2)</f>
        <v>-3.7799999999697319E-2</v>
      </c>
      <c r="K62" s="527"/>
      <c r="L62" s="421"/>
      <c r="N62" s="869"/>
    </row>
    <row r="63" spans="1:14">
      <c r="A63" s="744" t="s">
        <v>199</v>
      </c>
      <c r="B63" s="745"/>
      <c r="C63" s="745"/>
      <c r="D63" s="651" t="s">
        <v>198</v>
      </c>
      <c r="E63" s="654">
        <f>'[3]9'!F63</f>
        <v>453.19600000000003</v>
      </c>
      <c r="F63" s="654">
        <v>491</v>
      </c>
      <c r="G63" s="613">
        <f t="shared" si="5"/>
        <v>37.803999999999974</v>
      </c>
      <c r="H63" s="600">
        <f>G63+'[3]9'!H63</f>
        <v>192.54000000000002</v>
      </c>
      <c r="I63" s="655"/>
      <c r="J63" s="693">
        <f>H63/DAY(B2)</f>
        <v>19.254000000000001</v>
      </c>
      <c r="K63" s="527"/>
      <c r="L63" s="421"/>
      <c r="N63" s="869"/>
    </row>
    <row r="64" spans="1:14" ht="27.75">
      <c r="A64" s="1429" t="s">
        <v>107</v>
      </c>
      <c r="B64" s="1430"/>
      <c r="C64" s="1431"/>
      <c r="D64" s="663" t="s">
        <v>198</v>
      </c>
      <c r="E64" s="654">
        <f>'[3]9'!F64</f>
        <v>78958.794999999998</v>
      </c>
      <c r="F64" s="618">
        <v>79665</v>
      </c>
      <c r="G64" s="613">
        <f t="shared" si="5"/>
        <v>706.20500000000175</v>
      </c>
      <c r="H64" s="600">
        <f>G64+'[3]9'!H64</f>
        <v>3601.9130000000005</v>
      </c>
      <c r="I64" s="620"/>
      <c r="J64" s="693">
        <f>H64/DAY(B2)</f>
        <v>360.19130000000007</v>
      </c>
      <c r="K64" s="527"/>
      <c r="L64" s="421"/>
      <c r="N64" s="869"/>
    </row>
    <row r="65" spans="1:14" ht="27.75">
      <c r="A65" s="1429" t="s">
        <v>108</v>
      </c>
      <c r="B65" s="1430"/>
      <c r="C65" s="1431"/>
      <c r="D65" s="663" t="s">
        <v>198</v>
      </c>
      <c r="E65" s="654">
        <f>'[3]9'!F65</f>
        <v>88304.078999999998</v>
      </c>
      <c r="F65" s="788">
        <v>89102</v>
      </c>
      <c r="G65" s="613">
        <f t="shared" si="5"/>
        <v>797.9210000000021</v>
      </c>
      <c r="H65" s="600">
        <f>G65+'[3]9'!H65</f>
        <v>3942.7369999999937</v>
      </c>
      <c r="I65" s="629"/>
      <c r="J65" s="693">
        <f>H65/DAY(B2)</f>
        <v>394.27369999999939</v>
      </c>
      <c r="K65" s="527"/>
      <c r="L65" s="421"/>
      <c r="N65" s="869"/>
    </row>
    <row r="66" spans="1:14" ht="27.75">
      <c r="A66" s="1429" t="s">
        <v>109</v>
      </c>
      <c r="B66" s="1430"/>
      <c r="C66" s="1431"/>
      <c r="D66" s="663" t="s">
        <v>198</v>
      </c>
      <c r="E66" s="654">
        <f>'[3]9'!F66</f>
        <v>81281.934999999998</v>
      </c>
      <c r="F66" s="618">
        <v>82097</v>
      </c>
      <c r="G66" s="613">
        <f t="shared" si="5"/>
        <v>815.06500000000233</v>
      </c>
      <c r="H66" s="600">
        <f>G66+'[3]9'!H66</f>
        <v>3909.0420000000013</v>
      </c>
      <c r="I66" s="620"/>
      <c r="J66" s="693">
        <f>H66/DAY(B2)</f>
        <v>390.90420000000012</v>
      </c>
      <c r="K66" s="527"/>
      <c r="L66" s="421"/>
      <c r="N66" s="869"/>
    </row>
    <row r="67" spans="1:14" ht="27.75">
      <c r="A67" s="1429" t="s">
        <v>110</v>
      </c>
      <c r="B67" s="1430"/>
      <c r="C67" s="1431"/>
      <c r="D67" s="663" t="s">
        <v>198</v>
      </c>
      <c r="E67" s="654">
        <f>'[3]9'!F67</f>
        <v>131208.91</v>
      </c>
      <c r="F67" s="618">
        <v>132561</v>
      </c>
      <c r="G67" s="613">
        <f t="shared" si="5"/>
        <v>1352.0899999999965</v>
      </c>
      <c r="H67" s="600">
        <f>G67+'[3]9'!H67</f>
        <v>6504.5</v>
      </c>
      <c r="I67" s="629"/>
      <c r="J67" s="693">
        <f>H67/DAY(B2)</f>
        <v>650.45000000000005</v>
      </c>
      <c r="K67" s="528"/>
      <c r="L67" s="421"/>
      <c r="N67" s="869"/>
    </row>
    <row r="68" spans="1:14" ht="27.75">
      <c r="A68" s="1429" t="s">
        <v>111</v>
      </c>
      <c r="B68" s="1430"/>
      <c r="C68" s="1431"/>
      <c r="D68" s="663" t="s">
        <v>198</v>
      </c>
      <c r="E68" s="654">
        <f>'[3]9'!F68</f>
        <v>35919.747000000003</v>
      </c>
      <c r="F68" s="618">
        <v>36562</v>
      </c>
      <c r="G68" s="613">
        <f t="shared" si="5"/>
        <v>642.25299999999697</v>
      </c>
      <c r="H68" s="600">
        <f>G68+'[3]9'!H68</f>
        <v>3162.1310000000012</v>
      </c>
      <c r="I68" s="656"/>
      <c r="J68" s="693">
        <f>H68/DAY(B2)</f>
        <v>316.21310000000011</v>
      </c>
      <c r="K68" s="529"/>
      <c r="L68" s="421"/>
      <c r="N68" s="869"/>
    </row>
    <row r="69" spans="1:14" ht="27.75">
      <c r="A69" s="1429" t="s">
        <v>112</v>
      </c>
      <c r="B69" s="1430"/>
      <c r="C69" s="1431"/>
      <c r="D69" s="663" t="s">
        <v>198</v>
      </c>
      <c r="E69" s="654">
        <f>'[3]9'!F69</f>
        <v>31252.830999999998</v>
      </c>
      <c r="F69" s="618">
        <v>31894</v>
      </c>
      <c r="G69" s="613">
        <f t="shared" si="5"/>
        <v>641.16900000000169</v>
      </c>
      <c r="H69" s="600">
        <f>G69+'[3]9'!H69</f>
        <v>2641.6349999999984</v>
      </c>
      <c r="I69" s="656"/>
      <c r="J69" s="693">
        <f>H69/DAY(B2)</f>
        <v>264.16349999999983</v>
      </c>
      <c r="K69" s="530"/>
      <c r="L69" s="421"/>
      <c r="N69" s="869"/>
    </row>
    <row r="70" spans="1:14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869"/>
    </row>
    <row r="71" spans="1:14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869"/>
    </row>
    <row r="72" spans="1:14" ht="27.75">
      <c r="A72" s="1429" t="s">
        <v>202</v>
      </c>
      <c r="B72" s="1430"/>
      <c r="C72" s="1431"/>
      <c r="D72" s="663" t="s">
        <v>198</v>
      </c>
      <c r="E72" s="659">
        <f>'[3]9'!F72</f>
        <v>843993</v>
      </c>
      <c r="F72" s="791">
        <v>844008</v>
      </c>
      <c r="G72" s="613">
        <f t="shared" ref="G72:G84" si="6">F72-E72</f>
        <v>15</v>
      </c>
      <c r="H72" s="600">
        <f>G72+'[3]9'!H72</f>
        <v>75</v>
      </c>
      <c r="I72" s="620"/>
      <c r="J72" s="693">
        <f>H72/DAY(B2)</f>
        <v>7.5</v>
      </c>
      <c r="K72" s="530"/>
      <c r="L72" s="421"/>
      <c r="N72" s="869"/>
    </row>
    <row r="73" spans="1:14" ht="27.75">
      <c r="A73" s="1429" t="s">
        <v>203</v>
      </c>
      <c r="B73" s="1430"/>
      <c r="C73" s="1431"/>
      <c r="D73" s="663" t="s">
        <v>198</v>
      </c>
      <c r="E73" s="659">
        <f>'[3]9'!F73</f>
        <v>885222</v>
      </c>
      <c r="F73" s="792">
        <v>885225</v>
      </c>
      <c r="G73" s="789">
        <f t="shared" si="6"/>
        <v>3</v>
      </c>
      <c r="H73" s="600">
        <f>G73+'[3]9'!H73</f>
        <v>10</v>
      </c>
      <c r="I73" s="620"/>
      <c r="J73" s="693">
        <f>H73/DAY(B2)</f>
        <v>1</v>
      </c>
      <c r="K73" s="529"/>
      <c r="L73" s="421"/>
      <c r="N73" s="869"/>
    </row>
    <row r="74" spans="1:14" ht="27.75">
      <c r="A74" s="1429" t="s">
        <v>204</v>
      </c>
      <c r="B74" s="1430"/>
      <c r="C74" s="1431"/>
      <c r="D74" s="663" t="s">
        <v>198</v>
      </c>
      <c r="E74" s="659">
        <f>'[3]9'!F74</f>
        <v>879767</v>
      </c>
      <c r="F74" s="791">
        <v>879797</v>
      </c>
      <c r="G74" s="613">
        <f t="shared" si="6"/>
        <v>30</v>
      </c>
      <c r="H74" s="600">
        <f>G74+'[3]9'!H74</f>
        <v>161</v>
      </c>
      <c r="I74" s="620"/>
      <c r="J74" s="693">
        <f>H74/DAY(B2)</f>
        <v>16.100000000000001</v>
      </c>
      <c r="K74" s="530"/>
      <c r="L74" s="421"/>
      <c r="N74" s="869"/>
    </row>
    <row r="75" spans="1:14" ht="27.75">
      <c r="A75" s="1408" t="s">
        <v>205</v>
      </c>
      <c r="B75" s="1409"/>
      <c r="C75" s="1410"/>
      <c r="D75" s="663" t="s">
        <v>198</v>
      </c>
      <c r="E75" s="659">
        <f>'[3]9'!F75</f>
        <v>722624</v>
      </c>
      <c r="F75" s="792">
        <v>722936</v>
      </c>
      <c r="G75" s="613">
        <f t="shared" si="6"/>
        <v>312</v>
      </c>
      <c r="H75" s="600">
        <f>G75+'[3]9'!H75</f>
        <v>1570</v>
      </c>
      <c r="I75" s="620"/>
      <c r="J75" s="693">
        <f>H75/DAY(B2)</f>
        <v>157</v>
      </c>
      <c r="K75" s="529"/>
      <c r="L75" s="421"/>
      <c r="N75" s="869"/>
    </row>
    <row r="76" spans="1:14" ht="27.75">
      <c r="A76" s="1408" t="s">
        <v>206</v>
      </c>
      <c r="B76" s="1409"/>
      <c r="C76" s="1410"/>
      <c r="D76" s="663" t="s">
        <v>198</v>
      </c>
      <c r="E76" s="659">
        <f>'[3]9'!F76</f>
        <v>680181</v>
      </c>
      <c r="F76" s="792">
        <v>680317</v>
      </c>
      <c r="G76" s="613">
        <f t="shared" si="6"/>
        <v>136</v>
      </c>
      <c r="H76" s="600">
        <f>G76+'[3]9'!H76</f>
        <v>665</v>
      </c>
      <c r="I76" s="645"/>
      <c r="J76" s="693">
        <f>H76/DAY(B2)</f>
        <v>66.5</v>
      </c>
      <c r="K76" s="529"/>
      <c r="L76" s="421"/>
      <c r="N76" s="869"/>
    </row>
    <row r="77" spans="1:14" ht="27.75">
      <c r="A77" s="1429" t="s">
        <v>207</v>
      </c>
      <c r="B77" s="1430"/>
      <c r="C77" s="1431"/>
      <c r="D77" s="663" t="s">
        <v>198</v>
      </c>
      <c r="E77" s="659">
        <f>'[3]9'!F77</f>
        <v>692648</v>
      </c>
      <c r="F77" s="792">
        <v>692743</v>
      </c>
      <c r="G77" s="789">
        <f t="shared" si="6"/>
        <v>95</v>
      </c>
      <c r="H77" s="600">
        <f>G77+'[3]9'!H77</f>
        <v>436</v>
      </c>
      <c r="I77" s="645"/>
      <c r="J77" s="693">
        <f>H77/DAY(B2)</f>
        <v>43.6</v>
      </c>
      <c r="K77" s="529"/>
      <c r="L77" s="421"/>
      <c r="N77" s="869"/>
    </row>
    <row r="78" spans="1:14" ht="27.75">
      <c r="A78" s="1374" t="s">
        <v>208</v>
      </c>
      <c r="B78" s="1339"/>
      <c r="C78" s="1339"/>
      <c r="D78" s="663" t="s">
        <v>198</v>
      </c>
      <c r="E78" s="659">
        <f>'[3]9'!F78</f>
        <v>610475</v>
      </c>
      <c r="F78" s="793">
        <v>611134</v>
      </c>
      <c r="G78" s="613">
        <f t="shared" si="6"/>
        <v>659</v>
      </c>
      <c r="H78" s="600">
        <f>G78+'[3]9'!H78</f>
        <v>3120</v>
      </c>
      <c r="I78" s="645"/>
      <c r="J78" s="693">
        <f>H78/DAY(B2)</f>
        <v>312</v>
      </c>
      <c r="K78" s="529"/>
      <c r="L78" s="421"/>
      <c r="N78" s="869"/>
    </row>
    <row r="79" spans="1:14" ht="27.75">
      <c r="A79" s="1408" t="s">
        <v>97</v>
      </c>
      <c r="B79" s="1409"/>
      <c r="C79" s="1410"/>
      <c r="D79" s="664" t="s">
        <v>198</v>
      </c>
      <c r="E79" s="659">
        <f>'[3]9'!F79</f>
        <v>794060</v>
      </c>
      <c r="F79" s="793">
        <v>794338</v>
      </c>
      <c r="G79" s="613">
        <f t="shared" si="6"/>
        <v>278</v>
      </c>
      <c r="H79" s="600">
        <f>G79+'[3]9'!H79</f>
        <v>1550</v>
      </c>
      <c r="I79" s="645"/>
      <c r="J79" s="693">
        <f>H79/DAY(B2)</f>
        <v>155</v>
      </c>
      <c r="K79" s="529"/>
      <c r="L79" s="421"/>
      <c r="N79" s="869"/>
    </row>
    <row r="80" spans="1:14" ht="27.75">
      <c r="A80" s="1408" t="s">
        <v>209</v>
      </c>
      <c r="B80" s="1409"/>
      <c r="C80" s="1410"/>
      <c r="D80" s="664" t="s">
        <v>198</v>
      </c>
      <c r="E80" s="659">
        <f>'[3]9'!F80</f>
        <v>459125.04</v>
      </c>
      <c r="F80" s="792">
        <v>459703</v>
      </c>
      <c r="G80" s="613">
        <f t="shared" si="6"/>
        <v>577.96000000002095</v>
      </c>
      <c r="H80" s="600">
        <f>G80+'[3]9'!H80</f>
        <v>2837.960000000021</v>
      </c>
      <c r="I80" s="645"/>
      <c r="J80" s="693">
        <f>H80/DAY(B2)</f>
        <v>283.7960000000021</v>
      </c>
      <c r="K80" s="529"/>
      <c r="L80" s="421"/>
      <c r="N80" s="869"/>
    </row>
    <row r="81" spans="1:15" ht="27.75">
      <c r="A81" s="1408" t="s">
        <v>210</v>
      </c>
      <c r="B81" s="1409"/>
      <c r="C81" s="1410"/>
      <c r="D81" s="664" t="s">
        <v>198</v>
      </c>
      <c r="E81" s="659">
        <f>'[3]9'!F81</f>
        <v>611916.12</v>
      </c>
      <c r="F81" s="792">
        <v>612096</v>
      </c>
      <c r="G81" s="613">
        <f t="shared" si="6"/>
        <v>179.88000000000466</v>
      </c>
      <c r="H81" s="600">
        <f>G81+'[3]9'!H81</f>
        <v>973.71999999997206</v>
      </c>
      <c r="I81" s="645"/>
      <c r="J81" s="693">
        <f>H81/DAY(B2)</f>
        <v>97.3719999999972</v>
      </c>
      <c r="K81" s="529"/>
      <c r="L81" s="421"/>
      <c r="N81" s="869"/>
    </row>
    <row r="82" spans="1:15" ht="27.75">
      <c r="A82" s="1408" t="s">
        <v>100</v>
      </c>
      <c r="B82" s="1409"/>
      <c r="C82" s="1410"/>
      <c r="D82" s="625" t="s">
        <v>143</v>
      </c>
      <c r="E82" s="659">
        <f>'[3]9'!F82</f>
        <v>103169.84</v>
      </c>
      <c r="F82" s="788">
        <v>103204</v>
      </c>
      <c r="G82" s="613">
        <f t="shared" si="6"/>
        <v>34.160000000003492</v>
      </c>
      <c r="H82" s="600">
        <f>G82+'[3]9'!H82</f>
        <v>174.05000000000291</v>
      </c>
      <c r="I82" s="626"/>
      <c r="J82" s="693">
        <f>H82/DAY(B2)</f>
        <v>17.405000000000292</v>
      </c>
      <c r="K82" s="529"/>
      <c r="L82" s="421"/>
      <c r="N82" s="869"/>
    </row>
    <row r="83" spans="1:15" ht="27.75">
      <c r="A83" s="1408" t="s">
        <v>211</v>
      </c>
      <c r="B83" s="1409"/>
      <c r="C83" s="1410"/>
      <c r="D83" s="761" t="s">
        <v>143</v>
      </c>
      <c r="E83" s="659">
        <f>'[3]9'!F83</f>
        <v>955153</v>
      </c>
      <c r="F83" s="651">
        <v>955875</v>
      </c>
      <c r="G83" s="613">
        <f t="shared" si="6"/>
        <v>722</v>
      </c>
      <c r="H83" s="600">
        <f>G83+'[3]9'!H83</f>
        <v>3632</v>
      </c>
      <c r="I83" s="621"/>
      <c r="J83" s="693">
        <f>H83/DAY(B2)</f>
        <v>363.2</v>
      </c>
      <c r="K83" s="528"/>
      <c r="L83" s="421"/>
      <c r="N83" s="869"/>
    </row>
    <row r="84" spans="1:15">
      <c r="A84" s="1377" t="s">
        <v>212</v>
      </c>
      <c r="B84" s="712"/>
      <c r="C84" s="712"/>
      <c r="D84" s="618" t="s">
        <v>143</v>
      </c>
      <c r="E84" s="659">
        <f>'[3]9'!F84</f>
        <v>370813</v>
      </c>
      <c r="F84" s="768">
        <v>371628</v>
      </c>
      <c r="G84" s="613">
        <f t="shared" si="6"/>
        <v>815</v>
      </c>
      <c r="H84" s="600">
        <f>G84+'[3]9'!H84</f>
        <v>5195</v>
      </c>
      <c r="I84" s="621"/>
      <c r="J84" s="693">
        <f>H84/DAY(B2)</f>
        <v>519.5</v>
      </c>
      <c r="K84" s="424"/>
      <c r="L84" s="421"/>
      <c r="N84" s="869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3857.0000000000291</v>
      </c>
      <c r="H85" s="600">
        <f>G85+'[3]9'!H85</f>
        <v>18734.989999999991</v>
      </c>
      <c r="I85" s="621"/>
      <c r="J85" s="693">
        <f>H85/DAY(B2)</f>
        <v>1873.4989999999991</v>
      </c>
      <c r="K85" s="424"/>
      <c r="L85" s="422"/>
      <c r="N85" s="869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'[3]9'!F86</f>
        <v>437983.32</v>
      </c>
      <c r="F86" s="784">
        <v>438246</v>
      </c>
      <c r="G86" s="861">
        <f t="shared" ref="G86:G90" si="7">F86-E86</f>
        <v>262.67999999999302</v>
      </c>
      <c r="H86" s="861">
        <f t="shared" ref="H86:H88" si="8">G86</f>
        <v>262.67999999999302</v>
      </c>
      <c r="I86" s="789"/>
      <c r="J86" s="863">
        <f>H86/DAY(B2)</f>
        <v>26.267999999999301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'[3]9'!F87</f>
        <v>76288.2</v>
      </c>
      <c r="F87" s="784">
        <v>76350</v>
      </c>
      <c r="G87" s="861">
        <f t="shared" si="7"/>
        <v>61.80000000000291</v>
      </c>
      <c r="H87" s="861">
        <f t="shared" si="8"/>
        <v>61.80000000000291</v>
      </c>
      <c r="I87" s="789"/>
      <c r="J87" s="863">
        <f>H87/DAY(B2)</f>
        <v>6.180000000000291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'[3]9'!F88</f>
        <v>140582.60999999999</v>
      </c>
      <c r="F88" s="784">
        <v>140742</v>
      </c>
      <c r="G88" s="861">
        <f t="shared" si="7"/>
        <v>159.39000000001397</v>
      </c>
      <c r="H88" s="861">
        <f t="shared" si="8"/>
        <v>159.39000000001397</v>
      </c>
      <c r="I88" s="789"/>
      <c r="J88" s="863">
        <f>H88/DAY(B2)</f>
        <v>15.939000000001396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'[3]9'!F89</f>
        <v>54526.6</v>
      </c>
      <c r="F89" s="784">
        <v>54633</v>
      </c>
      <c r="G89" s="861">
        <f t="shared" si="7"/>
        <v>106.40000000000146</v>
      </c>
      <c r="H89" s="861">
        <f>G89</f>
        <v>106.40000000000146</v>
      </c>
      <c r="I89" s="789"/>
      <c r="J89" s="863">
        <f>H89/DAY(B2)</f>
        <v>10.640000000000146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'[3]9'!F90</f>
        <v>2813.71</v>
      </c>
      <c r="F90" s="784">
        <v>2821</v>
      </c>
      <c r="G90" s="861">
        <f t="shared" si="7"/>
        <v>7.2899999999999636</v>
      </c>
      <c r="H90" s="861">
        <f>G90</f>
        <v>7.2899999999999636</v>
      </c>
      <c r="I90" s="789"/>
      <c r="J90" s="863">
        <f>H90/DAY(B2)</f>
        <v>0.72899999999999632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69"/>
    </row>
    <row r="92" spans="1:15" ht="27.75">
      <c r="A92" s="1432" t="s">
        <v>217</v>
      </c>
      <c r="B92" s="1433"/>
      <c r="C92" s="1434"/>
      <c r="D92" s="663" t="s">
        <v>155</v>
      </c>
      <c r="E92" s="624">
        <f>'[3]9'!F92</f>
        <v>229307</v>
      </c>
      <c r="F92" s="618">
        <v>229520</v>
      </c>
      <c r="G92" s="613">
        <f t="shared" ref="G92:G93" si="9">F92-E92</f>
        <v>213</v>
      </c>
      <c r="H92" s="600">
        <f>G92+'[3]9'!H92</f>
        <v>925</v>
      </c>
      <c r="I92" s="620"/>
      <c r="J92" s="693">
        <f>H92/DAY(B2)</f>
        <v>92.5</v>
      </c>
      <c r="K92" s="528"/>
      <c r="L92" s="421"/>
      <c r="N92" s="869"/>
    </row>
    <row r="93" spans="1:15" ht="27.75">
      <c r="A93" s="1432" t="s">
        <v>218</v>
      </c>
      <c r="B93" s="1433"/>
      <c r="C93" s="1434"/>
      <c r="D93" s="663" t="s">
        <v>155</v>
      </c>
      <c r="E93" s="624">
        <f>'[3]9'!F93</f>
        <v>159904</v>
      </c>
      <c r="F93" s="618">
        <v>160198</v>
      </c>
      <c r="G93" s="613">
        <f t="shared" si="9"/>
        <v>294</v>
      </c>
      <c r="H93" s="600">
        <f>G93+'[3]9'!H93</f>
        <v>1675</v>
      </c>
      <c r="I93" s="620"/>
      <c r="J93" s="693">
        <f>H93/DAY(B2)</f>
        <v>167.5</v>
      </c>
      <c r="K93" s="424"/>
      <c r="L93" s="421"/>
      <c r="N93" s="869"/>
    </row>
    <row r="94" spans="1:15">
      <c r="A94" s="1460" t="s">
        <v>219</v>
      </c>
      <c r="B94" s="1461"/>
      <c r="C94" s="1462"/>
      <c r="D94" s="663"/>
      <c r="E94" s="624"/>
      <c r="F94" s="618"/>
      <c r="G94" s="613">
        <f>G92+G93</f>
        <v>507</v>
      </c>
      <c r="H94" s="600">
        <f>G94+'[3]9'!H94</f>
        <v>2310</v>
      </c>
      <c r="I94" s="620"/>
      <c r="J94" s="693">
        <f>H94/DAY(B2)</f>
        <v>231</v>
      </c>
      <c r="K94" s="424"/>
      <c r="L94" s="421"/>
      <c r="N94" s="869"/>
    </row>
    <row r="95" spans="1:15" ht="27.75">
      <c r="A95" s="1432" t="s">
        <v>220</v>
      </c>
      <c r="B95" s="1433"/>
      <c r="C95" s="1434"/>
      <c r="D95" s="663" t="s">
        <v>155</v>
      </c>
      <c r="E95" s="624">
        <f>'[3]9'!F95</f>
        <v>400284</v>
      </c>
      <c r="F95" s="618">
        <v>400424</v>
      </c>
      <c r="G95" s="613">
        <f t="shared" ref="G95:G100" si="10">F95-E95</f>
        <v>140</v>
      </c>
      <c r="H95" s="600">
        <f>G95+'[3]9'!H95</f>
        <v>577</v>
      </c>
      <c r="I95" s="620"/>
      <c r="J95" s="693">
        <f>H95/DAY(B2)</f>
        <v>57.7</v>
      </c>
      <c r="K95" s="424"/>
      <c r="L95" s="421"/>
      <c r="N95" s="869"/>
    </row>
    <row r="96" spans="1:15" ht="27.75">
      <c r="A96" s="1371" t="s">
        <v>221</v>
      </c>
      <c r="B96" s="1372"/>
      <c r="C96" s="1372"/>
      <c r="D96" s="663" t="s">
        <v>155</v>
      </c>
      <c r="E96" s="624">
        <f>'[3]9'!F96</f>
        <v>98404</v>
      </c>
      <c r="F96" s="618">
        <v>98497</v>
      </c>
      <c r="G96" s="613">
        <f t="shared" si="10"/>
        <v>93</v>
      </c>
      <c r="H96" s="600">
        <f>G96+'[3]9'!H96</f>
        <v>488</v>
      </c>
      <c r="I96" s="620"/>
      <c r="J96" s="693">
        <f>H96/DAY(B2)</f>
        <v>48.8</v>
      </c>
      <c r="K96" s="526"/>
      <c r="L96" s="421"/>
      <c r="N96" s="869"/>
    </row>
    <row r="97" spans="1:14" ht="27.75">
      <c r="A97" s="1371" t="s">
        <v>222</v>
      </c>
      <c r="B97" s="1372"/>
      <c r="C97" s="1372"/>
      <c r="D97" s="663" t="s">
        <v>155</v>
      </c>
      <c r="E97" s="624">
        <f>'[3]9'!F97</f>
        <v>93761</v>
      </c>
      <c r="F97" s="618">
        <v>93796</v>
      </c>
      <c r="G97" s="613">
        <f t="shared" si="10"/>
        <v>35</v>
      </c>
      <c r="H97" s="600">
        <f>G97+'[3]9'!H97</f>
        <v>245</v>
      </c>
      <c r="I97" s="620"/>
      <c r="J97" s="693">
        <f>H97/DAY(B2)</f>
        <v>24.5</v>
      </c>
      <c r="K97" s="531"/>
      <c r="L97" s="421"/>
      <c r="N97" s="869"/>
    </row>
    <row r="98" spans="1:14" ht="27.75">
      <c r="A98" s="1371" t="s">
        <v>223</v>
      </c>
      <c r="B98" s="1372"/>
      <c r="C98" s="1372"/>
      <c r="D98" s="663" t="s">
        <v>155</v>
      </c>
      <c r="E98" s="624">
        <f>'[3]9'!F98</f>
        <v>141215</v>
      </c>
      <c r="F98" s="618">
        <v>141359</v>
      </c>
      <c r="G98" s="613">
        <f t="shared" si="10"/>
        <v>144</v>
      </c>
      <c r="H98" s="600">
        <f>G98+'[3]9'!H98</f>
        <v>454</v>
      </c>
      <c r="I98" s="620"/>
      <c r="J98" s="693">
        <f>H98/DAY(B2)</f>
        <v>45.4</v>
      </c>
      <c r="K98" s="424"/>
      <c r="L98" s="421"/>
      <c r="N98" s="871"/>
    </row>
    <row r="99" spans="1:14" ht="27.75">
      <c r="A99" s="1371" t="s">
        <v>224</v>
      </c>
      <c r="B99" s="1372"/>
      <c r="C99" s="1372"/>
      <c r="D99" s="663" t="s">
        <v>155</v>
      </c>
      <c r="E99" s="624">
        <f>'[3]9'!F99</f>
        <v>4788</v>
      </c>
      <c r="F99" s="618">
        <v>4807</v>
      </c>
      <c r="G99" s="613">
        <f t="shared" si="10"/>
        <v>19</v>
      </c>
      <c r="H99" s="600">
        <f>G99+'[3]9'!H99</f>
        <v>99</v>
      </c>
      <c r="I99" s="620"/>
      <c r="J99" s="693">
        <f>H99/DAY(B2)</f>
        <v>9.9</v>
      </c>
      <c r="K99" s="424"/>
      <c r="L99" s="421"/>
      <c r="N99" s="869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'[3]9'!F100</f>
        <v>3674</v>
      </c>
      <c r="F100" s="618">
        <v>3674</v>
      </c>
      <c r="G100" s="613">
        <f t="shared" si="10"/>
        <v>0</v>
      </c>
      <c r="H100" s="600">
        <f>G100+'[3]9'!H100</f>
        <v>0</v>
      </c>
      <c r="I100" s="620"/>
      <c r="J100" s="693">
        <f>H100/DAY(B2)</f>
        <v>0</v>
      </c>
      <c r="K100" s="424"/>
      <c r="L100" s="421"/>
      <c r="N100" s="869"/>
    </row>
    <row r="101" spans="1:14">
      <c r="A101" s="1460" t="s">
        <v>227</v>
      </c>
      <c r="B101" s="1461"/>
      <c r="C101" s="1462"/>
      <c r="D101" s="664"/>
      <c r="E101" s="624"/>
      <c r="F101" s="664"/>
      <c r="G101" s="665">
        <f>SUM(G95:G100)</f>
        <v>431</v>
      </c>
      <c r="H101" s="600">
        <f>G101+'[3]9'!H101</f>
        <v>1863</v>
      </c>
      <c r="I101" s="666"/>
      <c r="J101" s="693">
        <f>H101/DAY(B2)</f>
        <v>186.3</v>
      </c>
      <c r="K101" s="424"/>
      <c r="L101" s="421"/>
      <c r="N101" s="869"/>
    </row>
    <row r="102" spans="1:14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69"/>
    </row>
    <row r="103" spans="1:14" s="544" customFormat="1" ht="27.75">
      <c r="A103" s="1463" t="s">
        <v>229</v>
      </c>
      <c r="B103" s="1464"/>
      <c r="C103" s="714"/>
      <c r="D103" s="763"/>
      <c r="E103" s="624"/>
      <c r="F103" s="795"/>
      <c r="G103" s="672"/>
      <c r="H103" s="673"/>
      <c r="I103" s="672"/>
      <c r="J103" s="699"/>
      <c r="N103" s="869"/>
    </row>
    <row r="104" spans="1:14" s="544" customFormat="1" ht="27.75">
      <c r="A104" s="1421" t="s">
        <v>230</v>
      </c>
      <c r="B104" s="1422"/>
      <c r="C104" s="1376"/>
      <c r="D104" s="763" t="s">
        <v>155</v>
      </c>
      <c r="E104" s="624">
        <f>'[3]9'!F104</f>
        <v>7010</v>
      </c>
      <c r="F104" s="795">
        <v>7010</v>
      </c>
      <c r="G104" s="672">
        <f>F104-E104</f>
        <v>0</v>
      </c>
      <c r="H104" s="673">
        <f>SUM(G104+'[3]9'!G76)</f>
        <v>70</v>
      </c>
      <c r="I104" s="672"/>
      <c r="J104" s="699">
        <f>H104/DAY(B2)</f>
        <v>7</v>
      </c>
      <c r="N104" s="869"/>
    </row>
    <row r="105" spans="1:14" s="544" customFormat="1" ht="27.75">
      <c r="A105" s="1421" t="s">
        <v>77</v>
      </c>
      <c r="B105" s="1422"/>
      <c r="C105" s="1376"/>
      <c r="D105" s="763" t="s">
        <v>155</v>
      </c>
      <c r="E105" s="624">
        <f>'[3]9'!F105</f>
        <v>34546</v>
      </c>
      <c r="F105" s="796">
        <v>34572</v>
      </c>
      <c r="G105" s="672">
        <f t="shared" ref="G105:G106" si="11">F105-E105</f>
        <v>26</v>
      </c>
      <c r="H105" s="673">
        <f>SUM(G105+'[3]9'!G77)</f>
        <v>75</v>
      </c>
      <c r="I105" s="672"/>
      <c r="J105" s="699">
        <f>H105/DAY(B2)</f>
        <v>7.5</v>
      </c>
      <c r="N105" s="869"/>
    </row>
    <row r="106" spans="1:14" s="544" customFormat="1" ht="27.75">
      <c r="A106" s="1421" t="s">
        <v>78</v>
      </c>
      <c r="B106" s="1465"/>
      <c r="C106" s="1422"/>
      <c r="D106" s="763" t="s">
        <v>155</v>
      </c>
      <c r="E106" s="624">
        <f>'[3]9'!F106</f>
        <v>18653</v>
      </c>
      <c r="F106" s="796">
        <v>18666</v>
      </c>
      <c r="G106" s="672">
        <f t="shared" si="11"/>
        <v>13</v>
      </c>
      <c r="H106" s="673">
        <f>SUM(G106+'[3]9'!G78)</f>
        <v>386</v>
      </c>
      <c r="I106" s="672"/>
      <c r="J106" s="699">
        <f>H106/DAY(B2)</f>
        <v>38.6</v>
      </c>
      <c r="N106" s="869"/>
    </row>
    <row r="107" spans="1:14" s="544" customFormat="1" ht="27.75">
      <c r="A107" s="1423" t="s">
        <v>213</v>
      </c>
      <c r="B107" s="1424"/>
      <c r="C107" s="1376"/>
      <c r="D107" s="763"/>
      <c r="E107" s="624"/>
      <c r="F107" s="796"/>
      <c r="G107" s="672">
        <f>SUM(G104:G106)</f>
        <v>39</v>
      </c>
      <c r="H107" s="673">
        <f>SUM(G107+'[3]9'!G79)</f>
        <v>188</v>
      </c>
      <c r="I107" s="672"/>
      <c r="J107" s="699">
        <f>H107/DAY(B2)</f>
        <v>18.8</v>
      </c>
      <c r="N107" s="869"/>
    </row>
    <row r="108" spans="1:14" s="544" customFormat="1" ht="27.75">
      <c r="A108" s="1427" t="s">
        <v>79</v>
      </c>
      <c r="B108" s="1428"/>
      <c r="C108" s="1376"/>
      <c r="D108" s="763" t="s">
        <v>155</v>
      </c>
      <c r="E108" s="624"/>
      <c r="F108" s="796"/>
      <c r="G108" s="672"/>
      <c r="H108" s="673"/>
      <c r="I108" s="672"/>
      <c r="J108" s="699"/>
      <c r="N108" s="869"/>
    </row>
    <row r="109" spans="1:14" s="544" customFormat="1" ht="27.75">
      <c r="A109" s="1421" t="s">
        <v>231</v>
      </c>
      <c r="B109" s="1422"/>
      <c r="C109" s="1376"/>
      <c r="D109" s="763" t="s">
        <v>155</v>
      </c>
      <c r="E109" s="624">
        <f>'[3]9'!F109</f>
        <v>50171</v>
      </c>
      <c r="F109" s="796">
        <v>50270</v>
      </c>
      <c r="G109" s="672">
        <f>F109-E109</f>
        <v>99</v>
      </c>
      <c r="H109" s="673">
        <f>SUM(G109+'[3]9'!G81)</f>
        <v>191.80000000004657</v>
      </c>
      <c r="I109" s="672"/>
      <c r="J109" s="699">
        <f>H109/DAY(B2)</f>
        <v>19.180000000004657</v>
      </c>
      <c r="N109" s="869"/>
    </row>
    <row r="110" spans="1:14" s="544" customFormat="1" ht="27.75">
      <c r="A110" s="1421" t="s">
        <v>232</v>
      </c>
      <c r="B110" s="1422"/>
      <c r="C110" s="1376"/>
      <c r="D110" s="763" t="s">
        <v>155</v>
      </c>
      <c r="E110" s="624">
        <f>'[3]9'!F110</f>
        <v>24417</v>
      </c>
      <c r="F110" s="796">
        <v>24552</v>
      </c>
      <c r="G110" s="672">
        <f t="shared" ref="G110:G111" si="12">F110-E110</f>
        <v>135</v>
      </c>
      <c r="H110" s="673">
        <f>SUM(G110+'[3]9'!G82)</f>
        <v>139.66999999999825</v>
      </c>
      <c r="I110" s="672"/>
      <c r="J110" s="699">
        <f>H110/DAY(B2)</f>
        <v>13.966999999999825</v>
      </c>
      <c r="N110" s="869"/>
    </row>
    <row r="111" spans="1:14" s="544" customFormat="1" ht="27.75">
      <c r="A111" s="1421" t="s">
        <v>233</v>
      </c>
      <c r="B111" s="1422"/>
      <c r="C111" s="1376"/>
      <c r="D111" s="763" t="s">
        <v>155</v>
      </c>
      <c r="E111" s="624">
        <f>'[3]9'!F111</f>
        <v>3228</v>
      </c>
      <c r="F111" s="796">
        <v>3244</v>
      </c>
      <c r="G111" s="672">
        <f t="shared" si="12"/>
        <v>16</v>
      </c>
      <c r="H111" s="673">
        <f>SUM(G111+'[3]9'!G83)</f>
        <v>352</v>
      </c>
      <c r="I111" s="672"/>
      <c r="J111" s="699">
        <f>H111/DAY(B2)</f>
        <v>35.200000000000003</v>
      </c>
      <c r="N111" s="869"/>
    </row>
    <row r="112" spans="1:14" s="544" customFormat="1" ht="27.75">
      <c r="A112" s="1423" t="s">
        <v>121</v>
      </c>
      <c r="B112" s="1424"/>
      <c r="C112" s="1376"/>
      <c r="D112" s="763"/>
      <c r="E112" s="624"/>
      <c r="F112" s="796"/>
      <c r="G112" s="672">
        <f>SUM(G109:G111)</f>
        <v>250</v>
      </c>
      <c r="H112" s="673">
        <f>SUM(G112+'[3]9'!G84)</f>
        <v>661</v>
      </c>
      <c r="I112" s="672"/>
      <c r="J112" s="699">
        <f>H112/DAY(B2)</f>
        <v>66.099999999999994</v>
      </c>
      <c r="N112" s="869"/>
    </row>
    <row r="113" spans="1:14" s="544" customFormat="1" ht="27.75">
      <c r="A113" s="1427" t="s">
        <v>234</v>
      </c>
      <c r="B113" s="1428"/>
      <c r="C113" s="1376"/>
      <c r="D113" s="763"/>
      <c r="E113" s="624"/>
      <c r="F113" s="796"/>
      <c r="G113" s="672"/>
      <c r="H113" s="673"/>
      <c r="I113" s="672"/>
      <c r="J113" s="699">
        <f>H113/DAY(B2)</f>
        <v>0</v>
      </c>
      <c r="N113" s="869"/>
    </row>
    <row r="114" spans="1:14" s="544" customFormat="1" ht="27.75">
      <c r="A114" s="1421" t="s">
        <v>235</v>
      </c>
      <c r="B114" s="1422"/>
      <c r="C114" s="715"/>
      <c r="D114" s="763" t="s">
        <v>155</v>
      </c>
      <c r="E114" s="624">
        <f>'[3]9'!F114</f>
        <v>8372</v>
      </c>
      <c r="F114" s="796">
        <v>8395</v>
      </c>
      <c r="G114" s="674">
        <f>F114-E114</f>
        <v>23</v>
      </c>
      <c r="H114" s="673">
        <f>SUM(G114+'[3]9'!G91)</f>
        <v>23</v>
      </c>
      <c r="I114" s="672"/>
      <c r="J114" s="699">
        <f>H114/DAY(B2)</f>
        <v>2.2999999999999998</v>
      </c>
      <c r="N114" s="869"/>
    </row>
    <row r="115" spans="1:14" s="544" customFormat="1" ht="27.75">
      <c r="A115" s="1421" t="s">
        <v>236</v>
      </c>
      <c r="B115" s="1422"/>
      <c r="C115" s="715"/>
      <c r="D115" s="763" t="s">
        <v>155</v>
      </c>
      <c r="E115" s="624">
        <f>'[3]9'!F115</f>
        <v>6589</v>
      </c>
      <c r="F115" s="796">
        <v>6623</v>
      </c>
      <c r="G115" s="674">
        <f t="shared" ref="G115:G116" si="13">F115-E115</f>
        <v>34</v>
      </c>
      <c r="H115" s="673">
        <f>SUM(G115+'[3]9'!G92)</f>
        <v>114</v>
      </c>
      <c r="I115" s="672"/>
      <c r="J115" s="699">
        <f>H115/DAY(B2)</f>
        <v>11.4</v>
      </c>
      <c r="N115" s="869"/>
    </row>
    <row r="116" spans="1:14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SUM(G116+'[3]9'!G93)</f>
        <v>143</v>
      </c>
      <c r="I116" s="672"/>
      <c r="J116" s="699">
        <f>H116/DAY(B2)</f>
        <v>14.3</v>
      </c>
      <c r="N116" s="869"/>
    </row>
    <row r="117" spans="1:14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57</v>
      </c>
      <c r="H117" s="673">
        <f>SUM(G117+'[3]9'!G94)</f>
        <v>280</v>
      </c>
      <c r="I117" s="674"/>
      <c r="J117" s="699">
        <f>H117/DAY(B2)</f>
        <v>28</v>
      </c>
      <c r="N117" s="869"/>
    </row>
    <row r="118" spans="1:14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319</v>
      </c>
      <c r="G118" s="676">
        <f>SUM(G19+G92)</f>
        <v>319</v>
      </c>
      <c r="H118" s="673">
        <f>SUM(G118+'[3]9'!G95)</f>
        <v>360</v>
      </c>
      <c r="I118" s="675"/>
      <c r="J118" s="700">
        <f>H118/DAY(B2)</f>
        <v>36</v>
      </c>
      <c r="N118" s="869"/>
    </row>
    <row r="119" spans="1:14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287</v>
      </c>
      <c r="G119" s="676">
        <f>SUM(G95,G96,G97,G99,G100)</f>
        <v>287</v>
      </c>
      <c r="H119" s="673">
        <f>SUM(G119+'[3]9'!G96)</f>
        <v>337</v>
      </c>
      <c r="I119" s="675"/>
      <c r="J119" s="700">
        <f>H119/DAY(B2)</f>
        <v>33.700000000000003</v>
      </c>
      <c r="N119" s="869"/>
    </row>
    <row r="120" spans="1:14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250</v>
      </c>
      <c r="G120" s="674">
        <f>SUM(G112)</f>
        <v>250</v>
      </c>
      <c r="H120" s="673">
        <f>SUM(G120+'[3]9'!G97)</f>
        <v>291</v>
      </c>
      <c r="I120" s="675"/>
      <c r="J120" s="700">
        <f>H120/DAY(B2)</f>
        <v>29.1</v>
      </c>
      <c r="N120" s="869"/>
    </row>
    <row r="121" spans="1:14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869"/>
    </row>
    <row r="122" spans="1:14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869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'[3]9'!F123</f>
        <v>784407.36300000001</v>
      </c>
      <c r="F123" s="618">
        <v>784759</v>
      </c>
      <c r="G123" s="613">
        <f t="shared" ref="G123:G127" si="14">F123-E123</f>
        <v>351.63699999998789</v>
      </c>
      <c r="H123" s="600">
        <f>G123+'[3]9'!H123</f>
        <v>1834.1139999999432</v>
      </c>
      <c r="I123" s="666"/>
      <c r="J123" s="693">
        <f>H123/DAY(B2)</f>
        <v>183.41139999999433</v>
      </c>
      <c r="K123" s="424"/>
      <c r="L123" s="421"/>
      <c r="N123" s="869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'[3]9'!F124</f>
        <v>73581</v>
      </c>
      <c r="F124" s="767">
        <v>73581</v>
      </c>
      <c r="G124" s="613">
        <f t="shared" si="14"/>
        <v>0</v>
      </c>
      <c r="H124" s="600">
        <f>G124+'[3]9'!H124</f>
        <v>0</v>
      </c>
      <c r="I124" s="666"/>
      <c r="J124" s="693">
        <f>H124/DAY(B2)</f>
        <v>0</v>
      </c>
      <c r="K124" s="424"/>
      <c r="L124" s="421"/>
      <c r="N124" s="869"/>
    </row>
    <row r="125" spans="1:14" ht="27.75">
      <c r="A125" s="1429" t="s">
        <v>244</v>
      </c>
      <c r="B125" s="1430"/>
      <c r="C125" s="1431"/>
      <c r="D125" s="663" t="s">
        <v>152</v>
      </c>
      <c r="E125" s="618">
        <f>'[3]9'!F125</f>
        <v>131603.01</v>
      </c>
      <c r="F125" s="618">
        <v>131742</v>
      </c>
      <c r="G125" s="613">
        <f t="shared" si="14"/>
        <v>138.98999999999069</v>
      </c>
      <c r="H125" s="600">
        <f>G125+'[3]9'!H125</f>
        <v>635.77999999999884</v>
      </c>
      <c r="I125" s="666"/>
      <c r="J125" s="693">
        <f>H125/DAY(B2)</f>
        <v>63.577999999999882</v>
      </c>
      <c r="K125" s="424"/>
      <c r="L125" s="421"/>
      <c r="N125" s="869"/>
    </row>
    <row r="126" spans="1:14" ht="27.75">
      <c r="A126" s="750" t="s">
        <v>245</v>
      </c>
      <c r="B126" s="1372"/>
      <c r="C126" s="1372"/>
      <c r="D126" s="663" t="s">
        <v>152</v>
      </c>
      <c r="E126" s="767">
        <f>'[3]9'!F126</f>
        <v>55774.7</v>
      </c>
      <c r="F126" s="767">
        <v>55815</v>
      </c>
      <c r="G126" s="613">
        <f t="shared" si="14"/>
        <v>40.30000000000291</v>
      </c>
      <c r="H126" s="600">
        <f>G126+'[3]9'!H126</f>
        <v>229.19999999999709</v>
      </c>
      <c r="I126" s="666"/>
      <c r="J126" s="693">
        <f>H126/DAY(B2)</f>
        <v>22.91999999999971</v>
      </c>
      <c r="K126" s="424"/>
      <c r="L126" s="421"/>
      <c r="N126" s="869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'[3]9'!F127</f>
        <v>8639</v>
      </c>
      <c r="F127" s="767">
        <v>8639</v>
      </c>
      <c r="G127" s="613">
        <f t="shared" si="14"/>
        <v>0</v>
      </c>
      <c r="H127" s="600">
        <f>G127+'[3]9'!H127</f>
        <v>0</v>
      </c>
      <c r="I127" s="620"/>
      <c r="J127" s="693">
        <f>H127/DAY(B2)</f>
        <v>0</v>
      </c>
      <c r="K127" s="424"/>
      <c r="L127" s="421"/>
      <c r="N127" s="869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811.45199999997567</v>
      </c>
      <c r="H128" s="600"/>
      <c r="I128" s="620"/>
      <c r="J128" s="693"/>
      <c r="K128" s="402"/>
      <c r="L128" s="304"/>
      <c r="N128" s="869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69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'[3]9'!F130</f>
        <v>0</v>
      </c>
      <c r="F130" s="618">
        <v>0</v>
      </c>
      <c r="G130" s="613">
        <f t="shared" ref="G130:G140" si="15">F130-E130</f>
        <v>0</v>
      </c>
      <c r="H130" s="600">
        <f>G130+'[3]9'!H130</f>
        <v>0</v>
      </c>
      <c r="I130" s="620"/>
      <c r="J130" s="693">
        <f>H130/DAY(B2)</f>
        <v>0</v>
      </c>
      <c r="N130" s="869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'[3]9'!F131</f>
        <v>0</v>
      </c>
      <c r="F131" s="618">
        <v>0</v>
      </c>
      <c r="G131" s="613">
        <f t="shared" si="15"/>
        <v>0</v>
      </c>
      <c r="H131" s="600">
        <f>G131+'[3]9'!H131</f>
        <v>0</v>
      </c>
      <c r="I131" s="620"/>
      <c r="J131" s="693">
        <f>H131/DAY(B2)</f>
        <v>0</v>
      </c>
      <c r="N131" s="869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'[3]9'!F132</f>
        <v>38853</v>
      </c>
      <c r="F132" s="767">
        <v>38853</v>
      </c>
      <c r="G132" s="613">
        <f t="shared" si="15"/>
        <v>0</v>
      </c>
      <c r="H132" s="600">
        <f>G132+'[3]9'!H132</f>
        <v>0</v>
      </c>
      <c r="I132" s="620"/>
      <c r="J132" s="693">
        <f>H132/DAY(B2)</f>
        <v>0</v>
      </c>
      <c r="N132" s="869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'[3]9'!F133</f>
        <v>34948</v>
      </c>
      <c r="F133" s="625">
        <v>34948</v>
      </c>
      <c r="G133" s="613">
        <f t="shared" si="15"/>
        <v>0</v>
      </c>
      <c r="H133" s="600">
        <f>G133+'[3]9'!H133</f>
        <v>0</v>
      </c>
      <c r="I133" s="620">
        <f>G130+G131+G132+G133</f>
        <v>0</v>
      </c>
      <c r="J133" s="693">
        <f>H133/DAY(B2)</f>
        <v>0</v>
      </c>
      <c r="N133" s="869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'[3]9'!F134</f>
        <v>39736</v>
      </c>
      <c r="F134" s="767">
        <v>39735</v>
      </c>
      <c r="G134" s="613">
        <f t="shared" si="15"/>
        <v>-1</v>
      </c>
      <c r="H134" s="600">
        <f>G134+'[3]9'!H134</f>
        <v>-1.2699999999967986</v>
      </c>
      <c r="I134" s="620"/>
      <c r="J134" s="693">
        <f>H134/DAY(B2)</f>
        <v>-0.12699999999967987</v>
      </c>
      <c r="N134" s="869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'[3]9'!F135</f>
        <v>31185</v>
      </c>
      <c r="F135" s="767">
        <v>31232.5</v>
      </c>
      <c r="G135" s="613">
        <f t="shared" si="15"/>
        <v>47.5</v>
      </c>
      <c r="H135" s="600">
        <f>G135+'[3]9'!H135</f>
        <v>239.47999999999956</v>
      </c>
      <c r="I135" s="620"/>
      <c r="J135" s="693">
        <f>H135/DAY(B2)</f>
        <v>23.947999999999958</v>
      </c>
      <c r="N135" s="869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'[3]9'!F136</f>
        <v>21613.08</v>
      </c>
      <c r="F136" s="788">
        <v>21627.31</v>
      </c>
      <c r="G136" s="613">
        <f t="shared" si="15"/>
        <v>14.229999999999563</v>
      </c>
      <c r="H136" s="600">
        <f>G136+'[3]9'!H136</f>
        <v>29.280000000002474</v>
      </c>
      <c r="I136" s="620">
        <f>G134+G135+G136</f>
        <v>60.729999999999563</v>
      </c>
      <c r="J136" s="693">
        <f>H136/DAY(B2)</f>
        <v>2.9280000000002473</v>
      </c>
      <c r="N136" s="869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'[3]9'!F137</f>
        <v>24902.25</v>
      </c>
      <c r="F137" s="788">
        <v>24902.25</v>
      </c>
      <c r="G137" s="613">
        <f t="shared" si="15"/>
        <v>0</v>
      </c>
      <c r="H137" s="600">
        <f>G137+'[3]9'!H137</f>
        <v>0</v>
      </c>
      <c r="I137" s="620"/>
      <c r="J137" s="693">
        <f>H137/DAY(B2)</f>
        <v>0</v>
      </c>
      <c r="N137" s="869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'[3]9'!F138</f>
        <v>69917.56</v>
      </c>
      <c r="F138" s="788">
        <v>69919.929999999993</v>
      </c>
      <c r="G138" s="613">
        <f t="shared" si="15"/>
        <v>2.3699999999953434</v>
      </c>
      <c r="H138" s="600">
        <f>G138+'[3]9'!H138</f>
        <v>38.279999999998836</v>
      </c>
      <c r="I138" s="620">
        <f>G137+G138</f>
        <v>2.3699999999953434</v>
      </c>
      <c r="J138" s="693">
        <f>H138/DAY(B2)</f>
        <v>3.8279999999998835</v>
      </c>
      <c r="N138" s="869"/>
    </row>
    <row r="139" spans="1:14" ht="27.75">
      <c r="A139" s="1371" t="s">
        <v>259</v>
      </c>
      <c r="B139" s="1372"/>
      <c r="C139" s="1372"/>
      <c r="D139" s="663" t="s">
        <v>250</v>
      </c>
      <c r="E139" s="838">
        <f>'[3]9'!F139</f>
        <v>816.34</v>
      </c>
      <c r="F139" s="767">
        <v>826.32</v>
      </c>
      <c r="G139" s="613">
        <f t="shared" si="15"/>
        <v>9.9800000000000182</v>
      </c>
      <c r="H139" s="600">
        <f>G139+'[3]9'!H139</f>
        <v>49.8900000000001</v>
      </c>
      <c r="I139" s="683"/>
      <c r="J139" s="693">
        <f>H139/DAY(B2)</f>
        <v>4.9890000000000096</v>
      </c>
      <c r="N139" s="869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'[3]9'!F140</f>
        <v>4156.9799999999996</v>
      </c>
      <c r="F140" s="618">
        <v>4156.9799999999996</v>
      </c>
      <c r="G140" s="613">
        <f t="shared" si="15"/>
        <v>0</v>
      </c>
      <c r="H140" s="600">
        <f>G140+'[3]9'!H140</f>
        <v>2.7099999999991269</v>
      </c>
      <c r="I140" s="683"/>
      <c r="J140" s="693">
        <f>H140/DAY(B2)</f>
        <v>0.2709999999999127</v>
      </c>
      <c r="N140" s="869"/>
    </row>
    <row r="141" spans="1:14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69"/>
    </row>
    <row r="142" spans="1:14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9579.7899999999681</v>
      </c>
      <c r="H142" s="600">
        <f>G142+'[3]9'!H142</f>
        <v>49111.452000000078</v>
      </c>
      <c r="I142" s="620"/>
      <c r="J142" s="693">
        <f>H142/DAY(B2)</f>
        <v>4911.1452000000081</v>
      </c>
      <c r="K142" s="424"/>
      <c r="L142" s="421"/>
      <c r="N142" s="869"/>
    </row>
    <row r="143" spans="1:14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0.258466166630692</v>
      </c>
      <c r="H143" s="600">
        <f>G143+'[3]9'!H143</f>
        <v>2.1943981020715064</v>
      </c>
      <c r="I143" s="685"/>
      <c r="J143" s="693">
        <f>H143/DAY(B2)</f>
        <v>0.21943981020715064</v>
      </c>
      <c r="K143" s="424"/>
      <c r="L143" s="421"/>
      <c r="N143" s="869"/>
    </row>
    <row r="144" spans="1:14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8054.6900000000023</v>
      </c>
      <c r="H144" s="600">
        <f>G144+'[3]9'!H144</f>
        <v>41841.800000000134</v>
      </c>
      <c r="I144" s="620"/>
      <c r="J144" s="693">
        <f>H144/DAY(B2)</f>
        <v>4184.180000000013</v>
      </c>
      <c r="K144" s="424"/>
      <c r="L144" s="421"/>
      <c r="N144" s="869"/>
    </row>
    <row r="145" spans="1:14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0.21731842218864672</v>
      </c>
      <c r="H145" s="600">
        <f>G145+'[3]9'!H145</f>
        <v>2.0352641922070882</v>
      </c>
      <c r="I145" s="685"/>
      <c r="J145" s="693">
        <f>H145/DAY(B2)</f>
        <v>0.20352641922070883</v>
      </c>
      <c r="K145" s="424"/>
      <c r="L145" s="421"/>
      <c r="N145" s="869"/>
    </row>
    <row r="146" spans="1:14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8066.8499999999767</v>
      </c>
      <c r="H146" s="600">
        <f>G146+'[3]9'!H146</f>
        <v>39698.290000000037</v>
      </c>
      <c r="I146" s="686"/>
      <c r="J146" s="693">
        <f>H146/DAY(B2)</f>
        <v>3969.8290000000038</v>
      </c>
      <c r="K146" s="424"/>
      <c r="L146" s="421"/>
      <c r="N146" s="869"/>
    </row>
    <row r="147" spans="1:14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0.21764650334556379</v>
      </c>
      <c r="H147" s="600">
        <f>G147+'[3]9'!H147</f>
        <v>1.9213968254239564</v>
      </c>
      <c r="I147" s="686"/>
      <c r="J147" s="693">
        <f>H147/DAY(B2)</f>
        <v>0.19213968254239563</v>
      </c>
      <c r="N147" s="869"/>
    </row>
    <row r="148" spans="1:14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3624.7299999999814</v>
      </c>
      <c r="H148" s="600">
        <f>G148+'[3]9'!H148</f>
        <v>17576.309999999998</v>
      </c>
      <c r="I148" s="620"/>
      <c r="J148" s="693">
        <f>H148/DAY(B2)</f>
        <v>1757.6309999999999</v>
      </c>
      <c r="K148" s="425"/>
      <c r="N148" s="869"/>
    </row>
    <row r="149" spans="1:14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9.7796514137707249E-2</v>
      </c>
      <c r="H149" s="600">
        <f>G149+'[3]9'!H149</f>
        <v>0.84937618532136361</v>
      </c>
      <c r="I149" s="686"/>
      <c r="J149" s="693">
        <f>H149/DAY(B2)</f>
        <v>8.4937618532136355E-2</v>
      </c>
      <c r="N149" s="869"/>
    </row>
    <row r="150" spans="1:14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3361.1999999999825</v>
      </c>
      <c r="H150" s="600">
        <f>G150+'[3]9'!H150</f>
        <v>16188.479999999981</v>
      </c>
      <c r="I150" s="686"/>
      <c r="J150" s="693">
        <f>H150/DAY(B2)</f>
        <v>1618.8479999999981</v>
      </c>
      <c r="N150" s="869"/>
    </row>
    <row r="151" spans="1:14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9.0686380315130113E-2</v>
      </c>
      <c r="H151" s="600">
        <f>G151+'[3]9'!H151</f>
        <v>0.78004086707978015</v>
      </c>
      <c r="I151" s="620"/>
      <c r="J151" s="693">
        <f>H151/DAY(B2)</f>
        <v>7.800408670797801E-2</v>
      </c>
      <c r="N151" s="869"/>
    </row>
    <row r="152" spans="1:14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2902.289999999979</v>
      </c>
      <c r="H152" s="600">
        <f>G152+'[3]9'!H152</f>
        <v>15017.809999999998</v>
      </c>
      <c r="I152" s="620"/>
      <c r="J152" s="693">
        <f>H152/DAY(B2)</f>
        <v>1501.7809999999997</v>
      </c>
      <c r="N152" s="869"/>
    </row>
    <row r="153" spans="1:14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7.830482408806333E-2</v>
      </c>
      <c r="H153" s="708">
        <f>G153+'[3]9'!H153</f>
        <v>0.73098321440026837</v>
      </c>
      <c r="I153" s="709"/>
      <c r="J153" s="710">
        <f>H153/DAY(B2)</f>
        <v>7.3098321440026842E-2</v>
      </c>
      <c r="N153" s="869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69"/>
    </row>
    <row r="160" spans="1:14">
      <c r="A160" s="956" t="s">
        <v>274</v>
      </c>
      <c r="B160" s="957"/>
      <c r="C160" s="957"/>
      <c r="D160" s="761" t="s">
        <v>198</v>
      </c>
      <c r="E160" s="879">
        <v>22316.169000000002</v>
      </c>
      <c r="F160" s="965">
        <v>22392</v>
      </c>
      <c r="G160" s="613">
        <f t="shared" ref="G160:G171" si="16">F160-E160</f>
        <v>75.830999999998312</v>
      </c>
    </row>
    <row r="161" spans="1:8">
      <c r="A161" s="956" t="s">
        <v>275</v>
      </c>
      <c r="B161" s="957"/>
      <c r="C161" s="957"/>
      <c r="D161" s="761" t="s">
        <v>198</v>
      </c>
      <c r="E161" s="795">
        <v>14493.416999999999</v>
      </c>
      <c r="F161" s="965">
        <v>14577</v>
      </c>
      <c r="G161" s="613">
        <f t="shared" si="16"/>
        <v>83.583000000000538</v>
      </c>
    </row>
    <row r="162" spans="1:8">
      <c r="A162" s="956" t="s">
        <v>276</v>
      </c>
      <c r="B162" s="957"/>
      <c r="C162" s="957"/>
      <c r="D162" s="761" t="s">
        <v>198</v>
      </c>
      <c r="E162" s="795">
        <v>32529.123</v>
      </c>
      <c r="F162" s="965">
        <v>32749</v>
      </c>
      <c r="G162" s="613">
        <f t="shared" si="16"/>
        <v>219.87700000000041</v>
      </c>
      <c r="H162" s="654"/>
    </row>
    <row r="163" spans="1:8">
      <c r="A163" s="956" t="s">
        <v>277</v>
      </c>
      <c r="B163" s="957"/>
      <c r="C163" s="957"/>
      <c r="D163" s="761" t="s">
        <v>198</v>
      </c>
      <c r="E163" s="795">
        <v>3156.4467</v>
      </c>
      <c r="F163" s="965">
        <v>3172</v>
      </c>
      <c r="G163" s="613">
        <f t="shared" si="16"/>
        <v>15.553300000000036</v>
      </c>
    </row>
    <row r="164" spans="1:8">
      <c r="A164" s="958" t="s">
        <v>106</v>
      </c>
      <c r="B164" s="959"/>
      <c r="C164" s="959"/>
      <c r="D164" s="761" t="s">
        <v>198</v>
      </c>
      <c r="E164" s="908">
        <f>E60</f>
        <v>0</v>
      </c>
      <c r="F164" s="654">
        <v>0</v>
      </c>
      <c r="G164" s="613">
        <f t="shared" si="16"/>
        <v>0</v>
      </c>
    </row>
    <row r="165" spans="1:8" ht="34.5" customHeight="1">
      <c r="A165" s="958" t="s">
        <v>199</v>
      </c>
      <c r="B165" s="959"/>
      <c r="C165" s="959"/>
      <c r="D165" s="761" t="s">
        <v>198</v>
      </c>
      <c r="E165" s="908">
        <v>491</v>
      </c>
      <c r="F165" s="654">
        <f t="shared" ref="F165:F171" si="17">F63</f>
        <v>491</v>
      </c>
      <c r="G165" s="613">
        <f t="shared" si="16"/>
        <v>0</v>
      </c>
    </row>
    <row r="166" spans="1:8" ht="31.5" customHeight="1">
      <c r="A166" s="1481" t="s">
        <v>107</v>
      </c>
      <c r="B166" s="1481"/>
      <c r="C166" s="1481"/>
      <c r="D166" s="664" t="s">
        <v>198</v>
      </c>
      <c r="E166" s="654">
        <f t="shared" ref="E166:E171" si="18">E64</f>
        <v>78958.794999999998</v>
      </c>
      <c r="F166" s="654">
        <v>79665</v>
      </c>
      <c r="G166" s="613">
        <f t="shared" si="16"/>
        <v>706.20500000000175</v>
      </c>
    </row>
    <row r="167" spans="1:8" ht="21.75" customHeight="1">
      <c r="A167" s="1481" t="s">
        <v>108</v>
      </c>
      <c r="B167" s="1481"/>
      <c r="C167" s="1481"/>
      <c r="D167" s="664" t="s">
        <v>198</v>
      </c>
      <c r="E167" s="654">
        <f t="shared" si="18"/>
        <v>88304.078999999998</v>
      </c>
      <c r="F167" s="654">
        <f t="shared" si="17"/>
        <v>89102</v>
      </c>
      <c r="G167" s="613">
        <f t="shared" si="16"/>
        <v>797.9210000000021</v>
      </c>
    </row>
    <row r="168" spans="1:8" ht="27.75" customHeight="1">
      <c r="A168" s="1481" t="s">
        <v>109</v>
      </c>
      <c r="B168" s="1481"/>
      <c r="C168" s="1481"/>
      <c r="D168" s="664" t="s">
        <v>198</v>
      </c>
      <c r="E168" s="654">
        <f t="shared" si="18"/>
        <v>81281.934999999998</v>
      </c>
      <c r="F168" s="654">
        <f t="shared" si="17"/>
        <v>82097</v>
      </c>
      <c r="G168" s="613">
        <f t="shared" si="16"/>
        <v>815.06500000000233</v>
      </c>
    </row>
    <row r="169" spans="1:8" ht="21.75" customHeight="1">
      <c r="A169" s="1481" t="s">
        <v>110</v>
      </c>
      <c r="B169" s="1481"/>
      <c r="C169" s="1481"/>
      <c r="D169" s="664" t="s">
        <v>198</v>
      </c>
      <c r="E169" s="654">
        <f t="shared" si="18"/>
        <v>131208.91</v>
      </c>
      <c r="F169" s="654">
        <f t="shared" si="17"/>
        <v>132561</v>
      </c>
      <c r="G169" s="613">
        <f t="shared" si="16"/>
        <v>1352.0899999999965</v>
      </c>
    </row>
    <row r="170" spans="1:8" ht="27.75" customHeight="1">
      <c r="A170" s="1481" t="s">
        <v>111</v>
      </c>
      <c r="B170" s="1481"/>
      <c r="C170" s="1481"/>
      <c r="D170" s="664" t="s">
        <v>198</v>
      </c>
      <c r="E170" s="654">
        <f t="shared" si="18"/>
        <v>35919.747000000003</v>
      </c>
      <c r="F170" s="654">
        <f t="shared" si="17"/>
        <v>36562</v>
      </c>
      <c r="G170" s="613">
        <f t="shared" si="16"/>
        <v>642.25299999999697</v>
      </c>
    </row>
    <row r="171" spans="1:8" ht="27.75">
      <c r="A171" s="1481" t="s">
        <v>112</v>
      </c>
      <c r="B171" s="1481"/>
      <c r="C171" s="1481"/>
      <c r="D171" s="664" t="s">
        <v>198</v>
      </c>
      <c r="E171" s="654">
        <f t="shared" si="18"/>
        <v>31252.830999999998</v>
      </c>
      <c r="F171" s="654">
        <f t="shared" si="17"/>
        <v>31894</v>
      </c>
      <c r="G171" s="613">
        <f t="shared" si="16"/>
        <v>641.16900000000169</v>
      </c>
    </row>
    <row r="172" spans="1:8">
      <c r="G172" s="680">
        <f>SUM(G160:G171)</f>
        <v>5349.5473000000002</v>
      </c>
    </row>
    <row r="176" spans="1:8" ht="18.75" customHeight="1"/>
    <row r="177" spans="1:7" ht="44.25" customHeight="1">
      <c r="A177" s="594" t="s">
        <v>228</v>
      </c>
    </row>
    <row r="178" spans="1:7" ht="21.75" customHeight="1">
      <c r="A178" s="594" t="s">
        <v>229</v>
      </c>
    </row>
    <row r="179" spans="1:7" ht="21.75" customHeight="1">
      <c r="A179" s="594" t="s">
        <v>230</v>
      </c>
      <c r="D179" s="678" t="s">
        <v>155</v>
      </c>
      <c r="E179" s="678">
        <v>7010</v>
      </c>
      <c r="F179" s="800">
        <v>7010</v>
      </c>
      <c r="G179" s="678">
        <f>F179-E179</f>
        <v>0</v>
      </c>
    </row>
    <row r="180" spans="1:7" ht="21.75" customHeight="1">
      <c r="A180" s="594" t="s">
        <v>77</v>
      </c>
      <c r="D180" s="678" t="s">
        <v>155</v>
      </c>
      <c r="E180" s="678">
        <v>34070</v>
      </c>
      <c r="F180" s="800">
        <v>34070</v>
      </c>
      <c r="G180" s="678">
        <f t="shared" ref="G180:G181" si="19">F180-E180</f>
        <v>0</v>
      </c>
    </row>
    <row r="181" spans="1:7" ht="21.75" customHeight="1">
      <c r="A181" s="594" t="s">
        <v>78</v>
      </c>
      <c r="D181" s="678" t="s">
        <v>155</v>
      </c>
      <c r="E181" s="678">
        <v>18160</v>
      </c>
      <c r="F181" s="800">
        <v>18171</v>
      </c>
      <c r="G181" s="678">
        <f t="shared" si="19"/>
        <v>11</v>
      </c>
    </row>
    <row r="182" spans="1:7" ht="21.75" customHeight="1">
      <c r="A182" s="594" t="s">
        <v>213</v>
      </c>
      <c r="G182" s="678">
        <f>SUM(G179:G181)</f>
        <v>11</v>
      </c>
    </row>
    <row r="183" spans="1:7" ht="21.75" customHeight="1">
      <c r="A183" s="594" t="s">
        <v>79</v>
      </c>
      <c r="D183" s="678" t="s">
        <v>155</v>
      </c>
    </row>
    <row r="184" spans="1:7" ht="21.75" customHeight="1">
      <c r="A184" s="594" t="s">
        <v>231</v>
      </c>
      <c r="D184" s="678" t="s">
        <v>155</v>
      </c>
      <c r="E184" s="678">
        <v>42234</v>
      </c>
      <c r="F184" s="800">
        <v>42285</v>
      </c>
      <c r="G184" s="678">
        <f>F184-E184</f>
        <v>51</v>
      </c>
    </row>
    <row r="185" spans="1:7" ht="21.75" customHeight="1">
      <c r="A185" s="594" t="s">
        <v>232</v>
      </c>
      <c r="D185" s="678" t="s">
        <v>155</v>
      </c>
      <c r="E185" s="678">
        <v>20656</v>
      </c>
      <c r="F185" s="800">
        <v>20656</v>
      </c>
      <c r="G185" s="678">
        <f t="shared" ref="G185:G186" si="20">F185-E185</f>
        <v>0</v>
      </c>
    </row>
    <row r="186" spans="1:7" ht="21.75" customHeight="1">
      <c r="A186" s="594" t="s">
        <v>233</v>
      </c>
      <c r="D186" s="678" t="s">
        <v>155</v>
      </c>
      <c r="E186" s="678">
        <v>2801</v>
      </c>
      <c r="F186" s="800">
        <v>2801</v>
      </c>
      <c r="G186" s="678">
        <f t="shared" si="20"/>
        <v>0</v>
      </c>
    </row>
    <row r="187" spans="1:7" ht="21.75" customHeight="1">
      <c r="A187" s="594" t="s">
        <v>121</v>
      </c>
      <c r="G187" s="678">
        <f>SUM(G184:G186)</f>
        <v>51</v>
      </c>
    </row>
    <row r="188" spans="1:7" ht="21.75" customHeight="1">
      <c r="A188" s="594" t="s">
        <v>234</v>
      </c>
    </row>
    <row r="189" spans="1:7" ht="21.75" customHeight="1">
      <c r="A189" s="594" t="s">
        <v>235</v>
      </c>
      <c r="D189" s="678" t="s">
        <v>155</v>
      </c>
      <c r="E189" s="678">
        <v>6979</v>
      </c>
      <c r="F189" s="800">
        <v>6983</v>
      </c>
      <c r="G189" s="678">
        <f>F189-E189</f>
        <v>4</v>
      </c>
    </row>
    <row r="190" spans="1:7" ht="21.75" customHeight="1">
      <c r="A190" s="594" t="s">
        <v>236</v>
      </c>
      <c r="D190" s="678" t="s">
        <v>155</v>
      </c>
      <c r="E190" s="678">
        <v>5846</v>
      </c>
      <c r="F190" s="800">
        <v>5849</v>
      </c>
      <c r="G190" s="678">
        <f t="shared" ref="G190:G191" si="21">F190-E190</f>
        <v>3</v>
      </c>
    </row>
    <row r="191" spans="1:7" ht="21.75" customHeight="1">
      <c r="A191" s="594" t="s">
        <v>237</v>
      </c>
      <c r="D191" s="678" t="s">
        <v>155</v>
      </c>
      <c r="G191" s="678">
        <f t="shared" si="21"/>
        <v>0</v>
      </c>
    </row>
    <row r="192" spans="1:7" ht="21.75" customHeight="1"/>
    <row r="193" spans="1:8" ht="36.75" customHeight="1">
      <c r="A193" s="594" t="s">
        <v>213</v>
      </c>
      <c r="G193" s="678">
        <f>SUM(G189:G191)</f>
        <v>7</v>
      </c>
    </row>
    <row r="194" spans="1:8">
      <c r="A194" s="594" t="s">
        <v>238</v>
      </c>
      <c r="D194" s="678" t="s">
        <v>155</v>
      </c>
      <c r="F194" s="800">
        <f>SUM(G92+G19)</f>
        <v>319</v>
      </c>
      <c r="G194" s="678" t="e">
        <f>F194+'[4]9'!I145</f>
        <v>#REF!</v>
      </c>
      <c r="H194" s="679" t="e">
        <f>G194/DAY(D147)</f>
        <v>#REF!</v>
      </c>
    </row>
    <row r="196" spans="1:8">
      <c r="A196" s="594" t="s">
        <v>239</v>
      </c>
      <c r="D196" s="678" t="s">
        <v>155</v>
      </c>
      <c r="F196" s="800">
        <f>SUM(G95:G97,G189:G191)</f>
        <v>275</v>
      </c>
      <c r="G196" s="678" t="e">
        <f>F196+'[4]9'!I147</f>
        <v>#REF!</v>
      </c>
      <c r="H196" s="679" t="e">
        <f>G196/DAY(D147)</f>
        <v>#REF!</v>
      </c>
    </row>
    <row r="198" spans="1:8">
      <c r="A198" s="594" t="s">
        <v>240</v>
      </c>
      <c r="D198" s="678" t="s">
        <v>155</v>
      </c>
      <c r="F198" s="800">
        <f>H188+H139</f>
        <v>49.8900000000001</v>
      </c>
      <c r="G198" s="678">
        <f>SUM(G98,G184:G186)</f>
        <v>195</v>
      </c>
      <c r="H198" s="679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sqref="A1:XFD1048576"/>
    </sheetView>
  </sheetViews>
  <sheetFormatPr defaultColWidth="22.33203125" defaultRowHeight="29.25"/>
  <cols>
    <col min="1" max="1" width="39.77734375" style="594" customWidth="1"/>
    <col min="2" max="2" width="30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6384" width="22.33203125" style="420"/>
  </cols>
  <sheetData>
    <row r="1" spans="1:16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6" s="292" customFormat="1" ht="27">
      <c r="A2" s="716" t="s">
        <v>320</v>
      </c>
      <c r="B2" s="1195">
        <v>44146</v>
      </c>
      <c r="C2" s="1378" t="s">
        <v>69</v>
      </c>
      <c r="D2" s="752">
        <v>0.22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 t="s">
        <v>129</v>
      </c>
    </row>
    <row r="3" spans="1:16" s="292" customFormat="1" ht="27">
      <c r="A3" s="711"/>
      <c r="B3" s="755"/>
      <c r="C3" s="1378" t="s">
        <v>131</v>
      </c>
      <c r="D3" s="753">
        <v>31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873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872" t="s">
        <v>137</v>
      </c>
    </row>
    <row r="6" spans="1:16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  <c r="P6" s="420" t="s">
        <v>281</v>
      </c>
    </row>
    <row r="7" spans="1:16" ht="30" thickBot="1">
      <c r="A7" s="813" t="s">
        <v>142</v>
      </c>
      <c r="B7" s="814"/>
      <c r="C7" s="814"/>
      <c r="D7" s="779" t="s">
        <v>143</v>
      </c>
      <c r="E7" s="774">
        <f>'[3]10'!F7</f>
        <v>2290659</v>
      </c>
      <c r="F7" s="595">
        <v>2307903</v>
      </c>
      <c r="G7" s="815">
        <f>F7-E7</f>
        <v>17244</v>
      </c>
      <c r="H7" s="816">
        <f>G7+'[3]10'!H7</f>
        <v>202878</v>
      </c>
      <c r="I7" s="817">
        <v>12000</v>
      </c>
      <c r="J7" s="818">
        <f>H7/DAY(B2)</f>
        <v>18443.454545454544</v>
      </c>
      <c r="K7" s="690"/>
      <c r="L7" s="421"/>
      <c r="N7" s="874">
        <v>11918</v>
      </c>
      <c r="P7" s="877">
        <f>G7-N7</f>
        <v>5326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'[3]10'!F8</f>
        <v>2301761</v>
      </c>
      <c r="F8" s="615">
        <v>2319117</v>
      </c>
      <c r="G8" s="826">
        <f t="shared" ref="G8:G12" si="0">F8-E8</f>
        <v>17356</v>
      </c>
      <c r="H8" s="816">
        <f>G8+'[3]10'!H8</f>
        <v>203676</v>
      </c>
      <c r="I8" s="823">
        <v>12000</v>
      </c>
      <c r="J8" s="818">
        <f>H8/DAY(B2)</f>
        <v>18516</v>
      </c>
      <c r="K8" s="690"/>
      <c r="L8" s="479"/>
      <c r="M8" s="542"/>
      <c r="N8" s="874">
        <v>12018</v>
      </c>
      <c r="P8" s="426">
        <f t="shared" ref="P8:P71" si="1">G8-N8</f>
        <v>5338</v>
      </c>
    </row>
    <row r="9" spans="1:16">
      <c r="A9" s="824" t="s">
        <v>145</v>
      </c>
      <c r="B9" s="825"/>
      <c r="C9" s="825"/>
      <c r="D9" s="779" t="s">
        <v>143</v>
      </c>
      <c r="E9" s="774">
        <f>'[3]10'!F9</f>
        <v>2196071</v>
      </c>
      <c r="F9" s="618">
        <v>2201140</v>
      </c>
      <c r="G9" s="839">
        <f t="shared" si="0"/>
        <v>5069</v>
      </c>
      <c r="H9" s="816">
        <f>G9+'[3]10'!H9</f>
        <v>184134.69999999995</v>
      </c>
      <c r="I9" s="827">
        <f>I7-J7</f>
        <v>-6443.4545454545441</v>
      </c>
      <c r="J9" s="818">
        <f>H9/DAY(B2)</f>
        <v>16739.518181818177</v>
      </c>
      <c r="K9" s="527"/>
      <c r="L9" s="421"/>
      <c r="N9" s="874">
        <v>11759.219000000001</v>
      </c>
      <c r="O9" s="420">
        <f>G7/G8</f>
        <v>0.99354690020742109</v>
      </c>
      <c r="P9" s="426">
        <f t="shared" si="1"/>
        <v>-6690.219000000001</v>
      </c>
    </row>
    <row r="10" spans="1:16">
      <c r="A10" s="813" t="s">
        <v>146</v>
      </c>
      <c r="B10" s="814"/>
      <c r="C10" s="814"/>
      <c r="D10" s="779" t="s">
        <v>143</v>
      </c>
      <c r="E10" s="774">
        <v>0</v>
      </c>
      <c r="F10" s="618">
        <v>11572</v>
      </c>
      <c r="G10" s="826">
        <f t="shared" si="0"/>
        <v>11572</v>
      </c>
      <c r="H10" s="816">
        <f>G10+'[3]10'!H10</f>
        <v>11572.210000000021</v>
      </c>
      <c r="I10" s="828"/>
      <c r="J10" s="818">
        <f>H10/DAY(B2)</f>
        <v>1052.0190909090927</v>
      </c>
      <c r="K10" s="527"/>
      <c r="L10" s="421"/>
      <c r="N10" s="874">
        <v>0</v>
      </c>
      <c r="P10" s="426">
        <f t="shared" si="1"/>
        <v>11572</v>
      </c>
    </row>
    <row r="11" spans="1:16">
      <c r="A11" s="813" t="s">
        <v>147</v>
      </c>
      <c r="B11" s="814"/>
      <c r="C11" s="814"/>
      <c r="D11" s="779" t="s">
        <v>143</v>
      </c>
      <c r="E11" s="774">
        <f>'[3]10'!F11</f>
        <v>35390</v>
      </c>
      <c r="F11" s="595">
        <v>35390</v>
      </c>
      <c r="G11" s="826">
        <f t="shared" si="0"/>
        <v>0</v>
      </c>
      <c r="H11" s="816">
        <f>G11+'[3]10'!H11</f>
        <v>0</v>
      </c>
      <c r="I11" s="828"/>
      <c r="J11" s="818">
        <f>H11/DAY(B2)</f>
        <v>0</v>
      </c>
      <c r="K11" s="527"/>
      <c r="L11" s="421"/>
      <c r="N11" s="874">
        <v>0</v>
      </c>
      <c r="P11" s="426">
        <f t="shared" si="1"/>
        <v>0</v>
      </c>
    </row>
    <row r="12" spans="1:16">
      <c r="A12" s="813" t="s">
        <v>148</v>
      </c>
      <c r="B12" s="814"/>
      <c r="C12" s="814"/>
      <c r="D12" s="779" t="s">
        <v>143</v>
      </c>
      <c r="E12" s="774">
        <f>'[3]10'!F12</f>
        <v>37630</v>
      </c>
      <c r="F12" s="618">
        <v>37630</v>
      </c>
      <c r="G12" s="826">
        <f t="shared" si="0"/>
        <v>0</v>
      </c>
      <c r="H12" s="816">
        <f>G12+'[3]10'!H12</f>
        <v>0</v>
      </c>
      <c r="I12" s="828"/>
      <c r="J12" s="818">
        <f>H12/DAY(B2)</f>
        <v>0</v>
      </c>
      <c r="K12" s="527"/>
      <c r="L12" s="421"/>
      <c r="N12" s="874">
        <v>0</v>
      </c>
      <c r="P12" s="426">
        <f t="shared" si="1"/>
        <v>0</v>
      </c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16641</v>
      </c>
      <c r="H13" s="816">
        <f>G13+'[3]9'!H13</f>
        <v>160050.90999999997</v>
      </c>
      <c r="I13" s="832">
        <f>G7-G13</f>
        <v>603</v>
      </c>
      <c r="J13" s="818">
        <f>H13/DAY(B2)</f>
        <v>14550.082727272726</v>
      </c>
      <c r="K13" s="527"/>
      <c r="L13" s="421"/>
      <c r="N13" s="874">
        <v>11759.219000000001</v>
      </c>
      <c r="P13" s="426">
        <f t="shared" si="1"/>
        <v>4881.780999999999</v>
      </c>
    </row>
    <row r="14" spans="1:16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P14" s="426">
        <f t="shared" si="1"/>
        <v>0</v>
      </c>
    </row>
    <row r="15" spans="1:16">
      <c r="A15" s="954" t="s">
        <v>151</v>
      </c>
      <c r="B15" s="955"/>
      <c r="C15" s="955"/>
      <c r="D15" s="664" t="s">
        <v>152</v>
      </c>
      <c r="E15" s="625">
        <f>'[3]10'!F15</f>
        <v>1535428</v>
      </c>
      <c r="F15" s="625">
        <v>1535936</v>
      </c>
      <c r="G15" s="801">
        <f>(F15-E15)</f>
        <v>508</v>
      </c>
      <c r="H15" s="626">
        <f>G15+'[3]10'!H15</f>
        <v>5820.8060000000987</v>
      </c>
      <c r="I15" s="614">
        <v>800</v>
      </c>
      <c r="J15" s="694">
        <f>H15/DAY(B2)</f>
        <v>529.16418181819074</v>
      </c>
      <c r="K15" s="527"/>
      <c r="L15" s="421"/>
      <c r="N15" s="874">
        <v>339.24300000001676</v>
      </c>
      <c r="P15" s="426">
        <f t="shared" si="1"/>
        <v>168.75699999998324</v>
      </c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270.83581818180926</v>
      </c>
      <c r="J16" s="694"/>
      <c r="K16" s="527"/>
      <c r="L16" s="421"/>
      <c r="N16" s="874"/>
      <c r="P16" s="426">
        <f t="shared" si="1"/>
        <v>0</v>
      </c>
    </row>
    <row r="17" spans="1:16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P17" s="426">
        <f t="shared" si="1"/>
        <v>0</v>
      </c>
    </row>
    <row r="18" spans="1:16" ht="27.75">
      <c r="A18" s="1478" t="s">
        <v>154</v>
      </c>
      <c r="B18" s="1479"/>
      <c r="C18" s="1480"/>
      <c r="D18" s="779" t="s">
        <v>155</v>
      </c>
      <c r="E18" s="776">
        <f>'[3]10'!F18</f>
        <v>16</v>
      </c>
      <c r="F18" s="618">
        <v>18</v>
      </c>
      <c r="G18" s="831">
        <f>F18*10</f>
        <v>180</v>
      </c>
      <c r="H18" s="816">
        <f>G18+'[3]10'!H18</f>
        <v>1200</v>
      </c>
      <c r="I18" s="817">
        <v>65</v>
      </c>
      <c r="J18" s="818">
        <f>H18/DAY(B2)</f>
        <v>109.09090909090909</v>
      </c>
      <c r="K18" s="527"/>
      <c r="L18" s="421"/>
      <c r="N18" s="874">
        <v>20</v>
      </c>
      <c r="P18" s="426">
        <f t="shared" si="1"/>
        <v>160</v>
      </c>
    </row>
    <row r="19" spans="1:16" ht="27.75">
      <c r="A19" s="1478" t="s">
        <v>71</v>
      </c>
      <c r="B19" s="1479"/>
      <c r="C19" s="1480"/>
      <c r="D19" s="779" t="s">
        <v>155</v>
      </c>
      <c r="E19" s="776">
        <f>'[3]10'!F19</f>
        <v>128710</v>
      </c>
      <c r="F19" s="618">
        <v>128766</v>
      </c>
      <c r="G19" s="826">
        <f t="shared" ref="G19" si="2">F19-E19</f>
        <v>56</v>
      </c>
      <c r="H19" s="816">
        <f>G19+'[3]10'!H19</f>
        <v>571</v>
      </c>
      <c r="I19" s="833"/>
      <c r="J19" s="818">
        <f>H19/DAY(B2)</f>
        <v>51.909090909090907</v>
      </c>
      <c r="K19" s="527"/>
      <c r="L19" s="421"/>
      <c r="N19" s="874">
        <v>55</v>
      </c>
      <c r="P19" s="426">
        <f t="shared" si="1"/>
        <v>1</v>
      </c>
    </row>
    <row r="20" spans="1:16">
      <c r="A20" s="829" t="s">
        <v>156</v>
      </c>
      <c r="B20" s="830"/>
      <c r="C20" s="830"/>
      <c r="D20" s="779"/>
      <c r="E20" s="779"/>
      <c r="F20" s="664"/>
      <c r="G20" s="834">
        <f>G18+G19</f>
        <v>236</v>
      </c>
      <c r="H20" s="816">
        <f>G20+'[3]10'!H20</f>
        <v>1771</v>
      </c>
      <c r="I20" s="835">
        <f>I18-J20</f>
        <v>-96</v>
      </c>
      <c r="J20" s="818">
        <f>H20/DAY(B2)</f>
        <v>161</v>
      </c>
      <c r="K20" s="527"/>
      <c r="L20" s="421"/>
      <c r="N20" s="874">
        <v>75</v>
      </c>
      <c r="P20" s="426">
        <f t="shared" si="1"/>
        <v>161</v>
      </c>
    </row>
    <row r="21" spans="1:16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P21" s="426">
        <f t="shared" si="1"/>
        <v>0</v>
      </c>
    </row>
    <row r="22" spans="1:16">
      <c r="A22" s="1371" t="s">
        <v>158</v>
      </c>
      <c r="B22" s="730"/>
      <c r="C22" s="730"/>
      <c r="D22" s="663" t="s">
        <v>159</v>
      </c>
      <c r="E22" s="776">
        <f>'[3]10'!F22</f>
        <v>2250</v>
      </c>
      <c r="F22" s="618">
        <v>2250</v>
      </c>
      <c r="G22" s="621">
        <f t="shared" ref="G22" si="3">(F22-E22)</f>
        <v>0</v>
      </c>
      <c r="H22" s="600">
        <f>G22+'[3]10'!H22</f>
        <v>0</v>
      </c>
      <c r="I22" s="620"/>
      <c r="J22" s="693">
        <f>H22/DAY(B2)</f>
        <v>0</v>
      </c>
      <c r="K22" s="527"/>
      <c r="L22" s="421"/>
      <c r="N22" s="874">
        <v>0</v>
      </c>
      <c r="P22" s="426">
        <f t="shared" si="1"/>
        <v>0</v>
      </c>
    </row>
    <row r="23" spans="1:16">
      <c r="A23" s="1371" t="s">
        <v>160</v>
      </c>
      <c r="B23" s="730"/>
      <c r="C23" s="730"/>
      <c r="D23" s="663" t="s">
        <v>159</v>
      </c>
      <c r="E23" s="776">
        <f>'[3]10'!F23</f>
        <v>2000</v>
      </c>
      <c r="F23" s="618">
        <v>2000</v>
      </c>
      <c r="G23" s="621">
        <v>0</v>
      </c>
      <c r="H23" s="600">
        <f>G23+'[3]10'!H23</f>
        <v>0</v>
      </c>
      <c r="I23" s="620"/>
      <c r="J23" s="693">
        <f>H23/DAY(B2)</f>
        <v>0</v>
      </c>
      <c r="K23" s="527"/>
      <c r="L23" s="421"/>
      <c r="N23" s="874">
        <v>0</v>
      </c>
      <c r="P23" s="426">
        <f t="shared" si="1"/>
        <v>0</v>
      </c>
    </row>
    <row r="24" spans="1:16">
      <c r="A24" s="731" t="s">
        <v>161</v>
      </c>
      <c r="B24" s="732"/>
      <c r="C24" s="732"/>
      <c r="D24" s="651" t="s">
        <v>159</v>
      </c>
      <c r="E24" s="633">
        <f>'[3]10'!F24</f>
        <v>4250</v>
      </c>
      <c r="F24" s="625">
        <v>4250</v>
      </c>
      <c r="G24" s="621">
        <v>0</v>
      </c>
      <c r="H24" s="600">
        <f>G24+'[3]10'!H24</f>
        <v>0</v>
      </c>
      <c r="I24" s="620"/>
      <c r="J24" s="693">
        <f>H24/DAY(B2)</f>
        <v>0</v>
      </c>
      <c r="K24" s="527"/>
      <c r="L24" s="421"/>
      <c r="N24" s="874">
        <v>0</v>
      </c>
      <c r="P24" s="426">
        <f t="shared" si="1"/>
        <v>0</v>
      </c>
    </row>
    <row r="25" spans="1:16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P25" s="426">
        <f t="shared" si="1"/>
        <v>0</v>
      </c>
    </row>
    <row r="26" spans="1:16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74"/>
      <c r="P26" s="426">
        <f t="shared" si="1"/>
        <v>0</v>
      </c>
    </row>
    <row r="27" spans="1:16" s="544" customFormat="1" ht="27.75">
      <c r="A27" s="733" t="s">
        <v>6</v>
      </c>
      <c r="B27" s="734"/>
      <c r="C27" s="735"/>
      <c r="D27" s="760" t="s">
        <v>25</v>
      </c>
      <c r="E27" s="836">
        <f>G8</f>
        <v>17356</v>
      </c>
      <c r="F27" s="641">
        <v>9.5</v>
      </c>
      <c r="G27" s="642">
        <f>E27*F27</f>
        <v>164882</v>
      </c>
      <c r="H27" s="600">
        <f>G27+'[3]10'!H27</f>
        <v>1934922</v>
      </c>
      <c r="I27" s="643"/>
      <c r="J27" s="693">
        <f>H27/DAY(B2)</f>
        <v>175902</v>
      </c>
      <c r="K27" s="417"/>
      <c r="L27" s="547"/>
      <c r="N27" s="874">
        <v>120180</v>
      </c>
      <c r="P27" s="426">
        <f t="shared" si="1"/>
        <v>44702</v>
      </c>
    </row>
    <row r="28" spans="1:16" s="544" customFormat="1" ht="27.75">
      <c r="A28" s="733" t="s">
        <v>165</v>
      </c>
      <c r="B28" s="734"/>
      <c r="C28" s="735"/>
      <c r="D28" s="760" t="s">
        <v>166</v>
      </c>
      <c r="E28" s="836">
        <f>G15</f>
        <v>508</v>
      </c>
      <c r="F28" s="641">
        <v>36.5</v>
      </c>
      <c r="G28" s="642">
        <f>E28*F28</f>
        <v>18542</v>
      </c>
      <c r="H28" s="600">
        <f>G28+'[3]10'!H28</f>
        <v>212459.4190000036</v>
      </c>
      <c r="I28" s="645"/>
      <c r="J28" s="693">
        <f>H28/DAY(B2)</f>
        <v>19314.492636363964</v>
      </c>
      <c r="K28" s="417"/>
      <c r="L28" s="547"/>
      <c r="N28" s="874">
        <v>11873.505000000587</v>
      </c>
      <c r="P28" s="426">
        <f t="shared" si="1"/>
        <v>6668.4949999994133</v>
      </c>
    </row>
    <row r="29" spans="1:16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G29+'[3]10'!H29</f>
        <v>0</v>
      </c>
      <c r="I29" s="645"/>
      <c r="J29" s="693">
        <f>H29/DAY(B2)</f>
        <v>0</v>
      </c>
      <c r="K29" s="417"/>
      <c r="L29" s="547"/>
      <c r="N29" s="874">
        <v>0</v>
      </c>
      <c r="P29" s="426">
        <f t="shared" si="1"/>
        <v>0</v>
      </c>
    </row>
    <row r="30" spans="1:16" s="544" customFormat="1" ht="27.75">
      <c r="A30" s="733" t="s">
        <v>169</v>
      </c>
      <c r="B30" s="734"/>
      <c r="C30" s="735"/>
      <c r="D30" s="760" t="s">
        <v>170</v>
      </c>
      <c r="E30" s="836">
        <f>G19</f>
        <v>56</v>
      </c>
      <c r="F30" s="641">
        <v>145</v>
      </c>
      <c r="G30" s="642">
        <f>E30*F30</f>
        <v>8120</v>
      </c>
      <c r="H30" s="600">
        <f>G30+'[3]10'!H30</f>
        <v>82795</v>
      </c>
      <c r="I30" s="645"/>
      <c r="J30" s="693">
        <f>H30/DAY(B2)</f>
        <v>7526.818181818182</v>
      </c>
      <c r="K30" s="417"/>
      <c r="L30" s="547"/>
      <c r="N30" s="874">
        <v>7370</v>
      </c>
      <c r="P30" s="426">
        <f t="shared" si="1"/>
        <v>750</v>
      </c>
    </row>
    <row r="31" spans="1:16" s="544" customFormat="1" ht="27.75">
      <c r="A31" s="733" t="s">
        <v>171</v>
      </c>
      <c r="B31" s="734"/>
      <c r="C31" s="735"/>
      <c r="D31" s="760" t="s">
        <v>155</v>
      </c>
      <c r="E31" s="836">
        <f>G18</f>
        <v>180</v>
      </c>
      <c r="F31" s="641">
        <v>80</v>
      </c>
      <c r="G31" s="642">
        <f>E31*F31</f>
        <v>14400</v>
      </c>
      <c r="H31" s="600">
        <f>G31+'[3]10'!H31</f>
        <v>96000</v>
      </c>
      <c r="I31" s="645"/>
      <c r="J31" s="693">
        <f>H31/DAY(B2)</f>
        <v>8727.2727272727279</v>
      </c>
      <c r="K31" s="417"/>
      <c r="L31" s="547"/>
      <c r="N31" s="874">
        <v>1600</v>
      </c>
      <c r="O31" s="544">
        <f>76*134</f>
        <v>10184</v>
      </c>
      <c r="P31" s="426">
        <f>G31-N31</f>
        <v>12800</v>
      </c>
    </row>
    <row r="32" spans="1:16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205944</v>
      </c>
      <c r="H32" s="600">
        <f>G32+'[3]10'!H32</f>
        <v>2326176.4190000035</v>
      </c>
      <c r="I32" s="649"/>
      <c r="J32" s="693">
        <f>H32/DAY(B2)</f>
        <v>211470.58354545487</v>
      </c>
      <c r="K32" s="417"/>
      <c r="L32" s="547"/>
      <c r="N32" s="874">
        <v>141023.50500000059</v>
      </c>
      <c r="P32" s="426">
        <f>G32-N32</f>
        <v>64920.494999999413</v>
      </c>
    </row>
    <row r="33" spans="1:16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874"/>
      <c r="P33" s="426">
        <f t="shared" si="1"/>
        <v>0</v>
      </c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P34" s="426">
        <f t="shared" si="1"/>
        <v>0</v>
      </c>
    </row>
    <row r="35" spans="1:16">
      <c r="A35" s="719" t="s">
        <v>175</v>
      </c>
      <c r="B35" s="720"/>
      <c r="C35" s="720"/>
      <c r="D35" s="663" t="s">
        <v>143</v>
      </c>
      <c r="E35" s="650">
        <f>'[3]10'!F35</f>
        <v>628718</v>
      </c>
      <c r="F35" s="650">
        <v>629201</v>
      </c>
      <c r="G35" s="613">
        <f t="shared" ref="G35:G46" si="4">F35-E35</f>
        <v>483</v>
      </c>
      <c r="H35" s="600">
        <f>G35+'[3]10'!H35</f>
        <v>25857.530000000028</v>
      </c>
      <c r="I35" s="595"/>
      <c r="J35" s="693">
        <f>H35/DAY(B2)</f>
        <v>2350.6845454545478</v>
      </c>
      <c r="K35" s="527"/>
      <c r="L35" s="421"/>
      <c r="N35" s="874">
        <v>1428.320000000007</v>
      </c>
      <c r="P35" s="426">
        <f t="shared" si="1"/>
        <v>-945.32000000000698</v>
      </c>
    </row>
    <row r="36" spans="1:16">
      <c r="A36" s="719" t="s">
        <v>176</v>
      </c>
      <c r="B36" s="720"/>
      <c r="C36" s="720"/>
      <c r="D36" s="663" t="s">
        <v>143</v>
      </c>
      <c r="E36" s="650">
        <f>'[3]10'!F36</f>
        <v>217419</v>
      </c>
      <c r="F36" s="650">
        <v>217975</v>
      </c>
      <c r="G36" s="613">
        <f t="shared" si="4"/>
        <v>556</v>
      </c>
      <c r="H36" s="600">
        <f>G36+'[3]10'!H36</f>
        <v>6615.0499999999884</v>
      </c>
      <c r="I36" s="595"/>
      <c r="J36" s="693">
        <f>H36/DAY(B2)</f>
        <v>601.3681818181808</v>
      </c>
      <c r="K36" s="527"/>
      <c r="L36" s="421"/>
      <c r="N36" s="875">
        <v>535.05999999999767</v>
      </c>
      <c r="P36" s="426">
        <f t="shared" si="1"/>
        <v>20.940000000002328</v>
      </c>
    </row>
    <row r="37" spans="1:16">
      <c r="A37" s="719" t="s">
        <v>177</v>
      </c>
      <c r="B37" s="720"/>
      <c r="C37" s="720"/>
      <c r="D37" s="663" t="s">
        <v>143</v>
      </c>
      <c r="E37" s="650">
        <f>'[3]10'!F37</f>
        <v>414862</v>
      </c>
      <c r="F37" s="650">
        <v>415066</v>
      </c>
      <c r="G37" s="613">
        <f t="shared" si="4"/>
        <v>204</v>
      </c>
      <c r="H37" s="600">
        <f>G37+'[3]10'!H37</f>
        <v>15221.809999999998</v>
      </c>
      <c r="I37" s="595"/>
      <c r="J37" s="693">
        <f>H37/DAY(B2)</f>
        <v>1383.8009090909088</v>
      </c>
      <c r="K37" s="527"/>
      <c r="L37" s="421"/>
      <c r="N37" s="875">
        <v>1155.7000000000116</v>
      </c>
      <c r="P37" s="426">
        <f t="shared" si="1"/>
        <v>-951.70000000001164</v>
      </c>
    </row>
    <row r="38" spans="1:16">
      <c r="A38" s="719" t="s">
        <v>178</v>
      </c>
      <c r="B38" s="720"/>
      <c r="C38" s="720"/>
      <c r="D38" s="663" t="s">
        <v>143</v>
      </c>
      <c r="E38" s="650">
        <f>'[3]10'!F38</f>
        <v>150714</v>
      </c>
      <c r="F38" s="609">
        <v>150714</v>
      </c>
      <c r="G38" s="613">
        <f t="shared" si="4"/>
        <v>0</v>
      </c>
      <c r="H38" s="600">
        <f>G38+'[3]10'!H38</f>
        <v>0</v>
      </c>
      <c r="I38" s="595"/>
      <c r="J38" s="693">
        <f>H38/DAY(B2)</f>
        <v>0</v>
      </c>
      <c r="K38" s="527"/>
      <c r="L38" s="421"/>
      <c r="N38" s="874">
        <v>0.39000000001396984</v>
      </c>
      <c r="P38" s="426">
        <f t="shared" si="1"/>
        <v>-0.39000000001396984</v>
      </c>
    </row>
    <row r="39" spans="1:16">
      <c r="A39" s="719" t="s">
        <v>179</v>
      </c>
      <c r="B39" s="720"/>
      <c r="C39" s="720"/>
      <c r="D39" s="663" t="s">
        <v>143</v>
      </c>
      <c r="E39" s="650">
        <f>'[3]10'!F39</f>
        <v>911823</v>
      </c>
      <c r="F39" s="650">
        <v>912480</v>
      </c>
      <c r="G39" s="613">
        <f t="shared" si="4"/>
        <v>657</v>
      </c>
      <c r="H39" s="600">
        <f>G39+'[3]10'!H39</f>
        <v>40355.290000000037</v>
      </c>
      <c r="I39" s="595"/>
      <c r="J39" s="693">
        <f>H39/DAY(B2)</f>
        <v>3668.6627272727305</v>
      </c>
      <c r="K39" s="527"/>
      <c r="L39" s="421"/>
      <c r="N39" s="874">
        <v>2080</v>
      </c>
      <c r="P39" s="426">
        <f t="shared" si="1"/>
        <v>-1423</v>
      </c>
    </row>
    <row r="40" spans="1:16">
      <c r="A40" s="740" t="s">
        <v>180</v>
      </c>
      <c r="B40" s="741"/>
      <c r="C40" s="741"/>
      <c r="D40" s="663" t="s">
        <v>143</v>
      </c>
      <c r="E40" s="650">
        <f>'[3]10'!F40</f>
        <v>0.17</v>
      </c>
      <c r="F40" s="650">
        <v>0.17</v>
      </c>
      <c r="G40" s="613">
        <f t="shared" si="4"/>
        <v>0</v>
      </c>
      <c r="H40" s="600">
        <f>G40+'[3]10'!H40</f>
        <v>0</v>
      </c>
      <c r="I40" s="595"/>
      <c r="J40" s="693">
        <f>H40/DAY(B2)</f>
        <v>0</v>
      </c>
      <c r="K40" s="528"/>
      <c r="L40" s="421"/>
      <c r="N40" s="874">
        <v>0</v>
      </c>
      <c r="P40" s="426">
        <f t="shared" si="1"/>
        <v>0</v>
      </c>
    </row>
    <row r="41" spans="1:16">
      <c r="A41" s="719" t="s">
        <v>181</v>
      </c>
      <c r="B41" s="720"/>
      <c r="C41" s="720"/>
      <c r="D41" s="663" t="s">
        <v>143</v>
      </c>
      <c r="E41" s="650">
        <f>'[3]10'!F41</f>
        <v>300127.90000000002</v>
      </c>
      <c r="F41" s="650">
        <v>300127.90000000002</v>
      </c>
      <c r="G41" s="613">
        <f t="shared" si="4"/>
        <v>0</v>
      </c>
      <c r="H41" s="600">
        <f>G41+'[3]10'!H41</f>
        <v>-6.9999999948777258E-2</v>
      </c>
      <c r="I41" s="595"/>
      <c r="J41" s="693">
        <f>H41/DAY(B2)</f>
        <v>-6.3636363589797511E-3</v>
      </c>
      <c r="K41" s="527"/>
      <c r="L41" s="421"/>
      <c r="N41" s="874">
        <v>3297.5400000000081</v>
      </c>
      <c r="P41" s="877">
        <f t="shared" si="1"/>
        <v>-3297.5400000000081</v>
      </c>
    </row>
    <row r="42" spans="1:16">
      <c r="A42" s="719" t="s">
        <v>182</v>
      </c>
      <c r="B42" s="720"/>
      <c r="C42" s="720"/>
      <c r="D42" s="663" t="s">
        <v>143</v>
      </c>
      <c r="E42" s="650">
        <f>'[3]10'!F42</f>
        <v>396197.4</v>
      </c>
      <c r="F42" s="650">
        <v>396197.47</v>
      </c>
      <c r="G42" s="613">
        <f t="shared" si="4"/>
        <v>6.9999999948777258E-2</v>
      </c>
      <c r="H42" s="600">
        <f>G42+'[3]10'!H42</f>
        <v>0</v>
      </c>
      <c r="I42" s="595"/>
      <c r="J42" s="693">
        <f>H42/DAY(B2)</f>
        <v>0</v>
      </c>
      <c r="K42" s="527"/>
      <c r="L42" s="421"/>
      <c r="N42" s="874">
        <v>0</v>
      </c>
      <c r="P42" s="426">
        <f t="shared" si="1"/>
        <v>6.9999999948777258E-2</v>
      </c>
    </row>
    <row r="43" spans="1:16">
      <c r="A43" s="719" t="s">
        <v>183</v>
      </c>
      <c r="B43" s="720"/>
      <c r="C43" s="720"/>
      <c r="D43" s="663" t="s">
        <v>143</v>
      </c>
      <c r="E43" s="650">
        <f>'[3]10'!F43</f>
        <v>582061</v>
      </c>
      <c r="F43" s="650">
        <v>584411</v>
      </c>
      <c r="G43" s="613">
        <f>F43-E43</f>
        <v>2350</v>
      </c>
      <c r="H43" s="600">
        <f>G43+'[3]10'!H43</f>
        <v>26086.930000000051</v>
      </c>
      <c r="I43" s="595"/>
      <c r="J43" s="693">
        <f>H43/DAY(B2)</f>
        <v>2371.5390909090956</v>
      </c>
      <c r="K43" s="527"/>
      <c r="L43" s="421"/>
      <c r="N43" s="874">
        <v>1592.9000000000233</v>
      </c>
      <c r="P43" s="426">
        <f t="shared" si="1"/>
        <v>757.09999999997672</v>
      </c>
    </row>
    <row r="44" spans="1:16">
      <c r="A44" s="719" t="s">
        <v>184</v>
      </c>
      <c r="B44" s="720"/>
      <c r="C44" s="720"/>
      <c r="D44" s="663" t="s">
        <v>143</v>
      </c>
      <c r="E44" s="650">
        <f>'[3]10'!F44</f>
        <v>0</v>
      </c>
      <c r="F44" s="650">
        <v>0</v>
      </c>
      <c r="G44" s="613">
        <f t="shared" si="4"/>
        <v>0</v>
      </c>
      <c r="H44" s="600">
        <f>G44+'[3]10'!H44</f>
        <v>0</v>
      </c>
      <c r="I44" s="595"/>
      <c r="J44" s="693">
        <f>H44/DAY(B2)</f>
        <v>0</v>
      </c>
      <c r="K44" s="527"/>
      <c r="L44" s="421"/>
      <c r="N44" s="874">
        <v>0</v>
      </c>
      <c r="P44" s="426">
        <f t="shared" si="1"/>
        <v>0</v>
      </c>
    </row>
    <row r="45" spans="1:16">
      <c r="A45" s="719" t="s">
        <v>185</v>
      </c>
      <c r="B45" s="720"/>
      <c r="C45" s="720"/>
      <c r="D45" s="663" t="s">
        <v>143</v>
      </c>
      <c r="E45" s="650">
        <f>'[3]10'!F45</f>
        <v>614</v>
      </c>
      <c r="F45" s="650">
        <v>614</v>
      </c>
      <c r="G45" s="613">
        <f t="shared" si="4"/>
        <v>0</v>
      </c>
      <c r="H45" s="600">
        <f>G45+'[3]10'!H45</f>
        <v>-0.48000000000001819</v>
      </c>
      <c r="I45" s="595"/>
      <c r="J45" s="693">
        <f>H45/DAY(B2)</f>
        <v>-4.3636363636365291E-2</v>
      </c>
      <c r="K45" s="527"/>
      <c r="L45" s="421"/>
      <c r="N45" s="874">
        <v>0</v>
      </c>
      <c r="P45" s="426">
        <f t="shared" si="1"/>
        <v>0</v>
      </c>
    </row>
    <row r="46" spans="1:16">
      <c r="A46" s="719" t="s">
        <v>186</v>
      </c>
      <c r="B46" s="720"/>
      <c r="C46" s="720"/>
      <c r="D46" s="663" t="s">
        <v>143</v>
      </c>
      <c r="E46" s="650">
        <f>'[3]10'!F46</f>
        <v>187</v>
      </c>
      <c r="F46" s="650">
        <v>187.49</v>
      </c>
      <c r="G46" s="613">
        <f t="shared" si="4"/>
        <v>0.49000000000000909</v>
      </c>
      <c r="H46" s="600">
        <f>G46+'[3]10'!H46</f>
        <v>0</v>
      </c>
      <c r="I46" s="595"/>
      <c r="J46" s="693">
        <f>H46/DAY(B2)</f>
        <v>0</v>
      </c>
      <c r="K46" s="527"/>
      <c r="L46" s="421"/>
      <c r="N46" s="874">
        <v>0</v>
      </c>
      <c r="P46" s="426">
        <f t="shared" si="1"/>
        <v>0.49000000000000909</v>
      </c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4250.5599999999486</v>
      </c>
      <c r="H47" s="600">
        <f>G47+'[3]10'!H47</f>
        <v>114136.06000000016</v>
      </c>
      <c r="I47" s="595"/>
      <c r="J47" s="693">
        <f>H47/DAY(B2)</f>
        <v>10376.00545454547</v>
      </c>
      <c r="K47" s="527"/>
      <c r="L47" s="421"/>
      <c r="N47" s="874">
        <v>10089.910000000062</v>
      </c>
      <c r="P47" s="426">
        <f>G47-N47</f>
        <v>-5839.3500000001131</v>
      </c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P48" s="426">
        <f t="shared" si="1"/>
        <v>0</v>
      </c>
    </row>
    <row r="49" spans="1:16">
      <c r="A49" s="719" t="s">
        <v>175</v>
      </c>
      <c r="B49" s="742"/>
      <c r="C49" s="742"/>
      <c r="D49" s="663" t="s">
        <v>143</v>
      </c>
      <c r="E49" s="650">
        <f>'[3]10'!F49</f>
        <v>11728.83</v>
      </c>
      <c r="F49" s="650">
        <v>13753</v>
      </c>
      <c r="G49" s="613">
        <f t="shared" ref="G49:G58" si="5">F49-E49</f>
        <v>2024.17</v>
      </c>
      <c r="H49" s="600">
        <f>G49+'[3]9'!H49</f>
        <v>2023.7119999999995</v>
      </c>
      <c r="I49" s="595"/>
      <c r="J49" s="693">
        <f>H49/DAY(B2)</f>
        <v>183.97381818181813</v>
      </c>
      <c r="K49" s="527"/>
      <c r="L49" s="421"/>
      <c r="N49" s="874">
        <v>0</v>
      </c>
      <c r="P49" s="426">
        <f t="shared" si="1"/>
        <v>2024.17</v>
      </c>
    </row>
    <row r="50" spans="1:16">
      <c r="A50" s="719" t="s">
        <v>189</v>
      </c>
      <c r="B50" s="742"/>
      <c r="C50" s="742"/>
      <c r="D50" s="663" t="s">
        <v>143</v>
      </c>
      <c r="E50" s="650">
        <f>'[3]10'!F50</f>
        <v>273936</v>
      </c>
      <c r="F50" s="650">
        <v>275008</v>
      </c>
      <c r="G50" s="613">
        <f t="shared" si="5"/>
        <v>1072</v>
      </c>
      <c r="H50" s="600">
        <f>G50+'[3]9'!H50</f>
        <v>8949.0599999999977</v>
      </c>
      <c r="I50" s="595"/>
      <c r="J50" s="693">
        <f>H50/DAY(B2)</f>
        <v>813.55090909090893</v>
      </c>
      <c r="K50" s="527"/>
      <c r="L50" s="421"/>
      <c r="N50" s="874">
        <v>559.97000000000116</v>
      </c>
      <c r="P50" s="426">
        <f t="shared" si="1"/>
        <v>512.02999999999884</v>
      </c>
    </row>
    <row r="51" spans="1:16">
      <c r="A51" s="719" t="s">
        <v>177</v>
      </c>
      <c r="B51" s="742"/>
      <c r="C51" s="742"/>
      <c r="D51" s="663" t="s">
        <v>143</v>
      </c>
      <c r="E51" s="650">
        <f>'[3]10'!F51</f>
        <v>0</v>
      </c>
      <c r="F51" s="650">
        <v>0</v>
      </c>
      <c r="G51" s="613">
        <f t="shared" si="5"/>
        <v>0</v>
      </c>
      <c r="H51" s="600">
        <f>G51+'[3]9'!H51</f>
        <v>0</v>
      </c>
      <c r="I51" s="595"/>
      <c r="J51" s="693">
        <f>H51/DAY(B2)</f>
        <v>0</v>
      </c>
      <c r="K51" s="527"/>
      <c r="L51" s="421"/>
      <c r="N51" s="874">
        <v>0</v>
      </c>
      <c r="P51" s="426">
        <f t="shared" si="1"/>
        <v>0</v>
      </c>
    </row>
    <row r="52" spans="1:16">
      <c r="A52" s="719" t="s">
        <v>190</v>
      </c>
      <c r="B52" s="742"/>
      <c r="C52" s="742"/>
      <c r="D52" s="663" t="s">
        <v>143</v>
      </c>
      <c r="E52" s="650">
        <f>'[3]10'!F52</f>
        <v>336241</v>
      </c>
      <c r="F52" s="650">
        <v>337954</v>
      </c>
      <c r="G52" s="613">
        <f t="shared" si="5"/>
        <v>1713</v>
      </c>
      <c r="H52" s="600">
        <f>G52+'[3]9'!H52</f>
        <v>15664.580000000016</v>
      </c>
      <c r="I52" s="595"/>
      <c r="J52" s="693">
        <f>H52/DAY(B2)</f>
        <v>1424.0527272727288</v>
      </c>
      <c r="K52" s="527"/>
      <c r="L52" s="421"/>
      <c r="N52" s="874">
        <v>1007.1900000000023</v>
      </c>
      <c r="P52" s="426">
        <f t="shared" si="1"/>
        <v>705.80999999999767</v>
      </c>
    </row>
    <row r="53" spans="1:16">
      <c r="A53" s="719" t="s">
        <v>179</v>
      </c>
      <c r="B53" s="742"/>
      <c r="C53" s="742"/>
      <c r="D53" s="663" t="s">
        <v>143</v>
      </c>
      <c r="E53" s="650">
        <v>0</v>
      </c>
      <c r="F53" s="650">
        <v>4110</v>
      </c>
      <c r="G53" s="613">
        <f t="shared" si="5"/>
        <v>4110</v>
      </c>
      <c r="H53" s="600">
        <f>G53+'[3]9'!H53</f>
        <v>4110</v>
      </c>
      <c r="I53" s="595"/>
      <c r="J53" s="693">
        <f>H53/DAY(B2)</f>
        <v>373.63636363636363</v>
      </c>
      <c r="K53" s="527"/>
      <c r="L53" s="421"/>
      <c r="N53" s="874">
        <v>85.61410000000069</v>
      </c>
      <c r="P53" s="426">
        <f t="shared" si="1"/>
        <v>4024.3858999999993</v>
      </c>
    </row>
    <row r="54" spans="1:16">
      <c r="A54" s="719" t="s">
        <v>191</v>
      </c>
      <c r="B54" s="742"/>
      <c r="C54" s="742"/>
      <c r="D54" s="663" t="s">
        <v>143</v>
      </c>
      <c r="E54" s="650">
        <f>'[3]10'!F54</f>
        <v>2139</v>
      </c>
      <c r="F54" s="650">
        <v>2204</v>
      </c>
      <c r="G54" s="613">
        <f t="shared" si="5"/>
        <v>65</v>
      </c>
      <c r="H54" s="600">
        <f>G54+'[3]9'!H54</f>
        <v>651.4393</v>
      </c>
      <c r="I54" s="595"/>
      <c r="J54" s="693">
        <f>H54/DAY(B2)</f>
        <v>59.221754545454544</v>
      </c>
      <c r="K54" s="527"/>
      <c r="L54" s="421"/>
      <c r="N54" s="874">
        <v>0</v>
      </c>
      <c r="P54" s="426">
        <f t="shared" si="1"/>
        <v>65</v>
      </c>
    </row>
    <row r="55" spans="1:16">
      <c r="A55" s="719" t="s">
        <v>192</v>
      </c>
      <c r="B55" s="742"/>
      <c r="C55" s="742"/>
      <c r="D55" s="663" t="s">
        <v>143</v>
      </c>
      <c r="E55" s="650">
        <f>'[3]10'!F55</f>
        <v>158492.73000000001</v>
      </c>
      <c r="F55" s="790">
        <v>158493</v>
      </c>
      <c r="G55" s="789">
        <f t="shared" si="5"/>
        <v>0.26999999998952262</v>
      </c>
      <c r="H55" s="861">
        <f>G55+'[3]9'!H55</f>
        <v>0</v>
      </c>
      <c r="I55" s="862"/>
      <c r="J55" s="863">
        <f>H55/DAY(B2)</f>
        <v>0</v>
      </c>
      <c r="K55" s="527"/>
      <c r="L55" s="421"/>
      <c r="N55" s="874">
        <v>29.730000000010477</v>
      </c>
      <c r="P55" s="426">
        <f t="shared" si="1"/>
        <v>-29.460000000020955</v>
      </c>
    </row>
    <row r="56" spans="1:16">
      <c r="A56" s="719" t="s">
        <v>193</v>
      </c>
      <c r="B56" s="742"/>
      <c r="C56" s="742"/>
      <c r="D56" s="663" t="s">
        <v>194</v>
      </c>
      <c r="E56" s="650">
        <f>'[3]10'!F56</f>
        <v>345832</v>
      </c>
      <c r="F56" s="790">
        <v>349193</v>
      </c>
      <c r="G56" s="613">
        <f t="shared" si="5"/>
        <v>3361</v>
      </c>
      <c r="H56" s="600">
        <f>G56+'[3]9'!H56</f>
        <v>37148.520000000019</v>
      </c>
      <c r="I56" s="595"/>
      <c r="J56" s="693">
        <f>H56/DAY(B2)</f>
        <v>3377.1381818181835</v>
      </c>
      <c r="K56" s="526"/>
      <c r="L56" s="421"/>
      <c r="N56" s="874">
        <v>0</v>
      </c>
      <c r="P56" s="426">
        <f t="shared" si="1"/>
        <v>3361</v>
      </c>
    </row>
    <row r="57" spans="1:16">
      <c r="A57" s="719" t="s">
        <v>183</v>
      </c>
      <c r="B57" s="742"/>
      <c r="C57" s="742"/>
      <c r="D57" s="663" t="s">
        <v>143</v>
      </c>
      <c r="E57" s="650">
        <f>'[3]10'!F57</f>
        <v>0</v>
      </c>
      <c r="F57" s="650">
        <v>0</v>
      </c>
      <c r="G57" s="613">
        <f t="shared" si="5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74">
        <v>0</v>
      </c>
      <c r="P57" s="426">
        <f t="shared" si="1"/>
        <v>0</v>
      </c>
    </row>
    <row r="58" spans="1:16">
      <c r="A58" s="719" t="s">
        <v>195</v>
      </c>
      <c r="B58" s="742"/>
      <c r="C58" s="742"/>
      <c r="D58" s="663" t="s">
        <v>143</v>
      </c>
      <c r="E58" s="650">
        <f>'[3]10'!F58</f>
        <v>18348</v>
      </c>
      <c r="F58" s="790">
        <v>18393</v>
      </c>
      <c r="G58" s="613">
        <f t="shared" si="5"/>
        <v>45</v>
      </c>
      <c r="H58" s="600">
        <f>G58+'[3]9'!H58</f>
        <v>623.7039999999979</v>
      </c>
      <c r="I58" s="595"/>
      <c r="J58" s="693">
        <f>H58/DAY(B2)</f>
        <v>56.700363636363448</v>
      </c>
      <c r="K58" s="527"/>
      <c r="L58" s="421"/>
      <c r="N58" s="874">
        <v>7.3549999999995634</v>
      </c>
      <c r="P58" s="426">
        <f t="shared" si="1"/>
        <v>37.645000000000437</v>
      </c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12390.43999999999</v>
      </c>
      <c r="H59" s="600">
        <f>G59+'[3]9'!H59</f>
        <v>69171.015300000028</v>
      </c>
      <c r="I59" s="595">
        <f>G7-G60</f>
        <v>603.00000000006185</v>
      </c>
      <c r="J59" s="693">
        <f>H59/DAY(B2)</f>
        <v>6288.274118181821</v>
      </c>
      <c r="K59" s="527"/>
      <c r="L59" s="421"/>
      <c r="N59" s="874">
        <v>1689.8591000000142</v>
      </c>
      <c r="P59" s="426">
        <f t="shared" si="1"/>
        <v>10700.580899999975</v>
      </c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16640.999999999938</v>
      </c>
      <c r="H60" s="600">
        <f>G60+'[3]10'!H60</f>
        <v>197693.23600000018</v>
      </c>
      <c r="I60" s="595">
        <f>G13-G60</f>
        <v>6.184563972055912E-11</v>
      </c>
      <c r="J60" s="693">
        <f>H60/DAY(B2)</f>
        <v>17972.112363636381</v>
      </c>
      <c r="K60" s="527"/>
      <c r="L60" s="421"/>
      <c r="N60" s="874">
        <v>11779.769100000076</v>
      </c>
      <c r="P60" s="426">
        <f>G60-N60</f>
        <v>4861.2308999998622</v>
      </c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P61" s="426">
        <f t="shared" si="1"/>
        <v>0</v>
      </c>
    </row>
    <row r="62" spans="1:16">
      <c r="A62" s="744" t="s">
        <v>106</v>
      </c>
      <c r="B62" s="745"/>
      <c r="C62" s="745"/>
      <c r="D62" s="651" t="s">
        <v>198</v>
      </c>
      <c r="E62" s="654">
        <f>'[3]10'!F62</f>
        <v>20419</v>
      </c>
      <c r="F62" s="654">
        <v>20419</v>
      </c>
      <c r="G62" s="613">
        <f t="shared" ref="G62:G69" si="6">F62-E62</f>
        <v>0</v>
      </c>
      <c r="H62" s="600">
        <f>G62+'[3]10'!H62</f>
        <v>-0.3779999999969732</v>
      </c>
      <c r="I62" s="655"/>
      <c r="J62" s="693">
        <f>H62/DAY(B2)</f>
        <v>-3.4363636363361198E-2</v>
      </c>
      <c r="K62" s="527"/>
      <c r="L62" s="421"/>
      <c r="N62" s="874">
        <v>0</v>
      </c>
      <c r="P62" s="426">
        <f t="shared" si="1"/>
        <v>0</v>
      </c>
    </row>
    <row r="63" spans="1:16">
      <c r="A63" s="744" t="s">
        <v>199</v>
      </c>
      <c r="B63" s="745"/>
      <c r="C63" s="745"/>
      <c r="D63" s="651" t="s">
        <v>198</v>
      </c>
      <c r="E63" s="654">
        <v>491</v>
      </c>
      <c r="F63" s="654">
        <v>511</v>
      </c>
      <c r="G63" s="613">
        <f t="shared" si="6"/>
        <v>20</v>
      </c>
      <c r="H63" s="600">
        <f>G63+'[3]10'!H63</f>
        <v>212.54000000000002</v>
      </c>
      <c r="I63" s="655"/>
      <c r="J63" s="693">
        <f>H63/DAY(B2)</f>
        <v>19.321818181818184</v>
      </c>
      <c r="K63" s="527"/>
      <c r="L63" s="421"/>
      <c r="N63" s="874">
        <v>0</v>
      </c>
      <c r="P63" s="426">
        <f t="shared" si="1"/>
        <v>20</v>
      </c>
    </row>
    <row r="64" spans="1:16" ht="27.75">
      <c r="A64" s="1429" t="s">
        <v>107</v>
      </c>
      <c r="B64" s="1430"/>
      <c r="C64" s="1431"/>
      <c r="D64" s="663" t="s">
        <v>198</v>
      </c>
      <c r="E64" s="654">
        <f>'[3]10'!F64</f>
        <v>79665</v>
      </c>
      <c r="F64" s="618">
        <v>80007</v>
      </c>
      <c r="G64" s="613">
        <f t="shared" si="6"/>
        <v>342</v>
      </c>
      <c r="H64" s="600">
        <f>G64+'[3]10'!H64</f>
        <v>3943.9130000000005</v>
      </c>
      <c r="I64" s="620"/>
      <c r="J64" s="693">
        <f>H64/DAY(B2)</f>
        <v>358.53754545454552</v>
      </c>
      <c r="K64" s="527"/>
      <c r="L64" s="421"/>
      <c r="N64" s="874">
        <v>163.8269999999975</v>
      </c>
      <c r="P64" s="426">
        <f t="shared" si="1"/>
        <v>178.1730000000025</v>
      </c>
    </row>
    <row r="65" spans="1:16" ht="27.75">
      <c r="A65" s="1429" t="s">
        <v>108</v>
      </c>
      <c r="B65" s="1430"/>
      <c r="C65" s="1431"/>
      <c r="D65" s="663" t="s">
        <v>198</v>
      </c>
      <c r="E65" s="654">
        <f>'[3]10'!F65</f>
        <v>89102</v>
      </c>
      <c r="F65" s="788">
        <v>89480</v>
      </c>
      <c r="G65" s="613">
        <f t="shared" si="6"/>
        <v>378</v>
      </c>
      <c r="H65" s="600">
        <f>G65+'[3]10'!H65</f>
        <v>4320.7369999999937</v>
      </c>
      <c r="I65" s="629"/>
      <c r="J65" s="693">
        <f>H65/DAY(B2)</f>
        <v>392.79427272727213</v>
      </c>
      <c r="K65" s="527"/>
      <c r="L65" s="421"/>
      <c r="N65" s="874">
        <v>268.47299999999814</v>
      </c>
      <c r="P65" s="426">
        <f t="shared" si="1"/>
        <v>109.52700000000186</v>
      </c>
    </row>
    <row r="66" spans="1:16" ht="27.75">
      <c r="A66" s="1429" t="s">
        <v>109</v>
      </c>
      <c r="B66" s="1430"/>
      <c r="C66" s="1431"/>
      <c r="D66" s="663" t="s">
        <v>198</v>
      </c>
      <c r="E66" s="654">
        <f>'[3]10'!F66</f>
        <v>82097</v>
      </c>
      <c r="F66" s="618">
        <v>82575</v>
      </c>
      <c r="G66" s="613">
        <f t="shared" si="6"/>
        <v>478</v>
      </c>
      <c r="H66" s="600">
        <f>G66+'[3]10'!H66</f>
        <v>4387.0420000000013</v>
      </c>
      <c r="I66" s="620"/>
      <c r="J66" s="693">
        <f>H66/DAY(B2)</f>
        <v>398.82200000000012</v>
      </c>
      <c r="K66" s="527"/>
      <c r="L66" s="421"/>
      <c r="N66" s="874">
        <v>269.34500000000116</v>
      </c>
      <c r="P66" s="426">
        <f t="shared" si="1"/>
        <v>208.65499999999884</v>
      </c>
    </row>
    <row r="67" spans="1:16" ht="27.75">
      <c r="A67" s="1429" t="s">
        <v>110</v>
      </c>
      <c r="B67" s="1430"/>
      <c r="C67" s="1431"/>
      <c r="D67" s="663" t="s">
        <v>198</v>
      </c>
      <c r="E67" s="654">
        <f>'[3]10'!F67</f>
        <v>132561</v>
      </c>
      <c r="F67" s="618">
        <v>133228</v>
      </c>
      <c r="G67" s="613">
        <f t="shared" si="6"/>
        <v>667</v>
      </c>
      <c r="H67" s="600">
        <f>G67+'[3]10'!H67</f>
        <v>7171.5</v>
      </c>
      <c r="I67" s="629"/>
      <c r="J67" s="693">
        <f>H67/DAY(B2)</f>
        <v>651.9545454545455</v>
      </c>
      <c r="K67" s="528"/>
      <c r="L67" s="421"/>
      <c r="N67" s="874">
        <v>278.32000000000698</v>
      </c>
      <c r="P67" s="426">
        <f t="shared" si="1"/>
        <v>388.67999999999302</v>
      </c>
    </row>
    <row r="68" spans="1:16" ht="27.75">
      <c r="A68" s="1429" t="s">
        <v>111</v>
      </c>
      <c r="B68" s="1430"/>
      <c r="C68" s="1431"/>
      <c r="D68" s="663" t="s">
        <v>198</v>
      </c>
      <c r="E68" s="654">
        <f>'[3]10'!F68</f>
        <v>36562</v>
      </c>
      <c r="F68" s="618">
        <v>36879</v>
      </c>
      <c r="G68" s="613">
        <f t="shared" si="6"/>
        <v>317</v>
      </c>
      <c r="H68" s="600">
        <f>G68+'[3]10'!H68</f>
        <v>3479.1310000000012</v>
      </c>
      <c r="I68" s="656"/>
      <c r="J68" s="693">
        <f>H68/DAY(B2)</f>
        <v>316.28463636363648</v>
      </c>
      <c r="K68" s="529"/>
      <c r="L68" s="421"/>
      <c r="N68" s="874">
        <v>96.661499999999705</v>
      </c>
      <c r="P68" s="426">
        <f t="shared" si="1"/>
        <v>220.33850000000029</v>
      </c>
    </row>
    <row r="69" spans="1:16" ht="27.75">
      <c r="A69" s="1429" t="s">
        <v>112</v>
      </c>
      <c r="B69" s="1430"/>
      <c r="C69" s="1431"/>
      <c r="D69" s="663" t="s">
        <v>198</v>
      </c>
      <c r="E69" s="654">
        <f>'[3]10'!F69</f>
        <v>31894</v>
      </c>
      <c r="F69" s="618">
        <v>32142</v>
      </c>
      <c r="G69" s="613">
        <f t="shared" si="6"/>
        <v>248</v>
      </c>
      <c r="H69" s="600">
        <f>G69+'[3]10'!H69</f>
        <v>2889.6349999999984</v>
      </c>
      <c r="I69" s="656"/>
      <c r="J69" s="693">
        <f>H69/DAY(B2)</f>
        <v>262.69409090909079</v>
      </c>
      <c r="K69" s="530"/>
      <c r="L69" s="421"/>
      <c r="N69" s="874">
        <v>12.966000000000349</v>
      </c>
      <c r="P69" s="426">
        <f t="shared" si="1"/>
        <v>235.03399999999965</v>
      </c>
    </row>
    <row r="70" spans="1:16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>
        <f>G70+'[3]10'!H70</f>
        <v>0</v>
      </c>
      <c r="I70" s="658"/>
      <c r="J70" s="697">
        <f>H70/DAY(B2)</f>
        <v>0</v>
      </c>
      <c r="K70" s="530"/>
      <c r="L70" s="421"/>
      <c r="N70" s="874"/>
      <c r="P70" s="426">
        <f t="shared" si="1"/>
        <v>0</v>
      </c>
    </row>
    <row r="71" spans="1:16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874"/>
      <c r="P71" s="426">
        <f t="shared" si="1"/>
        <v>0</v>
      </c>
    </row>
    <row r="72" spans="1:16" ht="27.75">
      <c r="A72" s="1429" t="s">
        <v>202</v>
      </c>
      <c r="B72" s="1430"/>
      <c r="C72" s="1431"/>
      <c r="D72" s="663" t="s">
        <v>198</v>
      </c>
      <c r="E72" s="659">
        <f>'[3]10'!F72</f>
        <v>844008</v>
      </c>
      <c r="F72" s="791">
        <v>844016</v>
      </c>
      <c r="G72" s="613">
        <f t="shared" ref="G72:G84" si="7">F72-E72</f>
        <v>8</v>
      </c>
      <c r="H72" s="600">
        <f>G72+'[3]10'!H72</f>
        <v>83</v>
      </c>
      <c r="I72" s="620"/>
      <c r="J72" s="693">
        <f>H72/DAY(B2)</f>
        <v>7.5454545454545459</v>
      </c>
      <c r="K72" s="530"/>
      <c r="L72" s="421"/>
      <c r="N72" s="874">
        <v>17</v>
      </c>
      <c r="P72" s="426">
        <f t="shared" ref="P72:P140" si="8">G72-N72</f>
        <v>-9</v>
      </c>
    </row>
    <row r="73" spans="1:16" ht="27.75">
      <c r="A73" s="1429" t="s">
        <v>203</v>
      </c>
      <c r="B73" s="1430"/>
      <c r="C73" s="1431"/>
      <c r="D73" s="663" t="s">
        <v>198</v>
      </c>
      <c r="E73" s="659">
        <f>'[3]10'!F73</f>
        <v>885225</v>
      </c>
      <c r="F73" s="792">
        <v>885225</v>
      </c>
      <c r="G73" s="789">
        <f t="shared" si="7"/>
        <v>0</v>
      </c>
      <c r="H73" s="600">
        <f>G73+'[3]10'!H73</f>
        <v>10</v>
      </c>
      <c r="I73" s="620"/>
      <c r="J73" s="693">
        <f>H73/DAY(B2)</f>
        <v>0.90909090909090906</v>
      </c>
      <c r="K73" s="529"/>
      <c r="L73" s="421"/>
      <c r="N73" s="874">
        <v>1</v>
      </c>
      <c r="P73" s="426">
        <f t="shared" si="8"/>
        <v>-1</v>
      </c>
    </row>
    <row r="74" spans="1:16" ht="27.75">
      <c r="A74" s="1429" t="s">
        <v>204</v>
      </c>
      <c r="B74" s="1430"/>
      <c r="C74" s="1431"/>
      <c r="D74" s="663" t="s">
        <v>198</v>
      </c>
      <c r="E74" s="659">
        <f>'[3]10'!F74</f>
        <v>879797</v>
      </c>
      <c r="F74" s="792">
        <v>879814</v>
      </c>
      <c r="G74" s="613">
        <f t="shared" si="7"/>
        <v>17</v>
      </c>
      <c r="H74" s="600">
        <f>G74+'[3]10'!H74</f>
        <v>178</v>
      </c>
      <c r="I74" s="620"/>
      <c r="J74" s="693">
        <f>H74/DAY(B2)</f>
        <v>16.181818181818183</v>
      </c>
      <c r="K74" s="530"/>
      <c r="L74" s="421"/>
      <c r="N74" s="874">
        <v>7</v>
      </c>
      <c r="P74" s="426">
        <f t="shared" si="8"/>
        <v>10</v>
      </c>
    </row>
    <row r="75" spans="1:16" ht="27.75">
      <c r="A75" s="1408" t="s">
        <v>205</v>
      </c>
      <c r="B75" s="1409"/>
      <c r="C75" s="1410"/>
      <c r="D75" s="663" t="s">
        <v>198</v>
      </c>
      <c r="E75" s="659">
        <f>'[3]10'!F75</f>
        <v>722936</v>
      </c>
      <c r="F75" s="792">
        <v>723113</v>
      </c>
      <c r="G75" s="613">
        <f t="shared" si="7"/>
        <v>177</v>
      </c>
      <c r="H75" s="600">
        <f>G75+'[3]10'!H75</f>
        <v>1747</v>
      </c>
      <c r="I75" s="620"/>
      <c r="J75" s="693">
        <f>H75/DAY(B2)</f>
        <v>158.81818181818181</v>
      </c>
      <c r="K75" s="529"/>
      <c r="L75" s="421"/>
      <c r="N75" s="874">
        <v>63</v>
      </c>
      <c r="P75" s="426">
        <f t="shared" si="8"/>
        <v>114</v>
      </c>
    </row>
    <row r="76" spans="1:16" ht="27.75">
      <c r="A76" s="1408" t="s">
        <v>206</v>
      </c>
      <c r="B76" s="1409"/>
      <c r="C76" s="1410"/>
      <c r="D76" s="663" t="s">
        <v>198</v>
      </c>
      <c r="E76" s="659">
        <f>'[3]10'!F76</f>
        <v>680317</v>
      </c>
      <c r="F76" s="792">
        <v>680391</v>
      </c>
      <c r="G76" s="613">
        <f t="shared" si="7"/>
        <v>74</v>
      </c>
      <c r="H76" s="600">
        <f>G76+'[3]10'!H76</f>
        <v>739</v>
      </c>
      <c r="I76" s="645"/>
      <c r="J76" s="693">
        <f>H76/DAY(B2)</f>
        <v>67.181818181818187</v>
      </c>
      <c r="K76" s="529"/>
      <c r="L76" s="421"/>
      <c r="N76" s="874">
        <v>2</v>
      </c>
      <c r="P76" s="426">
        <f t="shared" si="8"/>
        <v>72</v>
      </c>
    </row>
    <row r="77" spans="1:16" ht="27.75">
      <c r="A77" s="1429" t="s">
        <v>207</v>
      </c>
      <c r="B77" s="1430"/>
      <c r="C77" s="1431"/>
      <c r="D77" s="663" t="s">
        <v>198</v>
      </c>
      <c r="E77" s="659">
        <f>'[3]10'!F77</f>
        <v>692743</v>
      </c>
      <c r="F77" s="792">
        <v>692789</v>
      </c>
      <c r="G77" s="789">
        <f t="shared" si="7"/>
        <v>46</v>
      </c>
      <c r="H77" s="600">
        <f>G77+'[3]10'!H77</f>
        <v>482</v>
      </c>
      <c r="I77" s="645"/>
      <c r="J77" s="693">
        <f>H77/DAY(B2)</f>
        <v>43.81818181818182</v>
      </c>
      <c r="K77" s="529"/>
      <c r="L77" s="421"/>
      <c r="N77" s="874">
        <v>15</v>
      </c>
      <c r="P77" s="426">
        <f t="shared" si="8"/>
        <v>31</v>
      </c>
    </row>
    <row r="78" spans="1:16" ht="27.75">
      <c r="A78" s="1374" t="s">
        <v>208</v>
      </c>
      <c r="B78" s="1339"/>
      <c r="C78" s="1339"/>
      <c r="D78" s="663" t="s">
        <v>198</v>
      </c>
      <c r="E78" s="659">
        <f>'[3]10'!F78</f>
        <v>611134</v>
      </c>
      <c r="F78" s="793">
        <v>611456</v>
      </c>
      <c r="G78" s="613">
        <f t="shared" si="7"/>
        <v>322</v>
      </c>
      <c r="H78" s="600">
        <f>G78+'[3]10'!H78</f>
        <v>3442</v>
      </c>
      <c r="I78" s="645"/>
      <c r="J78" s="693">
        <f>H78/DAY(B2)</f>
        <v>312.90909090909093</v>
      </c>
      <c r="K78" s="529"/>
      <c r="L78" s="421"/>
      <c r="N78" s="874">
        <v>38</v>
      </c>
      <c r="P78" s="426">
        <f t="shared" si="8"/>
        <v>284</v>
      </c>
    </row>
    <row r="79" spans="1:16" ht="27.75">
      <c r="A79" s="1408" t="s">
        <v>97</v>
      </c>
      <c r="B79" s="1409"/>
      <c r="C79" s="1410"/>
      <c r="D79" s="664" t="s">
        <v>198</v>
      </c>
      <c r="E79" s="659">
        <f>'[3]10'!F79</f>
        <v>794338</v>
      </c>
      <c r="F79" s="793">
        <v>794550</v>
      </c>
      <c r="G79" s="613">
        <f t="shared" si="7"/>
        <v>212</v>
      </c>
      <c r="H79" s="600">
        <f>G79+'[3]10'!H79</f>
        <v>1762</v>
      </c>
      <c r="I79" s="645"/>
      <c r="J79" s="693">
        <f>H79/DAY(B2)</f>
        <v>160.18181818181819</v>
      </c>
      <c r="K79" s="529"/>
      <c r="L79" s="421"/>
      <c r="N79" s="874">
        <v>94</v>
      </c>
      <c r="P79" s="426">
        <f t="shared" si="8"/>
        <v>118</v>
      </c>
    </row>
    <row r="80" spans="1:16" ht="27.75">
      <c r="A80" s="1408" t="s">
        <v>209</v>
      </c>
      <c r="B80" s="1409"/>
      <c r="C80" s="1410"/>
      <c r="D80" s="664" t="s">
        <v>198</v>
      </c>
      <c r="E80" s="659">
        <f>'[3]10'!F80</f>
        <v>459703</v>
      </c>
      <c r="F80" s="792">
        <v>460001</v>
      </c>
      <c r="G80" s="613">
        <f t="shared" si="7"/>
        <v>298</v>
      </c>
      <c r="H80" s="600">
        <f>G80+'[3]10'!H80</f>
        <v>3135.960000000021</v>
      </c>
      <c r="I80" s="645"/>
      <c r="J80" s="693">
        <f>H80/DAY(B2)</f>
        <v>285.08727272727464</v>
      </c>
      <c r="K80" s="529"/>
      <c r="L80" s="421"/>
      <c r="N80" s="874">
        <v>188.48000000003958</v>
      </c>
      <c r="P80" s="426">
        <f t="shared" si="8"/>
        <v>109.51999999996042</v>
      </c>
    </row>
    <row r="81" spans="1:16" ht="27.75">
      <c r="A81" s="1408" t="s">
        <v>210</v>
      </c>
      <c r="B81" s="1409"/>
      <c r="C81" s="1410"/>
      <c r="D81" s="664" t="s">
        <v>198</v>
      </c>
      <c r="E81" s="659">
        <f>'[3]10'!F81</f>
        <v>612096</v>
      </c>
      <c r="F81" s="792">
        <v>612187</v>
      </c>
      <c r="G81" s="613">
        <f t="shared" si="7"/>
        <v>91</v>
      </c>
      <c r="H81" s="600">
        <f>G81+'[3]10'!H81</f>
        <v>1064.7199999999721</v>
      </c>
      <c r="I81" s="645"/>
      <c r="J81" s="693">
        <f>H81/DAY(B2)</f>
        <v>96.792727272724733</v>
      </c>
      <c r="K81" s="529"/>
      <c r="L81" s="421"/>
      <c r="N81" s="874">
        <v>84.92000000004191</v>
      </c>
      <c r="P81" s="426">
        <f t="shared" si="8"/>
        <v>6.0799999999580905</v>
      </c>
    </row>
    <row r="82" spans="1:16" ht="27.75">
      <c r="A82" s="1408" t="s">
        <v>100</v>
      </c>
      <c r="B82" s="1409"/>
      <c r="C82" s="1410"/>
      <c r="D82" s="625" t="s">
        <v>143</v>
      </c>
      <c r="E82" s="659">
        <f>'[3]10'!F82</f>
        <v>103204</v>
      </c>
      <c r="F82" s="788">
        <v>103227</v>
      </c>
      <c r="G82" s="613">
        <f t="shared" si="7"/>
        <v>23</v>
      </c>
      <c r="H82" s="600">
        <f>G82+'[3]10'!H82</f>
        <v>197.05000000000291</v>
      </c>
      <c r="I82" s="626"/>
      <c r="J82" s="693">
        <f>H82/DAY(B2)</f>
        <v>17.913636363636627</v>
      </c>
      <c r="K82" s="529"/>
      <c r="L82" s="421"/>
      <c r="N82" s="874">
        <v>31.630000000004657</v>
      </c>
      <c r="P82" s="426">
        <f t="shared" si="8"/>
        <v>-8.6300000000046566</v>
      </c>
    </row>
    <row r="83" spans="1:16" ht="27.75">
      <c r="A83" s="1408" t="s">
        <v>211</v>
      </c>
      <c r="B83" s="1409"/>
      <c r="C83" s="1410"/>
      <c r="D83" s="761" t="s">
        <v>143</v>
      </c>
      <c r="E83" s="659">
        <f>'[3]10'!F83</f>
        <v>955875</v>
      </c>
      <c r="F83" s="651">
        <v>956167</v>
      </c>
      <c r="G83" s="613">
        <f t="shared" si="7"/>
        <v>292</v>
      </c>
      <c r="H83" s="600">
        <f>G83+'[3]10'!H83</f>
        <v>3924</v>
      </c>
      <c r="I83" s="621"/>
      <c r="J83" s="693">
        <f>H83/DAY(B2)</f>
        <v>356.72727272727275</v>
      </c>
      <c r="K83" s="528"/>
      <c r="L83" s="421"/>
      <c r="N83" s="874">
        <v>235</v>
      </c>
      <c r="P83" s="426">
        <f t="shared" si="8"/>
        <v>57</v>
      </c>
    </row>
    <row r="84" spans="1:16">
      <c r="A84" s="1377" t="s">
        <v>212</v>
      </c>
      <c r="B84" s="712"/>
      <c r="C84" s="712"/>
      <c r="D84" s="618" t="s">
        <v>143</v>
      </c>
      <c r="E84" s="659">
        <f>'[3]10'!F84</f>
        <v>371628</v>
      </c>
      <c r="F84" s="768">
        <v>372087</v>
      </c>
      <c r="G84" s="613">
        <f t="shared" si="7"/>
        <v>459</v>
      </c>
      <c r="H84" s="600">
        <f>G84+'[3]10'!H84</f>
        <v>5654</v>
      </c>
      <c r="I84" s="621"/>
      <c r="J84" s="693">
        <f>H84/DAY(B2)</f>
        <v>514</v>
      </c>
      <c r="K84" s="424"/>
      <c r="L84" s="421"/>
      <c r="N84" s="874">
        <v>433</v>
      </c>
      <c r="P84" s="426">
        <f t="shared" si="8"/>
        <v>26</v>
      </c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2019</v>
      </c>
      <c r="H85" s="600">
        <f>G85+'[3]10'!H85</f>
        <v>20753.989999999991</v>
      </c>
      <c r="I85" s="621"/>
      <c r="J85" s="693">
        <f>H85/DAY(B2)</f>
        <v>1886.7263636363627</v>
      </c>
      <c r="K85" s="424"/>
      <c r="L85" s="422"/>
      <c r="N85" s="874">
        <v>1210.0300000000861</v>
      </c>
      <c r="P85" s="426">
        <f t="shared" si="8"/>
        <v>808.96999999991385</v>
      </c>
    </row>
    <row r="86" spans="1:16" s="891" customFormat="1">
      <c r="A86" s="886" t="s">
        <v>102</v>
      </c>
      <c r="B86" s="887"/>
      <c r="C86" s="887"/>
      <c r="D86" s="888" t="s">
        <v>194</v>
      </c>
      <c r="E86" s="768">
        <f>'[3]10'!F86</f>
        <v>438246</v>
      </c>
      <c r="F86" s="784">
        <v>438349</v>
      </c>
      <c r="G86" s="861">
        <f t="shared" ref="G86:G90" si="9">F86-E86</f>
        <v>103</v>
      </c>
      <c r="H86" s="861">
        <f t="shared" ref="H86:H88" si="10">G86</f>
        <v>103</v>
      </c>
      <c r="I86" s="789"/>
      <c r="J86" s="863">
        <f>H86/DAY(B2)</f>
        <v>9.3636363636363633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68">
        <f>'[3]10'!F87</f>
        <v>76350</v>
      </c>
      <c r="F87" s="784">
        <v>76385</v>
      </c>
      <c r="G87" s="861">
        <f t="shared" si="9"/>
        <v>35</v>
      </c>
      <c r="H87" s="861">
        <f t="shared" si="10"/>
        <v>35</v>
      </c>
      <c r="I87" s="789"/>
      <c r="J87" s="863">
        <f>H87/DAY(B2)</f>
        <v>3.1818181818181817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68">
        <f>'[3]10'!F88</f>
        <v>140742</v>
      </c>
      <c r="F88" s="784">
        <v>140825</v>
      </c>
      <c r="G88" s="861">
        <f t="shared" si="9"/>
        <v>83</v>
      </c>
      <c r="H88" s="861">
        <f t="shared" si="10"/>
        <v>83</v>
      </c>
      <c r="I88" s="789"/>
      <c r="J88" s="863">
        <f>H88/DAY(B2)</f>
        <v>7.5454545454545459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68">
        <f>'[3]10'!F89</f>
        <v>54633</v>
      </c>
      <c r="F89" s="784">
        <v>54685</v>
      </c>
      <c r="G89" s="861">
        <f t="shared" si="9"/>
        <v>52</v>
      </c>
      <c r="H89" s="861">
        <f>G89</f>
        <v>52</v>
      </c>
      <c r="I89" s="789"/>
      <c r="J89" s="863">
        <f>H89/DAY(B2)</f>
        <v>4.7272727272727275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68">
        <f>'[3]10'!F90</f>
        <v>2821</v>
      </c>
      <c r="F90" s="784">
        <v>2827</v>
      </c>
      <c r="G90" s="861">
        <f t="shared" si="9"/>
        <v>6</v>
      </c>
      <c r="H90" s="861">
        <f>G90</f>
        <v>6</v>
      </c>
      <c r="I90" s="789"/>
      <c r="J90" s="863">
        <f>H90/DAY(B2)</f>
        <v>0.54545454545454541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P91" s="426">
        <f t="shared" si="8"/>
        <v>0</v>
      </c>
    </row>
    <row r="92" spans="1:16" ht="27.75">
      <c r="A92" s="1432" t="s">
        <v>217</v>
      </c>
      <c r="B92" s="1433"/>
      <c r="C92" s="1434"/>
      <c r="D92" s="663" t="s">
        <v>155</v>
      </c>
      <c r="E92" s="624">
        <f>'[3]10'!F92</f>
        <v>229520</v>
      </c>
      <c r="F92" s="618">
        <v>229600</v>
      </c>
      <c r="G92" s="613">
        <f t="shared" ref="G92:G93" si="11">F92-E92</f>
        <v>80</v>
      </c>
      <c r="H92" s="600">
        <f>G92+'[3]10'!H92</f>
        <v>1005</v>
      </c>
      <c r="I92" s="620"/>
      <c r="J92" s="693">
        <f>H92/DAY(B2)</f>
        <v>91.36363636363636</v>
      </c>
      <c r="K92" s="528"/>
      <c r="L92" s="421"/>
      <c r="N92" s="874">
        <v>6</v>
      </c>
      <c r="P92" s="426">
        <f t="shared" si="8"/>
        <v>74</v>
      </c>
    </row>
    <row r="93" spans="1:16" ht="27.75">
      <c r="A93" s="1432" t="s">
        <v>218</v>
      </c>
      <c r="B93" s="1433"/>
      <c r="C93" s="1434"/>
      <c r="D93" s="663" t="s">
        <v>155</v>
      </c>
      <c r="E93" s="624">
        <f>'[3]10'!F93</f>
        <v>160198</v>
      </c>
      <c r="F93" s="618">
        <v>160243</v>
      </c>
      <c r="G93" s="613">
        <f t="shared" si="11"/>
        <v>45</v>
      </c>
      <c r="H93" s="600">
        <f>G93+'[3]10'!H93</f>
        <v>1720</v>
      </c>
      <c r="I93" s="620"/>
      <c r="J93" s="693">
        <f>H93/DAY(B2)</f>
        <v>156.36363636363637</v>
      </c>
      <c r="K93" s="424"/>
      <c r="L93" s="421"/>
      <c r="N93" s="874">
        <v>73</v>
      </c>
      <c r="P93" s="426">
        <f t="shared" si="8"/>
        <v>-28</v>
      </c>
    </row>
    <row r="94" spans="1:16">
      <c r="A94" s="1460" t="s">
        <v>219</v>
      </c>
      <c r="B94" s="1461"/>
      <c r="C94" s="1462"/>
      <c r="D94" s="663"/>
      <c r="E94" s="624">
        <f>'[3]10'!F94</f>
        <v>0</v>
      </c>
      <c r="F94" s="618"/>
      <c r="G94" s="613">
        <f>G92+G93</f>
        <v>125</v>
      </c>
      <c r="H94" s="600">
        <f>G94+'[3]10'!H94</f>
        <v>2435</v>
      </c>
      <c r="I94" s="620"/>
      <c r="J94" s="693">
        <f>H94/DAY(B2)</f>
        <v>221.36363636363637</v>
      </c>
      <c r="K94" s="424"/>
      <c r="L94" s="421"/>
      <c r="N94" s="874">
        <v>79</v>
      </c>
      <c r="P94" s="426">
        <f t="shared" si="8"/>
        <v>46</v>
      </c>
    </row>
    <row r="95" spans="1:16" ht="27.75">
      <c r="A95" s="1432" t="s">
        <v>220</v>
      </c>
      <c r="B95" s="1433"/>
      <c r="C95" s="1434"/>
      <c r="D95" s="663" t="s">
        <v>155</v>
      </c>
      <c r="E95" s="624">
        <f>'[3]10'!F95</f>
        <v>400424</v>
      </c>
      <c r="F95" s="618">
        <v>400475</v>
      </c>
      <c r="G95" s="613">
        <f t="shared" ref="G95:G100" si="12">F95-E95</f>
        <v>51</v>
      </c>
      <c r="H95" s="600">
        <f>G95+'[3]10'!H95</f>
        <v>628</v>
      </c>
      <c r="I95" s="620"/>
      <c r="J95" s="693">
        <f>H95/DAY(B2)</f>
        <v>57.090909090909093</v>
      </c>
      <c r="K95" s="424"/>
      <c r="L95" s="421"/>
      <c r="N95" s="874">
        <v>28</v>
      </c>
      <c r="P95" s="426">
        <f t="shared" si="8"/>
        <v>23</v>
      </c>
    </row>
    <row r="96" spans="1:16" ht="27.75">
      <c r="A96" s="1371" t="s">
        <v>221</v>
      </c>
      <c r="B96" s="1372"/>
      <c r="C96" s="1372"/>
      <c r="D96" s="663" t="s">
        <v>155</v>
      </c>
      <c r="E96" s="624">
        <f>'[3]10'!F96</f>
        <v>98497</v>
      </c>
      <c r="F96" s="618">
        <v>98554</v>
      </c>
      <c r="G96" s="613">
        <f t="shared" si="12"/>
        <v>57</v>
      </c>
      <c r="H96" s="600">
        <f>G96+'[3]10'!H96</f>
        <v>545</v>
      </c>
      <c r="I96" s="620"/>
      <c r="J96" s="693">
        <f>H96/DAY(B2)</f>
        <v>49.545454545454547</v>
      </c>
      <c r="K96" s="526"/>
      <c r="L96" s="421"/>
      <c r="N96" s="874">
        <v>10</v>
      </c>
      <c r="P96" s="426">
        <f t="shared" si="8"/>
        <v>47</v>
      </c>
    </row>
    <row r="97" spans="1:16" ht="27.75">
      <c r="A97" s="1371" t="s">
        <v>222</v>
      </c>
      <c r="B97" s="1372"/>
      <c r="C97" s="1372"/>
      <c r="D97" s="663" t="s">
        <v>155</v>
      </c>
      <c r="E97" s="624">
        <f>'[3]10'!F97</f>
        <v>93796</v>
      </c>
      <c r="F97" s="618">
        <v>93811</v>
      </c>
      <c r="G97" s="613">
        <f t="shared" si="12"/>
        <v>15</v>
      </c>
      <c r="H97" s="600">
        <f>G97+'[3]10'!H97</f>
        <v>260</v>
      </c>
      <c r="I97" s="620"/>
      <c r="J97" s="693">
        <f>H97/DAY(B2)</f>
        <v>23.636363636363637</v>
      </c>
      <c r="K97" s="531"/>
      <c r="L97" s="421"/>
      <c r="N97" s="874">
        <v>10</v>
      </c>
      <c r="P97" s="426">
        <f t="shared" si="8"/>
        <v>5</v>
      </c>
    </row>
    <row r="98" spans="1:16" ht="27.75">
      <c r="A98" s="1371" t="s">
        <v>223</v>
      </c>
      <c r="B98" s="1372"/>
      <c r="C98" s="1372"/>
      <c r="D98" s="663" t="s">
        <v>155</v>
      </c>
      <c r="E98" s="624">
        <f>'[3]10'!F98</f>
        <v>141359</v>
      </c>
      <c r="F98" s="618">
        <v>141410</v>
      </c>
      <c r="G98" s="613">
        <f t="shared" si="12"/>
        <v>51</v>
      </c>
      <c r="H98" s="600">
        <f>G98+'[3]10'!H98</f>
        <v>505</v>
      </c>
      <c r="I98" s="620"/>
      <c r="J98" s="693">
        <f>H98/DAY(B2)</f>
        <v>45.909090909090907</v>
      </c>
      <c r="K98" s="424"/>
      <c r="L98" s="421"/>
      <c r="N98" s="876">
        <v>28</v>
      </c>
      <c r="P98" s="426">
        <f t="shared" si="8"/>
        <v>23</v>
      </c>
    </row>
    <row r="99" spans="1:16" ht="27.75">
      <c r="A99" s="1371" t="s">
        <v>224</v>
      </c>
      <c r="B99" s="1372"/>
      <c r="C99" s="1372"/>
      <c r="D99" s="663" t="s">
        <v>155</v>
      </c>
      <c r="E99" s="624">
        <f>'[3]10'!F99</f>
        <v>4807</v>
      </c>
      <c r="F99" s="618">
        <v>4812</v>
      </c>
      <c r="G99" s="613">
        <f t="shared" si="12"/>
        <v>5</v>
      </c>
      <c r="H99" s="600">
        <f>G99+'[3]10'!H99</f>
        <v>104</v>
      </c>
      <c r="I99" s="620"/>
      <c r="J99" s="693">
        <f>H99/DAY(B2)</f>
        <v>9.454545454545455</v>
      </c>
      <c r="K99" s="424"/>
      <c r="L99" s="421"/>
      <c r="N99" s="874">
        <v>5</v>
      </c>
      <c r="P99" s="426">
        <f t="shared" si="8"/>
        <v>0</v>
      </c>
    </row>
    <row r="100" spans="1:16" ht="27.75">
      <c r="A100" s="1371" t="s">
        <v>225</v>
      </c>
      <c r="B100" s="1372"/>
      <c r="C100" s="1372"/>
      <c r="D100" s="663" t="s">
        <v>155</v>
      </c>
      <c r="E100" s="624">
        <f>'[3]10'!F100</f>
        <v>3674</v>
      </c>
      <c r="F100" s="618">
        <v>3674</v>
      </c>
      <c r="G100" s="613">
        <f t="shared" si="12"/>
        <v>0</v>
      </c>
      <c r="H100" s="600">
        <f>G100+'[3]10'!H100</f>
        <v>0</v>
      </c>
      <c r="I100" s="620"/>
      <c r="J100" s="693">
        <f>H100/DAY(B2)</f>
        <v>0</v>
      </c>
      <c r="K100" s="424"/>
      <c r="L100" s="421"/>
      <c r="N100" s="874">
        <v>0</v>
      </c>
      <c r="P100" s="426">
        <f t="shared" si="8"/>
        <v>0</v>
      </c>
    </row>
    <row r="101" spans="1:16">
      <c r="A101" s="1460" t="s">
        <v>227</v>
      </c>
      <c r="B101" s="1461"/>
      <c r="C101" s="1462"/>
      <c r="D101" s="664"/>
      <c r="E101" s="624"/>
      <c r="F101" s="664"/>
      <c r="G101" s="665">
        <f>SUM(G95:G100)</f>
        <v>179</v>
      </c>
      <c r="H101" s="600">
        <f>G101+'[3]10'!H101</f>
        <v>2042</v>
      </c>
      <c r="I101" s="666"/>
      <c r="J101" s="693">
        <f>H101/DAY(B2)</f>
        <v>185.63636363636363</v>
      </c>
      <c r="K101" s="424"/>
      <c r="L101" s="421"/>
      <c r="N101" s="874">
        <v>81</v>
      </c>
      <c r="P101" s="426">
        <f t="shared" si="8"/>
        <v>98</v>
      </c>
    </row>
    <row r="102" spans="1:16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74"/>
      <c r="P102" s="426">
        <f t="shared" si="8"/>
        <v>0</v>
      </c>
    </row>
    <row r="103" spans="1:16" s="544" customFormat="1" ht="27.75">
      <c r="A103" s="1463" t="s">
        <v>229</v>
      </c>
      <c r="B103" s="1464"/>
      <c r="C103" s="714"/>
      <c r="D103" s="763"/>
      <c r="E103" s="624"/>
      <c r="F103" s="795"/>
      <c r="G103" s="672"/>
      <c r="H103" s="673"/>
      <c r="I103" s="672"/>
      <c r="J103" s="699"/>
      <c r="N103" s="874"/>
      <c r="P103" s="426">
        <f t="shared" si="8"/>
        <v>0</v>
      </c>
    </row>
    <row r="104" spans="1:16" s="544" customFormat="1" ht="27.75">
      <c r="A104" s="1421" t="s">
        <v>230</v>
      </c>
      <c r="B104" s="1422"/>
      <c r="C104" s="1376"/>
      <c r="D104" s="763" t="s">
        <v>155</v>
      </c>
      <c r="E104" s="624">
        <f>'[3]10'!F104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5.4545454545454541</v>
      </c>
      <c r="N104" s="874">
        <v>0</v>
      </c>
      <c r="P104" s="426">
        <f t="shared" si="8"/>
        <v>0</v>
      </c>
    </row>
    <row r="105" spans="1:16" s="544" customFormat="1" ht="27.75">
      <c r="A105" s="1421" t="s">
        <v>77</v>
      </c>
      <c r="B105" s="1422"/>
      <c r="C105" s="1376"/>
      <c r="D105" s="763" t="s">
        <v>155</v>
      </c>
      <c r="E105" s="624">
        <f>'[3]10'!F105</f>
        <v>34572</v>
      </c>
      <c r="F105" s="796">
        <v>34572</v>
      </c>
      <c r="G105" s="672">
        <f t="shared" ref="G105:G106" si="13">F105-E105</f>
        <v>0</v>
      </c>
      <c r="H105" s="673">
        <f>SUM(G105+'[3]1'!G77)</f>
        <v>70</v>
      </c>
      <c r="I105" s="672"/>
      <c r="J105" s="699">
        <f>H105/DAY(B2)</f>
        <v>6.3636363636363633</v>
      </c>
      <c r="N105" s="874">
        <v>0</v>
      </c>
      <c r="P105" s="426">
        <f t="shared" si="8"/>
        <v>0</v>
      </c>
    </row>
    <row r="106" spans="1:16" s="544" customFormat="1" ht="27.75">
      <c r="A106" s="1421" t="s">
        <v>78</v>
      </c>
      <c r="B106" s="1465"/>
      <c r="C106" s="1422"/>
      <c r="D106" s="763" t="s">
        <v>155</v>
      </c>
      <c r="E106" s="624">
        <f>'[3]10'!F106</f>
        <v>18666</v>
      </c>
      <c r="F106" s="796">
        <v>18670</v>
      </c>
      <c r="G106" s="672">
        <f t="shared" si="13"/>
        <v>4</v>
      </c>
      <c r="H106" s="673">
        <f>SUM(G106+'[3]1'!G78)</f>
        <v>333</v>
      </c>
      <c r="I106" s="672"/>
      <c r="J106" s="699">
        <f>H106/DAY(B2)</f>
        <v>30.272727272727273</v>
      </c>
      <c r="N106" s="874">
        <v>4</v>
      </c>
      <c r="P106" s="426">
        <f t="shared" si="8"/>
        <v>0</v>
      </c>
    </row>
    <row r="107" spans="1:16" s="544" customFormat="1" ht="27.75">
      <c r="A107" s="1423" t="s">
        <v>213</v>
      </c>
      <c r="B107" s="1424"/>
      <c r="C107" s="1376"/>
      <c r="D107" s="763"/>
      <c r="E107" s="624"/>
      <c r="F107" s="796"/>
      <c r="G107" s="672">
        <f>SUM(G104:G106)</f>
        <v>4</v>
      </c>
      <c r="H107" s="673">
        <f>SUM(G107+'[3]1'!G79)</f>
        <v>164</v>
      </c>
      <c r="I107" s="672"/>
      <c r="J107" s="699">
        <f>H107/DAY(B2)</f>
        <v>14.909090909090908</v>
      </c>
      <c r="N107" s="874">
        <v>4</v>
      </c>
      <c r="P107" s="426">
        <f t="shared" si="8"/>
        <v>0</v>
      </c>
    </row>
    <row r="108" spans="1:16" s="544" customFormat="1" ht="27.75">
      <c r="A108" s="1427" t="s">
        <v>79</v>
      </c>
      <c r="B108" s="1428"/>
      <c r="C108" s="1376"/>
      <c r="D108" s="763" t="s">
        <v>155</v>
      </c>
      <c r="E108" s="624"/>
      <c r="F108" s="796"/>
      <c r="G108" s="672"/>
      <c r="H108" s="673"/>
      <c r="I108" s="672"/>
      <c r="J108" s="699"/>
      <c r="N108" s="874"/>
      <c r="P108" s="426">
        <f t="shared" si="8"/>
        <v>0</v>
      </c>
    </row>
    <row r="109" spans="1:16" s="544" customFormat="1" ht="27.75">
      <c r="A109" s="1421" t="s">
        <v>231</v>
      </c>
      <c r="B109" s="1422"/>
      <c r="C109" s="1376"/>
      <c r="D109" s="763" t="s">
        <v>155</v>
      </c>
      <c r="E109" s="624">
        <f>'[3]10'!F109</f>
        <v>50270</v>
      </c>
      <c r="F109" s="796">
        <v>50319</v>
      </c>
      <c r="G109" s="672">
        <f>F109-E109</f>
        <v>49</v>
      </c>
      <c r="H109" s="673">
        <f>SUM(G109+'[3]1'!G81)</f>
        <v>131</v>
      </c>
      <c r="I109" s="672"/>
      <c r="J109" s="699">
        <f>H109/DAY(B2)</f>
        <v>11.909090909090908</v>
      </c>
      <c r="N109" s="874">
        <v>40</v>
      </c>
      <c r="P109" s="426">
        <f t="shared" si="8"/>
        <v>9</v>
      </c>
    </row>
    <row r="110" spans="1:16" s="544" customFormat="1" ht="27.75">
      <c r="A110" s="1421" t="s">
        <v>232</v>
      </c>
      <c r="B110" s="1422"/>
      <c r="C110" s="1376"/>
      <c r="D110" s="763" t="s">
        <v>155</v>
      </c>
      <c r="E110" s="624">
        <f>'[3]10'!F110</f>
        <v>24552</v>
      </c>
      <c r="F110" s="796">
        <v>24597</v>
      </c>
      <c r="G110" s="672">
        <f t="shared" ref="G110:G111" si="14">F110-E110</f>
        <v>45</v>
      </c>
      <c r="H110" s="673">
        <f>SUM(G110+'[3]1'!G82)</f>
        <v>70.740000000005239</v>
      </c>
      <c r="I110" s="672"/>
      <c r="J110" s="699">
        <f>H110/DAY(B2)</f>
        <v>6.4309090909095667</v>
      </c>
      <c r="N110" s="874">
        <v>0</v>
      </c>
      <c r="P110" s="426">
        <f t="shared" si="8"/>
        <v>45</v>
      </c>
    </row>
    <row r="111" spans="1:16" s="544" customFormat="1" ht="27.75">
      <c r="A111" s="1421" t="s">
        <v>233</v>
      </c>
      <c r="B111" s="1422"/>
      <c r="C111" s="1376"/>
      <c r="D111" s="763" t="s">
        <v>155</v>
      </c>
      <c r="E111" s="624">
        <f>'[3]10'!F111</f>
        <v>3244</v>
      </c>
      <c r="F111" s="796">
        <v>3244</v>
      </c>
      <c r="G111" s="672">
        <f t="shared" si="14"/>
        <v>0</v>
      </c>
      <c r="H111" s="673">
        <f>SUM(G111+'[3]1'!G83)</f>
        <v>446</v>
      </c>
      <c r="I111" s="672"/>
      <c r="J111" s="699">
        <f>H111/DAY(B2)</f>
        <v>40.545454545454547</v>
      </c>
      <c r="N111" s="874">
        <v>0</v>
      </c>
      <c r="P111" s="426">
        <f t="shared" si="8"/>
        <v>0</v>
      </c>
    </row>
    <row r="112" spans="1:16" s="544" customFormat="1" ht="27.75">
      <c r="A112" s="1423" t="s">
        <v>121</v>
      </c>
      <c r="B112" s="1424"/>
      <c r="C112" s="1376"/>
      <c r="D112" s="763"/>
      <c r="E112" s="624"/>
      <c r="F112" s="796"/>
      <c r="G112" s="672">
        <f>SUM(G109:G111)</f>
        <v>94</v>
      </c>
      <c r="H112" s="673">
        <f>SUM(G112+'[3]1'!G84)</f>
        <v>690</v>
      </c>
      <c r="I112" s="672"/>
      <c r="J112" s="699">
        <f>H112/DAY(B2)</f>
        <v>62.727272727272727</v>
      </c>
      <c r="N112" s="874">
        <v>40</v>
      </c>
      <c r="P112" s="426">
        <f t="shared" si="8"/>
        <v>54</v>
      </c>
    </row>
    <row r="113" spans="1:16" s="544" customFormat="1" ht="27.75">
      <c r="A113" s="1427" t="s">
        <v>234</v>
      </c>
      <c r="B113" s="1428"/>
      <c r="C113" s="1376"/>
      <c r="D113" s="763"/>
      <c r="E113" s="624"/>
      <c r="F113" s="796"/>
      <c r="G113" s="672"/>
      <c r="H113" s="673"/>
      <c r="I113" s="672"/>
      <c r="J113" s="699">
        <f>H113/DAY(B2)</f>
        <v>0</v>
      </c>
      <c r="N113" s="874"/>
      <c r="P113" s="426">
        <f t="shared" si="8"/>
        <v>0</v>
      </c>
    </row>
    <row r="114" spans="1:16" s="544" customFormat="1" ht="27.75">
      <c r="A114" s="1421" t="s">
        <v>235</v>
      </c>
      <c r="B114" s="1422"/>
      <c r="C114" s="715"/>
      <c r="D114" s="763" t="s">
        <v>155</v>
      </c>
      <c r="E114" s="624">
        <f>'[3]10'!F114</f>
        <v>8395</v>
      </c>
      <c r="F114" s="796">
        <v>8403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0.72727272727272729</v>
      </c>
      <c r="N114" s="874">
        <v>5</v>
      </c>
      <c r="P114" s="426">
        <f t="shared" si="8"/>
        <v>3</v>
      </c>
    </row>
    <row r="115" spans="1:16" s="544" customFormat="1" ht="27.75">
      <c r="A115" s="1421" t="s">
        <v>236</v>
      </c>
      <c r="B115" s="1422"/>
      <c r="C115" s="715"/>
      <c r="D115" s="763" t="s">
        <v>155</v>
      </c>
      <c r="E115" s="624">
        <f>'[3]10'!F115</f>
        <v>6623</v>
      </c>
      <c r="F115" s="796">
        <v>6629</v>
      </c>
      <c r="G115" s="674">
        <f t="shared" ref="G115:G116" si="15">F115-E115</f>
        <v>6</v>
      </c>
      <c r="H115" s="673">
        <f>SUM(G115+'[3]1'!G92)</f>
        <v>111</v>
      </c>
      <c r="I115" s="672"/>
      <c r="J115" s="699">
        <f>H115/DAY(B2)</f>
        <v>10.090909090909092</v>
      </c>
      <c r="N115" s="874">
        <v>2</v>
      </c>
      <c r="P115" s="426">
        <f t="shared" si="8"/>
        <v>4</v>
      </c>
    </row>
    <row r="116" spans="1:16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5"/>
        <v>0</v>
      </c>
      <c r="H116" s="673">
        <f>SUM(G116+'[3]1'!G93)</f>
        <v>185</v>
      </c>
      <c r="I116" s="672"/>
      <c r="J116" s="699">
        <f>H116/DAY(B2)</f>
        <v>16.818181818181817</v>
      </c>
      <c r="N116" s="874">
        <v>0</v>
      </c>
      <c r="P116" s="426">
        <f t="shared" si="8"/>
        <v>0</v>
      </c>
    </row>
    <row r="117" spans="1:16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14</v>
      </c>
      <c r="H117" s="673">
        <f>SUM(G117+'[3]1'!G95)</f>
        <v>62</v>
      </c>
      <c r="I117" s="674"/>
      <c r="J117" s="699">
        <f>H117/DAY(B2)</f>
        <v>5.6363636363636367</v>
      </c>
      <c r="N117" s="874">
        <v>7</v>
      </c>
      <c r="P117" s="426">
        <f t="shared" si="8"/>
        <v>7</v>
      </c>
    </row>
    <row r="118" spans="1:16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136</v>
      </c>
      <c r="G118" s="676">
        <f>SUM(G19+G92)</f>
        <v>136</v>
      </c>
      <c r="H118" s="673">
        <f>SUM(G118+'[3]1'!G96)</f>
        <v>185</v>
      </c>
      <c r="I118" s="675"/>
      <c r="J118" s="700">
        <f>H118/DAY(B2)</f>
        <v>16.818181818181817</v>
      </c>
      <c r="N118" s="874">
        <v>61</v>
      </c>
      <c r="P118" s="426">
        <f t="shared" si="8"/>
        <v>75</v>
      </c>
    </row>
    <row r="119" spans="1:16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128</v>
      </c>
      <c r="G119" s="676">
        <f>SUM(G95,G96,G97,G99,G100)</f>
        <v>128</v>
      </c>
      <c r="H119" s="673">
        <f>SUM(G119+'[3]1'!G98)</f>
        <v>160</v>
      </c>
      <c r="I119" s="675"/>
      <c r="J119" s="700">
        <f>H119/DAY(B2)</f>
        <v>14.545454545454545</v>
      </c>
      <c r="N119" s="874">
        <v>53</v>
      </c>
      <c r="P119" s="426">
        <f t="shared" si="8"/>
        <v>75</v>
      </c>
    </row>
    <row r="120" spans="1:16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94</v>
      </c>
      <c r="G120" s="674">
        <f>SUM(G112)</f>
        <v>94</v>
      </c>
      <c r="H120" s="673">
        <f>SUM(G120+'[3]1'!G100)</f>
        <v>94</v>
      </c>
      <c r="I120" s="675"/>
      <c r="J120" s="700">
        <f>H120/DAY(B2)</f>
        <v>8.545454545454545</v>
      </c>
      <c r="N120" s="874">
        <v>40</v>
      </c>
      <c r="P120" s="426">
        <f t="shared" si="8"/>
        <v>54</v>
      </c>
    </row>
    <row r="121" spans="1:16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874"/>
      <c r="P121" s="426">
        <f t="shared" si="8"/>
        <v>0</v>
      </c>
    </row>
    <row r="122" spans="1:16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P122" s="426">
        <f t="shared" si="8"/>
        <v>0</v>
      </c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'[3]10'!F123</f>
        <v>784759</v>
      </c>
      <c r="F123" s="618">
        <v>784952</v>
      </c>
      <c r="G123" s="613">
        <f t="shared" ref="G123:G127" si="16">F123-E123</f>
        <v>193</v>
      </c>
      <c r="H123" s="600">
        <f>G123+'[3]10'!H123</f>
        <v>2027.1139999999432</v>
      </c>
      <c r="I123" s="666"/>
      <c r="J123" s="693">
        <f>H123/DAY(B2)</f>
        <v>184.28309090908576</v>
      </c>
      <c r="K123" s="424"/>
      <c r="L123" s="421"/>
      <c r="N123" s="874">
        <v>139.71999999997206</v>
      </c>
      <c r="P123" s="426">
        <f t="shared" si="8"/>
        <v>53.28000000002794</v>
      </c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'[3]10'!F124</f>
        <v>73581</v>
      </c>
      <c r="F124" s="767">
        <v>73581</v>
      </c>
      <c r="G124" s="613">
        <f t="shared" si="16"/>
        <v>0</v>
      </c>
      <c r="H124" s="600">
        <f>G124+'[3]10'!H124</f>
        <v>0</v>
      </c>
      <c r="I124" s="666"/>
      <c r="J124" s="693">
        <f>H124/DAY(B2)</f>
        <v>0</v>
      </c>
      <c r="K124" s="424"/>
      <c r="L124" s="421"/>
      <c r="N124" s="874">
        <v>0</v>
      </c>
      <c r="P124" s="426">
        <f t="shared" si="8"/>
        <v>0</v>
      </c>
    </row>
    <row r="125" spans="1:16" ht="27.75">
      <c r="A125" s="1429" t="s">
        <v>244</v>
      </c>
      <c r="B125" s="1430"/>
      <c r="C125" s="1431"/>
      <c r="D125" s="663" t="s">
        <v>152</v>
      </c>
      <c r="E125" s="618">
        <f>'[3]10'!F125</f>
        <v>131742</v>
      </c>
      <c r="F125" s="618">
        <v>131810</v>
      </c>
      <c r="G125" s="613">
        <f t="shared" si="16"/>
        <v>68</v>
      </c>
      <c r="H125" s="600">
        <f>G125+'[3]10'!H125</f>
        <v>703.77999999999884</v>
      </c>
      <c r="I125" s="666"/>
      <c r="J125" s="693">
        <f>H125/DAY(B2)</f>
        <v>63.979999999999897</v>
      </c>
      <c r="K125" s="424"/>
      <c r="L125" s="421"/>
      <c r="N125" s="874">
        <v>53.380000000004657</v>
      </c>
      <c r="P125" s="426">
        <f t="shared" si="8"/>
        <v>14.619999999995343</v>
      </c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'[3]10'!F126</f>
        <v>55815</v>
      </c>
      <c r="F126" s="767">
        <v>55840</v>
      </c>
      <c r="G126" s="613">
        <f t="shared" si="16"/>
        <v>25</v>
      </c>
      <c r="H126" s="600">
        <f>G126+'[3]10'!H126</f>
        <v>254.19999999999709</v>
      </c>
      <c r="I126" s="666"/>
      <c r="J126" s="693">
        <f>H126/DAY(B2)</f>
        <v>23.109090909090643</v>
      </c>
      <c r="K126" s="424"/>
      <c r="L126" s="421"/>
      <c r="N126" s="874">
        <v>0</v>
      </c>
      <c r="P126" s="426">
        <f t="shared" si="8"/>
        <v>25</v>
      </c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'[3]10'!F127</f>
        <v>8639</v>
      </c>
      <c r="F127" s="767">
        <v>8640</v>
      </c>
      <c r="G127" s="613">
        <f t="shared" si="16"/>
        <v>1</v>
      </c>
      <c r="H127" s="600">
        <f>G127+'[3]10'!H127</f>
        <v>1</v>
      </c>
      <c r="I127" s="620"/>
      <c r="J127" s="693">
        <f>H127/DAY(B2)</f>
        <v>9.0909090909090912E-2</v>
      </c>
      <c r="K127" s="424"/>
      <c r="L127" s="421"/>
      <c r="N127" s="874">
        <v>0</v>
      </c>
      <c r="P127" s="426">
        <f t="shared" si="8"/>
        <v>1</v>
      </c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221</v>
      </c>
      <c r="H128" s="600"/>
      <c r="I128" s="620"/>
      <c r="J128" s="693"/>
      <c r="K128" s="402"/>
      <c r="L128" s="304"/>
      <c r="N128" s="874">
        <v>146.14300000004005</v>
      </c>
      <c r="P128" s="426">
        <f t="shared" si="8"/>
        <v>74.856999999959953</v>
      </c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P129" s="426">
        <f t="shared" si="8"/>
        <v>0</v>
      </c>
    </row>
    <row r="130" spans="1:16" ht="27.75">
      <c r="A130" s="1371" t="s">
        <v>249</v>
      </c>
      <c r="B130" s="1372"/>
      <c r="C130" s="1372"/>
      <c r="D130" s="663" t="s">
        <v>250</v>
      </c>
      <c r="E130" s="624">
        <f>'[3]10'!F130</f>
        <v>0</v>
      </c>
      <c r="F130" s="618">
        <v>0</v>
      </c>
      <c r="G130" s="613">
        <f t="shared" ref="G130:G140" si="17">F130-E130</f>
        <v>0</v>
      </c>
      <c r="H130" s="600">
        <f>G130+'[3]10'!H130</f>
        <v>0</v>
      </c>
      <c r="I130" s="620"/>
      <c r="J130" s="693">
        <f>H130/DAY(B2)</f>
        <v>0</v>
      </c>
      <c r="N130" s="874">
        <v>0</v>
      </c>
      <c r="P130" s="426">
        <f t="shared" si="8"/>
        <v>0</v>
      </c>
    </row>
    <row r="131" spans="1:16" ht="27.75">
      <c r="A131" s="1371" t="s">
        <v>251</v>
      </c>
      <c r="B131" s="1372"/>
      <c r="C131" s="1372"/>
      <c r="D131" s="663" t="s">
        <v>250</v>
      </c>
      <c r="E131" s="624">
        <f>'[3]10'!F131</f>
        <v>0</v>
      </c>
      <c r="F131" s="618">
        <v>0</v>
      </c>
      <c r="G131" s="613">
        <f t="shared" si="17"/>
        <v>0</v>
      </c>
      <c r="H131" s="600">
        <f>G131+'[3]10'!H131</f>
        <v>0</v>
      </c>
      <c r="I131" s="620"/>
      <c r="J131" s="693">
        <f>H131/DAY(B2)</f>
        <v>0</v>
      </c>
      <c r="N131" s="874">
        <v>0</v>
      </c>
      <c r="P131" s="426">
        <f t="shared" si="8"/>
        <v>0</v>
      </c>
    </row>
    <row r="132" spans="1:16" ht="27.75">
      <c r="A132" s="1371" t="s">
        <v>252</v>
      </c>
      <c r="B132" s="1372"/>
      <c r="C132" s="1372"/>
      <c r="D132" s="663" t="s">
        <v>250</v>
      </c>
      <c r="E132" s="682">
        <f>'[3]10'!F132</f>
        <v>38853</v>
      </c>
      <c r="F132" s="788">
        <v>38853</v>
      </c>
      <c r="G132" s="613">
        <f t="shared" si="17"/>
        <v>0</v>
      </c>
      <c r="H132" s="600">
        <f>G132+'[3]10'!H132</f>
        <v>0</v>
      </c>
      <c r="I132" s="620"/>
      <c r="J132" s="693">
        <f>H132/DAY(B2)</f>
        <v>0</v>
      </c>
      <c r="N132" s="874">
        <v>22</v>
      </c>
      <c r="P132" s="426">
        <f t="shared" si="8"/>
        <v>-22</v>
      </c>
    </row>
    <row r="133" spans="1:16" ht="27.75">
      <c r="A133" s="1371" t="s">
        <v>253</v>
      </c>
      <c r="B133" s="1372"/>
      <c r="C133" s="1372"/>
      <c r="D133" s="663" t="s">
        <v>250</v>
      </c>
      <c r="E133" s="838">
        <f>'[3]10'!F133</f>
        <v>34948</v>
      </c>
      <c r="F133" s="767">
        <v>34948</v>
      </c>
      <c r="G133" s="613">
        <f t="shared" si="17"/>
        <v>0</v>
      </c>
      <c r="H133" s="600">
        <f>G133+'[3]10'!H133</f>
        <v>0</v>
      </c>
      <c r="I133" s="620">
        <f>G130+G131+G132+G133</f>
        <v>0</v>
      </c>
      <c r="J133" s="693">
        <f>H133/DAY(B2)</f>
        <v>0</v>
      </c>
      <c r="N133" s="874">
        <v>9.0000000000145519E-2</v>
      </c>
      <c r="P133" s="426">
        <f t="shared" si="8"/>
        <v>-9.0000000000145519E-2</v>
      </c>
    </row>
    <row r="134" spans="1:16" ht="27.75">
      <c r="A134" s="1371" t="s">
        <v>254</v>
      </c>
      <c r="B134" s="1372"/>
      <c r="C134" s="1372"/>
      <c r="D134" s="663" t="s">
        <v>250</v>
      </c>
      <c r="E134" s="838">
        <f>'[3]10'!F134</f>
        <v>39735</v>
      </c>
      <c r="F134" s="767">
        <v>39735</v>
      </c>
      <c r="G134" s="613">
        <f t="shared" si="17"/>
        <v>0</v>
      </c>
      <c r="H134" s="600">
        <f>G134+'[3]10'!H134</f>
        <v>-1.2699999999967986</v>
      </c>
      <c r="I134" s="620"/>
      <c r="J134" s="693">
        <f>H134/DAY(B2)</f>
        <v>-0.11545454545425442</v>
      </c>
      <c r="N134" s="874">
        <v>1</v>
      </c>
      <c r="P134" s="426">
        <f t="shared" si="8"/>
        <v>-1</v>
      </c>
    </row>
    <row r="135" spans="1:16" ht="27.75">
      <c r="A135" s="1371" t="s">
        <v>255</v>
      </c>
      <c r="B135" s="1372"/>
      <c r="C135" s="1372"/>
      <c r="D135" s="663" t="s">
        <v>250</v>
      </c>
      <c r="E135" s="838">
        <f>'[3]10'!F135</f>
        <v>31232.5</v>
      </c>
      <c r="F135" s="767">
        <v>31256</v>
      </c>
      <c r="G135" s="613">
        <f t="shared" si="17"/>
        <v>23.5</v>
      </c>
      <c r="H135" s="600">
        <f>G135+'[3]10'!H135</f>
        <v>262.97999999999956</v>
      </c>
      <c r="I135" s="620"/>
      <c r="J135" s="693">
        <f>H135/DAY(B2)</f>
        <v>23.907272727272687</v>
      </c>
      <c r="N135" s="874">
        <v>0</v>
      </c>
      <c r="P135" s="426">
        <f t="shared" si="8"/>
        <v>23.5</v>
      </c>
    </row>
    <row r="136" spans="1:16" ht="27.75">
      <c r="A136" s="1371" t="s">
        <v>256</v>
      </c>
      <c r="B136" s="1372"/>
      <c r="C136" s="1372"/>
      <c r="D136" s="663" t="s">
        <v>250</v>
      </c>
      <c r="E136" s="682">
        <f>'[3]10'!F136</f>
        <v>21627.31</v>
      </c>
      <c r="F136" s="788">
        <v>21627</v>
      </c>
      <c r="G136" s="613">
        <f t="shared" si="17"/>
        <v>-0.31000000000130967</v>
      </c>
      <c r="H136" s="600">
        <f>G136+'[3]10'!H136</f>
        <v>28.970000000001164</v>
      </c>
      <c r="I136" s="620">
        <f>G134+G135+G136</f>
        <v>23.18999999999869</v>
      </c>
      <c r="J136" s="693">
        <f>H136/DAY(B2)</f>
        <v>2.6336363636364695</v>
      </c>
      <c r="N136" s="874">
        <v>0</v>
      </c>
      <c r="P136" s="426">
        <f t="shared" si="8"/>
        <v>-0.31000000000130967</v>
      </c>
    </row>
    <row r="137" spans="1:16" ht="27.75">
      <c r="A137" s="1371" t="s">
        <v>257</v>
      </c>
      <c r="B137" s="1372"/>
      <c r="C137" s="1372"/>
      <c r="D137" s="663" t="s">
        <v>250</v>
      </c>
      <c r="E137" s="682">
        <f>'[3]10'!F137</f>
        <v>24902.25</v>
      </c>
      <c r="F137" s="788">
        <v>24902</v>
      </c>
      <c r="G137" s="613">
        <f t="shared" si="17"/>
        <v>-0.25</v>
      </c>
      <c r="H137" s="600">
        <f>G137+'[3]10'!H137</f>
        <v>-0.25</v>
      </c>
      <c r="I137" s="620"/>
      <c r="J137" s="693">
        <f>H137/DAY(B2)</f>
        <v>-2.2727272727272728E-2</v>
      </c>
      <c r="N137" s="874">
        <v>0</v>
      </c>
      <c r="P137" s="426">
        <f t="shared" si="8"/>
        <v>-0.25</v>
      </c>
    </row>
    <row r="138" spans="1:16" ht="27.75">
      <c r="A138" s="1371" t="s">
        <v>258</v>
      </c>
      <c r="B138" s="1372"/>
      <c r="C138" s="1372"/>
      <c r="D138" s="663" t="s">
        <v>250</v>
      </c>
      <c r="E138" s="682">
        <f>'[3]10'!F138</f>
        <v>69919.929999999993</v>
      </c>
      <c r="F138" s="788">
        <v>69929</v>
      </c>
      <c r="G138" s="613">
        <f t="shared" si="17"/>
        <v>9.0700000000069849</v>
      </c>
      <c r="H138" s="600">
        <f>G138+'[3]10'!H138</f>
        <v>47.350000000005821</v>
      </c>
      <c r="I138" s="620">
        <f>G137+G138</f>
        <v>8.8200000000069849</v>
      </c>
      <c r="J138" s="693">
        <f>H138/DAY(B2)</f>
        <v>4.304545454545984</v>
      </c>
      <c r="N138" s="874">
        <v>7.75</v>
      </c>
      <c r="P138" s="426">
        <f t="shared" si="8"/>
        <v>1.3200000000069849</v>
      </c>
    </row>
    <row r="139" spans="1:16" ht="27.75">
      <c r="A139" s="1371" t="s">
        <v>259</v>
      </c>
      <c r="B139" s="1372"/>
      <c r="C139" s="1372"/>
      <c r="D139" s="663" t="s">
        <v>250</v>
      </c>
      <c r="E139" s="838">
        <f>'[3]10'!F139</f>
        <v>826.32</v>
      </c>
      <c r="F139" s="767">
        <v>831.74</v>
      </c>
      <c r="G139" s="613">
        <f t="shared" si="17"/>
        <v>5.4199999999999591</v>
      </c>
      <c r="H139" s="600">
        <f>G139+'[3]10'!H139</f>
        <v>55.310000000000059</v>
      </c>
      <c r="I139" s="683"/>
      <c r="J139" s="693">
        <f>H139/DAY(B2)</f>
        <v>5.0281818181818236</v>
      </c>
      <c r="N139" s="874">
        <v>0</v>
      </c>
      <c r="P139" s="426">
        <f t="shared" si="8"/>
        <v>5.4199999999999591</v>
      </c>
    </row>
    <row r="140" spans="1:16" ht="27.75">
      <c r="A140" s="1371" t="s">
        <v>260</v>
      </c>
      <c r="B140" s="1372"/>
      <c r="C140" s="1372"/>
      <c r="D140" s="663" t="s">
        <v>250</v>
      </c>
      <c r="E140" s="624">
        <f>'[3]10'!F140</f>
        <v>4156.9799999999996</v>
      </c>
      <c r="F140" s="618">
        <v>4156.9799999999996</v>
      </c>
      <c r="G140" s="613">
        <f t="shared" si="17"/>
        <v>0</v>
      </c>
      <c r="H140" s="600">
        <f>G140+'[3]10'!H140</f>
        <v>2.7099999999991269</v>
      </c>
      <c r="I140" s="683"/>
      <c r="J140" s="693">
        <f>H140/DAY(B2)</f>
        <v>0.24636363636355699</v>
      </c>
      <c r="N140" s="874">
        <v>4.6199999999998909</v>
      </c>
      <c r="P140" s="426">
        <f t="shared" si="8"/>
        <v>-4.6199999999998909</v>
      </c>
    </row>
    <row r="141" spans="1:16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P141" s="426">
        <f t="shared" ref="P141:P153" si="18">G141-N141</f>
        <v>0</v>
      </c>
    </row>
    <row r="142" spans="1:16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4857.17</v>
      </c>
      <c r="H142" s="600">
        <f>G142+'[3]10'!H142</f>
        <v>53968.622000000076</v>
      </c>
      <c r="I142" s="620"/>
      <c r="J142" s="693">
        <f>H142/DAY(B2)</f>
        <v>4906.2383636363702</v>
      </c>
      <c r="K142" s="424"/>
      <c r="L142" s="421"/>
      <c r="N142" s="874">
        <v>3021.2200000000303</v>
      </c>
      <c r="P142" s="426">
        <f t="shared" si="18"/>
        <v>1835.9499999999698</v>
      </c>
    </row>
    <row r="143" spans="1:16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0.28167304569705404</v>
      </c>
      <c r="H143" s="600">
        <f>G143+'[3]10'!H143</f>
        <v>2.4760711477685606</v>
      </c>
      <c r="I143" s="685"/>
      <c r="J143" s="693">
        <f>H143/DAY(B2)</f>
        <v>0.22509737706986915</v>
      </c>
      <c r="K143" s="424"/>
      <c r="L143" s="421"/>
      <c r="N143" s="874">
        <v>0.25350058734687281</v>
      </c>
      <c r="P143" s="426">
        <f t="shared" si="18"/>
        <v>2.8172458350181229E-2</v>
      </c>
    </row>
    <row r="144" spans="1:16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3361.3399999999383</v>
      </c>
      <c r="H144" s="600">
        <f>G144+'[3]10'!H144</f>
        <v>45203.140000000072</v>
      </c>
      <c r="I144" s="620"/>
      <c r="J144" s="693">
        <f>H144/DAY(B2)</f>
        <v>4109.3763636363701</v>
      </c>
      <c r="K144" s="424"/>
      <c r="L144" s="421"/>
      <c r="N144" s="874">
        <v>3327.2700000000186</v>
      </c>
      <c r="P144" s="426">
        <f t="shared" si="18"/>
        <v>34.069999999919673</v>
      </c>
    </row>
    <row r="145" spans="1:16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0.19492809093017505</v>
      </c>
      <c r="H145" s="600">
        <f>G145+'[3]10'!H145</f>
        <v>2.2301922831372631</v>
      </c>
      <c r="I145" s="685"/>
      <c r="J145" s="693">
        <f>H145/DAY(B2)</f>
        <v>0.20274475301247846</v>
      </c>
      <c r="K145" s="424"/>
      <c r="L145" s="421"/>
      <c r="N145" s="874">
        <v>0.27918023158248184</v>
      </c>
      <c r="P145" s="426">
        <f t="shared" si="18"/>
        <v>-8.4252140652306795E-2</v>
      </c>
    </row>
    <row r="146" spans="1:16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4767</v>
      </c>
      <c r="H146" s="600">
        <f>G146+'[3]10'!H146</f>
        <v>44465.290000000037</v>
      </c>
      <c r="I146" s="686"/>
      <c r="J146" s="693">
        <f>H146/DAY(B2)</f>
        <v>4042.2990909090945</v>
      </c>
      <c r="K146" s="424"/>
      <c r="L146" s="421"/>
      <c r="N146" s="874">
        <v>2165.6141000000007</v>
      </c>
      <c r="P146" s="426">
        <f t="shared" si="18"/>
        <v>2601.3858999999993</v>
      </c>
    </row>
    <row r="147" spans="1:16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0.27644398051496172</v>
      </c>
      <c r="H147" s="600">
        <f>G147+'[3]10'!H147</f>
        <v>2.1978408059389181</v>
      </c>
      <c r="I147" s="686"/>
      <c r="J147" s="693">
        <f>H147/DAY(B2)</f>
        <v>0.19980370963081073</v>
      </c>
      <c r="N147" s="874">
        <v>0.18170952340996818</v>
      </c>
      <c r="P147" s="426">
        <f t="shared" si="18"/>
        <v>9.4734457104993536E-2</v>
      </c>
    </row>
    <row r="148" spans="1:16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1713</v>
      </c>
      <c r="H148" s="600">
        <f>G148+'[3]10'!H148</f>
        <v>19289.309999999998</v>
      </c>
      <c r="I148" s="620"/>
      <c r="J148" s="693">
        <f>H148/DAY(B2)</f>
        <v>1753.5736363636361</v>
      </c>
      <c r="K148" s="425"/>
      <c r="N148" s="874">
        <v>1007.5800000000163</v>
      </c>
      <c r="P148" s="426">
        <f t="shared" si="18"/>
        <v>705.4199999999837</v>
      </c>
    </row>
    <row r="149" spans="1:16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9.9338900487125958E-2</v>
      </c>
      <c r="H149" s="600">
        <f>G149+'[3]10'!H149</f>
        <v>0.94871508580848962</v>
      </c>
      <c r="I149" s="686"/>
      <c r="J149" s="693">
        <f>H149/DAY(B2)</f>
        <v>8.6246825982589967E-2</v>
      </c>
      <c r="N149" s="874">
        <v>8.4542708508140316E-2</v>
      </c>
      <c r="P149" s="426">
        <f t="shared" si="18"/>
        <v>1.4796191978985643E-2</v>
      </c>
    </row>
    <row r="150" spans="1:16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1628</v>
      </c>
      <c r="H150" s="600">
        <f>G150+'[3]10'!H150</f>
        <v>17816.479999999981</v>
      </c>
      <c r="I150" s="686"/>
      <c r="J150" s="693">
        <f>H150/DAY(B2)</f>
        <v>1619.6799999999982</v>
      </c>
      <c r="N150" s="874">
        <v>1095.0299999999988</v>
      </c>
      <c r="P150" s="426">
        <f t="shared" si="18"/>
        <v>532.97000000000116</v>
      </c>
    </row>
    <row r="151" spans="1:16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9.440964973324055E-2</v>
      </c>
      <c r="H151" s="600">
        <f>G151+'[3]10'!H151</f>
        <v>0.87445051681302066</v>
      </c>
      <c r="I151" s="620"/>
      <c r="J151" s="693">
        <f>H151/DAY(B2)</f>
        <v>7.9495501528456428E-2</v>
      </c>
      <c r="N151" s="874">
        <v>9.1880349051854243E-2</v>
      </c>
      <c r="P151" s="426">
        <f t="shared" si="18"/>
        <v>2.5293006813863067E-3</v>
      </c>
    </row>
    <row r="152" spans="1:16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204</v>
      </c>
      <c r="H152" s="600">
        <f>G152+'[3]10'!H152</f>
        <v>15221.809999999998</v>
      </c>
      <c r="I152" s="620"/>
      <c r="J152" s="693">
        <f>H152/DAY(B2)</f>
        <v>1383.8009090909088</v>
      </c>
      <c r="N152" s="874">
        <v>1155.7000000000116</v>
      </c>
      <c r="P152" s="426">
        <f t="shared" si="18"/>
        <v>-951.70000000001164</v>
      </c>
    </row>
    <row r="153" spans="1:16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1.1830201809324982E-2</v>
      </c>
      <c r="H153" s="600">
        <f>G153+'[3]10'!H153</f>
        <v>0.7428134162095934</v>
      </c>
      <c r="I153" s="709"/>
      <c r="J153" s="693">
        <f>H153/DAY(B2)</f>
        <v>6.7528492382690306E-2</v>
      </c>
      <c r="N153" s="874">
        <v>9.6970968283269982E-2</v>
      </c>
      <c r="P153" s="426">
        <f t="shared" si="18"/>
        <v>-8.5140766473945001E-2</v>
      </c>
    </row>
    <row r="154" spans="1:16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46" t="s">
        <v>274</v>
      </c>
      <c r="B160" s="947"/>
      <c r="C160" s="947"/>
      <c r="D160" s="651" t="s">
        <v>198</v>
      </c>
      <c r="E160" s="965">
        <v>22392</v>
      </c>
      <c r="F160" s="945">
        <v>22467</v>
      </c>
      <c r="G160" s="613">
        <f t="shared" ref="G160:G171" si="19">F160-E160</f>
        <v>75</v>
      </c>
      <c r="H160" s="679">
        <v>13673.11</v>
      </c>
      <c r="N160" s="874"/>
    </row>
    <row r="161" spans="1:14">
      <c r="A161" s="946" t="s">
        <v>275</v>
      </c>
      <c r="B161" s="947"/>
      <c r="C161" s="947"/>
      <c r="D161" s="651" t="s">
        <v>198</v>
      </c>
      <c r="E161" s="965">
        <v>14577</v>
      </c>
      <c r="F161" s="795">
        <v>14669</v>
      </c>
      <c r="G161" s="613">
        <f t="shared" si="19"/>
        <v>92</v>
      </c>
      <c r="N161" s="874"/>
    </row>
    <row r="162" spans="1:14">
      <c r="A162" s="946" t="s">
        <v>276</v>
      </c>
      <c r="B162" s="947"/>
      <c r="C162" s="947"/>
      <c r="D162" s="651" t="s">
        <v>198</v>
      </c>
      <c r="E162" s="965">
        <v>32749</v>
      </c>
      <c r="F162" s="795">
        <v>32972</v>
      </c>
      <c r="G162" s="613">
        <f t="shared" si="19"/>
        <v>223</v>
      </c>
      <c r="N162" s="874"/>
    </row>
    <row r="163" spans="1:14">
      <c r="A163" s="946" t="s">
        <v>277</v>
      </c>
      <c r="B163" s="947"/>
      <c r="C163" s="947"/>
      <c r="D163" s="651" t="s">
        <v>198</v>
      </c>
      <c r="E163" s="965">
        <v>3172</v>
      </c>
      <c r="F163" s="795">
        <v>3196</v>
      </c>
      <c r="G163" s="613">
        <f t="shared" si="19"/>
        <v>24</v>
      </c>
      <c r="N163" s="874"/>
    </row>
    <row r="164" spans="1:14" ht="37.5" customHeight="1">
      <c r="A164" s="948" t="s">
        <v>106</v>
      </c>
      <c r="B164" s="745"/>
      <c r="C164" s="745"/>
      <c r="D164" s="651" t="s">
        <v>198</v>
      </c>
      <c r="E164" s="654">
        <v>0</v>
      </c>
      <c r="F164" s="654">
        <v>0</v>
      </c>
      <c r="G164" s="613">
        <f t="shared" si="19"/>
        <v>0</v>
      </c>
      <c r="N164" s="874"/>
    </row>
    <row r="165" spans="1:14">
      <c r="A165" s="948" t="s">
        <v>199</v>
      </c>
      <c r="B165" s="745"/>
      <c r="C165" s="745"/>
      <c r="D165" s="651" t="s">
        <v>198</v>
      </c>
      <c r="E165" s="654">
        <f t="shared" ref="E165:F171" si="20">E63</f>
        <v>491</v>
      </c>
      <c r="F165" s="654">
        <v>511</v>
      </c>
      <c r="G165" s="613">
        <f t="shared" si="19"/>
        <v>20</v>
      </c>
      <c r="N165" s="874"/>
    </row>
    <row r="166" spans="1:14" ht="35.25" customHeight="1">
      <c r="A166" s="1404" t="s">
        <v>107</v>
      </c>
      <c r="B166" s="1404"/>
      <c r="C166" s="1404"/>
      <c r="D166" s="663" t="s">
        <v>198</v>
      </c>
      <c r="E166" s="654">
        <f t="shared" si="20"/>
        <v>79665</v>
      </c>
      <c r="F166" s="654">
        <f t="shared" si="20"/>
        <v>80007</v>
      </c>
      <c r="G166" s="613">
        <f t="shared" si="19"/>
        <v>342</v>
      </c>
      <c r="N166" s="874"/>
    </row>
    <row r="167" spans="1:14" ht="33" customHeight="1">
      <c r="A167" s="1404" t="s">
        <v>108</v>
      </c>
      <c r="B167" s="1404"/>
      <c r="C167" s="1404"/>
      <c r="D167" s="663" t="s">
        <v>198</v>
      </c>
      <c r="E167" s="654">
        <f t="shared" si="20"/>
        <v>89102</v>
      </c>
      <c r="F167" s="654">
        <f t="shared" si="20"/>
        <v>89480</v>
      </c>
      <c r="G167" s="613">
        <f t="shared" si="19"/>
        <v>378</v>
      </c>
      <c r="N167" s="874"/>
    </row>
    <row r="168" spans="1:14" ht="40.5" customHeight="1">
      <c r="A168" s="1404" t="s">
        <v>109</v>
      </c>
      <c r="B168" s="1404"/>
      <c r="C168" s="1404"/>
      <c r="D168" s="663" t="s">
        <v>198</v>
      </c>
      <c r="E168" s="654">
        <f t="shared" si="20"/>
        <v>82097</v>
      </c>
      <c r="F168" s="654">
        <f t="shared" si="20"/>
        <v>82575</v>
      </c>
      <c r="G168" s="613">
        <f t="shared" si="19"/>
        <v>478</v>
      </c>
      <c r="N168" s="874"/>
    </row>
    <row r="169" spans="1:14" ht="30.75" customHeight="1">
      <c r="A169" s="1404" t="s">
        <v>110</v>
      </c>
      <c r="B169" s="1404"/>
      <c r="C169" s="1404"/>
      <c r="D169" s="663" t="s">
        <v>198</v>
      </c>
      <c r="E169" s="654">
        <f t="shared" si="20"/>
        <v>132561</v>
      </c>
      <c r="F169" s="654">
        <f t="shared" si="20"/>
        <v>133228</v>
      </c>
      <c r="G169" s="613">
        <f t="shared" si="19"/>
        <v>667</v>
      </c>
      <c r="N169" s="874"/>
    </row>
    <row r="170" spans="1:14" ht="30.75" customHeight="1">
      <c r="A170" s="1404" t="s">
        <v>111</v>
      </c>
      <c r="B170" s="1404"/>
      <c r="C170" s="1404"/>
      <c r="D170" s="663" t="s">
        <v>198</v>
      </c>
      <c r="E170" s="654">
        <f t="shared" si="20"/>
        <v>36562</v>
      </c>
      <c r="F170" s="654">
        <f t="shared" si="20"/>
        <v>36879</v>
      </c>
      <c r="G170" s="613">
        <f t="shared" si="19"/>
        <v>317</v>
      </c>
      <c r="N170" s="874"/>
    </row>
    <row r="171" spans="1:14" ht="28.5" customHeight="1">
      <c r="A171" s="1404" t="s">
        <v>112</v>
      </c>
      <c r="B171" s="1404"/>
      <c r="C171" s="1404"/>
      <c r="D171" s="663" t="s">
        <v>198</v>
      </c>
      <c r="E171" s="654">
        <f t="shared" si="20"/>
        <v>31894</v>
      </c>
      <c r="F171" s="654">
        <f t="shared" si="20"/>
        <v>32142</v>
      </c>
      <c r="G171" s="613">
        <f t="shared" si="19"/>
        <v>248</v>
      </c>
      <c r="N171" s="874"/>
    </row>
    <row r="172" spans="1:14">
      <c r="G172" s="680">
        <f>SUM(G160:G171)</f>
        <v>2864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44.25" customHeight="1">
      <c r="N177" s="874"/>
    </row>
    <row r="178" spans="14:14" ht="21.75" customHeight="1">
      <c r="N178" s="874"/>
    </row>
    <row r="179" spans="14:14" ht="21.75" customHeight="1">
      <c r="N179" s="874">
        <v>0</v>
      </c>
    </row>
    <row r="180" spans="14:14" ht="21.75" customHeight="1">
      <c r="N180" s="874">
        <v>0</v>
      </c>
    </row>
    <row r="181" spans="14:14" ht="21.75" customHeight="1">
      <c r="N181" s="874">
        <v>11</v>
      </c>
    </row>
    <row r="182" spans="14:14" ht="21.75" customHeight="1">
      <c r="N182" s="874">
        <v>11</v>
      </c>
    </row>
    <row r="183" spans="14:14" ht="21.75" customHeight="1">
      <c r="N183" s="874"/>
    </row>
    <row r="184" spans="14:14" ht="21.75" customHeight="1">
      <c r="N184" s="874">
        <v>51</v>
      </c>
    </row>
    <row r="185" spans="14:14" ht="21.75" customHeight="1">
      <c r="N185" s="874">
        <v>0</v>
      </c>
    </row>
    <row r="186" spans="14:14" ht="21.75" customHeight="1">
      <c r="N186" s="874">
        <v>0</v>
      </c>
    </row>
    <row r="187" spans="14:14" ht="21.75" customHeight="1">
      <c r="N187" s="874">
        <v>51</v>
      </c>
    </row>
    <row r="188" spans="14:14" ht="21.75" customHeight="1">
      <c r="N188" s="874"/>
    </row>
    <row r="189" spans="14:14" ht="21.75" customHeight="1">
      <c r="N189" s="874">
        <v>4</v>
      </c>
    </row>
    <row r="190" spans="14:14" ht="21.75" customHeight="1">
      <c r="N190" s="874">
        <v>3</v>
      </c>
    </row>
    <row r="191" spans="14:14" ht="21.75" customHeight="1">
      <c r="N191" s="874">
        <v>0</v>
      </c>
    </row>
    <row r="192" spans="14:14" ht="21.75" customHeight="1">
      <c r="N192" s="874"/>
    </row>
    <row r="193" spans="14:14" ht="36.75" customHeight="1">
      <c r="N193" s="874">
        <v>7</v>
      </c>
    </row>
    <row r="194" spans="14:14">
      <c r="N194" s="874">
        <v>61</v>
      </c>
    </row>
    <row r="195" spans="14:14">
      <c r="N195" s="874"/>
    </row>
    <row r="196" spans="14:14">
      <c r="N196" s="874">
        <v>55</v>
      </c>
    </row>
    <row r="197" spans="14:14">
      <c r="N197" s="874"/>
    </row>
    <row r="198" spans="14:14">
      <c r="N198" s="872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75" zoomScaleSheetLayoutView="55" workbookViewId="0">
      <selection sqref="A1:XFD1048576"/>
    </sheetView>
  </sheetViews>
  <sheetFormatPr defaultColWidth="22.33203125" defaultRowHeight="29.25"/>
  <cols>
    <col min="1" max="1" width="39.6640625" style="594" customWidth="1"/>
    <col min="2" max="2" width="30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6" s="292" customFormat="1" ht="27">
      <c r="A2" s="716" t="s">
        <v>319</v>
      </c>
      <c r="B2" s="1195">
        <v>44147</v>
      </c>
      <c r="C2" s="1378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 t="s">
        <v>129</v>
      </c>
      <c r="O2" s="880"/>
    </row>
    <row r="3" spans="1:16" s="292" customFormat="1" ht="27">
      <c r="A3" s="711"/>
      <c r="B3" s="755"/>
      <c r="C3" s="1378" t="s">
        <v>131</v>
      </c>
      <c r="D3" s="753">
        <v>31</v>
      </c>
      <c r="E3" s="1449" t="s">
        <v>132</v>
      </c>
      <c r="F3" s="1450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872" t="s">
        <v>137</v>
      </c>
    </row>
    <row r="6" spans="1:16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'[3]11'!F7</f>
        <v>2307903</v>
      </c>
      <c r="F7" s="595">
        <v>2325715</v>
      </c>
      <c r="G7" s="815">
        <f>F7-E7</f>
        <v>17812</v>
      </c>
      <c r="H7" s="816">
        <f>G7+'[3]11'!H7</f>
        <v>220690</v>
      </c>
      <c r="I7" s="817">
        <f>'[3]1'!I7</f>
        <v>12000</v>
      </c>
      <c r="J7" s="818">
        <f>H7/DAY(B2)</f>
        <v>18390.833333333332</v>
      </c>
      <c r="K7" s="690"/>
      <c r="L7" s="421"/>
      <c r="N7" s="878">
        <v>11277.3999999999</v>
      </c>
      <c r="O7" s="881">
        <f>N7-G7</f>
        <v>-6534.6000000001004</v>
      </c>
      <c r="P7" s="884">
        <f>G7/G8</f>
        <v>0.99725659257600363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'[3]11'!F8</f>
        <v>2319117</v>
      </c>
      <c r="F8" s="615">
        <v>2336978</v>
      </c>
      <c r="G8" s="826">
        <f>F8-E8</f>
        <v>17861</v>
      </c>
      <c r="H8" s="816">
        <f>G8+'[3]11'!H8</f>
        <v>221537</v>
      </c>
      <c r="I8" s="823">
        <f>'[3]1'!I8</f>
        <v>12000</v>
      </c>
      <c r="J8" s="818">
        <f>H8/DAY(B2)</f>
        <v>18461.416666666668</v>
      </c>
      <c r="K8" s="690"/>
      <c r="L8" s="479"/>
      <c r="M8" s="542"/>
      <c r="N8" s="874">
        <v>11396.6</v>
      </c>
      <c r="O8" s="881">
        <f t="shared" ref="O8:O71" si="0">N8-G8</f>
        <v>-6464.4</v>
      </c>
      <c r="P8" s="426"/>
    </row>
    <row r="9" spans="1:16">
      <c r="A9" s="824" t="s">
        <v>145</v>
      </c>
      <c r="B9" s="825"/>
      <c r="C9" s="825"/>
      <c r="D9" s="779" t="s">
        <v>143</v>
      </c>
      <c r="E9" s="774">
        <f>'[3]11'!F9</f>
        <v>2201140</v>
      </c>
      <c r="F9" s="618">
        <v>2203924</v>
      </c>
      <c r="G9" s="839">
        <f t="shared" ref="G9:G12" si="1">F9-E9</f>
        <v>2784</v>
      </c>
      <c r="H9" s="816">
        <f>G9+'[3]11'!H9</f>
        <v>186918.69999999995</v>
      </c>
      <c r="I9" s="827">
        <f>I7-J7</f>
        <v>-6390.8333333333321</v>
      </c>
      <c r="J9" s="818">
        <f>H9/DAY(B2)</f>
        <v>15576.558333333329</v>
      </c>
      <c r="K9" s="527"/>
      <c r="L9" s="421"/>
      <c r="N9" s="874">
        <v>10758.600000000093</v>
      </c>
      <c r="O9" s="881">
        <f t="shared" si="0"/>
        <v>7974.6000000000931</v>
      </c>
      <c r="P9" s="426"/>
    </row>
    <row r="10" spans="1:16">
      <c r="A10" s="813" t="s">
        <v>146</v>
      </c>
      <c r="B10" s="814"/>
      <c r="C10" s="814"/>
      <c r="D10" s="779" t="s">
        <v>143</v>
      </c>
      <c r="E10" s="774">
        <f>'[3]11'!F10</f>
        <v>11572</v>
      </c>
      <c r="F10" s="618">
        <v>25953</v>
      </c>
      <c r="G10" s="826">
        <f t="shared" si="1"/>
        <v>14381</v>
      </c>
      <c r="H10" s="816">
        <f>G10+'[3]11'!H10</f>
        <v>25953.210000000021</v>
      </c>
      <c r="I10" s="828"/>
      <c r="J10" s="818">
        <f>H10/DAY(B2)</f>
        <v>2162.7675000000017</v>
      </c>
      <c r="K10" s="527"/>
      <c r="L10" s="421"/>
      <c r="N10" s="874">
        <v>0</v>
      </c>
      <c r="O10" s="881">
        <f t="shared" si="0"/>
        <v>-14381</v>
      </c>
      <c r="P10" s="426"/>
    </row>
    <row r="11" spans="1:16">
      <c r="A11" s="813" t="s">
        <v>147</v>
      </c>
      <c r="B11" s="814"/>
      <c r="C11" s="814"/>
      <c r="D11" s="779" t="s">
        <v>143</v>
      </c>
      <c r="E11" s="774">
        <f>'[3]11'!F11</f>
        <v>35390</v>
      </c>
      <c r="F11" s="595">
        <v>35390</v>
      </c>
      <c r="G11" s="826">
        <f t="shared" si="1"/>
        <v>0</v>
      </c>
      <c r="H11" s="816">
        <f>G11+'[3]11'!H11</f>
        <v>0</v>
      </c>
      <c r="I11" s="828"/>
      <c r="J11" s="818">
        <f>H11/DAY(B2)</f>
        <v>0</v>
      </c>
      <c r="K11" s="527"/>
      <c r="L11" s="421"/>
      <c r="N11" s="874">
        <v>0</v>
      </c>
      <c r="O11" s="881">
        <f t="shared" si="0"/>
        <v>0</v>
      </c>
      <c r="P11" s="426"/>
    </row>
    <row r="12" spans="1:16">
      <c r="A12" s="813" t="s">
        <v>148</v>
      </c>
      <c r="B12" s="814"/>
      <c r="C12" s="814"/>
      <c r="D12" s="779" t="s">
        <v>143</v>
      </c>
      <c r="E12" s="774">
        <f>'[3]11'!F12</f>
        <v>37630</v>
      </c>
      <c r="F12" s="618">
        <v>37630</v>
      </c>
      <c r="G12" s="826">
        <f t="shared" si="1"/>
        <v>0</v>
      </c>
      <c r="H12" s="816">
        <f>G12+'[3]11'!H12</f>
        <v>0</v>
      </c>
      <c r="I12" s="828"/>
      <c r="J12" s="818">
        <f>H12/DAY(B2)</f>
        <v>0</v>
      </c>
      <c r="K12" s="527"/>
      <c r="L12" s="421"/>
      <c r="N12" s="874">
        <v>0</v>
      </c>
      <c r="O12" s="881">
        <f t="shared" si="0"/>
        <v>0</v>
      </c>
      <c r="P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17165</v>
      </c>
      <c r="H13" s="816">
        <f>G13+'[3]11'!H13</f>
        <v>177215.90999999997</v>
      </c>
      <c r="I13" s="832">
        <f>G7-G13</f>
        <v>647</v>
      </c>
      <c r="J13" s="818">
        <f>H13/DAY(B2)</f>
        <v>14767.992499999998</v>
      </c>
      <c r="K13" s="527"/>
      <c r="L13" s="421"/>
      <c r="N13" s="874">
        <v>10758.600000000093</v>
      </c>
      <c r="O13" s="881">
        <f t="shared" si="0"/>
        <v>-6406.3999999999069</v>
      </c>
      <c r="P13" s="426"/>
    </row>
    <row r="14" spans="1:16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>
        <f t="shared" si="0"/>
        <v>0</v>
      </c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'[3]11'!F15</f>
        <v>1535936</v>
      </c>
      <c r="F15" s="625">
        <v>1536306</v>
      </c>
      <c r="G15" s="801">
        <f>(F15-E15)</f>
        <v>370</v>
      </c>
      <c r="H15" s="626">
        <f>G15+'[3]11'!H15</f>
        <v>6190.8060000000987</v>
      </c>
      <c r="I15" s="614">
        <v>800</v>
      </c>
      <c r="J15" s="694">
        <f>H15/DAY(B2)</f>
        <v>515.90050000000826</v>
      </c>
      <c r="K15" s="527"/>
      <c r="L15" s="421"/>
      <c r="N15" s="874">
        <v>195.14500000001863</v>
      </c>
      <c r="O15" s="881">
        <f t="shared" si="0"/>
        <v>-174.85499999998137</v>
      </c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284.09949999999174</v>
      </c>
      <c r="J16" s="694"/>
      <c r="K16" s="527"/>
      <c r="L16" s="421"/>
      <c r="N16" s="874"/>
      <c r="O16" s="881">
        <f t="shared" si="0"/>
        <v>0</v>
      </c>
      <c r="P16" s="426"/>
    </row>
    <row r="17" spans="1:16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>
        <f t="shared" si="0"/>
        <v>0</v>
      </c>
      <c r="P17" s="426"/>
    </row>
    <row r="18" spans="1:16" ht="27.75">
      <c r="A18" s="1478" t="s">
        <v>154</v>
      </c>
      <c r="B18" s="1479"/>
      <c r="C18" s="1480"/>
      <c r="D18" s="779" t="s">
        <v>155</v>
      </c>
      <c r="E18" s="776">
        <f>'[3]11'!F18</f>
        <v>18</v>
      </c>
      <c r="F18" s="618">
        <v>14</v>
      </c>
      <c r="G18" s="831">
        <f>F18*10</f>
        <v>140</v>
      </c>
      <c r="H18" s="816">
        <f>G18+'[3]11'!H18</f>
        <v>1340</v>
      </c>
      <c r="I18" s="817">
        <f>'[3]1'!I18</f>
        <v>65</v>
      </c>
      <c r="J18" s="818">
        <f>H18/DAY(B2)</f>
        <v>111.66666666666667</v>
      </c>
      <c r="K18" s="527"/>
      <c r="L18" s="421"/>
      <c r="N18" s="874">
        <v>0</v>
      </c>
      <c r="O18" s="881">
        <f t="shared" si="0"/>
        <v>-140</v>
      </c>
      <c r="P18" s="426"/>
    </row>
    <row r="19" spans="1:16" ht="27.75">
      <c r="A19" s="1478" t="s">
        <v>71</v>
      </c>
      <c r="B19" s="1479"/>
      <c r="C19" s="1480"/>
      <c r="D19" s="779" t="s">
        <v>155</v>
      </c>
      <c r="E19" s="776">
        <f>'[3]11'!F19</f>
        <v>128766</v>
      </c>
      <c r="F19" s="618">
        <v>128818</v>
      </c>
      <c r="G19" s="826">
        <f t="shared" ref="G19" si="2">F19-E19</f>
        <v>52</v>
      </c>
      <c r="H19" s="816">
        <f>G19+'[3]11'!H19</f>
        <v>623</v>
      </c>
      <c r="I19" s="833"/>
      <c r="J19" s="818">
        <f>H19/DAY(B2)</f>
        <v>51.916666666666664</v>
      </c>
      <c r="K19" s="527"/>
      <c r="L19" s="421"/>
      <c r="N19" s="874">
        <v>54</v>
      </c>
      <c r="O19" s="881">
        <f t="shared" si="0"/>
        <v>2</v>
      </c>
      <c r="P19" s="426"/>
    </row>
    <row r="20" spans="1:16">
      <c r="A20" s="829" t="s">
        <v>156</v>
      </c>
      <c r="B20" s="830"/>
      <c r="C20" s="830"/>
      <c r="D20" s="779"/>
      <c r="E20" s="779"/>
      <c r="F20" s="865"/>
      <c r="G20" s="834">
        <f>G18+G19</f>
        <v>192</v>
      </c>
      <c r="H20" s="816">
        <f>G20+'[3]11'!H20</f>
        <v>1963</v>
      </c>
      <c r="I20" s="835">
        <f>I18-J20</f>
        <v>-98.583333333333343</v>
      </c>
      <c r="J20" s="818">
        <f>H20/DAY(B2)</f>
        <v>163.58333333333334</v>
      </c>
      <c r="K20" s="527"/>
      <c r="L20" s="421"/>
      <c r="N20" s="874">
        <v>54</v>
      </c>
      <c r="O20" s="881">
        <f t="shared" si="0"/>
        <v>-138</v>
      </c>
      <c r="P20" s="426"/>
    </row>
    <row r="21" spans="1:16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>
        <f t="shared" si="0"/>
        <v>0</v>
      </c>
      <c r="P21" s="426"/>
    </row>
    <row r="22" spans="1:16">
      <c r="A22" s="1371" t="s">
        <v>158</v>
      </c>
      <c r="B22" s="730"/>
      <c r="C22" s="730"/>
      <c r="D22" s="663" t="s">
        <v>159</v>
      </c>
      <c r="E22" s="776">
        <f>'[3]11'!F22</f>
        <v>2250</v>
      </c>
      <c r="F22" s="618">
        <v>2250</v>
      </c>
      <c r="G22" s="621">
        <f t="shared" ref="G22" si="3">(F22-E22)</f>
        <v>0</v>
      </c>
      <c r="H22" s="600">
        <f>G22+'[3]11'!H22</f>
        <v>0</v>
      </c>
      <c r="I22" s="620"/>
      <c r="J22" s="693">
        <f>H22/DAY(B2)</f>
        <v>0</v>
      </c>
      <c r="K22" s="527"/>
      <c r="L22" s="421"/>
      <c r="N22" s="874">
        <v>0</v>
      </c>
      <c r="O22" s="881">
        <f t="shared" si="0"/>
        <v>0</v>
      </c>
      <c r="P22" s="426"/>
    </row>
    <row r="23" spans="1:16">
      <c r="A23" s="1371" t="s">
        <v>160</v>
      </c>
      <c r="B23" s="730"/>
      <c r="C23" s="730"/>
      <c r="D23" s="663" t="s">
        <v>159</v>
      </c>
      <c r="E23" s="776">
        <f>'[3]11'!F23</f>
        <v>2000</v>
      </c>
      <c r="F23" s="618">
        <v>2000</v>
      </c>
      <c r="G23" s="621">
        <v>0</v>
      </c>
      <c r="H23" s="600">
        <f>G23+'[3]11'!H23</f>
        <v>0</v>
      </c>
      <c r="I23" s="620"/>
      <c r="J23" s="693">
        <f>H23/DAY(B2)</f>
        <v>0</v>
      </c>
      <c r="K23" s="527"/>
      <c r="L23" s="421"/>
      <c r="N23" s="874">
        <v>0</v>
      </c>
      <c r="O23" s="881">
        <f t="shared" si="0"/>
        <v>0</v>
      </c>
      <c r="P23" s="426"/>
    </row>
    <row r="24" spans="1:16">
      <c r="A24" s="731" t="s">
        <v>161</v>
      </c>
      <c r="B24" s="732"/>
      <c r="C24" s="732"/>
      <c r="D24" s="651" t="s">
        <v>159</v>
      </c>
      <c r="E24" s="633">
        <f>'[3]11'!F24</f>
        <v>4250</v>
      </c>
      <c r="F24" s="625">
        <v>4250</v>
      </c>
      <c r="G24" s="621">
        <v>0</v>
      </c>
      <c r="H24" s="600">
        <f>G24+'[3]11'!H24</f>
        <v>0</v>
      </c>
      <c r="I24" s="620"/>
      <c r="J24" s="693">
        <f>H24/DAY(B2)</f>
        <v>0</v>
      </c>
      <c r="K24" s="527"/>
      <c r="L24" s="421"/>
      <c r="N24" s="874">
        <v>0</v>
      </c>
      <c r="O24" s="881">
        <f t="shared" si="0"/>
        <v>0</v>
      </c>
      <c r="P24" s="426"/>
    </row>
    <row r="25" spans="1:16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>
        <f t="shared" si="0"/>
        <v>0</v>
      </c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74"/>
      <c r="O26" s="881">
        <f t="shared" si="0"/>
        <v>0</v>
      </c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836">
        <f>G8</f>
        <v>17861</v>
      </c>
      <c r="F27" s="641">
        <v>9.5</v>
      </c>
      <c r="G27" s="642">
        <f>E27*F27</f>
        <v>169679.5</v>
      </c>
      <c r="H27" s="600">
        <f>G27+'[3]11'!H27</f>
        <v>2104601.5</v>
      </c>
      <c r="I27" s="643"/>
      <c r="J27" s="693">
        <f>H27/DAY(B2)</f>
        <v>175383.45833333334</v>
      </c>
      <c r="K27" s="417"/>
      <c r="L27" s="547"/>
      <c r="N27" s="874">
        <v>113966</v>
      </c>
      <c r="O27" s="881">
        <f>N27-G27</f>
        <v>-55713.5</v>
      </c>
      <c r="P27" s="426">
        <f>E27*10</f>
        <v>178610</v>
      </c>
    </row>
    <row r="28" spans="1:16" s="544" customFormat="1" ht="27.75">
      <c r="A28" s="733" t="s">
        <v>165</v>
      </c>
      <c r="B28" s="734"/>
      <c r="C28" s="735"/>
      <c r="D28" s="760" t="s">
        <v>166</v>
      </c>
      <c r="E28" s="836">
        <f>G15</f>
        <v>370</v>
      </c>
      <c r="F28" s="641">
        <v>36.5</v>
      </c>
      <c r="G28" s="642">
        <f>E28*F28</f>
        <v>13505</v>
      </c>
      <c r="H28" s="600">
        <f>G28+'[3]11'!H28</f>
        <v>225964.4190000036</v>
      </c>
      <c r="I28" s="645"/>
      <c r="J28" s="693">
        <f>H28/DAY(B2)</f>
        <v>18830.368250000301</v>
      </c>
      <c r="K28" s="417"/>
      <c r="L28" s="547"/>
      <c r="N28" s="874">
        <v>6830.0750000006519</v>
      </c>
      <c r="O28" s="881">
        <f t="shared" si="0"/>
        <v>-6674.9249999993481</v>
      </c>
      <c r="P28" s="426">
        <f>220*35</f>
        <v>7700</v>
      </c>
    </row>
    <row r="29" spans="1:16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G29+'[3]11'!H29</f>
        <v>0</v>
      </c>
      <c r="I29" s="645"/>
      <c r="J29" s="693">
        <f>H29/DAY(B2)</f>
        <v>0</v>
      </c>
      <c r="K29" s="417"/>
      <c r="L29" s="547"/>
      <c r="N29" s="874">
        <v>0</v>
      </c>
      <c r="O29" s="881">
        <f t="shared" si="0"/>
        <v>0</v>
      </c>
      <c r="P29" s="426">
        <f t="shared" ref="P29" si="4">E29*10</f>
        <v>0</v>
      </c>
    </row>
    <row r="30" spans="1:16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>E30*F30</f>
        <v>7540</v>
      </c>
      <c r="H30" s="600">
        <f>G30+'[3]11'!H30</f>
        <v>90335</v>
      </c>
      <c r="I30" s="645"/>
      <c r="J30" s="693">
        <f>H30/DAY(B2)</f>
        <v>7527.916666666667</v>
      </c>
      <c r="K30" s="417"/>
      <c r="L30" s="547"/>
      <c r="N30" s="874">
        <v>7236</v>
      </c>
      <c r="O30" s="881">
        <f t="shared" si="0"/>
        <v>-304</v>
      </c>
      <c r="P30" s="426">
        <f>57*134</f>
        <v>7638</v>
      </c>
    </row>
    <row r="31" spans="1:16" s="544" customFormat="1" ht="27.75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G31+'[3]11'!H31</f>
        <v>107200</v>
      </c>
      <c r="I31" s="645"/>
      <c r="J31" s="693">
        <f>H31/DAY(B2)</f>
        <v>8933.3333333333339</v>
      </c>
      <c r="K31" s="417"/>
      <c r="L31" s="547"/>
      <c r="N31" s="874">
        <v>0</v>
      </c>
      <c r="O31" s="881">
        <f t="shared" si="0"/>
        <v>-11200</v>
      </c>
      <c r="P31" s="426"/>
    </row>
    <row r="32" spans="1:16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201924.5</v>
      </c>
      <c r="H32" s="600">
        <f>G32+'[3]11'!H32</f>
        <v>2528100.9190000035</v>
      </c>
      <c r="I32" s="649"/>
      <c r="J32" s="693">
        <f>H32/DAY(B2)</f>
        <v>210675.07658333363</v>
      </c>
      <c r="K32" s="417"/>
      <c r="L32" s="547"/>
      <c r="N32" s="874">
        <v>128032.07500000065</v>
      </c>
      <c r="O32" s="881">
        <f t="shared" si="0"/>
        <v>-73892.424999999348</v>
      </c>
      <c r="P32" s="426"/>
    </row>
    <row r="33" spans="1:16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874"/>
      <c r="O33" s="881">
        <f t="shared" si="0"/>
        <v>0</v>
      </c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>
        <f t="shared" si="0"/>
        <v>0</v>
      </c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'[3]11'!F35</f>
        <v>629201</v>
      </c>
      <c r="F35" s="650">
        <v>629201</v>
      </c>
      <c r="G35" s="613">
        <f t="shared" ref="G35:G46" si="5">F35-E35</f>
        <v>0</v>
      </c>
      <c r="H35" s="600">
        <f>G35+'[3]11'!H35</f>
        <v>25857.530000000028</v>
      </c>
      <c r="I35" s="595"/>
      <c r="J35" s="693">
        <f>H35/DAY(B2)</f>
        <v>2154.7941666666688</v>
      </c>
      <c r="K35" s="527"/>
      <c r="L35" s="421"/>
      <c r="N35" s="874">
        <v>1363</v>
      </c>
      <c r="O35" s="882">
        <f t="shared" si="0"/>
        <v>1363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'[3]11'!F36</f>
        <v>217975</v>
      </c>
      <c r="F36" s="650">
        <v>218527</v>
      </c>
      <c r="G36" s="613">
        <f t="shared" si="5"/>
        <v>552</v>
      </c>
      <c r="H36" s="600">
        <f>G36+'[3]11'!H36</f>
        <v>7167.0499999999884</v>
      </c>
      <c r="I36" s="595"/>
      <c r="J36" s="693">
        <f>H36/DAY(B2)</f>
        <v>597.2541666666657</v>
      </c>
      <c r="K36" s="527"/>
      <c r="L36" s="421"/>
      <c r="N36" s="875">
        <v>520.44999999999709</v>
      </c>
      <c r="O36" s="882">
        <f t="shared" si="0"/>
        <v>-31.55000000000291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'[3]11'!F37</f>
        <v>415066</v>
      </c>
      <c r="F37" s="650">
        <v>415066</v>
      </c>
      <c r="G37" s="613">
        <f t="shared" si="5"/>
        <v>0</v>
      </c>
      <c r="H37" s="600">
        <f>G37+'[3]11'!H37</f>
        <v>15221.809999999998</v>
      </c>
      <c r="I37" s="595"/>
      <c r="J37" s="693">
        <f>H37/DAY(B2)</f>
        <v>1268.4841666666664</v>
      </c>
      <c r="K37" s="527"/>
      <c r="L37" s="421"/>
      <c r="N37" s="875">
        <v>1101.7600000000093</v>
      </c>
      <c r="O37" s="882">
        <f t="shared" si="0"/>
        <v>1101.7600000000093</v>
      </c>
      <c r="P37" s="426"/>
    </row>
    <row r="38" spans="1:16">
      <c r="A38" s="719" t="s">
        <v>178</v>
      </c>
      <c r="B38" s="720"/>
      <c r="C38" s="720"/>
      <c r="D38" s="663" t="s">
        <v>143</v>
      </c>
      <c r="E38" s="650">
        <f>'[3]11'!F38</f>
        <v>150714</v>
      </c>
      <c r="F38" s="609">
        <v>150714</v>
      </c>
      <c r="G38" s="613">
        <f t="shared" si="5"/>
        <v>0</v>
      </c>
      <c r="H38" s="600">
        <f>G38+'[3]11'!H38</f>
        <v>0</v>
      </c>
      <c r="I38" s="595"/>
      <c r="J38" s="693">
        <f>H38/DAY(B2)</f>
        <v>0</v>
      </c>
      <c r="K38" s="527"/>
      <c r="L38" s="421"/>
      <c r="N38" s="874">
        <v>0</v>
      </c>
      <c r="O38" s="881">
        <f t="shared" si="0"/>
        <v>0</v>
      </c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'[3]11'!F39</f>
        <v>912480</v>
      </c>
      <c r="F39" s="650">
        <v>912480</v>
      </c>
      <c r="G39" s="613">
        <f t="shared" si="5"/>
        <v>0</v>
      </c>
      <c r="H39" s="600">
        <f>G39+'[3]11'!H39</f>
        <v>40355.290000000037</v>
      </c>
      <c r="I39" s="595"/>
      <c r="J39" s="693">
        <f>H39/DAY(B2)</f>
        <v>3362.9408333333363</v>
      </c>
      <c r="K39" s="527"/>
      <c r="L39" s="421"/>
      <c r="N39" s="874">
        <v>1863.8300000000163</v>
      </c>
      <c r="O39" s="882">
        <f t="shared" si="0"/>
        <v>1863.8300000000163</v>
      </c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'[3]11'!F40</f>
        <v>0.17</v>
      </c>
      <c r="F40" s="650">
        <v>0.17</v>
      </c>
      <c r="G40" s="613">
        <f t="shared" si="5"/>
        <v>0</v>
      </c>
      <c r="H40" s="600">
        <f>G40+'[3]11'!H40</f>
        <v>0</v>
      </c>
      <c r="I40" s="595"/>
      <c r="J40" s="693">
        <f>H40/DAY(B2)</f>
        <v>0</v>
      </c>
      <c r="K40" s="528"/>
      <c r="L40" s="421"/>
      <c r="N40" s="874">
        <v>0</v>
      </c>
      <c r="O40" s="881">
        <f t="shared" si="0"/>
        <v>0</v>
      </c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'[3]11'!F41</f>
        <v>300127.90000000002</v>
      </c>
      <c r="F41" s="650">
        <v>300127.90000000002</v>
      </c>
      <c r="G41" s="613">
        <f>F41-E41</f>
        <v>0</v>
      </c>
      <c r="H41" s="600">
        <f>G41+'[3]11'!H41</f>
        <v>-6.9999999948777258E-2</v>
      </c>
      <c r="I41" s="595"/>
      <c r="J41" s="693">
        <f>H41/DAY(B2)</f>
        <v>-5.8333333290647715E-3</v>
      </c>
      <c r="K41" s="527"/>
      <c r="L41" s="421"/>
      <c r="N41" s="874">
        <v>3076.0299999999988</v>
      </c>
      <c r="O41" s="883">
        <f t="shared" si="0"/>
        <v>3076.0299999999988</v>
      </c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'[3]11'!F42</f>
        <v>396197.47</v>
      </c>
      <c r="F42" s="650">
        <v>396197.47</v>
      </c>
      <c r="G42" s="613">
        <f t="shared" si="5"/>
        <v>0</v>
      </c>
      <c r="H42" s="600">
        <f>G42+'[3]11'!H42</f>
        <v>0</v>
      </c>
      <c r="I42" s="595"/>
      <c r="J42" s="693">
        <f>H42/DAY(B2)</f>
        <v>0</v>
      </c>
      <c r="K42" s="527"/>
      <c r="L42" s="421"/>
      <c r="N42" s="874">
        <v>0</v>
      </c>
      <c r="O42" s="881">
        <f t="shared" si="0"/>
        <v>0</v>
      </c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'[3]11'!F43</f>
        <v>584411</v>
      </c>
      <c r="F43" s="650">
        <v>586768</v>
      </c>
      <c r="G43" s="613">
        <f t="shared" si="5"/>
        <v>2357</v>
      </c>
      <c r="H43" s="600">
        <f>G43+'[3]11'!H43</f>
        <v>28443.930000000051</v>
      </c>
      <c r="I43" s="595"/>
      <c r="J43" s="693">
        <f>H43/DAY(B2)</f>
        <v>2370.3275000000044</v>
      </c>
      <c r="K43" s="527"/>
      <c r="L43" s="421"/>
      <c r="N43" s="874">
        <v>1532.0800000000163</v>
      </c>
      <c r="O43" s="882">
        <f t="shared" si="0"/>
        <v>-824.9199999999837</v>
      </c>
      <c r="P43" s="426" t="s">
        <v>282</v>
      </c>
    </row>
    <row r="44" spans="1:16">
      <c r="A44" s="719" t="s">
        <v>184</v>
      </c>
      <c r="B44" s="720"/>
      <c r="C44" s="720"/>
      <c r="D44" s="663" t="s">
        <v>143</v>
      </c>
      <c r="E44" s="650">
        <f>'[3]11'!F44</f>
        <v>0</v>
      </c>
      <c r="F44" s="650">
        <v>0</v>
      </c>
      <c r="G44" s="613">
        <f t="shared" si="5"/>
        <v>0</v>
      </c>
      <c r="H44" s="600">
        <f>G44+'[3]11'!H44</f>
        <v>0</v>
      </c>
      <c r="I44" s="595"/>
      <c r="J44" s="693">
        <f>H44/DAY(B2)</f>
        <v>0</v>
      </c>
      <c r="K44" s="527"/>
      <c r="L44" s="421"/>
      <c r="N44" s="874">
        <v>0</v>
      </c>
      <c r="O44" s="881">
        <f t="shared" si="0"/>
        <v>0</v>
      </c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'[3]11'!F45</f>
        <v>614</v>
      </c>
      <c r="F45" s="650">
        <v>614</v>
      </c>
      <c r="G45" s="613">
        <f t="shared" si="5"/>
        <v>0</v>
      </c>
      <c r="H45" s="600">
        <f>G45+'[3]11'!H45</f>
        <v>-0.48000000000001819</v>
      </c>
      <c r="I45" s="595"/>
      <c r="J45" s="693">
        <f>H45/DAY(B2)</f>
        <v>-4.0000000000001514E-2</v>
      </c>
      <c r="K45" s="527"/>
      <c r="L45" s="421"/>
      <c r="N45" s="878">
        <v>0</v>
      </c>
      <c r="O45" s="881">
        <f t="shared" si="0"/>
        <v>0</v>
      </c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'[3]11'!F46</f>
        <v>187.49</v>
      </c>
      <c r="F46" s="650">
        <v>187.49</v>
      </c>
      <c r="G46" s="613">
        <f t="shared" si="5"/>
        <v>0</v>
      </c>
      <c r="H46" s="600">
        <f>G46+'[3]11'!H46</f>
        <v>0</v>
      </c>
      <c r="I46" s="595"/>
      <c r="J46" s="693">
        <f>H46/DAY(B2)</f>
        <v>0</v>
      </c>
      <c r="K46" s="527"/>
      <c r="L46" s="421"/>
      <c r="N46" s="874">
        <v>0</v>
      </c>
      <c r="O46" s="881">
        <f t="shared" si="0"/>
        <v>0</v>
      </c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2909</v>
      </c>
      <c r="H47" s="600">
        <f>G47+'[3]11'!H47</f>
        <v>117045.06000000016</v>
      </c>
      <c r="I47" s="595"/>
      <c r="J47" s="693">
        <f>H47/DAY(B2)</f>
        <v>9753.7550000000138</v>
      </c>
      <c r="K47" s="527"/>
      <c r="L47" s="421"/>
      <c r="N47" s="874">
        <v>9457.1500000000378</v>
      </c>
      <c r="O47" s="881">
        <f t="shared" si="0"/>
        <v>6548.1500000000378</v>
      </c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>
        <f t="shared" si="0"/>
        <v>0</v>
      </c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'[3]11'!F49</f>
        <v>13753</v>
      </c>
      <c r="F49" s="650">
        <v>15792</v>
      </c>
      <c r="G49" s="613">
        <f>F49-E49</f>
        <v>2039</v>
      </c>
      <c r="H49" s="600">
        <f>G49+'[3]11'!H49</f>
        <v>4062.7119999999995</v>
      </c>
      <c r="I49" s="595"/>
      <c r="J49" s="693">
        <f>H49/DAY(B2)</f>
        <v>338.55933333333331</v>
      </c>
      <c r="K49" s="527"/>
      <c r="L49" s="421"/>
      <c r="N49" s="874">
        <v>0</v>
      </c>
      <c r="O49" s="881">
        <f t="shared" si="0"/>
        <v>-2039</v>
      </c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'[3]11'!F50</f>
        <v>275008</v>
      </c>
      <c r="F50" s="650">
        <v>276200</v>
      </c>
      <c r="G50" s="613">
        <f t="shared" ref="G50:G58" si="6">F50-E50</f>
        <v>1192</v>
      </c>
      <c r="H50" s="600">
        <f>G50+'[3]11'!H50</f>
        <v>10141.059999999998</v>
      </c>
      <c r="I50" s="595"/>
      <c r="J50" s="693">
        <f>H50/DAY(B2)</f>
        <v>845.08833333333314</v>
      </c>
      <c r="K50" s="527"/>
      <c r="L50" s="421"/>
      <c r="N50" s="874">
        <v>563.54000000000815</v>
      </c>
      <c r="O50" s="882">
        <f t="shared" si="0"/>
        <v>-628.45999999999185</v>
      </c>
      <c r="P50" s="426" t="s">
        <v>282</v>
      </c>
    </row>
    <row r="51" spans="1:16">
      <c r="A51" s="719" t="s">
        <v>177</v>
      </c>
      <c r="B51" s="742"/>
      <c r="C51" s="742"/>
      <c r="D51" s="663" t="s">
        <v>143</v>
      </c>
      <c r="E51" s="650">
        <f>'[3]11'!F51</f>
        <v>0</v>
      </c>
      <c r="F51" s="650">
        <v>0</v>
      </c>
      <c r="G51" s="613">
        <f t="shared" si="6"/>
        <v>0</v>
      </c>
      <c r="H51" s="600">
        <f>G51+'[3]11'!H51</f>
        <v>0</v>
      </c>
      <c r="I51" s="595"/>
      <c r="J51" s="693">
        <f>H51/DAY(B2)</f>
        <v>0</v>
      </c>
      <c r="K51" s="527"/>
      <c r="L51" s="421"/>
      <c r="N51" s="874">
        <v>0</v>
      </c>
      <c r="O51" s="881">
        <f t="shared" si="0"/>
        <v>0</v>
      </c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'[3]11'!F52</f>
        <v>337954</v>
      </c>
      <c r="F52" s="650">
        <v>339645</v>
      </c>
      <c r="G52" s="613">
        <f t="shared" si="6"/>
        <v>1691</v>
      </c>
      <c r="H52" s="600">
        <f>G52+'[3]11'!H52</f>
        <v>17355.580000000016</v>
      </c>
      <c r="I52" s="595"/>
      <c r="J52" s="693">
        <f>H52/DAY(B2)</f>
        <v>1446.2983333333348</v>
      </c>
      <c r="K52" s="527"/>
      <c r="L52" s="421"/>
      <c r="N52" s="874">
        <v>1142.4100000000035</v>
      </c>
      <c r="O52" s="881">
        <f t="shared" si="0"/>
        <v>-548.58999999999651</v>
      </c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'[3]11'!F53</f>
        <v>4110</v>
      </c>
      <c r="F53" s="650">
        <v>8101</v>
      </c>
      <c r="G53" s="613">
        <f t="shared" si="6"/>
        <v>3991</v>
      </c>
      <c r="H53" s="600">
        <f>G53+'[3]11'!H53</f>
        <v>8101</v>
      </c>
      <c r="I53" s="595"/>
      <c r="J53" s="693">
        <f>H53/DAY(B2)</f>
        <v>675.08333333333337</v>
      </c>
      <c r="K53" s="527"/>
      <c r="L53" s="421"/>
      <c r="N53" s="874">
        <v>84.219999999999345</v>
      </c>
      <c r="O53" s="881">
        <f t="shared" si="0"/>
        <v>-3906.7800000000007</v>
      </c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'[3]11'!F54</f>
        <v>2204</v>
      </c>
      <c r="F54" s="650">
        <v>2266</v>
      </c>
      <c r="G54" s="613">
        <f t="shared" si="6"/>
        <v>62</v>
      </c>
      <c r="H54" s="600">
        <f>G54+'[3]11'!H54</f>
        <v>713.4393</v>
      </c>
      <c r="I54" s="595"/>
      <c r="J54" s="693">
        <f>H54/DAY(B2)</f>
        <v>59.453274999999998</v>
      </c>
      <c r="K54" s="527"/>
      <c r="L54" s="421"/>
      <c r="N54" s="874">
        <v>0</v>
      </c>
      <c r="O54" s="881">
        <f t="shared" si="0"/>
        <v>-62</v>
      </c>
      <c r="P54" s="426"/>
    </row>
    <row r="55" spans="1:16">
      <c r="A55" s="719" t="s">
        <v>192</v>
      </c>
      <c r="B55" s="742"/>
      <c r="C55" s="742"/>
      <c r="D55" s="663" t="s">
        <v>143</v>
      </c>
      <c r="E55" s="650">
        <f>'[3]11'!F55</f>
        <v>158493</v>
      </c>
      <c r="F55" s="790">
        <v>158492.73000000001</v>
      </c>
      <c r="G55" s="789">
        <f t="shared" si="6"/>
        <v>-0.26999999998952262</v>
      </c>
      <c r="H55" s="861">
        <f>G55+'[3]11'!H55</f>
        <v>-0.26999999998952262</v>
      </c>
      <c r="I55" s="862"/>
      <c r="J55" s="863">
        <f>H55/DAY(B2)</f>
        <v>-2.2499999999126885E-2</v>
      </c>
      <c r="K55" s="527"/>
      <c r="L55" s="421"/>
      <c r="N55" s="874">
        <v>0</v>
      </c>
      <c r="O55" s="881">
        <f t="shared" si="0"/>
        <v>0.26999999998952262</v>
      </c>
      <c r="P55" s="426"/>
    </row>
    <row r="56" spans="1:16">
      <c r="A56" s="719" t="s">
        <v>193</v>
      </c>
      <c r="B56" s="742"/>
      <c r="C56" s="742"/>
      <c r="D56" s="663" t="s">
        <v>194</v>
      </c>
      <c r="E56" s="650">
        <f>'[3]11'!F56</f>
        <v>349193</v>
      </c>
      <c r="F56" s="790">
        <v>352952</v>
      </c>
      <c r="G56" s="613">
        <f t="shared" si="6"/>
        <v>3759</v>
      </c>
      <c r="H56" s="600">
        <f>G56+'[3]11'!H56</f>
        <v>40907.520000000019</v>
      </c>
      <c r="I56" s="595"/>
      <c r="J56" s="693">
        <f>H56/DAY(B2)</f>
        <v>3408.9600000000014</v>
      </c>
      <c r="K56" s="526"/>
      <c r="L56" s="421"/>
      <c r="N56" s="874">
        <v>0</v>
      </c>
      <c r="O56" s="883">
        <f t="shared" si="0"/>
        <v>-3759</v>
      </c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'[3]11'!F57</f>
        <v>0</v>
      </c>
      <c r="F57" s="650">
        <v>0</v>
      </c>
      <c r="G57" s="613">
        <f t="shared" si="6"/>
        <v>0</v>
      </c>
      <c r="H57" s="600">
        <f>G57+'[3]11'!H57</f>
        <v>0</v>
      </c>
      <c r="I57" s="595"/>
      <c r="J57" s="693">
        <f>H57/DAY(B2)</f>
        <v>0</v>
      </c>
      <c r="K57" s="527"/>
      <c r="L57" s="421"/>
      <c r="N57" s="874">
        <v>0</v>
      </c>
      <c r="O57" s="881">
        <f t="shared" si="0"/>
        <v>0</v>
      </c>
      <c r="P57" s="426"/>
    </row>
    <row r="58" spans="1:16">
      <c r="A58" s="719" t="s">
        <v>195</v>
      </c>
      <c r="B58" s="742"/>
      <c r="C58" s="742"/>
      <c r="D58" s="663" t="s">
        <v>143</v>
      </c>
      <c r="E58" s="650">
        <f>'[3]11'!F58</f>
        <v>18393</v>
      </c>
      <c r="F58" s="790">
        <v>18428</v>
      </c>
      <c r="G58" s="613">
        <f t="shared" si="6"/>
        <v>35</v>
      </c>
      <c r="H58" s="600">
        <f>G58+'[3]11'!H58</f>
        <v>658.7039999999979</v>
      </c>
      <c r="I58" s="595"/>
      <c r="J58" s="693">
        <f>H58/DAY(B2)</f>
        <v>54.891999999999825</v>
      </c>
      <c r="K58" s="527"/>
      <c r="L58" s="421"/>
      <c r="N58" s="874">
        <v>0</v>
      </c>
      <c r="O58" s="881">
        <f t="shared" si="0"/>
        <v>-35</v>
      </c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12768.73000000001</v>
      </c>
      <c r="H59" s="600">
        <f>G59+'[3]11'!H59</f>
        <v>81939.745300000039</v>
      </c>
      <c r="I59" s="595">
        <f>G7-G60</f>
        <v>2134.2699999999895</v>
      </c>
      <c r="J59" s="693">
        <f>H59/DAY(B2)</f>
        <v>6828.3121083333363</v>
      </c>
      <c r="K59" s="527"/>
      <c r="L59" s="421"/>
      <c r="N59" s="874">
        <v>1790.170000000011</v>
      </c>
      <c r="O59" s="881">
        <f t="shared" si="0"/>
        <v>-10978.56</v>
      </c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15677.73000000001</v>
      </c>
      <c r="H60" s="600">
        <f>G60+'[3]11'!H60</f>
        <v>213370.96600000019</v>
      </c>
      <c r="I60" s="595">
        <f>G13-G60</f>
        <v>1487.2699999999895</v>
      </c>
      <c r="J60" s="693">
        <f>H60/DAY(B2)</f>
        <v>17780.91383333335</v>
      </c>
      <c r="K60" s="527"/>
      <c r="L60" s="421"/>
      <c r="N60" s="874">
        <v>11247.320000000049</v>
      </c>
      <c r="O60" s="881">
        <f t="shared" si="0"/>
        <v>-4430.4099999999617</v>
      </c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>
        <f t="shared" si="0"/>
        <v>0</v>
      </c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'[3]11'!F62</f>
        <v>20419</v>
      </c>
      <c r="F62" s="654">
        <v>20419</v>
      </c>
      <c r="G62" s="613">
        <f t="shared" ref="G62:G69" si="7">F62-E62</f>
        <v>0</v>
      </c>
      <c r="H62" s="600">
        <f>G62+'[3]11'!H62</f>
        <v>-0.3779999999969732</v>
      </c>
      <c r="I62" s="655"/>
      <c r="J62" s="693">
        <f>H62/DAY(B2)</f>
        <v>-3.1499999999747764E-2</v>
      </c>
      <c r="K62" s="527"/>
      <c r="L62" s="421"/>
      <c r="N62" s="874">
        <v>0</v>
      </c>
      <c r="O62" s="881">
        <f t="shared" si="0"/>
        <v>0</v>
      </c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'[3]11'!F63</f>
        <v>511</v>
      </c>
      <c r="F63" s="654">
        <v>531</v>
      </c>
      <c r="G63" s="613">
        <f t="shared" si="7"/>
        <v>20</v>
      </c>
      <c r="H63" s="600">
        <f>G63+'[3]11'!H63</f>
        <v>232.54000000000002</v>
      </c>
      <c r="I63" s="655"/>
      <c r="J63" s="693">
        <f>H63/DAY(B2)</f>
        <v>19.378333333333334</v>
      </c>
      <c r="K63" s="527"/>
      <c r="L63" s="421"/>
      <c r="N63" s="874">
        <v>2.8000000000247383E-2</v>
      </c>
      <c r="O63" s="881">
        <f t="shared" si="0"/>
        <v>-19.971999999999753</v>
      </c>
      <c r="P63" s="426"/>
    </row>
    <row r="64" spans="1:16" ht="27.75">
      <c r="A64" s="1429" t="s">
        <v>107</v>
      </c>
      <c r="B64" s="1430"/>
      <c r="C64" s="1431"/>
      <c r="D64" s="663" t="s">
        <v>198</v>
      </c>
      <c r="E64" s="654">
        <f>'[3]11'!F64</f>
        <v>80007</v>
      </c>
      <c r="F64" s="618">
        <v>80352</v>
      </c>
      <c r="G64" s="613">
        <f t="shared" si="7"/>
        <v>345</v>
      </c>
      <c r="H64" s="600">
        <f>G64+'[3]11'!H64</f>
        <v>4288.9130000000005</v>
      </c>
      <c r="I64" s="620"/>
      <c r="J64" s="693">
        <f>H64/DAY(B2)</f>
        <v>357.40941666666669</v>
      </c>
      <c r="K64" s="527"/>
      <c r="L64" s="421"/>
      <c r="N64" s="874">
        <v>152.80799999999726</v>
      </c>
      <c r="O64" s="881">
        <f t="shared" si="0"/>
        <v>-192.19200000000274</v>
      </c>
      <c r="P64" s="426"/>
    </row>
    <row r="65" spans="1:16" ht="27.75">
      <c r="A65" s="1429" t="s">
        <v>108</v>
      </c>
      <c r="B65" s="1430"/>
      <c r="C65" s="1431"/>
      <c r="D65" s="663" t="s">
        <v>198</v>
      </c>
      <c r="E65" s="654">
        <f>'[3]11'!F65</f>
        <v>89480</v>
      </c>
      <c r="F65" s="788">
        <v>89843</v>
      </c>
      <c r="G65" s="613">
        <f t="shared" si="7"/>
        <v>363</v>
      </c>
      <c r="H65" s="600">
        <f>G65+'[3]11'!H65</f>
        <v>4683.7369999999937</v>
      </c>
      <c r="I65" s="629"/>
      <c r="J65" s="693">
        <f>H65/DAY(B2)</f>
        <v>390.31141666666616</v>
      </c>
      <c r="K65" s="527"/>
      <c r="L65" s="421"/>
      <c r="N65" s="874">
        <v>205.22099999999773</v>
      </c>
      <c r="O65" s="882">
        <f t="shared" si="0"/>
        <v>-157.77900000000227</v>
      </c>
      <c r="P65" s="426"/>
    </row>
    <row r="66" spans="1:16" ht="27.75">
      <c r="A66" s="1429" t="s">
        <v>109</v>
      </c>
      <c r="B66" s="1430"/>
      <c r="C66" s="1431"/>
      <c r="D66" s="663" t="s">
        <v>198</v>
      </c>
      <c r="E66" s="654">
        <f>'[3]11'!F66</f>
        <v>82575</v>
      </c>
      <c r="F66" s="618">
        <v>82918</v>
      </c>
      <c r="G66" s="613">
        <f t="shared" si="7"/>
        <v>343</v>
      </c>
      <c r="H66" s="600">
        <f>G66+'[3]11'!H66</f>
        <v>4730.0420000000013</v>
      </c>
      <c r="I66" s="620"/>
      <c r="J66" s="693">
        <f>H66/DAY(B2)</f>
        <v>394.17016666666677</v>
      </c>
      <c r="K66" s="527"/>
      <c r="L66" s="421"/>
      <c r="N66" s="874">
        <v>207.73500000000058</v>
      </c>
      <c r="O66" s="881">
        <f t="shared" si="0"/>
        <v>-135.26499999999942</v>
      </c>
      <c r="P66" s="426"/>
    </row>
    <row r="67" spans="1:16" ht="27.75">
      <c r="A67" s="1429" t="s">
        <v>110</v>
      </c>
      <c r="B67" s="1430"/>
      <c r="C67" s="1431"/>
      <c r="D67" s="663" t="s">
        <v>198</v>
      </c>
      <c r="E67" s="654">
        <f>'[3]11'!F67</f>
        <v>133228</v>
      </c>
      <c r="F67" s="618">
        <v>133851</v>
      </c>
      <c r="G67" s="613">
        <f t="shared" si="7"/>
        <v>623</v>
      </c>
      <c r="H67" s="600">
        <f>G67+'[3]11'!H67</f>
        <v>7794.5</v>
      </c>
      <c r="I67" s="629"/>
      <c r="J67" s="693">
        <f>H67/DAY(B2)</f>
        <v>649.54166666666663</v>
      </c>
      <c r="K67" s="528"/>
      <c r="L67" s="421"/>
      <c r="N67" s="874">
        <v>271.32000000000698</v>
      </c>
      <c r="O67" s="881">
        <f t="shared" si="0"/>
        <v>-351.67999999999302</v>
      </c>
      <c r="P67" s="426"/>
    </row>
    <row r="68" spans="1:16" ht="27.75">
      <c r="A68" s="1429" t="s">
        <v>111</v>
      </c>
      <c r="B68" s="1430"/>
      <c r="C68" s="1431"/>
      <c r="D68" s="663" t="s">
        <v>198</v>
      </c>
      <c r="E68" s="654">
        <f>'[3]11'!F68</f>
        <v>36879</v>
      </c>
      <c r="F68" s="618">
        <v>37220</v>
      </c>
      <c r="G68" s="613">
        <f t="shared" si="7"/>
        <v>341</v>
      </c>
      <c r="H68" s="600">
        <f>G68+'[3]11'!H68</f>
        <v>3820.1310000000012</v>
      </c>
      <c r="I68" s="656"/>
      <c r="J68" s="693">
        <f>H68/DAY(B2)</f>
        <v>318.3442500000001</v>
      </c>
      <c r="K68" s="529"/>
      <c r="L68" s="421"/>
      <c r="N68" s="874">
        <v>90.110000000000127</v>
      </c>
      <c r="O68" s="881">
        <f t="shared" si="0"/>
        <v>-250.88999999999987</v>
      </c>
      <c r="P68" s="426"/>
    </row>
    <row r="69" spans="1:16" ht="27.75">
      <c r="A69" s="1429" t="s">
        <v>112</v>
      </c>
      <c r="B69" s="1430"/>
      <c r="C69" s="1431"/>
      <c r="D69" s="663" t="s">
        <v>198</v>
      </c>
      <c r="E69" s="654">
        <f>'[3]11'!F69</f>
        <v>32142</v>
      </c>
      <c r="F69" s="618">
        <v>32431</v>
      </c>
      <c r="G69" s="613">
        <f t="shared" si="7"/>
        <v>289</v>
      </c>
      <c r="H69" s="600">
        <f>G69+'[3]11'!H69</f>
        <v>3178.6349999999984</v>
      </c>
      <c r="I69" s="656"/>
      <c r="J69" s="693">
        <f>H69/DAY(B2)</f>
        <v>264.88624999999985</v>
      </c>
      <c r="K69" s="530"/>
      <c r="L69" s="421"/>
      <c r="N69" s="874">
        <v>12.712999999999738</v>
      </c>
      <c r="O69" s="881">
        <f t="shared" si="0"/>
        <v>-276.28700000000026</v>
      </c>
      <c r="P69" s="426"/>
    </row>
    <row r="70" spans="1:16" ht="27.75">
      <c r="A70" s="1469" t="s">
        <v>200</v>
      </c>
      <c r="B70" s="1470"/>
      <c r="C70" s="1471"/>
      <c r="D70" s="663" t="s">
        <v>198</v>
      </c>
      <c r="E70" s="658"/>
      <c r="F70" s="658"/>
      <c r="G70" s="658">
        <v>0</v>
      </c>
      <c r="H70" s="600">
        <f>G70+'[3]11'!H70</f>
        <v>0</v>
      </c>
      <c r="I70" s="658"/>
      <c r="J70" s="697">
        <f>H70/DAY(B2)</f>
        <v>0</v>
      </c>
      <c r="K70" s="530"/>
      <c r="L70" s="421"/>
      <c r="N70" s="874"/>
      <c r="O70" s="881">
        <f t="shared" si="0"/>
        <v>0</v>
      </c>
      <c r="P70" s="426"/>
    </row>
    <row r="71" spans="1:16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874"/>
      <c r="O71" s="881">
        <f t="shared" si="0"/>
        <v>0</v>
      </c>
      <c r="P71" s="426"/>
    </row>
    <row r="72" spans="1:16" ht="27.75">
      <c r="A72" s="1429" t="s">
        <v>202</v>
      </c>
      <c r="B72" s="1430"/>
      <c r="C72" s="1431"/>
      <c r="D72" s="663" t="s">
        <v>198</v>
      </c>
      <c r="E72" s="659">
        <f>'[3]11'!F72</f>
        <v>844016</v>
      </c>
      <c r="F72" s="791">
        <v>844024</v>
      </c>
      <c r="G72" s="613">
        <f t="shared" ref="G72:G84" si="8">F72-E72</f>
        <v>8</v>
      </c>
      <c r="H72" s="600">
        <f>G72+'[3]11'!H72</f>
        <v>91</v>
      </c>
      <c r="I72" s="620"/>
      <c r="J72" s="693">
        <f>H72/DAY(B2)</f>
        <v>7.583333333333333</v>
      </c>
      <c r="K72" s="530"/>
      <c r="L72" s="421"/>
      <c r="N72" s="874">
        <v>13</v>
      </c>
      <c r="O72" s="881">
        <f t="shared" ref="O72:O140" si="9">N72-G72</f>
        <v>5</v>
      </c>
      <c r="P72" s="426"/>
    </row>
    <row r="73" spans="1:16" ht="27.75">
      <c r="A73" s="1429" t="s">
        <v>203</v>
      </c>
      <c r="B73" s="1430"/>
      <c r="C73" s="1431"/>
      <c r="D73" s="663" t="s">
        <v>198</v>
      </c>
      <c r="E73" s="659">
        <f>'[3]11'!F73</f>
        <v>885225</v>
      </c>
      <c r="F73" s="792">
        <v>885227</v>
      </c>
      <c r="G73" s="789">
        <f t="shared" si="8"/>
        <v>2</v>
      </c>
      <c r="H73" s="600">
        <f>G73+'[3]11'!H73</f>
        <v>12</v>
      </c>
      <c r="I73" s="620"/>
      <c r="J73" s="693">
        <f>H73/DAY(B2)</f>
        <v>1</v>
      </c>
      <c r="K73" s="529"/>
      <c r="L73" s="421"/>
      <c r="N73" s="874">
        <v>1</v>
      </c>
      <c r="O73" s="881">
        <f t="shared" si="9"/>
        <v>-1</v>
      </c>
      <c r="P73" s="426"/>
    </row>
    <row r="74" spans="1:16" ht="27.75">
      <c r="A74" s="1429" t="s">
        <v>204</v>
      </c>
      <c r="B74" s="1430"/>
      <c r="C74" s="1431"/>
      <c r="D74" s="663" t="s">
        <v>198</v>
      </c>
      <c r="E74" s="659">
        <f>'[3]11'!F74</f>
        <v>879814</v>
      </c>
      <c r="F74" s="792">
        <v>879830</v>
      </c>
      <c r="G74" s="613">
        <f t="shared" si="8"/>
        <v>16</v>
      </c>
      <c r="H74" s="600">
        <f>G74+'[3]11'!H74</f>
        <v>194</v>
      </c>
      <c r="I74" s="620"/>
      <c r="J74" s="693">
        <f>H74/DAY(B2)</f>
        <v>16.166666666666668</v>
      </c>
      <c r="K74" s="530"/>
      <c r="L74" s="421"/>
      <c r="N74" s="874">
        <v>8</v>
      </c>
      <c r="O74" s="881">
        <f t="shared" si="9"/>
        <v>-8</v>
      </c>
      <c r="P74" s="426"/>
    </row>
    <row r="75" spans="1:16" ht="27.75">
      <c r="A75" s="1408" t="s">
        <v>205</v>
      </c>
      <c r="B75" s="1409"/>
      <c r="C75" s="1410"/>
      <c r="D75" s="663" t="s">
        <v>198</v>
      </c>
      <c r="E75" s="659">
        <f>'[3]11'!F75</f>
        <v>723113</v>
      </c>
      <c r="F75" s="792">
        <v>723266</v>
      </c>
      <c r="G75" s="613">
        <f t="shared" si="8"/>
        <v>153</v>
      </c>
      <c r="H75" s="600">
        <f>G75+'[3]11'!H75</f>
        <v>1900</v>
      </c>
      <c r="I75" s="620"/>
      <c r="J75" s="693">
        <f>H75/DAY(B2)</f>
        <v>158.33333333333334</v>
      </c>
      <c r="K75" s="529"/>
      <c r="L75" s="421"/>
      <c r="N75" s="874">
        <v>64</v>
      </c>
      <c r="O75" s="881">
        <f t="shared" si="9"/>
        <v>-89</v>
      </c>
      <c r="P75" s="426"/>
    </row>
    <row r="76" spans="1:16" ht="27.75">
      <c r="A76" s="1408" t="s">
        <v>206</v>
      </c>
      <c r="B76" s="1409"/>
      <c r="C76" s="1410"/>
      <c r="D76" s="663" t="s">
        <v>198</v>
      </c>
      <c r="E76" s="659">
        <f>'[3]11'!F76</f>
        <v>680391</v>
      </c>
      <c r="F76" s="792">
        <v>680457</v>
      </c>
      <c r="G76" s="613">
        <f t="shared" si="8"/>
        <v>66</v>
      </c>
      <c r="H76" s="600">
        <f>G76+'[3]11'!H76</f>
        <v>805</v>
      </c>
      <c r="I76" s="645"/>
      <c r="J76" s="693">
        <f>H76/DAY(B2)</f>
        <v>67.083333333333329</v>
      </c>
      <c r="K76" s="529"/>
      <c r="L76" s="421"/>
      <c r="N76" s="874">
        <v>5</v>
      </c>
      <c r="O76" s="881">
        <f t="shared" si="9"/>
        <v>-61</v>
      </c>
      <c r="P76" s="426"/>
    </row>
    <row r="77" spans="1:16" ht="27.75">
      <c r="A77" s="1429" t="s">
        <v>207</v>
      </c>
      <c r="B77" s="1430"/>
      <c r="C77" s="1431"/>
      <c r="D77" s="663" t="s">
        <v>198</v>
      </c>
      <c r="E77" s="659">
        <f>'[3]11'!F77</f>
        <v>692789</v>
      </c>
      <c r="F77" s="792">
        <v>692835</v>
      </c>
      <c r="G77" s="789">
        <f t="shared" si="8"/>
        <v>46</v>
      </c>
      <c r="H77" s="600">
        <f>G77+'[3]11'!H77</f>
        <v>528</v>
      </c>
      <c r="I77" s="645"/>
      <c r="J77" s="693">
        <f>H77/DAY(B2)</f>
        <v>44</v>
      </c>
      <c r="K77" s="529"/>
      <c r="L77" s="421"/>
      <c r="N77" s="874">
        <v>15</v>
      </c>
      <c r="O77" s="881">
        <f t="shared" si="9"/>
        <v>-31</v>
      </c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659">
        <f>'[3]11'!F78</f>
        <v>611456</v>
      </c>
      <c r="F78" s="793">
        <v>611778</v>
      </c>
      <c r="G78" s="613">
        <f t="shared" si="8"/>
        <v>322</v>
      </c>
      <c r="H78" s="600">
        <f>G78+'[3]11'!H78</f>
        <v>3764</v>
      </c>
      <c r="I78" s="645"/>
      <c r="J78" s="693">
        <f>H78/DAY(B2)</f>
        <v>313.66666666666669</v>
      </c>
      <c r="K78" s="529"/>
      <c r="L78" s="421"/>
      <c r="N78" s="874">
        <v>33</v>
      </c>
      <c r="O78" s="881">
        <f t="shared" si="9"/>
        <v>-289</v>
      </c>
      <c r="P78" s="426"/>
    </row>
    <row r="79" spans="1:16" ht="27.75">
      <c r="A79" s="1408" t="s">
        <v>97</v>
      </c>
      <c r="B79" s="1409"/>
      <c r="C79" s="1410"/>
      <c r="D79" s="664" t="s">
        <v>198</v>
      </c>
      <c r="E79" s="659">
        <f>'[3]11'!F79</f>
        <v>794550</v>
      </c>
      <c r="F79" s="793">
        <v>794716</v>
      </c>
      <c r="G79" s="613">
        <f t="shared" si="8"/>
        <v>166</v>
      </c>
      <c r="H79" s="600">
        <f>G79+'[3]11'!H79</f>
        <v>1928</v>
      </c>
      <c r="I79" s="645"/>
      <c r="J79" s="693">
        <f>H79/DAY(B2)</f>
        <v>160.66666666666666</v>
      </c>
      <c r="K79" s="529"/>
      <c r="L79" s="421"/>
      <c r="N79" s="874">
        <v>101</v>
      </c>
      <c r="O79" s="881">
        <f t="shared" si="9"/>
        <v>-65</v>
      </c>
      <c r="P79" s="426"/>
    </row>
    <row r="80" spans="1:16" ht="27.75">
      <c r="A80" s="1408" t="s">
        <v>209</v>
      </c>
      <c r="B80" s="1409"/>
      <c r="C80" s="1410"/>
      <c r="D80" s="664" t="s">
        <v>198</v>
      </c>
      <c r="E80" s="659">
        <f>'[3]11'!F80</f>
        <v>460001</v>
      </c>
      <c r="F80" s="792">
        <v>460283</v>
      </c>
      <c r="G80" s="613">
        <f t="shared" si="8"/>
        <v>282</v>
      </c>
      <c r="H80" s="600">
        <f>G80+'[3]11'!H80</f>
        <v>3417.960000000021</v>
      </c>
      <c r="I80" s="645"/>
      <c r="J80" s="693">
        <f>H80/DAY(B2)</f>
        <v>284.83000000000175</v>
      </c>
      <c r="K80" s="529"/>
      <c r="L80" s="421"/>
      <c r="N80" s="874">
        <v>190.88000000000466</v>
      </c>
      <c r="O80" s="881">
        <f t="shared" si="9"/>
        <v>-91.119999999995343</v>
      </c>
      <c r="P80" s="426"/>
    </row>
    <row r="81" spans="1:16" ht="27.75">
      <c r="A81" s="1408" t="s">
        <v>210</v>
      </c>
      <c r="B81" s="1409"/>
      <c r="C81" s="1410"/>
      <c r="D81" s="664" t="s">
        <v>198</v>
      </c>
      <c r="E81" s="659">
        <f>'[3]11'!F81</f>
        <v>612187</v>
      </c>
      <c r="F81" s="792">
        <v>612274</v>
      </c>
      <c r="G81" s="613">
        <f t="shared" si="8"/>
        <v>87</v>
      </c>
      <c r="H81" s="600">
        <f>G81+'[3]11'!H81</f>
        <v>1151.7199999999721</v>
      </c>
      <c r="I81" s="645"/>
      <c r="J81" s="693">
        <f>H81/DAY(B2)</f>
        <v>95.976666666664343</v>
      </c>
      <c r="K81" s="529"/>
      <c r="L81" s="421"/>
      <c r="N81" s="874">
        <v>123.35999999998603</v>
      </c>
      <c r="O81" s="881">
        <f t="shared" si="9"/>
        <v>36.35999999998603</v>
      </c>
      <c r="P81" s="426"/>
    </row>
    <row r="82" spans="1:16" ht="27.75">
      <c r="A82" s="1408" t="s">
        <v>100</v>
      </c>
      <c r="B82" s="1409"/>
      <c r="C82" s="1410"/>
      <c r="D82" s="625" t="s">
        <v>143</v>
      </c>
      <c r="E82" s="659">
        <f>'[3]11'!F82</f>
        <v>103227</v>
      </c>
      <c r="F82" s="788">
        <v>103233</v>
      </c>
      <c r="G82" s="613">
        <f t="shared" si="8"/>
        <v>6</v>
      </c>
      <c r="H82" s="600">
        <f>G82+'[3]11'!H82</f>
        <v>203.05000000000291</v>
      </c>
      <c r="I82" s="626"/>
      <c r="J82" s="693">
        <f>H82/DAY(B2)</f>
        <v>16.920833333333576</v>
      </c>
      <c r="K82" s="529"/>
      <c r="L82" s="421"/>
      <c r="N82" s="874">
        <v>37.369999999995343</v>
      </c>
      <c r="O82" s="881">
        <f t="shared" si="9"/>
        <v>31.369999999995343</v>
      </c>
      <c r="P82" s="426"/>
    </row>
    <row r="83" spans="1:16" ht="27.75">
      <c r="A83" s="1408" t="s">
        <v>211</v>
      </c>
      <c r="B83" s="1409"/>
      <c r="C83" s="1410"/>
      <c r="D83" s="761" t="s">
        <v>143</v>
      </c>
      <c r="E83" s="659">
        <f>'[3]11'!F83</f>
        <v>956167</v>
      </c>
      <c r="F83" s="651">
        <v>956527</v>
      </c>
      <c r="G83" s="613">
        <f t="shared" si="8"/>
        <v>360</v>
      </c>
      <c r="H83" s="600">
        <f>G83+'[3]11'!H83</f>
        <v>4284</v>
      </c>
      <c r="I83" s="621"/>
      <c r="J83" s="693">
        <f>H83/DAY(B2)</f>
        <v>357</v>
      </c>
      <c r="K83" s="528"/>
      <c r="L83" s="421"/>
      <c r="N83" s="874">
        <v>360</v>
      </c>
      <c r="O83" s="881">
        <f t="shared" si="9"/>
        <v>0</v>
      </c>
      <c r="P83" s="426"/>
    </row>
    <row r="84" spans="1:16">
      <c r="A84" s="1377" t="s">
        <v>212</v>
      </c>
      <c r="B84" s="712"/>
      <c r="C84" s="712"/>
      <c r="D84" s="618" t="s">
        <v>143</v>
      </c>
      <c r="E84" s="659">
        <f>'[3]11'!F84</f>
        <v>372087</v>
      </c>
      <c r="F84" s="768">
        <v>372549</v>
      </c>
      <c r="G84" s="613">
        <f t="shared" si="8"/>
        <v>462</v>
      </c>
      <c r="H84" s="600">
        <f>G84+'[3]11'!H84</f>
        <v>6116</v>
      </c>
      <c r="I84" s="621"/>
      <c r="J84" s="693">
        <f>H84/DAY(B2)</f>
        <v>509.66666666666669</v>
      </c>
      <c r="K84" s="424"/>
      <c r="L84" s="421"/>
      <c r="N84" s="874">
        <v>446</v>
      </c>
      <c r="O84" s="881">
        <f t="shared" si="9"/>
        <v>-16</v>
      </c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1976</v>
      </c>
      <c r="H85" s="600">
        <f>G85+'[3]11'!H85</f>
        <v>22729.989999999991</v>
      </c>
      <c r="I85" s="621"/>
      <c r="J85" s="693">
        <f>H85/DAY(B2)</f>
        <v>1894.1658333333326</v>
      </c>
      <c r="K85" s="424"/>
      <c r="L85" s="422"/>
      <c r="N85" s="874">
        <v>1397.609999999986</v>
      </c>
      <c r="O85" s="881">
        <f t="shared" si="9"/>
        <v>-578.39000000001397</v>
      </c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68">
        <f>'[3]11'!F86</f>
        <v>438349</v>
      </c>
      <c r="F86" s="784">
        <v>438491</v>
      </c>
      <c r="G86" s="861">
        <f t="shared" ref="G86:G90" si="10">F86-E86</f>
        <v>142</v>
      </c>
      <c r="H86" s="861">
        <f t="shared" ref="H86:H88" si="11">G86</f>
        <v>142</v>
      </c>
      <c r="I86" s="789"/>
      <c r="J86" s="863">
        <f>H86/DAY(B2)</f>
        <v>11.833333333333334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68">
        <f>'[3]11'!F87</f>
        <v>76385</v>
      </c>
      <c r="F87" s="784">
        <v>76407</v>
      </c>
      <c r="G87" s="861">
        <f t="shared" si="10"/>
        <v>22</v>
      </c>
      <c r="H87" s="861">
        <f t="shared" si="11"/>
        <v>22</v>
      </c>
      <c r="I87" s="789"/>
      <c r="J87" s="863">
        <f>H87/DAY(B2)</f>
        <v>1.8333333333333333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68">
        <f>'[3]11'!F88</f>
        <v>140825</v>
      </c>
      <c r="F88" s="784">
        <v>140886</v>
      </c>
      <c r="G88" s="861">
        <f t="shared" si="10"/>
        <v>61</v>
      </c>
      <c r="H88" s="861">
        <f t="shared" si="11"/>
        <v>61</v>
      </c>
      <c r="I88" s="789"/>
      <c r="J88" s="863">
        <f>H88/DAY(B2)</f>
        <v>5.083333333333333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68">
        <f>'[3]11'!F89</f>
        <v>54685</v>
      </c>
      <c r="F89" s="784">
        <v>54737</v>
      </c>
      <c r="G89" s="861">
        <f t="shared" si="10"/>
        <v>52</v>
      </c>
      <c r="H89" s="861">
        <f>G89</f>
        <v>52</v>
      </c>
      <c r="I89" s="789"/>
      <c r="J89" s="863">
        <f>H89/DAY(B2)</f>
        <v>4.333333333333333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68">
        <f>'[3]11'!F90</f>
        <v>2827</v>
      </c>
      <c r="F90" s="784">
        <v>2827</v>
      </c>
      <c r="G90" s="861">
        <f t="shared" si="10"/>
        <v>0</v>
      </c>
      <c r="H90" s="861">
        <f>G90</f>
        <v>0</v>
      </c>
      <c r="I90" s="789"/>
      <c r="J90" s="863">
        <f>H90/DAY(B2)</f>
        <v>0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>
        <f t="shared" si="9"/>
        <v>0</v>
      </c>
      <c r="P91" s="426"/>
    </row>
    <row r="92" spans="1:16" ht="27.75">
      <c r="A92" s="1432" t="s">
        <v>217</v>
      </c>
      <c r="B92" s="1433"/>
      <c r="C92" s="1434"/>
      <c r="D92" s="663" t="s">
        <v>155</v>
      </c>
      <c r="E92" s="624">
        <f>'[3]11'!F92</f>
        <v>229600</v>
      </c>
      <c r="F92" s="618">
        <v>229687</v>
      </c>
      <c r="G92" s="613">
        <f t="shared" ref="G92:G93" si="12">F92-E92</f>
        <v>87</v>
      </c>
      <c r="H92" s="600">
        <f>G92+'[3]11'!H92</f>
        <v>1092</v>
      </c>
      <c r="I92" s="620"/>
      <c r="J92" s="693">
        <f>H92/DAY(B2)</f>
        <v>91</v>
      </c>
      <c r="K92" s="528"/>
      <c r="L92" s="421"/>
      <c r="N92" s="874">
        <v>0</v>
      </c>
      <c r="O92" s="881">
        <f t="shared" si="9"/>
        <v>-87</v>
      </c>
      <c r="P92" s="426"/>
    </row>
    <row r="93" spans="1:16" ht="27.75">
      <c r="A93" s="1432" t="s">
        <v>218</v>
      </c>
      <c r="B93" s="1433"/>
      <c r="C93" s="1434"/>
      <c r="D93" s="663" t="s">
        <v>155</v>
      </c>
      <c r="E93" s="624">
        <f>'[3]11'!F93</f>
        <v>160243</v>
      </c>
      <c r="F93" s="618">
        <v>160404</v>
      </c>
      <c r="G93" s="613">
        <f t="shared" si="12"/>
        <v>161</v>
      </c>
      <c r="H93" s="600">
        <f>G93+'[3]11'!H93</f>
        <v>1881</v>
      </c>
      <c r="I93" s="620"/>
      <c r="J93" s="693">
        <f>H93/DAY(B2)</f>
        <v>156.75</v>
      </c>
      <c r="K93" s="424"/>
      <c r="L93" s="421"/>
      <c r="N93" s="874">
        <v>66</v>
      </c>
      <c r="O93" s="881">
        <f t="shared" si="9"/>
        <v>-95</v>
      </c>
      <c r="P93" s="426"/>
    </row>
    <row r="94" spans="1:16">
      <c r="A94" s="1460" t="s">
        <v>219</v>
      </c>
      <c r="B94" s="1461"/>
      <c r="C94" s="1462"/>
      <c r="D94" s="663"/>
      <c r="E94" s="624">
        <f>'[3]11'!F94</f>
        <v>0</v>
      </c>
      <c r="F94" s="618"/>
      <c r="G94" s="613">
        <f>G92+G93</f>
        <v>248</v>
      </c>
      <c r="H94" s="600">
        <f>G94+'[3]11'!H94</f>
        <v>2683</v>
      </c>
      <c r="I94" s="620"/>
      <c r="J94" s="693">
        <f>H94/DAY(B2)</f>
        <v>223.58333333333334</v>
      </c>
      <c r="K94" s="424"/>
      <c r="L94" s="421"/>
      <c r="N94" s="874">
        <v>66</v>
      </c>
      <c r="O94" s="881">
        <f t="shared" si="9"/>
        <v>-182</v>
      </c>
      <c r="P94" s="426"/>
    </row>
    <row r="95" spans="1:16" ht="27.75">
      <c r="A95" s="1432" t="s">
        <v>220</v>
      </c>
      <c r="B95" s="1433"/>
      <c r="C95" s="1434"/>
      <c r="D95" s="663" t="s">
        <v>155</v>
      </c>
      <c r="E95" s="624">
        <f>'[3]11'!F95</f>
        <v>400475</v>
      </c>
      <c r="F95" s="618">
        <v>400518</v>
      </c>
      <c r="G95" s="613">
        <f t="shared" ref="G95:G100" si="13">F95-E95</f>
        <v>43</v>
      </c>
      <c r="H95" s="600">
        <f>G95+'[3]11'!H95</f>
        <v>671</v>
      </c>
      <c r="I95" s="620"/>
      <c r="J95" s="693">
        <f>H95/DAY(B2)</f>
        <v>55.916666666666664</v>
      </c>
      <c r="K95" s="424"/>
      <c r="L95" s="421"/>
      <c r="N95" s="874">
        <v>22</v>
      </c>
      <c r="O95" s="881">
        <f t="shared" si="9"/>
        <v>-21</v>
      </c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24">
        <f>'[3]11'!F96</f>
        <v>98554</v>
      </c>
      <c r="F96" s="618">
        <v>98611</v>
      </c>
      <c r="G96" s="613">
        <f t="shared" si="13"/>
        <v>57</v>
      </c>
      <c r="H96" s="600">
        <f>G96+'[3]11'!H96</f>
        <v>602</v>
      </c>
      <c r="I96" s="620"/>
      <c r="J96" s="693">
        <f>H96/DAY(B2)</f>
        <v>50.166666666666664</v>
      </c>
      <c r="K96" s="526"/>
      <c r="L96" s="421"/>
      <c r="N96" s="874">
        <v>8</v>
      </c>
      <c r="O96" s="881">
        <f t="shared" si="9"/>
        <v>-49</v>
      </c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24">
        <f>'[3]11'!F97</f>
        <v>93811</v>
      </c>
      <c r="F97" s="618">
        <v>93827</v>
      </c>
      <c r="G97" s="613">
        <f t="shared" si="13"/>
        <v>16</v>
      </c>
      <c r="H97" s="600">
        <f>G97+'[3]11'!H97</f>
        <v>276</v>
      </c>
      <c r="I97" s="620"/>
      <c r="J97" s="693">
        <f>H97/DAY(B2)</f>
        <v>23</v>
      </c>
      <c r="K97" s="531"/>
      <c r="L97" s="421"/>
      <c r="N97" s="874">
        <v>7</v>
      </c>
      <c r="O97" s="881">
        <f t="shared" si="9"/>
        <v>-9</v>
      </c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24">
        <f>'[3]11'!F98</f>
        <v>141410</v>
      </c>
      <c r="F98" s="618">
        <v>141452</v>
      </c>
      <c r="G98" s="613">
        <f t="shared" si="13"/>
        <v>42</v>
      </c>
      <c r="H98" s="600">
        <f>G98+'[3]11'!H98</f>
        <v>547</v>
      </c>
      <c r="I98" s="620"/>
      <c r="J98" s="693">
        <f>H98/DAY(B2)</f>
        <v>45.583333333333336</v>
      </c>
      <c r="K98" s="424"/>
      <c r="L98" s="421"/>
      <c r="N98" s="876">
        <v>18</v>
      </c>
      <c r="O98" s="881">
        <f>N98-G98</f>
        <v>-24</v>
      </c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24">
        <f>'[3]11'!F99</f>
        <v>4812</v>
      </c>
      <c r="F99" s="618">
        <v>4817</v>
      </c>
      <c r="G99" s="613">
        <f t="shared" si="13"/>
        <v>5</v>
      </c>
      <c r="H99" s="600">
        <f>G99+'[3]11'!H99</f>
        <v>109</v>
      </c>
      <c r="I99" s="620"/>
      <c r="J99" s="693">
        <f>H99/DAY(B2)</f>
        <v>9.0833333333333339</v>
      </c>
      <c r="K99" s="424"/>
      <c r="L99" s="421"/>
      <c r="N99" s="874">
        <v>5</v>
      </c>
      <c r="O99" s="881">
        <f t="shared" si="9"/>
        <v>0</v>
      </c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24">
        <f>'[3]11'!F100</f>
        <v>3674</v>
      </c>
      <c r="F100" s="618">
        <v>3674</v>
      </c>
      <c r="G100" s="613">
        <f t="shared" si="13"/>
        <v>0</v>
      </c>
      <c r="H100" s="600">
        <f>G100+'[3]11'!H100</f>
        <v>0</v>
      </c>
      <c r="I100" s="620"/>
      <c r="J100" s="693">
        <f>H100/DAY(B2)</f>
        <v>0</v>
      </c>
      <c r="K100" s="424"/>
      <c r="L100" s="421"/>
      <c r="N100" s="874">
        <v>0</v>
      </c>
      <c r="O100" s="881">
        <f t="shared" si="9"/>
        <v>0</v>
      </c>
      <c r="P100" s="426"/>
    </row>
    <row r="101" spans="1:16">
      <c r="A101" s="1460" t="s">
        <v>227</v>
      </c>
      <c r="B101" s="1461"/>
      <c r="C101" s="1462"/>
      <c r="D101" s="664"/>
      <c r="E101" s="624"/>
      <c r="F101" s="664"/>
      <c r="G101" s="665">
        <f>SUM(G95:G100)</f>
        <v>163</v>
      </c>
      <c r="H101" s="600">
        <f>G101+'[3]11'!H101</f>
        <v>2205</v>
      </c>
      <c r="I101" s="666"/>
      <c r="J101" s="693">
        <f>H101/DAY(B2)</f>
        <v>183.75</v>
      </c>
      <c r="K101" s="424"/>
      <c r="L101" s="421"/>
      <c r="N101" s="874">
        <v>60</v>
      </c>
      <c r="O101" s="881">
        <f t="shared" si="9"/>
        <v>-103</v>
      </c>
      <c r="P101" s="426"/>
    </row>
    <row r="102" spans="1:16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74"/>
      <c r="O102" s="881">
        <f t="shared" si="9"/>
        <v>0</v>
      </c>
      <c r="P102" s="426"/>
    </row>
    <row r="103" spans="1:16" s="544" customFormat="1" ht="27.75">
      <c r="A103" s="1463" t="s">
        <v>229</v>
      </c>
      <c r="B103" s="1464"/>
      <c r="C103" s="714"/>
      <c r="D103" s="763"/>
      <c r="E103" s="624"/>
      <c r="F103" s="795"/>
      <c r="G103" s="672"/>
      <c r="H103" s="673"/>
      <c r="I103" s="672"/>
      <c r="J103" s="699"/>
      <c r="N103" s="874"/>
      <c r="O103" s="881">
        <f t="shared" si="9"/>
        <v>0</v>
      </c>
      <c r="P103" s="426"/>
    </row>
    <row r="104" spans="1:16" s="544" customFormat="1" ht="27.75">
      <c r="A104" s="1421" t="s">
        <v>230</v>
      </c>
      <c r="B104" s="1422"/>
      <c r="C104" s="1376"/>
      <c r="D104" s="763" t="s">
        <v>155</v>
      </c>
      <c r="E104" s="624">
        <f>'[3]11'!F104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5</v>
      </c>
      <c r="N104" s="874">
        <v>0</v>
      </c>
      <c r="O104" s="881">
        <f t="shared" si="9"/>
        <v>0</v>
      </c>
      <c r="P104" s="426"/>
    </row>
    <row r="105" spans="1:16" s="544" customFormat="1" ht="27.75">
      <c r="A105" s="1421" t="s">
        <v>77</v>
      </c>
      <c r="B105" s="1422"/>
      <c r="C105" s="1376"/>
      <c r="D105" s="763" t="s">
        <v>155</v>
      </c>
      <c r="E105" s="624">
        <f>'[3]11'!F105</f>
        <v>34572</v>
      </c>
      <c r="F105" s="796">
        <v>34574</v>
      </c>
      <c r="G105" s="672">
        <f t="shared" ref="G105:G106" si="14">F105-E105</f>
        <v>2</v>
      </c>
      <c r="H105" s="673">
        <f>SUM(G105+'[3]1'!G77)</f>
        <v>72</v>
      </c>
      <c r="I105" s="672"/>
      <c r="J105" s="699">
        <f>H105/DAY(B2)</f>
        <v>6</v>
      </c>
      <c r="N105" s="874">
        <v>0</v>
      </c>
      <c r="O105" s="881">
        <f t="shared" si="9"/>
        <v>-2</v>
      </c>
      <c r="P105" s="426"/>
    </row>
    <row r="106" spans="1:16" s="544" customFormat="1" ht="27.75">
      <c r="A106" s="1421" t="s">
        <v>78</v>
      </c>
      <c r="B106" s="1465"/>
      <c r="C106" s="1422"/>
      <c r="D106" s="763" t="s">
        <v>155</v>
      </c>
      <c r="E106" s="624">
        <f>'[3]11'!F106</f>
        <v>18670</v>
      </c>
      <c r="F106" s="796">
        <v>18670</v>
      </c>
      <c r="G106" s="672">
        <f t="shared" si="14"/>
        <v>0</v>
      </c>
      <c r="H106" s="673">
        <f>SUM(G106+'[3]1'!G78)</f>
        <v>329</v>
      </c>
      <c r="I106" s="672"/>
      <c r="J106" s="699">
        <f>H106/DAY(B2)</f>
        <v>27.416666666666668</v>
      </c>
      <c r="N106" s="874">
        <v>0</v>
      </c>
      <c r="O106" s="881">
        <f t="shared" si="9"/>
        <v>0</v>
      </c>
      <c r="P106" s="426"/>
    </row>
    <row r="107" spans="1:16" s="544" customFormat="1" ht="27.75">
      <c r="A107" s="1423" t="s">
        <v>213</v>
      </c>
      <c r="B107" s="1424"/>
      <c r="C107" s="1376"/>
      <c r="D107" s="763"/>
      <c r="E107" s="624"/>
      <c r="F107" s="796"/>
      <c r="G107" s="672">
        <f>SUM(G104:G106)</f>
        <v>2</v>
      </c>
      <c r="H107" s="673">
        <f>SUM(G107+'[3]1'!G79)</f>
        <v>162</v>
      </c>
      <c r="I107" s="672"/>
      <c r="J107" s="699">
        <f>H107/DAY(B2)</f>
        <v>13.5</v>
      </c>
      <c r="N107" s="874">
        <v>0</v>
      </c>
      <c r="O107" s="881">
        <f t="shared" si="9"/>
        <v>-2</v>
      </c>
      <c r="P107" s="426"/>
    </row>
    <row r="108" spans="1:16" s="544" customFormat="1" ht="27.75">
      <c r="A108" s="1427" t="s">
        <v>79</v>
      </c>
      <c r="B108" s="1428"/>
      <c r="C108" s="1376"/>
      <c r="D108" s="763" t="s">
        <v>155</v>
      </c>
      <c r="E108" s="624"/>
      <c r="F108" s="796"/>
      <c r="G108" s="672"/>
      <c r="H108" s="673"/>
      <c r="I108" s="672"/>
      <c r="J108" s="699"/>
      <c r="N108" s="874"/>
      <c r="O108" s="881">
        <f t="shared" si="9"/>
        <v>0</v>
      </c>
      <c r="P108" s="426"/>
    </row>
    <row r="109" spans="1:16" s="544" customFormat="1" ht="27.75">
      <c r="A109" s="1421" t="s">
        <v>231</v>
      </c>
      <c r="B109" s="1422"/>
      <c r="C109" s="1376"/>
      <c r="D109" s="763" t="s">
        <v>155</v>
      </c>
      <c r="E109" s="624">
        <f>'[3]11'!F109</f>
        <v>50319</v>
      </c>
      <c r="F109" s="796">
        <v>50345</v>
      </c>
      <c r="G109" s="672">
        <f>F109-E109</f>
        <v>26</v>
      </c>
      <c r="H109" s="673">
        <f>SUM(G109+'[3]1'!G81)</f>
        <v>108</v>
      </c>
      <c r="I109" s="672"/>
      <c r="J109" s="699">
        <f>H109/DAY(B2)</f>
        <v>9</v>
      </c>
      <c r="N109" s="874">
        <v>20</v>
      </c>
      <c r="O109" s="881">
        <f t="shared" si="9"/>
        <v>-6</v>
      </c>
      <c r="P109" s="426"/>
    </row>
    <row r="110" spans="1:16" s="544" customFormat="1" ht="27.75">
      <c r="A110" s="1421" t="s">
        <v>232</v>
      </c>
      <c r="B110" s="1422"/>
      <c r="C110" s="1376"/>
      <c r="D110" s="763" t="s">
        <v>155</v>
      </c>
      <c r="E110" s="624">
        <f>'[3]11'!F110</f>
        <v>24597</v>
      </c>
      <c r="F110" s="796">
        <v>24636</v>
      </c>
      <c r="G110" s="672">
        <f t="shared" ref="G110:G111" si="15">F110-E110</f>
        <v>39</v>
      </c>
      <c r="H110" s="673">
        <f>SUM(G110+'[3]1'!G82)</f>
        <v>64.740000000005239</v>
      </c>
      <c r="I110" s="672"/>
      <c r="J110" s="699">
        <f>H110/DAY(B2)</f>
        <v>5.3950000000004366</v>
      </c>
      <c r="N110" s="874">
        <v>9</v>
      </c>
      <c r="O110" s="881">
        <f t="shared" si="9"/>
        <v>-30</v>
      </c>
      <c r="P110" s="426"/>
    </row>
    <row r="111" spans="1:16" s="544" customFormat="1" ht="27.75">
      <c r="A111" s="1421" t="s">
        <v>233</v>
      </c>
      <c r="B111" s="1422"/>
      <c r="C111" s="1376"/>
      <c r="D111" s="763" t="s">
        <v>155</v>
      </c>
      <c r="E111" s="624">
        <f>'[3]11'!F111</f>
        <v>3244</v>
      </c>
      <c r="F111" s="796">
        <v>3257</v>
      </c>
      <c r="G111" s="672">
        <f t="shared" si="15"/>
        <v>13</v>
      </c>
      <c r="H111" s="673">
        <f>SUM(G111+'[3]1'!G83)</f>
        <v>459</v>
      </c>
      <c r="I111" s="672"/>
      <c r="J111" s="699">
        <f>H111/DAY(B2)</f>
        <v>38.25</v>
      </c>
      <c r="N111" s="874">
        <v>0</v>
      </c>
      <c r="O111" s="881">
        <f t="shared" si="9"/>
        <v>-13</v>
      </c>
      <c r="P111" s="426"/>
    </row>
    <row r="112" spans="1:16" s="544" customFormat="1" ht="27.75">
      <c r="A112" s="1423" t="s">
        <v>121</v>
      </c>
      <c r="B112" s="1424"/>
      <c r="C112" s="1376"/>
      <c r="D112" s="763"/>
      <c r="E112" s="624"/>
      <c r="F112" s="796"/>
      <c r="G112" s="672">
        <f>SUM(G109:G111)</f>
        <v>78</v>
      </c>
      <c r="H112" s="673">
        <f>SUM(G112+'[3]1'!G84)</f>
        <v>674</v>
      </c>
      <c r="I112" s="672"/>
      <c r="J112" s="699">
        <f>H112/DAY(B2)</f>
        <v>56.166666666666664</v>
      </c>
      <c r="N112" s="874">
        <v>29</v>
      </c>
      <c r="O112" s="881">
        <f>N112-G112</f>
        <v>-49</v>
      </c>
      <c r="P112" s="426"/>
    </row>
    <row r="113" spans="1:16" s="544" customFormat="1" ht="27.75">
      <c r="A113" s="1427" t="s">
        <v>234</v>
      </c>
      <c r="B113" s="1428"/>
      <c r="C113" s="1376"/>
      <c r="D113" s="763"/>
      <c r="E113" s="624"/>
      <c r="F113" s="796"/>
      <c r="G113" s="672"/>
      <c r="H113" s="673"/>
      <c r="I113" s="672"/>
      <c r="J113" s="699">
        <f>H113/DAY(B2)</f>
        <v>0</v>
      </c>
      <c r="N113" s="874"/>
      <c r="O113" s="881">
        <f t="shared" si="9"/>
        <v>0</v>
      </c>
      <c r="P113" s="426"/>
    </row>
    <row r="114" spans="1:16" s="544" customFormat="1" ht="27.75">
      <c r="A114" s="1421" t="s">
        <v>235</v>
      </c>
      <c r="B114" s="1422"/>
      <c r="C114" s="715"/>
      <c r="D114" s="763" t="s">
        <v>155</v>
      </c>
      <c r="E114" s="624">
        <f>'[3]11'!F114</f>
        <v>8403</v>
      </c>
      <c r="F114" s="796">
        <v>8410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0.58333333333333337</v>
      </c>
      <c r="N114" s="874">
        <v>12</v>
      </c>
      <c r="O114" s="881">
        <f t="shared" si="9"/>
        <v>5</v>
      </c>
      <c r="P114" s="426"/>
    </row>
    <row r="115" spans="1:16" s="544" customFormat="1" ht="27.75">
      <c r="A115" s="1421" t="s">
        <v>236</v>
      </c>
      <c r="B115" s="1422"/>
      <c r="C115" s="715"/>
      <c r="D115" s="763" t="s">
        <v>155</v>
      </c>
      <c r="E115" s="624">
        <f>'[3]11'!F115</f>
        <v>6629</v>
      </c>
      <c r="F115" s="796">
        <v>6639</v>
      </c>
      <c r="G115" s="674">
        <f t="shared" ref="G115:G116" si="16">F115-E115</f>
        <v>10</v>
      </c>
      <c r="H115" s="673">
        <f>SUM(G115+'[3]1'!G92)</f>
        <v>115</v>
      </c>
      <c r="I115" s="672"/>
      <c r="J115" s="699">
        <f>H115/DAY(B2)</f>
        <v>9.5833333333333339</v>
      </c>
      <c r="N115" s="874">
        <v>2</v>
      </c>
      <c r="O115" s="881">
        <f t="shared" si="9"/>
        <v>-8</v>
      </c>
      <c r="P115" s="426"/>
    </row>
    <row r="116" spans="1:16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6"/>
        <v>0</v>
      </c>
      <c r="H116" s="673">
        <f>SUM(G116+'[3]1'!G93)</f>
        <v>185</v>
      </c>
      <c r="I116" s="672"/>
      <c r="J116" s="699">
        <f>H116/DAY(B2)</f>
        <v>15.416666666666666</v>
      </c>
      <c r="N116" s="874">
        <v>0</v>
      </c>
      <c r="O116" s="881">
        <f t="shared" si="9"/>
        <v>0</v>
      </c>
      <c r="P116" s="426"/>
    </row>
    <row r="117" spans="1:16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17</v>
      </c>
      <c r="H117" s="673">
        <f>SUM(G117+'[3]1'!G95)</f>
        <v>65</v>
      </c>
      <c r="I117" s="674"/>
      <c r="J117" s="699">
        <f>H117/DAY(B2)</f>
        <v>5.416666666666667</v>
      </c>
      <c r="N117" s="874">
        <v>14</v>
      </c>
      <c r="O117" s="881">
        <f t="shared" si="9"/>
        <v>-3</v>
      </c>
      <c r="P117" s="426"/>
    </row>
    <row r="118" spans="1:16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139</v>
      </c>
      <c r="G118" s="676">
        <f>SUM(G19+G92)</f>
        <v>139</v>
      </c>
      <c r="H118" s="673">
        <f>SUM(G118+'[3]1'!G96)</f>
        <v>188</v>
      </c>
      <c r="I118" s="675"/>
      <c r="J118" s="700">
        <f>H118/DAY(B2)</f>
        <v>15.666666666666666</v>
      </c>
      <c r="N118" s="874">
        <v>54</v>
      </c>
      <c r="O118" s="881">
        <f t="shared" si="9"/>
        <v>-85</v>
      </c>
      <c r="P118" s="426"/>
    </row>
    <row r="119" spans="1:16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121</v>
      </c>
      <c r="G119" s="676">
        <f>SUM(G95,G96,G97,G99,G100)</f>
        <v>121</v>
      </c>
      <c r="H119" s="673">
        <f>SUM(G119+'[3]1'!G98)</f>
        <v>153</v>
      </c>
      <c r="I119" s="675"/>
      <c r="J119" s="700">
        <f>H119/DAY(B2)</f>
        <v>12.75</v>
      </c>
      <c r="N119" s="874">
        <v>42</v>
      </c>
      <c r="O119" s="881">
        <f t="shared" si="9"/>
        <v>-79</v>
      </c>
      <c r="P119" s="426"/>
    </row>
    <row r="120" spans="1:16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78</v>
      </c>
      <c r="G120" s="674">
        <f>SUM(G112)</f>
        <v>78</v>
      </c>
      <c r="H120" s="673">
        <f>SUM(G120+'[3]1'!G100)</f>
        <v>78</v>
      </c>
      <c r="I120" s="675"/>
      <c r="J120" s="700">
        <f>H120/DAY(B2)</f>
        <v>6.5</v>
      </c>
      <c r="N120" s="874">
        <v>29</v>
      </c>
      <c r="O120" s="881">
        <f t="shared" si="9"/>
        <v>-49</v>
      </c>
      <c r="P120" s="426"/>
    </row>
    <row r="121" spans="1:16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874"/>
      <c r="O121" s="881">
        <f t="shared" si="9"/>
        <v>0</v>
      </c>
      <c r="P121" s="426"/>
    </row>
    <row r="122" spans="1:16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>
        <f t="shared" si="9"/>
        <v>0</v>
      </c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'[3]11'!F123</f>
        <v>784952</v>
      </c>
      <c r="F123" s="618">
        <v>785158</v>
      </c>
      <c r="G123" s="613">
        <f t="shared" ref="G123:G127" si="17">F123-E123</f>
        <v>206</v>
      </c>
      <c r="H123" s="600">
        <f>G123+'[3]11'!H123</f>
        <v>2233.1139999999432</v>
      </c>
      <c r="I123" s="666"/>
      <c r="J123" s="693">
        <f>H123/DAY(B2)</f>
        <v>186.0928333333286</v>
      </c>
      <c r="K123" s="424"/>
      <c r="L123" s="421"/>
      <c r="N123" s="874">
        <v>103.63000000000466</v>
      </c>
      <c r="O123" s="881">
        <f t="shared" si="9"/>
        <v>-102.36999999999534</v>
      </c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'[3]11'!F124</f>
        <v>73581</v>
      </c>
      <c r="F124" s="767">
        <v>73581</v>
      </c>
      <c r="G124" s="613">
        <f t="shared" si="17"/>
        <v>0</v>
      </c>
      <c r="H124" s="600">
        <f>G124+'[3]11'!H124</f>
        <v>0</v>
      </c>
      <c r="I124" s="666"/>
      <c r="J124" s="693">
        <f>H124/DAY(B2)</f>
        <v>0</v>
      </c>
      <c r="K124" s="424"/>
      <c r="L124" s="421"/>
      <c r="N124" s="874">
        <v>0</v>
      </c>
      <c r="O124" s="881">
        <f t="shared" si="9"/>
        <v>0</v>
      </c>
      <c r="P124" s="426"/>
    </row>
    <row r="125" spans="1:16" ht="27.75">
      <c r="A125" s="1429" t="s">
        <v>244</v>
      </c>
      <c r="B125" s="1430"/>
      <c r="C125" s="1431"/>
      <c r="D125" s="663" t="s">
        <v>152</v>
      </c>
      <c r="E125" s="618">
        <f>'[3]11'!F125</f>
        <v>131810</v>
      </c>
      <c r="F125" s="618">
        <v>131875</v>
      </c>
      <c r="G125" s="613">
        <f t="shared" si="17"/>
        <v>65</v>
      </c>
      <c r="H125" s="600">
        <f>G125+'[3]11'!H125</f>
        <v>768.77999999999884</v>
      </c>
      <c r="I125" s="666"/>
      <c r="J125" s="693">
        <f>H125/DAY(B2)</f>
        <v>64.064999999999898</v>
      </c>
      <c r="K125" s="424"/>
      <c r="L125" s="421"/>
      <c r="N125" s="874">
        <v>60.559999999997672</v>
      </c>
      <c r="O125" s="881">
        <f t="shared" si="9"/>
        <v>-4.4400000000023283</v>
      </c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'[3]11'!F126</f>
        <v>55840</v>
      </c>
      <c r="F126" s="767">
        <v>55861</v>
      </c>
      <c r="G126" s="613">
        <f t="shared" si="17"/>
        <v>21</v>
      </c>
      <c r="H126" s="600">
        <f>G126+'[3]11'!H126</f>
        <v>275.19999999999709</v>
      </c>
      <c r="I126" s="666"/>
      <c r="J126" s="693">
        <f>H126/DAY(B2)</f>
        <v>22.933333333333092</v>
      </c>
      <c r="K126" s="424"/>
      <c r="L126" s="421"/>
      <c r="N126" s="874">
        <v>0</v>
      </c>
      <c r="O126" s="881">
        <f t="shared" si="9"/>
        <v>-21</v>
      </c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'[3]11'!F127</f>
        <v>8640</v>
      </c>
      <c r="F127" s="767">
        <v>8640</v>
      </c>
      <c r="G127" s="613">
        <f t="shared" si="17"/>
        <v>0</v>
      </c>
      <c r="H127" s="600">
        <f>G127+'[3]11'!H127</f>
        <v>1</v>
      </c>
      <c r="I127" s="620"/>
      <c r="J127" s="693">
        <f>H127/DAY(B2)</f>
        <v>8.3333333333333329E-2</v>
      </c>
      <c r="K127" s="424"/>
      <c r="L127" s="421"/>
      <c r="N127" s="874">
        <v>0</v>
      </c>
      <c r="O127" s="881">
        <f t="shared" si="9"/>
        <v>0</v>
      </c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78</v>
      </c>
      <c r="H128" s="600">
        <f>H15-SUM(H123:H127)</f>
        <v>2912.7120000001596</v>
      </c>
      <c r="I128" s="620"/>
      <c r="J128" s="693"/>
      <c r="K128" s="402"/>
      <c r="L128" s="304"/>
      <c r="N128" s="874">
        <v>30.955000000016298</v>
      </c>
      <c r="O128" s="881">
        <f t="shared" si="9"/>
        <v>-47.044999999983702</v>
      </c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>
        <f t="shared" si="9"/>
        <v>0</v>
      </c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24">
        <f>'[3]11'!F130</f>
        <v>0</v>
      </c>
      <c r="F130" s="618">
        <v>0</v>
      </c>
      <c r="G130" s="613">
        <f t="shared" ref="G130:G140" si="18">F130-E130</f>
        <v>0</v>
      </c>
      <c r="H130" s="600">
        <f>G130+'[3]11'!H130</f>
        <v>0</v>
      </c>
      <c r="I130" s="620"/>
      <c r="J130" s="693">
        <f>H130/DAY(B2)</f>
        <v>0</v>
      </c>
      <c r="N130" s="874">
        <v>0</v>
      </c>
      <c r="O130" s="881">
        <f t="shared" si="9"/>
        <v>0</v>
      </c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24">
        <f>'[3]11'!F131</f>
        <v>0</v>
      </c>
      <c r="F131" s="618">
        <v>0</v>
      </c>
      <c r="G131" s="613">
        <f t="shared" si="18"/>
        <v>0</v>
      </c>
      <c r="H131" s="600">
        <f>G131+'[3]11'!H131</f>
        <v>0</v>
      </c>
      <c r="I131" s="620"/>
      <c r="J131" s="693">
        <f>H131/DAY(B2)</f>
        <v>0</v>
      </c>
      <c r="N131" s="874">
        <v>0</v>
      </c>
      <c r="O131" s="881">
        <f t="shared" si="9"/>
        <v>0</v>
      </c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82">
        <f>'[3]11'!F132</f>
        <v>38853</v>
      </c>
      <c r="F132" s="788">
        <v>38853</v>
      </c>
      <c r="G132" s="613">
        <f t="shared" si="18"/>
        <v>0</v>
      </c>
      <c r="H132" s="600">
        <f>G132+'[3]11'!H132</f>
        <v>0</v>
      </c>
      <c r="I132" s="620"/>
      <c r="J132" s="693">
        <f>H132/DAY(B2)</f>
        <v>0</v>
      </c>
      <c r="N132" s="874">
        <v>21.010000000002037</v>
      </c>
      <c r="O132" s="881">
        <f t="shared" si="9"/>
        <v>21.010000000002037</v>
      </c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838">
        <f>'[3]11'!F133</f>
        <v>34948</v>
      </c>
      <c r="F133" s="767">
        <v>34948</v>
      </c>
      <c r="G133" s="613">
        <f t="shared" si="18"/>
        <v>0</v>
      </c>
      <c r="H133" s="600">
        <f>G133+'[3]11'!H133</f>
        <v>0</v>
      </c>
      <c r="I133" s="620">
        <f>G130+G131+G132+G133</f>
        <v>0</v>
      </c>
      <c r="J133" s="693">
        <f>H133/DAY(B2)</f>
        <v>0</v>
      </c>
      <c r="N133" s="874">
        <v>0</v>
      </c>
      <c r="O133" s="881">
        <f t="shared" si="9"/>
        <v>0</v>
      </c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838">
        <f>'[3]11'!F134</f>
        <v>39735</v>
      </c>
      <c r="F134" s="767">
        <v>39735</v>
      </c>
      <c r="G134" s="613">
        <f t="shared" si="18"/>
        <v>0</v>
      </c>
      <c r="H134" s="600">
        <f>G134+'[3]11'!H134</f>
        <v>-1.2699999999967986</v>
      </c>
      <c r="I134" s="620"/>
      <c r="J134" s="693">
        <f>H134/DAY(B2)</f>
        <v>-0.10583333333306655</v>
      </c>
      <c r="N134" s="874">
        <v>0</v>
      </c>
      <c r="O134" s="881">
        <f t="shared" si="9"/>
        <v>0</v>
      </c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62">
        <f>'[3]11'!F135</f>
        <v>31256</v>
      </c>
      <c r="F135" s="788">
        <v>31280</v>
      </c>
      <c r="G135" s="613">
        <f t="shared" si="18"/>
        <v>24</v>
      </c>
      <c r="H135" s="600">
        <f>G135+'[3]11'!H135</f>
        <v>286.97999999999956</v>
      </c>
      <c r="I135" s="620"/>
      <c r="J135" s="693">
        <f>H135/DAY(B2)</f>
        <v>23.914999999999964</v>
      </c>
      <c r="N135" s="874">
        <v>0</v>
      </c>
      <c r="O135" s="881">
        <f t="shared" si="9"/>
        <v>-24</v>
      </c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82">
        <f>'[3]11'!F136</f>
        <v>21627</v>
      </c>
      <c r="F136" s="788">
        <v>21627</v>
      </c>
      <c r="G136" s="613">
        <f t="shared" si="18"/>
        <v>0</v>
      </c>
      <c r="H136" s="600">
        <f>G136+'[3]11'!H136</f>
        <v>28.970000000001164</v>
      </c>
      <c r="I136" s="620">
        <f>G134+G135+G136</f>
        <v>24</v>
      </c>
      <c r="J136" s="693">
        <f>H136/DAY(B2)</f>
        <v>2.4141666666667638</v>
      </c>
      <c r="N136" s="874">
        <v>-0.29000000000087311</v>
      </c>
      <c r="O136" s="881">
        <f t="shared" si="9"/>
        <v>-0.29000000000087311</v>
      </c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82">
        <f>'[3]11'!F137</f>
        <v>24902</v>
      </c>
      <c r="F137" s="788">
        <v>24902</v>
      </c>
      <c r="G137" s="613">
        <f t="shared" si="18"/>
        <v>0</v>
      </c>
      <c r="H137" s="600">
        <f>G137+'[3]11'!H137</f>
        <v>-0.25</v>
      </c>
      <c r="I137" s="620"/>
      <c r="J137" s="693">
        <f>H137/DAY(B2)</f>
        <v>-2.0833333333333332E-2</v>
      </c>
      <c r="N137" s="874">
        <v>0</v>
      </c>
      <c r="O137" s="881">
        <f t="shared" si="9"/>
        <v>0</v>
      </c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82">
        <f>'[3]11'!F138</f>
        <v>69929</v>
      </c>
      <c r="F138" s="788">
        <v>69929</v>
      </c>
      <c r="G138" s="613">
        <f t="shared" si="18"/>
        <v>0</v>
      </c>
      <c r="H138" s="600">
        <f>G138+'[3]11'!H138</f>
        <v>47.350000000005821</v>
      </c>
      <c r="I138" s="620">
        <f>G137+G138</f>
        <v>0</v>
      </c>
      <c r="J138" s="693">
        <f>H138/DAY(B2)</f>
        <v>3.9458333333338182</v>
      </c>
      <c r="N138" s="874">
        <v>0</v>
      </c>
      <c r="O138" s="881">
        <f t="shared" si="9"/>
        <v>0</v>
      </c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838">
        <f>'[3]11'!F139</f>
        <v>831.74</v>
      </c>
      <c r="F139" s="767">
        <v>837.73</v>
      </c>
      <c r="G139" s="613">
        <f t="shared" si="18"/>
        <v>5.9900000000000091</v>
      </c>
      <c r="H139" s="600">
        <f>G139+'[3]11'!H139</f>
        <v>61.300000000000068</v>
      </c>
      <c r="I139" s="683"/>
      <c r="J139" s="693">
        <f>H139/DAY(B2)</f>
        <v>5.1083333333333387</v>
      </c>
      <c r="N139" s="874">
        <v>0</v>
      </c>
      <c r="O139" s="881">
        <f t="shared" si="9"/>
        <v>-5.9900000000000091</v>
      </c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24">
        <f>'[3]11'!F140</f>
        <v>4156.9799999999996</v>
      </c>
      <c r="F140" s="618">
        <v>4156.9799999999996</v>
      </c>
      <c r="G140" s="613">
        <f t="shared" si="18"/>
        <v>0</v>
      </c>
      <c r="H140" s="600">
        <f>G140+'[3]11'!H140</f>
        <v>2.7099999999991269</v>
      </c>
      <c r="I140" s="683"/>
      <c r="J140" s="693">
        <f>H140/DAY(B2)</f>
        <v>0.22583333333326058</v>
      </c>
      <c r="N140" s="874">
        <v>3.5</v>
      </c>
      <c r="O140" s="881">
        <f t="shared" si="9"/>
        <v>3.5</v>
      </c>
      <c r="P140" s="426"/>
    </row>
    <row r="141" spans="1:16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>
        <f t="shared" ref="O141:O153" si="19">N141-G141</f>
        <v>0</v>
      </c>
      <c r="P141" s="426"/>
    </row>
    <row r="142" spans="1:16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4396</v>
      </c>
      <c r="H142" s="600">
        <f>G142+'[3]11'!H142</f>
        <v>58364.622000000076</v>
      </c>
      <c r="I142" s="620"/>
      <c r="J142" s="693">
        <f>H142/DAY(B2)</f>
        <v>4863.7185000000063</v>
      </c>
      <c r="K142" s="424"/>
      <c r="L142" s="421"/>
      <c r="N142" s="874">
        <v>2895.0800000000163</v>
      </c>
      <c r="O142" s="881">
        <f t="shared" si="19"/>
        <v>-1500.9199999999837</v>
      </c>
      <c r="P142" s="426"/>
    </row>
    <row r="143" spans="1:16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0.24679991017291714</v>
      </c>
      <c r="H143" s="600">
        <f>G143+'[3]11'!H143</f>
        <v>2.7228710579414779</v>
      </c>
      <c r="I143" s="685"/>
      <c r="J143" s="693">
        <f>H143/DAY(B2)</f>
        <v>0.22690592149512315</v>
      </c>
      <c r="K143" s="424"/>
      <c r="L143" s="421"/>
      <c r="N143" s="874">
        <v>0.25671520031213241</v>
      </c>
      <c r="O143" s="881">
        <f t="shared" si="19"/>
        <v>9.9152901392152715E-3</v>
      </c>
      <c r="P143" s="426"/>
    </row>
    <row r="144" spans="1:16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3758.7300000000105</v>
      </c>
      <c r="H144" s="600">
        <f>G144+'[3]11'!H144</f>
        <v>48961.870000000083</v>
      </c>
      <c r="I144" s="620"/>
      <c r="J144" s="693">
        <f>H144/DAY(B2)</f>
        <v>4080.1558333333401</v>
      </c>
      <c r="K144" s="424"/>
      <c r="L144" s="421"/>
      <c r="N144" s="874">
        <v>3076.0299999999988</v>
      </c>
      <c r="O144" s="881">
        <f t="shared" si="19"/>
        <v>-682.70000000001164</v>
      </c>
      <c r="P144" s="426"/>
    </row>
    <row r="145" spans="1:16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0.21102234448686338</v>
      </c>
      <c r="H145" s="600">
        <f>G145+'[3]11'!H145</f>
        <v>2.4412146276241264</v>
      </c>
      <c r="I145" s="685"/>
      <c r="J145" s="693">
        <f>H145/DAY(B2)</f>
        <v>0.20343455230201055</v>
      </c>
      <c r="K145" s="424"/>
      <c r="L145" s="421"/>
      <c r="N145" s="874">
        <v>0.27276056537854704</v>
      </c>
      <c r="O145" s="881">
        <f t="shared" si="19"/>
        <v>6.1738220891683654E-2</v>
      </c>
      <c r="P145" s="426"/>
    </row>
    <row r="146" spans="1:16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3991</v>
      </c>
      <c r="H146" s="600">
        <f>G146+'[3]11'!H146</f>
        <v>48456.290000000037</v>
      </c>
      <c r="I146" s="686"/>
      <c r="J146" s="693">
        <f>H146/DAY(B2)</f>
        <v>4038.0241666666698</v>
      </c>
      <c r="K146" s="424"/>
      <c r="L146" s="421"/>
      <c r="N146" s="874">
        <v>1948.0500000000156</v>
      </c>
      <c r="O146" s="881">
        <f t="shared" si="19"/>
        <v>-2042.9499999999844</v>
      </c>
      <c r="P146" s="426"/>
    </row>
    <row r="147" spans="1:16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0.2240624298225915</v>
      </c>
      <c r="H147" s="600">
        <f>G147+'[3]11'!H147</f>
        <v>2.4219032357615093</v>
      </c>
      <c r="I147" s="686"/>
      <c r="J147" s="693">
        <f>H147/DAY(B2)</f>
        <v>0.20182526964679245</v>
      </c>
      <c r="N147" s="874">
        <v>0.17273928387749241</v>
      </c>
      <c r="O147" s="881">
        <f t="shared" si="19"/>
        <v>-5.1323145945099097E-2</v>
      </c>
      <c r="P147" s="426"/>
    </row>
    <row r="148" spans="1:16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1691</v>
      </c>
      <c r="H148" s="600">
        <f>G148+'[3]11'!H148</f>
        <v>20980.309999999998</v>
      </c>
      <c r="I148" s="620"/>
      <c r="J148" s="693">
        <f>H148/DAY(B2)</f>
        <v>1748.3591666666664</v>
      </c>
      <c r="K148" s="425"/>
      <c r="N148" s="874">
        <v>1142.4100000000035</v>
      </c>
      <c r="O148" s="881">
        <f t="shared" si="19"/>
        <v>-548.58999999999651</v>
      </c>
      <c r="P148" s="426"/>
    </row>
    <row r="149" spans="1:16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9.4935998203458341E-2</v>
      </c>
      <c r="H149" s="600">
        <f>G149+'[3]11'!H149</f>
        <v>1.0436510840119479</v>
      </c>
      <c r="I149" s="686"/>
      <c r="J149" s="693">
        <f>H149/DAY(B2)</f>
        <v>8.6970923667662334E-2</v>
      </c>
      <c r="N149" s="874">
        <v>0.10130083175200079</v>
      </c>
      <c r="O149" s="881">
        <f t="shared" si="19"/>
        <v>6.3648335485424479E-3</v>
      </c>
      <c r="P149" s="426"/>
    </row>
    <row r="150" spans="1:16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1744</v>
      </c>
      <c r="H150" s="600">
        <f>G150+'[3]11'!H150</f>
        <v>19560.479999999981</v>
      </c>
      <c r="I150" s="686"/>
      <c r="J150" s="693">
        <f>H150/DAY(B2)</f>
        <v>1630.0399999999984</v>
      </c>
      <c r="N150" s="874">
        <v>1083.9900000000052</v>
      </c>
      <c r="O150" s="881">
        <f t="shared" si="19"/>
        <v>-660.00999999999476</v>
      </c>
      <c r="P150" s="426"/>
    </row>
    <row r="151" spans="1:16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9.7911520323377493E-2</v>
      </c>
      <c r="H151" s="600">
        <f>G151+'[3]11'!H151</f>
        <v>0.97236203713639813</v>
      </c>
      <c r="I151" s="620"/>
      <c r="J151" s="693">
        <f>H151/DAY(B2)</f>
        <v>8.1030169761366511E-2</v>
      </c>
      <c r="N151" s="874">
        <v>9.6120559703479075E-2</v>
      </c>
      <c r="O151" s="881">
        <f t="shared" si="19"/>
        <v>-1.7909606198984185E-3</v>
      </c>
      <c r="P151" s="426"/>
    </row>
    <row r="152" spans="1:16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0</v>
      </c>
      <c r="H152" s="600">
        <f>G152+'[3]11'!H152</f>
        <v>15221.809999999998</v>
      </c>
      <c r="I152" s="620"/>
      <c r="J152" s="693">
        <f>H152/DAY(B2)</f>
        <v>1268.4841666666664</v>
      </c>
      <c r="N152" s="874">
        <v>1101.7600000000093</v>
      </c>
      <c r="O152" s="881">
        <f t="shared" si="19"/>
        <v>1101.7600000000093</v>
      </c>
      <c r="P152" s="426"/>
    </row>
    <row r="153" spans="1:16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684">
        <f>G152/G9</f>
        <v>0</v>
      </c>
      <c r="H153" s="600">
        <f>G153+'[3]11'!H153</f>
        <v>0.7428134162095934</v>
      </c>
      <c r="I153" s="709"/>
      <c r="J153" s="710">
        <f>H153/DAY(B2)</f>
        <v>6.1901118017466117E-2</v>
      </c>
      <c r="N153" s="874">
        <v>9.7696277510775462E-2</v>
      </c>
      <c r="O153" s="881">
        <f t="shared" si="19"/>
        <v>9.7696277510775462E-2</v>
      </c>
      <c r="P153" s="426"/>
    </row>
    <row r="154" spans="1:16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46" t="s">
        <v>274</v>
      </c>
      <c r="B160" s="947"/>
      <c r="C160" s="947"/>
      <c r="D160" s="651" t="s">
        <v>198</v>
      </c>
      <c r="E160" s="945">
        <v>22467</v>
      </c>
      <c r="F160" s="795">
        <v>22537</v>
      </c>
      <c r="G160" s="613">
        <f t="shared" ref="G160:G171" si="20">F160-E160</f>
        <v>70</v>
      </c>
      <c r="N160" s="874"/>
    </row>
    <row r="161" spans="1:14">
      <c r="A161" s="946" t="s">
        <v>275</v>
      </c>
      <c r="B161" s="947"/>
      <c r="C161" s="947"/>
      <c r="D161" s="651" t="s">
        <v>198</v>
      </c>
      <c r="E161" s="795">
        <v>14669</v>
      </c>
      <c r="F161" s="795">
        <v>14743</v>
      </c>
      <c r="G161" s="613">
        <f t="shared" si="20"/>
        <v>74</v>
      </c>
      <c r="N161" s="874"/>
    </row>
    <row r="162" spans="1:14">
      <c r="A162" s="946" t="s">
        <v>276</v>
      </c>
      <c r="B162" s="947"/>
      <c r="C162" s="947"/>
      <c r="D162" s="651" t="s">
        <v>198</v>
      </c>
      <c r="E162" s="795">
        <v>32972</v>
      </c>
      <c r="F162" s="795">
        <v>33231</v>
      </c>
      <c r="G162" s="613">
        <f t="shared" si="20"/>
        <v>259</v>
      </c>
      <c r="N162" s="874"/>
    </row>
    <row r="163" spans="1:14">
      <c r="A163" s="946" t="s">
        <v>277</v>
      </c>
      <c r="B163" s="947"/>
      <c r="C163" s="947"/>
      <c r="D163" s="651" t="s">
        <v>198</v>
      </c>
      <c r="E163" s="795">
        <v>3196</v>
      </c>
      <c r="F163" s="795">
        <v>3223</v>
      </c>
      <c r="G163" s="613">
        <f t="shared" si="20"/>
        <v>27</v>
      </c>
      <c r="N163" s="874"/>
    </row>
    <row r="164" spans="1:14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</v>
      </c>
      <c r="G164" s="613">
        <f t="shared" si="20"/>
        <v>0</v>
      </c>
      <c r="N164" s="874"/>
    </row>
    <row r="165" spans="1:14">
      <c r="A165" s="948" t="s">
        <v>199</v>
      </c>
      <c r="B165" s="745"/>
      <c r="C165" s="745"/>
      <c r="D165" s="651" t="s">
        <v>198</v>
      </c>
      <c r="E165" s="654">
        <f t="shared" ref="E165:F171" si="21">E63</f>
        <v>511</v>
      </c>
      <c r="F165" s="654">
        <f t="shared" si="21"/>
        <v>531</v>
      </c>
      <c r="G165" s="613">
        <f t="shared" si="20"/>
        <v>20</v>
      </c>
      <c r="N165" s="874"/>
    </row>
    <row r="166" spans="1:14" ht="33" customHeight="1">
      <c r="A166" s="1404" t="s">
        <v>107</v>
      </c>
      <c r="B166" s="1404"/>
      <c r="C166" s="1404"/>
      <c r="D166" s="663" t="s">
        <v>198</v>
      </c>
      <c r="E166" s="654">
        <f t="shared" si="21"/>
        <v>80007</v>
      </c>
      <c r="F166" s="654">
        <f t="shared" si="21"/>
        <v>80352</v>
      </c>
      <c r="G166" s="613">
        <f t="shared" si="20"/>
        <v>345</v>
      </c>
      <c r="N166" s="874"/>
    </row>
    <row r="167" spans="1:14" ht="33" customHeight="1">
      <c r="A167" s="1404" t="s">
        <v>108</v>
      </c>
      <c r="B167" s="1404"/>
      <c r="C167" s="1404"/>
      <c r="D167" s="663" t="s">
        <v>198</v>
      </c>
      <c r="E167" s="654">
        <f t="shared" si="21"/>
        <v>89480</v>
      </c>
      <c r="F167" s="654">
        <f t="shared" si="21"/>
        <v>89843</v>
      </c>
      <c r="G167" s="613">
        <f t="shared" si="20"/>
        <v>363</v>
      </c>
      <c r="N167" s="874"/>
    </row>
    <row r="168" spans="1:14" ht="41.25" customHeight="1">
      <c r="A168" s="1404" t="s">
        <v>109</v>
      </c>
      <c r="B168" s="1404"/>
      <c r="C168" s="1404"/>
      <c r="D168" s="663" t="s">
        <v>198</v>
      </c>
      <c r="E168" s="654">
        <f t="shared" si="21"/>
        <v>82575</v>
      </c>
      <c r="F168" s="654">
        <f t="shared" si="21"/>
        <v>82918</v>
      </c>
      <c r="G168" s="613">
        <f t="shared" si="20"/>
        <v>343</v>
      </c>
      <c r="N168" s="874"/>
    </row>
    <row r="169" spans="1:14" ht="26.25" customHeight="1">
      <c r="A169" s="1404" t="s">
        <v>110</v>
      </c>
      <c r="B169" s="1404"/>
      <c r="C169" s="1404"/>
      <c r="D169" s="663" t="s">
        <v>198</v>
      </c>
      <c r="E169" s="654">
        <f t="shared" si="21"/>
        <v>133228</v>
      </c>
      <c r="F169" s="654">
        <f t="shared" si="21"/>
        <v>133851</v>
      </c>
      <c r="G169" s="613">
        <f t="shared" si="20"/>
        <v>623</v>
      </c>
      <c r="N169" s="874"/>
    </row>
    <row r="170" spans="1:14" ht="24" customHeight="1">
      <c r="A170" s="1404" t="s">
        <v>111</v>
      </c>
      <c r="B170" s="1404"/>
      <c r="C170" s="1404"/>
      <c r="D170" s="663" t="s">
        <v>198</v>
      </c>
      <c r="E170" s="654">
        <f t="shared" si="21"/>
        <v>36879</v>
      </c>
      <c r="F170" s="654">
        <f t="shared" si="21"/>
        <v>37220</v>
      </c>
      <c r="G170" s="613">
        <f t="shared" si="20"/>
        <v>341</v>
      </c>
      <c r="N170" s="874"/>
    </row>
    <row r="171" spans="1:14" ht="27.75">
      <c r="A171" s="1404" t="s">
        <v>112</v>
      </c>
      <c r="B171" s="1404"/>
      <c r="C171" s="1404"/>
      <c r="D171" s="663" t="s">
        <v>198</v>
      </c>
      <c r="E171" s="654">
        <f t="shared" si="21"/>
        <v>32142</v>
      </c>
      <c r="F171" s="654">
        <f t="shared" si="21"/>
        <v>32431</v>
      </c>
      <c r="G171" s="613">
        <f t="shared" si="20"/>
        <v>289</v>
      </c>
      <c r="N171" s="874"/>
    </row>
    <row r="172" spans="1:14">
      <c r="G172" s="680">
        <f>SUM(G160:G171)</f>
        <v>2754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A13"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109375" style="678" customWidth="1"/>
    <col min="8" max="8" width="27.33203125" style="679" customWidth="1"/>
    <col min="9" max="9" width="22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6" s="292" customFormat="1" ht="27">
      <c r="A2" s="716" t="s">
        <v>293</v>
      </c>
      <c r="B2" s="1195">
        <v>44148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32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v>2325715</v>
      </c>
      <c r="F7" s="595">
        <v>2343105</v>
      </c>
      <c r="G7" s="815">
        <f>F7-E7</f>
        <v>17390</v>
      </c>
      <c r="H7" s="816">
        <f>G7+'[3]12'!H7</f>
        <v>238080</v>
      </c>
      <c r="I7" s="817">
        <f>'[5]1'!I7</f>
        <v>12000</v>
      </c>
      <c r="J7" s="818">
        <f>H7/DAY(B2)</f>
        <v>18313.846153846152</v>
      </c>
      <c r="K7" s="690"/>
      <c r="L7" s="421"/>
      <c r="N7" s="885">
        <f>G7/G8</f>
        <v>0.99507896543831542</v>
      </c>
      <c r="O7" s="881">
        <f>F7+200</f>
        <v>2343305</v>
      </c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v>2336978</v>
      </c>
      <c r="F8" s="615">
        <v>2354454</v>
      </c>
      <c r="G8" s="826">
        <f>F8-E8</f>
        <v>17476</v>
      </c>
      <c r="H8" s="816">
        <f>G8+'[3]12'!H8</f>
        <v>239013</v>
      </c>
      <c r="I8" s="823">
        <f>'[5]1'!I8</f>
        <v>12000</v>
      </c>
      <c r="J8" s="818">
        <f>H8/DAY(B2)</f>
        <v>18385.615384615383</v>
      </c>
      <c r="K8" s="690"/>
      <c r="L8" s="479"/>
      <c r="M8" s="542"/>
      <c r="N8" s="874"/>
      <c r="O8" s="881">
        <f>F8+200</f>
        <v>2354654</v>
      </c>
      <c r="P8" s="426"/>
    </row>
    <row r="9" spans="1:16">
      <c r="A9" s="824" t="s">
        <v>145</v>
      </c>
      <c r="B9" s="825"/>
      <c r="C9" s="825"/>
      <c r="D9" s="779" t="s">
        <v>143</v>
      </c>
      <c r="E9" s="618">
        <v>2203924</v>
      </c>
      <c r="F9" s="618">
        <v>2206597.7000000002</v>
      </c>
      <c r="G9" s="839">
        <f t="shared" ref="G9:G12" si="0">F9-E9</f>
        <v>2673.7000000001863</v>
      </c>
      <c r="H9" s="816">
        <f>G9+'[3]12'!H9</f>
        <v>189592.40000000014</v>
      </c>
      <c r="I9" s="827">
        <f>I7-J7</f>
        <v>-6313.8461538461524</v>
      </c>
      <c r="J9" s="818">
        <f>H9/DAY(B2)</f>
        <v>14584.03076923078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v>25953</v>
      </c>
      <c r="F10" s="618">
        <v>40105.243000000002</v>
      </c>
      <c r="G10" s="826">
        <f t="shared" si="0"/>
        <v>14152.243000000002</v>
      </c>
      <c r="H10" s="816">
        <f>G10+'[3]12'!H10</f>
        <v>40105.453000000023</v>
      </c>
      <c r="I10" s="828"/>
      <c r="J10" s="818">
        <f>H10/DAY(B2)</f>
        <v>3085.0348461538479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v>35390</v>
      </c>
      <c r="F11" s="595">
        <v>35390</v>
      </c>
      <c r="G11" s="826">
        <f t="shared" si="0"/>
        <v>0</v>
      </c>
      <c r="H11" s="816">
        <f>G11+'[3]12'!H11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v>37630</v>
      </c>
      <c r="F12" s="618">
        <v>37630</v>
      </c>
      <c r="G12" s="826">
        <f t="shared" si="0"/>
        <v>0</v>
      </c>
      <c r="H12" s="816">
        <f>G12+'[3]12'!H12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16825.943000000188</v>
      </c>
      <c r="H13" s="816">
        <f>G13+'[3]12'!H13</f>
        <v>194041.85300000018</v>
      </c>
      <c r="I13" s="832">
        <f>G7-G13</f>
        <v>564.05699999981152</v>
      </c>
      <c r="J13" s="818">
        <f>H13/DAY(B2)</f>
        <v>14926.296384615398</v>
      </c>
      <c r="K13" s="527"/>
      <c r="L13" s="421"/>
      <c r="N13" s="874"/>
      <c r="O13" s="881"/>
      <c r="P13" s="426"/>
    </row>
    <row r="14" spans="1:16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v>1536306</v>
      </c>
      <c r="F15" s="625">
        <v>1536924.601</v>
      </c>
      <c r="G15" s="801">
        <f>(F15-E15)</f>
        <v>618.60100000002421</v>
      </c>
      <c r="H15" s="816">
        <f>G15+'[3]12'!H15</f>
        <v>6809.4070000001229</v>
      </c>
      <c r="I15" s="614">
        <v>800</v>
      </c>
      <c r="J15" s="694">
        <f>H15/DAY(B2)</f>
        <v>523.80053846154794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276.19946153845206</v>
      </c>
      <c r="J16" s="694"/>
      <c r="K16" s="527"/>
      <c r="L16" s="421"/>
      <c r="N16" s="874"/>
      <c r="O16" s="881"/>
      <c r="P16" s="426"/>
    </row>
    <row r="17" spans="1:16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478" t="s">
        <v>154</v>
      </c>
      <c r="B18" s="1479"/>
      <c r="C18" s="1480"/>
      <c r="D18" s="779" t="s">
        <v>155</v>
      </c>
      <c r="E18" s="618">
        <v>14</v>
      </c>
      <c r="F18" s="618">
        <v>10</v>
      </c>
      <c r="G18" s="831">
        <f>F18*10</f>
        <v>100</v>
      </c>
      <c r="H18" s="816">
        <f>G18+'[3]12'!H18</f>
        <v>1440</v>
      </c>
      <c r="I18" s="817">
        <f>'[5]1'!I18</f>
        <v>65</v>
      </c>
      <c r="J18" s="818">
        <f>H18/DAY(B2)</f>
        <v>110.76923076923077</v>
      </c>
      <c r="K18" s="527"/>
      <c r="L18" s="421"/>
      <c r="N18" s="874"/>
      <c r="O18" s="881"/>
      <c r="P18" s="426"/>
    </row>
    <row r="19" spans="1:16" ht="27.75">
      <c r="A19" s="1478" t="s">
        <v>71</v>
      </c>
      <c r="B19" s="1479"/>
      <c r="C19" s="1480"/>
      <c r="D19" s="779" t="s">
        <v>155</v>
      </c>
      <c r="E19" s="618">
        <v>128818</v>
      </c>
      <c r="F19" s="618">
        <v>128871</v>
      </c>
      <c r="G19" s="826">
        <f t="shared" ref="G19" si="1">F19-E19</f>
        <v>53</v>
      </c>
      <c r="H19" s="816">
        <f>G19+'[3]12'!H19</f>
        <v>676</v>
      </c>
      <c r="I19" s="833"/>
      <c r="J19" s="818">
        <f>H19/DAY(B2)</f>
        <v>52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 t="s">
        <v>226</v>
      </c>
      <c r="G20" s="834">
        <f>G18+G19</f>
        <v>153</v>
      </c>
      <c r="H20" s="816">
        <f>G20+'[3]12'!H20</f>
        <v>2116</v>
      </c>
      <c r="I20" s="835">
        <f>I18-J20</f>
        <v>-97.769230769230774</v>
      </c>
      <c r="J20" s="818">
        <f>H20/DAY(B2)</f>
        <v>162.76923076923077</v>
      </c>
      <c r="K20" s="527"/>
      <c r="L20" s="421"/>
      <c r="N20" s="874"/>
      <c r="O20" s="881"/>
      <c r="P20" s="426"/>
    </row>
    <row r="21" spans="1:16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v>2250</v>
      </c>
      <c r="F22" s="618">
        <v>2250</v>
      </c>
      <c r="G22" s="621">
        <f t="shared" ref="G22" si="2">(F22-E22)</f>
        <v>0</v>
      </c>
      <c r="H22" s="816">
        <f>G22+'[3]12'!H22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v>2000</v>
      </c>
      <c r="F23" s="618">
        <v>1700</v>
      </c>
      <c r="G23" s="621">
        <v>0</v>
      </c>
      <c r="H23" s="816">
        <f>G23+'[3]12'!H23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v>4250</v>
      </c>
      <c r="F24" s="1219">
        <v>3310</v>
      </c>
      <c r="G24" s="621">
        <v>0</v>
      </c>
      <c r="H24" s="816">
        <f>G24+'[3]12'!H24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17476</v>
      </c>
      <c r="F27" s="641">
        <v>9.5</v>
      </c>
      <c r="G27" s="642">
        <f>E27*F27</f>
        <v>166022</v>
      </c>
      <c r="H27" s="816">
        <f>G27+'[3]12'!H27</f>
        <v>2270623.5</v>
      </c>
      <c r="I27" s="643"/>
      <c r="J27" s="693">
        <f>H27/DAY(B2)</f>
        <v>174663.34615384616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618.60100000002421</v>
      </c>
      <c r="F28" s="641">
        <v>36.5</v>
      </c>
      <c r="G28" s="642">
        <f>E28*F28</f>
        <v>22578.936500000884</v>
      </c>
      <c r="H28" s="816">
        <f>G28+'[3]12'!H28</f>
        <v>248543.35550000449</v>
      </c>
      <c r="I28" s="645"/>
      <c r="J28" s="693">
        <f>H28/DAY(B2)</f>
        <v>19118.7196538465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816">
        <f>G29+'[3]12'!H29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53</v>
      </c>
      <c r="F30" s="641">
        <v>145</v>
      </c>
      <c r="G30" s="642">
        <f>E30*F30</f>
        <v>7685</v>
      </c>
      <c r="H30" s="816">
        <f>G30+'[3]12'!H30</f>
        <v>98020</v>
      </c>
      <c r="I30" s="645"/>
      <c r="J30" s="693">
        <f>H30/DAY(B2)</f>
        <v>7540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100</v>
      </c>
      <c r="F31" s="641">
        <v>80</v>
      </c>
      <c r="G31" s="642">
        <f>E31*F31</f>
        <v>8000</v>
      </c>
      <c r="H31" s="816">
        <f>G31+'[3]12'!H31</f>
        <v>115200</v>
      </c>
      <c r="I31" s="645"/>
      <c r="J31" s="693">
        <f>H31/DAY(B2)</f>
        <v>8861.538461538461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204285.93650000088</v>
      </c>
      <c r="H32" s="816">
        <f>G32+'[3]12'!H32</f>
        <v>2732386.8555000043</v>
      </c>
      <c r="I32" s="649"/>
      <c r="J32" s="693">
        <f>H32/DAY(B2)</f>
        <v>210183.60426923109</v>
      </c>
      <c r="K32" s="417"/>
      <c r="L32" s="547"/>
      <c r="N32" s="874"/>
      <c r="O32" s="881"/>
      <c r="P32" s="426"/>
    </row>
    <row r="33" spans="1:16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v>629201</v>
      </c>
      <c r="F35" s="650">
        <v>629201</v>
      </c>
      <c r="G35" s="613">
        <f t="shared" ref="G35:G46" si="3">F35-E35</f>
        <v>0</v>
      </c>
      <c r="H35" s="816">
        <f>G35+'[3]12'!H35</f>
        <v>25857.530000000028</v>
      </c>
      <c r="I35" s="595"/>
      <c r="J35" s="693">
        <f>H35/DAY(B2)</f>
        <v>1989.0407692307713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v>218527</v>
      </c>
      <c r="F36" s="650">
        <v>219021.63</v>
      </c>
      <c r="G36" s="613">
        <f t="shared" si="3"/>
        <v>494.63000000000466</v>
      </c>
      <c r="H36" s="816">
        <f>G36+'[3]12'!H36</f>
        <v>7661.679999999993</v>
      </c>
      <c r="I36" s="595"/>
      <c r="J36" s="693">
        <f>H36/DAY(B2)</f>
        <v>589.35999999999945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v>415066</v>
      </c>
      <c r="F37" s="650">
        <v>415066</v>
      </c>
      <c r="G37" s="613">
        <f t="shared" si="3"/>
        <v>0</v>
      </c>
      <c r="H37" s="816">
        <f>G37+'[3]12'!H37</f>
        <v>15221.809999999998</v>
      </c>
      <c r="I37" s="595"/>
      <c r="J37" s="693">
        <f>H37/DAY(B2)</f>
        <v>1170.9084615384613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</v>
      </c>
      <c r="G38" s="613">
        <f t="shared" si="3"/>
        <v>0</v>
      </c>
      <c r="H38" s="816">
        <f>G38+'[3]12'!H38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v>912480</v>
      </c>
      <c r="F39" s="650">
        <v>912480</v>
      </c>
      <c r="G39" s="613">
        <f t="shared" si="3"/>
        <v>0</v>
      </c>
      <c r="H39" s="816">
        <f>G39+'[3]12'!H39</f>
        <v>40355.290000000037</v>
      </c>
      <c r="I39" s="595"/>
      <c r="J39" s="693">
        <f>H39/DAY(B2)</f>
        <v>3104.2530769230798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816">
        <f>G40+'[3]12'!H40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v>300127.90000000002</v>
      </c>
      <c r="F41" s="650">
        <v>300127.95</v>
      </c>
      <c r="G41" s="613">
        <f t="shared" si="3"/>
        <v>4.9999999988358468E-2</v>
      </c>
      <c r="H41" s="816">
        <f>G41+'[3]12'!H41</f>
        <v>-1.9999999960418791E-2</v>
      </c>
      <c r="I41" s="595"/>
      <c r="J41" s="693">
        <f>H41/DAY(B2)</f>
        <v>-1.5384615354168301E-3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v>396197.47</v>
      </c>
      <c r="F42" s="650">
        <v>396197.47</v>
      </c>
      <c r="G42" s="613">
        <f t="shared" si="3"/>
        <v>0</v>
      </c>
      <c r="H42" s="816">
        <f>G42+'[3]12'!H42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v>586768</v>
      </c>
      <c r="F43" s="650">
        <v>589070.55000000005</v>
      </c>
      <c r="G43" s="613">
        <f t="shared" si="3"/>
        <v>2302.5500000000466</v>
      </c>
      <c r="H43" s="816">
        <f>G43+'[3]12'!H43</f>
        <v>30746.480000000098</v>
      </c>
      <c r="I43" s="595"/>
      <c r="J43" s="693">
        <f>H43/DAY(B2)</f>
        <v>2365.1138461538535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3"/>
        <v>0</v>
      </c>
      <c r="H44" s="816">
        <f>G44+'[3]12'!H44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v>614</v>
      </c>
      <c r="F45" s="650">
        <v>614</v>
      </c>
      <c r="G45" s="613">
        <f t="shared" si="3"/>
        <v>0</v>
      </c>
      <c r="H45" s="816">
        <f>G45+'[3]12'!H45</f>
        <v>-0.48000000000001819</v>
      </c>
      <c r="I45" s="595"/>
      <c r="J45" s="693">
        <f>H45/DAY(B2)</f>
        <v>-3.6923076923078321E-2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v>187.49</v>
      </c>
      <c r="F46" s="650">
        <v>187.49</v>
      </c>
      <c r="G46" s="613">
        <f t="shared" si="3"/>
        <v>0</v>
      </c>
      <c r="H46" s="816">
        <f>G46+'[3]12'!H46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 t="s">
        <v>280</v>
      </c>
      <c r="G47" s="621">
        <f>G35+G36+G37+G38+G39+G40+G41+G42+G43+G44+G45+G46</f>
        <v>2797.2300000000396</v>
      </c>
      <c r="H47" s="816">
        <f>G47+'[3]12'!H47</f>
        <v>119842.2900000002</v>
      </c>
      <c r="I47" s="595"/>
      <c r="J47" s="693">
        <f>H47/DAY(B2)</f>
        <v>9218.6376923077078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v>15792</v>
      </c>
      <c r="F49" s="650">
        <v>17862.141</v>
      </c>
      <c r="G49" s="613">
        <f t="shared" ref="G49:G58" si="4">F49-E49</f>
        <v>2070.1409999999996</v>
      </c>
      <c r="H49" s="816">
        <f>G49+'[3]12'!H49</f>
        <v>6132.8529999999992</v>
      </c>
      <c r="I49" s="595"/>
      <c r="J49" s="693">
        <f>H49/DAY(B2)</f>
        <v>471.75792307692302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v>276200</v>
      </c>
      <c r="F50" s="650">
        <v>277208.67</v>
      </c>
      <c r="G50" s="613">
        <f t="shared" si="4"/>
        <v>1008.6699999999837</v>
      </c>
      <c r="H50" s="816">
        <f>G50+'[3]12'!H50</f>
        <v>11149.729999999981</v>
      </c>
      <c r="I50" s="595"/>
      <c r="J50" s="693">
        <f>H50/DAY(B2)</f>
        <v>857.67153846153701</v>
      </c>
      <c r="K50" s="527"/>
      <c r="L50" s="421"/>
      <c r="N50" s="874"/>
      <c r="O50" s="882"/>
      <c r="P50" s="426"/>
    </row>
    <row r="51" spans="1:16">
      <c r="A51" s="1700" t="s">
        <v>177</v>
      </c>
      <c r="B51" s="1701"/>
      <c r="C51" s="1701"/>
      <c r="D51" s="865" t="s">
        <v>143</v>
      </c>
      <c r="E51" s="1218">
        <v>0</v>
      </c>
      <c r="F51" s="1218">
        <v>4121.8500000000004</v>
      </c>
      <c r="G51" s="932">
        <f t="shared" si="4"/>
        <v>4121.8500000000004</v>
      </c>
      <c r="H51" s="816">
        <f>G51+'[3]12'!H51</f>
        <v>4121.8500000000004</v>
      </c>
      <c r="I51" s="595"/>
      <c r="J51" s="693">
        <f>H51/DAY(B2)</f>
        <v>317.06538461538463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v>339645</v>
      </c>
      <c r="F52" s="650">
        <v>341368.35</v>
      </c>
      <c r="G52" s="613">
        <f t="shared" si="4"/>
        <v>1723.3499999999767</v>
      </c>
      <c r="H52" s="816">
        <f>G52+'[3]12'!H52</f>
        <v>19078.929999999993</v>
      </c>
      <c r="I52" s="595"/>
      <c r="J52" s="693">
        <f>H52/DAY(B2)</f>
        <v>1467.6099999999994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v>8101</v>
      </c>
      <c r="F53" s="650">
        <v>8101</v>
      </c>
      <c r="G53" s="613">
        <f t="shared" si="4"/>
        <v>0</v>
      </c>
      <c r="H53" s="816">
        <f>G53+'[3]12'!H53</f>
        <v>8101</v>
      </c>
      <c r="I53" s="595"/>
      <c r="J53" s="693">
        <f>H53/DAY(B2)</f>
        <v>623.15384615384619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v>2266</v>
      </c>
      <c r="F54" s="650">
        <v>2329.6093000000001</v>
      </c>
      <c r="G54" s="613">
        <f t="shared" si="4"/>
        <v>63.609300000000076</v>
      </c>
      <c r="H54" s="816">
        <f>G54+'[3]12'!H54</f>
        <v>777.04860000000008</v>
      </c>
      <c r="I54" s="595"/>
      <c r="J54" s="693">
        <f>H54/DAY(B2)</f>
        <v>59.772969230769235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v>158492.73000000001</v>
      </c>
      <c r="F55" s="790">
        <v>158492.73000000001</v>
      </c>
      <c r="G55" s="789">
        <f t="shared" si="4"/>
        <v>0</v>
      </c>
      <c r="H55" s="816">
        <f>G55+'[3]12'!H55</f>
        <v>-0.26999999998952262</v>
      </c>
      <c r="I55" s="862"/>
      <c r="J55" s="863">
        <f>H55/DAY(B2)</f>
        <v>-2.0769230768424816E-2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v>352952</v>
      </c>
      <c r="F56" s="790">
        <v>356936.59</v>
      </c>
      <c r="G56" s="613">
        <f t="shared" si="4"/>
        <v>3984.5900000000256</v>
      </c>
      <c r="H56" s="816">
        <f>G56+'[3]12'!H56</f>
        <v>44892.110000000044</v>
      </c>
      <c r="I56" s="595"/>
      <c r="J56" s="693">
        <f>H56/DAY(B2)</f>
        <v>3453.2392307692344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v>0</v>
      </c>
      <c r="F57" s="650">
        <v>0</v>
      </c>
      <c r="G57" s="613">
        <f t="shared" si="4"/>
        <v>0</v>
      </c>
      <c r="H57" s="816">
        <f>G57+'[3]12'!H57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v>18428</v>
      </c>
      <c r="F58" s="790">
        <v>18566.937000000002</v>
      </c>
      <c r="G58" s="613">
        <f t="shared" si="4"/>
        <v>138.93700000000172</v>
      </c>
      <c r="H58" s="816">
        <f>G58+'[3]12'!H58</f>
        <v>797.64099999999962</v>
      </c>
      <c r="I58" s="595"/>
      <c r="J58" s="693">
        <f>H58/DAY(B2)</f>
        <v>61.356999999999971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13111.147299999988</v>
      </c>
      <c r="H59" s="816">
        <f>G59+'[3]12'!H59</f>
        <v>95050.892600000021</v>
      </c>
      <c r="I59" s="595">
        <f>G7-G60</f>
        <v>1481.6226999999726</v>
      </c>
      <c r="J59" s="693">
        <f>H59/DAY(B2)</f>
        <v>7311.6071230769248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15908.377300000027</v>
      </c>
      <c r="H60" s="816">
        <f>G60+'[3]12'!H60</f>
        <v>229279.34330000021</v>
      </c>
      <c r="I60" s="595">
        <f>G13-G60</f>
        <v>917.56570000016109</v>
      </c>
      <c r="J60" s="693">
        <f>H60/DAY(B2)</f>
        <v>17636.872561538479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v>20419</v>
      </c>
      <c r="F62" s="654">
        <v>20419.18</v>
      </c>
      <c r="G62" s="613">
        <f t="shared" ref="G62:G70" si="5">F62-E62</f>
        <v>0.18000000000029104</v>
      </c>
      <c r="H62" s="816">
        <f>G62+'[3]12'!H62</f>
        <v>-0.19799999999668216</v>
      </c>
      <c r="I62" s="655"/>
      <c r="J62" s="693">
        <f>H62/DAY(B2)</f>
        <v>-1.5230769230514012E-2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v>531</v>
      </c>
      <c r="F63" s="654">
        <v>551.48</v>
      </c>
      <c r="G63" s="613">
        <f t="shared" si="5"/>
        <v>20.480000000000018</v>
      </c>
      <c r="H63" s="816">
        <f>G63+'[3]12'!H63</f>
        <v>253.02000000000004</v>
      </c>
      <c r="I63" s="655"/>
      <c r="J63" s="693">
        <f>H63/DAY(B2)</f>
        <v>19.463076923076926</v>
      </c>
      <c r="K63" s="527"/>
      <c r="L63" s="421"/>
      <c r="N63" s="874"/>
      <c r="O63" s="881"/>
      <c r="P63" s="426"/>
    </row>
    <row r="64" spans="1:16" ht="27.75">
      <c r="A64" s="1429" t="s">
        <v>107</v>
      </c>
      <c r="B64" s="1430"/>
      <c r="C64" s="1431"/>
      <c r="D64" s="663" t="s">
        <v>198</v>
      </c>
      <c r="E64" s="618">
        <v>80352</v>
      </c>
      <c r="F64" s="618">
        <v>80681.967000000004</v>
      </c>
      <c r="G64" s="613">
        <f t="shared" si="5"/>
        <v>329.96700000000419</v>
      </c>
      <c r="H64" s="816">
        <f>G64+'[3]12'!H64</f>
        <v>4618.8800000000047</v>
      </c>
      <c r="I64" s="620"/>
      <c r="J64" s="693">
        <f>H64/DAY(B2)</f>
        <v>355.29846153846188</v>
      </c>
      <c r="K64" s="527"/>
      <c r="L64" s="421"/>
      <c r="N64" s="874"/>
      <c r="O64" s="881"/>
      <c r="P64" s="426"/>
    </row>
    <row r="65" spans="1:16" ht="27.75">
      <c r="A65" s="1429" t="s">
        <v>108</v>
      </c>
      <c r="B65" s="1430"/>
      <c r="C65" s="1431"/>
      <c r="D65" s="663" t="s">
        <v>198</v>
      </c>
      <c r="E65" s="788">
        <v>89843</v>
      </c>
      <c r="F65" s="788">
        <v>90196.918999999994</v>
      </c>
      <c r="G65" s="613">
        <f t="shared" si="5"/>
        <v>353.91899999999441</v>
      </c>
      <c r="H65" s="816">
        <f>G65+'[3]12'!H65</f>
        <v>5037.6559999999881</v>
      </c>
      <c r="I65" s="629"/>
      <c r="J65" s="693">
        <f>H65/DAY(B2)</f>
        <v>387.51199999999909</v>
      </c>
      <c r="K65" s="527"/>
      <c r="L65" s="421"/>
      <c r="N65" s="874"/>
      <c r="O65" s="882"/>
      <c r="P65" s="426"/>
    </row>
    <row r="66" spans="1:16" ht="27.75">
      <c r="A66" s="1429" t="s">
        <v>109</v>
      </c>
      <c r="B66" s="1430"/>
      <c r="C66" s="1431"/>
      <c r="D66" s="663" t="s">
        <v>198</v>
      </c>
      <c r="E66" s="618">
        <v>82918</v>
      </c>
      <c r="F66" s="618">
        <v>83296.294999999998</v>
      </c>
      <c r="G66" s="613">
        <f t="shared" si="5"/>
        <v>378.29499999999825</v>
      </c>
      <c r="H66" s="816">
        <f>G66+'[3]12'!H66</f>
        <v>5108.3369999999995</v>
      </c>
      <c r="I66" s="620"/>
      <c r="J66" s="693">
        <f>H66/DAY(B2)</f>
        <v>392.94899999999996</v>
      </c>
      <c r="K66" s="527"/>
      <c r="L66" s="421"/>
      <c r="N66" s="874"/>
      <c r="O66" s="881"/>
      <c r="P66" s="426"/>
    </row>
    <row r="67" spans="1:16" ht="27.75">
      <c r="A67" s="1429" t="s">
        <v>110</v>
      </c>
      <c r="B67" s="1430"/>
      <c r="C67" s="1431"/>
      <c r="D67" s="663" t="s">
        <v>198</v>
      </c>
      <c r="E67" s="618">
        <v>133851</v>
      </c>
      <c r="F67" s="618">
        <v>134449.42000000001</v>
      </c>
      <c r="G67" s="613">
        <f t="shared" si="5"/>
        <v>598.42000000001281</v>
      </c>
      <c r="H67" s="816">
        <f>G67+'[3]12'!H67</f>
        <v>8392.9200000000128</v>
      </c>
      <c r="I67" s="629"/>
      <c r="J67" s="693">
        <f>H67/DAY(B2)</f>
        <v>645.60923076923177</v>
      </c>
      <c r="K67" s="528"/>
      <c r="L67" s="421"/>
      <c r="N67" s="874"/>
      <c r="O67" s="881"/>
      <c r="P67" s="426"/>
    </row>
    <row r="68" spans="1:16" ht="27.75">
      <c r="A68" s="1429" t="s">
        <v>111</v>
      </c>
      <c r="B68" s="1430"/>
      <c r="C68" s="1431"/>
      <c r="D68" s="663" t="s">
        <v>198</v>
      </c>
      <c r="E68" s="618">
        <v>37220</v>
      </c>
      <c r="F68" s="618">
        <v>37529.055</v>
      </c>
      <c r="G68" s="613">
        <f t="shared" si="5"/>
        <v>309.05500000000029</v>
      </c>
      <c r="H68" s="816">
        <f>G68+'[3]12'!H68</f>
        <v>4129.1860000000015</v>
      </c>
      <c r="I68" s="656"/>
      <c r="J68" s="693">
        <f>H68/DAY(B2)</f>
        <v>317.62969230769244</v>
      </c>
      <c r="K68" s="529"/>
      <c r="L68" s="421"/>
      <c r="N68" s="874"/>
      <c r="O68" s="881"/>
      <c r="P68" s="426"/>
    </row>
    <row r="69" spans="1:16" ht="27.75">
      <c r="A69" s="1429" t="s">
        <v>112</v>
      </c>
      <c r="B69" s="1430"/>
      <c r="C69" s="1431"/>
      <c r="D69" s="663" t="s">
        <v>198</v>
      </c>
      <c r="E69" s="618">
        <v>32431</v>
      </c>
      <c r="F69" s="618">
        <v>32679.587</v>
      </c>
      <c r="G69" s="613">
        <f t="shared" si="5"/>
        <v>248.58699999999953</v>
      </c>
      <c r="H69" s="816">
        <f>G69+'[3]12'!H69</f>
        <v>3427.2219999999979</v>
      </c>
      <c r="I69" s="656"/>
      <c r="J69" s="693">
        <f>H69/DAY(B2)</f>
        <v>263.63246153846137</v>
      </c>
      <c r="K69" s="530"/>
      <c r="L69" s="421"/>
      <c r="N69" s="874"/>
      <c r="O69" s="881"/>
      <c r="P69" s="426"/>
    </row>
    <row r="70" spans="1:16" ht="27.75">
      <c r="A70" s="1469" t="s">
        <v>200</v>
      </c>
      <c r="B70" s="1470"/>
      <c r="C70" s="1471"/>
      <c r="D70" s="663" t="s">
        <v>198</v>
      </c>
      <c r="E70" s="658"/>
      <c r="F70" s="658">
        <v>0</v>
      </c>
      <c r="G70" s="658">
        <f t="shared" si="5"/>
        <v>0</v>
      </c>
      <c r="H70" s="816">
        <f>G70+'[3]12'!H70</f>
        <v>0</v>
      </c>
      <c r="I70" s="658"/>
      <c r="J70" s="697">
        <f>H70/DAY(B2)</f>
        <v>0</v>
      </c>
      <c r="K70" s="530"/>
      <c r="L70" s="421"/>
      <c r="N70" s="874"/>
      <c r="O70" s="881"/>
      <c r="P70" s="426"/>
    </row>
    <row r="71" spans="1:16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874"/>
      <c r="O71" s="881"/>
      <c r="P71" s="426"/>
    </row>
    <row r="72" spans="1:16" ht="27.75">
      <c r="A72" s="1429" t="s">
        <v>202</v>
      </c>
      <c r="B72" s="1430"/>
      <c r="C72" s="1431"/>
      <c r="D72" s="663" t="s">
        <v>198</v>
      </c>
      <c r="E72" s="791">
        <v>844024</v>
      </c>
      <c r="F72" s="791">
        <v>844033</v>
      </c>
      <c r="G72" s="613">
        <f t="shared" ref="G72:G84" si="6">F72-E72</f>
        <v>9</v>
      </c>
      <c r="H72" s="816">
        <f>G72+'[3]12'!H72</f>
        <v>100</v>
      </c>
      <c r="I72" s="620"/>
      <c r="J72" s="693">
        <f>H72/DAY(B2)</f>
        <v>7.6923076923076925</v>
      </c>
      <c r="K72" s="530"/>
      <c r="L72" s="421"/>
      <c r="N72" s="874"/>
      <c r="O72" s="881"/>
      <c r="P72" s="426"/>
    </row>
    <row r="73" spans="1:16" ht="27.75">
      <c r="A73" s="1429" t="s">
        <v>203</v>
      </c>
      <c r="B73" s="1430"/>
      <c r="C73" s="1431"/>
      <c r="D73" s="663" t="s">
        <v>198</v>
      </c>
      <c r="E73" s="792">
        <v>885227</v>
      </c>
      <c r="F73" s="792">
        <v>885228</v>
      </c>
      <c r="G73" s="789">
        <f t="shared" si="6"/>
        <v>1</v>
      </c>
      <c r="H73" s="816">
        <f>G73+'[3]12'!H73</f>
        <v>13</v>
      </c>
      <c r="I73" s="620"/>
      <c r="J73" s="693">
        <f>H73/DAY(B2)</f>
        <v>1</v>
      </c>
      <c r="K73" s="529"/>
      <c r="L73" s="421"/>
      <c r="N73" s="874"/>
      <c r="O73" s="881"/>
      <c r="P73" s="426"/>
    </row>
    <row r="74" spans="1:16" ht="27.75">
      <c r="A74" s="1429" t="s">
        <v>204</v>
      </c>
      <c r="B74" s="1430"/>
      <c r="C74" s="1431"/>
      <c r="D74" s="663" t="s">
        <v>198</v>
      </c>
      <c r="E74" s="792">
        <v>879830</v>
      </c>
      <c r="F74" s="792">
        <v>879845</v>
      </c>
      <c r="G74" s="613">
        <f t="shared" si="6"/>
        <v>15</v>
      </c>
      <c r="H74" s="816">
        <f>G74+'[3]12'!H74</f>
        <v>209</v>
      </c>
      <c r="I74" s="620"/>
      <c r="J74" s="693">
        <f>H74/DAY(B2)</f>
        <v>16.076923076923077</v>
      </c>
      <c r="K74" s="530"/>
      <c r="L74" s="421"/>
      <c r="N74" s="874"/>
      <c r="O74" s="881"/>
      <c r="P74" s="426"/>
    </row>
    <row r="75" spans="1:16" ht="27.75">
      <c r="A75" s="1408" t="s">
        <v>205</v>
      </c>
      <c r="B75" s="1409"/>
      <c r="C75" s="1410"/>
      <c r="D75" s="663" t="s">
        <v>198</v>
      </c>
      <c r="E75" s="792">
        <v>723266</v>
      </c>
      <c r="F75" s="792">
        <v>723417</v>
      </c>
      <c r="G75" s="613">
        <f t="shared" si="6"/>
        <v>151</v>
      </c>
      <c r="H75" s="816">
        <f>G75+'[3]12'!H75</f>
        <v>2051</v>
      </c>
      <c r="I75" s="620"/>
      <c r="J75" s="693">
        <f>H75/DAY(B2)</f>
        <v>157.76923076923077</v>
      </c>
      <c r="K75" s="529"/>
      <c r="L75" s="421"/>
      <c r="N75" s="874"/>
      <c r="O75" s="881"/>
      <c r="P75" s="426"/>
    </row>
    <row r="76" spans="1:16" ht="27.75">
      <c r="A76" s="1408" t="s">
        <v>206</v>
      </c>
      <c r="B76" s="1409"/>
      <c r="C76" s="1410"/>
      <c r="D76" s="663" t="s">
        <v>198</v>
      </c>
      <c r="E76" s="792">
        <v>680457</v>
      </c>
      <c r="F76" s="792">
        <v>680521</v>
      </c>
      <c r="G76" s="613">
        <f t="shared" si="6"/>
        <v>64</v>
      </c>
      <c r="H76" s="816">
        <f>G76+'[3]12'!H76</f>
        <v>869</v>
      </c>
      <c r="I76" s="645"/>
      <c r="J76" s="693">
        <f>H76/DAY(B2)</f>
        <v>66.84615384615384</v>
      </c>
      <c r="K76" s="529"/>
      <c r="L76" s="421"/>
      <c r="N76" s="874"/>
      <c r="O76" s="881"/>
      <c r="P76" s="426"/>
    </row>
    <row r="77" spans="1:16" ht="27.75">
      <c r="A77" s="1429" t="s">
        <v>207</v>
      </c>
      <c r="B77" s="1430"/>
      <c r="C77" s="1431"/>
      <c r="D77" s="663" t="s">
        <v>198</v>
      </c>
      <c r="E77" s="792">
        <v>692835</v>
      </c>
      <c r="F77" s="792">
        <v>692886</v>
      </c>
      <c r="G77" s="789">
        <f t="shared" si="6"/>
        <v>51</v>
      </c>
      <c r="H77" s="816">
        <f>G77+'[3]12'!H77</f>
        <v>579</v>
      </c>
      <c r="I77" s="645"/>
      <c r="J77" s="693">
        <f>H77/DAY(B2)</f>
        <v>44.53846153846154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v>611778</v>
      </c>
      <c r="F78" s="793">
        <v>612084</v>
      </c>
      <c r="G78" s="613">
        <f t="shared" si="6"/>
        <v>306</v>
      </c>
      <c r="H78" s="816">
        <f>G78+'[3]12'!H78</f>
        <v>4070</v>
      </c>
      <c r="I78" s="645"/>
      <c r="J78" s="693">
        <f>H78/DAY(B2)</f>
        <v>313.07692307692309</v>
      </c>
      <c r="K78" s="529"/>
      <c r="L78" s="421"/>
      <c r="N78" s="874"/>
      <c r="O78" s="881"/>
      <c r="P78" s="426"/>
    </row>
    <row r="79" spans="1:16" ht="27.75">
      <c r="A79" s="1408" t="s">
        <v>97</v>
      </c>
      <c r="B79" s="1409"/>
      <c r="C79" s="1410"/>
      <c r="D79" s="664" t="s">
        <v>198</v>
      </c>
      <c r="E79" s="793">
        <v>794716</v>
      </c>
      <c r="F79" s="793">
        <v>794885</v>
      </c>
      <c r="G79" s="613">
        <f t="shared" si="6"/>
        <v>169</v>
      </c>
      <c r="H79" s="816">
        <f>G79+'[3]12'!H79</f>
        <v>2097</v>
      </c>
      <c r="I79" s="645"/>
      <c r="J79" s="693">
        <f>H79/DAY(B2)</f>
        <v>161.30769230769232</v>
      </c>
      <c r="K79" s="529"/>
      <c r="L79" s="421"/>
      <c r="N79" s="874"/>
      <c r="O79" s="881"/>
      <c r="P79" s="426"/>
    </row>
    <row r="80" spans="1:16" ht="27.75">
      <c r="A80" s="1408" t="s">
        <v>209</v>
      </c>
      <c r="B80" s="1409"/>
      <c r="C80" s="1410"/>
      <c r="D80" s="664" t="s">
        <v>198</v>
      </c>
      <c r="E80" s="792">
        <v>460283</v>
      </c>
      <c r="F80" s="792">
        <v>460533.88</v>
      </c>
      <c r="G80" s="613">
        <f t="shared" si="6"/>
        <v>250.88000000000466</v>
      </c>
      <c r="H80" s="816">
        <f>G80+'[3]12'!H80</f>
        <v>3668.8400000000256</v>
      </c>
      <c r="I80" s="645"/>
      <c r="J80" s="693">
        <f>H80/DAY(B2)</f>
        <v>282.21846153846349</v>
      </c>
      <c r="K80" s="529"/>
      <c r="L80" s="421"/>
      <c r="N80" s="874"/>
      <c r="O80" s="881"/>
      <c r="P80" s="426"/>
    </row>
    <row r="81" spans="1:16" ht="27.75">
      <c r="A81" s="1408" t="s">
        <v>210</v>
      </c>
      <c r="B81" s="1409"/>
      <c r="C81" s="1410"/>
      <c r="D81" s="664" t="s">
        <v>198</v>
      </c>
      <c r="E81" s="792">
        <v>612274</v>
      </c>
      <c r="F81" s="792">
        <v>612382.28</v>
      </c>
      <c r="G81" s="613">
        <f t="shared" si="6"/>
        <v>108.28000000002794</v>
      </c>
      <c r="H81" s="816">
        <f>G81+'[3]12'!H81</f>
        <v>1260</v>
      </c>
      <c r="I81" s="645"/>
      <c r="J81" s="693">
        <f>H81/DAY(B2)</f>
        <v>96.92307692307692</v>
      </c>
      <c r="K81" s="529"/>
      <c r="L81" s="421"/>
      <c r="N81" s="874"/>
      <c r="O81" s="881"/>
      <c r="P81" s="426"/>
    </row>
    <row r="82" spans="1:16" ht="27.75">
      <c r="A82" s="1408" t="s">
        <v>100</v>
      </c>
      <c r="B82" s="1409"/>
      <c r="C82" s="1410"/>
      <c r="D82" s="625" t="s">
        <v>143</v>
      </c>
      <c r="E82" s="788">
        <v>103233</v>
      </c>
      <c r="F82" s="788">
        <v>103253.25</v>
      </c>
      <c r="G82" s="613">
        <f t="shared" si="6"/>
        <v>20.25</v>
      </c>
      <c r="H82" s="816">
        <f>G82+'[3]12'!H82</f>
        <v>223.30000000000291</v>
      </c>
      <c r="I82" s="626"/>
      <c r="J82" s="693">
        <f>H82/DAY(B2)</f>
        <v>17.176923076923302</v>
      </c>
      <c r="K82" s="529"/>
      <c r="L82" s="421"/>
      <c r="N82" s="874"/>
      <c r="O82" s="881"/>
      <c r="P82" s="426"/>
    </row>
    <row r="83" spans="1:16" ht="27.75">
      <c r="A83" s="1408" t="s">
        <v>211</v>
      </c>
      <c r="B83" s="1409"/>
      <c r="C83" s="1410"/>
      <c r="D83" s="761" t="s">
        <v>143</v>
      </c>
      <c r="E83" s="651">
        <v>956527</v>
      </c>
      <c r="F83" s="651">
        <v>956876</v>
      </c>
      <c r="G83" s="613">
        <f t="shared" si="6"/>
        <v>349</v>
      </c>
      <c r="H83" s="816">
        <f>G83+'[3]12'!H83</f>
        <v>4633</v>
      </c>
      <c r="I83" s="621"/>
      <c r="J83" s="693">
        <f>H83/DAY(B2)</f>
        <v>356.38461538461536</v>
      </c>
      <c r="K83" s="528"/>
      <c r="L83" s="421"/>
      <c r="N83" s="874"/>
      <c r="O83" s="881"/>
      <c r="P83" s="426"/>
    </row>
    <row r="84" spans="1:16">
      <c r="A84" s="1377" t="s">
        <v>212</v>
      </c>
      <c r="B84" s="712"/>
      <c r="C84" s="712"/>
      <c r="D84" s="618" t="s">
        <v>143</v>
      </c>
      <c r="E84" s="768">
        <v>372549</v>
      </c>
      <c r="F84" s="768">
        <v>373080</v>
      </c>
      <c r="G84" s="613">
        <f t="shared" si="6"/>
        <v>531</v>
      </c>
      <c r="H84" s="816">
        <f>G84+'[3]12'!H84</f>
        <v>6647</v>
      </c>
      <c r="I84" s="621"/>
      <c r="J84" s="693">
        <f>H84/DAY(B2)</f>
        <v>511.30769230769232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2025.4100000000326</v>
      </c>
      <c r="H85" s="816">
        <f>G85+'[3]12'!H85</f>
        <v>24755.400000000023</v>
      </c>
      <c r="I85" s="621"/>
      <c r="J85" s="693">
        <f>H85/DAY(B2)</f>
        <v>1904.2615384615403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v>438491</v>
      </c>
      <c r="F86" s="784">
        <v>438595.64</v>
      </c>
      <c r="G86" s="861">
        <f t="shared" ref="G86:G90" si="7">F86-E86</f>
        <v>104.64000000001397</v>
      </c>
      <c r="H86" s="816">
        <f>G86+'[3]12'!H86</f>
        <v>246.64000000001397</v>
      </c>
      <c r="I86" s="789"/>
      <c r="J86" s="863">
        <f>H86/DAY(B2)</f>
        <v>18.972307692308767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v>76407</v>
      </c>
      <c r="F87" s="784">
        <v>76430.3</v>
      </c>
      <c r="G87" s="861">
        <f t="shared" si="7"/>
        <v>23.30000000000291</v>
      </c>
      <c r="H87" s="816">
        <f>G87+'[3]12'!H87</f>
        <v>45.30000000000291</v>
      </c>
      <c r="I87" s="789"/>
      <c r="J87" s="863">
        <f>H87/DAY(B2)</f>
        <v>3.4846153846156085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v>140886</v>
      </c>
      <c r="F88" s="784">
        <v>140953.76</v>
      </c>
      <c r="G88" s="861">
        <f t="shared" si="7"/>
        <v>67.760000000009313</v>
      </c>
      <c r="H88" s="816">
        <f>G88+'[3]12'!H88</f>
        <v>128.76000000000931</v>
      </c>
      <c r="I88" s="789"/>
      <c r="J88" s="863">
        <f>H88/DAY(B2)</f>
        <v>9.9046153846161005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v>54737</v>
      </c>
      <c r="F89" s="784">
        <v>54788.800000000003</v>
      </c>
      <c r="G89" s="861">
        <f t="shared" si="7"/>
        <v>51.80000000000291</v>
      </c>
      <c r="H89" s="816">
        <f>G89+'[3]12'!H89</f>
        <v>103.80000000000291</v>
      </c>
      <c r="I89" s="789"/>
      <c r="J89" s="863">
        <f>H89/DAY(B2)</f>
        <v>7.9846153846156085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v>2827</v>
      </c>
      <c r="F90" s="784">
        <v>2828.5</v>
      </c>
      <c r="G90" s="861">
        <f t="shared" si="7"/>
        <v>1.5</v>
      </c>
      <c r="H90" s="816">
        <f>G90+'[3]12'!H90</f>
        <v>1.5</v>
      </c>
      <c r="I90" s="789"/>
      <c r="J90" s="863">
        <f>H90/DAY(B2)</f>
        <v>0.11538461538461539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32" t="s">
        <v>217</v>
      </c>
      <c r="B92" s="1433"/>
      <c r="C92" s="1434"/>
      <c r="D92" s="663" t="s">
        <v>155</v>
      </c>
      <c r="E92" s="618">
        <v>229687</v>
      </c>
      <c r="F92" s="618">
        <v>229770</v>
      </c>
      <c r="G92" s="613">
        <f t="shared" ref="G92:G93" si="8">F92-E92</f>
        <v>83</v>
      </c>
      <c r="H92" s="816">
        <f>G92+'[3]12'!H92</f>
        <v>1175</v>
      </c>
      <c r="I92" s="620"/>
      <c r="J92" s="693">
        <f>H92/DAY(B2)</f>
        <v>90.384615384615387</v>
      </c>
      <c r="K92" s="528"/>
      <c r="L92" s="421"/>
      <c r="N92" s="874"/>
      <c r="O92" s="881"/>
      <c r="P92" s="426"/>
    </row>
    <row r="93" spans="1:16" ht="27.75">
      <c r="A93" s="1432" t="s">
        <v>218</v>
      </c>
      <c r="B93" s="1433"/>
      <c r="C93" s="1434"/>
      <c r="D93" s="663" t="s">
        <v>155</v>
      </c>
      <c r="E93" s="618">
        <v>160404</v>
      </c>
      <c r="F93" s="618">
        <v>160565</v>
      </c>
      <c r="G93" s="613">
        <f t="shared" si="8"/>
        <v>161</v>
      </c>
      <c r="H93" s="816">
        <f>G93+'[3]12'!H93</f>
        <v>2042</v>
      </c>
      <c r="I93" s="620"/>
      <c r="J93" s="693">
        <f>H93/DAY(B2)</f>
        <v>157.07692307692307</v>
      </c>
      <c r="K93" s="424"/>
      <c r="L93" s="421"/>
      <c r="N93" s="874"/>
      <c r="O93" s="881"/>
      <c r="P93" s="426"/>
    </row>
    <row r="94" spans="1:16">
      <c r="A94" s="1460" t="s">
        <v>219</v>
      </c>
      <c r="B94" s="1461"/>
      <c r="C94" s="1462"/>
      <c r="D94" s="663"/>
      <c r="E94" s="618"/>
      <c r="F94" s="618"/>
      <c r="G94" s="613">
        <f>G92+G93</f>
        <v>244</v>
      </c>
      <c r="H94" s="816">
        <f>G94+'[3]12'!H94</f>
        <v>2927</v>
      </c>
      <c r="I94" s="620"/>
      <c r="J94" s="693">
        <f>H94/DAY(B2)</f>
        <v>225.15384615384616</v>
      </c>
      <c r="K94" s="424"/>
      <c r="L94" s="421"/>
      <c r="N94" s="874"/>
      <c r="O94" s="881"/>
      <c r="P94" s="426"/>
    </row>
    <row r="95" spans="1:16" ht="27.75">
      <c r="A95" s="1432" t="s">
        <v>220</v>
      </c>
      <c r="B95" s="1433"/>
      <c r="C95" s="1434"/>
      <c r="D95" s="663" t="s">
        <v>155</v>
      </c>
      <c r="E95" s="618">
        <v>400518</v>
      </c>
      <c r="F95" s="618">
        <v>400583</v>
      </c>
      <c r="G95" s="613">
        <f t="shared" ref="G95:G100" si="9">F95-E95</f>
        <v>65</v>
      </c>
      <c r="H95" s="816">
        <f>G95+'[3]12'!H95</f>
        <v>736</v>
      </c>
      <c r="I95" s="620"/>
      <c r="J95" s="693">
        <f>H95/DAY(B2)</f>
        <v>56.615384615384613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v>98611</v>
      </c>
      <c r="F96" s="618">
        <v>98659</v>
      </c>
      <c r="G96" s="613">
        <f t="shared" si="9"/>
        <v>48</v>
      </c>
      <c r="H96" s="816">
        <f>G96+'[3]12'!H96</f>
        <v>650</v>
      </c>
      <c r="I96" s="620"/>
      <c r="J96" s="693">
        <f>H96/DAY(B2)</f>
        <v>50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v>93827</v>
      </c>
      <c r="F97" s="618">
        <v>93840</v>
      </c>
      <c r="G97" s="613">
        <f t="shared" si="9"/>
        <v>13</v>
      </c>
      <c r="H97" s="816">
        <f>G97+'[3]12'!H97</f>
        <v>289</v>
      </c>
      <c r="I97" s="620"/>
      <c r="J97" s="693">
        <f>H97/DAY(B2)</f>
        <v>22.23076923076923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v>141452</v>
      </c>
      <c r="F98" s="618">
        <v>141485</v>
      </c>
      <c r="G98" s="613">
        <f t="shared" si="9"/>
        <v>33</v>
      </c>
      <c r="H98" s="816">
        <f>G98+'[3]12'!H98</f>
        <v>580</v>
      </c>
      <c r="I98" s="620"/>
      <c r="J98" s="693">
        <f>H98/DAY(B2)</f>
        <v>44.615384615384613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v>4817</v>
      </c>
      <c r="F99" s="618">
        <v>4824</v>
      </c>
      <c r="G99" s="613">
        <f t="shared" si="9"/>
        <v>7</v>
      </c>
      <c r="H99" s="816">
        <f>G99+'[3]12'!H99</f>
        <v>116</v>
      </c>
      <c r="I99" s="620"/>
      <c r="J99" s="693">
        <f>H99/DAY(B2)</f>
        <v>8.9230769230769234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v>3674</v>
      </c>
      <c r="F100" s="618">
        <v>3674</v>
      </c>
      <c r="G100" s="613">
        <f t="shared" si="9"/>
        <v>0</v>
      </c>
      <c r="H100" s="816">
        <f>G100+'[3]12'!H100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60" t="s">
        <v>227</v>
      </c>
      <c r="B101" s="1461"/>
      <c r="C101" s="1462"/>
      <c r="D101" s="664"/>
      <c r="E101" s="664"/>
      <c r="F101" s="664"/>
      <c r="G101" s="665">
        <f>SUM(G95:G100)</f>
        <v>166</v>
      </c>
      <c r="H101" s="816">
        <f>G101+'[3]12'!H101</f>
        <v>2371</v>
      </c>
      <c r="I101" s="666"/>
      <c r="J101" s="693">
        <f>H101/DAY(B2)</f>
        <v>182.38461538461539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3" t="s">
        <v>229</v>
      </c>
      <c r="B103" s="1464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21" t="s">
        <v>230</v>
      </c>
      <c r="B104" s="1422"/>
      <c r="C104" s="1376"/>
      <c r="D104" s="763" t="s">
        <v>155</v>
      </c>
      <c r="E104" s="795">
        <v>7010</v>
      </c>
      <c r="F104" s="795">
        <v>7010</v>
      </c>
      <c r="G104" s="672">
        <f>F104-E104</f>
        <v>0</v>
      </c>
      <c r="H104" s="816">
        <f>G104+'[3]12'!H104</f>
        <v>60</v>
      </c>
      <c r="I104" s="672"/>
      <c r="J104" s="699">
        <f>H104/DAY(B2)</f>
        <v>4.615384615384615</v>
      </c>
      <c r="N104" s="874"/>
      <c r="O104" s="881"/>
      <c r="P104" s="426"/>
    </row>
    <row r="105" spans="1:16" s="544" customFormat="1" ht="27.75">
      <c r="A105" s="1421" t="s">
        <v>77</v>
      </c>
      <c r="B105" s="1422"/>
      <c r="C105" s="1376"/>
      <c r="D105" s="763" t="s">
        <v>155</v>
      </c>
      <c r="E105" s="796">
        <v>34574</v>
      </c>
      <c r="F105" s="796">
        <v>34581</v>
      </c>
      <c r="G105" s="672">
        <f t="shared" ref="G105:G106" si="10">F105-E105</f>
        <v>7</v>
      </c>
      <c r="H105" s="816">
        <f>G105+'[3]12'!H105</f>
        <v>79</v>
      </c>
      <c r="I105" s="672"/>
      <c r="J105" s="699">
        <f>H105/DAY(B2)</f>
        <v>6.0769230769230766</v>
      </c>
      <c r="N105" s="874"/>
      <c r="O105" s="881"/>
      <c r="P105" s="426"/>
    </row>
    <row r="106" spans="1:16" s="544" customFormat="1" ht="27.75">
      <c r="A106" s="1421" t="s">
        <v>78</v>
      </c>
      <c r="B106" s="1465"/>
      <c r="C106" s="1422"/>
      <c r="D106" s="763" t="s">
        <v>155</v>
      </c>
      <c r="E106" s="796">
        <v>18670</v>
      </c>
      <c r="F106" s="796">
        <v>18676</v>
      </c>
      <c r="G106" s="672">
        <f t="shared" si="10"/>
        <v>6</v>
      </c>
      <c r="H106" s="816">
        <f>G106+'[3]12'!H106</f>
        <v>335</v>
      </c>
      <c r="I106" s="672"/>
      <c r="J106" s="699">
        <f>H106/DAY(B2)</f>
        <v>25.76923076923077</v>
      </c>
      <c r="N106" s="874"/>
      <c r="O106" s="881"/>
      <c r="P106" s="426"/>
    </row>
    <row r="107" spans="1:16" s="544" customFormat="1" ht="27.75">
      <c r="A107" s="1423" t="s">
        <v>213</v>
      </c>
      <c r="B107" s="1424"/>
      <c r="C107" s="1376"/>
      <c r="D107" s="763"/>
      <c r="E107" s="796"/>
      <c r="F107" s="796"/>
      <c r="G107" s="672">
        <f>SUM(G104:G106)</f>
        <v>13</v>
      </c>
      <c r="H107" s="816">
        <f>G107+'[3]12'!H107</f>
        <v>175</v>
      </c>
      <c r="I107" s="672"/>
      <c r="J107" s="699">
        <f>H107/DAY(B2)</f>
        <v>13.461538461538462</v>
      </c>
      <c r="N107" s="874"/>
      <c r="O107" s="881"/>
      <c r="P107" s="426"/>
    </row>
    <row r="108" spans="1:16" s="544" customFormat="1" ht="27.75">
      <c r="A108" s="1427" t="s">
        <v>79</v>
      </c>
      <c r="B108" s="1428"/>
      <c r="C108" s="1376"/>
      <c r="D108" s="763" t="s">
        <v>155</v>
      </c>
      <c r="E108" s="796"/>
      <c r="F108" s="796"/>
      <c r="G108" s="672"/>
      <c r="H108" s="816">
        <f>G108+'[3]12'!H108</f>
        <v>0</v>
      </c>
      <c r="I108" s="672"/>
      <c r="J108" s="699"/>
      <c r="N108" s="874"/>
      <c r="O108" s="881"/>
      <c r="P108" s="426"/>
    </row>
    <row r="109" spans="1:16" s="544" customFormat="1" ht="27.75">
      <c r="A109" s="1421" t="s">
        <v>231</v>
      </c>
      <c r="B109" s="1422"/>
      <c r="C109" s="1376"/>
      <c r="D109" s="763" t="s">
        <v>155</v>
      </c>
      <c r="E109" s="796">
        <v>50345</v>
      </c>
      <c r="F109" s="796">
        <v>50417</v>
      </c>
      <c r="G109" s="672">
        <f>F109-E109</f>
        <v>72</v>
      </c>
      <c r="H109" s="816">
        <f>G109+'[3]12'!H109</f>
        <v>180</v>
      </c>
      <c r="I109" s="672"/>
      <c r="J109" s="699">
        <f>H109/DAY(B2)</f>
        <v>13.846153846153847</v>
      </c>
      <c r="N109" s="874"/>
      <c r="O109" s="881"/>
      <c r="P109" s="426"/>
    </row>
    <row r="110" spans="1:16" s="544" customFormat="1" ht="27.75">
      <c r="A110" s="1421" t="s">
        <v>232</v>
      </c>
      <c r="B110" s="1422"/>
      <c r="C110" s="1376"/>
      <c r="D110" s="763" t="s">
        <v>155</v>
      </c>
      <c r="E110" s="796">
        <v>24636</v>
      </c>
      <c r="F110" s="796">
        <v>24664</v>
      </c>
      <c r="G110" s="672">
        <f t="shared" ref="G110:G111" si="11">F110-E110</f>
        <v>28</v>
      </c>
      <c r="H110" s="816">
        <f>G110+'[3]12'!H110</f>
        <v>92.740000000005239</v>
      </c>
      <c r="I110" s="672"/>
      <c r="J110" s="699">
        <f>H110/DAY(B2)</f>
        <v>7.133846153846557</v>
      </c>
      <c r="N110" s="874"/>
      <c r="O110" s="881"/>
      <c r="P110" s="426"/>
    </row>
    <row r="111" spans="1:16" s="544" customFormat="1" ht="27.75">
      <c r="A111" s="1421" t="s">
        <v>233</v>
      </c>
      <c r="B111" s="1422"/>
      <c r="C111" s="1376"/>
      <c r="D111" s="763" t="s">
        <v>155</v>
      </c>
      <c r="E111" s="796">
        <v>3257</v>
      </c>
      <c r="F111" s="796">
        <v>3257</v>
      </c>
      <c r="G111" s="672">
        <f t="shared" si="11"/>
        <v>0</v>
      </c>
      <c r="H111" s="816">
        <f>G111+'[3]12'!H111</f>
        <v>459</v>
      </c>
      <c r="I111" s="672"/>
      <c r="J111" s="699">
        <f>H111/DAY(B2)</f>
        <v>35.307692307692307</v>
      </c>
      <c r="N111" s="874"/>
      <c r="O111" s="881"/>
      <c r="P111" s="426"/>
    </row>
    <row r="112" spans="1:16" s="544" customFormat="1" ht="27.75">
      <c r="A112" s="1423" t="s">
        <v>121</v>
      </c>
      <c r="B112" s="1424"/>
      <c r="C112" s="1376"/>
      <c r="D112" s="763"/>
      <c r="E112" s="796"/>
      <c r="F112" s="796"/>
      <c r="G112" s="672">
        <f>SUM(G109:G111)</f>
        <v>100</v>
      </c>
      <c r="H112" s="816">
        <f>G112+'[3]12'!H112</f>
        <v>774</v>
      </c>
      <c r="I112" s="672"/>
      <c r="J112" s="699">
        <f>H112/DAY(B2)</f>
        <v>59.53846153846154</v>
      </c>
      <c r="N112" s="874"/>
      <c r="O112" s="881"/>
      <c r="P112" s="426"/>
    </row>
    <row r="113" spans="1:16" s="544" customFormat="1" ht="27.75">
      <c r="A113" s="1427" t="s">
        <v>234</v>
      </c>
      <c r="B113" s="1428"/>
      <c r="C113" s="1376"/>
      <c r="D113" s="763"/>
      <c r="E113" s="796"/>
      <c r="F113" s="796"/>
      <c r="G113" s="672"/>
      <c r="H113" s="816">
        <f>G113+'[3]12'!H113</f>
        <v>0</v>
      </c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21" t="s">
        <v>235</v>
      </c>
      <c r="B114" s="1422"/>
      <c r="C114" s="715"/>
      <c r="D114" s="763" t="s">
        <v>155</v>
      </c>
      <c r="E114" s="796">
        <v>8410</v>
      </c>
      <c r="F114" s="796">
        <v>8419</v>
      </c>
      <c r="G114" s="674">
        <f>F114-E114</f>
        <v>9</v>
      </c>
      <c r="H114" s="816">
        <f>G114+'[3]12'!H114</f>
        <v>16</v>
      </c>
      <c r="I114" s="672"/>
      <c r="J114" s="699">
        <f>H114/DAY(B2)</f>
        <v>1.2307692307692308</v>
      </c>
      <c r="N114" s="874"/>
      <c r="O114" s="881"/>
      <c r="P114" s="426"/>
    </row>
    <row r="115" spans="1:16" s="544" customFormat="1" ht="27.75">
      <c r="A115" s="1421" t="s">
        <v>236</v>
      </c>
      <c r="B115" s="1422"/>
      <c r="C115" s="715"/>
      <c r="D115" s="763" t="s">
        <v>155</v>
      </c>
      <c r="E115" s="796">
        <v>6639</v>
      </c>
      <c r="F115" s="796">
        <v>6652</v>
      </c>
      <c r="G115" s="674">
        <f t="shared" ref="G115:G116" si="12">F115-E115</f>
        <v>13</v>
      </c>
      <c r="H115" s="816">
        <f>G115+'[3]12'!H115</f>
        <v>128</v>
      </c>
      <c r="I115" s="672"/>
      <c r="J115" s="699">
        <f>H115/DAY(B2)</f>
        <v>9.8461538461538467</v>
      </c>
      <c r="N115" s="874"/>
      <c r="O115" s="881"/>
      <c r="P115" s="426"/>
    </row>
    <row r="116" spans="1:16" s="544" customFormat="1" ht="27.75">
      <c r="A116" s="1421" t="s">
        <v>237</v>
      </c>
      <c r="B116" s="1422"/>
      <c r="C116" s="715"/>
      <c r="D116" s="763" t="s">
        <v>155</v>
      </c>
      <c r="E116" s="796"/>
      <c r="F116" s="796"/>
      <c r="G116" s="674">
        <f t="shared" si="12"/>
        <v>0</v>
      </c>
      <c r="H116" s="816">
        <f>G116+'[3]12'!H116</f>
        <v>185</v>
      </c>
      <c r="I116" s="672"/>
      <c r="J116" s="699">
        <f>H116/DAY(B2)</f>
        <v>14.23076923076923</v>
      </c>
      <c r="N116" s="874"/>
      <c r="O116" s="881"/>
      <c r="P116" s="426"/>
    </row>
    <row r="117" spans="1:16" s="557" customFormat="1" ht="27.75">
      <c r="A117" s="1423" t="s">
        <v>213</v>
      </c>
      <c r="B117" s="1424"/>
      <c r="C117" s="715"/>
      <c r="D117" s="764"/>
      <c r="E117" s="796"/>
      <c r="F117" s="796"/>
      <c r="G117" s="674">
        <f>SUM(G114:G116)</f>
        <v>22</v>
      </c>
      <c r="H117" s="816">
        <f>G117+'[3]12'!H117</f>
        <v>87</v>
      </c>
      <c r="I117" s="674"/>
      <c r="J117" s="699">
        <f>H117/DAY(B2)</f>
        <v>6.6923076923076925</v>
      </c>
      <c r="N117" s="874"/>
      <c r="O117" s="881"/>
      <c r="P117" s="426"/>
    </row>
    <row r="118" spans="1:16" s="558" customFormat="1" ht="27.75">
      <c r="A118" s="1417" t="s">
        <v>238</v>
      </c>
      <c r="B118" s="1418"/>
      <c r="C118" s="1379"/>
      <c r="D118" s="765" t="s">
        <v>155</v>
      </c>
      <c r="E118" s="797">
        <f>SUM(F19+F92)</f>
        <v>358641</v>
      </c>
      <c r="F118" s="797">
        <f>SUM(G19+G92)</f>
        <v>136</v>
      </c>
      <c r="G118" s="676">
        <f>SUM(G19+G92)</f>
        <v>136</v>
      </c>
      <c r="H118" s="816">
        <f>G118+'[3]12'!H118</f>
        <v>324</v>
      </c>
      <c r="I118" s="675"/>
      <c r="J118" s="700">
        <f>H118/DAY(B2)</f>
        <v>24.923076923076923</v>
      </c>
      <c r="N118" s="874"/>
      <c r="O118" s="881"/>
      <c r="P118" s="426"/>
    </row>
    <row r="119" spans="1:16" s="558" customFormat="1" ht="27.75">
      <c r="A119" s="1417" t="s">
        <v>239</v>
      </c>
      <c r="B119" s="1418"/>
      <c r="C119" s="1379"/>
      <c r="D119" s="765" t="s">
        <v>155</v>
      </c>
      <c r="E119" s="797">
        <f>SUM(F95,F96,F97,F99,F100)</f>
        <v>601580</v>
      </c>
      <c r="F119" s="797">
        <f>SUM(G95,G96,G97,G99,G100)</f>
        <v>133</v>
      </c>
      <c r="G119" s="676">
        <f>SUM(G95,G96,G97,G99,G100)</f>
        <v>133</v>
      </c>
      <c r="H119" s="816">
        <f>G119+'[3]12'!H119</f>
        <v>286</v>
      </c>
      <c r="I119" s="675"/>
      <c r="J119" s="700">
        <f>H119/DAY(B2)</f>
        <v>22</v>
      </c>
      <c r="N119" s="874"/>
      <c r="O119" s="881"/>
      <c r="P119" s="426"/>
    </row>
    <row r="120" spans="1:16" s="558" customFormat="1" ht="27.75">
      <c r="A120" s="1417" t="s">
        <v>240</v>
      </c>
      <c r="B120" s="1418"/>
      <c r="C120" s="1379"/>
      <c r="D120" s="765" t="s">
        <v>155</v>
      </c>
      <c r="E120" s="796">
        <f>SUM(F112)</f>
        <v>0</v>
      </c>
      <c r="F120" s="796">
        <f>SUM(G112)</f>
        <v>100</v>
      </c>
      <c r="G120" s="674">
        <f>SUM(G112)</f>
        <v>100</v>
      </c>
      <c r="H120" s="816">
        <f>G120+'[3]12'!H120</f>
        <v>178</v>
      </c>
      <c r="I120" s="675"/>
      <c r="J120" s="700">
        <f>H120/DAY(B2)</f>
        <v>13.692307692307692</v>
      </c>
      <c r="N120" s="874"/>
      <c r="O120" s="881"/>
      <c r="P120" s="426"/>
    </row>
    <row r="121" spans="1:16" s="544" customFormat="1" ht="27.75">
      <c r="A121" s="1419"/>
      <c r="B121" s="1420"/>
      <c r="C121" s="1380"/>
      <c r="D121" s="701"/>
      <c r="E121" s="798" t="s">
        <v>226</v>
      </c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v>785158</v>
      </c>
      <c r="F123" s="618">
        <v>785336.24100000004</v>
      </c>
      <c r="G123" s="613">
        <f t="shared" ref="G123:G127" si="13">F123-E123</f>
        <v>178.24100000003818</v>
      </c>
      <c r="H123" s="816">
        <f>G123+'[3]12'!H123</f>
        <v>2411.3549999999814</v>
      </c>
      <c r="I123" s="666"/>
      <c r="J123" s="693">
        <f>H123/DAY(B2)</f>
        <v>185.48884615384472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v>73581</v>
      </c>
      <c r="F124" s="767">
        <v>73581</v>
      </c>
      <c r="G124" s="613">
        <f t="shared" si="13"/>
        <v>0</v>
      </c>
      <c r="H124" s="816">
        <f>G124+'[3]12'!H124</f>
        <v>0</v>
      </c>
      <c r="I124" s="666"/>
      <c r="J124" s="693">
        <f>H124/DAY(B2)</f>
        <v>0</v>
      </c>
      <c r="K124" s="424"/>
      <c r="L124" s="421"/>
      <c r="N124" s="874"/>
      <c r="O124" s="881"/>
      <c r="P124" s="426"/>
    </row>
    <row r="125" spans="1:16" ht="27.75">
      <c r="A125" s="1429" t="s">
        <v>244</v>
      </c>
      <c r="B125" s="1430"/>
      <c r="C125" s="1431"/>
      <c r="D125" s="663" t="s">
        <v>152</v>
      </c>
      <c r="E125" s="618">
        <v>131875</v>
      </c>
      <c r="F125" s="618">
        <v>131921.72</v>
      </c>
      <c r="G125" s="613">
        <f t="shared" si="13"/>
        <v>46.720000000001164</v>
      </c>
      <c r="H125" s="816">
        <f>G125+'[3]12'!H125</f>
        <v>815.5</v>
      </c>
      <c r="I125" s="666"/>
      <c r="J125" s="693">
        <f>H125/DAY(B2)</f>
        <v>62.730769230769234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v>55861</v>
      </c>
      <c r="F126" s="767">
        <v>55884.7</v>
      </c>
      <c r="G126" s="613">
        <f t="shared" si="13"/>
        <v>23.69999999999709</v>
      </c>
      <c r="H126" s="816">
        <f>G126+'[3]12'!H126</f>
        <v>298.89999999999418</v>
      </c>
      <c r="I126" s="666"/>
      <c r="J126" s="693">
        <f>H126/DAY(B2)</f>
        <v>22.992307692307243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v>8640</v>
      </c>
      <c r="F127" s="767">
        <v>8640.1</v>
      </c>
      <c r="G127" s="613">
        <f t="shared" si="13"/>
        <v>0.1000000000003638</v>
      </c>
      <c r="H127" s="816">
        <f>G127+'[3]12'!H127</f>
        <v>1.1000000000003638</v>
      </c>
      <c r="I127" s="620"/>
      <c r="J127" s="693">
        <f>H127/DAY(B2)</f>
        <v>8.4615384615412598E-2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369.83999999998741</v>
      </c>
      <c r="H128" s="816">
        <f>G128+'[3]12'!H128</f>
        <v>3282.552000000147</v>
      </c>
      <c r="I128" s="620"/>
      <c r="J128" s="693">
        <f>H128/DAY(B2)</f>
        <v>252.5040000000113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v>0</v>
      </c>
      <c r="F130" s="618">
        <v>0</v>
      </c>
      <c r="G130" s="613">
        <f t="shared" ref="G130:G140" si="14">F130-E130</f>
        <v>0</v>
      </c>
      <c r="H130" s="816">
        <f>G130+'[3]12'!H130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v>0</v>
      </c>
      <c r="F131" s="618">
        <v>0</v>
      </c>
      <c r="G131" s="613">
        <f t="shared" si="14"/>
        <v>0</v>
      </c>
      <c r="H131" s="816">
        <f>G131+'[3]12'!H131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788">
        <v>38853</v>
      </c>
      <c r="F132" s="788">
        <v>38853</v>
      </c>
      <c r="G132" s="613">
        <f t="shared" si="14"/>
        <v>0</v>
      </c>
      <c r="H132" s="816">
        <f>G132+'[3]12'!H132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767">
        <v>34948</v>
      </c>
      <c r="F133" s="767">
        <v>34948</v>
      </c>
      <c r="G133" s="613">
        <f t="shared" si="14"/>
        <v>0</v>
      </c>
      <c r="H133" s="816">
        <f>G133+'[3]12'!H133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767">
        <v>39735</v>
      </c>
      <c r="F134" s="767">
        <v>39735</v>
      </c>
      <c r="G134" s="613">
        <f t="shared" si="14"/>
        <v>0</v>
      </c>
      <c r="H134" s="816">
        <f>G134+'[3]12'!H134</f>
        <v>-1.2699999999967986</v>
      </c>
      <c r="I134" s="620"/>
      <c r="J134" s="693">
        <f>H134/DAY(B2)</f>
        <v>-9.7692307692061428E-2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788">
        <v>31280</v>
      </c>
      <c r="F135" s="788">
        <v>31304</v>
      </c>
      <c r="G135" s="613">
        <f t="shared" si="14"/>
        <v>24</v>
      </c>
      <c r="H135" s="816">
        <f>G135+'[3]12'!H135</f>
        <v>310.97999999999956</v>
      </c>
      <c r="I135" s="620"/>
      <c r="J135" s="693">
        <f>H135/DAY(B2)</f>
        <v>23.921538461538429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788">
        <v>21627</v>
      </c>
      <c r="F136" s="788">
        <v>21627.37</v>
      </c>
      <c r="G136" s="613">
        <f t="shared" si="14"/>
        <v>0.36999999999898137</v>
      </c>
      <c r="H136" s="816">
        <f>G136+'[3]12'!H136</f>
        <v>29.340000000000146</v>
      </c>
      <c r="I136" s="620">
        <f>G134+G135+G136</f>
        <v>24.369999999998981</v>
      </c>
      <c r="J136" s="693">
        <f>H136/DAY(B2)</f>
        <v>2.2569230769230879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788">
        <v>24902</v>
      </c>
      <c r="F137" s="788">
        <v>24909.24</v>
      </c>
      <c r="G137" s="613">
        <f t="shared" si="14"/>
        <v>7.2400000000016007</v>
      </c>
      <c r="H137" s="816">
        <f>G137+'[3]12'!H137</f>
        <v>6.9900000000016007</v>
      </c>
      <c r="I137" s="620"/>
      <c r="J137" s="693">
        <f>H137/DAY(B2)</f>
        <v>0.53769230769243082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788">
        <v>69929</v>
      </c>
      <c r="F138" s="788">
        <v>69929.490000000005</v>
      </c>
      <c r="G138" s="613">
        <f t="shared" si="14"/>
        <v>0.49000000000523869</v>
      </c>
      <c r="H138" s="816">
        <f>G138+'[3]12'!H138</f>
        <v>47.840000000011059</v>
      </c>
      <c r="I138" s="620">
        <f>G137+G138</f>
        <v>7.7300000000068394</v>
      </c>
      <c r="J138" s="693">
        <f>H138/DAY(B2)</f>
        <v>3.6800000000008506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767">
        <v>837.73</v>
      </c>
      <c r="F139" s="767">
        <v>842.87</v>
      </c>
      <c r="G139" s="613">
        <f t="shared" si="14"/>
        <v>5.1399999999999864</v>
      </c>
      <c r="H139" s="816">
        <f>G139+'[3]12'!H139</f>
        <v>66.440000000000055</v>
      </c>
      <c r="I139" s="683"/>
      <c r="J139" s="693">
        <f>H139/DAY(B2)</f>
        <v>5.1107692307692352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v>4156.9799999999996</v>
      </c>
      <c r="F140" s="618">
        <v>4156.96</v>
      </c>
      <c r="G140" s="613">
        <f t="shared" si="14"/>
        <v>-1.9999999999527063E-2</v>
      </c>
      <c r="H140" s="816">
        <f>G140+'[3]12'!H140</f>
        <v>2.6899999999995998</v>
      </c>
      <c r="I140" s="683"/>
      <c r="J140" s="693">
        <f>H140/DAY(B2)</f>
        <v>0.20692307692304615</v>
      </c>
      <c r="N140" s="874"/>
      <c r="O140" s="881"/>
      <c r="P140" s="426"/>
    </row>
    <row r="141" spans="1:16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4372.6910000000462</v>
      </c>
      <c r="H142" s="816">
        <f>G142+'[3]12'!H142</f>
        <v>62737.313000000126</v>
      </c>
      <c r="I142" s="620"/>
      <c r="J142" s="693">
        <f>H142/DAY(B2)</f>
        <v>4825.9471538461639</v>
      </c>
      <c r="K142" s="424"/>
      <c r="L142" s="421"/>
      <c r="N142" s="874"/>
      <c r="O142" s="881"/>
      <c r="P142" s="426"/>
    </row>
    <row r="143" spans="1:16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0.25144859114433848</v>
      </c>
      <c r="H143" s="816">
        <f>G143+'[3]12'!H143</f>
        <v>2.9743196490858166</v>
      </c>
      <c r="I143" s="685"/>
      <c r="J143" s="693">
        <f>H143/DAY(B2)</f>
        <v>0.22879381916044744</v>
      </c>
      <c r="K143" s="424"/>
      <c r="L143" s="421"/>
      <c r="N143" s="874"/>
      <c r="O143" s="881"/>
      <c r="P143" s="426"/>
    </row>
    <row r="144" spans="1:16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3984.640000000014</v>
      </c>
      <c r="H144" s="816">
        <f>G144+'[3]12'!H144</f>
        <v>52946.510000000097</v>
      </c>
      <c r="I144" s="620"/>
      <c r="J144" s="693">
        <f>H144/DAY(B2)</f>
        <v>4072.8084615384691</v>
      </c>
      <c r="K144" s="424"/>
      <c r="L144" s="421"/>
      <c r="N144" s="874"/>
      <c r="O144" s="881"/>
      <c r="P144" s="426"/>
    </row>
    <row r="145" spans="1:16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0.22913398504887947</v>
      </c>
      <c r="H145" s="816">
        <f>G145+'[3]12'!H145</f>
        <v>2.6703486126730058</v>
      </c>
      <c r="I145" s="685"/>
      <c r="J145" s="693">
        <f>H145/DAY(B2)</f>
        <v>0.20541143174407736</v>
      </c>
      <c r="K145" s="424"/>
      <c r="L145" s="421"/>
      <c r="N145" s="874"/>
      <c r="O145" s="881"/>
      <c r="P145" s="426"/>
    </row>
    <row r="146" spans="1:16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0</v>
      </c>
      <c r="H146" s="816">
        <f>G146+'[3]12'!H146</f>
        <v>48456.290000000037</v>
      </c>
      <c r="I146" s="686"/>
      <c r="J146" s="693">
        <f>H146/DAY(B2)</f>
        <v>3727.406923076926</v>
      </c>
      <c r="K146" s="424"/>
      <c r="L146" s="421"/>
      <c r="N146" s="874"/>
      <c r="O146" s="881"/>
      <c r="P146" s="426"/>
    </row>
    <row r="147" spans="1:16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</v>
      </c>
      <c r="H147" s="816">
        <f>G147+'[3]12'!H147</f>
        <v>2.4219032357615093</v>
      </c>
      <c r="I147" s="686"/>
      <c r="J147" s="693">
        <f>H147/DAY(B2)</f>
        <v>0.18630024890473149</v>
      </c>
      <c r="N147" s="874"/>
      <c r="O147" s="881"/>
      <c r="P147" s="426"/>
    </row>
    <row r="148" spans="1:16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1723.3499999999767</v>
      </c>
      <c r="H148" s="816">
        <f>G148+'[3]12'!H148</f>
        <v>22703.659999999974</v>
      </c>
      <c r="I148" s="620"/>
      <c r="J148" s="693">
        <f>H148/DAY(B2)</f>
        <v>1746.4353846153826</v>
      </c>
      <c r="K148" s="425"/>
      <c r="N148" s="874"/>
      <c r="O148" s="881"/>
      <c r="P148" s="426"/>
    </row>
    <row r="149" spans="1:16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9.9100057504311487E-2</v>
      </c>
      <c r="H149" s="816">
        <f>G149+'[3]12'!H149</f>
        <v>1.1427511415162594</v>
      </c>
      <c r="I149" s="686"/>
      <c r="J149" s="693">
        <f>H149/DAY(B2)</f>
        <v>8.7903933962789185E-2</v>
      </c>
      <c r="N149" s="874"/>
      <c r="O149" s="881"/>
      <c r="P149" s="426"/>
    </row>
    <row r="150" spans="1:16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1503.2999999999884</v>
      </c>
      <c r="H150" s="816">
        <f>G150+'[3]12'!H150</f>
        <v>21063.77999999997</v>
      </c>
      <c r="I150" s="686"/>
      <c r="J150" s="693">
        <f>H150/DAY(B2)</f>
        <v>1620.290769230767</v>
      </c>
      <c r="N150" s="874"/>
      <c r="O150" s="881"/>
      <c r="P150" s="426"/>
    </row>
    <row r="151" spans="1:16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8.644623346750939E-2</v>
      </c>
      <c r="H151" s="816">
        <f>G151+'[3]12'!H151</f>
        <v>1.0588082706039075</v>
      </c>
      <c r="I151" s="620"/>
      <c r="J151" s="693">
        <f>H151/DAY(B2)</f>
        <v>8.1446790046454415E-2</v>
      </c>
      <c r="N151" s="874"/>
      <c r="O151" s="881"/>
      <c r="P151" s="426"/>
    </row>
    <row r="152" spans="1:16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4121.8500000000004</v>
      </c>
      <c r="H152" s="816">
        <f>G152+'[3]12'!H152</f>
        <v>19343.659999999996</v>
      </c>
      <c r="I152" s="620"/>
      <c r="J152" s="693">
        <f>H152/DAY(B2)</f>
        <v>1487.9738461538459</v>
      </c>
      <c r="N152" s="874"/>
      <c r="O152" s="881"/>
      <c r="P152" s="426"/>
    </row>
    <row r="153" spans="1:16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0.23702415181138586</v>
      </c>
      <c r="H153" s="816">
        <f>G153+'[3]12'!H153</f>
        <v>0.97983756802097921</v>
      </c>
      <c r="I153" s="709"/>
      <c r="J153" s="710">
        <f>H153/DAY(B2)</f>
        <v>7.5372120616998398E-2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v>22537</v>
      </c>
      <c r="F160" s="965">
        <v>22607.228999999999</v>
      </c>
      <c r="G160" s="613">
        <f t="shared" ref="G160:G171" si="15">F160-E160</f>
        <v>70.22899999999936</v>
      </c>
      <c r="N160" s="874"/>
    </row>
    <row r="161" spans="1:14">
      <c r="A161" s="956" t="s">
        <v>275</v>
      </c>
      <c r="B161" s="957"/>
      <c r="C161" s="957"/>
      <c r="D161" s="761" t="s">
        <v>198</v>
      </c>
      <c r="E161" s="795">
        <v>14743</v>
      </c>
      <c r="F161" s="965">
        <v>14827.755999999999</v>
      </c>
      <c r="G161" s="613">
        <f t="shared" si="15"/>
        <v>84.755999999999403</v>
      </c>
      <c r="N161" s="874"/>
    </row>
    <row r="162" spans="1:14">
      <c r="A162" s="956" t="s">
        <v>276</v>
      </c>
      <c r="B162" s="957"/>
      <c r="C162" s="957"/>
      <c r="D162" s="761" t="s">
        <v>198</v>
      </c>
      <c r="E162" s="795">
        <v>33231</v>
      </c>
      <c r="F162" s="965">
        <v>33385.053</v>
      </c>
      <c r="G162" s="613">
        <f t="shared" si="15"/>
        <v>154.05299999999988</v>
      </c>
      <c r="N162" s="874"/>
    </row>
    <row r="163" spans="1:14">
      <c r="A163" s="956" t="s">
        <v>277</v>
      </c>
      <c r="B163" s="957"/>
      <c r="C163" s="957"/>
      <c r="D163" s="761" t="s">
        <v>198</v>
      </c>
      <c r="E163" s="795">
        <v>3223</v>
      </c>
      <c r="F163" s="965">
        <v>3249.6970999999999</v>
      </c>
      <c r="G163" s="613">
        <f t="shared" si="15"/>
        <v>26.697099999999864</v>
      </c>
      <c r="N163" s="874"/>
    </row>
    <row r="164" spans="1:14">
      <c r="A164" s="958" t="s">
        <v>106</v>
      </c>
      <c r="B164" s="959"/>
      <c r="C164" s="959"/>
      <c r="D164" s="761" t="s">
        <v>198</v>
      </c>
      <c r="E164" s="654">
        <f>E62</f>
        <v>20419</v>
      </c>
      <c r="F164" s="654">
        <f>F62</f>
        <v>20419.18</v>
      </c>
      <c r="G164" s="613">
        <f t="shared" si="15"/>
        <v>0.18000000000029104</v>
      </c>
      <c r="N164" s="874"/>
    </row>
    <row r="165" spans="1:14">
      <c r="A165" s="958" t="s">
        <v>199</v>
      </c>
      <c r="B165" s="959"/>
      <c r="C165" s="959"/>
      <c r="D165" s="761" t="s">
        <v>198</v>
      </c>
      <c r="E165" s="654">
        <f t="shared" ref="E165:F171" si="16">E63</f>
        <v>531</v>
      </c>
      <c r="F165" s="654">
        <f t="shared" si="16"/>
        <v>551.48</v>
      </c>
      <c r="G165" s="613">
        <f t="shared" si="15"/>
        <v>20.480000000000018</v>
      </c>
      <c r="N165" s="874"/>
    </row>
    <row r="166" spans="1:14" ht="21.75" customHeight="1">
      <c r="A166" s="1481" t="s">
        <v>107</v>
      </c>
      <c r="B166" s="1481"/>
      <c r="C166" s="1481"/>
      <c r="D166" s="664" t="s">
        <v>198</v>
      </c>
      <c r="E166" s="654">
        <f t="shared" si="16"/>
        <v>80352</v>
      </c>
      <c r="F166" s="654">
        <f t="shared" si="16"/>
        <v>80681.967000000004</v>
      </c>
      <c r="G166" s="613">
        <f t="shared" si="15"/>
        <v>329.96700000000419</v>
      </c>
      <c r="N166" s="874"/>
    </row>
    <row r="167" spans="1:14" ht="21.75" customHeight="1">
      <c r="A167" s="1481" t="s">
        <v>108</v>
      </c>
      <c r="B167" s="1481"/>
      <c r="C167" s="1481"/>
      <c r="D167" s="664" t="s">
        <v>198</v>
      </c>
      <c r="E167" s="654">
        <f t="shared" si="16"/>
        <v>89843</v>
      </c>
      <c r="F167" s="654">
        <f t="shared" si="16"/>
        <v>90196.918999999994</v>
      </c>
      <c r="G167" s="613">
        <f t="shared" si="15"/>
        <v>353.91899999999441</v>
      </c>
      <c r="N167" s="874"/>
    </row>
    <row r="168" spans="1:14" ht="21.75" customHeight="1">
      <c r="A168" s="1481" t="s">
        <v>109</v>
      </c>
      <c r="B168" s="1481"/>
      <c r="C168" s="1481"/>
      <c r="D168" s="664" t="s">
        <v>198</v>
      </c>
      <c r="E168" s="654">
        <f t="shared" si="16"/>
        <v>82918</v>
      </c>
      <c r="F168" s="654">
        <f t="shared" si="16"/>
        <v>83296.294999999998</v>
      </c>
      <c r="G168" s="613">
        <f t="shared" si="15"/>
        <v>378.29499999999825</v>
      </c>
      <c r="N168" s="874"/>
    </row>
    <row r="169" spans="1:14" ht="26.25" customHeight="1">
      <c r="A169" s="1481" t="s">
        <v>110</v>
      </c>
      <c r="B169" s="1481"/>
      <c r="C169" s="1481"/>
      <c r="D169" s="664" t="s">
        <v>198</v>
      </c>
      <c r="E169" s="654">
        <f t="shared" si="16"/>
        <v>133851</v>
      </c>
      <c r="F169" s="654">
        <f t="shared" si="16"/>
        <v>134449.42000000001</v>
      </c>
      <c r="G169" s="613">
        <f t="shared" si="15"/>
        <v>598.42000000001281</v>
      </c>
      <c r="N169" s="874"/>
    </row>
    <row r="170" spans="1:14" ht="24" customHeight="1">
      <c r="A170" s="1481" t="s">
        <v>111</v>
      </c>
      <c r="B170" s="1481"/>
      <c r="C170" s="1481"/>
      <c r="D170" s="664" t="s">
        <v>198</v>
      </c>
      <c r="E170" s="654">
        <f t="shared" si="16"/>
        <v>37220</v>
      </c>
      <c r="F170" s="654">
        <f t="shared" si="16"/>
        <v>37529.055</v>
      </c>
      <c r="G170" s="613">
        <f t="shared" si="15"/>
        <v>309.05500000000029</v>
      </c>
      <c r="N170" s="874"/>
    </row>
    <row r="171" spans="1:14" ht="27.75">
      <c r="A171" s="1481" t="s">
        <v>112</v>
      </c>
      <c r="B171" s="1481"/>
      <c r="C171" s="1481"/>
      <c r="D171" s="664" t="s">
        <v>198</v>
      </c>
      <c r="E171" s="654">
        <f t="shared" si="16"/>
        <v>32431</v>
      </c>
      <c r="F171" s="654">
        <f t="shared" si="16"/>
        <v>32679.587</v>
      </c>
      <c r="G171" s="613">
        <f t="shared" si="15"/>
        <v>248.58699999999953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2574.6381000000083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40" t="s">
        <v>283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6" s="292" customFormat="1" ht="27">
      <c r="A2" s="716" t="s">
        <v>293</v>
      </c>
      <c r="B2" s="1195">
        <v>44149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31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 t="s">
        <v>226</v>
      </c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'[3]13'!F7</f>
        <v>2343105</v>
      </c>
      <c r="F7" s="595">
        <v>2361193</v>
      </c>
      <c r="G7" s="815">
        <f>F7-E7</f>
        <v>18088</v>
      </c>
      <c r="H7" s="816">
        <f>G7+'[3]13'!H7</f>
        <v>256168</v>
      </c>
      <c r="I7" s="817">
        <f>'[3]1'!I7</f>
        <v>12000</v>
      </c>
      <c r="J7" s="818">
        <f>H7/DAY(B2)</f>
        <v>18297.714285714286</v>
      </c>
      <c r="K7" s="690"/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'[3]13'!F8</f>
        <v>2354454</v>
      </c>
      <c r="F8" s="615">
        <v>2372610</v>
      </c>
      <c r="G8" s="826">
        <f>F8-E8</f>
        <v>18156</v>
      </c>
      <c r="H8" s="816">
        <f>G8+'[3]13'!H8</f>
        <v>257169</v>
      </c>
      <c r="I8" s="823">
        <f>'[3]1'!I8</f>
        <v>12000</v>
      </c>
      <c r="J8" s="818">
        <f>H8/DAY(B2)</f>
        <v>18369.214285714286</v>
      </c>
      <c r="K8" s="690"/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'[3]13'!F9</f>
        <v>2206597.7000000002</v>
      </c>
      <c r="F9" s="618">
        <v>2209398.5</v>
      </c>
      <c r="G9" s="839">
        <f t="shared" ref="G9:G12" si="0">F9-E9</f>
        <v>2800.7999999998137</v>
      </c>
      <c r="H9" s="816">
        <f>G9+'[3]13'!H9</f>
        <v>192393.19999999995</v>
      </c>
      <c r="I9" s="827">
        <f>I7-J7</f>
        <v>-6297.7142857142862</v>
      </c>
      <c r="J9" s="818">
        <f>H9/DAY(B2)</f>
        <v>13742.371428571425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'[3]13'!F10</f>
        <v>40105.243000000002</v>
      </c>
      <c r="F10" s="618">
        <v>54715.822999999997</v>
      </c>
      <c r="G10" s="826">
        <f t="shared" si="0"/>
        <v>14610.579999999994</v>
      </c>
      <c r="H10" s="816">
        <f>G10+'[3]13'!H10</f>
        <v>54716.033000000018</v>
      </c>
      <c r="I10" s="828"/>
      <c r="J10" s="818">
        <f>H10/DAY(B2)</f>
        <v>3908.2880714285725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'[3]13'!F11</f>
        <v>35390</v>
      </c>
      <c r="F11" s="595">
        <v>35390</v>
      </c>
      <c r="G11" s="826">
        <f t="shared" si="0"/>
        <v>0</v>
      </c>
      <c r="H11" s="816">
        <f>G11+'[3]13'!H11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'[3]13'!F12</f>
        <v>37630</v>
      </c>
      <c r="F12" s="618">
        <v>37630</v>
      </c>
      <c r="G12" s="826">
        <f t="shared" si="0"/>
        <v>0</v>
      </c>
      <c r="H12" s="816">
        <f>G12+'[3]13'!H12</f>
        <v>0</v>
      </c>
      <c r="I12" s="828"/>
      <c r="J12" s="818">
        <f>H12/DAY(B2)</f>
        <v>0</v>
      </c>
      <c r="K12" s="527"/>
      <c r="L12" s="421" t="s">
        <v>280</v>
      </c>
      <c r="N12" s="874"/>
      <c r="O12" s="881">
        <v>0</v>
      </c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17411.379999999808</v>
      </c>
      <c r="H13" s="816">
        <f>G13+'[3]13'!H13</f>
        <v>211453.23299999998</v>
      </c>
      <c r="I13" s="832">
        <f>G7-G13</f>
        <v>676.62000000019179</v>
      </c>
      <c r="J13" s="818">
        <f>H13/DAY(B2)</f>
        <v>15103.802357142855</v>
      </c>
      <c r="K13" s="527"/>
      <c r="L13" s="421"/>
      <c r="N13" s="874"/>
      <c r="O13" s="881"/>
      <c r="P13" s="426"/>
    </row>
    <row r="14" spans="1:16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'[3]13'!F15</f>
        <v>1536924.601</v>
      </c>
      <c r="F15" s="625">
        <v>1537286.3770000001</v>
      </c>
      <c r="G15" s="801">
        <f>(F15-E15)</f>
        <v>361.77600000007078</v>
      </c>
      <c r="H15" s="626">
        <f>G15+'[3]13'!H15</f>
        <v>7171.1830000001937</v>
      </c>
      <c r="I15" s="614">
        <v>800</v>
      </c>
      <c r="J15" s="694">
        <f>H15/DAY(B2)</f>
        <v>512.22735714287103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287.77264285712897</v>
      </c>
      <c r="J16" s="694"/>
      <c r="K16" s="527"/>
      <c r="L16" s="421"/>
      <c r="N16" s="874"/>
      <c r="O16" s="881"/>
      <c r="P16" s="426"/>
    </row>
    <row r="17" spans="1:16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478" t="s">
        <v>154</v>
      </c>
      <c r="B18" s="1479"/>
      <c r="C18" s="1480"/>
      <c r="D18" s="779" t="s">
        <v>155</v>
      </c>
      <c r="E18" s="618">
        <f>'[3]13'!F18</f>
        <v>10</v>
      </c>
      <c r="F18" s="618">
        <v>8</v>
      </c>
      <c r="G18" s="831">
        <f>F18*10</f>
        <v>80</v>
      </c>
      <c r="H18" s="816">
        <f>G18+'[3]13'!H18</f>
        <v>1520</v>
      </c>
      <c r="I18" s="817">
        <f>'[3]1'!I18</f>
        <v>65</v>
      </c>
      <c r="J18" s="818">
        <f>H18/DAY(B2)</f>
        <v>108.57142857142857</v>
      </c>
      <c r="K18" s="527"/>
      <c r="L18" s="421"/>
      <c r="N18" s="874"/>
      <c r="O18" s="881"/>
      <c r="P18" s="426"/>
    </row>
    <row r="19" spans="1:16" ht="27.75">
      <c r="A19" s="1478" t="s">
        <v>71</v>
      </c>
      <c r="B19" s="1479"/>
      <c r="C19" s="1480"/>
      <c r="D19" s="779" t="s">
        <v>155</v>
      </c>
      <c r="E19" s="618">
        <f>'[3]13'!F19</f>
        <v>128871</v>
      </c>
      <c r="F19" s="618">
        <v>128914</v>
      </c>
      <c r="G19" s="826">
        <f t="shared" ref="G19" si="1">F19-E19</f>
        <v>43</v>
      </c>
      <c r="H19" s="816">
        <f>G19+'[3]13'!H19</f>
        <v>719</v>
      </c>
      <c r="I19" s="833"/>
      <c r="J19" s="818">
        <f>H19/DAY(B2)</f>
        <v>51.357142857142854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123</v>
      </c>
      <c r="H20" s="816">
        <f>G20+'[3]13'!H20</f>
        <v>2239</v>
      </c>
      <c r="I20" s="835">
        <f>I18-J20</f>
        <v>-94.928571428571416</v>
      </c>
      <c r="J20" s="818">
        <f>H20/DAY(B2)</f>
        <v>159.92857142857142</v>
      </c>
      <c r="K20" s="527"/>
      <c r="L20" s="421"/>
      <c r="N20" s="874"/>
      <c r="O20" s="881"/>
      <c r="P20" s="426"/>
    </row>
    <row r="21" spans="1:16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'[3]13'!F22</f>
        <v>2250</v>
      </c>
      <c r="F22" s="618">
        <v>2250</v>
      </c>
      <c r="G22" s="621">
        <f>(F22-E22)</f>
        <v>0</v>
      </c>
      <c r="H22" s="600">
        <f>G22+'[3]13'!H22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'[3]13'!F23</f>
        <v>1700</v>
      </c>
      <c r="F23" s="618">
        <v>1700</v>
      </c>
      <c r="G23" s="621">
        <v>0</v>
      </c>
      <c r="H23" s="600">
        <f>G23+'[3]13'!H23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'[3]13'!F24</f>
        <v>3310</v>
      </c>
      <c r="F24" s="1219">
        <v>3310</v>
      </c>
      <c r="G24" s="621">
        <v>0</v>
      </c>
      <c r="H24" s="600">
        <f>G24+'[3]13'!H24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18156</v>
      </c>
      <c r="F27" s="641">
        <v>9.5</v>
      </c>
      <c r="G27" s="642">
        <f>E27*F27</f>
        <v>172482</v>
      </c>
      <c r="H27" s="600">
        <f>G27+'[3]13'!H27</f>
        <v>2443105.5</v>
      </c>
      <c r="I27" s="643"/>
      <c r="J27" s="693">
        <f>H27/DAY(B2)</f>
        <v>174507.53571428571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361.77600000007078</v>
      </c>
      <c r="F28" s="641">
        <v>36.5</v>
      </c>
      <c r="G28" s="642">
        <f>E28*F28</f>
        <v>13204.824000002583</v>
      </c>
      <c r="H28" s="600">
        <f>G28+'[3]13'!H28</f>
        <v>261748.17950000707</v>
      </c>
      <c r="I28" s="645"/>
      <c r="J28" s="693">
        <f>H28/DAY(B2)</f>
        <v>18696.298535714792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G29+'[3]13'!H29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43</v>
      </c>
      <c r="F30" s="641">
        <v>145</v>
      </c>
      <c r="G30" s="642">
        <f>E30*F30</f>
        <v>6235</v>
      </c>
      <c r="H30" s="600">
        <f>G30+'[3]13'!H30</f>
        <v>104255</v>
      </c>
      <c r="I30" s="645"/>
      <c r="J30" s="693">
        <f>H30/DAY(B2)</f>
        <v>7446.7857142857147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G31+'[3]13'!H31</f>
        <v>121600</v>
      </c>
      <c r="I31" s="645"/>
      <c r="J31" s="693">
        <f>H31/DAY(B2)</f>
        <v>8685.7142857142862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198321.82400000258</v>
      </c>
      <c r="H32" s="600">
        <f>G32+'[3]13'!H32</f>
        <v>2930708.6795000071</v>
      </c>
      <c r="I32" s="649"/>
      <c r="J32" s="693">
        <f>H32/DAY(B2)</f>
        <v>209336.33425000051</v>
      </c>
      <c r="K32" s="417"/>
      <c r="L32" s="547"/>
      <c r="N32" s="874"/>
      <c r="O32" s="881"/>
      <c r="P32" s="426"/>
    </row>
    <row r="33" spans="1:16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'[3]13'!F35</f>
        <v>629201</v>
      </c>
      <c r="F35" s="650">
        <v>629201</v>
      </c>
      <c r="G35" s="613">
        <f t="shared" ref="G35:G46" si="2">F35-E35</f>
        <v>0</v>
      </c>
      <c r="H35" s="600">
        <f>G35+'[3]13'!H35</f>
        <v>25857.530000000028</v>
      </c>
      <c r="I35" s="595"/>
      <c r="J35" s="693">
        <f>H35/DAY(B2)</f>
        <v>1846.9664285714305</v>
      </c>
      <c r="K35" s="527"/>
      <c r="L35" s="421"/>
      <c r="N35" s="874"/>
      <c r="O35" s="882" t="s">
        <v>280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'[3]13'!F36</f>
        <v>219021.63</v>
      </c>
      <c r="F36" s="650">
        <v>219562.57</v>
      </c>
      <c r="G36" s="613">
        <f t="shared" si="2"/>
        <v>540.94000000000233</v>
      </c>
      <c r="H36" s="600">
        <f>G36+'[3]13'!H36</f>
        <v>8202.6199999999953</v>
      </c>
      <c r="I36" s="595"/>
      <c r="J36" s="693">
        <f>H36/DAY(B2)</f>
        <v>585.90142857142826</v>
      </c>
      <c r="K36" s="527"/>
      <c r="L36" s="421"/>
      <c r="N36" s="875"/>
      <c r="O36" s="882" t="s">
        <v>284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'[3]13'!F37</f>
        <v>415066</v>
      </c>
      <c r="F37" s="650">
        <v>415066</v>
      </c>
      <c r="G37" s="613">
        <f t="shared" si="2"/>
        <v>0</v>
      </c>
      <c r="H37" s="600">
        <f>G37+'[3]13'!H37</f>
        <v>15221.809999999998</v>
      </c>
      <c r="I37" s="595"/>
      <c r="J37" s="693">
        <f>H37/DAY(B2)</f>
        <v>1087.2721428571426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'[3]13'!F38</f>
        <v>150714</v>
      </c>
      <c r="F38" s="609">
        <v>150714</v>
      </c>
      <c r="G38" s="613">
        <f t="shared" si="2"/>
        <v>0</v>
      </c>
      <c r="H38" s="600">
        <f>G38+'[3]13'!H38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'[3]13'!F39</f>
        <v>912480</v>
      </c>
      <c r="F39" s="650">
        <v>912480</v>
      </c>
      <c r="G39" s="613">
        <f t="shared" si="2"/>
        <v>0</v>
      </c>
      <c r="H39" s="600">
        <f>G39+'[3]13'!H39</f>
        <v>40355.290000000037</v>
      </c>
      <c r="I39" s="595"/>
      <c r="J39" s="693">
        <f>H39/DAY(B2)</f>
        <v>2882.5207142857171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'[3]13'!F40</f>
        <v>0.17</v>
      </c>
      <c r="F40" s="650">
        <v>0.17</v>
      </c>
      <c r="G40" s="613">
        <f t="shared" si="2"/>
        <v>0</v>
      </c>
      <c r="H40" s="600">
        <f>G40+'[3]13'!H40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 t="s">
        <v>226</v>
      </c>
      <c r="D41" s="663" t="s">
        <v>143</v>
      </c>
      <c r="E41" s="650">
        <f>'[3]13'!F41</f>
        <v>300127.95</v>
      </c>
      <c r="F41" s="650">
        <v>300127.95</v>
      </c>
      <c r="G41" s="613">
        <f t="shared" si="2"/>
        <v>0</v>
      </c>
      <c r="H41" s="600">
        <f>G41+'[3]13'!H41</f>
        <v>-1.9999999960418791E-2</v>
      </c>
      <c r="I41" s="595"/>
      <c r="J41" s="693">
        <f>H41/DAY(B2)</f>
        <v>-1.4285714257441992E-3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'[3]13'!F42</f>
        <v>396197.47</v>
      </c>
      <c r="F42" s="650">
        <v>396197.47</v>
      </c>
      <c r="G42" s="613">
        <f t="shared" si="2"/>
        <v>0</v>
      </c>
      <c r="H42" s="600">
        <f>G42+'[3]13'!H42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'[3]13'!F43</f>
        <v>589070.55000000005</v>
      </c>
      <c r="F43" s="650">
        <v>591457.79</v>
      </c>
      <c r="G43" s="613">
        <f t="shared" si="2"/>
        <v>2387.2399999999907</v>
      </c>
      <c r="H43" s="600">
        <f>G43+'[3]13'!H43</f>
        <v>33133.720000000088</v>
      </c>
      <c r="I43" s="595"/>
      <c r="J43" s="693">
        <f>H43/DAY(B2)</f>
        <v>2366.6942857142922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'[3]13'!F44</f>
        <v>0</v>
      </c>
      <c r="F44" s="650">
        <v>0</v>
      </c>
      <c r="G44" s="613">
        <f t="shared" si="2"/>
        <v>0</v>
      </c>
      <c r="H44" s="600">
        <f>G44+'[3]13'!H44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'[3]13'!F45</f>
        <v>614</v>
      </c>
      <c r="F45" s="650">
        <v>614</v>
      </c>
      <c r="G45" s="613">
        <f t="shared" si="2"/>
        <v>0</v>
      </c>
      <c r="H45" s="600">
        <f>G45+'[3]13'!H45</f>
        <v>-0.48000000000001819</v>
      </c>
      <c r="I45" s="595"/>
      <c r="J45" s="693">
        <f>H45/DAY(B2)</f>
        <v>-3.4285714285715585E-2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'[3]13'!F46</f>
        <v>187.49</v>
      </c>
      <c r="F46" s="650">
        <v>187.49</v>
      </c>
      <c r="G46" s="613">
        <f t="shared" si="2"/>
        <v>0</v>
      </c>
      <c r="H46" s="600">
        <f>G46+'[3]13'!H46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2928.179999999993</v>
      </c>
      <c r="H47" s="600">
        <f>G47+'[3]13'!H47</f>
        <v>122770.47000000019</v>
      </c>
      <c r="I47" s="595"/>
      <c r="J47" s="693">
        <f>H47/DAY(B2)</f>
        <v>8769.3192857142985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'[3]13'!F49</f>
        <v>17862.141</v>
      </c>
      <c r="F49" s="650">
        <v>20963.453000000001</v>
      </c>
      <c r="G49" s="613">
        <f t="shared" ref="G49:G58" si="3">F49-E49</f>
        <v>3101.3120000000017</v>
      </c>
      <c r="H49" s="600">
        <f>G49+'[3]13'!H49</f>
        <v>9234.1650000000009</v>
      </c>
      <c r="I49" s="595"/>
      <c r="J49" s="693">
        <f>H49/DAY(B2)</f>
        <v>659.58321428571435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'[3]13'!F50</f>
        <v>277208.67</v>
      </c>
      <c r="F50" s="650">
        <v>278134.69</v>
      </c>
      <c r="G50" s="613">
        <f t="shared" si="3"/>
        <v>926.02000000001863</v>
      </c>
      <c r="H50" s="600">
        <f>G50+'[3]13'!H50</f>
        <v>12075.75</v>
      </c>
      <c r="I50" s="595"/>
      <c r="J50" s="693">
        <f>H50/DAY(B2)</f>
        <v>862.55357142857144</v>
      </c>
      <c r="K50" s="527"/>
      <c r="L50" s="421"/>
      <c r="N50" s="874"/>
      <c r="O50" s="882"/>
      <c r="P50" s="426"/>
    </row>
    <row r="51" spans="1:16">
      <c r="A51" s="1700" t="s">
        <v>177</v>
      </c>
      <c r="B51" s="1701"/>
      <c r="C51" s="1701"/>
      <c r="D51" s="865" t="s">
        <v>143</v>
      </c>
      <c r="E51" s="1218">
        <f>'[3]13'!F51</f>
        <v>4121.8500000000004</v>
      </c>
      <c r="F51" s="1218">
        <v>5406.5959000000003</v>
      </c>
      <c r="G51" s="932">
        <f t="shared" si="3"/>
        <v>1284.7458999999999</v>
      </c>
      <c r="H51" s="600">
        <f>G51+'[3]13'!H51</f>
        <v>5406.5959000000003</v>
      </c>
      <c r="I51" s="595"/>
      <c r="J51" s="693">
        <f>H51/DAY(B2)</f>
        <v>386.18542142857143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'[3]13'!F52</f>
        <v>341368.35</v>
      </c>
      <c r="F52" s="650">
        <v>342991.55</v>
      </c>
      <c r="G52" s="613">
        <f t="shared" si="3"/>
        <v>1623.2000000000116</v>
      </c>
      <c r="H52" s="600">
        <f>G52+'[3]13'!H52</f>
        <v>20702.130000000005</v>
      </c>
      <c r="I52" s="595"/>
      <c r="J52" s="693">
        <f>H52/DAY(B2)</f>
        <v>1478.7235714285719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'[3]13'!F53</f>
        <v>8101</v>
      </c>
      <c r="F53" s="650">
        <v>8101</v>
      </c>
      <c r="G53" s="613">
        <f t="shared" si="3"/>
        <v>0</v>
      </c>
      <c r="H53" s="600">
        <f>G53+'[3]13'!H53</f>
        <v>8101</v>
      </c>
      <c r="I53" s="595"/>
      <c r="J53" s="693">
        <f>H53/DAY(B2)</f>
        <v>578.64285714285711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'[3]13'!F54</f>
        <v>2329.6093000000001</v>
      </c>
      <c r="F54" s="650">
        <v>2393.154</v>
      </c>
      <c r="G54" s="613">
        <f t="shared" si="3"/>
        <v>63.544699999999921</v>
      </c>
      <c r="H54" s="600">
        <f>G54+'[3]13'!H54</f>
        <v>840.5933</v>
      </c>
      <c r="I54" s="595"/>
      <c r="J54" s="693">
        <f>H54/DAY(B2)</f>
        <v>60.042378571428571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'[3]13'!F55</f>
        <v>158492.73000000001</v>
      </c>
      <c r="F55" s="790">
        <v>158492.73000000001</v>
      </c>
      <c r="G55" s="789">
        <f t="shared" si="3"/>
        <v>0</v>
      </c>
      <c r="H55" s="861">
        <f>G55+'[3]13'!H55</f>
        <v>-0.26999999998952262</v>
      </c>
      <c r="I55" s="862"/>
      <c r="J55" s="863">
        <f>H55/DAY(B2)</f>
        <v>-1.9285714284965901E-2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'[3]13'!F56</f>
        <v>356936.59</v>
      </c>
      <c r="F56" s="790">
        <v>361561.39</v>
      </c>
      <c r="G56" s="613">
        <f t="shared" si="3"/>
        <v>4624.7999999999884</v>
      </c>
      <c r="H56" s="600">
        <f>G56+'[3]13'!H56</f>
        <v>49516.910000000033</v>
      </c>
      <c r="I56" s="595"/>
      <c r="J56" s="693">
        <f>H56/DAY(B2)</f>
        <v>3536.922142857145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'[3]13'!F57</f>
        <v>0</v>
      </c>
      <c r="F57" s="650">
        <v>0</v>
      </c>
      <c r="G57" s="613">
        <f t="shared" si="3"/>
        <v>0</v>
      </c>
      <c r="H57" s="600">
        <f>G57+'[3]13'!H57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'[3]13'!F58</f>
        <v>18566.937000000002</v>
      </c>
      <c r="F58" s="790">
        <v>18566.937000000002</v>
      </c>
      <c r="G58" s="613">
        <f t="shared" si="3"/>
        <v>0</v>
      </c>
      <c r="H58" s="600">
        <f>G58+'[3]13'!H58</f>
        <v>797.64099999999962</v>
      </c>
      <c r="I58" s="595"/>
      <c r="J58" s="693">
        <f>H58/DAY(B2)</f>
        <v>56.974357142857116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11623.622600000021</v>
      </c>
      <c r="H59" s="600">
        <f>G59+'[3]13'!H59</f>
        <v>106674.51520000004</v>
      </c>
      <c r="I59" s="595">
        <f>G7-G60</f>
        <v>3536.1973999999864</v>
      </c>
      <c r="J59" s="693">
        <f>H59/DAY(B2)</f>
        <v>7619.608228571431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14551.802600000014</v>
      </c>
      <c r="H60" s="600">
        <f>G60+'[3]13'!H60</f>
        <v>243831.14590000024</v>
      </c>
      <c r="I60" s="595">
        <f>G13-G60</f>
        <v>2859.5773999997946</v>
      </c>
      <c r="J60" s="693">
        <f>H60/DAY(B2)</f>
        <v>17416.510421428589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'[3]13'!F62</f>
        <v>20419.18</v>
      </c>
      <c r="F62" s="654">
        <v>20419.18</v>
      </c>
      <c r="G62" s="613">
        <f t="shared" ref="G62:G69" si="4">F62-E62</f>
        <v>0</v>
      </c>
      <c r="H62" s="600">
        <f>G62+'[3]13'!H62</f>
        <v>-0.19799999999668216</v>
      </c>
      <c r="I62" s="655"/>
      <c r="J62" s="693">
        <f>H62/DAY(B2)</f>
        <v>-1.4142857142620155E-2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'[3]13'!F63</f>
        <v>551.48</v>
      </c>
      <c r="F63" s="654">
        <v>572.98400000000004</v>
      </c>
      <c r="G63" s="613">
        <f t="shared" si="4"/>
        <v>21.504000000000019</v>
      </c>
      <c r="H63" s="600">
        <f>G63+'[3]13'!H63</f>
        <v>274.52400000000006</v>
      </c>
      <c r="I63" s="655"/>
      <c r="J63" s="693">
        <f>H63/DAY(B2)</f>
        <v>19.608857142857147</v>
      </c>
      <c r="K63" s="527"/>
      <c r="L63" s="421"/>
      <c r="N63" s="874"/>
      <c r="O63" s="881"/>
      <c r="P63" s="426"/>
    </row>
    <row r="64" spans="1:16" ht="27.75">
      <c r="A64" s="1429" t="s">
        <v>107</v>
      </c>
      <c r="B64" s="1430"/>
      <c r="C64" s="1431"/>
      <c r="D64" s="663" t="s">
        <v>198</v>
      </c>
      <c r="E64" s="618">
        <f>'[3]13'!F64</f>
        <v>80681.967000000004</v>
      </c>
      <c r="F64" s="618">
        <v>81017.357999999993</v>
      </c>
      <c r="G64" s="613">
        <f t="shared" si="4"/>
        <v>335.39099999998871</v>
      </c>
      <c r="H64" s="600">
        <f>G64+'[3]13'!H64</f>
        <v>4954.2709999999934</v>
      </c>
      <c r="I64" s="620"/>
      <c r="J64" s="693">
        <f>H64/DAY(B2)</f>
        <v>353.87649999999951</v>
      </c>
      <c r="K64" s="527"/>
      <c r="L64" s="421"/>
      <c r="N64" s="874"/>
      <c r="O64" s="881"/>
      <c r="P64" s="426"/>
    </row>
    <row r="65" spans="1:16" ht="27.75">
      <c r="A65" s="1429" t="s">
        <v>108</v>
      </c>
      <c r="B65" s="1430"/>
      <c r="C65" s="1431"/>
      <c r="D65" s="663" t="s">
        <v>198</v>
      </c>
      <c r="E65" s="788">
        <f>'[3]13'!F65</f>
        <v>90196.918999999994</v>
      </c>
      <c r="F65" s="788">
        <v>90557.638999999996</v>
      </c>
      <c r="G65" s="613">
        <f t="shared" si="4"/>
        <v>360.72000000000116</v>
      </c>
      <c r="H65" s="600">
        <f>G65+'[3]13'!H65</f>
        <v>5398.3759999999893</v>
      </c>
      <c r="I65" s="629"/>
      <c r="J65" s="693">
        <f>H65/DAY(B2)</f>
        <v>385.59828571428494</v>
      </c>
      <c r="K65" s="527"/>
      <c r="L65" s="421"/>
      <c r="N65" s="874"/>
      <c r="O65" s="882"/>
      <c r="P65" s="426"/>
    </row>
    <row r="66" spans="1:16" ht="27.75">
      <c r="A66" s="1429" t="s">
        <v>109</v>
      </c>
      <c r="B66" s="1430"/>
      <c r="C66" s="1431"/>
      <c r="D66" s="663" t="s">
        <v>198</v>
      </c>
      <c r="E66" s="618">
        <f>'[3]13'!F66</f>
        <v>83296.294999999998</v>
      </c>
      <c r="F66" s="618">
        <v>83663.455000000002</v>
      </c>
      <c r="G66" s="613">
        <f t="shared" si="4"/>
        <v>367.16000000000349</v>
      </c>
      <c r="H66" s="600">
        <f>G66+'[3]13'!H66</f>
        <v>5475.497000000003</v>
      </c>
      <c r="I66" s="620"/>
      <c r="J66" s="693">
        <f>H66/DAY(B2)</f>
        <v>391.1069285714288</v>
      </c>
      <c r="K66" s="527"/>
      <c r="L66" s="421"/>
      <c r="N66" s="874"/>
      <c r="O66" s="881"/>
      <c r="P66" s="426"/>
    </row>
    <row r="67" spans="1:16" ht="27.75">
      <c r="A67" s="1429" t="s">
        <v>110</v>
      </c>
      <c r="B67" s="1430"/>
      <c r="C67" s="1431"/>
      <c r="D67" s="663" t="s">
        <v>198</v>
      </c>
      <c r="E67" s="618">
        <f>'[3]13'!F67</f>
        <v>134449.42000000001</v>
      </c>
      <c r="F67" s="618">
        <v>135050.54</v>
      </c>
      <c r="G67" s="613">
        <f t="shared" si="4"/>
        <v>601.11999999999534</v>
      </c>
      <c r="H67" s="600">
        <f>G67+'[3]13'!H67</f>
        <v>8994.0400000000081</v>
      </c>
      <c r="I67" s="629"/>
      <c r="J67" s="693">
        <f>H67/DAY(B2)</f>
        <v>642.43142857142914</v>
      </c>
      <c r="K67" s="528"/>
      <c r="L67" s="421"/>
      <c r="N67" s="874"/>
      <c r="O67" s="881"/>
      <c r="P67" s="426"/>
    </row>
    <row r="68" spans="1:16" ht="27.75">
      <c r="A68" s="1429" t="s">
        <v>111</v>
      </c>
      <c r="B68" s="1430"/>
      <c r="C68" s="1431"/>
      <c r="D68" s="663" t="s">
        <v>198</v>
      </c>
      <c r="E68" s="618">
        <f>'[3]13'!F68</f>
        <v>37529.055</v>
      </c>
      <c r="F68" s="618">
        <v>37839.771000000001</v>
      </c>
      <c r="G68" s="613">
        <f t="shared" si="4"/>
        <v>310.71600000000035</v>
      </c>
      <c r="H68" s="600">
        <f>G68+'[3]13'!H68</f>
        <v>4439.9020000000019</v>
      </c>
      <c r="I68" s="656"/>
      <c r="J68" s="693">
        <f>H68/DAY(B2)</f>
        <v>317.13585714285728</v>
      </c>
      <c r="K68" s="529"/>
      <c r="L68" s="421"/>
      <c r="N68" s="874"/>
      <c r="O68" s="881"/>
      <c r="P68" s="426"/>
    </row>
    <row r="69" spans="1:16" ht="27.75">
      <c r="A69" s="1429" t="s">
        <v>112</v>
      </c>
      <c r="B69" s="1430"/>
      <c r="C69" s="1431"/>
      <c r="D69" s="663" t="s">
        <v>198</v>
      </c>
      <c r="E69" s="618">
        <f>'[3]13'!F69</f>
        <v>32679.587</v>
      </c>
      <c r="F69" s="618">
        <v>32966.171000000002</v>
      </c>
      <c r="G69" s="613">
        <f t="shared" si="4"/>
        <v>286.58400000000256</v>
      </c>
      <c r="H69" s="600">
        <f>G69+'[3]13'!H69</f>
        <v>3713.8060000000005</v>
      </c>
      <c r="I69" s="656"/>
      <c r="J69" s="693">
        <f>H69/DAY(B2)</f>
        <v>265.27185714285719</v>
      </c>
      <c r="K69" s="530"/>
      <c r="L69" s="421"/>
      <c r="N69" s="874"/>
      <c r="O69" s="881"/>
      <c r="P69" s="426"/>
    </row>
    <row r="70" spans="1:16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874"/>
      <c r="O70" s="881"/>
      <c r="P70" s="426"/>
    </row>
    <row r="71" spans="1:16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874"/>
      <c r="O71" s="881"/>
      <c r="P71" s="426"/>
    </row>
    <row r="72" spans="1:16" ht="27.75">
      <c r="A72" s="1429" t="s">
        <v>202</v>
      </c>
      <c r="B72" s="1430"/>
      <c r="C72" s="1431"/>
      <c r="D72" s="663" t="s">
        <v>198</v>
      </c>
      <c r="E72" s="791">
        <f>'[3]13'!F72</f>
        <v>844033</v>
      </c>
      <c r="F72" s="791">
        <v>844041</v>
      </c>
      <c r="G72" s="613">
        <f t="shared" ref="G72:G84" si="5">F72-E72</f>
        <v>8</v>
      </c>
      <c r="H72" s="600">
        <f>G72+'[3]12'!H72</f>
        <v>99</v>
      </c>
      <c r="I72" s="620"/>
      <c r="J72" s="693">
        <f>H72/DAY(B2)</f>
        <v>7.0714285714285712</v>
      </c>
      <c r="K72" s="530"/>
      <c r="L72" s="421"/>
      <c r="N72" s="874"/>
      <c r="O72" s="881"/>
      <c r="P72" s="426"/>
    </row>
    <row r="73" spans="1:16" ht="27.75">
      <c r="A73" s="1429" t="s">
        <v>203</v>
      </c>
      <c r="B73" s="1430"/>
      <c r="C73" s="1431"/>
      <c r="D73" s="663" t="s">
        <v>198</v>
      </c>
      <c r="E73" s="792">
        <f>'[3]13'!F73</f>
        <v>885228</v>
      </c>
      <c r="F73" s="792">
        <v>885229</v>
      </c>
      <c r="G73" s="789">
        <f t="shared" si="5"/>
        <v>1</v>
      </c>
      <c r="H73" s="600">
        <f>G73+'[3]13'!H72</f>
        <v>101</v>
      </c>
      <c r="I73" s="620"/>
      <c r="J73" s="693">
        <f>H73/DAY(B2)</f>
        <v>7.2142857142857144</v>
      </c>
      <c r="K73" s="529"/>
      <c r="L73" s="421"/>
      <c r="N73" s="874"/>
      <c r="O73" s="881"/>
      <c r="P73" s="426"/>
    </row>
    <row r="74" spans="1:16" ht="27.75">
      <c r="A74" s="1429" t="s">
        <v>204</v>
      </c>
      <c r="B74" s="1430"/>
      <c r="C74" s="1431"/>
      <c r="D74" s="663" t="s">
        <v>198</v>
      </c>
      <c r="E74" s="792">
        <f>'[3]13'!F74</f>
        <v>879845</v>
      </c>
      <c r="F74" s="792">
        <v>879861</v>
      </c>
      <c r="G74" s="613">
        <f t="shared" si="5"/>
        <v>16</v>
      </c>
      <c r="H74" s="600">
        <f>G74+'[3]13'!H74</f>
        <v>225</v>
      </c>
      <c r="I74" s="620"/>
      <c r="J74" s="693">
        <f>H74/DAY(B2)</f>
        <v>16.071428571428573</v>
      </c>
      <c r="K74" s="530"/>
      <c r="L74" s="421"/>
      <c r="N74" s="874"/>
      <c r="O74" s="881"/>
      <c r="P74" s="426"/>
    </row>
    <row r="75" spans="1:16" ht="27.75">
      <c r="A75" s="1408" t="s">
        <v>205</v>
      </c>
      <c r="B75" s="1409"/>
      <c r="C75" s="1410"/>
      <c r="D75" s="663" t="s">
        <v>198</v>
      </c>
      <c r="E75" s="792">
        <f>'[3]13'!F75</f>
        <v>723417</v>
      </c>
      <c r="F75" s="792">
        <v>723574</v>
      </c>
      <c r="G75" s="613">
        <f t="shared" si="5"/>
        <v>157</v>
      </c>
      <c r="H75" s="600">
        <f>G75+'[3]13'!H75</f>
        <v>2208</v>
      </c>
      <c r="I75" s="620"/>
      <c r="J75" s="693">
        <f>H75/DAY(B2)</f>
        <v>157.71428571428572</v>
      </c>
      <c r="K75" s="529"/>
      <c r="L75" s="421"/>
      <c r="N75" s="874"/>
      <c r="O75" s="881"/>
      <c r="P75" s="426"/>
    </row>
    <row r="76" spans="1:16" ht="27.75">
      <c r="A76" s="1408" t="s">
        <v>206</v>
      </c>
      <c r="B76" s="1409"/>
      <c r="C76" s="1410"/>
      <c r="D76" s="663" t="s">
        <v>198</v>
      </c>
      <c r="E76" s="792">
        <f>'[3]13'!F76</f>
        <v>680521</v>
      </c>
      <c r="F76" s="792">
        <v>680582</v>
      </c>
      <c r="G76" s="613">
        <f t="shared" si="5"/>
        <v>61</v>
      </c>
      <c r="H76" s="600">
        <f>G76+'[3]13'!H75</f>
        <v>2112</v>
      </c>
      <c r="I76" s="645"/>
      <c r="J76" s="693">
        <f>H76/DAY(B2)</f>
        <v>150.85714285714286</v>
      </c>
      <c r="K76" s="529"/>
      <c r="L76" s="421"/>
      <c r="N76" s="874"/>
      <c r="O76" s="881"/>
      <c r="P76" s="426"/>
    </row>
    <row r="77" spans="1:16" ht="27.75">
      <c r="A77" s="1429" t="s">
        <v>207</v>
      </c>
      <c r="B77" s="1430"/>
      <c r="C77" s="1431"/>
      <c r="D77" s="663" t="s">
        <v>198</v>
      </c>
      <c r="E77" s="792">
        <f>'[3]13'!F77</f>
        <v>692886</v>
      </c>
      <c r="F77" s="792">
        <v>692934</v>
      </c>
      <c r="G77" s="789">
        <f t="shared" si="5"/>
        <v>48</v>
      </c>
      <c r="H77" s="600">
        <f>G77+'[3]13'!H77</f>
        <v>627</v>
      </c>
      <c r="I77" s="645"/>
      <c r="J77" s="693">
        <f>H77/DAY(B2)</f>
        <v>44.785714285714285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'[3]13'!F78</f>
        <v>612084</v>
      </c>
      <c r="F78" s="793">
        <v>612414</v>
      </c>
      <c r="G78" s="613">
        <f t="shared" si="5"/>
        <v>330</v>
      </c>
      <c r="H78" s="600">
        <f>G78+'[3]13'!H78</f>
        <v>4400</v>
      </c>
      <c r="I78" s="645"/>
      <c r="J78" s="693">
        <f>H78/DAY(B2)</f>
        <v>314.28571428571428</v>
      </c>
      <c r="K78" s="529"/>
      <c r="L78" s="421"/>
      <c r="N78" s="874"/>
      <c r="O78" s="881"/>
      <c r="P78" s="426"/>
    </row>
    <row r="79" spans="1:16" ht="27.75">
      <c r="A79" s="1408" t="s">
        <v>97</v>
      </c>
      <c r="B79" s="1409"/>
      <c r="C79" s="1410"/>
      <c r="D79" s="664" t="s">
        <v>198</v>
      </c>
      <c r="E79" s="793">
        <f>'[3]13'!F79</f>
        <v>794885</v>
      </c>
      <c r="F79" s="793">
        <v>795060</v>
      </c>
      <c r="G79" s="613">
        <f t="shared" si="5"/>
        <v>175</v>
      </c>
      <c r="H79" s="600">
        <f>G79+'[3]13'!H78</f>
        <v>4245</v>
      </c>
      <c r="I79" s="645"/>
      <c r="J79" s="693">
        <f>H79/DAY(B2)</f>
        <v>303.21428571428572</v>
      </c>
      <c r="K79" s="529"/>
      <c r="L79" s="421"/>
      <c r="N79" s="874"/>
      <c r="O79" s="881"/>
      <c r="P79" s="426"/>
    </row>
    <row r="80" spans="1:16" ht="27.75">
      <c r="A80" s="1408" t="s">
        <v>209</v>
      </c>
      <c r="B80" s="1409"/>
      <c r="C80" s="1410"/>
      <c r="D80" s="664" t="s">
        <v>198</v>
      </c>
      <c r="E80" s="792">
        <f>'[3]13'!F80</f>
        <v>460533.88</v>
      </c>
      <c r="F80" s="792">
        <v>460795.64</v>
      </c>
      <c r="G80" s="613">
        <f t="shared" si="5"/>
        <v>261.76000000000931</v>
      </c>
      <c r="H80" s="600">
        <f>G80+'[3]13'!H79</f>
        <v>2358.7600000000093</v>
      </c>
      <c r="I80" s="645"/>
      <c r="J80" s="693">
        <f>H80/DAY(B2)</f>
        <v>168.4828571428578</v>
      </c>
      <c r="K80" s="529"/>
      <c r="L80" s="421"/>
      <c r="N80" s="874"/>
      <c r="O80" s="881"/>
      <c r="P80" s="426"/>
    </row>
    <row r="81" spans="1:16" ht="27.75">
      <c r="A81" s="1408" t="s">
        <v>210</v>
      </c>
      <c r="B81" s="1409"/>
      <c r="C81" s="1410"/>
      <c r="D81" s="664" t="s">
        <v>198</v>
      </c>
      <c r="E81" s="792">
        <f>'[3]13'!F81</f>
        <v>612382.28</v>
      </c>
      <c r="F81" s="792">
        <v>612492.80000000005</v>
      </c>
      <c r="G81" s="613">
        <f t="shared" si="5"/>
        <v>110.52000000001863</v>
      </c>
      <c r="H81" s="600">
        <f>G81+'[3]13'!H81</f>
        <v>1370.5200000000186</v>
      </c>
      <c r="I81" s="645"/>
      <c r="J81" s="693">
        <f>H81/DAY(B2)</f>
        <v>97.894285714287051</v>
      </c>
      <c r="K81" s="529"/>
      <c r="L81" s="421"/>
      <c r="N81" s="874"/>
      <c r="O81" s="881"/>
      <c r="P81" s="426"/>
    </row>
    <row r="82" spans="1:16" ht="27.75">
      <c r="A82" s="1408" t="s">
        <v>100</v>
      </c>
      <c r="B82" s="1409"/>
      <c r="C82" s="1410"/>
      <c r="D82" s="625" t="s">
        <v>143</v>
      </c>
      <c r="E82" s="788">
        <f>'[3]13'!F82</f>
        <v>103253.25</v>
      </c>
      <c r="F82" s="788">
        <v>103260.25</v>
      </c>
      <c r="G82" s="613">
        <f t="shared" si="5"/>
        <v>7</v>
      </c>
      <c r="H82" s="600">
        <f>G82+'[3]13'!H82</f>
        <v>230.30000000000291</v>
      </c>
      <c r="I82" s="626"/>
      <c r="J82" s="693">
        <f>H82/DAY(B2)</f>
        <v>16.450000000000209</v>
      </c>
      <c r="K82" s="529"/>
      <c r="L82" s="421"/>
      <c r="N82" s="874"/>
      <c r="O82" s="881"/>
      <c r="P82" s="426"/>
    </row>
    <row r="83" spans="1:16" ht="27.75">
      <c r="A83" s="1408" t="s">
        <v>211</v>
      </c>
      <c r="B83" s="1409"/>
      <c r="C83" s="1410"/>
      <c r="D83" s="761" t="s">
        <v>143</v>
      </c>
      <c r="E83" s="651">
        <f>'[3]13'!F83</f>
        <v>956876</v>
      </c>
      <c r="F83" s="651">
        <v>957196</v>
      </c>
      <c r="G83" s="613">
        <f t="shared" si="5"/>
        <v>320</v>
      </c>
      <c r="H83" s="600">
        <f>G83+'[3]13'!H83</f>
        <v>4953</v>
      </c>
      <c r="I83" s="621"/>
      <c r="J83" s="693">
        <f>H83/DAY(B2)</f>
        <v>353.78571428571428</v>
      </c>
      <c r="K83" s="528"/>
      <c r="L83" s="421"/>
      <c r="N83" s="874"/>
      <c r="O83" s="881"/>
      <c r="P83" s="426"/>
    </row>
    <row r="84" spans="1:16">
      <c r="A84" s="1377" t="s">
        <v>212</v>
      </c>
      <c r="B84" s="712"/>
      <c r="C84" s="712"/>
      <c r="D84" s="618" t="s">
        <v>143</v>
      </c>
      <c r="E84" s="768">
        <f>'[3]13'!F84</f>
        <v>373080</v>
      </c>
      <c r="F84" s="768">
        <v>373565</v>
      </c>
      <c r="G84" s="613">
        <f t="shared" si="5"/>
        <v>485</v>
      </c>
      <c r="H84" s="600">
        <f>G84+'[3]13'!H84</f>
        <v>7132</v>
      </c>
      <c r="I84" s="621"/>
      <c r="J84" s="693">
        <f>H84/DAY(B2)</f>
        <v>509.42857142857144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1980.2800000000279</v>
      </c>
      <c r="H85" s="600">
        <f>G85+'[3]13'!H85</f>
        <v>26735.680000000051</v>
      </c>
      <c r="I85" s="621"/>
      <c r="J85" s="693">
        <f>H85/DAY(B2)</f>
        <v>1909.6914285714322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'[3]13'!F86</f>
        <v>438595.64</v>
      </c>
      <c r="F86" s="784">
        <v>438611.64</v>
      </c>
      <c r="G86" s="861">
        <f t="shared" ref="G86:G90" si="6">F86-E86</f>
        <v>16</v>
      </c>
      <c r="H86" s="861">
        <f t="shared" ref="H86:H88" si="7">G86</f>
        <v>16</v>
      </c>
      <c r="I86" s="789"/>
      <c r="J86" s="863">
        <f>H86/DAY(B2)</f>
        <v>1.1428571428571428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'[3]13'!F87</f>
        <v>76430.3</v>
      </c>
      <c r="F87" s="784">
        <v>76450.2</v>
      </c>
      <c r="G87" s="861">
        <f t="shared" si="6"/>
        <v>19.899999999994179</v>
      </c>
      <c r="H87" s="861">
        <f t="shared" si="7"/>
        <v>19.899999999994179</v>
      </c>
      <c r="I87" s="789"/>
      <c r="J87" s="863">
        <f>H87/DAY(B2)</f>
        <v>1.4214285714281556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'[3]13'!F88</f>
        <v>140953.76</v>
      </c>
      <c r="F88" s="784">
        <v>140977.13</v>
      </c>
      <c r="G88" s="861">
        <f t="shared" si="6"/>
        <v>23.369999999995343</v>
      </c>
      <c r="H88" s="861">
        <f t="shared" si="7"/>
        <v>23.369999999995343</v>
      </c>
      <c r="I88" s="789"/>
      <c r="J88" s="863">
        <f>H88/DAY(B2)</f>
        <v>1.6692857142853816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'[3]13'!F89</f>
        <v>54788.800000000003</v>
      </c>
      <c r="F89" s="784">
        <v>54839.8</v>
      </c>
      <c r="G89" s="861">
        <f t="shared" si="6"/>
        <v>51</v>
      </c>
      <c r="H89" s="861">
        <f>G89</f>
        <v>51</v>
      </c>
      <c r="I89" s="789"/>
      <c r="J89" s="863">
        <f>H89/DAY(B2)</f>
        <v>3.6428571428571428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'[3]13'!F90</f>
        <v>2828.5</v>
      </c>
      <c r="F90" s="784">
        <v>2831.3</v>
      </c>
      <c r="G90" s="861">
        <f t="shared" si="6"/>
        <v>2.8000000000001819</v>
      </c>
      <c r="H90" s="861">
        <f>G90</f>
        <v>2.8000000000001819</v>
      </c>
      <c r="I90" s="789"/>
      <c r="J90" s="863">
        <f>H90/DAY(B2)</f>
        <v>0.200000000000013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32" t="s">
        <v>217</v>
      </c>
      <c r="B92" s="1433"/>
      <c r="C92" s="1434"/>
      <c r="D92" s="663" t="s">
        <v>155</v>
      </c>
      <c r="E92" s="618">
        <f>'[3]13'!F92</f>
        <v>229770</v>
      </c>
      <c r="F92" s="618">
        <v>229825</v>
      </c>
      <c r="G92" s="613">
        <f t="shared" ref="G92:G93" si="8">F92-E92</f>
        <v>55</v>
      </c>
      <c r="H92" s="600">
        <f>G92+'[3]13'!H92</f>
        <v>1230</v>
      </c>
      <c r="I92" s="620"/>
      <c r="J92" s="693">
        <f>H92/DAY(B2)</f>
        <v>87.857142857142861</v>
      </c>
      <c r="K92" s="528"/>
      <c r="L92" s="421"/>
      <c r="N92" s="874"/>
      <c r="O92" s="881"/>
      <c r="P92" s="426"/>
    </row>
    <row r="93" spans="1:16" ht="27.75">
      <c r="A93" s="1432" t="s">
        <v>218</v>
      </c>
      <c r="B93" s="1433"/>
      <c r="C93" s="1434"/>
      <c r="D93" s="663" t="s">
        <v>155</v>
      </c>
      <c r="E93" s="618">
        <f>'[3]13'!F93</f>
        <v>160565</v>
      </c>
      <c r="F93" s="618">
        <v>160672</v>
      </c>
      <c r="G93" s="613">
        <f t="shared" si="8"/>
        <v>107</v>
      </c>
      <c r="H93" s="600">
        <f>G93+'[3]13'!H93</f>
        <v>2149</v>
      </c>
      <c r="I93" s="620"/>
      <c r="J93" s="693">
        <f>H93/DAY(B2)</f>
        <v>153.5</v>
      </c>
      <c r="K93" s="424"/>
      <c r="L93" s="421"/>
      <c r="N93" s="874"/>
      <c r="O93" s="881"/>
      <c r="P93" s="426"/>
    </row>
    <row r="94" spans="1:16">
      <c r="A94" s="1460" t="s">
        <v>219</v>
      </c>
      <c r="B94" s="1461"/>
      <c r="C94" s="1462"/>
      <c r="D94" s="663"/>
      <c r="E94" s="618">
        <f>'[3]13'!F94</f>
        <v>0</v>
      </c>
      <c r="F94" s="618"/>
      <c r="G94" s="613">
        <f>G92+G93</f>
        <v>162</v>
      </c>
      <c r="H94" s="600">
        <f>G94+'[3]13'!H94</f>
        <v>3089</v>
      </c>
      <c r="I94" s="620"/>
      <c r="J94" s="693">
        <f>H94/DAY(B2)</f>
        <v>220.64285714285714</v>
      </c>
      <c r="K94" s="424"/>
      <c r="L94" s="421"/>
      <c r="N94" s="874"/>
      <c r="O94" s="881"/>
      <c r="P94" s="426"/>
    </row>
    <row r="95" spans="1:16" ht="27.75">
      <c r="A95" s="1432" t="s">
        <v>220</v>
      </c>
      <c r="B95" s="1433"/>
      <c r="C95" s="1434"/>
      <c r="D95" s="663" t="s">
        <v>155</v>
      </c>
      <c r="E95" s="618">
        <f>'[3]13'!F95</f>
        <v>400583</v>
      </c>
      <c r="F95" s="618">
        <v>400628</v>
      </c>
      <c r="G95" s="613">
        <f t="shared" ref="G95:G100" si="9">F95-E95</f>
        <v>45</v>
      </c>
      <c r="H95" s="600">
        <f>G95+'[3]13'!H95</f>
        <v>781</v>
      </c>
      <c r="I95" s="620"/>
      <c r="J95" s="693">
        <f>H95/DAY(B2)</f>
        <v>55.785714285714285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'[3]13'!F96</f>
        <v>98659</v>
      </c>
      <c r="F96" s="618">
        <v>98680.2</v>
      </c>
      <c r="G96" s="613">
        <f t="shared" si="9"/>
        <v>21.19999999999709</v>
      </c>
      <c r="H96" s="600">
        <f>G96+'[3]13'!H96</f>
        <v>671.19999999999709</v>
      </c>
      <c r="I96" s="620"/>
      <c r="J96" s="693">
        <f>H96/DAY(B2)</f>
        <v>47.942857142856937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'[3]13'!F97</f>
        <v>93840</v>
      </c>
      <c r="F97" s="618">
        <v>93855</v>
      </c>
      <c r="G97" s="613">
        <f t="shared" si="9"/>
        <v>15</v>
      </c>
      <c r="H97" s="600">
        <f>G97+'[3]13'!H97</f>
        <v>304</v>
      </c>
      <c r="I97" s="620"/>
      <c r="J97" s="693">
        <f>H97/DAY(B2)</f>
        <v>21.714285714285715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'[3]13'!F98</f>
        <v>141485</v>
      </c>
      <c r="F98" s="618">
        <v>141513</v>
      </c>
      <c r="G98" s="613">
        <f t="shared" si="9"/>
        <v>28</v>
      </c>
      <c r="H98" s="600">
        <f>G98+'[3]13'!H98</f>
        <v>608</v>
      </c>
      <c r="I98" s="620"/>
      <c r="J98" s="693">
        <f>H98/DAY(B2)</f>
        <v>43.428571428571431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'[3]13'!F99</f>
        <v>4824</v>
      </c>
      <c r="F99" s="618">
        <v>4831</v>
      </c>
      <c r="G99" s="613">
        <f t="shared" si="9"/>
        <v>7</v>
      </c>
      <c r="H99" s="600">
        <f>G99+'[3]13'!H99</f>
        <v>123</v>
      </c>
      <c r="I99" s="620"/>
      <c r="J99" s="693">
        <f>H99/DAY(B2)</f>
        <v>8.7857142857142865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'[3]13'!F100</f>
        <v>3674</v>
      </c>
      <c r="F100" s="618">
        <v>3674</v>
      </c>
      <c r="G100" s="613">
        <f t="shared" si="9"/>
        <v>0</v>
      </c>
      <c r="H100" s="600">
        <f>G100+'[3]13'!H100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60" t="s">
        <v>227</v>
      </c>
      <c r="B101" s="1461"/>
      <c r="C101" s="1462"/>
      <c r="D101" s="664"/>
      <c r="E101" s="664"/>
      <c r="F101" s="664"/>
      <c r="G101" s="665">
        <f>SUM(G95:G100)</f>
        <v>116.19999999999709</v>
      </c>
      <c r="H101" s="600">
        <f>G101+'[3]13'!H101</f>
        <v>2487.1999999999971</v>
      </c>
      <c r="I101" s="666"/>
      <c r="J101" s="693">
        <f>H101/DAY(B2)</f>
        <v>177.65714285714265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3" t="s">
        <v>229</v>
      </c>
      <c r="B103" s="1464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21" t="s">
        <v>230</v>
      </c>
      <c r="B104" s="1422"/>
      <c r="C104" s="1376"/>
      <c r="D104" s="763" t="s">
        <v>155</v>
      </c>
      <c r="E104" s="795">
        <f>'[3]13'!F104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4.2857142857142856</v>
      </c>
      <c r="N104" s="874"/>
      <c r="O104" s="881"/>
      <c r="P104" s="426"/>
    </row>
    <row r="105" spans="1:16" s="544" customFormat="1" ht="27.75">
      <c r="A105" s="1421" t="s">
        <v>77</v>
      </c>
      <c r="B105" s="1422"/>
      <c r="C105" s="1376"/>
      <c r="D105" s="763" t="s">
        <v>155</v>
      </c>
      <c r="E105" s="796">
        <f>'[3]13'!F105</f>
        <v>34581</v>
      </c>
      <c r="F105" s="796">
        <v>34581</v>
      </c>
      <c r="G105" s="672">
        <f t="shared" ref="G105:G106" si="10">F105-E105</f>
        <v>0</v>
      </c>
      <c r="H105" s="673">
        <f>SUM(G105+'[3]1'!G77)</f>
        <v>70</v>
      </c>
      <c r="I105" s="672"/>
      <c r="J105" s="699">
        <f>H105/DAY(B2)</f>
        <v>5</v>
      </c>
      <c r="N105" s="874"/>
      <c r="O105" s="881"/>
      <c r="P105" s="426"/>
    </row>
    <row r="106" spans="1:16" s="544" customFormat="1" ht="27.75">
      <c r="A106" s="1421" t="s">
        <v>78</v>
      </c>
      <c r="B106" s="1465"/>
      <c r="C106" s="1422"/>
      <c r="D106" s="763" t="s">
        <v>155</v>
      </c>
      <c r="E106" s="796">
        <f>'[3]13'!F106</f>
        <v>18676</v>
      </c>
      <c r="F106" s="796">
        <v>18676</v>
      </c>
      <c r="G106" s="672">
        <f t="shared" si="10"/>
        <v>0</v>
      </c>
      <c r="H106" s="673">
        <f>SUM(G106+'[3]1'!G78)</f>
        <v>329</v>
      </c>
      <c r="I106" s="672"/>
      <c r="J106" s="699">
        <f>H106/DAY(B2)</f>
        <v>23.5</v>
      </c>
      <c r="N106" s="874"/>
      <c r="O106" s="881"/>
      <c r="P106" s="426"/>
    </row>
    <row r="107" spans="1:16" s="544" customFormat="1" ht="27.75">
      <c r="A107" s="1423" t="s">
        <v>213</v>
      </c>
      <c r="B107" s="1424"/>
      <c r="C107" s="1376"/>
      <c r="D107" s="763"/>
      <c r="E107" s="796">
        <f>'[3]13'!F107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11.428571428571429</v>
      </c>
      <c r="N107" s="874"/>
      <c r="O107" s="881"/>
      <c r="P107" s="426"/>
    </row>
    <row r="108" spans="1:16" s="544" customFormat="1" ht="27.75">
      <c r="A108" s="1427" t="s">
        <v>79</v>
      </c>
      <c r="B108" s="1428"/>
      <c r="C108" s="1376"/>
      <c r="D108" s="763" t="s">
        <v>155</v>
      </c>
      <c r="E108" s="796">
        <f>'[3]13'!F108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21" t="s">
        <v>231</v>
      </c>
      <c r="B109" s="1422"/>
      <c r="C109" s="1376"/>
      <c r="D109" s="763" t="s">
        <v>155</v>
      </c>
      <c r="E109" s="796">
        <f>'[3]13'!F109</f>
        <v>50417</v>
      </c>
      <c r="F109" s="796">
        <v>50456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8.6428571428571423</v>
      </c>
      <c r="N109" s="874"/>
      <c r="O109" s="881"/>
      <c r="P109" s="426"/>
    </row>
    <row r="110" spans="1:16" s="544" customFormat="1" ht="27.75">
      <c r="A110" s="1421" t="s">
        <v>232</v>
      </c>
      <c r="B110" s="1422"/>
      <c r="C110" s="1376"/>
      <c r="D110" s="763" t="s">
        <v>155</v>
      </c>
      <c r="E110" s="796">
        <f>'[3]13'!F110</f>
        <v>24664</v>
      </c>
      <c r="F110" s="796">
        <v>24694</v>
      </c>
      <c r="G110" s="672">
        <f t="shared" ref="G110:G111" si="11">F110-E110</f>
        <v>30</v>
      </c>
      <c r="H110" s="673">
        <f>SUM(G110+'[3]1'!G82)</f>
        <v>55.740000000005239</v>
      </c>
      <c r="I110" s="672"/>
      <c r="J110" s="699">
        <f>H110/DAY(B2)</f>
        <v>3.9814285714289457</v>
      </c>
      <c r="N110" s="874"/>
      <c r="O110" s="881"/>
      <c r="P110" s="426"/>
    </row>
    <row r="111" spans="1:16" s="544" customFormat="1" ht="27.75">
      <c r="A111" s="1421" t="s">
        <v>233</v>
      </c>
      <c r="B111" s="1422"/>
      <c r="C111" s="1376"/>
      <c r="D111" s="763" t="s">
        <v>155</v>
      </c>
      <c r="E111" s="796">
        <f>'[3]13'!F111</f>
        <v>3257</v>
      </c>
      <c r="F111" s="796">
        <v>3268</v>
      </c>
      <c r="G111" s="672">
        <f t="shared" si="11"/>
        <v>11</v>
      </c>
      <c r="H111" s="673">
        <f>SUM(G111+'[3]1'!G83)</f>
        <v>457</v>
      </c>
      <c r="I111" s="672"/>
      <c r="J111" s="699">
        <f>H111/DAY(B2)</f>
        <v>32.642857142857146</v>
      </c>
      <c r="N111" s="874"/>
      <c r="O111" s="881"/>
      <c r="P111" s="426"/>
    </row>
    <row r="112" spans="1:16" s="544" customFormat="1" ht="27.75">
      <c r="A112" s="1423" t="s">
        <v>121</v>
      </c>
      <c r="B112" s="1424"/>
      <c r="C112" s="1376"/>
      <c r="D112" s="763"/>
      <c r="E112" s="796">
        <f>'[3]13'!F112</f>
        <v>0</v>
      </c>
      <c r="F112" s="796"/>
      <c r="G112" s="672">
        <f>SUM(G109:G111)</f>
        <v>80</v>
      </c>
      <c r="H112" s="673">
        <f>SUM(G112+'[3]1'!G84)</f>
        <v>676</v>
      </c>
      <c r="I112" s="672"/>
      <c r="J112" s="699">
        <f>H112/DAY(B2)</f>
        <v>48.285714285714285</v>
      </c>
      <c r="N112" s="874"/>
      <c r="O112" s="881"/>
      <c r="P112" s="426"/>
    </row>
    <row r="113" spans="1:16" s="544" customFormat="1" ht="27.75">
      <c r="A113" s="1427" t="s">
        <v>234</v>
      </c>
      <c r="B113" s="1428"/>
      <c r="C113" s="1376"/>
      <c r="D113" s="763"/>
      <c r="E113" s="796">
        <f>'[3]13'!F113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21" t="s">
        <v>235</v>
      </c>
      <c r="B114" s="1422"/>
      <c r="C114" s="715"/>
      <c r="D114" s="763" t="s">
        <v>155</v>
      </c>
      <c r="E114" s="796">
        <f>'[3]13'!F114</f>
        <v>8419</v>
      </c>
      <c r="F114" s="796">
        <v>8427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0.5714285714285714</v>
      </c>
      <c r="N114" s="874"/>
      <c r="O114" s="881"/>
      <c r="P114" s="426"/>
    </row>
    <row r="115" spans="1:16" s="544" customFormat="1" ht="27.75">
      <c r="A115" s="1421" t="s">
        <v>236</v>
      </c>
      <c r="B115" s="1422"/>
      <c r="C115" s="715"/>
      <c r="D115" s="763" t="s">
        <v>155</v>
      </c>
      <c r="E115" s="796">
        <f>'[3]13'!F115</f>
        <v>6652</v>
      </c>
      <c r="F115" s="796">
        <v>6659</v>
      </c>
      <c r="G115" s="674">
        <f t="shared" ref="G115:G116" si="12">F115-E115</f>
        <v>7</v>
      </c>
      <c r="H115" s="673">
        <f>SUM(G115+'[3]1'!G92)</f>
        <v>112</v>
      </c>
      <c r="I115" s="672"/>
      <c r="J115" s="699">
        <f>H115/DAY(B2)</f>
        <v>8</v>
      </c>
      <c r="N115" s="874"/>
      <c r="O115" s="881"/>
      <c r="P115" s="426"/>
    </row>
    <row r="116" spans="1:16" s="544" customFormat="1" ht="27.75">
      <c r="A116" s="1421" t="s">
        <v>237</v>
      </c>
      <c r="B116" s="1422"/>
      <c r="C116" s="715"/>
      <c r="D116" s="763" t="s">
        <v>155</v>
      </c>
      <c r="E116" s="796"/>
      <c r="F116" s="796"/>
      <c r="G116" s="674">
        <f t="shared" si="12"/>
        <v>0</v>
      </c>
      <c r="H116" s="673">
        <f>SUM(G116+'[3]1'!G93)</f>
        <v>185</v>
      </c>
      <c r="I116" s="672"/>
      <c r="J116" s="699">
        <f>H116/DAY(B2)</f>
        <v>13.214285714285714</v>
      </c>
      <c r="N116" s="874"/>
      <c r="O116" s="881"/>
      <c r="P116" s="426"/>
    </row>
    <row r="117" spans="1:16" s="557" customFormat="1" ht="27.75">
      <c r="A117" s="1423" t="s">
        <v>213</v>
      </c>
      <c r="B117" s="1424"/>
      <c r="C117" s="715"/>
      <c r="D117" s="764"/>
      <c r="E117" s="796"/>
      <c r="F117" s="796"/>
      <c r="G117" s="674">
        <f>SUM(G114:G116)</f>
        <v>15</v>
      </c>
      <c r="H117" s="673">
        <f>SUM(G117+'[3]1'!G95)</f>
        <v>63</v>
      </c>
      <c r="I117" s="674"/>
      <c r="J117" s="699">
        <f>H117/DAY(B2)</f>
        <v>4.5</v>
      </c>
      <c r="N117" s="874"/>
      <c r="O117" s="881"/>
      <c r="P117" s="426"/>
    </row>
    <row r="118" spans="1:16" s="558" customFormat="1" ht="27.75">
      <c r="A118" s="1417" t="s">
        <v>238</v>
      </c>
      <c r="B118" s="1418"/>
      <c r="C118" s="1379"/>
      <c r="D118" s="765" t="s">
        <v>155</v>
      </c>
      <c r="E118" s="797"/>
      <c r="F118" s="797"/>
      <c r="G118" s="676">
        <f>SUM(G19+G92)</f>
        <v>98</v>
      </c>
      <c r="H118" s="673">
        <f>SUM(G118+'[3]1'!G96)</f>
        <v>147</v>
      </c>
      <c r="I118" s="675"/>
      <c r="J118" s="700">
        <f>H118/DAY(B2)</f>
        <v>10.5</v>
      </c>
      <c r="N118" s="874"/>
      <c r="O118" s="881"/>
      <c r="P118" s="426"/>
    </row>
    <row r="119" spans="1:16" s="558" customFormat="1" ht="27.75">
      <c r="A119" s="1417" t="s">
        <v>239</v>
      </c>
      <c r="B119" s="1418"/>
      <c r="C119" s="1379"/>
      <c r="D119" s="765" t="s">
        <v>155</v>
      </c>
      <c r="E119" s="797"/>
      <c r="F119" s="797">
        <f>SUM(G95,G96,G97,G99,G100)</f>
        <v>88.19999999999709</v>
      </c>
      <c r="G119" s="676">
        <f>SUM(G95,G96,G97,G99,G100)</f>
        <v>88.19999999999709</v>
      </c>
      <c r="H119" s="673">
        <f>SUM(G119+'[3]1'!G98)</f>
        <v>120.19999999999709</v>
      </c>
      <c r="I119" s="675"/>
      <c r="J119" s="700">
        <f>H119/DAY(B2)</f>
        <v>8.5857142857140776</v>
      </c>
      <c r="N119" s="874"/>
      <c r="O119" s="881"/>
      <c r="P119" s="426"/>
    </row>
    <row r="120" spans="1:16" s="558" customFormat="1" ht="27.75">
      <c r="A120" s="1417" t="s">
        <v>240</v>
      </c>
      <c r="B120" s="1418"/>
      <c r="C120" s="1379"/>
      <c r="D120" s="765" t="s">
        <v>155</v>
      </c>
      <c r="E120" s="796"/>
      <c r="F120" s="796">
        <f>SUM(G112)</f>
        <v>80</v>
      </c>
      <c r="G120" s="674">
        <f>SUM(G112)</f>
        <v>80</v>
      </c>
      <c r="H120" s="673">
        <f>SUM(G120+'[3]1'!G100)</f>
        <v>80</v>
      </c>
      <c r="I120" s="675"/>
      <c r="J120" s="700">
        <f>H120/DAY(B2)</f>
        <v>5.7142857142857144</v>
      </c>
      <c r="N120" s="874"/>
      <c r="O120" s="881"/>
      <c r="P120" s="426"/>
    </row>
    <row r="121" spans="1:16" s="544" customFormat="1" ht="27.75">
      <c r="A121" s="1419"/>
      <c r="B121" s="1420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'[3]13'!F123</f>
        <v>785336.24100000004</v>
      </c>
      <c r="F123" s="618">
        <v>785544.53</v>
      </c>
      <c r="G123" s="613">
        <f t="shared" ref="G123:G127" si="13">F123-E123</f>
        <v>208.28899999998976</v>
      </c>
      <c r="H123" s="600">
        <f>G123+'[3]13'!H123</f>
        <v>2619.6439999999711</v>
      </c>
      <c r="I123" s="666"/>
      <c r="J123" s="693">
        <f>H123/DAY(B2)</f>
        <v>187.1174285714265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'[3]13'!F124</f>
        <v>73581</v>
      </c>
      <c r="F124" s="767">
        <v>73581</v>
      </c>
      <c r="G124" s="613">
        <f t="shared" si="13"/>
        <v>0</v>
      </c>
      <c r="H124" s="600">
        <f>G124+'[3]13'!H124</f>
        <v>0</v>
      </c>
      <c r="I124" s="666"/>
      <c r="J124" s="693">
        <f>H124/DAY(B2)</f>
        <v>0</v>
      </c>
      <c r="K124" s="424"/>
      <c r="L124" s="421"/>
      <c r="N124" s="874"/>
      <c r="O124" s="881"/>
      <c r="P124" s="426"/>
    </row>
    <row r="125" spans="1:16" ht="27.75">
      <c r="A125" s="1429" t="s">
        <v>244</v>
      </c>
      <c r="B125" s="1430"/>
      <c r="C125" s="1431"/>
      <c r="D125" s="663" t="s">
        <v>152</v>
      </c>
      <c r="E125" s="618">
        <f>'[3]13'!F125</f>
        <v>131921.72</v>
      </c>
      <c r="F125" s="618">
        <v>131975.91</v>
      </c>
      <c r="G125" s="613">
        <f t="shared" si="13"/>
        <v>54.190000000002328</v>
      </c>
      <c r="H125" s="600">
        <f>G125+'[3]13'!H125</f>
        <v>869.69000000000233</v>
      </c>
      <c r="I125" s="666"/>
      <c r="J125" s="693">
        <f>H125/DAY(B2)</f>
        <v>62.120714285714449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'[3]13'!F126</f>
        <v>55884.7</v>
      </c>
      <c r="F126" s="767">
        <v>55909.7</v>
      </c>
      <c r="G126" s="613">
        <f t="shared" si="13"/>
        <v>25</v>
      </c>
      <c r="H126" s="600">
        <f>G126+'[3]13'!H126</f>
        <v>323.89999999999418</v>
      </c>
      <c r="I126" s="666"/>
      <c r="J126" s="693">
        <f>H126/DAY(B2)</f>
        <v>23.13571428571387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'[3]13'!F127</f>
        <v>8640.1</v>
      </c>
      <c r="F127" s="767">
        <v>8640.1</v>
      </c>
      <c r="G127" s="613">
        <f t="shared" si="13"/>
        <v>0</v>
      </c>
      <c r="H127" s="600">
        <f>G127+'[3]13'!H127</f>
        <v>1.1000000000003638</v>
      </c>
      <c r="I127" s="620"/>
      <c r="J127" s="693">
        <f>H127/DAY(B2)</f>
        <v>7.8571428571454563E-2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74.297000000078697</v>
      </c>
      <c r="H128" s="600"/>
      <c r="I128" s="620"/>
      <c r="J128" s="693"/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'[3]13'!F130</f>
        <v>0</v>
      </c>
      <c r="F130" s="618">
        <v>0</v>
      </c>
      <c r="G130" s="613">
        <f t="shared" ref="G130:G140" si="14">F130-E130</f>
        <v>0</v>
      </c>
      <c r="H130" s="600">
        <f>G130+'[3]13'!H130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'[3]13'!F131</f>
        <v>0</v>
      </c>
      <c r="F131" s="618">
        <v>0</v>
      </c>
      <c r="G131" s="613">
        <f t="shared" si="14"/>
        <v>0</v>
      </c>
      <c r="H131" s="600">
        <f>G131+'[3]13'!H131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788">
        <f>'[3]13'!F132</f>
        <v>38853</v>
      </c>
      <c r="F132" s="788">
        <v>38853</v>
      </c>
      <c r="G132" s="613">
        <f t="shared" si="14"/>
        <v>0</v>
      </c>
      <c r="H132" s="600">
        <f>G132+'[3]13'!H132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767">
        <f>'[3]13'!F133</f>
        <v>34948</v>
      </c>
      <c r="F133" s="767">
        <v>34948</v>
      </c>
      <c r="G133" s="613">
        <f t="shared" si="14"/>
        <v>0</v>
      </c>
      <c r="H133" s="600">
        <f>G133+'[3]13'!H133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767">
        <f>'[3]13'!F134</f>
        <v>39735</v>
      </c>
      <c r="F134" s="767">
        <v>39735</v>
      </c>
      <c r="G134" s="613">
        <f t="shared" si="14"/>
        <v>0</v>
      </c>
      <c r="H134" s="600">
        <f>G134+'[3]13'!H134</f>
        <v>-1.2699999999967986</v>
      </c>
      <c r="I134" s="620"/>
      <c r="J134" s="693">
        <f>H134/DAY(B2)</f>
        <v>-9.0714285714057041E-2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788">
        <f>'[3]13'!F135</f>
        <v>31304</v>
      </c>
      <c r="F135" s="788">
        <v>31328</v>
      </c>
      <c r="G135" s="613">
        <f t="shared" si="14"/>
        <v>24</v>
      </c>
      <c r="H135" s="600">
        <f>G135+'[3]13'!H135</f>
        <v>334.97999999999956</v>
      </c>
      <c r="I135" s="620"/>
      <c r="J135" s="693">
        <f>H135/DAY(B2)</f>
        <v>23.927142857142826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788">
        <f>'[3]13'!F136</f>
        <v>21627.37</v>
      </c>
      <c r="F136" s="788">
        <v>21627.37</v>
      </c>
      <c r="G136" s="613">
        <f t="shared" si="14"/>
        <v>0</v>
      </c>
      <c r="H136" s="600">
        <f>G136+'[3]13'!H136</f>
        <v>29.340000000000146</v>
      </c>
      <c r="I136" s="620">
        <f>G134+G135+G136</f>
        <v>24</v>
      </c>
      <c r="J136" s="693">
        <f>H136/DAY(B2)</f>
        <v>2.0957142857142963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788">
        <f>'[3]13'!F137</f>
        <v>24909.24</v>
      </c>
      <c r="F137" s="788">
        <v>24909.24</v>
      </c>
      <c r="G137" s="613">
        <f t="shared" si="14"/>
        <v>0</v>
      </c>
      <c r="H137" s="600">
        <f>G137+'[3]13'!H137</f>
        <v>6.9900000000016007</v>
      </c>
      <c r="I137" s="620"/>
      <c r="J137" s="693">
        <f>H137/DAY(B2)</f>
        <v>0.49928571428582863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788">
        <f>'[3]13'!F138</f>
        <v>69929.490000000005</v>
      </c>
      <c r="F138" s="788">
        <v>69929.399999999994</v>
      </c>
      <c r="G138" s="613">
        <f t="shared" si="14"/>
        <v>-9.0000000011059456E-2</v>
      </c>
      <c r="H138" s="600">
        <f>G138+'[3]13'!H138</f>
        <v>47.75</v>
      </c>
      <c r="I138" s="620">
        <f>G137+G138</f>
        <v>-9.0000000011059456E-2</v>
      </c>
      <c r="J138" s="693">
        <f>H138/DAY(B2)</f>
        <v>3.4107142857142856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767">
        <f>'[3]13'!F139</f>
        <v>842.87</v>
      </c>
      <c r="F139" s="767">
        <v>848.87</v>
      </c>
      <c r="G139" s="613">
        <f t="shared" si="14"/>
        <v>6</v>
      </c>
      <c r="H139" s="600">
        <f>G139+'[3]13'!H139</f>
        <v>72.440000000000055</v>
      </c>
      <c r="I139" s="683"/>
      <c r="J139" s="693">
        <f>H139/DAY(B2)</f>
        <v>5.1742857142857179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'[3]13'!F140</f>
        <v>4156.96</v>
      </c>
      <c r="F140" s="618">
        <v>4156.9799999999996</v>
      </c>
      <c r="G140" s="613">
        <f t="shared" si="14"/>
        <v>1.9999999999527063E-2</v>
      </c>
      <c r="H140" s="600">
        <f>G140+'[3]13'!H140</f>
        <v>2.7099999999991269</v>
      </c>
      <c r="I140" s="683"/>
      <c r="J140" s="693">
        <f>H140/DAY(B2)</f>
        <v>0.19357142857136619</v>
      </c>
      <c r="N140" s="874"/>
      <c r="O140" s="881"/>
      <c r="P140" s="426"/>
    </row>
    <row r="141" spans="1:16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5488.5519999999924</v>
      </c>
      <c r="H142" s="600">
        <f>G142+'[3]13'!H142</f>
        <v>68225.865000000122</v>
      </c>
      <c r="I142" s="620"/>
      <c r="J142" s="693">
        <f>H142/DAY(B2)</f>
        <v>4873.2760714285805</v>
      </c>
      <c r="K142" s="424"/>
      <c r="L142" s="421"/>
      <c r="N142" s="874"/>
      <c r="O142" s="881"/>
      <c r="P142" s="426"/>
    </row>
    <row r="143" spans="1:16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0.3034360902255635</v>
      </c>
      <c r="H143" s="600">
        <f>G143+'[3]13'!H143</f>
        <v>3.2777557393113801</v>
      </c>
      <c r="I143" s="685"/>
      <c r="J143" s="693">
        <f>H143/DAY(B2)</f>
        <v>0.23412540995081285</v>
      </c>
      <c r="K143" s="424"/>
      <c r="L143" s="421"/>
      <c r="N143" s="874"/>
      <c r="O143" s="881"/>
      <c r="P143" s="426"/>
    </row>
    <row r="144" spans="1:16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4624.7999999999884</v>
      </c>
      <c r="H144" s="600">
        <f>G144+'[3]13'!H144</f>
        <v>57571.310000000085</v>
      </c>
      <c r="I144" s="620"/>
      <c r="J144" s="693">
        <f>H144/DAY(B2)</f>
        <v>4112.2364285714348</v>
      </c>
      <c r="K144" s="424"/>
      <c r="L144" s="421"/>
      <c r="N144" s="874"/>
      <c r="O144" s="881"/>
      <c r="P144" s="426"/>
    </row>
    <row r="145" spans="1:16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0.25568332596196308</v>
      </c>
      <c r="H145" s="600">
        <f>G145+'[3]13'!H145</f>
        <v>2.9260319386349689</v>
      </c>
      <c r="I145" s="685"/>
      <c r="J145" s="693">
        <f>H145/DAY(B2)</f>
        <v>0.20900228133106921</v>
      </c>
      <c r="K145" s="424"/>
      <c r="L145" s="421"/>
      <c r="N145" s="874"/>
      <c r="O145" s="881"/>
      <c r="P145" s="426"/>
    </row>
    <row r="146" spans="1:16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0</v>
      </c>
      <c r="H146" s="600">
        <f>G146+'[3]13'!H146</f>
        <v>48456.290000000037</v>
      </c>
      <c r="I146" s="686"/>
      <c r="J146" s="693">
        <f>H146/DAY(B2)</f>
        <v>3461.163571428574</v>
      </c>
      <c r="K146" s="424"/>
      <c r="L146" s="421"/>
      <c r="N146" s="874"/>
      <c r="O146" s="881"/>
      <c r="P146" s="426"/>
    </row>
    <row r="147" spans="1:16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</v>
      </c>
      <c r="H147" s="600">
        <f>G147+'[3]13'!H147</f>
        <v>2.4219032357615093</v>
      </c>
      <c r="I147" s="686"/>
      <c r="J147" s="693">
        <f>H147/DAY(B2)</f>
        <v>0.17299308826867923</v>
      </c>
      <c r="N147" s="874"/>
      <c r="O147" s="881"/>
      <c r="P147" s="426"/>
    </row>
    <row r="148" spans="1:16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1623.2000000000116</v>
      </c>
      <c r="H148" s="600">
        <f>G148+'[3]13'!H148</f>
        <v>24326.859999999986</v>
      </c>
      <c r="I148" s="620"/>
      <c r="J148" s="693">
        <f>H148/DAY(B2)</f>
        <v>1737.6328571428562</v>
      </c>
      <c r="K148" s="425"/>
      <c r="N148" s="874"/>
      <c r="O148" s="881"/>
      <c r="P148" s="426"/>
    </row>
    <row r="149" spans="1:16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8.9739053516143946E-2</v>
      </c>
      <c r="H149" s="600">
        <f>G149+'[3]13'!H149</f>
        <v>1.2324901950324034</v>
      </c>
      <c r="I149" s="686"/>
      <c r="J149" s="693">
        <f>H149/DAY(B2)</f>
        <v>8.8035013930885961E-2</v>
      </c>
      <c r="N149" s="874"/>
      <c r="O149" s="881"/>
      <c r="P149" s="426"/>
    </row>
    <row r="150" spans="1:16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1466.960000000021</v>
      </c>
      <c r="H150" s="600">
        <f>G150+'[3]13'!H150</f>
        <v>22530.739999999991</v>
      </c>
      <c r="I150" s="686"/>
      <c r="J150" s="693">
        <f>H150/DAY(B2)</f>
        <v>1609.3385714285707</v>
      </c>
      <c r="N150" s="874"/>
      <c r="O150" s="881"/>
      <c r="P150" s="426"/>
    </row>
    <row r="151" spans="1:16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8.1101282618311635E-2</v>
      </c>
      <c r="H151" s="600">
        <f>G151+'[3]13'!H151</f>
        <v>1.1399095532222192</v>
      </c>
      <c r="I151" s="620"/>
      <c r="J151" s="693">
        <f>H151/DAY(B2)</f>
        <v>8.1422110944444223E-2</v>
      </c>
      <c r="N151" s="874"/>
      <c r="O151" s="881"/>
      <c r="P151" s="426"/>
    </row>
    <row r="152" spans="1:16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1284.7458999999999</v>
      </c>
      <c r="H152" s="600">
        <f>G152+'[3]13'!H152</f>
        <v>20628.405899999998</v>
      </c>
      <c r="I152" s="620"/>
      <c r="J152" s="693">
        <f>H152/DAY(B2)</f>
        <v>1473.4575642857142</v>
      </c>
      <c r="N152" s="874"/>
      <c r="O152" s="881"/>
      <c r="P152" s="426"/>
    </row>
    <row r="153" spans="1:16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7.1027526536930549E-2</v>
      </c>
      <c r="H153" s="600">
        <f>G153+'[3]13'!H153</f>
        <v>1.0508650945579097</v>
      </c>
      <c r="I153" s="709"/>
      <c r="J153" s="710">
        <f>H153/DAY(B2)</f>
        <v>7.5061792468422123E-2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'[3]13'!F160</f>
        <v>22607.228999999999</v>
      </c>
      <c r="F160" s="965">
        <v>22676.249</v>
      </c>
      <c r="G160" s="613">
        <f t="shared" ref="G160:G171" si="15">F160-E160</f>
        <v>69.020000000000437</v>
      </c>
      <c r="N160" s="874"/>
    </row>
    <row r="161" spans="1:14" ht="21.75" customHeight="1">
      <c r="A161" s="956" t="s">
        <v>275</v>
      </c>
      <c r="B161" s="957"/>
      <c r="C161" s="957"/>
      <c r="D161" s="761" t="s">
        <v>198</v>
      </c>
      <c r="E161" s="795">
        <f>'[3]13'!F161</f>
        <v>14827.755999999999</v>
      </c>
      <c r="F161" s="965">
        <v>14918</v>
      </c>
      <c r="G161" s="613">
        <f t="shared" si="15"/>
        <v>90.244000000000597</v>
      </c>
      <c r="N161" s="874"/>
    </row>
    <row r="162" spans="1:14" ht="21.75" customHeight="1">
      <c r="A162" s="956" t="s">
        <v>276</v>
      </c>
      <c r="B162" s="957"/>
      <c r="C162" s="957"/>
      <c r="D162" s="761" t="s">
        <v>198</v>
      </c>
      <c r="E162" s="795">
        <f>'[3]13'!F162</f>
        <v>33385.053</v>
      </c>
      <c r="F162" s="965">
        <v>33588</v>
      </c>
      <c r="G162" s="613">
        <f t="shared" si="15"/>
        <v>202.94700000000012</v>
      </c>
      <c r="N162" s="874"/>
    </row>
    <row r="163" spans="1:14" ht="21.75" customHeight="1">
      <c r="A163" s="956" t="s">
        <v>277</v>
      </c>
      <c r="B163" s="957"/>
      <c r="C163" s="957"/>
      <c r="D163" s="761" t="s">
        <v>198</v>
      </c>
      <c r="E163" s="795">
        <f>'[3]13'!F163</f>
        <v>3249.6970999999999</v>
      </c>
      <c r="F163" s="965">
        <v>3277.3249999999998</v>
      </c>
      <c r="G163" s="613">
        <f t="shared" si="15"/>
        <v>27.627899999999954</v>
      </c>
      <c r="N163" s="874"/>
    </row>
    <row r="164" spans="1:14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5"/>
        <v>0</v>
      </c>
      <c r="N164" s="874"/>
    </row>
    <row r="165" spans="1:14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6">E63</f>
        <v>551.48</v>
      </c>
      <c r="F165" s="654">
        <f t="shared" si="16"/>
        <v>572.98400000000004</v>
      </c>
      <c r="G165" s="613">
        <f t="shared" si="15"/>
        <v>21.504000000000019</v>
      </c>
      <c r="N165" s="874"/>
    </row>
    <row r="166" spans="1:14" ht="21.75" customHeight="1">
      <c r="A166" s="1481" t="s">
        <v>107</v>
      </c>
      <c r="B166" s="1481"/>
      <c r="C166" s="1481"/>
      <c r="D166" s="664" t="s">
        <v>198</v>
      </c>
      <c r="E166" s="654">
        <f t="shared" si="16"/>
        <v>80681.967000000004</v>
      </c>
      <c r="F166" s="654">
        <f t="shared" si="16"/>
        <v>81017.357999999993</v>
      </c>
      <c r="G166" s="613">
        <f t="shared" si="15"/>
        <v>335.39099999998871</v>
      </c>
      <c r="N166" s="874"/>
    </row>
    <row r="167" spans="1:14" ht="21.75" customHeight="1">
      <c r="A167" s="1481" t="s">
        <v>108</v>
      </c>
      <c r="B167" s="1481"/>
      <c r="C167" s="1481"/>
      <c r="D167" s="664" t="s">
        <v>198</v>
      </c>
      <c r="E167" s="654">
        <f t="shared" si="16"/>
        <v>90196.918999999994</v>
      </c>
      <c r="F167" s="654">
        <f t="shared" si="16"/>
        <v>90557.638999999996</v>
      </c>
      <c r="G167" s="613">
        <f t="shared" si="15"/>
        <v>360.72000000000116</v>
      </c>
      <c r="N167" s="874"/>
    </row>
    <row r="168" spans="1:14" ht="21.75" customHeight="1">
      <c r="A168" s="1481" t="s">
        <v>109</v>
      </c>
      <c r="B168" s="1481"/>
      <c r="C168" s="1481"/>
      <c r="D168" s="664" t="s">
        <v>198</v>
      </c>
      <c r="E168" s="654">
        <f t="shared" si="16"/>
        <v>83296.294999999998</v>
      </c>
      <c r="F168" s="654">
        <f t="shared" si="16"/>
        <v>83663.455000000002</v>
      </c>
      <c r="G168" s="613">
        <f t="shared" si="15"/>
        <v>367.16000000000349</v>
      </c>
      <c r="N168" s="874"/>
    </row>
    <row r="169" spans="1:14" ht="21.75" customHeight="1">
      <c r="A169" s="1481" t="s">
        <v>110</v>
      </c>
      <c r="B169" s="1481"/>
      <c r="C169" s="1481"/>
      <c r="D169" s="664" t="s">
        <v>198</v>
      </c>
      <c r="E169" s="654">
        <f t="shared" si="16"/>
        <v>134449.42000000001</v>
      </c>
      <c r="F169" s="654">
        <f t="shared" si="16"/>
        <v>135050.54</v>
      </c>
      <c r="G169" s="613">
        <f t="shared" si="15"/>
        <v>601.11999999999534</v>
      </c>
      <c r="N169" s="874"/>
    </row>
    <row r="170" spans="1:14" ht="24" customHeight="1">
      <c r="A170" s="1481" t="s">
        <v>111</v>
      </c>
      <c r="B170" s="1481"/>
      <c r="C170" s="1481"/>
      <c r="D170" s="664" t="s">
        <v>198</v>
      </c>
      <c r="E170" s="654">
        <f t="shared" si="16"/>
        <v>37529.055</v>
      </c>
      <c r="F170" s="654">
        <f t="shared" si="16"/>
        <v>37839.771000000001</v>
      </c>
      <c r="G170" s="613">
        <f t="shared" si="15"/>
        <v>310.71600000000035</v>
      </c>
      <c r="N170" s="874"/>
    </row>
    <row r="171" spans="1:14" ht="27.75">
      <c r="A171" s="1481" t="s">
        <v>112</v>
      </c>
      <c r="B171" s="1481"/>
      <c r="C171" s="1481"/>
      <c r="D171" s="664" t="s">
        <v>198</v>
      </c>
      <c r="E171" s="654">
        <f t="shared" si="16"/>
        <v>32679.587</v>
      </c>
      <c r="F171" s="654">
        <f t="shared" si="16"/>
        <v>32966.171000000002</v>
      </c>
      <c r="G171" s="613">
        <f t="shared" si="15"/>
        <v>286.58400000000256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2673.0338999999926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22.5" customHeight="1">
      <c r="N177" s="874"/>
    </row>
    <row r="178" spans="14:14" ht="22.5" customHeight="1">
      <c r="N178" s="874"/>
    </row>
    <row r="179" spans="14:14" ht="22.5" customHeight="1">
      <c r="N179" s="874"/>
    </row>
    <row r="180" spans="14:14" ht="22.5" customHeight="1">
      <c r="N180" s="874"/>
    </row>
    <row r="181" spans="14:14" ht="22.5" customHeight="1">
      <c r="N181" s="874"/>
    </row>
    <row r="182" spans="14:14" ht="22.5" customHeight="1">
      <c r="N182" s="874"/>
    </row>
    <row r="183" spans="14:14" ht="22.5" customHeight="1">
      <c r="N183" s="874"/>
    </row>
    <row r="184" spans="14:14" ht="22.5" customHeight="1">
      <c r="N184" s="874"/>
    </row>
    <row r="185" spans="14:14" ht="22.5" customHeight="1">
      <c r="N185" s="874"/>
    </row>
    <row r="186" spans="14:14" ht="22.5" customHeight="1">
      <c r="N186" s="874"/>
    </row>
    <row r="187" spans="14:14" ht="22.5" customHeight="1">
      <c r="N187" s="874"/>
    </row>
    <row r="188" spans="14:14" ht="22.5" customHeight="1">
      <c r="N188" s="874"/>
    </row>
    <row r="189" spans="14:14" ht="22.5" customHeight="1">
      <c r="N189" s="874"/>
    </row>
    <row r="190" spans="14:14" ht="22.5" customHeight="1">
      <c r="N190" s="874"/>
    </row>
    <row r="191" spans="14:14" ht="22.5" customHeight="1">
      <c r="N191" s="874"/>
    </row>
    <row r="192" spans="14:14" ht="22.5" customHeight="1">
      <c r="N192" s="874"/>
    </row>
    <row r="193" spans="14:14" ht="22.5" customHeight="1">
      <c r="N193" s="874"/>
    </row>
    <row r="194" spans="14:14" ht="22.5" customHeight="1">
      <c r="N194" s="874"/>
    </row>
    <row r="195" spans="14:14" ht="22.5" customHeight="1">
      <c r="N195" s="874"/>
    </row>
    <row r="196" spans="14:14" ht="22.5" customHeight="1">
      <c r="N196" s="874"/>
    </row>
    <row r="197" spans="14:14" ht="22.5" customHeight="1">
      <c r="N197" s="874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80" zoomScaleSheetLayoutView="55" workbookViewId="0">
      <selection activeCell="A4"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6" s="292" customFormat="1" ht="27">
      <c r="A2" s="716" t="s">
        <v>293</v>
      </c>
      <c r="B2" s="1195">
        <v>44151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29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'[3]15'!F7</f>
        <v>2379961</v>
      </c>
      <c r="F7" s="595">
        <v>2399183</v>
      </c>
      <c r="G7" s="815">
        <f>F7-E7</f>
        <v>19222</v>
      </c>
      <c r="H7" s="816">
        <f>G7+'[3]15'!H7</f>
        <v>294158</v>
      </c>
      <c r="I7" s="817">
        <f>'[3]1'!I7</f>
        <v>12000</v>
      </c>
      <c r="J7" s="818">
        <f>H7/DAY(B2)</f>
        <v>18384.875</v>
      </c>
      <c r="K7" s="690">
        <f>'[3]1'!E7-'[3]16'!F7</f>
        <v>-294158</v>
      </c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'[3]15'!F8</f>
        <v>2391451</v>
      </c>
      <c r="F8" s="615">
        <v>2410732</v>
      </c>
      <c r="G8" s="826">
        <f>F8-E8</f>
        <v>19281</v>
      </c>
      <c r="H8" s="816">
        <f>G8+'[3]15'!H8</f>
        <v>295291</v>
      </c>
      <c r="I8" s="823">
        <f>'[3]1'!I8</f>
        <v>12000</v>
      </c>
      <c r="J8" s="818">
        <f>H8/DAY(B2)</f>
        <v>18455.6875</v>
      </c>
      <c r="K8" s="690">
        <f>'[3]1'!E8-'[3]16'!F8</f>
        <v>-295291</v>
      </c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'[3]15'!F9</f>
        <v>2212093.7000000002</v>
      </c>
      <c r="F9" s="618">
        <v>2214868.9</v>
      </c>
      <c r="G9" s="839">
        <f t="shared" ref="G9:G12" si="0">F9-E9</f>
        <v>2775.1999999997206</v>
      </c>
      <c r="H9" s="816">
        <f>G9+'[3]15'!H9</f>
        <v>197863.59999999986</v>
      </c>
      <c r="I9" s="827">
        <f>I7-J7</f>
        <v>-6384.875</v>
      </c>
      <c r="J9" s="818">
        <f>H9/DAY(B2)</f>
        <v>12366.474999999991</v>
      </c>
      <c r="K9" s="527">
        <f>'[3]1'!E9-'[3]16'!F9</f>
        <v>-197863.59999999986</v>
      </c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'[3]15'!F10</f>
        <v>70100.447</v>
      </c>
      <c r="F10" s="618">
        <v>85827.755999999994</v>
      </c>
      <c r="G10" s="826">
        <f t="shared" si="0"/>
        <v>15727.308999999994</v>
      </c>
      <c r="H10" s="816">
        <f>G10+'[3]15'!H10</f>
        <v>85827.966000000015</v>
      </c>
      <c r="I10" s="828"/>
      <c r="J10" s="818">
        <f>H10/DAY(B2)</f>
        <v>5364.2478750000009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'[3]15'!F11</f>
        <v>35390</v>
      </c>
      <c r="F11" s="595">
        <v>35390</v>
      </c>
      <c r="G11" s="826">
        <f t="shared" si="0"/>
        <v>0</v>
      </c>
      <c r="H11" s="816">
        <f>G11+'[3]15'!H11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'[3]15'!F12</f>
        <v>37630</v>
      </c>
      <c r="F12" s="618">
        <v>37630</v>
      </c>
      <c r="G12" s="826">
        <f t="shared" si="0"/>
        <v>0</v>
      </c>
      <c r="H12" s="816">
        <f>G12+'[3]15'!H12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18502.508999999714</v>
      </c>
      <c r="H13" s="816">
        <f>G13+'[3]15'!H13</f>
        <v>248035.56599999988</v>
      </c>
      <c r="I13" s="832">
        <f>G7-G13</f>
        <v>719.49100000028557</v>
      </c>
      <c r="J13" s="818">
        <f>H13/DAY(B2)</f>
        <v>15502.222874999992</v>
      </c>
      <c r="K13" s="527"/>
      <c r="L13" s="421"/>
      <c r="N13" s="874"/>
      <c r="O13" s="881"/>
      <c r="P13" s="426"/>
    </row>
    <row r="14" spans="1:16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'[3]15'!F15</f>
        <v>1537948.6059999999</v>
      </c>
      <c r="F15" s="625">
        <v>1538363.2339999999</v>
      </c>
      <c r="G15" s="801">
        <f>(F15-E15)</f>
        <v>414.62800000002608</v>
      </c>
      <c r="H15" s="626">
        <f>G15+'[3]15'!H15</f>
        <v>8248.0400000000373</v>
      </c>
      <c r="I15" s="614">
        <f>'[3]1'!I15</f>
        <v>800</v>
      </c>
      <c r="J15" s="694">
        <f>H15/DAY(B2)</f>
        <v>515.50250000000233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 t="s">
        <v>285</v>
      </c>
      <c r="G16" s="806"/>
      <c r="H16" s="626"/>
      <c r="I16" s="622">
        <f>I15-J15</f>
        <v>284.49749999999767</v>
      </c>
      <c r="J16" s="694"/>
      <c r="K16" s="527"/>
      <c r="L16" s="421"/>
      <c r="N16" s="874"/>
      <c r="O16" s="881"/>
      <c r="P16" s="426"/>
    </row>
    <row r="17" spans="1:16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478" t="s">
        <v>154</v>
      </c>
      <c r="B18" s="1479"/>
      <c r="C18" s="1480"/>
      <c r="D18" s="779" t="s">
        <v>155</v>
      </c>
      <c r="E18" s="618">
        <f>'[3]15'!F18</f>
        <v>10</v>
      </c>
      <c r="F18" s="618">
        <v>6</v>
      </c>
      <c r="G18" s="831">
        <f>F18*10</f>
        <v>60</v>
      </c>
      <c r="H18" s="816">
        <f>G18+'[3]15'!H18</f>
        <v>1680</v>
      </c>
      <c r="I18" s="817">
        <f>'[3]1'!I18</f>
        <v>65</v>
      </c>
      <c r="J18" s="818">
        <f>H18/DAY(B2)</f>
        <v>105</v>
      </c>
      <c r="K18" s="527"/>
      <c r="L18" s="421"/>
      <c r="N18" s="874"/>
      <c r="O18" s="881"/>
      <c r="P18" s="426"/>
    </row>
    <row r="19" spans="1:16" ht="27.75">
      <c r="A19" s="1478" t="s">
        <v>71</v>
      </c>
      <c r="B19" s="1479"/>
      <c r="C19" s="1480"/>
      <c r="D19" s="779" t="s">
        <v>155</v>
      </c>
      <c r="E19" s="618">
        <f>'[3]15'!F19</f>
        <v>128965</v>
      </c>
      <c r="F19" s="618">
        <v>129017</v>
      </c>
      <c r="G19" s="826">
        <f t="shared" ref="G19" si="1">F19-E19</f>
        <v>52</v>
      </c>
      <c r="H19" s="816">
        <f>G19+'[3]15'!H19</f>
        <v>822</v>
      </c>
      <c r="I19" s="833"/>
      <c r="J19" s="818">
        <f>H19/DAY(B2)</f>
        <v>51.375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112</v>
      </c>
      <c r="H20" s="816">
        <f>G20+'[3]15'!H20</f>
        <v>2502</v>
      </c>
      <c r="I20" s="835">
        <f>I18-J20</f>
        <v>-91.375</v>
      </c>
      <c r="J20" s="818">
        <f>H20/DAY(B2)</f>
        <v>156.375</v>
      </c>
      <c r="K20" s="527"/>
      <c r="L20" s="421"/>
      <c r="N20" s="874"/>
      <c r="O20" s="881"/>
      <c r="P20" s="426"/>
    </row>
    <row r="21" spans="1:16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'[3]15'!F22</f>
        <v>2250</v>
      </c>
      <c r="F22" s="618">
        <v>2250</v>
      </c>
      <c r="G22" s="621">
        <f t="shared" ref="G22" si="2">(F22-E22)</f>
        <v>0</v>
      </c>
      <c r="H22" s="600">
        <f>G22+'[3]15'!H22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'[3]15'!F23</f>
        <v>1700</v>
      </c>
      <c r="F23" s="618">
        <v>1700</v>
      </c>
      <c r="G23" s="621">
        <v>0</v>
      </c>
      <c r="H23" s="600">
        <f>G23+'[3]15'!H23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'[3]15'!F24</f>
        <v>3310</v>
      </c>
      <c r="F24" s="1219">
        <v>3310</v>
      </c>
      <c r="G24" s="621">
        <v>0</v>
      </c>
      <c r="H24" s="600">
        <f>G24+'[3]15'!H24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19281</v>
      </c>
      <c r="F27" s="641">
        <v>9.5</v>
      </c>
      <c r="G27" s="642">
        <f>E27*F27</f>
        <v>183169.5</v>
      </c>
      <c r="H27" s="600">
        <f>G27+'[3]15'!H27</f>
        <v>2805264.5</v>
      </c>
      <c r="I27" s="643"/>
      <c r="J27" s="693">
        <f>H27/DAY(B2)</f>
        <v>175329.03125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414.62800000002608</v>
      </c>
      <c r="F28" s="641">
        <v>36.5</v>
      </c>
      <c r="G28" s="642">
        <f>E28*F28</f>
        <v>15133.922000000952</v>
      </c>
      <c r="H28" s="600">
        <f>G28+'[3]15'!H28</f>
        <v>301053.46000000136</v>
      </c>
      <c r="I28" s="645"/>
      <c r="J28" s="693">
        <f>H28/DAY(B2)</f>
        <v>18815.841250000085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G29+'[3]15'!H29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52</v>
      </c>
      <c r="F30" s="641">
        <v>145</v>
      </c>
      <c r="G30" s="642">
        <f>E30*F30</f>
        <v>7540</v>
      </c>
      <c r="H30" s="600">
        <f>G30+'[3]15'!H30</f>
        <v>119190</v>
      </c>
      <c r="I30" s="645"/>
      <c r="J30" s="693">
        <f>H30/DAY(B2)</f>
        <v>7449.375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60</v>
      </c>
      <c r="F31" s="641">
        <v>80</v>
      </c>
      <c r="G31" s="642">
        <f>E31*F31</f>
        <v>4800</v>
      </c>
      <c r="H31" s="600">
        <f>G31+'[3]15'!H31</f>
        <v>134400</v>
      </c>
      <c r="I31" s="645"/>
      <c r="J31" s="693"/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210643.42200000095</v>
      </c>
      <c r="H32" s="600">
        <f>G32+'[3]15'!H32</f>
        <v>3359907.9600000018</v>
      </c>
      <c r="I32" s="649"/>
      <c r="J32" s="693">
        <f>H32/DAY(B2)</f>
        <v>209994.24750000011</v>
      </c>
      <c r="K32" s="417"/>
      <c r="L32" s="547"/>
      <c r="N32" s="874"/>
      <c r="O32" s="881"/>
      <c r="P32" s="426"/>
    </row>
    <row r="33" spans="1:16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'[3]15'!F35</f>
        <v>629201</v>
      </c>
      <c r="F35" s="650">
        <v>629201</v>
      </c>
      <c r="G35" s="613">
        <f t="shared" ref="G35:G46" si="3">F35-E35</f>
        <v>0</v>
      </c>
      <c r="H35" s="600">
        <f>G35+'[3]15'!H35</f>
        <v>25857.530000000028</v>
      </c>
      <c r="I35" s="595"/>
      <c r="J35" s="693">
        <f>H35/DAY(B2)</f>
        <v>1616.0956250000017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'[3]15'!F36</f>
        <v>220050.15</v>
      </c>
      <c r="F36" s="650">
        <v>220581.03</v>
      </c>
      <c r="G36" s="613">
        <f t="shared" si="3"/>
        <v>530.88000000000466</v>
      </c>
      <c r="H36" s="600">
        <f>G36+'[3]15'!H36</f>
        <v>9221.0799999999872</v>
      </c>
      <c r="I36" s="595"/>
      <c r="J36" s="693">
        <f>H36/DAY(B2)</f>
        <v>576.3174999999992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'[3]15'!F37</f>
        <v>415066</v>
      </c>
      <c r="F37" s="650">
        <v>415066</v>
      </c>
      <c r="G37" s="613">
        <f t="shared" si="3"/>
        <v>0</v>
      </c>
      <c r="H37" s="600">
        <f>G37+'[3]15'!H37</f>
        <v>15221.809999999998</v>
      </c>
      <c r="I37" s="595"/>
      <c r="J37" s="693">
        <f>H37/DAY(B2)</f>
        <v>951.36312499999985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'[3]15'!F38</f>
        <v>150714</v>
      </c>
      <c r="F38" s="609">
        <v>150714</v>
      </c>
      <c r="G38" s="613">
        <f t="shared" si="3"/>
        <v>0</v>
      </c>
      <c r="H38" s="600">
        <f>G38+'[3]15'!H38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'[3]15'!F39</f>
        <v>912480</v>
      </c>
      <c r="F39" s="650">
        <v>912480</v>
      </c>
      <c r="G39" s="613">
        <f t="shared" si="3"/>
        <v>0</v>
      </c>
      <c r="H39" s="600">
        <f>G39+'[3]15'!H39</f>
        <v>40355.290000000037</v>
      </c>
      <c r="I39" s="595"/>
      <c r="J39" s="693">
        <f>H39/DAY(B2)</f>
        <v>2522.2056250000023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'[3]15'!F40</f>
        <v>0.17</v>
      </c>
      <c r="F40" s="650">
        <v>0.17</v>
      </c>
      <c r="G40" s="613">
        <f t="shared" si="3"/>
        <v>0</v>
      </c>
      <c r="H40" s="600">
        <f>G40+'[3]15'!H40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'[3]15'!F41</f>
        <v>300127.95</v>
      </c>
      <c r="F41" s="650">
        <v>300127.95</v>
      </c>
      <c r="G41" s="613">
        <f t="shared" si="3"/>
        <v>0</v>
      </c>
      <c r="H41" s="600">
        <f>G41+'[3]15'!H41</f>
        <v>-1.9999999960418791E-2</v>
      </c>
      <c r="I41" s="595"/>
      <c r="J41" s="693">
        <f>H41/DAY(B2)</f>
        <v>-1.2499999975261744E-3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'[3]15'!F42</f>
        <v>396197.47</v>
      </c>
      <c r="F42" s="650">
        <v>396197.47</v>
      </c>
      <c r="G42" s="613">
        <f>F42-E42</f>
        <v>0</v>
      </c>
      <c r="H42" s="600">
        <f>G42+'[3]15'!H42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'[3]15'!F43</f>
        <v>593792.59</v>
      </c>
      <c r="F43" s="650">
        <v>596157.18999999994</v>
      </c>
      <c r="G43" s="613">
        <f t="shared" si="3"/>
        <v>2364.5999999999767</v>
      </c>
      <c r="H43" s="600">
        <f>G43+'[3]15'!H43</f>
        <v>37833.119999999995</v>
      </c>
      <c r="I43" s="595"/>
      <c r="J43" s="693">
        <f>H43/DAY(B2)</f>
        <v>2364.5699999999997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'[3]15'!F44</f>
        <v>0</v>
      </c>
      <c r="F44" s="650">
        <v>0</v>
      </c>
      <c r="G44" s="613">
        <f t="shared" si="3"/>
        <v>0</v>
      </c>
      <c r="H44" s="600">
        <f>G44+'[3]15'!H44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'[3]15'!F45</f>
        <v>614</v>
      </c>
      <c r="F45" s="650">
        <v>614</v>
      </c>
      <c r="G45" s="613">
        <f t="shared" si="3"/>
        <v>0</v>
      </c>
      <c r="H45" s="600">
        <f>G45+'[3]15'!H45</f>
        <v>-0.48000000000001819</v>
      </c>
      <c r="I45" s="595"/>
      <c r="J45" s="693">
        <f>H45/DAY(B2)</f>
        <v>-3.0000000000001137E-2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'[3]15'!F46</f>
        <v>187.49</v>
      </c>
      <c r="F46" s="650">
        <v>187.49</v>
      </c>
      <c r="G46" s="613">
        <f t="shared" si="3"/>
        <v>0</v>
      </c>
      <c r="H46" s="600">
        <f>G46+'[3]15'!H46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2895.4799999999814</v>
      </c>
      <c r="H47" s="600">
        <f>G47+'[3]15'!H47</f>
        <v>128488.33000000009</v>
      </c>
      <c r="I47" s="595"/>
      <c r="J47" s="693">
        <f>H47/DAY(B2)</f>
        <v>8030.5206250000056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'[3]15'!F49</f>
        <v>23437.478999999999</v>
      </c>
      <c r="F49" s="650">
        <v>25991.866999999998</v>
      </c>
      <c r="G49" s="613">
        <f t="shared" ref="G49:G58" si="4">F49-E49</f>
        <v>2554.387999999999</v>
      </c>
      <c r="H49" s="600">
        <f>G49+'[3]15'!H49</f>
        <v>14262.578999999998</v>
      </c>
      <c r="I49" s="595"/>
      <c r="J49" s="693">
        <f>H49/DAY(B2)</f>
        <v>891.41118749999987</v>
      </c>
      <c r="K49" s="527">
        <f>E49+244</f>
        <v>23681.478999999999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'[3]15'!F50</f>
        <v>279012.55</v>
      </c>
      <c r="F50" s="650">
        <v>280066.27</v>
      </c>
      <c r="G50" s="613">
        <f t="shared" si="4"/>
        <v>1053.7200000000303</v>
      </c>
      <c r="H50" s="600">
        <f>G50+'[3]15'!H50</f>
        <v>14007.330000000016</v>
      </c>
      <c r="I50" s="595"/>
      <c r="J50" s="693">
        <f>H50/DAY(B2)</f>
        <v>875.45812500000102</v>
      </c>
      <c r="K50" s="527"/>
      <c r="L50" s="421"/>
      <c r="N50" s="874"/>
      <c r="O50" s="882"/>
      <c r="P50" s="426"/>
    </row>
    <row r="51" spans="1:16">
      <c r="A51" s="1700" t="s">
        <v>177</v>
      </c>
      <c r="B51" s="1701"/>
      <c r="C51" s="1701"/>
      <c r="D51" s="865" t="s">
        <v>143</v>
      </c>
      <c r="E51" s="1218">
        <f>'[3]15'!F51</f>
        <v>6675.1689999999999</v>
      </c>
      <c r="F51" s="1218">
        <v>7975.0519000000004</v>
      </c>
      <c r="G51" s="932">
        <f t="shared" si="4"/>
        <v>1299.8829000000005</v>
      </c>
      <c r="H51" s="600">
        <f>G51+'[3]15'!H51</f>
        <v>7975.0519000000004</v>
      </c>
      <c r="I51" s="595"/>
      <c r="J51" s="693">
        <f>H51/DAY(B2)</f>
        <v>498.44074375000002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'[3]15'!F52</f>
        <v>344684.19</v>
      </c>
      <c r="F52" s="650">
        <v>346377.51</v>
      </c>
      <c r="G52" s="613">
        <f t="shared" si="4"/>
        <v>1693.320000000007</v>
      </c>
      <c r="H52" s="600">
        <f>G52+'[3]15'!H52</f>
        <v>24088.090000000026</v>
      </c>
      <c r="I52" s="595"/>
      <c r="J52" s="693">
        <f>H52/DAY(B2)</f>
        <v>1505.5056250000016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'[3]15'!F53</f>
        <v>8101</v>
      </c>
      <c r="F53" s="650">
        <v>8101</v>
      </c>
      <c r="G53" s="613">
        <f t="shared" si="4"/>
        <v>0</v>
      </c>
      <c r="H53" s="600">
        <f>G53+'[3]15'!H53</f>
        <v>8101</v>
      </c>
      <c r="I53" s="595"/>
      <c r="J53" s="693">
        <f>H53/DAY(B2)</f>
        <v>506.3125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'[3]15'!F54</f>
        <v>2457.5500000000002</v>
      </c>
      <c r="F54" s="650">
        <v>2518.84</v>
      </c>
      <c r="G54" s="613">
        <f t="shared" si="4"/>
        <v>61.289999999999964</v>
      </c>
      <c r="H54" s="600">
        <f>G54+'[3]15'!H54</f>
        <v>966.27930000000015</v>
      </c>
      <c r="I54" s="595"/>
      <c r="J54" s="693">
        <f>H54/DAY(B2)</f>
        <v>60.392456250000009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'[3]15'!F55</f>
        <v>158492.73000000001</v>
      </c>
      <c r="F55" s="790">
        <v>158492.73000000001</v>
      </c>
      <c r="G55" s="789">
        <f t="shared" si="4"/>
        <v>0</v>
      </c>
      <c r="H55" s="861">
        <f>G55+'[3]15'!H55</f>
        <v>-0.26999999998952262</v>
      </c>
      <c r="I55" s="862"/>
      <c r="J55" s="863">
        <f>H55/DAY(B2)</f>
        <v>-1.6874999999345164E-2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'[3]15'!F56</f>
        <v>366810.53</v>
      </c>
      <c r="F56" s="790">
        <v>372129.67</v>
      </c>
      <c r="G56" s="613">
        <f t="shared" si="4"/>
        <v>5319.1399999999558</v>
      </c>
      <c r="H56" s="600">
        <f>G56+'[3]15'!H56</f>
        <v>60085.19</v>
      </c>
      <c r="I56" s="595"/>
      <c r="J56" s="693">
        <f>H56/DAY(B2)</f>
        <v>3755.3243750000001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'[3]15'!F57</f>
        <v>0</v>
      </c>
      <c r="F57" s="650">
        <v>0</v>
      </c>
      <c r="G57" s="613">
        <f t="shared" si="4"/>
        <v>0</v>
      </c>
      <c r="H57" s="600">
        <f>G57+'[3]15'!H57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'[3]15'!F58</f>
        <v>18703.345000000001</v>
      </c>
      <c r="F58" s="790">
        <v>18703.345000000001</v>
      </c>
      <c r="G58" s="613">
        <f t="shared" si="4"/>
        <v>0</v>
      </c>
      <c r="H58" s="600">
        <f>G58+'[3]15'!H58</f>
        <v>934.04899999999907</v>
      </c>
      <c r="I58" s="595"/>
      <c r="J58" s="693">
        <f>H58/DAY(B2)</f>
        <v>58.378062499999942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11981.740899999993</v>
      </c>
      <c r="H59" s="600">
        <f>G59+'[3]15'!H59</f>
        <v>130419.29920000004</v>
      </c>
      <c r="I59" s="595">
        <f>G7-G60</f>
        <v>4344.7791000000252</v>
      </c>
      <c r="J59" s="693">
        <f>H59/DAY(B2)</f>
        <v>8151.2062000000024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14877.220899999975</v>
      </c>
      <c r="H60" s="600">
        <f>G60+'[3]15'!H60</f>
        <v>273293.78990000015</v>
      </c>
      <c r="I60" s="595">
        <f>G13-G60</f>
        <v>3625.2880999997396</v>
      </c>
      <c r="J60" s="693">
        <f>H60/DAY(B2)</f>
        <v>17080.861868750009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'[3]15'!F62</f>
        <v>20419.18</v>
      </c>
      <c r="F62" s="654">
        <v>20419.18</v>
      </c>
      <c r="G62" s="613">
        <f t="shared" ref="G62:G69" si="5">F62-E62</f>
        <v>0</v>
      </c>
      <c r="H62" s="600">
        <f>G62+'[3]15'!H62</f>
        <v>-0.19799999999668216</v>
      </c>
      <c r="I62" s="655"/>
      <c r="J62" s="693">
        <f>H62/DAY(B2)</f>
        <v>-1.2374999999792635E-2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'[3]15'!F63</f>
        <v>593.899</v>
      </c>
      <c r="F63" s="654">
        <v>615.01</v>
      </c>
      <c r="G63" s="613">
        <f t="shared" si="5"/>
        <v>21.11099999999999</v>
      </c>
      <c r="H63" s="600">
        <f>G63+'[3]15'!H63</f>
        <v>316.55</v>
      </c>
      <c r="I63" s="655"/>
      <c r="J63" s="693">
        <f>H63/DAY(B2)</f>
        <v>19.784375000000001</v>
      </c>
      <c r="K63" s="527"/>
      <c r="L63" s="421"/>
      <c r="N63" s="874"/>
      <c r="O63" s="881"/>
      <c r="P63" s="426"/>
    </row>
    <row r="64" spans="1:16" ht="27.75">
      <c r="A64" s="1429" t="s">
        <v>107</v>
      </c>
      <c r="B64" s="1430"/>
      <c r="C64" s="1431"/>
      <c r="D64" s="663" t="s">
        <v>198</v>
      </c>
      <c r="E64" s="618">
        <f>'[3]15'!F64</f>
        <v>81346.023000000001</v>
      </c>
      <c r="F64" s="618">
        <v>81676.759000000005</v>
      </c>
      <c r="G64" s="613">
        <f t="shared" si="5"/>
        <v>330.73600000000442</v>
      </c>
      <c r="H64" s="600">
        <f>G64+'[3]15'!H64</f>
        <v>5613.6720000000059</v>
      </c>
      <c r="I64" s="620"/>
      <c r="J64" s="693">
        <f>H64/DAY(B2)</f>
        <v>350.85450000000037</v>
      </c>
      <c r="K64" s="527"/>
      <c r="L64" s="421"/>
      <c r="N64" s="874"/>
      <c r="O64" s="881"/>
      <c r="P64" s="426"/>
    </row>
    <row r="65" spans="1:16" ht="27.75">
      <c r="A65" s="1429" t="s">
        <v>108</v>
      </c>
      <c r="B65" s="1430"/>
      <c r="C65" s="1431"/>
      <c r="D65" s="663" t="s">
        <v>198</v>
      </c>
      <c r="E65" s="788">
        <f>'[3]15'!F65</f>
        <v>90914.471000000005</v>
      </c>
      <c r="F65" s="788">
        <v>91276.26</v>
      </c>
      <c r="G65" s="613">
        <f t="shared" si="5"/>
        <v>361.78899999998976</v>
      </c>
      <c r="H65" s="600">
        <f>G65+'[3]15'!H65</f>
        <v>6116.9969999999885</v>
      </c>
      <c r="I65" s="629"/>
      <c r="J65" s="693">
        <f>H65/DAY(B2)</f>
        <v>382.31231249999928</v>
      </c>
      <c r="K65" s="527"/>
      <c r="L65" s="421"/>
      <c r="N65" s="874"/>
      <c r="O65" s="882"/>
      <c r="P65" s="426"/>
    </row>
    <row r="66" spans="1:16" ht="27.75">
      <c r="A66" s="1429" t="s">
        <v>109</v>
      </c>
      <c r="B66" s="1430"/>
      <c r="C66" s="1431"/>
      <c r="D66" s="663" t="s">
        <v>198</v>
      </c>
      <c r="E66" s="618">
        <f>'[3]15'!F66</f>
        <v>84022.087</v>
      </c>
      <c r="F66" s="618">
        <v>84389.039000000004</v>
      </c>
      <c r="G66" s="613">
        <f t="shared" si="5"/>
        <v>366.95200000000477</v>
      </c>
      <c r="H66" s="600">
        <f>G66+'[3]15'!H66</f>
        <v>6201.0810000000056</v>
      </c>
      <c r="I66" s="620"/>
      <c r="J66" s="693">
        <f>H66/DAY(B2)</f>
        <v>387.56756250000035</v>
      </c>
      <c r="K66" s="527"/>
      <c r="L66" s="421"/>
      <c r="N66" s="874"/>
      <c r="O66" s="881"/>
      <c r="P66" s="426"/>
    </row>
    <row r="67" spans="1:16" ht="27.75">
      <c r="A67" s="1429" t="s">
        <v>110</v>
      </c>
      <c r="B67" s="1430"/>
      <c r="C67" s="1431"/>
      <c r="D67" s="663" t="s">
        <v>198</v>
      </c>
      <c r="E67" s="618">
        <f>'[3]15'!F67</f>
        <v>135651.29999999999</v>
      </c>
      <c r="F67" s="618">
        <v>136310.98000000001</v>
      </c>
      <c r="G67" s="613">
        <f t="shared" si="5"/>
        <v>659.68000000002212</v>
      </c>
      <c r="H67" s="600">
        <f>G67+'[3]15'!H67</f>
        <v>10254.48000000001</v>
      </c>
      <c r="I67" s="629"/>
      <c r="J67" s="693">
        <f>H67/DAY(B2)</f>
        <v>640.90500000000065</v>
      </c>
      <c r="K67" s="528"/>
      <c r="L67" s="421"/>
      <c r="N67" s="874"/>
      <c r="O67" s="881"/>
      <c r="P67" s="426"/>
    </row>
    <row r="68" spans="1:16" ht="27.75">
      <c r="A68" s="1429" t="s">
        <v>111</v>
      </c>
      <c r="B68" s="1430"/>
      <c r="C68" s="1431"/>
      <c r="D68" s="663" t="s">
        <v>198</v>
      </c>
      <c r="E68" s="618">
        <f>'[3]15'!F68</f>
        <v>38159.275000000001</v>
      </c>
      <c r="F68" s="618">
        <v>38456.510999999999</v>
      </c>
      <c r="G68" s="613">
        <f t="shared" si="5"/>
        <v>297.23599999999715</v>
      </c>
      <c r="H68" s="600">
        <f>G68+'[3]15'!H68</f>
        <v>5056.6419999999998</v>
      </c>
      <c r="I68" s="656"/>
      <c r="J68" s="693">
        <f>H68/DAY(B2)</f>
        <v>316.04012499999999</v>
      </c>
      <c r="K68" s="529"/>
      <c r="L68" s="421"/>
      <c r="N68" s="874"/>
      <c r="O68" s="881"/>
      <c r="P68" s="426"/>
    </row>
    <row r="69" spans="1:16" ht="27.75">
      <c r="A69" s="1429" t="s">
        <v>112</v>
      </c>
      <c r="B69" s="1430"/>
      <c r="C69" s="1431"/>
      <c r="D69" s="663" t="s">
        <v>198</v>
      </c>
      <c r="E69" s="618">
        <f>'[3]15'!F69</f>
        <v>33248.527000000002</v>
      </c>
      <c r="F69" s="618">
        <v>33525.870000000003</v>
      </c>
      <c r="G69" s="613">
        <f t="shared" si="5"/>
        <v>277.34300000000076</v>
      </c>
      <c r="H69" s="600">
        <f>G69+'[3]15'!H69</f>
        <v>4273.505000000001</v>
      </c>
      <c r="I69" s="656"/>
      <c r="J69" s="693">
        <f>H69/DAY(B2)</f>
        <v>267.09406250000006</v>
      </c>
      <c r="K69" s="530"/>
      <c r="L69" s="421"/>
      <c r="N69" s="874"/>
      <c r="O69" s="881"/>
      <c r="P69" s="426"/>
    </row>
    <row r="70" spans="1:16" ht="27.75">
      <c r="A70" s="1469" t="s">
        <v>200</v>
      </c>
      <c r="B70" s="1470"/>
      <c r="C70" s="1471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874"/>
      <c r="O71" s="881"/>
      <c r="P71" s="426"/>
    </row>
    <row r="72" spans="1:16" ht="27.75">
      <c r="A72" s="1429" t="s">
        <v>202</v>
      </c>
      <c r="B72" s="1430"/>
      <c r="C72" s="1431"/>
      <c r="D72" s="663" t="s">
        <v>198</v>
      </c>
      <c r="E72" s="791">
        <f>'[3]15'!F72</f>
        <v>844049</v>
      </c>
      <c r="F72" s="791">
        <v>844057</v>
      </c>
      <c r="G72" s="613">
        <f t="shared" ref="G72:G84" si="6">F72-E72</f>
        <v>8</v>
      </c>
      <c r="H72" s="600">
        <f>G72+'[3]15'!H72</f>
        <v>115</v>
      </c>
      <c r="I72" s="620"/>
      <c r="J72" s="693">
        <f>H72/DAY(B2)</f>
        <v>7.1875</v>
      </c>
      <c r="K72" s="530"/>
      <c r="L72" s="421"/>
      <c r="N72" s="874"/>
      <c r="O72" s="881"/>
      <c r="P72" s="426"/>
    </row>
    <row r="73" spans="1:16" s="1704" customFormat="1" ht="27.75">
      <c r="A73" s="1469" t="s">
        <v>203</v>
      </c>
      <c r="B73" s="1470"/>
      <c r="C73" s="1471"/>
      <c r="D73" s="664" t="s">
        <v>198</v>
      </c>
      <c r="E73" s="791">
        <f>'[3]15'!F73</f>
        <v>885254</v>
      </c>
      <c r="F73" s="791">
        <v>885264</v>
      </c>
      <c r="G73" s="613">
        <f t="shared" si="6"/>
        <v>10</v>
      </c>
      <c r="H73" s="626">
        <f>G73+'[3]15'!H73</f>
        <v>136</v>
      </c>
      <c r="I73" s="1702"/>
      <c r="J73" s="693">
        <f>H73/DAY(B2)</f>
        <v>8.5</v>
      </c>
      <c r="K73" s="529"/>
      <c r="L73" s="1703"/>
      <c r="N73" s="1705"/>
      <c r="O73" s="1706"/>
      <c r="P73" s="1707"/>
    </row>
    <row r="74" spans="1:16" ht="27.75">
      <c r="A74" s="1429" t="s">
        <v>204</v>
      </c>
      <c r="B74" s="1430"/>
      <c r="C74" s="1431"/>
      <c r="D74" s="663" t="s">
        <v>198</v>
      </c>
      <c r="E74" s="792">
        <f>'[3]15'!F74</f>
        <v>879881</v>
      </c>
      <c r="F74" s="792">
        <v>879916</v>
      </c>
      <c r="G74" s="613">
        <f t="shared" si="6"/>
        <v>35</v>
      </c>
      <c r="H74" s="600">
        <f>G74+'[3]15'!H74</f>
        <v>280</v>
      </c>
      <c r="I74" s="620"/>
      <c r="J74" s="693">
        <f>H74/DAY(B2)</f>
        <v>17.5</v>
      </c>
      <c r="K74" s="530"/>
      <c r="L74" s="421"/>
      <c r="N74" s="874"/>
      <c r="O74" s="881"/>
      <c r="P74" s="426"/>
    </row>
    <row r="75" spans="1:16" ht="27.75">
      <c r="A75" s="1408" t="s">
        <v>205</v>
      </c>
      <c r="B75" s="1409"/>
      <c r="C75" s="1410"/>
      <c r="D75" s="663" t="s">
        <v>198</v>
      </c>
      <c r="E75" s="792">
        <f>'[3]15'!F75</f>
        <v>723751</v>
      </c>
      <c r="F75" s="792">
        <v>723909</v>
      </c>
      <c r="G75" s="613">
        <f t="shared" si="6"/>
        <v>158</v>
      </c>
      <c r="H75" s="600">
        <f>G75+'[3]15'!H75</f>
        <v>2543</v>
      </c>
      <c r="I75" s="620"/>
      <c r="J75" s="693">
        <f>H75/DAY(B2)</f>
        <v>158.9375</v>
      </c>
      <c r="K75" s="529"/>
      <c r="L75" s="421"/>
      <c r="N75" s="874"/>
      <c r="O75" s="881"/>
      <c r="P75" s="426"/>
    </row>
    <row r="76" spans="1:16" ht="27.75">
      <c r="A76" s="1408" t="s">
        <v>206</v>
      </c>
      <c r="B76" s="1409"/>
      <c r="C76" s="1410"/>
      <c r="D76" s="663" t="s">
        <v>198</v>
      </c>
      <c r="E76" s="792">
        <f>'[3]15'!F76</f>
        <v>680650</v>
      </c>
      <c r="F76" s="792">
        <v>680713</v>
      </c>
      <c r="G76" s="613">
        <f t="shared" si="6"/>
        <v>63</v>
      </c>
      <c r="H76" s="600">
        <f>G76+'[3]15'!H76</f>
        <v>2243</v>
      </c>
      <c r="I76" s="645"/>
      <c r="J76" s="693">
        <f>H76/DAY(B2)</f>
        <v>140.1875</v>
      </c>
      <c r="K76" s="529"/>
      <c r="L76" s="421"/>
      <c r="N76" s="874"/>
      <c r="O76" s="881"/>
      <c r="P76" s="426"/>
    </row>
    <row r="77" spans="1:16" ht="27.75">
      <c r="A77" s="1429" t="s">
        <v>207</v>
      </c>
      <c r="B77" s="1430"/>
      <c r="C77" s="1431"/>
      <c r="D77" s="663" t="s">
        <v>198</v>
      </c>
      <c r="E77" s="792">
        <f>'[3]15'!F77</f>
        <v>692982</v>
      </c>
      <c r="F77" s="792">
        <v>693029</v>
      </c>
      <c r="G77" s="789">
        <f t="shared" si="6"/>
        <v>47</v>
      </c>
      <c r="H77" s="600">
        <f>G77+'[3]15'!H77</f>
        <v>722</v>
      </c>
      <c r="I77" s="645"/>
      <c r="J77" s="693">
        <f>H77/DAY(B2)</f>
        <v>45.125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'[3]15'!F78</f>
        <v>612753</v>
      </c>
      <c r="F78" s="793">
        <v>613100</v>
      </c>
      <c r="G78" s="613">
        <f t="shared" si="6"/>
        <v>347</v>
      </c>
      <c r="H78" s="600">
        <f>G78+'[3]15'!H78</f>
        <v>5086</v>
      </c>
      <c r="I78" s="645"/>
      <c r="J78" s="693">
        <f>H78/DAY(B2)</f>
        <v>317.875</v>
      </c>
      <c r="K78" s="529"/>
      <c r="L78" s="421"/>
      <c r="N78" s="874"/>
      <c r="O78" s="881"/>
      <c r="P78" s="426"/>
    </row>
    <row r="79" spans="1:16" ht="27.75">
      <c r="A79" s="1408" t="s">
        <v>97</v>
      </c>
      <c r="B79" s="1409"/>
      <c r="C79" s="1410"/>
      <c r="D79" s="664" t="s">
        <v>198</v>
      </c>
      <c r="E79" s="793">
        <f>'[3]15'!F79</f>
        <v>795230</v>
      </c>
      <c r="F79" s="793">
        <v>795415</v>
      </c>
      <c r="G79" s="613">
        <f t="shared" si="6"/>
        <v>185</v>
      </c>
      <c r="H79" s="600">
        <f>G79+'[3]15'!H79</f>
        <v>4600</v>
      </c>
      <c r="I79" s="645"/>
      <c r="J79" s="693">
        <f>H79/DAY(B2)</f>
        <v>287.5</v>
      </c>
      <c r="K79" s="529"/>
      <c r="L79" s="421"/>
      <c r="N79" s="874"/>
      <c r="O79" s="881"/>
      <c r="P79" s="426"/>
    </row>
    <row r="80" spans="1:16" ht="27.75">
      <c r="A80" s="1408" t="s">
        <v>209</v>
      </c>
      <c r="B80" s="1409"/>
      <c r="C80" s="1410"/>
      <c r="D80" s="664" t="s">
        <v>198</v>
      </c>
      <c r="E80" s="792">
        <f>'[3]15'!F80</f>
        <v>461061.32</v>
      </c>
      <c r="F80" s="792">
        <v>461347.32</v>
      </c>
      <c r="G80" s="613">
        <f t="shared" si="6"/>
        <v>286</v>
      </c>
      <c r="H80" s="600">
        <f>G80+'[3]15'!H80</f>
        <v>2910.4400000000023</v>
      </c>
      <c r="I80" s="645"/>
      <c r="J80" s="693">
        <f>H80/DAY(B2)</f>
        <v>181.90250000000015</v>
      </c>
      <c r="K80" s="529"/>
      <c r="L80" s="421"/>
      <c r="N80" s="874"/>
      <c r="O80" s="881"/>
      <c r="P80" s="426"/>
    </row>
    <row r="81" spans="1:16" ht="27.75">
      <c r="A81" s="1408" t="s">
        <v>210</v>
      </c>
      <c r="B81" s="1409"/>
      <c r="C81" s="1410"/>
      <c r="D81" s="664" t="s">
        <v>198</v>
      </c>
      <c r="E81" s="792">
        <f>'[3]15'!F81</f>
        <v>612599</v>
      </c>
      <c r="F81" s="792">
        <v>612688.12</v>
      </c>
      <c r="G81" s="613">
        <f t="shared" si="6"/>
        <v>89.119999999995343</v>
      </c>
      <c r="H81" s="600">
        <f>G81+'[3]15'!H81</f>
        <v>1565.8399999999674</v>
      </c>
      <c r="I81" s="645"/>
      <c r="J81" s="693">
        <f>H81/DAY(B2)</f>
        <v>97.864999999997963</v>
      </c>
      <c r="K81" s="529"/>
      <c r="L81" s="421"/>
      <c r="N81" s="874"/>
      <c r="O81" s="881"/>
      <c r="P81" s="426"/>
    </row>
    <row r="82" spans="1:16" ht="27.75">
      <c r="A82" s="1408" t="s">
        <v>100</v>
      </c>
      <c r="B82" s="1409"/>
      <c r="C82" s="1410"/>
      <c r="D82" s="625" t="s">
        <v>143</v>
      </c>
      <c r="E82" s="788">
        <f>'[3]15'!F82</f>
        <v>103281.32</v>
      </c>
      <c r="F82" s="788">
        <v>103286.56</v>
      </c>
      <c r="G82" s="613">
        <f t="shared" si="6"/>
        <v>5.2399999999906868</v>
      </c>
      <c r="H82" s="600">
        <f>G82+'[3]15'!H82</f>
        <v>256.61000000000058</v>
      </c>
      <c r="I82" s="626"/>
      <c r="J82" s="693">
        <f>H82/DAY(B2)</f>
        <v>16.038125000000036</v>
      </c>
      <c r="K82" s="529"/>
      <c r="L82" s="421"/>
      <c r="N82" s="874"/>
      <c r="O82" s="881"/>
      <c r="P82" s="426"/>
    </row>
    <row r="83" spans="1:16" ht="27.75">
      <c r="A83" s="1408" t="s">
        <v>211</v>
      </c>
      <c r="B83" s="1409"/>
      <c r="C83" s="1410"/>
      <c r="D83" s="761" t="s">
        <v>143</v>
      </c>
      <c r="E83" s="651">
        <f>'[3]15'!F83</f>
        <v>957494</v>
      </c>
      <c r="F83" s="651">
        <v>957818</v>
      </c>
      <c r="G83" s="613">
        <f t="shared" si="6"/>
        <v>324</v>
      </c>
      <c r="H83" s="600">
        <f>G83+'[3]15'!H83</f>
        <v>5575</v>
      </c>
      <c r="I83" s="621"/>
      <c r="J83" s="693">
        <f>H83/DAY(B2)</f>
        <v>348.4375</v>
      </c>
      <c r="K83" s="528"/>
      <c r="L83" s="421"/>
      <c r="N83" s="874"/>
      <c r="O83" s="881"/>
      <c r="P83" s="426"/>
    </row>
    <row r="84" spans="1:16" s="543" customFormat="1">
      <c r="A84" s="1708" t="s">
        <v>212</v>
      </c>
      <c r="B84" s="1709"/>
      <c r="C84" s="1709"/>
      <c r="D84" s="788" t="s">
        <v>143</v>
      </c>
      <c r="E84" s="768">
        <f>'[3]15'!F84</f>
        <v>374057</v>
      </c>
      <c r="F84" s="768">
        <v>374539</v>
      </c>
      <c r="G84" s="789">
        <f t="shared" si="6"/>
        <v>482</v>
      </c>
      <c r="H84" s="861">
        <f>G84+'[3]15'!H84</f>
        <v>8106</v>
      </c>
      <c r="I84" s="789"/>
      <c r="J84" s="693">
        <f>H84/DAY(B2)</f>
        <v>506.625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2039.359999999986</v>
      </c>
      <c r="H85" s="600">
        <f>G85+'[3]15'!H85</f>
        <v>30812.989999999991</v>
      </c>
      <c r="I85" s="621"/>
      <c r="J85" s="693">
        <f>H85/DAY(B2)</f>
        <v>1925.8118749999994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'[3]15'!F86</f>
        <v>438627</v>
      </c>
      <c r="F86" s="784">
        <v>438643.04</v>
      </c>
      <c r="G86" s="861">
        <f t="shared" ref="G86:G90" si="7">F86-E86</f>
        <v>16.039999999979045</v>
      </c>
      <c r="H86" s="861">
        <f t="shared" ref="H86:H88" si="8">G86</f>
        <v>16.039999999979045</v>
      </c>
      <c r="I86" s="789"/>
      <c r="J86" s="863">
        <f>H86/DAY(B2)</f>
        <v>1.0024999999986903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'[3]15'!F87</f>
        <v>76467.3</v>
      </c>
      <c r="F87" s="784">
        <v>76483.600000000006</v>
      </c>
      <c r="G87" s="861">
        <f t="shared" si="7"/>
        <v>16.30000000000291</v>
      </c>
      <c r="H87" s="861">
        <f t="shared" si="8"/>
        <v>16.30000000000291</v>
      </c>
      <c r="I87" s="789"/>
      <c r="J87" s="863">
        <f>H87/DAY(B2)</f>
        <v>1.0187500000001819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'[3]15'!F88</f>
        <v>141001.16</v>
      </c>
      <c r="F88" s="784">
        <v>141024.20000000001</v>
      </c>
      <c r="G88" s="861">
        <f t="shared" si="7"/>
        <v>23.040000000008149</v>
      </c>
      <c r="H88" s="861">
        <f t="shared" si="8"/>
        <v>23.040000000008149</v>
      </c>
      <c r="I88" s="789"/>
      <c r="J88" s="863">
        <f>H88/DAY(B2)</f>
        <v>1.4400000000005093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'[3]15'!F89</f>
        <v>54891.7</v>
      </c>
      <c r="F89" s="784">
        <v>54942.6</v>
      </c>
      <c r="G89" s="861">
        <f t="shared" si="7"/>
        <v>50.900000000001455</v>
      </c>
      <c r="H89" s="861">
        <f>G89</f>
        <v>50.900000000001455</v>
      </c>
      <c r="I89" s="789"/>
      <c r="J89" s="863">
        <f>H89/DAY(B2)</f>
        <v>3.1812500000000909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'[3]15'!F90</f>
        <v>2833.8</v>
      </c>
      <c r="F90" s="784">
        <v>2836.2</v>
      </c>
      <c r="G90" s="861">
        <f t="shared" si="7"/>
        <v>2.3999999999996362</v>
      </c>
      <c r="H90" s="861">
        <f>G90</f>
        <v>2.3999999999996362</v>
      </c>
      <c r="I90" s="789"/>
      <c r="J90" s="863">
        <f>H90/DAY(B2)</f>
        <v>0.14999999999997726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32" t="s">
        <v>217</v>
      </c>
      <c r="B92" s="1433"/>
      <c r="C92" s="1434"/>
      <c r="D92" s="663" t="s">
        <v>155</v>
      </c>
      <c r="E92" s="618">
        <f>'[3]15'!F92</f>
        <v>229880</v>
      </c>
      <c r="F92" s="618">
        <v>229927</v>
      </c>
      <c r="G92" s="613">
        <f t="shared" ref="G92:G93" si="9">F92-E92</f>
        <v>47</v>
      </c>
      <c r="H92" s="600">
        <f>G92+'[3]15'!H92</f>
        <v>1332</v>
      </c>
      <c r="I92" s="620"/>
      <c r="J92" s="693">
        <f>H92/DAY(B2)</f>
        <v>83.25</v>
      </c>
      <c r="K92" s="528"/>
      <c r="L92" s="421"/>
      <c r="N92" s="874"/>
      <c r="O92" s="881"/>
      <c r="P92" s="426"/>
    </row>
    <row r="93" spans="1:16" ht="27.75">
      <c r="A93" s="1432" t="s">
        <v>218</v>
      </c>
      <c r="B93" s="1433"/>
      <c r="C93" s="1434"/>
      <c r="D93" s="663" t="s">
        <v>155</v>
      </c>
      <c r="E93" s="618">
        <f>'[3]15'!F93</f>
        <v>160748</v>
      </c>
      <c r="F93" s="618">
        <v>160861</v>
      </c>
      <c r="G93" s="613">
        <f t="shared" si="9"/>
        <v>113</v>
      </c>
      <c r="H93" s="600">
        <f>G93+'[3]15'!H93</f>
        <v>2338</v>
      </c>
      <c r="I93" s="620"/>
      <c r="J93" s="693">
        <f>H93/DAY(B2)</f>
        <v>146.125</v>
      </c>
      <c r="K93" s="424"/>
      <c r="L93" s="421"/>
      <c r="N93" s="874"/>
      <c r="O93" s="881"/>
      <c r="P93" s="426"/>
    </row>
    <row r="94" spans="1:16">
      <c r="A94" s="1460" t="s">
        <v>219</v>
      </c>
      <c r="B94" s="1461"/>
      <c r="C94" s="1462"/>
      <c r="D94" s="663"/>
      <c r="E94" s="618">
        <f>'[3]15'!F94</f>
        <v>0</v>
      </c>
      <c r="F94" s="618">
        <v>0</v>
      </c>
      <c r="G94" s="613">
        <f>G92+G93</f>
        <v>160</v>
      </c>
      <c r="H94" s="600">
        <f>G94+'[3]15'!H94</f>
        <v>3380</v>
      </c>
      <c r="I94" s="620"/>
      <c r="J94" s="693">
        <f>H94/DAY(B2)</f>
        <v>211.25</v>
      </c>
      <c r="K94" s="424"/>
      <c r="L94" s="421"/>
      <c r="N94" s="874"/>
      <c r="O94" s="881"/>
      <c r="P94" s="426"/>
    </row>
    <row r="95" spans="1:16" ht="27.75">
      <c r="A95" s="1432" t="s">
        <v>220</v>
      </c>
      <c r="B95" s="1433"/>
      <c r="C95" s="1434"/>
      <c r="D95" s="663" t="s">
        <v>155</v>
      </c>
      <c r="E95" s="618">
        <f>'[3]15'!F95</f>
        <v>400682</v>
      </c>
      <c r="F95" s="618">
        <v>400728</v>
      </c>
      <c r="G95" s="613">
        <f t="shared" ref="G95:G100" si="10">F95-E95</f>
        <v>46</v>
      </c>
      <c r="H95" s="600">
        <f>G95+'[3]15'!H95</f>
        <v>881</v>
      </c>
      <c r="I95" s="620"/>
      <c r="J95" s="693">
        <f>H95/DAY(B2)</f>
        <v>55.0625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'[3]15'!F96</f>
        <v>98703</v>
      </c>
      <c r="F96" s="618">
        <v>98725</v>
      </c>
      <c r="G96" s="613">
        <f t="shared" si="10"/>
        <v>22</v>
      </c>
      <c r="H96" s="600">
        <f>G96+'[3]15'!H96</f>
        <v>716</v>
      </c>
      <c r="I96" s="620"/>
      <c r="J96" s="693">
        <f>H96/DAY(B2)</f>
        <v>44.75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'[3]15'!F97</f>
        <v>93878</v>
      </c>
      <c r="F97" s="618">
        <v>93890</v>
      </c>
      <c r="G97" s="613">
        <f t="shared" si="10"/>
        <v>12</v>
      </c>
      <c r="H97" s="600">
        <f>G97+'[3]15'!H97</f>
        <v>339</v>
      </c>
      <c r="I97" s="620"/>
      <c r="J97" s="693">
        <f>H97/DAY(B2)</f>
        <v>21.1875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'[3]15'!F98</f>
        <v>141530</v>
      </c>
      <c r="F98" s="618">
        <v>141554</v>
      </c>
      <c r="G98" s="613">
        <f t="shared" si="10"/>
        <v>24</v>
      </c>
      <c r="H98" s="600">
        <f>G98+'[3]15'!H98</f>
        <v>649</v>
      </c>
      <c r="I98" s="620"/>
      <c r="J98" s="693">
        <f>H98/DAY(B2)</f>
        <v>40.5625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'[3]15'!F99</f>
        <v>4838</v>
      </c>
      <c r="F99" s="618">
        <v>4842</v>
      </c>
      <c r="G99" s="613">
        <f t="shared" si="10"/>
        <v>4</v>
      </c>
      <c r="H99" s="600">
        <f>G99+'[3]15'!H99</f>
        <v>134</v>
      </c>
      <c r="I99" s="620"/>
      <c r="J99" s="693">
        <f>H99/DAY(B2)</f>
        <v>8.375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'[3]15'!F100</f>
        <v>3674</v>
      </c>
      <c r="F100" s="618">
        <v>3674</v>
      </c>
      <c r="G100" s="613">
        <f t="shared" si="10"/>
        <v>0</v>
      </c>
      <c r="H100" s="600">
        <f>G100+'[3]15'!H100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60" t="s">
        <v>227</v>
      </c>
      <c r="B101" s="1461"/>
      <c r="C101" s="1462"/>
      <c r="D101" s="664"/>
      <c r="E101" s="664"/>
      <c r="F101" s="664"/>
      <c r="G101" s="665">
        <f>SUM(G95:G100)</f>
        <v>108</v>
      </c>
      <c r="H101" s="600">
        <f>G101+'[3]15'!H101</f>
        <v>2719</v>
      </c>
      <c r="I101" s="666"/>
      <c r="J101" s="693">
        <f>H101/DAY(B2)</f>
        <v>169.9375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3" t="s">
        <v>229</v>
      </c>
      <c r="B103" s="1464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21" t="s">
        <v>230</v>
      </c>
      <c r="B104" s="1422"/>
      <c r="C104" s="1376"/>
      <c r="D104" s="763" t="s">
        <v>155</v>
      </c>
      <c r="E104" s="795">
        <f>'[3]15'!F104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3.75</v>
      </c>
      <c r="N104" s="874"/>
      <c r="O104" s="881"/>
      <c r="P104" s="426"/>
    </row>
    <row r="105" spans="1:16" s="544" customFormat="1" ht="27.75">
      <c r="A105" s="1421" t="s">
        <v>77</v>
      </c>
      <c r="B105" s="1422"/>
      <c r="C105" s="1376"/>
      <c r="D105" s="763" t="s">
        <v>155</v>
      </c>
      <c r="E105" s="796">
        <f>'[3]15'!F105</f>
        <v>34587</v>
      </c>
      <c r="F105" s="796">
        <v>34587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4.375</v>
      </c>
      <c r="N105" s="874"/>
      <c r="O105" s="881"/>
      <c r="P105" s="426"/>
    </row>
    <row r="106" spans="1:16" s="544" customFormat="1" ht="27.75">
      <c r="A106" s="1421" t="s">
        <v>78</v>
      </c>
      <c r="B106" s="1465"/>
      <c r="C106" s="1422"/>
      <c r="D106" s="763" t="s">
        <v>155</v>
      </c>
      <c r="E106" s="796">
        <f>'[3]15'!F106</f>
        <v>18681</v>
      </c>
      <c r="F106" s="796">
        <v>18681</v>
      </c>
      <c r="G106" s="672">
        <f t="shared" si="11"/>
        <v>0</v>
      </c>
      <c r="H106" s="673">
        <f>SUM(G106+'[3]1'!G78)</f>
        <v>329</v>
      </c>
      <c r="I106" s="672"/>
      <c r="J106" s="699">
        <f>H106/DAY(B2)</f>
        <v>20.5625</v>
      </c>
      <c r="N106" s="874"/>
      <c r="O106" s="881"/>
      <c r="P106" s="426"/>
    </row>
    <row r="107" spans="1:16" s="544" customFormat="1" ht="27.75">
      <c r="A107" s="1423" t="s">
        <v>213</v>
      </c>
      <c r="B107" s="1424"/>
      <c r="C107" s="1376"/>
      <c r="D107" s="763"/>
      <c r="E107" s="796">
        <f>'[3]15'!F107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10</v>
      </c>
      <c r="N107" s="874"/>
      <c r="O107" s="881"/>
      <c r="P107" s="426"/>
    </row>
    <row r="108" spans="1:16" s="544" customFormat="1" ht="27.75">
      <c r="A108" s="1427" t="s">
        <v>79</v>
      </c>
      <c r="B108" s="1428"/>
      <c r="C108" s="1376"/>
      <c r="D108" s="763" t="s">
        <v>155</v>
      </c>
      <c r="E108" s="796">
        <f>'[3]15'!F108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21" t="s">
        <v>231</v>
      </c>
      <c r="B109" s="1422"/>
      <c r="C109" s="1376"/>
      <c r="D109" s="763" t="s">
        <v>155</v>
      </c>
      <c r="E109" s="796">
        <f>'[3]15'!F109</f>
        <v>50575</v>
      </c>
      <c r="F109" s="796">
        <v>50615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7.625</v>
      </c>
      <c r="N109" s="874"/>
      <c r="O109" s="881"/>
      <c r="P109" s="426"/>
    </row>
    <row r="110" spans="1:16" s="544" customFormat="1" ht="27.75">
      <c r="A110" s="1421" t="s">
        <v>232</v>
      </c>
      <c r="B110" s="1422"/>
      <c r="C110" s="1376"/>
      <c r="D110" s="763" t="s">
        <v>155</v>
      </c>
      <c r="E110" s="796">
        <f>'[3]15'!F110</f>
        <v>24749</v>
      </c>
      <c r="F110" s="796">
        <v>24758</v>
      </c>
      <c r="G110" s="672">
        <f t="shared" ref="G110:G111" si="12">F110-E110</f>
        <v>9</v>
      </c>
      <c r="H110" s="673">
        <f>SUM(G110+'[3]1'!G82)</f>
        <v>34.740000000005239</v>
      </c>
      <c r="I110" s="672"/>
      <c r="J110" s="699">
        <f>H110/DAY(B2)</f>
        <v>2.1712500000003274</v>
      </c>
      <c r="N110" s="874"/>
      <c r="O110" s="881"/>
      <c r="P110" s="426"/>
    </row>
    <row r="111" spans="1:16" s="544" customFormat="1" ht="27.75">
      <c r="A111" s="1421" t="s">
        <v>233</v>
      </c>
      <c r="B111" s="1422"/>
      <c r="C111" s="1376"/>
      <c r="D111" s="763" t="s">
        <v>155</v>
      </c>
      <c r="E111" s="796">
        <f>'[3]15'!F111</f>
        <v>3268</v>
      </c>
      <c r="F111" s="796">
        <v>3279</v>
      </c>
      <c r="G111" s="672">
        <f t="shared" si="12"/>
        <v>11</v>
      </c>
      <c r="H111" s="673">
        <f>SUM(G111+'[3]1'!G83)</f>
        <v>457</v>
      </c>
      <c r="I111" s="672"/>
      <c r="J111" s="699">
        <f>H111/DAY(B2)</f>
        <v>28.5625</v>
      </c>
      <c r="N111" s="874"/>
      <c r="O111" s="881"/>
      <c r="P111" s="426"/>
    </row>
    <row r="112" spans="1:16" s="544" customFormat="1" ht="27.75">
      <c r="A112" s="1423" t="s">
        <v>121</v>
      </c>
      <c r="B112" s="1424"/>
      <c r="C112" s="1376"/>
      <c r="D112" s="763"/>
      <c r="E112" s="796">
        <f>'[3]15'!F112</f>
        <v>0</v>
      </c>
      <c r="F112" s="796"/>
      <c r="G112" s="672">
        <f>SUM(G109:G111)</f>
        <v>60</v>
      </c>
      <c r="H112" s="673">
        <f>SUM(G112+'[3]1'!G84)</f>
        <v>656</v>
      </c>
      <c r="I112" s="672"/>
      <c r="J112" s="699">
        <f>H112/DAY(B2)</f>
        <v>41</v>
      </c>
      <c r="N112" s="874"/>
      <c r="O112" s="881"/>
      <c r="P112" s="426"/>
    </row>
    <row r="113" spans="1:16" s="544" customFormat="1" ht="27.75">
      <c r="A113" s="1427" t="s">
        <v>234</v>
      </c>
      <c r="B113" s="1428"/>
      <c r="C113" s="1376"/>
      <c r="D113" s="763"/>
      <c r="E113" s="796">
        <f>'[3]15'!F113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21" t="s">
        <v>235</v>
      </c>
      <c r="B114" s="1422"/>
      <c r="C114" s="715"/>
      <c r="D114" s="763" t="s">
        <v>155</v>
      </c>
      <c r="E114" s="796">
        <f>'[3]15'!F114</f>
        <v>8437</v>
      </c>
      <c r="F114" s="796">
        <v>8443</v>
      </c>
      <c r="G114" s="674">
        <f>F114-E114</f>
        <v>6</v>
      </c>
      <c r="H114" s="673">
        <f>SUM(G114+'[3]1'!G91)</f>
        <v>6</v>
      </c>
      <c r="I114" s="672"/>
      <c r="J114" s="699">
        <f>H114/DAY(B2)</f>
        <v>0.375</v>
      </c>
      <c r="N114" s="874"/>
      <c r="O114" s="881"/>
      <c r="P114" s="426"/>
    </row>
    <row r="115" spans="1:16" s="544" customFormat="1" ht="27.75">
      <c r="A115" s="1421" t="s">
        <v>236</v>
      </c>
      <c r="B115" s="1422"/>
      <c r="C115" s="715"/>
      <c r="D115" s="763" t="s">
        <v>155</v>
      </c>
      <c r="E115" s="796">
        <f>'[3]15'!F115</f>
        <v>6662</v>
      </c>
      <c r="F115" s="796">
        <v>6668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6.9375</v>
      </c>
      <c r="N115" s="874"/>
      <c r="O115" s="881"/>
      <c r="P115" s="426"/>
    </row>
    <row r="116" spans="1:16" s="544" customFormat="1" ht="27.75">
      <c r="A116" s="1421" t="s">
        <v>237</v>
      </c>
      <c r="B116" s="1422"/>
      <c r="C116" s="715"/>
      <c r="D116" s="763" t="s">
        <v>155</v>
      </c>
      <c r="E116" s="796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11.5625</v>
      </c>
      <c r="N116" s="874"/>
      <c r="O116" s="881"/>
      <c r="P116" s="426"/>
    </row>
    <row r="117" spans="1:16" s="557" customFormat="1" ht="27.75">
      <c r="A117" s="1423" t="s">
        <v>213</v>
      </c>
      <c r="B117" s="1424"/>
      <c r="C117" s="715"/>
      <c r="D117" s="764"/>
      <c r="E117" s="796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3.75</v>
      </c>
      <c r="N117" s="874"/>
      <c r="O117" s="881"/>
      <c r="P117" s="426"/>
    </row>
    <row r="118" spans="1:16" s="558" customFormat="1" ht="27.75">
      <c r="A118" s="1417" t="s">
        <v>238</v>
      </c>
      <c r="B118" s="1418"/>
      <c r="C118" s="1379"/>
      <c r="D118" s="765" t="s">
        <v>155</v>
      </c>
      <c r="E118" s="797"/>
      <c r="F118" s="797">
        <f>SUM(G19+G92)</f>
        <v>99</v>
      </c>
      <c r="G118" s="676">
        <f>SUM(G19+G92)</f>
        <v>99</v>
      </c>
      <c r="H118" s="673">
        <f>SUM(G118+'[3]1'!G96)</f>
        <v>148</v>
      </c>
      <c r="I118" s="675"/>
      <c r="J118" s="700">
        <f>H118/DAY(B2)</f>
        <v>9.25</v>
      </c>
      <c r="N118" s="874"/>
      <c r="O118" s="881"/>
      <c r="P118" s="426"/>
    </row>
    <row r="119" spans="1:16" s="558" customFormat="1" ht="27.75">
      <c r="A119" s="1417" t="s">
        <v>239</v>
      </c>
      <c r="B119" s="1418"/>
      <c r="C119" s="1379"/>
      <c r="D119" s="765" t="s">
        <v>155</v>
      </c>
      <c r="E119" s="797"/>
      <c r="F119" s="797">
        <f>SUM(G95,G96,G97,G99,G100)</f>
        <v>84</v>
      </c>
      <c r="G119" s="676">
        <f>SUM(G95,G96,G97,G99,G100)</f>
        <v>84</v>
      </c>
      <c r="H119" s="673">
        <f>SUM(G119+'[3]1'!G98)</f>
        <v>116</v>
      </c>
      <c r="I119" s="675"/>
      <c r="J119" s="700">
        <f>H119/DAY(B2)</f>
        <v>7.25</v>
      </c>
      <c r="N119" s="874"/>
      <c r="O119" s="881"/>
      <c r="P119" s="426"/>
    </row>
    <row r="120" spans="1:16" s="558" customFormat="1" ht="27.75">
      <c r="A120" s="1417" t="s">
        <v>240</v>
      </c>
      <c r="B120" s="1418"/>
      <c r="C120" s="1379"/>
      <c r="D120" s="765" t="s">
        <v>155</v>
      </c>
      <c r="E120" s="796"/>
      <c r="F120" s="796">
        <f>SUM(G112)</f>
        <v>60</v>
      </c>
      <c r="G120" s="674">
        <f>SUM(G112)</f>
        <v>60</v>
      </c>
      <c r="H120" s="673">
        <f>SUM(G120+'[3]1'!G100)</f>
        <v>60</v>
      </c>
      <c r="I120" s="675"/>
      <c r="J120" s="700">
        <f>H120/DAY(B2)</f>
        <v>3.75</v>
      </c>
      <c r="N120" s="874"/>
      <c r="O120" s="881"/>
      <c r="P120" s="426"/>
    </row>
    <row r="121" spans="1:16" s="544" customFormat="1" ht="27.75">
      <c r="A121" s="1419"/>
      <c r="B121" s="1420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'[3]15'!F123</f>
        <v>785763.98100000003</v>
      </c>
      <c r="F123" s="618">
        <v>785994.35100000002</v>
      </c>
      <c r="G123" s="613">
        <f t="shared" ref="G123:G127" si="14">F123-E123</f>
        <v>230.36999999999534</v>
      </c>
      <c r="H123" s="600">
        <f>G123+'[3]15'!H123</f>
        <v>3069.4649999999674</v>
      </c>
      <c r="I123" s="666"/>
      <c r="J123" s="693">
        <f>H123/DAY(B2)</f>
        <v>191.84156249999796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'[3]15'!F124</f>
        <v>73581</v>
      </c>
      <c r="F124" s="767">
        <v>73581.899999999994</v>
      </c>
      <c r="G124" s="613">
        <f t="shared" si="14"/>
        <v>0.89999999999417923</v>
      </c>
      <c r="H124" s="600">
        <f>G124+'[3]15'!H124</f>
        <v>0.89999999999417923</v>
      </c>
      <c r="I124" s="666"/>
      <c r="J124" s="693">
        <f>H124/DAY(B2)</f>
        <v>5.6249999999636202E-2</v>
      </c>
      <c r="K124" s="424"/>
      <c r="L124" s="421"/>
      <c r="N124" s="874"/>
      <c r="O124" s="881"/>
      <c r="P124" s="426"/>
    </row>
    <row r="125" spans="1:16" ht="27.75">
      <c r="A125" s="1429" t="s">
        <v>244</v>
      </c>
      <c r="B125" s="1430"/>
      <c r="C125" s="1431"/>
      <c r="D125" s="663" t="s">
        <v>152</v>
      </c>
      <c r="E125" s="618">
        <f>'[3]15'!F125</f>
        <v>132030.96</v>
      </c>
      <c r="F125" s="618">
        <v>132110.25</v>
      </c>
      <c r="G125" s="613">
        <f t="shared" si="14"/>
        <v>79.290000000008149</v>
      </c>
      <c r="H125" s="600">
        <f>G125+'[3]15'!H125</f>
        <v>1004.0299999999988</v>
      </c>
      <c r="I125" s="666"/>
      <c r="J125" s="693">
        <f>H125/DAY(B2)</f>
        <v>62.751874999999927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'[3]15'!F126</f>
        <v>55945.4</v>
      </c>
      <c r="F126" s="767">
        <v>55967.199999999997</v>
      </c>
      <c r="G126" s="613">
        <f t="shared" si="14"/>
        <v>21.799999999995634</v>
      </c>
      <c r="H126" s="600">
        <f>G126+'[3]15'!H126</f>
        <v>381.39999999999418</v>
      </c>
      <c r="I126" s="666"/>
      <c r="J126" s="693">
        <f>H126/DAY(B2)</f>
        <v>23.837499999999636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'[3]15'!F127</f>
        <v>8640.1</v>
      </c>
      <c r="F127" s="767">
        <v>8640.1</v>
      </c>
      <c r="G127" s="613">
        <f t="shared" si="14"/>
        <v>0</v>
      </c>
      <c r="H127" s="600">
        <f>G127+'[3]15'!H127</f>
        <v>1.1000000000003638</v>
      </c>
      <c r="I127" s="620"/>
      <c r="J127" s="693">
        <f>H127/DAY(B2)</f>
        <v>6.8750000000022737E-2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82.268000000032771</v>
      </c>
      <c r="H128" s="600">
        <f>G128+'[3]15'!H128</f>
        <v>82.268000000032771</v>
      </c>
      <c r="I128" s="620"/>
      <c r="J128" s="693">
        <f>H128/DAY(B2)</f>
        <v>5.1417500000020482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'[3]15'!F130</f>
        <v>0</v>
      </c>
      <c r="F130" s="618">
        <v>0</v>
      </c>
      <c r="G130" s="613">
        <f t="shared" ref="G130:G140" si="15">F130-E130</f>
        <v>0</v>
      </c>
      <c r="H130" s="600">
        <f>G130+'[3]15'!H130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'[3]15'!F131</f>
        <v>0</v>
      </c>
      <c r="F131" s="618">
        <v>0</v>
      </c>
      <c r="G131" s="613">
        <f t="shared" si="15"/>
        <v>0</v>
      </c>
      <c r="H131" s="600">
        <f>G131+'[3]15'!H131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18">
        <f>'[3]15'!F132</f>
        <v>38853</v>
      </c>
      <c r="F132" s="788">
        <v>38853</v>
      </c>
      <c r="G132" s="613">
        <f t="shared" si="15"/>
        <v>0</v>
      </c>
      <c r="H132" s="600">
        <f>G132+'[3]15'!H132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618">
        <f>'[3]15'!F133</f>
        <v>34948</v>
      </c>
      <c r="F133" s="767">
        <v>34948</v>
      </c>
      <c r="G133" s="613">
        <f t="shared" si="15"/>
        <v>0</v>
      </c>
      <c r="H133" s="600">
        <f>G133+'[3]15'!H133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618">
        <f>'[3]15'!F134</f>
        <v>39735</v>
      </c>
      <c r="F134" s="767">
        <v>39735</v>
      </c>
      <c r="G134" s="613">
        <f t="shared" si="15"/>
        <v>0</v>
      </c>
      <c r="H134" s="600">
        <f>G134+'[3]15'!H134</f>
        <v>-1.2699999999967986</v>
      </c>
      <c r="I134" s="620"/>
      <c r="J134" s="693">
        <f>H134/DAY(B2)</f>
        <v>-7.9374999999799911E-2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18">
        <f>'[3]15'!F135</f>
        <v>31352</v>
      </c>
      <c r="F135" s="788">
        <v>31376</v>
      </c>
      <c r="G135" s="613">
        <f t="shared" si="15"/>
        <v>24</v>
      </c>
      <c r="H135" s="600">
        <f>G135+'[3]15'!H135</f>
        <v>382.97999999999956</v>
      </c>
      <c r="I135" s="620"/>
      <c r="J135" s="693">
        <f>H135/DAY(B2)</f>
        <v>23.936249999999973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18">
        <f>'[3]15'!F136</f>
        <v>21627.37</v>
      </c>
      <c r="F136" s="788">
        <v>21627.37</v>
      </c>
      <c r="G136" s="613">
        <f t="shared" si="15"/>
        <v>0</v>
      </c>
      <c r="H136" s="600">
        <f>G136+'[3]15'!H136</f>
        <v>29.340000000000146</v>
      </c>
      <c r="I136" s="620">
        <f>G134+G135+G136</f>
        <v>24</v>
      </c>
      <c r="J136" s="693">
        <f>H136/DAY(B2)</f>
        <v>1.8337500000000091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18">
        <f>'[3]15'!F137</f>
        <v>24915.63</v>
      </c>
      <c r="F137" s="788">
        <v>24915.63</v>
      </c>
      <c r="G137" s="613">
        <f t="shared" si="15"/>
        <v>0</v>
      </c>
      <c r="H137" s="600">
        <f>G137+'[3]15'!H137</f>
        <v>13.380000000001019</v>
      </c>
      <c r="I137" s="620"/>
      <c r="J137" s="693">
        <f>H137/DAY(B2)</f>
        <v>0.83625000000006366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18">
        <f>'[3]15'!F138</f>
        <v>69929.490000000005</v>
      </c>
      <c r="F138" s="788">
        <v>69929.399999999994</v>
      </c>
      <c r="G138" s="613">
        <f t="shared" si="15"/>
        <v>-9.0000000011059456E-2</v>
      </c>
      <c r="H138" s="600">
        <f>G138+'[3]15'!H138</f>
        <v>47.75</v>
      </c>
      <c r="I138" s="620">
        <f>G137+G138</f>
        <v>-9.0000000011059456E-2</v>
      </c>
      <c r="J138" s="693">
        <f>H138/DAY(B2)</f>
        <v>2.984375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618">
        <f>'[3]15'!F139</f>
        <v>855.18</v>
      </c>
      <c r="F139" s="767">
        <v>861.76</v>
      </c>
      <c r="G139" s="613">
        <f t="shared" si="15"/>
        <v>6.5800000000000409</v>
      </c>
      <c r="H139" s="600">
        <f>G139+'[3]15'!H139</f>
        <v>85.330000000000041</v>
      </c>
      <c r="I139" s="683"/>
      <c r="J139" s="693">
        <f>H139/DAY(B2)</f>
        <v>5.3331250000000026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'[3]15'!F140</f>
        <v>4156.9799999999996</v>
      </c>
      <c r="F140" s="618">
        <v>4156.9799999999996</v>
      </c>
      <c r="G140" s="613">
        <f t="shared" si="15"/>
        <v>0</v>
      </c>
      <c r="H140" s="600">
        <f>G140+'[3]15'!H140</f>
        <v>2.7099999999991269</v>
      </c>
      <c r="I140" s="683"/>
      <c r="J140" s="693">
        <f>H140/DAY(B2)</f>
        <v>0.16937499999994543</v>
      </c>
      <c r="N140" s="874"/>
      <c r="O140" s="881"/>
      <c r="P140" s="426"/>
    </row>
    <row r="141" spans="1:16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4918.9879999999757</v>
      </c>
      <c r="H142" s="600">
        <f>G142+'[3]15'!H142</f>
        <v>77953.679000000033</v>
      </c>
      <c r="I142" s="620"/>
      <c r="J142" s="693">
        <f>H142/DAY(B2)</f>
        <v>4872.1049375000021</v>
      </c>
      <c r="K142" s="424"/>
      <c r="L142" s="421"/>
      <c r="N142" s="874"/>
      <c r="O142" s="881"/>
      <c r="P142" s="426"/>
    </row>
    <row r="143" spans="1:16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0.25590406825512307</v>
      </c>
      <c r="H143" s="600">
        <f>G143+'[3]15'!H143</f>
        <v>3.7898845518120234</v>
      </c>
      <c r="I143" s="685"/>
      <c r="J143" s="693">
        <f>H143/DAY(B2)</f>
        <v>0.23686778448825146</v>
      </c>
      <c r="K143" s="424"/>
      <c r="L143" s="421"/>
      <c r="N143" s="874"/>
      <c r="O143" s="881"/>
      <c r="P143" s="426"/>
    </row>
    <row r="144" spans="1:16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5319.1399999999558</v>
      </c>
      <c r="H144" s="600">
        <f>G144+'[3]15'!H144</f>
        <v>68139.590000000055</v>
      </c>
      <c r="I144" s="620"/>
      <c r="J144" s="693">
        <f>H144/DAY(B2)</f>
        <v>4258.7243750000034</v>
      </c>
      <c r="K144" s="424"/>
      <c r="L144" s="421"/>
      <c r="N144" s="874"/>
      <c r="O144" s="881"/>
      <c r="P144" s="426"/>
    </row>
    <row r="145" spans="1:16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0.27672146498803224</v>
      </c>
      <c r="H145" s="600">
        <f>G145+'[3]15'!H145</f>
        <v>3.4824390387466164</v>
      </c>
      <c r="I145" s="685"/>
      <c r="J145" s="693">
        <f>H145/DAY(B2)</f>
        <v>0.21765243992166353</v>
      </c>
      <c r="K145" s="424"/>
      <c r="L145" s="421"/>
      <c r="N145" s="874"/>
      <c r="O145" s="881"/>
      <c r="P145" s="426"/>
    </row>
    <row r="146" spans="1:16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0</v>
      </c>
      <c r="H146" s="600">
        <f>G146+'[3]15'!H146</f>
        <v>48456.290000000037</v>
      </c>
      <c r="I146" s="686"/>
      <c r="J146" s="693">
        <f>H146/DAY(B2)</f>
        <v>3028.5181250000023</v>
      </c>
      <c r="K146" s="424"/>
      <c r="L146" s="421"/>
      <c r="N146" s="874"/>
      <c r="O146" s="881"/>
      <c r="P146" s="426"/>
    </row>
    <row r="147" spans="1:16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</v>
      </c>
      <c r="H147" s="600">
        <f>G147+'[3]15'!H147</f>
        <v>2.4219032357615093</v>
      </c>
      <c r="I147" s="686"/>
      <c r="J147" s="693">
        <f>H147/DAY(B2)</f>
        <v>0.15136895223509433</v>
      </c>
      <c r="N147" s="874"/>
      <c r="O147" s="881"/>
      <c r="P147" s="426"/>
    </row>
    <row r="148" spans="1:16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1693.320000000007</v>
      </c>
      <c r="H148" s="600">
        <f>G148+'[3]15'!H148</f>
        <v>27712.820000000007</v>
      </c>
      <c r="I148" s="620"/>
      <c r="J148" s="693">
        <f>H148/DAY(B2)</f>
        <v>1732.0512500000004</v>
      </c>
      <c r="K148" s="425"/>
      <c r="N148" s="874"/>
      <c r="O148" s="881"/>
      <c r="P148" s="426"/>
    </row>
    <row r="149" spans="1:16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8.8092810321506967E-2</v>
      </c>
      <c r="H149" s="600">
        <f>G149+'[3]15'!H149</f>
        <v>1.4107705586360937</v>
      </c>
      <c r="I149" s="686"/>
      <c r="J149" s="693">
        <f>H149/DAY(B2)</f>
        <v>8.8173159914755855E-2</v>
      </c>
      <c r="N149" s="874"/>
      <c r="O149" s="881"/>
      <c r="P149" s="426"/>
    </row>
    <row r="150" spans="1:16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1584.6000000000349</v>
      </c>
      <c r="H150" s="600">
        <f>G150+'[3]15'!H150</f>
        <v>25480.78</v>
      </c>
      <c r="I150" s="686"/>
      <c r="J150" s="693">
        <f>H150/DAY(B2)</f>
        <v>1592.5487499999999</v>
      </c>
      <c r="N150" s="874"/>
      <c r="O150" s="881"/>
      <c r="P150" s="426"/>
    </row>
    <row r="151" spans="1:16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8.2436791176778421E-2</v>
      </c>
      <c r="H151" s="600">
        <f>G151+'[3]15'!H151</f>
        <v>1.295099967587402</v>
      </c>
      <c r="I151" s="620"/>
      <c r="J151" s="693">
        <f>H151/DAY(B2)</f>
        <v>8.0943747974212624E-2</v>
      </c>
      <c r="N151" s="874"/>
      <c r="O151" s="881"/>
      <c r="P151" s="426"/>
    </row>
    <row r="152" spans="1:16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1299.8829000000005</v>
      </c>
      <c r="H152" s="600">
        <f>G152+'[3]15'!H152</f>
        <v>23196.8619</v>
      </c>
      <c r="I152" s="620"/>
      <c r="J152" s="693">
        <f>H152/DAY(B2)</f>
        <v>1449.80386875</v>
      </c>
      <c r="N152" s="874"/>
      <c r="O152" s="881"/>
      <c r="P152" s="426"/>
    </row>
    <row r="153" spans="1:16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6.7624747684944364E-2</v>
      </c>
      <c r="H153" s="600">
        <f>G153+'[3]15'!H153</f>
        <v>1.1860821855932375</v>
      </c>
      <c r="I153" s="709"/>
      <c r="J153" s="710">
        <f>H153/DAY(B2)</f>
        <v>7.4130136599577345E-2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'[3]15'!F160</f>
        <v>22748.170999999998</v>
      </c>
      <c r="F160" s="965">
        <v>22820.615000000002</v>
      </c>
      <c r="G160" s="613">
        <f t="shared" ref="G160:G171" si="16">F160-E160</f>
        <v>72.444000000003143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'[3]15'!F161</f>
        <v>15010.285</v>
      </c>
      <c r="F161" s="965">
        <v>15108.684999999999</v>
      </c>
      <c r="G161" s="613">
        <f t="shared" si="16"/>
        <v>98.399999999999636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'[3]15'!F162</f>
        <v>33790.370999999999</v>
      </c>
      <c r="F162" s="965">
        <v>34006.800000000003</v>
      </c>
      <c r="G162" s="613">
        <f t="shared" si="16"/>
        <v>216.42900000000373</v>
      </c>
      <c r="N162" s="874"/>
    </row>
    <row r="163" spans="1:15" s="934" customFormat="1" ht="21.75" customHeight="1">
      <c r="A163" s="1710" t="s">
        <v>277</v>
      </c>
      <c r="B163" s="1711"/>
      <c r="C163" s="1711"/>
      <c r="D163" s="1712" t="s">
        <v>198</v>
      </c>
      <c r="E163" s="795">
        <f>'[3]15'!F163</f>
        <v>3304.6405</v>
      </c>
      <c r="F163" s="945">
        <v>3323.33</v>
      </c>
      <c r="G163" s="932">
        <f t="shared" si="16"/>
        <v>18.689499999999953</v>
      </c>
      <c r="H163" s="1713"/>
      <c r="I163" s="1714"/>
      <c r="J163" s="680"/>
      <c r="N163" s="878"/>
      <c r="O163" s="1715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7">E63</f>
        <v>593.899</v>
      </c>
      <c r="F165" s="654">
        <f t="shared" si="17"/>
        <v>615.01</v>
      </c>
      <c r="G165" s="613">
        <f t="shared" si="16"/>
        <v>21.11099999999999</v>
      </c>
      <c r="N165" s="874"/>
    </row>
    <row r="166" spans="1:15" ht="21.75" customHeight="1">
      <c r="A166" s="1481" t="s">
        <v>107</v>
      </c>
      <c r="B166" s="1481"/>
      <c r="C166" s="1481"/>
      <c r="D166" s="664" t="s">
        <v>198</v>
      </c>
      <c r="E166" s="654">
        <f t="shared" si="17"/>
        <v>81346.023000000001</v>
      </c>
      <c r="F166" s="654">
        <f t="shared" si="17"/>
        <v>81676.759000000005</v>
      </c>
      <c r="G166" s="613">
        <f t="shared" si="16"/>
        <v>330.73600000000442</v>
      </c>
      <c r="N166" s="874"/>
    </row>
    <row r="167" spans="1:15" ht="21.75" customHeight="1">
      <c r="A167" s="1481" t="s">
        <v>108</v>
      </c>
      <c r="B167" s="1481"/>
      <c r="C167" s="1481"/>
      <c r="D167" s="664" t="s">
        <v>198</v>
      </c>
      <c r="E167" s="654">
        <f t="shared" si="17"/>
        <v>90914.471000000005</v>
      </c>
      <c r="F167" s="654">
        <f t="shared" si="17"/>
        <v>91276.26</v>
      </c>
      <c r="G167" s="613">
        <f t="shared" si="16"/>
        <v>361.78899999998976</v>
      </c>
      <c r="N167" s="874"/>
    </row>
    <row r="168" spans="1:15" ht="21.75" customHeight="1">
      <c r="A168" s="1481" t="s">
        <v>109</v>
      </c>
      <c r="B168" s="1481"/>
      <c r="C168" s="1481"/>
      <c r="D168" s="664" t="s">
        <v>198</v>
      </c>
      <c r="E168" s="654">
        <f t="shared" si="17"/>
        <v>84022.087</v>
      </c>
      <c r="F168" s="654">
        <f t="shared" si="17"/>
        <v>84389.039000000004</v>
      </c>
      <c r="G168" s="613">
        <f t="shared" si="16"/>
        <v>366.95200000000477</v>
      </c>
      <c r="N168" s="874"/>
    </row>
    <row r="169" spans="1:15" ht="23.25" customHeight="1">
      <c r="A169" s="1481" t="s">
        <v>110</v>
      </c>
      <c r="B169" s="1481"/>
      <c r="C169" s="1481"/>
      <c r="D169" s="664" t="s">
        <v>198</v>
      </c>
      <c r="E169" s="654">
        <f t="shared" si="17"/>
        <v>135651.29999999999</v>
      </c>
      <c r="F169" s="654">
        <f t="shared" si="17"/>
        <v>136310.98000000001</v>
      </c>
      <c r="G169" s="613">
        <f t="shared" si="16"/>
        <v>659.68000000002212</v>
      </c>
      <c r="N169" s="874"/>
    </row>
    <row r="170" spans="1:15" ht="24" customHeight="1">
      <c r="A170" s="1481" t="s">
        <v>111</v>
      </c>
      <c r="B170" s="1481"/>
      <c r="C170" s="1481"/>
      <c r="D170" s="664" t="s">
        <v>198</v>
      </c>
      <c r="E170" s="654">
        <f t="shared" si="17"/>
        <v>38159.275000000001</v>
      </c>
      <c r="F170" s="654">
        <f t="shared" si="17"/>
        <v>38456.510999999999</v>
      </c>
      <c r="G170" s="613">
        <f t="shared" si="16"/>
        <v>297.23599999999715</v>
      </c>
      <c r="N170" s="874"/>
    </row>
    <row r="171" spans="1:15" ht="27.75">
      <c r="A171" s="1481" t="s">
        <v>112</v>
      </c>
      <c r="B171" s="1481"/>
      <c r="C171" s="1481"/>
      <c r="D171" s="664" t="s">
        <v>198</v>
      </c>
      <c r="E171" s="654">
        <f t="shared" si="17"/>
        <v>33248.527000000002</v>
      </c>
      <c r="F171" s="654">
        <f t="shared" si="17"/>
        <v>33525.870000000003</v>
      </c>
      <c r="G171" s="613">
        <f t="shared" si="16"/>
        <v>277.34300000000076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2720.8095000000253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7" customHeight="1">
      <c r="N177" s="874"/>
    </row>
    <row r="178" spans="14:14" ht="27" customHeight="1">
      <c r="N178" s="874"/>
    </row>
    <row r="179" spans="14:14" ht="27" customHeight="1">
      <c r="N179" s="874"/>
    </row>
    <row r="180" spans="14:14" ht="27" customHeight="1">
      <c r="N180" s="874"/>
    </row>
    <row r="181" spans="14:14" ht="27" customHeight="1">
      <c r="N181" s="874"/>
    </row>
    <row r="182" spans="14:14" ht="27" customHeight="1">
      <c r="N182" s="874"/>
    </row>
    <row r="183" spans="14:14" ht="27" customHeight="1">
      <c r="N183" s="874"/>
    </row>
    <row r="184" spans="14:14" ht="27" customHeight="1">
      <c r="N184" s="874"/>
    </row>
    <row r="185" spans="14:14" ht="27" customHeight="1">
      <c r="N185" s="874"/>
    </row>
    <row r="186" spans="14:14" ht="27" customHeight="1">
      <c r="N186" s="874"/>
    </row>
    <row r="187" spans="14:14" ht="27" customHeight="1">
      <c r="N187" s="874"/>
    </row>
    <row r="188" spans="14:14" ht="27" customHeight="1">
      <c r="N188" s="874"/>
    </row>
    <row r="189" spans="14:14" ht="27" customHeight="1">
      <c r="N189" s="874"/>
    </row>
    <row r="190" spans="14:14" ht="27" customHeight="1">
      <c r="N190" s="874"/>
    </row>
    <row r="191" spans="14:14" ht="27" customHeight="1">
      <c r="N191" s="874"/>
    </row>
    <row r="192" spans="14:14" ht="27" customHeight="1">
      <c r="N192" s="874"/>
    </row>
    <row r="193" spans="14:14" ht="27" customHeight="1">
      <c r="N193" s="874"/>
    </row>
    <row r="194" spans="14:14" ht="27" customHeight="1">
      <c r="N194" s="874"/>
    </row>
    <row r="195" spans="14:14" ht="27" customHeight="1">
      <c r="N195" s="874"/>
    </row>
    <row r="196" spans="14:14" ht="27" customHeight="1">
      <c r="N196" s="874"/>
    </row>
    <row r="197" spans="14:14" ht="27" customHeight="1">
      <c r="N197" s="874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90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6" s="292" customFormat="1" ht="27">
      <c r="A2" s="716" t="s">
        <v>293</v>
      </c>
      <c r="B2" s="1195">
        <v>44151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29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'[3]15'!F7</f>
        <v>2379961</v>
      </c>
      <c r="F7" s="595">
        <v>2399183</v>
      </c>
      <c r="G7" s="815">
        <f>F7-E7</f>
        <v>19222</v>
      </c>
      <c r="H7" s="816">
        <f>G7+'[3]15'!H7</f>
        <v>294158</v>
      </c>
      <c r="I7" s="817">
        <f>'[3]1'!I7</f>
        <v>12000</v>
      </c>
      <c r="J7" s="818">
        <f>H7/DAY(B2)</f>
        <v>18384.875</v>
      </c>
      <c r="K7" s="690">
        <f>'[3]1'!E7-'[3]16'!F7</f>
        <v>-294158</v>
      </c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'[3]15'!F8</f>
        <v>2391451</v>
      </c>
      <c r="F8" s="615">
        <v>2410732</v>
      </c>
      <c r="G8" s="826">
        <f>F8-E8</f>
        <v>19281</v>
      </c>
      <c r="H8" s="816">
        <f>G8+'[3]15'!H8</f>
        <v>295291</v>
      </c>
      <c r="I8" s="823">
        <f>'[3]1'!I8</f>
        <v>12000</v>
      </c>
      <c r="J8" s="818">
        <f>H8/DAY(B2)</f>
        <v>18455.6875</v>
      </c>
      <c r="K8" s="690">
        <f>'[3]1'!E8-'[3]16'!F8</f>
        <v>-295291</v>
      </c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'[3]15'!F9</f>
        <v>2212093.7000000002</v>
      </c>
      <c r="F9" s="618">
        <v>2214868.9</v>
      </c>
      <c r="G9" s="839">
        <f t="shared" ref="G9:G12" si="0">F9-E9</f>
        <v>2775.1999999997206</v>
      </c>
      <c r="H9" s="816">
        <f>G9+'[3]15'!H9</f>
        <v>197863.59999999986</v>
      </c>
      <c r="I9" s="827">
        <f>I7-J7</f>
        <v>-6384.875</v>
      </c>
      <c r="J9" s="818">
        <f>H9/DAY(B2)</f>
        <v>12366.474999999991</v>
      </c>
      <c r="K9" s="527">
        <f>'[3]1'!E9-'[3]16'!F9</f>
        <v>-197863.59999999986</v>
      </c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'[3]15'!F10</f>
        <v>70100.447</v>
      </c>
      <c r="F10" s="618">
        <v>85827.755999999994</v>
      </c>
      <c r="G10" s="826">
        <f t="shared" si="0"/>
        <v>15727.308999999994</v>
      </c>
      <c r="H10" s="816">
        <f>G10+'[3]15'!H10</f>
        <v>85827.966000000015</v>
      </c>
      <c r="I10" s="828"/>
      <c r="J10" s="818">
        <f>H10/DAY(B2)</f>
        <v>5364.2478750000009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'[3]15'!F11</f>
        <v>35390</v>
      </c>
      <c r="F11" s="595">
        <v>35390</v>
      </c>
      <c r="G11" s="826">
        <f t="shared" si="0"/>
        <v>0</v>
      </c>
      <c r="H11" s="816">
        <f>G11+'[3]15'!H11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'[3]15'!F12</f>
        <v>37630</v>
      </c>
      <c r="F12" s="618">
        <v>37630</v>
      </c>
      <c r="G12" s="826">
        <f t="shared" si="0"/>
        <v>0</v>
      </c>
      <c r="H12" s="816">
        <f>G12+'[3]15'!H12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18502.508999999714</v>
      </c>
      <c r="H13" s="816">
        <f>G13+'[3]15'!H13</f>
        <v>248035.56599999988</v>
      </c>
      <c r="I13" s="832">
        <f>G7-G13</f>
        <v>719.49100000028557</v>
      </c>
      <c r="J13" s="818">
        <f>H13/DAY(B2)</f>
        <v>15502.222874999992</v>
      </c>
      <c r="K13" s="527"/>
      <c r="L13" s="421"/>
      <c r="N13" s="874"/>
      <c r="O13" s="881"/>
      <c r="P13" s="426"/>
    </row>
    <row r="14" spans="1:16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'[3]15'!F15</f>
        <v>1537948.6059999999</v>
      </c>
      <c r="F15" s="625">
        <v>1538363.2339999999</v>
      </c>
      <c r="G15" s="801">
        <f>(F15-E15)</f>
        <v>414.62800000002608</v>
      </c>
      <c r="H15" s="626">
        <f>G15+'[3]15'!H15</f>
        <v>8248.0400000000373</v>
      </c>
      <c r="I15" s="614">
        <f>'[3]1'!I15</f>
        <v>800</v>
      </c>
      <c r="J15" s="694">
        <f>H15/DAY(B2)</f>
        <v>515.50250000000233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 t="s">
        <v>285</v>
      </c>
      <c r="G16" s="806"/>
      <c r="H16" s="626"/>
      <c r="I16" s="622">
        <f>I15-J15</f>
        <v>284.49749999999767</v>
      </c>
      <c r="J16" s="694"/>
      <c r="K16" s="527"/>
      <c r="L16" s="421"/>
      <c r="N16" s="874"/>
      <c r="O16" s="881"/>
      <c r="P16" s="426"/>
    </row>
    <row r="17" spans="1:16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478" t="s">
        <v>154</v>
      </c>
      <c r="B18" s="1479"/>
      <c r="C18" s="1480"/>
      <c r="D18" s="779" t="s">
        <v>155</v>
      </c>
      <c r="E18" s="618">
        <f>'[3]15'!F18</f>
        <v>10</v>
      </c>
      <c r="F18" s="618">
        <v>6</v>
      </c>
      <c r="G18" s="831">
        <f>F18*10</f>
        <v>60</v>
      </c>
      <c r="H18" s="816">
        <f>G18+'[3]15'!H18</f>
        <v>1680</v>
      </c>
      <c r="I18" s="817">
        <f>'[3]1'!I18</f>
        <v>65</v>
      </c>
      <c r="J18" s="818">
        <f>H18/DAY(B2)</f>
        <v>105</v>
      </c>
      <c r="K18" s="527"/>
      <c r="L18" s="421"/>
      <c r="N18" s="874"/>
      <c r="O18" s="881"/>
      <c r="P18" s="426"/>
    </row>
    <row r="19" spans="1:16" ht="27.75">
      <c r="A19" s="1478" t="s">
        <v>71</v>
      </c>
      <c r="B19" s="1479"/>
      <c r="C19" s="1480"/>
      <c r="D19" s="779" t="s">
        <v>155</v>
      </c>
      <c r="E19" s="618">
        <f>'[3]15'!F19</f>
        <v>128965</v>
      </c>
      <c r="F19" s="618">
        <v>129017</v>
      </c>
      <c r="G19" s="826">
        <f t="shared" ref="G19" si="1">F19-E19</f>
        <v>52</v>
      </c>
      <c r="H19" s="816">
        <f>G19+'[3]15'!H19</f>
        <v>822</v>
      </c>
      <c r="I19" s="833"/>
      <c r="J19" s="818">
        <f>H19/DAY(B2)</f>
        <v>51.375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112</v>
      </c>
      <c r="H20" s="816">
        <f>G20+'[3]15'!H20</f>
        <v>2502</v>
      </c>
      <c r="I20" s="835">
        <f>I18-J20</f>
        <v>-91.375</v>
      </c>
      <c r="J20" s="818">
        <f>H20/DAY(B2)</f>
        <v>156.375</v>
      </c>
      <c r="K20" s="527"/>
      <c r="L20" s="421"/>
      <c r="N20" s="874"/>
      <c r="O20" s="881"/>
      <c r="P20" s="426"/>
    </row>
    <row r="21" spans="1:16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'[3]15'!F22</f>
        <v>2250</v>
      </c>
      <c r="F22" s="618">
        <v>2250</v>
      </c>
      <c r="G22" s="621">
        <f t="shared" ref="G22" si="2">(F22-E22)</f>
        <v>0</v>
      </c>
      <c r="H22" s="600">
        <f>G22+'[3]15'!H22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'[3]15'!F23</f>
        <v>1700</v>
      </c>
      <c r="F23" s="618">
        <v>1700</v>
      </c>
      <c r="G23" s="621">
        <v>0</v>
      </c>
      <c r="H23" s="600">
        <f>G23+'[3]15'!H23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'[3]15'!F24</f>
        <v>3310</v>
      </c>
      <c r="F24" s="1219">
        <v>3310</v>
      </c>
      <c r="G24" s="621">
        <v>0</v>
      </c>
      <c r="H24" s="600">
        <f>G24+'[3]15'!H24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19281</v>
      </c>
      <c r="F27" s="641">
        <v>9.5</v>
      </c>
      <c r="G27" s="642">
        <f>E27*F27</f>
        <v>183169.5</v>
      </c>
      <c r="H27" s="600">
        <f>G27+'[3]15'!H27</f>
        <v>2805264.5</v>
      </c>
      <c r="I27" s="643"/>
      <c r="J27" s="693">
        <f>H27/DAY(B2)</f>
        <v>175329.03125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414.62800000002608</v>
      </c>
      <c r="F28" s="641">
        <v>36.5</v>
      </c>
      <c r="G28" s="642">
        <f>E28*F28</f>
        <v>15133.922000000952</v>
      </c>
      <c r="H28" s="600">
        <f>G28+'[3]15'!H28</f>
        <v>301053.46000000136</v>
      </c>
      <c r="I28" s="645"/>
      <c r="J28" s="693">
        <f>H28/DAY(B2)</f>
        <v>18815.841250000085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G29+'[3]15'!H29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52</v>
      </c>
      <c r="F30" s="641">
        <v>145</v>
      </c>
      <c r="G30" s="642">
        <f>E30*F30</f>
        <v>7540</v>
      </c>
      <c r="H30" s="600">
        <f>G30+'[3]15'!H30</f>
        <v>119190</v>
      </c>
      <c r="I30" s="645"/>
      <c r="J30" s="693">
        <f>H30/DAY(B2)</f>
        <v>7449.375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60</v>
      </c>
      <c r="F31" s="641">
        <v>80</v>
      </c>
      <c r="G31" s="642">
        <f>E31*F31</f>
        <v>4800</v>
      </c>
      <c r="H31" s="600">
        <f>G31+'[3]15'!H31</f>
        <v>134400</v>
      </c>
      <c r="I31" s="645"/>
      <c r="J31" s="693"/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210643.42200000095</v>
      </c>
      <c r="H32" s="600">
        <f>G32+'[3]15'!H32</f>
        <v>3359907.9600000018</v>
      </c>
      <c r="I32" s="649"/>
      <c r="J32" s="693">
        <f>H32/DAY(B2)</f>
        <v>209994.24750000011</v>
      </c>
      <c r="K32" s="417"/>
      <c r="L32" s="547"/>
      <c r="N32" s="874"/>
      <c r="O32" s="881"/>
      <c r="P32" s="426"/>
    </row>
    <row r="33" spans="1:16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'[3]15'!F35</f>
        <v>629201</v>
      </c>
      <c r="F35" s="650">
        <v>629201</v>
      </c>
      <c r="G35" s="613">
        <f t="shared" ref="G35:G46" si="3">F35-E35</f>
        <v>0</v>
      </c>
      <c r="H35" s="600">
        <f>G35+'[3]15'!H35</f>
        <v>25857.530000000028</v>
      </c>
      <c r="I35" s="595"/>
      <c r="J35" s="693">
        <f>H35/DAY(B2)</f>
        <v>1616.0956250000017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'[3]15'!F36</f>
        <v>220050.15</v>
      </c>
      <c r="F36" s="650">
        <v>220581.03</v>
      </c>
      <c r="G36" s="613">
        <f t="shared" si="3"/>
        <v>530.88000000000466</v>
      </c>
      <c r="H36" s="600">
        <f>G36+'[3]15'!H36</f>
        <v>9221.0799999999872</v>
      </c>
      <c r="I36" s="595"/>
      <c r="J36" s="693">
        <f>H36/DAY(B2)</f>
        <v>576.3174999999992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'[3]15'!F37</f>
        <v>415066</v>
      </c>
      <c r="F37" s="650">
        <v>415066</v>
      </c>
      <c r="G37" s="613">
        <f t="shared" si="3"/>
        <v>0</v>
      </c>
      <c r="H37" s="600">
        <f>G37+'[3]15'!H37</f>
        <v>15221.809999999998</v>
      </c>
      <c r="I37" s="595"/>
      <c r="J37" s="693">
        <f>H37/DAY(B2)</f>
        <v>951.36312499999985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'[3]15'!F38</f>
        <v>150714</v>
      </c>
      <c r="F38" s="609">
        <v>150714</v>
      </c>
      <c r="G38" s="613">
        <f t="shared" si="3"/>
        <v>0</v>
      </c>
      <c r="H38" s="600">
        <f>G38+'[3]15'!H38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'[3]15'!F39</f>
        <v>912480</v>
      </c>
      <c r="F39" s="650">
        <v>912480</v>
      </c>
      <c r="G39" s="613">
        <f t="shared" si="3"/>
        <v>0</v>
      </c>
      <c r="H39" s="600">
        <f>G39+'[3]15'!H39</f>
        <v>40355.290000000037</v>
      </c>
      <c r="I39" s="595"/>
      <c r="J39" s="693">
        <f>H39/DAY(B2)</f>
        <v>2522.2056250000023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'[3]15'!F40</f>
        <v>0.17</v>
      </c>
      <c r="F40" s="650">
        <v>0.17</v>
      </c>
      <c r="G40" s="613">
        <f t="shared" si="3"/>
        <v>0</v>
      </c>
      <c r="H40" s="600">
        <f>G40+'[3]15'!H40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'[3]15'!F41</f>
        <v>300127.95</v>
      </c>
      <c r="F41" s="650">
        <v>300127.95</v>
      </c>
      <c r="G41" s="613">
        <f t="shared" si="3"/>
        <v>0</v>
      </c>
      <c r="H41" s="600">
        <f>G41+'[3]15'!H41</f>
        <v>-1.9999999960418791E-2</v>
      </c>
      <c r="I41" s="595"/>
      <c r="J41" s="693">
        <f>H41/DAY(B2)</f>
        <v>-1.2499999975261744E-3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'[3]15'!F42</f>
        <v>396197.47</v>
      </c>
      <c r="F42" s="650">
        <v>396197.47</v>
      </c>
      <c r="G42" s="613">
        <f>F42-E42</f>
        <v>0</v>
      </c>
      <c r="H42" s="600">
        <f>G42+'[3]15'!H42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'[3]15'!F43</f>
        <v>593792.59</v>
      </c>
      <c r="F43" s="650">
        <v>596157.18999999994</v>
      </c>
      <c r="G43" s="613">
        <f t="shared" si="3"/>
        <v>2364.5999999999767</v>
      </c>
      <c r="H43" s="600">
        <f>G43+'[3]15'!H43</f>
        <v>37833.119999999995</v>
      </c>
      <c r="I43" s="595"/>
      <c r="J43" s="693">
        <f>H43/DAY(B2)</f>
        <v>2364.5699999999997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'[3]15'!F44</f>
        <v>0</v>
      </c>
      <c r="F44" s="650">
        <v>0</v>
      </c>
      <c r="G44" s="613">
        <f t="shared" si="3"/>
        <v>0</v>
      </c>
      <c r="H44" s="600">
        <f>G44+'[3]15'!H44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'[3]15'!F45</f>
        <v>614</v>
      </c>
      <c r="F45" s="650">
        <v>614</v>
      </c>
      <c r="G45" s="613">
        <f t="shared" si="3"/>
        <v>0</v>
      </c>
      <c r="H45" s="600">
        <f>G45+'[3]15'!H45</f>
        <v>-0.48000000000001819</v>
      </c>
      <c r="I45" s="595"/>
      <c r="J45" s="693">
        <f>H45/DAY(B2)</f>
        <v>-3.0000000000001137E-2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'[3]15'!F46</f>
        <v>187.49</v>
      </c>
      <c r="F46" s="650">
        <v>187.49</v>
      </c>
      <c r="G46" s="613">
        <f t="shared" si="3"/>
        <v>0</v>
      </c>
      <c r="H46" s="600">
        <f>G46+'[3]15'!H46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2895.4799999999814</v>
      </c>
      <c r="H47" s="600">
        <f>G47+'[3]15'!H47</f>
        <v>128488.33000000009</v>
      </c>
      <c r="I47" s="595"/>
      <c r="J47" s="693">
        <f>H47/DAY(B2)</f>
        <v>8030.5206250000056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'[3]15'!F49</f>
        <v>23437.478999999999</v>
      </c>
      <c r="F49" s="650">
        <v>25991.866999999998</v>
      </c>
      <c r="G49" s="613">
        <f t="shared" ref="G49:G58" si="4">F49-E49</f>
        <v>2554.387999999999</v>
      </c>
      <c r="H49" s="600">
        <f>G49+'[3]15'!H49</f>
        <v>14262.578999999998</v>
      </c>
      <c r="I49" s="595"/>
      <c r="J49" s="693">
        <f>H49/DAY(B2)</f>
        <v>891.41118749999987</v>
      </c>
      <c r="K49" s="527">
        <f>E49+244</f>
        <v>23681.478999999999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'[3]15'!F50</f>
        <v>279012.55</v>
      </c>
      <c r="F50" s="650">
        <v>280066.27</v>
      </c>
      <c r="G50" s="613">
        <f t="shared" si="4"/>
        <v>1053.7200000000303</v>
      </c>
      <c r="H50" s="600">
        <f>G50+'[3]15'!H50</f>
        <v>14007.330000000016</v>
      </c>
      <c r="I50" s="595"/>
      <c r="J50" s="693">
        <f>H50/DAY(B2)</f>
        <v>875.45812500000102</v>
      </c>
      <c r="K50" s="527"/>
      <c r="L50" s="421"/>
      <c r="N50" s="874"/>
      <c r="O50" s="882"/>
      <c r="P50" s="426"/>
    </row>
    <row r="51" spans="1:16">
      <c r="A51" s="1700" t="s">
        <v>177</v>
      </c>
      <c r="B51" s="1701"/>
      <c r="C51" s="1701"/>
      <c r="D51" s="865" t="s">
        <v>143</v>
      </c>
      <c r="E51" s="1218">
        <f>'[3]15'!F51</f>
        <v>6675.1689999999999</v>
      </c>
      <c r="F51" s="1218">
        <v>7975.0519000000004</v>
      </c>
      <c r="G51" s="932">
        <f t="shared" si="4"/>
        <v>1299.8829000000005</v>
      </c>
      <c r="H51" s="600">
        <f>G51+'[3]15'!H51</f>
        <v>7975.0519000000004</v>
      </c>
      <c r="I51" s="595"/>
      <c r="J51" s="693">
        <f>H51/DAY(B2)</f>
        <v>498.44074375000002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'[3]15'!F52</f>
        <v>344684.19</v>
      </c>
      <c r="F52" s="650">
        <v>346377.51</v>
      </c>
      <c r="G52" s="613">
        <f t="shared" si="4"/>
        <v>1693.320000000007</v>
      </c>
      <c r="H52" s="600">
        <f>G52+'[3]15'!H52</f>
        <v>24088.090000000026</v>
      </c>
      <c r="I52" s="595"/>
      <c r="J52" s="693">
        <f>H52/DAY(B2)</f>
        <v>1505.5056250000016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'[3]15'!F53</f>
        <v>8101</v>
      </c>
      <c r="F53" s="650">
        <v>8101</v>
      </c>
      <c r="G53" s="613">
        <f t="shared" si="4"/>
        <v>0</v>
      </c>
      <c r="H53" s="600">
        <f>G53+'[3]15'!H53</f>
        <v>8101</v>
      </c>
      <c r="I53" s="595"/>
      <c r="J53" s="693">
        <f>H53/DAY(B2)</f>
        <v>506.3125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'[3]15'!F54</f>
        <v>2457.5500000000002</v>
      </c>
      <c r="F54" s="650">
        <v>2518.84</v>
      </c>
      <c r="G54" s="613">
        <f t="shared" si="4"/>
        <v>61.289999999999964</v>
      </c>
      <c r="H54" s="600">
        <f>G54+'[3]15'!H54</f>
        <v>966.27930000000015</v>
      </c>
      <c r="I54" s="595"/>
      <c r="J54" s="693">
        <f>H54/DAY(B2)</f>
        <v>60.392456250000009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'[3]15'!F55</f>
        <v>158492.73000000001</v>
      </c>
      <c r="F55" s="790">
        <v>158492.73000000001</v>
      </c>
      <c r="G55" s="789">
        <f t="shared" si="4"/>
        <v>0</v>
      </c>
      <c r="H55" s="861">
        <f>G55+'[3]15'!H55</f>
        <v>-0.26999999998952262</v>
      </c>
      <c r="I55" s="862"/>
      <c r="J55" s="863">
        <f>H55/DAY(B2)</f>
        <v>-1.6874999999345164E-2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'[3]15'!F56</f>
        <v>366810.53</v>
      </c>
      <c r="F56" s="790">
        <v>372129.67</v>
      </c>
      <c r="G56" s="613">
        <f t="shared" si="4"/>
        <v>5319.1399999999558</v>
      </c>
      <c r="H56" s="600">
        <f>G56+'[3]15'!H56</f>
        <v>60085.19</v>
      </c>
      <c r="I56" s="595"/>
      <c r="J56" s="693">
        <f>H56/DAY(B2)</f>
        <v>3755.3243750000001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'[3]15'!F57</f>
        <v>0</v>
      </c>
      <c r="F57" s="650">
        <v>0</v>
      </c>
      <c r="G57" s="613">
        <f t="shared" si="4"/>
        <v>0</v>
      </c>
      <c r="H57" s="600">
        <f>G57+'[3]15'!H57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'[3]15'!F58</f>
        <v>18703.345000000001</v>
      </c>
      <c r="F58" s="790">
        <v>18703.345000000001</v>
      </c>
      <c r="G58" s="613">
        <f t="shared" si="4"/>
        <v>0</v>
      </c>
      <c r="H58" s="600">
        <f>G58+'[3]15'!H58</f>
        <v>934.04899999999907</v>
      </c>
      <c r="I58" s="595"/>
      <c r="J58" s="693">
        <f>H58/DAY(B2)</f>
        <v>58.378062499999942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11981.740899999993</v>
      </c>
      <c r="H59" s="600">
        <f>G59+'[3]15'!H59</f>
        <v>130419.29920000004</v>
      </c>
      <c r="I59" s="595">
        <f>G7-G60</f>
        <v>4344.7791000000252</v>
      </c>
      <c r="J59" s="693">
        <f>H59/DAY(B2)</f>
        <v>8151.2062000000024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14877.220899999975</v>
      </c>
      <c r="H60" s="600">
        <f>G60+'[3]15'!H60</f>
        <v>273293.78990000015</v>
      </c>
      <c r="I60" s="595">
        <f>G13-G60</f>
        <v>3625.2880999997396</v>
      </c>
      <c r="J60" s="693">
        <f>H60/DAY(B2)</f>
        <v>17080.861868750009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'[3]15'!F62</f>
        <v>20419.18</v>
      </c>
      <c r="F62" s="654">
        <v>20419.18</v>
      </c>
      <c r="G62" s="613">
        <f t="shared" ref="G62:G69" si="5">F62-E62</f>
        <v>0</v>
      </c>
      <c r="H62" s="600">
        <f>G62+'[3]15'!H62</f>
        <v>-0.19799999999668216</v>
      </c>
      <c r="I62" s="655"/>
      <c r="J62" s="693">
        <f>H62/DAY(B2)</f>
        <v>-1.2374999999792635E-2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'[3]15'!F63</f>
        <v>593.899</v>
      </c>
      <c r="F63" s="654">
        <v>615.01</v>
      </c>
      <c r="G63" s="613">
        <f t="shared" si="5"/>
        <v>21.11099999999999</v>
      </c>
      <c r="H63" s="600">
        <f>G63+'[3]15'!H63</f>
        <v>316.55</v>
      </c>
      <c r="I63" s="655"/>
      <c r="J63" s="693">
        <f>H63/DAY(B2)</f>
        <v>19.784375000000001</v>
      </c>
      <c r="K63" s="527"/>
      <c r="L63" s="421"/>
      <c r="N63" s="874"/>
      <c r="O63" s="881"/>
      <c r="P63" s="426"/>
    </row>
    <row r="64" spans="1:16" ht="27.75">
      <c r="A64" s="1429" t="s">
        <v>107</v>
      </c>
      <c r="B64" s="1430"/>
      <c r="C64" s="1431"/>
      <c r="D64" s="663" t="s">
        <v>198</v>
      </c>
      <c r="E64" s="618">
        <f>'[3]15'!F64</f>
        <v>81346.023000000001</v>
      </c>
      <c r="F64" s="618">
        <v>81676.759000000005</v>
      </c>
      <c r="G64" s="613">
        <f t="shared" si="5"/>
        <v>330.73600000000442</v>
      </c>
      <c r="H64" s="600">
        <f>G64+'[3]15'!H64</f>
        <v>5613.6720000000059</v>
      </c>
      <c r="I64" s="620"/>
      <c r="J64" s="693">
        <f>H64/DAY(B2)</f>
        <v>350.85450000000037</v>
      </c>
      <c r="K64" s="527"/>
      <c r="L64" s="421"/>
      <c r="N64" s="874"/>
      <c r="O64" s="881"/>
      <c r="P64" s="426"/>
    </row>
    <row r="65" spans="1:16" ht="27.75">
      <c r="A65" s="1429" t="s">
        <v>108</v>
      </c>
      <c r="B65" s="1430"/>
      <c r="C65" s="1431"/>
      <c r="D65" s="663" t="s">
        <v>198</v>
      </c>
      <c r="E65" s="788">
        <f>'[3]15'!F65</f>
        <v>90914.471000000005</v>
      </c>
      <c r="F65" s="788">
        <v>91276.26</v>
      </c>
      <c r="G65" s="613">
        <f t="shared" si="5"/>
        <v>361.78899999998976</v>
      </c>
      <c r="H65" s="600">
        <f>G65+'[3]15'!H65</f>
        <v>6116.9969999999885</v>
      </c>
      <c r="I65" s="629"/>
      <c r="J65" s="693">
        <f>H65/DAY(B2)</f>
        <v>382.31231249999928</v>
      </c>
      <c r="K65" s="527"/>
      <c r="L65" s="421"/>
      <c r="N65" s="874"/>
      <c r="O65" s="882"/>
      <c r="P65" s="426"/>
    </row>
    <row r="66" spans="1:16" ht="27.75">
      <c r="A66" s="1429" t="s">
        <v>109</v>
      </c>
      <c r="B66" s="1430"/>
      <c r="C66" s="1431"/>
      <c r="D66" s="663" t="s">
        <v>198</v>
      </c>
      <c r="E66" s="618">
        <f>'[3]15'!F66</f>
        <v>84022.087</v>
      </c>
      <c r="F66" s="618">
        <v>84389.039000000004</v>
      </c>
      <c r="G66" s="613">
        <f t="shared" si="5"/>
        <v>366.95200000000477</v>
      </c>
      <c r="H66" s="600">
        <f>G66+'[3]15'!H66</f>
        <v>6201.0810000000056</v>
      </c>
      <c r="I66" s="620"/>
      <c r="J66" s="693">
        <f>H66/DAY(B2)</f>
        <v>387.56756250000035</v>
      </c>
      <c r="K66" s="527"/>
      <c r="L66" s="421"/>
      <c r="N66" s="874"/>
      <c r="O66" s="881"/>
      <c r="P66" s="426"/>
    </row>
    <row r="67" spans="1:16" ht="27.75">
      <c r="A67" s="1429" t="s">
        <v>110</v>
      </c>
      <c r="B67" s="1430"/>
      <c r="C67" s="1431"/>
      <c r="D67" s="663" t="s">
        <v>198</v>
      </c>
      <c r="E67" s="618">
        <f>'[3]15'!F67</f>
        <v>135651.29999999999</v>
      </c>
      <c r="F67" s="618">
        <v>136310.98000000001</v>
      </c>
      <c r="G67" s="613">
        <f t="shared" si="5"/>
        <v>659.68000000002212</v>
      </c>
      <c r="H67" s="600">
        <f>G67+'[3]15'!H67</f>
        <v>10254.48000000001</v>
      </c>
      <c r="I67" s="629"/>
      <c r="J67" s="693">
        <f>H67/DAY(B2)</f>
        <v>640.90500000000065</v>
      </c>
      <c r="K67" s="528"/>
      <c r="L67" s="421"/>
      <c r="N67" s="874"/>
      <c r="O67" s="881"/>
      <c r="P67" s="426"/>
    </row>
    <row r="68" spans="1:16" ht="27.75">
      <c r="A68" s="1429" t="s">
        <v>111</v>
      </c>
      <c r="B68" s="1430"/>
      <c r="C68" s="1431"/>
      <c r="D68" s="663" t="s">
        <v>198</v>
      </c>
      <c r="E68" s="618">
        <f>'[3]15'!F68</f>
        <v>38159.275000000001</v>
      </c>
      <c r="F68" s="618">
        <v>38456.510999999999</v>
      </c>
      <c r="G68" s="613">
        <f t="shared" si="5"/>
        <v>297.23599999999715</v>
      </c>
      <c r="H68" s="600">
        <f>G68+'[3]15'!H68</f>
        <v>5056.6419999999998</v>
      </c>
      <c r="I68" s="656"/>
      <c r="J68" s="693">
        <f>H68/DAY(B2)</f>
        <v>316.04012499999999</v>
      </c>
      <c r="K68" s="529"/>
      <c r="L68" s="421"/>
      <c r="N68" s="874"/>
      <c r="O68" s="881"/>
      <c r="P68" s="426"/>
    </row>
    <row r="69" spans="1:16" ht="27.75">
      <c r="A69" s="1429" t="s">
        <v>112</v>
      </c>
      <c r="B69" s="1430"/>
      <c r="C69" s="1431"/>
      <c r="D69" s="663" t="s">
        <v>198</v>
      </c>
      <c r="E69" s="618">
        <f>'[3]15'!F69</f>
        <v>33248.527000000002</v>
      </c>
      <c r="F69" s="618">
        <v>33525.870000000003</v>
      </c>
      <c r="G69" s="613">
        <f t="shared" si="5"/>
        <v>277.34300000000076</v>
      </c>
      <c r="H69" s="600">
        <f>G69+'[3]15'!H69</f>
        <v>4273.505000000001</v>
      </c>
      <c r="I69" s="656"/>
      <c r="J69" s="693">
        <f>H69/DAY(B2)</f>
        <v>267.09406250000006</v>
      </c>
      <c r="K69" s="530"/>
      <c r="L69" s="421"/>
      <c r="N69" s="874"/>
      <c r="O69" s="881"/>
      <c r="P69" s="426"/>
    </row>
    <row r="70" spans="1:16" ht="27.75">
      <c r="A70" s="1469" t="s">
        <v>200</v>
      </c>
      <c r="B70" s="1470"/>
      <c r="C70" s="1471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874"/>
      <c r="O71" s="881"/>
      <c r="P71" s="426"/>
    </row>
    <row r="72" spans="1:16" ht="27.75">
      <c r="A72" s="1429" t="s">
        <v>202</v>
      </c>
      <c r="B72" s="1430"/>
      <c r="C72" s="1431"/>
      <c r="D72" s="663" t="s">
        <v>198</v>
      </c>
      <c r="E72" s="791">
        <f>'[3]15'!F72</f>
        <v>844049</v>
      </c>
      <c r="F72" s="791">
        <v>844057</v>
      </c>
      <c r="G72" s="613">
        <f t="shared" ref="G72:G84" si="6">F72-E72</f>
        <v>8</v>
      </c>
      <c r="H72" s="600">
        <f>G72+'[3]15'!H72</f>
        <v>115</v>
      </c>
      <c r="I72" s="620"/>
      <c r="J72" s="693">
        <f>H72/DAY(B2)</f>
        <v>7.1875</v>
      </c>
      <c r="K72" s="530"/>
      <c r="L72" s="421"/>
      <c r="N72" s="874"/>
      <c r="O72" s="881"/>
      <c r="P72" s="426"/>
    </row>
    <row r="73" spans="1:16" s="1704" customFormat="1" ht="27.75">
      <c r="A73" s="1469" t="s">
        <v>203</v>
      </c>
      <c r="B73" s="1470"/>
      <c r="C73" s="1471"/>
      <c r="D73" s="664" t="s">
        <v>198</v>
      </c>
      <c r="E73" s="791">
        <f>'[3]15'!F73</f>
        <v>885254</v>
      </c>
      <c r="F73" s="791">
        <v>885264</v>
      </c>
      <c r="G73" s="613">
        <f t="shared" si="6"/>
        <v>10</v>
      </c>
      <c r="H73" s="626">
        <f>G73+'[3]15'!H73</f>
        <v>136</v>
      </c>
      <c r="I73" s="1702"/>
      <c r="J73" s="693">
        <f>H73/DAY(B2)</f>
        <v>8.5</v>
      </c>
      <c r="K73" s="529"/>
      <c r="L73" s="1703"/>
      <c r="N73" s="1705"/>
      <c r="O73" s="1706"/>
      <c r="P73" s="1707"/>
    </row>
    <row r="74" spans="1:16" ht="27.75">
      <c r="A74" s="1429" t="s">
        <v>204</v>
      </c>
      <c r="B74" s="1430"/>
      <c r="C74" s="1431"/>
      <c r="D74" s="663" t="s">
        <v>198</v>
      </c>
      <c r="E74" s="792">
        <f>'[3]15'!F74</f>
        <v>879881</v>
      </c>
      <c r="F74" s="792">
        <v>879916</v>
      </c>
      <c r="G74" s="613">
        <f t="shared" si="6"/>
        <v>35</v>
      </c>
      <c r="H74" s="600">
        <f>G74+'[3]15'!H74</f>
        <v>280</v>
      </c>
      <c r="I74" s="620"/>
      <c r="J74" s="693">
        <f>H74/DAY(B2)</f>
        <v>17.5</v>
      </c>
      <c r="K74" s="530"/>
      <c r="L74" s="421"/>
      <c r="N74" s="874"/>
      <c r="O74" s="881"/>
      <c r="P74" s="426"/>
    </row>
    <row r="75" spans="1:16" ht="27.75">
      <c r="A75" s="1408" t="s">
        <v>205</v>
      </c>
      <c r="B75" s="1409"/>
      <c r="C75" s="1410"/>
      <c r="D75" s="663" t="s">
        <v>198</v>
      </c>
      <c r="E75" s="792">
        <f>'[3]15'!F75</f>
        <v>723751</v>
      </c>
      <c r="F75" s="792">
        <v>723909</v>
      </c>
      <c r="G75" s="613">
        <f t="shared" si="6"/>
        <v>158</v>
      </c>
      <c r="H75" s="600">
        <f>G75+'[3]15'!H75</f>
        <v>2543</v>
      </c>
      <c r="I75" s="620"/>
      <c r="J75" s="693">
        <f>H75/DAY(B2)</f>
        <v>158.9375</v>
      </c>
      <c r="K75" s="529"/>
      <c r="L75" s="421"/>
      <c r="N75" s="874"/>
      <c r="O75" s="881"/>
      <c r="P75" s="426"/>
    </row>
    <row r="76" spans="1:16" ht="27.75">
      <c r="A76" s="1408" t="s">
        <v>206</v>
      </c>
      <c r="B76" s="1409"/>
      <c r="C76" s="1410"/>
      <c r="D76" s="663" t="s">
        <v>198</v>
      </c>
      <c r="E76" s="792">
        <f>'[3]15'!F76</f>
        <v>680650</v>
      </c>
      <c r="F76" s="792">
        <v>680713</v>
      </c>
      <c r="G76" s="613">
        <f t="shared" si="6"/>
        <v>63</v>
      </c>
      <c r="H76" s="600">
        <f>G76+'[3]15'!H76</f>
        <v>2243</v>
      </c>
      <c r="I76" s="645"/>
      <c r="J76" s="693">
        <f>H76/DAY(B2)</f>
        <v>140.1875</v>
      </c>
      <c r="K76" s="529"/>
      <c r="L76" s="421"/>
      <c r="N76" s="874"/>
      <c r="O76" s="881"/>
      <c r="P76" s="426"/>
    </row>
    <row r="77" spans="1:16" ht="27.75">
      <c r="A77" s="1429" t="s">
        <v>207</v>
      </c>
      <c r="B77" s="1430"/>
      <c r="C77" s="1431"/>
      <c r="D77" s="663" t="s">
        <v>198</v>
      </c>
      <c r="E77" s="792">
        <f>'[3]15'!F77</f>
        <v>692982</v>
      </c>
      <c r="F77" s="792">
        <v>693029</v>
      </c>
      <c r="G77" s="789">
        <f t="shared" si="6"/>
        <v>47</v>
      </c>
      <c r="H77" s="600">
        <f>G77+'[3]15'!H77</f>
        <v>722</v>
      </c>
      <c r="I77" s="645"/>
      <c r="J77" s="693">
        <f>H77/DAY(B2)</f>
        <v>45.125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'[3]15'!F78</f>
        <v>612753</v>
      </c>
      <c r="F78" s="793">
        <v>613100</v>
      </c>
      <c r="G78" s="613">
        <f t="shared" si="6"/>
        <v>347</v>
      </c>
      <c r="H78" s="600">
        <f>G78+'[3]15'!H78</f>
        <v>5086</v>
      </c>
      <c r="I78" s="645"/>
      <c r="J78" s="693">
        <f>H78/DAY(B2)</f>
        <v>317.875</v>
      </c>
      <c r="K78" s="529"/>
      <c r="L78" s="421"/>
      <c r="N78" s="874"/>
      <c r="O78" s="881"/>
      <c r="P78" s="426"/>
    </row>
    <row r="79" spans="1:16" ht="27.75">
      <c r="A79" s="1408" t="s">
        <v>97</v>
      </c>
      <c r="B79" s="1409"/>
      <c r="C79" s="1410"/>
      <c r="D79" s="664" t="s">
        <v>198</v>
      </c>
      <c r="E79" s="793">
        <f>'[3]15'!F79</f>
        <v>795230</v>
      </c>
      <c r="F79" s="793">
        <v>795415</v>
      </c>
      <c r="G79" s="613">
        <f t="shared" si="6"/>
        <v>185</v>
      </c>
      <c r="H79" s="600">
        <f>G79+'[3]15'!H79</f>
        <v>4600</v>
      </c>
      <c r="I79" s="645"/>
      <c r="J79" s="693">
        <f>H79/DAY(B2)</f>
        <v>287.5</v>
      </c>
      <c r="K79" s="529"/>
      <c r="L79" s="421"/>
      <c r="N79" s="874"/>
      <c r="O79" s="881"/>
      <c r="P79" s="426"/>
    </row>
    <row r="80" spans="1:16" ht="27.75">
      <c r="A80" s="1408" t="s">
        <v>209</v>
      </c>
      <c r="B80" s="1409"/>
      <c r="C80" s="1410"/>
      <c r="D80" s="664" t="s">
        <v>198</v>
      </c>
      <c r="E80" s="792">
        <f>'[3]15'!F80</f>
        <v>461061.32</v>
      </c>
      <c r="F80" s="792">
        <v>461347.32</v>
      </c>
      <c r="G80" s="613">
        <f t="shared" si="6"/>
        <v>286</v>
      </c>
      <c r="H80" s="600">
        <f>G80+'[3]15'!H80</f>
        <v>2910.4400000000023</v>
      </c>
      <c r="I80" s="645"/>
      <c r="J80" s="693">
        <f>H80/DAY(B2)</f>
        <v>181.90250000000015</v>
      </c>
      <c r="K80" s="529"/>
      <c r="L80" s="421"/>
      <c r="N80" s="874"/>
      <c r="O80" s="881"/>
      <c r="P80" s="426"/>
    </row>
    <row r="81" spans="1:16" ht="27.75">
      <c r="A81" s="1408" t="s">
        <v>210</v>
      </c>
      <c r="B81" s="1409"/>
      <c r="C81" s="1410"/>
      <c r="D81" s="664" t="s">
        <v>198</v>
      </c>
      <c r="E81" s="792">
        <f>'[3]15'!F81</f>
        <v>612599</v>
      </c>
      <c r="F81" s="792">
        <v>612688.12</v>
      </c>
      <c r="G81" s="613">
        <f t="shared" si="6"/>
        <v>89.119999999995343</v>
      </c>
      <c r="H81" s="600">
        <f>G81+'[3]15'!H81</f>
        <v>1565.8399999999674</v>
      </c>
      <c r="I81" s="645"/>
      <c r="J81" s="693">
        <f>H81/DAY(B2)</f>
        <v>97.864999999997963</v>
      </c>
      <c r="K81" s="529"/>
      <c r="L81" s="421"/>
      <c r="N81" s="874"/>
      <c r="O81" s="881"/>
      <c r="P81" s="426"/>
    </row>
    <row r="82" spans="1:16" ht="27.75">
      <c r="A82" s="1408" t="s">
        <v>100</v>
      </c>
      <c r="B82" s="1409"/>
      <c r="C82" s="1410"/>
      <c r="D82" s="625" t="s">
        <v>143</v>
      </c>
      <c r="E82" s="788">
        <f>'[3]15'!F82</f>
        <v>103281.32</v>
      </c>
      <c r="F82" s="788">
        <v>103286.56</v>
      </c>
      <c r="G82" s="613">
        <f t="shared" si="6"/>
        <v>5.2399999999906868</v>
      </c>
      <c r="H82" s="600">
        <f>G82+'[3]15'!H82</f>
        <v>256.61000000000058</v>
      </c>
      <c r="I82" s="626"/>
      <c r="J82" s="693">
        <f>H82/DAY(B2)</f>
        <v>16.038125000000036</v>
      </c>
      <c r="K82" s="529"/>
      <c r="L82" s="421"/>
      <c r="N82" s="874"/>
      <c r="O82" s="881"/>
      <c r="P82" s="426"/>
    </row>
    <row r="83" spans="1:16" ht="27.75">
      <c r="A83" s="1408" t="s">
        <v>211</v>
      </c>
      <c r="B83" s="1409"/>
      <c r="C83" s="1410"/>
      <c r="D83" s="761" t="s">
        <v>143</v>
      </c>
      <c r="E83" s="651">
        <f>'[3]15'!F83</f>
        <v>957494</v>
      </c>
      <c r="F83" s="651">
        <v>957818</v>
      </c>
      <c r="G83" s="613">
        <f t="shared" si="6"/>
        <v>324</v>
      </c>
      <c r="H83" s="600">
        <f>G83+'[3]15'!H83</f>
        <v>5575</v>
      </c>
      <c r="I83" s="621"/>
      <c r="J83" s="693">
        <f>H83/DAY(B2)</f>
        <v>348.4375</v>
      </c>
      <c r="K83" s="528"/>
      <c r="L83" s="421"/>
      <c r="N83" s="874"/>
      <c r="O83" s="881"/>
      <c r="P83" s="426"/>
    </row>
    <row r="84" spans="1:16" s="543" customFormat="1">
      <c r="A84" s="1708" t="s">
        <v>212</v>
      </c>
      <c r="B84" s="1709"/>
      <c r="C84" s="1709"/>
      <c r="D84" s="788" t="s">
        <v>143</v>
      </c>
      <c r="E84" s="768">
        <f>'[3]15'!F84</f>
        <v>374057</v>
      </c>
      <c r="F84" s="768">
        <v>374539</v>
      </c>
      <c r="G84" s="789">
        <f t="shared" si="6"/>
        <v>482</v>
      </c>
      <c r="H84" s="861">
        <f>G84+'[3]15'!H84</f>
        <v>8106</v>
      </c>
      <c r="I84" s="789"/>
      <c r="J84" s="693">
        <f>H84/DAY(B2)</f>
        <v>506.625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2039.359999999986</v>
      </c>
      <c r="H85" s="600">
        <f>G85+'[3]15'!H85</f>
        <v>30812.989999999991</v>
      </c>
      <c r="I85" s="621"/>
      <c r="J85" s="693">
        <f>H85/DAY(B2)</f>
        <v>1925.8118749999994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'[3]15'!F86</f>
        <v>438627</v>
      </c>
      <c r="F86" s="784">
        <v>438643.04</v>
      </c>
      <c r="G86" s="861">
        <f t="shared" ref="G86:G90" si="7">F86-E86</f>
        <v>16.039999999979045</v>
      </c>
      <c r="H86" s="861">
        <f t="shared" ref="H86:H88" si="8">G86</f>
        <v>16.039999999979045</v>
      </c>
      <c r="I86" s="789"/>
      <c r="J86" s="863">
        <f>H86/DAY(B2)</f>
        <v>1.0024999999986903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'[3]15'!F87</f>
        <v>76467.3</v>
      </c>
      <c r="F87" s="784">
        <v>76483.600000000006</v>
      </c>
      <c r="G87" s="861">
        <f t="shared" si="7"/>
        <v>16.30000000000291</v>
      </c>
      <c r="H87" s="861">
        <f t="shared" si="8"/>
        <v>16.30000000000291</v>
      </c>
      <c r="I87" s="789"/>
      <c r="J87" s="863">
        <f>H87/DAY(B2)</f>
        <v>1.0187500000001819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'[3]15'!F88</f>
        <v>141001.16</v>
      </c>
      <c r="F88" s="784">
        <v>141024.20000000001</v>
      </c>
      <c r="G88" s="861">
        <f t="shared" si="7"/>
        <v>23.040000000008149</v>
      </c>
      <c r="H88" s="861">
        <f t="shared" si="8"/>
        <v>23.040000000008149</v>
      </c>
      <c r="I88" s="789"/>
      <c r="J88" s="863">
        <f>H88/DAY(B2)</f>
        <v>1.4400000000005093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'[3]15'!F89</f>
        <v>54891.7</v>
      </c>
      <c r="F89" s="784">
        <v>54942.6</v>
      </c>
      <c r="G89" s="861">
        <f t="shared" si="7"/>
        <v>50.900000000001455</v>
      </c>
      <c r="H89" s="861">
        <f>G89</f>
        <v>50.900000000001455</v>
      </c>
      <c r="I89" s="789"/>
      <c r="J89" s="863">
        <f>H89/DAY(B2)</f>
        <v>3.1812500000000909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'[3]15'!F90</f>
        <v>2833.8</v>
      </c>
      <c r="F90" s="784">
        <v>2836.2</v>
      </c>
      <c r="G90" s="861">
        <f t="shared" si="7"/>
        <v>2.3999999999996362</v>
      </c>
      <c r="H90" s="861">
        <f>G90</f>
        <v>2.3999999999996362</v>
      </c>
      <c r="I90" s="789"/>
      <c r="J90" s="863">
        <f>H90/DAY(B2)</f>
        <v>0.14999999999997726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32" t="s">
        <v>217</v>
      </c>
      <c r="B92" s="1433"/>
      <c r="C92" s="1434"/>
      <c r="D92" s="663" t="s">
        <v>155</v>
      </c>
      <c r="E92" s="618">
        <f>'[3]15'!F92</f>
        <v>229880</v>
      </c>
      <c r="F92" s="618">
        <v>229927</v>
      </c>
      <c r="G92" s="613">
        <f t="shared" ref="G92:G93" si="9">F92-E92</f>
        <v>47</v>
      </c>
      <c r="H92" s="600">
        <f>G92+'[3]15'!H92</f>
        <v>1332</v>
      </c>
      <c r="I92" s="620"/>
      <c r="J92" s="693">
        <f>H92/DAY(B2)</f>
        <v>83.25</v>
      </c>
      <c r="K92" s="528"/>
      <c r="L92" s="421"/>
      <c r="N92" s="874"/>
      <c r="O92" s="881"/>
      <c r="P92" s="426"/>
    </row>
    <row r="93" spans="1:16" ht="27.75">
      <c r="A93" s="1432" t="s">
        <v>218</v>
      </c>
      <c r="B93" s="1433"/>
      <c r="C93" s="1434"/>
      <c r="D93" s="663" t="s">
        <v>155</v>
      </c>
      <c r="E93" s="618">
        <f>'[3]15'!F93</f>
        <v>160748</v>
      </c>
      <c r="F93" s="618">
        <v>160861</v>
      </c>
      <c r="G93" s="613">
        <f t="shared" si="9"/>
        <v>113</v>
      </c>
      <c r="H93" s="600">
        <f>G93+'[3]15'!H93</f>
        <v>2338</v>
      </c>
      <c r="I93" s="620"/>
      <c r="J93" s="693">
        <f>H93/DAY(B2)</f>
        <v>146.125</v>
      </c>
      <c r="K93" s="424"/>
      <c r="L93" s="421"/>
      <c r="N93" s="874"/>
      <c r="O93" s="881"/>
      <c r="P93" s="426"/>
    </row>
    <row r="94" spans="1:16">
      <c r="A94" s="1460" t="s">
        <v>219</v>
      </c>
      <c r="B94" s="1461"/>
      <c r="C94" s="1462"/>
      <c r="D94" s="663"/>
      <c r="E94" s="618">
        <f>'[3]15'!F94</f>
        <v>0</v>
      </c>
      <c r="F94" s="618">
        <v>0</v>
      </c>
      <c r="G94" s="613">
        <f>G92+G93</f>
        <v>160</v>
      </c>
      <c r="H94" s="600">
        <f>G94+'[3]15'!H94</f>
        <v>3380</v>
      </c>
      <c r="I94" s="620"/>
      <c r="J94" s="693">
        <f>H94/DAY(B2)</f>
        <v>211.25</v>
      </c>
      <c r="K94" s="424"/>
      <c r="L94" s="421"/>
      <c r="N94" s="874"/>
      <c r="O94" s="881"/>
      <c r="P94" s="426"/>
    </row>
    <row r="95" spans="1:16" ht="27.75">
      <c r="A95" s="1432" t="s">
        <v>220</v>
      </c>
      <c r="B95" s="1433"/>
      <c r="C95" s="1434"/>
      <c r="D95" s="663" t="s">
        <v>155</v>
      </c>
      <c r="E95" s="618">
        <f>'[3]15'!F95</f>
        <v>400682</v>
      </c>
      <c r="F95" s="618">
        <v>400728</v>
      </c>
      <c r="G95" s="613">
        <f t="shared" ref="G95:G100" si="10">F95-E95</f>
        <v>46</v>
      </c>
      <c r="H95" s="600">
        <f>G95+'[3]15'!H95</f>
        <v>881</v>
      </c>
      <c r="I95" s="620"/>
      <c r="J95" s="693">
        <f>H95/DAY(B2)</f>
        <v>55.0625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'[3]15'!F96</f>
        <v>98703</v>
      </c>
      <c r="F96" s="618">
        <v>98725</v>
      </c>
      <c r="G96" s="613">
        <f t="shared" si="10"/>
        <v>22</v>
      </c>
      <c r="H96" s="600">
        <f>G96+'[3]15'!H96</f>
        <v>716</v>
      </c>
      <c r="I96" s="620"/>
      <c r="J96" s="693">
        <f>H96/DAY(B2)</f>
        <v>44.75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'[3]15'!F97</f>
        <v>93878</v>
      </c>
      <c r="F97" s="618">
        <v>93890</v>
      </c>
      <c r="G97" s="613">
        <f t="shared" si="10"/>
        <v>12</v>
      </c>
      <c r="H97" s="600">
        <f>G97+'[3]15'!H97</f>
        <v>339</v>
      </c>
      <c r="I97" s="620"/>
      <c r="J97" s="693">
        <f>H97/DAY(B2)</f>
        <v>21.1875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'[3]15'!F98</f>
        <v>141530</v>
      </c>
      <c r="F98" s="618">
        <v>141554</v>
      </c>
      <c r="G98" s="613">
        <f t="shared" si="10"/>
        <v>24</v>
      </c>
      <c r="H98" s="600">
        <f>G98+'[3]15'!H98</f>
        <v>649</v>
      </c>
      <c r="I98" s="620"/>
      <c r="J98" s="693">
        <f>H98/DAY(B2)</f>
        <v>40.5625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'[3]15'!F99</f>
        <v>4838</v>
      </c>
      <c r="F99" s="618">
        <v>4842</v>
      </c>
      <c r="G99" s="613">
        <f t="shared" si="10"/>
        <v>4</v>
      </c>
      <c r="H99" s="600">
        <f>G99+'[3]15'!H99</f>
        <v>134</v>
      </c>
      <c r="I99" s="620"/>
      <c r="J99" s="693">
        <f>H99/DAY(B2)</f>
        <v>8.375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'[3]15'!F100</f>
        <v>3674</v>
      </c>
      <c r="F100" s="618">
        <v>3674</v>
      </c>
      <c r="G100" s="613">
        <f t="shared" si="10"/>
        <v>0</v>
      </c>
      <c r="H100" s="600">
        <f>G100+'[3]15'!H100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460" t="s">
        <v>227</v>
      </c>
      <c r="B101" s="1461"/>
      <c r="C101" s="1462"/>
      <c r="D101" s="664"/>
      <c r="E101" s="664"/>
      <c r="F101" s="664"/>
      <c r="G101" s="665">
        <f>SUM(G95:G100)</f>
        <v>108</v>
      </c>
      <c r="H101" s="600">
        <f>G101+'[3]15'!H101</f>
        <v>2719</v>
      </c>
      <c r="I101" s="666"/>
      <c r="J101" s="693">
        <f>H101/DAY(B2)</f>
        <v>169.9375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463" t="s">
        <v>229</v>
      </c>
      <c r="B103" s="1464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21" t="s">
        <v>230</v>
      </c>
      <c r="B104" s="1422"/>
      <c r="C104" s="1376"/>
      <c r="D104" s="763" t="s">
        <v>155</v>
      </c>
      <c r="E104" s="795">
        <f>'[3]15'!F104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3.75</v>
      </c>
      <c r="N104" s="874"/>
      <c r="O104" s="881"/>
      <c r="P104" s="426"/>
    </row>
    <row r="105" spans="1:16" s="544" customFormat="1" ht="27.75">
      <c r="A105" s="1421" t="s">
        <v>77</v>
      </c>
      <c r="B105" s="1422"/>
      <c r="C105" s="1376"/>
      <c r="D105" s="763" t="s">
        <v>155</v>
      </c>
      <c r="E105" s="796">
        <f>'[3]15'!F105</f>
        <v>34587</v>
      </c>
      <c r="F105" s="796">
        <v>34587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4.375</v>
      </c>
      <c r="N105" s="874"/>
      <c r="O105" s="881"/>
      <c r="P105" s="426"/>
    </row>
    <row r="106" spans="1:16" s="544" customFormat="1" ht="27.75">
      <c r="A106" s="1421" t="s">
        <v>78</v>
      </c>
      <c r="B106" s="1465"/>
      <c r="C106" s="1422"/>
      <c r="D106" s="763" t="s">
        <v>155</v>
      </c>
      <c r="E106" s="796">
        <f>'[3]15'!F106</f>
        <v>18681</v>
      </c>
      <c r="F106" s="796">
        <v>18681</v>
      </c>
      <c r="G106" s="672">
        <f t="shared" si="11"/>
        <v>0</v>
      </c>
      <c r="H106" s="673">
        <f>SUM(G106+'[3]1'!G78)</f>
        <v>329</v>
      </c>
      <c r="I106" s="672"/>
      <c r="J106" s="699">
        <f>H106/DAY(B2)</f>
        <v>20.5625</v>
      </c>
      <c r="N106" s="874"/>
      <c r="O106" s="881"/>
      <c r="P106" s="426"/>
    </row>
    <row r="107" spans="1:16" s="544" customFormat="1" ht="27.75">
      <c r="A107" s="1423" t="s">
        <v>213</v>
      </c>
      <c r="B107" s="1424"/>
      <c r="C107" s="1376"/>
      <c r="D107" s="763"/>
      <c r="E107" s="796">
        <f>'[3]15'!F107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10</v>
      </c>
      <c r="N107" s="874"/>
      <c r="O107" s="881"/>
      <c r="P107" s="426"/>
    </row>
    <row r="108" spans="1:16" s="544" customFormat="1" ht="27.75">
      <c r="A108" s="1427" t="s">
        <v>79</v>
      </c>
      <c r="B108" s="1428"/>
      <c r="C108" s="1376"/>
      <c r="D108" s="763" t="s">
        <v>155</v>
      </c>
      <c r="E108" s="796">
        <f>'[3]15'!F108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21" t="s">
        <v>231</v>
      </c>
      <c r="B109" s="1422"/>
      <c r="C109" s="1376"/>
      <c r="D109" s="763" t="s">
        <v>155</v>
      </c>
      <c r="E109" s="796">
        <f>'[3]15'!F109</f>
        <v>50575</v>
      </c>
      <c r="F109" s="796">
        <v>50615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7.625</v>
      </c>
      <c r="N109" s="874"/>
      <c r="O109" s="881"/>
      <c r="P109" s="426"/>
    </row>
    <row r="110" spans="1:16" s="544" customFormat="1" ht="27.75">
      <c r="A110" s="1421" t="s">
        <v>232</v>
      </c>
      <c r="B110" s="1422"/>
      <c r="C110" s="1376"/>
      <c r="D110" s="763" t="s">
        <v>155</v>
      </c>
      <c r="E110" s="796">
        <f>'[3]15'!F110</f>
        <v>24749</v>
      </c>
      <c r="F110" s="796">
        <v>24758</v>
      </c>
      <c r="G110" s="672">
        <f t="shared" ref="G110:G111" si="12">F110-E110</f>
        <v>9</v>
      </c>
      <c r="H110" s="673">
        <f>SUM(G110+'[3]1'!G82)</f>
        <v>34.740000000005239</v>
      </c>
      <c r="I110" s="672"/>
      <c r="J110" s="699">
        <f>H110/DAY(B2)</f>
        <v>2.1712500000003274</v>
      </c>
      <c r="N110" s="874"/>
      <c r="O110" s="881"/>
      <c r="P110" s="426"/>
    </row>
    <row r="111" spans="1:16" s="544" customFormat="1" ht="27.75">
      <c r="A111" s="1421" t="s">
        <v>233</v>
      </c>
      <c r="B111" s="1422"/>
      <c r="C111" s="1376"/>
      <c r="D111" s="763" t="s">
        <v>155</v>
      </c>
      <c r="E111" s="796">
        <f>'[3]15'!F111</f>
        <v>3268</v>
      </c>
      <c r="F111" s="796">
        <v>3279</v>
      </c>
      <c r="G111" s="672">
        <f t="shared" si="12"/>
        <v>11</v>
      </c>
      <c r="H111" s="673">
        <f>SUM(G111+'[3]1'!G83)</f>
        <v>457</v>
      </c>
      <c r="I111" s="672"/>
      <c r="J111" s="699">
        <f>H111/DAY(B2)</f>
        <v>28.5625</v>
      </c>
      <c r="N111" s="874"/>
      <c r="O111" s="881"/>
      <c r="P111" s="426"/>
    </row>
    <row r="112" spans="1:16" s="544" customFormat="1" ht="27.75">
      <c r="A112" s="1423" t="s">
        <v>121</v>
      </c>
      <c r="B112" s="1424"/>
      <c r="C112" s="1376"/>
      <c r="D112" s="763"/>
      <c r="E112" s="796">
        <f>'[3]15'!F112</f>
        <v>0</v>
      </c>
      <c r="F112" s="796"/>
      <c r="G112" s="672">
        <f>SUM(G109:G111)</f>
        <v>60</v>
      </c>
      <c r="H112" s="673">
        <f>SUM(G112+'[3]1'!G84)</f>
        <v>656</v>
      </c>
      <c r="I112" s="672"/>
      <c r="J112" s="699">
        <f>H112/DAY(B2)</f>
        <v>41</v>
      </c>
      <c r="N112" s="874"/>
      <c r="O112" s="881"/>
      <c r="P112" s="426"/>
    </row>
    <row r="113" spans="1:16" s="544" customFormat="1" ht="27.75">
      <c r="A113" s="1427" t="s">
        <v>234</v>
      </c>
      <c r="B113" s="1428"/>
      <c r="C113" s="1376"/>
      <c r="D113" s="763"/>
      <c r="E113" s="796">
        <f>'[3]15'!F113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21" t="s">
        <v>235</v>
      </c>
      <c r="B114" s="1422"/>
      <c r="C114" s="715"/>
      <c r="D114" s="763" t="s">
        <v>155</v>
      </c>
      <c r="E114" s="796">
        <f>'[3]15'!F114</f>
        <v>8437</v>
      </c>
      <c r="F114" s="796">
        <v>8443</v>
      </c>
      <c r="G114" s="674">
        <f>F114-E114</f>
        <v>6</v>
      </c>
      <c r="H114" s="673">
        <f>SUM(G114+'[3]1'!G91)</f>
        <v>6</v>
      </c>
      <c r="I114" s="672"/>
      <c r="J114" s="699">
        <f>H114/DAY(B2)</f>
        <v>0.375</v>
      </c>
      <c r="N114" s="874"/>
      <c r="O114" s="881"/>
      <c r="P114" s="426"/>
    </row>
    <row r="115" spans="1:16" s="544" customFormat="1" ht="27.75">
      <c r="A115" s="1421" t="s">
        <v>236</v>
      </c>
      <c r="B115" s="1422"/>
      <c r="C115" s="715"/>
      <c r="D115" s="763" t="s">
        <v>155</v>
      </c>
      <c r="E115" s="796">
        <f>'[3]15'!F115</f>
        <v>6662</v>
      </c>
      <c r="F115" s="796">
        <v>6668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6.9375</v>
      </c>
      <c r="N115" s="874"/>
      <c r="O115" s="881"/>
      <c r="P115" s="426"/>
    </row>
    <row r="116" spans="1:16" s="544" customFormat="1" ht="27.75">
      <c r="A116" s="1421" t="s">
        <v>237</v>
      </c>
      <c r="B116" s="1422"/>
      <c r="C116" s="715"/>
      <c r="D116" s="763" t="s">
        <v>155</v>
      </c>
      <c r="E116" s="796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11.5625</v>
      </c>
      <c r="N116" s="874"/>
      <c r="O116" s="881"/>
      <c r="P116" s="426"/>
    </row>
    <row r="117" spans="1:16" s="557" customFormat="1" ht="27.75">
      <c r="A117" s="1423" t="s">
        <v>213</v>
      </c>
      <c r="B117" s="1424"/>
      <c r="C117" s="715"/>
      <c r="D117" s="764"/>
      <c r="E117" s="796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3.75</v>
      </c>
      <c r="N117" s="874"/>
      <c r="O117" s="881"/>
      <c r="P117" s="426"/>
    </row>
    <row r="118" spans="1:16" s="558" customFormat="1" ht="27.75">
      <c r="A118" s="1417" t="s">
        <v>238</v>
      </c>
      <c r="B118" s="1418"/>
      <c r="C118" s="1379"/>
      <c r="D118" s="765" t="s">
        <v>155</v>
      </c>
      <c r="E118" s="797"/>
      <c r="F118" s="797">
        <f>SUM(G19+G92)</f>
        <v>99</v>
      </c>
      <c r="G118" s="676">
        <f>SUM(G19+G92)</f>
        <v>99</v>
      </c>
      <c r="H118" s="673">
        <f>SUM(G118+'[3]1'!G96)</f>
        <v>148</v>
      </c>
      <c r="I118" s="675"/>
      <c r="J118" s="700">
        <f>H118/DAY(B2)</f>
        <v>9.25</v>
      </c>
      <c r="N118" s="874"/>
      <c r="O118" s="881"/>
      <c r="P118" s="426"/>
    </row>
    <row r="119" spans="1:16" s="558" customFormat="1" ht="27.75">
      <c r="A119" s="1417" t="s">
        <v>239</v>
      </c>
      <c r="B119" s="1418"/>
      <c r="C119" s="1379"/>
      <c r="D119" s="765" t="s">
        <v>155</v>
      </c>
      <c r="E119" s="797"/>
      <c r="F119" s="797">
        <f>SUM(G95,G96,G97,G99,G100)</f>
        <v>84</v>
      </c>
      <c r="G119" s="676">
        <f>SUM(G95,G96,G97,G99,G100)</f>
        <v>84</v>
      </c>
      <c r="H119" s="673">
        <f>SUM(G119+'[3]1'!G98)</f>
        <v>116</v>
      </c>
      <c r="I119" s="675"/>
      <c r="J119" s="700">
        <f>H119/DAY(B2)</f>
        <v>7.25</v>
      </c>
      <c r="N119" s="874"/>
      <c r="O119" s="881"/>
      <c r="P119" s="426"/>
    </row>
    <row r="120" spans="1:16" s="558" customFormat="1" ht="27.75">
      <c r="A120" s="1417" t="s">
        <v>240</v>
      </c>
      <c r="B120" s="1418"/>
      <c r="C120" s="1379"/>
      <c r="D120" s="765" t="s">
        <v>155</v>
      </c>
      <c r="E120" s="796"/>
      <c r="F120" s="796">
        <f>SUM(G112)</f>
        <v>60</v>
      </c>
      <c r="G120" s="674">
        <f>SUM(G112)</f>
        <v>60</v>
      </c>
      <c r="H120" s="673">
        <f>SUM(G120+'[3]1'!G100)</f>
        <v>60</v>
      </c>
      <c r="I120" s="675"/>
      <c r="J120" s="700">
        <f>H120/DAY(B2)</f>
        <v>3.75</v>
      </c>
      <c r="N120" s="874"/>
      <c r="O120" s="881"/>
      <c r="P120" s="426"/>
    </row>
    <row r="121" spans="1:16" s="544" customFormat="1" ht="27.75">
      <c r="A121" s="1419"/>
      <c r="B121" s="1420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'[3]15'!F123</f>
        <v>785763.98100000003</v>
      </c>
      <c r="F123" s="618">
        <v>785994.35100000002</v>
      </c>
      <c r="G123" s="613">
        <f t="shared" ref="G123:G127" si="14">F123-E123</f>
        <v>230.36999999999534</v>
      </c>
      <c r="H123" s="600">
        <f>G123+'[3]15'!H123</f>
        <v>3069.4649999999674</v>
      </c>
      <c r="I123" s="666"/>
      <c r="J123" s="693">
        <f>H123/DAY(B2)</f>
        <v>191.84156249999796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'[3]15'!F124</f>
        <v>73581</v>
      </c>
      <c r="F124" s="767">
        <v>73581.899999999994</v>
      </c>
      <c r="G124" s="613">
        <f t="shared" si="14"/>
        <v>0.89999999999417923</v>
      </c>
      <c r="H124" s="600">
        <f>G124+'[3]15'!H124</f>
        <v>0.89999999999417923</v>
      </c>
      <c r="I124" s="666"/>
      <c r="J124" s="693">
        <f>H124/DAY(B2)</f>
        <v>5.6249999999636202E-2</v>
      </c>
      <c r="K124" s="424"/>
      <c r="L124" s="421"/>
      <c r="N124" s="874"/>
      <c r="O124" s="881"/>
      <c r="P124" s="426"/>
    </row>
    <row r="125" spans="1:16" ht="27.75">
      <c r="A125" s="1429" t="s">
        <v>244</v>
      </c>
      <c r="B125" s="1430"/>
      <c r="C125" s="1431"/>
      <c r="D125" s="663" t="s">
        <v>152</v>
      </c>
      <c r="E125" s="618">
        <f>'[3]15'!F125</f>
        <v>132030.96</v>
      </c>
      <c r="F125" s="618">
        <v>132110.25</v>
      </c>
      <c r="G125" s="613">
        <f t="shared" si="14"/>
        <v>79.290000000008149</v>
      </c>
      <c r="H125" s="600">
        <f>G125+'[3]15'!H125</f>
        <v>1004.0299999999988</v>
      </c>
      <c r="I125" s="666"/>
      <c r="J125" s="693">
        <f>H125/DAY(B2)</f>
        <v>62.751874999999927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'[3]15'!F126</f>
        <v>55945.4</v>
      </c>
      <c r="F126" s="767">
        <v>55967.199999999997</v>
      </c>
      <c r="G126" s="613">
        <f t="shared" si="14"/>
        <v>21.799999999995634</v>
      </c>
      <c r="H126" s="600">
        <f>G126+'[3]15'!H126</f>
        <v>381.39999999999418</v>
      </c>
      <c r="I126" s="666"/>
      <c r="J126" s="693">
        <f>H126/DAY(B2)</f>
        <v>23.837499999999636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'[3]15'!F127</f>
        <v>8640.1</v>
      </c>
      <c r="F127" s="767">
        <v>8640.1</v>
      </c>
      <c r="G127" s="613">
        <f t="shared" si="14"/>
        <v>0</v>
      </c>
      <c r="H127" s="600">
        <f>G127+'[3]15'!H127</f>
        <v>1.1000000000003638</v>
      </c>
      <c r="I127" s="620"/>
      <c r="J127" s="693">
        <f>H127/DAY(B2)</f>
        <v>6.8750000000022737E-2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82.268000000032771</v>
      </c>
      <c r="H128" s="600">
        <f>G128+'[3]15'!H128</f>
        <v>82.268000000032771</v>
      </c>
      <c r="I128" s="620"/>
      <c r="J128" s="693">
        <f>H128/DAY(B2)</f>
        <v>5.1417500000020482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'[3]15'!F130</f>
        <v>0</v>
      </c>
      <c r="F130" s="618">
        <v>0</v>
      </c>
      <c r="G130" s="613">
        <f t="shared" ref="G130:G140" si="15">F130-E130</f>
        <v>0</v>
      </c>
      <c r="H130" s="600">
        <f>G130+'[3]15'!H130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'[3]15'!F131</f>
        <v>0</v>
      </c>
      <c r="F131" s="618">
        <v>0</v>
      </c>
      <c r="G131" s="613">
        <f t="shared" si="15"/>
        <v>0</v>
      </c>
      <c r="H131" s="600">
        <f>G131+'[3]15'!H131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18">
        <f>'[3]15'!F132</f>
        <v>38853</v>
      </c>
      <c r="F132" s="788">
        <v>38853</v>
      </c>
      <c r="G132" s="613">
        <f t="shared" si="15"/>
        <v>0</v>
      </c>
      <c r="H132" s="600">
        <f>G132+'[3]15'!H132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618">
        <f>'[3]15'!F133</f>
        <v>34948</v>
      </c>
      <c r="F133" s="767">
        <v>34948</v>
      </c>
      <c r="G133" s="613">
        <f t="shared" si="15"/>
        <v>0</v>
      </c>
      <c r="H133" s="600">
        <f>G133+'[3]15'!H133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618">
        <f>'[3]15'!F134</f>
        <v>39735</v>
      </c>
      <c r="F134" s="767">
        <v>39735</v>
      </c>
      <c r="G134" s="613">
        <f t="shared" si="15"/>
        <v>0</v>
      </c>
      <c r="H134" s="600">
        <f>G134+'[3]15'!H134</f>
        <v>-1.2699999999967986</v>
      </c>
      <c r="I134" s="620"/>
      <c r="J134" s="693">
        <f>H134/DAY(B2)</f>
        <v>-7.9374999999799911E-2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18">
        <f>'[3]15'!F135</f>
        <v>31352</v>
      </c>
      <c r="F135" s="788">
        <v>31376</v>
      </c>
      <c r="G135" s="613">
        <f t="shared" si="15"/>
        <v>24</v>
      </c>
      <c r="H135" s="600">
        <f>G135+'[3]15'!H135</f>
        <v>382.97999999999956</v>
      </c>
      <c r="I135" s="620"/>
      <c r="J135" s="693">
        <f>H135/DAY(B2)</f>
        <v>23.936249999999973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18">
        <f>'[3]15'!F136</f>
        <v>21627.37</v>
      </c>
      <c r="F136" s="788">
        <v>21627.37</v>
      </c>
      <c r="G136" s="613">
        <f t="shared" si="15"/>
        <v>0</v>
      </c>
      <c r="H136" s="600">
        <f>G136+'[3]15'!H136</f>
        <v>29.340000000000146</v>
      </c>
      <c r="I136" s="620">
        <f>G134+G135+G136</f>
        <v>24</v>
      </c>
      <c r="J136" s="693">
        <f>H136/DAY(B2)</f>
        <v>1.8337500000000091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18">
        <f>'[3]15'!F137</f>
        <v>24915.63</v>
      </c>
      <c r="F137" s="788">
        <v>24915.63</v>
      </c>
      <c r="G137" s="613">
        <f t="shared" si="15"/>
        <v>0</v>
      </c>
      <c r="H137" s="600">
        <f>G137+'[3]15'!H137</f>
        <v>13.380000000001019</v>
      </c>
      <c r="I137" s="620"/>
      <c r="J137" s="693">
        <f>H137/DAY(B2)</f>
        <v>0.83625000000006366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18">
        <f>'[3]15'!F138</f>
        <v>69929.490000000005</v>
      </c>
      <c r="F138" s="788">
        <v>69929.399999999994</v>
      </c>
      <c r="G138" s="613">
        <f t="shared" si="15"/>
        <v>-9.0000000011059456E-2</v>
      </c>
      <c r="H138" s="600">
        <f>G138+'[3]15'!H138</f>
        <v>47.75</v>
      </c>
      <c r="I138" s="620">
        <f>G137+G138</f>
        <v>-9.0000000011059456E-2</v>
      </c>
      <c r="J138" s="693">
        <f>H138/DAY(B2)</f>
        <v>2.984375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618">
        <f>'[3]15'!F139</f>
        <v>855.18</v>
      </c>
      <c r="F139" s="767">
        <v>861.76</v>
      </c>
      <c r="G139" s="613">
        <f t="shared" si="15"/>
        <v>6.5800000000000409</v>
      </c>
      <c r="H139" s="600">
        <f>G139+'[3]15'!H139</f>
        <v>85.330000000000041</v>
      </c>
      <c r="I139" s="683"/>
      <c r="J139" s="693">
        <f>H139/DAY(B2)</f>
        <v>5.3331250000000026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'[3]15'!F140</f>
        <v>4156.9799999999996</v>
      </c>
      <c r="F140" s="618">
        <v>4156.9799999999996</v>
      </c>
      <c r="G140" s="613">
        <f t="shared" si="15"/>
        <v>0</v>
      </c>
      <c r="H140" s="600">
        <f>G140+'[3]15'!H140</f>
        <v>2.7099999999991269</v>
      </c>
      <c r="I140" s="683"/>
      <c r="J140" s="693">
        <f>H140/DAY(B2)</f>
        <v>0.16937499999994543</v>
      </c>
      <c r="N140" s="874"/>
      <c r="O140" s="881"/>
      <c r="P140" s="426"/>
    </row>
    <row r="141" spans="1:16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4918.9879999999757</v>
      </c>
      <c r="H142" s="600">
        <f>G142+'[3]15'!H142</f>
        <v>77953.679000000033</v>
      </c>
      <c r="I142" s="620"/>
      <c r="J142" s="693">
        <f>H142/DAY(B2)</f>
        <v>4872.1049375000021</v>
      </c>
      <c r="K142" s="424"/>
      <c r="L142" s="421"/>
      <c r="N142" s="874"/>
      <c r="O142" s="881"/>
      <c r="P142" s="426"/>
    </row>
    <row r="143" spans="1:16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0.25590406825512307</v>
      </c>
      <c r="H143" s="600">
        <f>G143+'[3]15'!H143</f>
        <v>3.7898845518120234</v>
      </c>
      <c r="I143" s="685"/>
      <c r="J143" s="693">
        <f>H143/DAY(B2)</f>
        <v>0.23686778448825146</v>
      </c>
      <c r="K143" s="424"/>
      <c r="L143" s="421"/>
      <c r="N143" s="874"/>
      <c r="O143" s="881"/>
      <c r="P143" s="426"/>
    </row>
    <row r="144" spans="1:16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5319.1399999999558</v>
      </c>
      <c r="H144" s="600">
        <f>G144+'[3]15'!H144</f>
        <v>68139.590000000055</v>
      </c>
      <c r="I144" s="620"/>
      <c r="J144" s="693">
        <f>H144/DAY(B2)</f>
        <v>4258.7243750000034</v>
      </c>
      <c r="K144" s="424"/>
      <c r="L144" s="421"/>
      <c r="N144" s="874"/>
      <c r="O144" s="881"/>
      <c r="P144" s="426"/>
    </row>
    <row r="145" spans="1:16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0.27672146498803224</v>
      </c>
      <c r="H145" s="600">
        <f>G145+'[3]15'!H145</f>
        <v>3.4824390387466164</v>
      </c>
      <c r="I145" s="685"/>
      <c r="J145" s="693">
        <f>H145/DAY(B2)</f>
        <v>0.21765243992166353</v>
      </c>
      <c r="K145" s="424"/>
      <c r="L145" s="421"/>
      <c r="N145" s="874"/>
      <c r="O145" s="881"/>
      <c r="P145" s="426"/>
    </row>
    <row r="146" spans="1:16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0</v>
      </c>
      <c r="H146" s="600">
        <f>G146+'[3]15'!H146</f>
        <v>48456.290000000037</v>
      </c>
      <c r="I146" s="686"/>
      <c r="J146" s="693">
        <f>H146/DAY(B2)</f>
        <v>3028.5181250000023</v>
      </c>
      <c r="K146" s="424"/>
      <c r="L146" s="421"/>
      <c r="N146" s="874"/>
      <c r="O146" s="881"/>
      <c r="P146" s="426"/>
    </row>
    <row r="147" spans="1:16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</v>
      </c>
      <c r="H147" s="600">
        <f>G147+'[3]15'!H147</f>
        <v>2.4219032357615093</v>
      </c>
      <c r="I147" s="686"/>
      <c r="J147" s="693">
        <f>H147/DAY(B2)</f>
        <v>0.15136895223509433</v>
      </c>
      <c r="N147" s="874"/>
      <c r="O147" s="881"/>
      <c r="P147" s="426"/>
    </row>
    <row r="148" spans="1:16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1693.320000000007</v>
      </c>
      <c r="H148" s="600">
        <f>G148+'[3]15'!H148</f>
        <v>27712.820000000007</v>
      </c>
      <c r="I148" s="620"/>
      <c r="J148" s="693">
        <f>H148/DAY(B2)</f>
        <v>1732.0512500000004</v>
      </c>
      <c r="K148" s="425"/>
      <c r="N148" s="874"/>
      <c r="O148" s="881"/>
      <c r="P148" s="426"/>
    </row>
    <row r="149" spans="1:16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8.8092810321506967E-2</v>
      </c>
      <c r="H149" s="600">
        <f>G149+'[3]15'!H149</f>
        <v>1.4107705586360937</v>
      </c>
      <c r="I149" s="686"/>
      <c r="J149" s="693">
        <f>H149/DAY(B2)</f>
        <v>8.8173159914755855E-2</v>
      </c>
      <c r="N149" s="874"/>
      <c r="O149" s="881"/>
      <c r="P149" s="426"/>
    </row>
    <row r="150" spans="1:16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1584.6000000000349</v>
      </c>
      <c r="H150" s="600">
        <f>G150+'[3]15'!H150</f>
        <v>25480.78</v>
      </c>
      <c r="I150" s="686"/>
      <c r="J150" s="693">
        <f>H150/DAY(B2)</f>
        <v>1592.5487499999999</v>
      </c>
      <c r="N150" s="874"/>
      <c r="O150" s="881"/>
      <c r="P150" s="426"/>
    </row>
    <row r="151" spans="1:16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8.2436791176778421E-2</v>
      </c>
      <c r="H151" s="600">
        <f>G151+'[3]15'!H151</f>
        <v>1.295099967587402</v>
      </c>
      <c r="I151" s="620"/>
      <c r="J151" s="693">
        <f>H151/DAY(B2)</f>
        <v>8.0943747974212624E-2</v>
      </c>
      <c r="N151" s="874"/>
      <c r="O151" s="881"/>
      <c r="P151" s="426"/>
    </row>
    <row r="152" spans="1:16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1299.8829000000005</v>
      </c>
      <c r="H152" s="600">
        <f>G152+'[3]15'!H152</f>
        <v>23196.8619</v>
      </c>
      <c r="I152" s="620"/>
      <c r="J152" s="693">
        <f>H152/DAY(B2)</f>
        <v>1449.80386875</v>
      </c>
      <c r="N152" s="874"/>
      <c r="O152" s="881"/>
      <c r="P152" s="426"/>
    </row>
    <row r="153" spans="1:16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6.7624747684944364E-2</v>
      </c>
      <c r="H153" s="600">
        <f>G153+'[3]15'!H153</f>
        <v>1.1860821855932375</v>
      </c>
      <c r="I153" s="709"/>
      <c r="J153" s="710">
        <f>H153/DAY(B2)</f>
        <v>7.4130136599577345E-2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'[3]15'!F160</f>
        <v>22748.170999999998</v>
      </c>
      <c r="F160" s="965">
        <v>22820.615000000002</v>
      </c>
      <c r="G160" s="613">
        <f t="shared" ref="G160:G171" si="16">F160-E160</f>
        <v>72.444000000003143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'[3]15'!F161</f>
        <v>15010.285</v>
      </c>
      <c r="F161" s="965">
        <v>15108.684999999999</v>
      </c>
      <c r="G161" s="613">
        <f t="shared" si="16"/>
        <v>98.399999999999636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'[3]15'!F162</f>
        <v>33790.370999999999</v>
      </c>
      <c r="F162" s="965">
        <v>34006.800000000003</v>
      </c>
      <c r="G162" s="613">
        <f t="shared" si="16"/>
        <v>216.42900000000373</v>
      </c>
      <c r="N162" s="874"/>
    </row>
    <row r="163" spans="1:15" s="934" customFormat="1" ht="21.75" customHeight="1">
      <c r="A163" s="1710" t="s">
        <v>277</v>
      </c>
      <c r="B163" s="1711"/>
      <c r="C163" s="1711"/>
      <c r="D163" s="1712" t="s">
        <v>198</v>
      </c>
      <c r="E163" s="795">
        <f>'[3]15'!F163</f>
        <v>3304.6405</v>
      </c>
      <c r="F163" s="945">
        <v>3323.33</v>
      </c>
      <c r="G163" s="932">
        <f t="shared" si="16"/>
        <v>18.689499999999953</v>
      </c>
      <c r="H163" s="1713"/>
      <c r="I163" s="1714"/>
      <c r="J163" s="680"/>
      <c r="N163" s="878"/>
      <c r="O163" s="1715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7">E63</f>
        <v>593.899</v>
      </c>
      <c r="F165" s="654">
        <f t="shared" si="17"/>
        <v>615.01</v>
      </c>
      <c r="G165" s="613">
        <f t="shared" si="16"/>
        <v>21.11099999999999</v>
      </c>
      <c r="N165" s="874"/>
    </row>
    <row r="166" spans="1:15" ht="21.75" customHeight="1">
      <c r="A166" s="1481" t="s">
        <v>107</v>
      </c>
      <c r="B166" s="1481"/>
      <c r="C166" s="1481"/>
      <c r="D166" s="664" t="s">
        <v>198</v>
      </c>
      <c r="E166" s="654">
        <f t="shared" si="17"/>
        <v>81346.023000000001</v>
      </c>
      <c r="F166" s="654">
        <f t="shared" si="17"/>
        <v>81676.759000000005</v>
      </c>
      <c r="G166" s="613">
        <f t="shared" si="16"/>
        <v>330.73600000000442</v>
      </c>
      <c r="N166" s="874"/>
    </row>
    <row r="167" spans="1:15" ht="21.75" customHeight="1">
      <c r="A167" s="1481" t="s">
        <v>108</v>
      </c>
      <c r="B167" s="1481"/>
      <c r="C167" s="1481"/>
      <c r="D167" s="664" t="s">
        <v>198</v>
      </c>
      <c r="E167" s="654">
        <f t="shared" si="17"/>
        <v>90914.471000000005</v>
      </c>
      <c r="F167" s="654">
        <f t="shared" si="17"/>
        <v>91276.26</v>
      </c>
      <c r="G167" s="613">
        <f t="shared" si="16"/>
        <v>361.78899999998976</v>
      </c>
      <c r="N167" s="874"/>
    </row>
    <row r="168" spans="1:15" ht="21.75" customHeight="1">
      <c r="A168" s="1481" t="s">
        <v>109</v>
      </c>
      <c r="B168" s="1481"/>
      <c r="C168" s="1481"/>
      <c r="D168" s="664" t="s">
        <v>198</v>
      </c>
      <c r="E168" s="654">
        <f t="shared" si="17"/>
        <v>84022.087</v>
      </c>
      <c r="F168" s="654">
        <f t="shared" si="17"/>
        <v>84389.039000000004</v>
      </c>
      <c r="G168" s="613">
        <f t="shared" si="16"/>
        <v>366.95200000000477</v>
      </c>
      <c r="N168" s="874"/>
    </row>
    <row r="169" spans="1:15" ht="22.5" customHeight="1">
      <c r="A169" s="1481" t="s">
        <v>110</v>
      </c>
      <c r="B169" s="1481"/>
      <c r="C169" s="1481"/>
      <c r="D169" s="664" t="s">
        <v>198</v>
      </c>
      <c r="E169" s="654">
        <f t="shared" si="17"/>
        <v>135651.29999999999</v>
      </c>
      <c r="F169" s="654">
        <f t="shared" si="17"/>
        <v>136310.98000000001</v>
      </c>
      <c r="G169" s="613">
        <f t="shared" si="16"/>
        <v>659.68000000002212</v>
      </c>
      <c r="N169" s="874"/>
    </row>
    <row r="170" spans="1:15" ht="24" customHeight="1">
      <c r="A170" s="1481" t="s">
        <v>111</v>
      </c>
      <c r="B170" s="1481"/>
      <c r="C170" s="1481"/>
      <c r="D170" s="664" t="s">
        <v>198</v>
      </c>
      <c r="E170" s="654">
        <f t="shared" si="17"/>
        <v>38159.275000000001</v>
      </c>
      <c r="F170" s="654">
        <f t="shared" si="17"/>
        <v>38456.510999999999</v>
      </c>
      <c r="G170" s="613">
        <f t="shared" si="16"/>
        <v>297.23599999999715</v>
      </c>
      <c r="N170" s="874"/>
    </row>
    <row r="171" spans="1:15" ht="27.75">
      <c r="A171" s="1481" t="s">
        <v>112</v>
      </c>
      <c r="B171" s="1481"/>
      <c r="C171" s="1481"/>
      <c r="D171" s="664" t="s">
        <v>198</v>
      </c>
      <c r="E171" s="654">
        <f t="shared" si="17"/>
        <v>33248.527000000002</v>
      </c>
      <c r="F171" s="654">
        <f t="shared" si="17"/>
        <v>33525.870000000003</v>
      </c>
      <c r="G171" s="613">
        <f t="shared" si="16"/>
        <v>277.34300000000076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2720.8095000000253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3.25" customHeight="1">
      <c r="N177" s="874"/>
    </row>
    <row r="178" spans="14:14" ht="23.25" customHeight="1">
      <c r="N178" s="874"/>
    </row>
    <row r="179" spans="14:14" ht="23.25" customHeight="1">
      <c r="N179" s="874"/>
    </row>
    <row r="180" spans="14:14" ht="23.25" customHeight="1">
      <c r="N180" s="874"/>
    </row>
    <row r="181" spans="14:14" ht="23.25" customHeight="1">
      <c r="N181" s="874"/>
    </row>
    <row r="182" spans="14:14" ht="23.25" customHeight="1">
      <c r="N182" s="874"/>
    </row>
    <row r="183" spans="14:14" ht="23.25" customHeight="1">
      <c r="N183" s="874"/>
    </row>
    <row r="184" spans="14:14" ht="23.25" customHeight="1">
      <c r="N184" s="874"/>
    </row>
    <row r="185" spans="14:14" ht="23.25" customHeight="1">
      <c r="N185" s="874"/>
    </row>
    <row r="186" spans="14:14" ht="23.25" customHeight="1">
      <c r="N186" s="874"/>
    </row>
    <row r="187" spans="14:14" ht="23.25" customHeight="1">
      <c r="N187" s="874"/>
    </row>
    <row r="188" spans="14:14" ht="23.25" customHeight="1">
      <c r="N188" s="874"/>
    </row>
    <row r="189" spans="14:14" ht="23.25" customHeight="1">
      <c r="N189" s="874"/>
    </row>
    <row r="190" spans="14:14" ht="23.25" customHeight="1">
      <c r="N190" s="874"/>
    </row>
    <row r="191" spans="14:14" ht="23.25" customHeight="1">
      <c r="N191" s="874"/>
    </row>
    <row r="192" spans="14:14" ht="23.25" customHeight="1">
      <c r="N192" s="874"/>
    </row>
    <row r="193" spans="14:14" ht="23.25" customHeight="1">
      <c r="N193" s="874"/>
    </row>
    <row r="194" spans="14:14" ht="23.25" customHeight="1">
      <c r="N194" s="874"/>
    </row>
    <row r="195" spans="14:14" ht="23.25" customHeight="1">
      <c r="N195" s="874"/>
    </row>
    <row r="196" spans="14:14" ht="23.25" customHeight="1">
      <c r="N196" s="874"/>
    </row>
    <row r="197" spans="14:14" ht="23.25" customHeight="1">
      <c r="N197" s="874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zoomScalePageLayoutView="60" workbookViewId="0">
      <selection sqref="A1:XFD1048576"/>
    </sheetView>
  </sheetViews>
  <sheetFormatPr defaultColWidth="22.33203125" defaultRowHeight="18.75" customHeight="1"/>
  <cols>
    <col min="1" max="1" width="51.21875" style="507" customWidth="1"/>
    <col min="2" max="2" width="27.88671875" style="507" customWidth="1"/>
    <col min="3" max="3" width="20.88671875" style="507" customWidth="1"/>
    <col min="4" max="4" width="24.44140625" style="507" customWidth="1"/>
    <col min="5" max="5" width="29.109375" style="507" customWidth="1"/>
    <col min="6" max="6" width="28.33203125" style="507" customWidth="1"/>
    <col min="7" max="7" width="30.21875" style="507" customWidth="1"/>
    <col min="8" max="8" width="30.6640625" style="523" customWidth="1"/>
    <col min="9" max="9" width="26.21875" style="507" customWidth="1"/>
    <col min="10" max="10" width="29" style="524" customWidth="1"/>
    <col min="11" max="11" width="15.88671875" style="507" customWidth="1"/>
    <col min="12" max="16384" width="22.33203125" style="507"/>
  </cols>
  <sheetData>
    <row r="1" spans="1:12" ht="29.25" customHeight="1">
      <c r="A1" s="1523" t="s">
        <v>128</v>
      </c>
      <c r="B1" s="1523"/>
      <c r="C1" s="1523"/>
      <c r="D1" s="1523"/>
      <c r="E1" s="1523"/>
      <c r="F1" s="1523"/>
      <c r="G1" s="1523"/>
      <c r="H1" s="1523"/>
      <c r="I1" s="1523"/>
      <c r="J1" s="1523"/>
    </row>
    <row r="2" spans="1:12" ht="23.25" customHeight="1">
      <c r="A2" s="1381" t="s">
        <v>321</v>
      </c>
      <c r="B2" s="294">
        <v>44152</v>
      </c>
      <c r="C2" s="43" t="s">
        <v>69</v>
      </c>
      <c r="D2" s="1232">
        <v>0.5</v>
      </c>
      <c r="E2" s="195"/>
      <c r="F2" s="195"/>
      <c r="G2" s="195" t="s">
        <v>129</v>
      </c>
      <c r="H2" s="195" t="s">
        <v>6</v>
      </c>
      <c r="I2" s="195" t="s">
        <v>8</v>
      </c>
      <c r="J2" s="44" t="s">
        <v>130</v>
      </c>
    </row>
    <row r="3" spans="1:12" ht="17.25" customHeight="1">
      <c r="A3" s="50"/>
      <c r="B3" s="480"/>
      <c r="C3" s="1362" t="s">
        <v>131</v>
      </c>
      <c r="D3" s="1233">
        <v>28</v>
      </c>
      <c r="E3" s="1569" t="s">
        <v>132</v>
      </c>
      <c r="F3" s="1570"/>
      <c r="G3" s="119"/>
      <c r="H3" s="53"/>
      <c r="I3" s="53"/>
      <c r="J3" s="53"/>
      <c r="K3" s="508"/>
      <c r="L3" s="509"/>
    </row>
    <row r="4" spans="1:12" ht="17.25" customHeight="1">
      <c r="A4" s="49"/>
      <c r="B4" s="50"/>
      <c r="C4" s="43" t="s">
        <v>133</v>
      </c>
      <c r="D4" s="1232">
        <v>0.8</v>
      </c>
      <c r="E4" s="51"/>
      <c r="F4" s="51"/>
      <c r="G4" s="51"/>
      <c r="H4" s="51"/>
      <c r="I4" s="52"/>
      <c r="J4" s="45"/>
      <c r="K4" s="510"/>
      <c r="L4" s="509"/>
    </row>
    <row r="5" spans="1:12" ht="21" customHeight="1" thickBot="1">
      <c r="A5" s="220" t="s">
        <v>134</v>
      </c>
      <c r="B5" s="221"/>
      <c r="C5" s="222"/>
      <c r="D5" s="223" t="s">
        <v>135</v>
      </c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11"/>
      <c r="L5" s="509"/>
    </row>
    <row r="6" spans="1:12" ht="21.75" customHeight="1">
      <c r="A6" s="1563" t="s">
        <v>141</v>
      </c>
      <c r="B6" s="1564"/>
      <c r="C6" s="1565"/>
      <c r="D6" s="481"/>
      <c r="E6" s="481"/>
      <c r="F6" s="481"/>
      <c r="G6" s="481"/>
      <c r="H6" s="482"/>
      <c r="I6" s="482"/>
      <c r="J6" s="482"/>
      <c r="K6" s="512"/>
      <c r="L6" s="509"/>
    </row>
    <row r="7" spans="1:12" ht="21.75" customHeight="1" thickBot="1">
      <c r="A7" s="255" t="s">
        <v>142</v>
      </c>
      <c r="B7" s="256"/>
      <c r="C7" s="257"/>
      <c r="D7" s="137" t="s">
        <v>143</v>
      </c>
      <c r="E7" s="323">
        <f>'[3]16'!F7</f>
        <v>2399183</v>
      </c>
      <c r="F7" s="323">
        <v>2419051</v>
      </c>
      <c r="G7" s="483">
        <f>F7-E7</f>
        <v>19868</v>
      </c>
      <c r="H7" s="61">
        <f>G7+'[3]16'!H7</f>
        <v>314026</v>
      </c>
      <c r="I7" s="162">
        <f>'[3]1'!I7</f>
        <v>12000</v>
      </c>
      <c r="J7" s="62">
        <f>H7/DAY(B2)</f>
        <v>18472.117647058825</v>
      </c>
      <c r="K7" s="513"/>
      <c r="L7" s="509"/>
    </row>
    <row r="8" spans="1:12" ht="21.75" customHeight="1" thickBot="1">
      <c r="A8" s="251" t="s">
        <v>144</v>
      </c>
      <c r="B8" s="252"/>
      <c r="C8" s="253"/>
      <c r="D8" s="141" t="s">
        <v>25</v>
      </c>
      <c r="E8" s="331">
        <f>'[3]16'!F8</f>
        <v>2410732</v>
      </c>
      <c r="F8" s="331">
        <v>2430672</v>
      </c>
      <c r="G8" s="483">
        <f>F8-E8</f>
        <v>19940</v>
      </c>
      <c r="H8" s="61">
        <f>G8+'[3]16'!H8</f>
        <v>315231</v>
      </c>
      <c r="I8" s="587">
        <f>'[3]1'!I8</f>
        <v>12000</v>
      </c>
      <c r="J8" s="62">
        <f>H8/DAY(B2)</f>
        <v>18543</v>
      </c>
      <c r="K8" s="513"/>
      <c r="L8" s="509"/>
    </row>
    <row r="9" spans="1:12" ht="21.75" customHeight="1" thickBot="1">
      <c r="A9" s="68" t="s">
        <v>145</v>
      </c>
      <c r="B9" s="69"/>
      <c r="C9" s="70"/>
      <c r="D9" s="59" t="s">
        <v>143</v>
      </c>
      <c r="E9" s="323">
        <f>'[3]16'!F9</f>
        <v>2214868.9</v>
      </c>
      <c r="F9" s="275">
        <v>2217715</v>
      </c>
      <c r="G9" s="209">
        <f t="shared" ref="G9:G12" si="0">F9-E9</f>
        <v>2846.1000000000931</v>
      </c>
      <c r="H9" s="61">
        <f>G9+'[3]16'!H9</f>
        <v>200709.69999999995</v>
      </c>
      <c r="I9" s="66">
        <f>I7-J7</f>
        <v>-6472.1176470588252</v>
      </c>
      <c r="J9" s="62">
        <f>H9/DAY(B2)</f>
        <v>11806.452941176467</v>
      </c>
      <c r="K9" s="513"/>
      <c r="L9" s="509"/>
    </row>
    <row r="10" spans="1:12" ht="21.75" customHeight="1" thickBot="1">
      <c r="A10" s="196" t="s">
        <v>146</v>
      </c>
      <c r="B10" s="197"/>
      <c r="C10" s="198"/>
      <c r="D10" s="59" t="s">
        <v>143</v>
      </c>
      <c r="E10" s="323">
        <f>'[3]16'!F10</f>
        <v>85827.755999999994</v>
      </c>
      <c r="F10" s="275">
        <v>102112</v>
      </c>
      <c r="G10" s="209">
        <f t="shared" si="0"/>
        <v>16284.244000000006</v>
      </c>
      <c r="H10" s="61">
        <f>G10+'[3]16'!H10</f>
        <v>102112.21000000002</v>
      </c>
      <c r="I10" s="73"/>
      <c r="J10" s="62">
        <f>H10/DAY(B2)</f>
        <v>6006.6005882352956</v>
      </c>
      <c r="K10" s="513"/>
      <c r="L10" s="509"/>
    </row>
    <row r="11" spans="1:12" ht="21.75" customHeight="1" thickBot="1">
      <c r="A11" s="196" t="s">
        <v>147</v>
      </c>
      <c r="B11" s="197"/>
      <c r="C11" s="198"/>
      <c r="D11" s="59" t="s">
        <v>143</v>
      </c>
      <c r="E11" s="323">
        <f>'[3]16'!F11</f>
        <v>35390</v>
      </c>
      <c r="F11" s="274">
        <v>35390</v>
      </c>
      <c r="G11" s="209">
        <f t="shared" si="0"/>
        <v>0</v>
      </c>
      <c r="H11" s="61">
        <f>G11+'[3]16'!H11</f>
        <v>0</v>
      </c>
      <c r="I11" s="73"/>
      <c r="J11" s="62">
        <f>H11/DAY(B2)</f>
        <v>0</v>
      </c>
      <c r="K11" s="513"/>
      <c r="L11" s="509"/>
    </row>
    <row r="12" spans="1:12" ht="21.75" customHeight="1" thickBot="1">
      <c r="A12" s="196" t="s">
        <v>148</v>
      </c>
      <c r="B12" s="197"/>
      <c r="C12" s="198"/>
      <c r="D12" s="59" t="s">
        <v>143</v>
      </c>
      <c r="E12" s="323">
        <f>'[3]16'!F12</f>
        <v>37630</v>
      </c>
      <c r="F12" s="275">
        <v>37630</v>
      </c>
      <c r="G12" s="209">
        <f t="shared" si="0"/>
        <v>0</v>
      </c>
      <c r="H12" s="61">
        <f>G12+'[3]16'!H12</f>
        <v>0</v>
      </c>
      <c r="I12" s="73"/>
      <c r="J12" s="62">
        <f>H12/DAY(B2)</f>
        <v>0</v>
      </c>
      <c r="K12" s="513"/>
      <c r="L12" s="509"/>
    </row>
    <row r="13" spans="1:12" ht="21" customHeight="1">
      <c r="A13" s="484" t="s">
        <v>149</v>
      </c>
      <c r="B13" s="485"/>
      <c r="C13" s="486"/>
      <c r="D13" s="59"/>
      <c r="E13" s="74"/>
      <c r="F13" s="74"/>
      <c r="G13" s="72">
        <f>G9+G10+G11+G12</f>
        <v>19130.344000000099</v>
      </c>
      <c r="H13" s="61">
        <f>G13+'[3]16'!H13</f>
        <v>267165.90999999997</v>
      </c>
      <c r="I13" s="411">
        <f>G7-G13</f>
        <v>737.65599999990081</v>
      </c>
      <c r="J13" s="62">
        <f>H13/DAY(B2)</f>
        <v>15715.641764705881</v>
      </c>
      <c r="K13" s="513"/>
      <c r="L13" s="509"/>
    </row>
    <row r="14" spans="1:12" ht="17.25" customHeight="1">
      <c r="A14" s="1566" t="s">
        <v>150</v>
      </c>
      <c r="B14" s="1567"/>
      <c r="C14" s="1568"/>
      <c r="D14" s="482"/>
      <c r="E14" s="482"/>
      <c r="F14" s="482"/>
      <c r="G14" s="487"/>
      <c r="H14" s="482"/>
      <c r="I14" s="482"/>
      <c r="J14" s="482"/>
      <c r="K14" s="514"/>
      <c r="L14" s="509"/>
    </row>
    <row r="15" spans="1:12" ht="21.75" customHeight="1" thickBot="1">
      <c r="A15" s="187" t="s">
        <v>151</v>
      </c>
      <c r="B15" s="188"/>
      <c r="C15" s="189"/>
      <c r="D15" s="137" t="s">
        <v>152</v>
      </c>
      <c r="E15" s="163">
        <f>'[3]16'!F15</f>
        <v>1538363.2339999999</v>
      </c>
      <c r="F15" s="138">
        <v>1538893.11</v>
      </c>
      <c r="G15" s="209">
        <f>(F15-E15)</f>
        <v>529.87600000016391</v>
      </c>
      <c r="H15" s="61">
        <f>G15+'[3]16'!H15</f>
        <v>8777.9160000002012</v>
      </c>
      <c r="I15" s="162">
        <f>'[3]1'!I15</f>
        <v>800</v>
      </c>
      <c r="J15" s="62">
        <f>H15/DAY(B2)</f>
        <v>516.34800000001178</v>
      </c>
      <c r="K15" s="513"/>
      <c r="L15" s="509"/>
    </row>
    <row r="16" spans="1:12" ht="17.25" customHeight="1">
      <c r="A16" s="228"/>
      <c r="B16" s="229"/>
      <c r="C16" s="230"/>
      <c r="D16" s="231"/>
      <c r="E16" s="216"/>
      <c r="F16" s="216"/>
      <c r="G16" s="209"/>
      <c r="H16" s="259"/>
      <c r="I16" s="419">
        <f>I15-J15</f>
        <v>283.65199999998822</v>
      </c>
      <c r="J16" s="233"/>
      <c r="K16" s="513"/>
      <c r="L16" s="509"/>
    </row>
    <row r="17" spans="1:12" ht="17.25" customHeight="1">
      <c r="A17" s="1566" t="s">
        <v>153</v>
      </c>
      <c r="B17" s="1567"/>
      <c r="C17" s="1568"/>
      <c r="D17" s="482"/>
      <c r="E17" s="482"/>
      <c r="F17" s="482"/>
      <c r="G17" s="488"/>
      <c r="H17" s="482"/>
      <c r="I17" s="482"/>
      <c r="J17" s="482"/>
      <c r="K17" s="513"/>
      <c r="L17" s="509"/>
    </row>
    <row r="18" spans="1:12" ht="17.25" customHeight="1" thickBot="1">
      <c r="A18" s="1536" t="s">
        <v>154</v>
      </c>
      <c r="B18" s="1537"/>
      <c r="C18" s="1538"/>
      <c r="D18" s="59" t="s">
        <v>155</v>
      </c>
      <c r="E18" s="163">
        <f>'[3]16'!F18</f>
        <v>6</v>
      </c>
      <c r="F18" s="86">
        <v>10</v>
      </c>
      <c r="G18" s="72">
        <f>F18*10</f>
        <v>100</v>
      </c>
      <c r="H18" s="61">
        <f>G18+'[3]16'!H18</f>
        <v>1780</v>
      </c>
      <c r="I18" s="162">
        <f>'[3]1'!I18</f>
        <v>65</v>
      </c>
      <c r="J18" s="62">
        <f>H18/DAY(B2)</f>
        <v>104.70588235294117</v>
      </c>
      <c r="K18" s="513"/>
      <c r="L18" s="509"/>
    </row>
    <row r="19" spans="1:12" ht="17.25" customHeight="1" thickBot="1">
      <c r="A19" s="1536" t="s">
        <v>71</v>
      </c>
      <c r="B19" s="1537"/>
      <c r="C19" s="1538"/>
      <c r="D19" s="59" t="s">
        <v>155</v>
      </c>
      <c r="E19" s="163">
        <f>'[3]16'!F19</f>
        <v>129017</v>
      </c>
      <c r="F19" s="86">
        <v>129072</v>
      </c>
      <c r="G19" s="209">
        <f>F19-E19</f>
        <v>55</v>
      </c>
      <c r="H19" s="61">
        <f>G19+'[3]16'!H19</f>
        <v>877</v>
      </c>
      <c r="I19" s="84"/>
      <c r="J19" s="62">
        <f>H19/DAY(B2)</f>
        <v>51.588235294117645</v>
      </c>
      <c r="K19" s="513"/>
      <c r="L19" s="509"/>
    </row>
    <row r="20" spans="1:12" ht="17.25" customHeight="1">
      <c r="A20" s="484" t="s">
        <v>156</v>
      </c>
      <c r="B20" s="485"/>
      <c r="C20" s="486"/>
      <c r="D20" s="124"/>
      <c r="E20" s="124"/>
      <c r="F20" s="124"/>
      <c r="G20" s="129">
        <f>G18+G19</f>
        <v>155</v>
      </c>
      <c r="H20" s="61">
        <f>G20+'[3]16'!H20</f>
        <v>2657</v>
      </c>
      <c r="I20" s="354">
        <f>I18-J20</f>
        <v>-91.294117647058812</v>
      </c>
      <c r="J20" s="62">
        <f>H20/DAY(B2)</f>
        <v>156.29411764705881</v>
      </c>
      <c r="K20" s="513"/>
      <c r="L20" s="509"/>
    </row>
    <row r="21" spans="1:12" ht="17.25" customHeight="1">
      <c r="A21" s="1566" t="s">
        <v>157</v>
      </c>
      <c r="B21" s="1567"/>
      <c r="C21" s="1568"/>
      <c r="D21" s="482"/>
      <c r="E21" s="482"/>
      <c r="F21" s="482"/>
      <c r="G21" s="487"/>
      <c r="H21" s="482"/>
      <c r="I21" s="482"/>
      <c r="J21" s="482"/>
      <c r="K21" s="513"/>
      <c r="L21" s="509"/>
    </row>
    <row r="22" spans="1:12" ht="17.25" customHeight="1" thickBot="1">
      <c r="A22" s="1359" t="s">
        <v>158</v>
      </c>
      <c r="B22" s="1360"/>
      <c r="C22" s="1361"/>
      <c r="D22" s="59" t="s">
        <v>159</v>
      </c>
      <c r="E22" s="163">
        <f>'[3]16'!F22</f>
        <v>2250</v>
      </c>
      <c r="F22" s="86">
        <v>2250</v>
      </c>
      <c r="G22" s="209">
        <v>0</v>
      </c>
      <c r="H22" s="61">
        <f>G22+'[3]16'!H22</f>
        <v>0</v>
      </c>
      <c r="I22" s="73"/>
      <c r="J22" s="62">
        <f>H22/DAY(B2)</f>
        <v>0</v>
      </c>
      <c r="K22" s="513"/>
      <c r="L22" s="509"/>
    </row>
    <row r="23" spans="1:12" ht="17.25" customHeight="1" thickBot="1">
      <c r="A23" s="1359" t="s">
        <v>160</v>
      </c>
      <c r="B23" s="1360"/>
      <c r="C23" s="1361"/>
      <c r="D23" s="59" t="s">
        <v>159</v>
      </c>
      <c r="E23" s="163">
        <f>'[3]16'!F23</f>
        <v>1700</v>
      </c>
      <c r="F23" s="86">
        <v>1700</v>
      </c>
      <c r="G23" s="72">
        <v>0</v>
      </c>
      <c r="H23" s="61">
        <f>G23+'[3]16'!H23</f>
        <v>0</v>
      </c>
      <c r="I23" s="73"/>
      <c r="J23" s="62">
        <f>H23/DAY(B2)</f>
        <v>0</v>
      </c>
      <c r="K23" s="513"/>
      <c r="L23" s="509"/>
    </row>
    <row r="24" spans="1:12" ht="17.25" customHeight="1" thickBot="1">
      <c r="A24" s="489" t="s">
        <v>161</v>
      </c>
      <c r="B24" s="490"/>
      <c r="C24" s="491"/>
      <c r="D24" s="58" t="s">
        <v>159</v>
      </c>
      <c r="E24" s="163">
        <f>'[3]16'!F24</f>
        <v>3310</v>
      </c>
      <c r="F24" s="95">
        <v>3310</v>
      </c>
      <c r="G24" s="72">
        <v>0</v>
      </c>
      <c r="H24" s="61">
        <v>0</v>
      </c>
      <c r="I24" s="73"/>
      <c r="J24" s="62">
        <f>H24/DAY(B2)</f>
        <v>0</v>
      </c>
      <c r="K24" s="513"/>
      <c r="L24" s="509"/>
    </row>
    <row r="25" spans="1:12" s="544" customFormat="1" ht="18.75" customHeight="1">
      <c r="A25" s="1520" t="s">
        <v>162</v>
      </c>
      <c r="B25" s="1521"/>
      <c r="C25" s="1522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19940</v>
      </c>
      <c r="F27" s="641">
        <v>9.5</v>
      </c>
      <c r="G27" s="407">
        <f>E27*F27</f>
        <v>189430</v>
      </c>
      <c r="H27" s="288">
        <f>G27+'[3]16'!H27</f>
        <v>2994694.5</v>
      </c>
      <c r="I27" s="365"/>
      <c r="J27" s="325">
        <f>H27/DAY(B2)</f>
        <v>176158.5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529.87600000016391</v>
      </c>
      <c r="F28" s="641">
        <v>36.5</v>
      </c>
      <c r="G28" s="407">
        <f>E28*F28</f>
        <v>19340.474000005983</v>
      </c>
      <c r="H28" s="288">
        <f>G28+'[3]16'!H28</f>
        <v>320393.93400000734</v>
      </c>
      <c r="I28" s="367"/>
      <c r="J28" s="325">
        <f>H28/DAY(B2)</f>
        <v>18846.70200000043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G29+'[3]16'!H29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55</v>
      </c>
      <c r="F30" s="641">
        <v>145</v>
      </c>
      <c r="G30" s="407">
        <f>E30*F30</f>
        <v>7975</v>
      </c>
      <c r="H30" s="288">
        <f>G30+'[3]16'!H30</f>
        <v>127165</v>
      </c>
      <c r="I30" s="367"/>
      <c r="J30" s="325">
        <f>H30/DAY(B2)</f>
        <v>7480.2941176470586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100</v>
      </c>
      <c r="F31" s="641">
        <v>80</v>
      </c>
      <c r="G31" s="407">
        <f>E31*F31</f>
        <v>8000</v>
      </c>
      <c r="H31" s="288">
        <f>G31+'[3]16'!H31</f>
        <v>142400</v>
      </c>
      <c r="I31" s="367"/>
      <c r="J31" s="325"/>
      <c r="K31" s="326">
        <f>E31*80%</f>
        <v>80</v>
      </c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224745.47400000598</v>
      </c>
      <c r="H32" s="288">
        <f>G32+'[3]16'!H32</f>
        <v>3584653.4340000078</v>
      </c>
      <c r="I32" s="370"/>
      <c r="J32" s="325">
        <f>H32/DAY(B2)</f>
        <v>210861.96670588281</v>
      </c>
      <c r="K32" s="326"/>
      <c r="L32" s="547"/>
    </row>
    <row r="33" spans="1:12" ht="17.25" customHeight="1">
      <c r="A33" s="1517" t="s">
        <v>173</v>
      </c>
      <c r="B33" s="1518"/>
      <c r="C33" s="1518"/>
      <c r="D33" s="1518"/>
      <c r="E33" s="1518"/>
      <c r="F33" s="1518"/>
      <c r="G33" s="1518"/>
      <c r="H33" s="1518"/>
      <c r="I33" s="1518"/>
      <c r="J33" s="1519"/>
      <c r="K33" s="513"/>
      <c r="L33" s="509"/>
    </row>
    <row r="34" spans="1:12" ht="17.25" customHeight="1">
      <c r="A34" s="1365" t="s">
        <v>174</v>
      </c>
      <c r="B34" s="1366"/>
      <c r="C34" s="1367"/>
      <c r="D34" s="482"/>
      <c r="E34" s="481"/>
      <c r="F34" s="481"/>
      <c r="G34" s="482"/>
      <c r="H34" s="482"/>
      <c r="I34" s="482"/>
      <c r="J34" s="482"/>
      <c r="K34" s="513"/>
      <c r="L34" s="509"/>
    </row>
    <row r="35" spans="1:12" ht="17.25" customHeight="1" thickBot="1">
      <c r="A35" s="196" t="s">
        <v>175</v>
      </c>
      <c r="B35" s="197"/>
      <c r="C35" s="198"/>
      <c r="D35" s="59" t="s">
        <v>143</v>
      </c>
      <c r="E35" s="163">
        <f>'[3]16'!F35</f>
        <v>629201</v>
      </c>
      <c r="F35" s="215">
        <v>629201</v>
      </c>
      <c r="G35" s="209">
        <f t="shared" ref="G35:G46" si="1">F35-E35</f>
        <v>0</v>
      </c>
      <c r="H35" s="61">
        <f>G35+'[3]16'!H35</f>
        <v>25857.530000000028</v>
      </c>
      <c r="I35" s="60"/>
      <c r="J35" s="62">
        <f>H35/DAY(B2)</f>
        <v>1521.0311764705898</v>
      </c>
      <c r="K35" s="513"/>
      <c r="L35" s="509"/>
    </row>
    <row r="36" spans="1:12" ht="17.25" customHeight="1" thickBot="1">
      <c r="A36" s="196" t="s">
        <v>176</v>
      </c>
      <c r="B36" s="197"/>
      <c r="C36" s="198"/>
      <c r="D36" s="59" t="s">
        <v>143</v>
      </c>
      <c r="E36" s="163">
        <f>'[3]16'!F36</f>
        <v>220581.03</v>
      </c>
      <c r="F36" s="215">
        <v>221162</v>
      </c>
      <c r="G36" s="209">
        <f t="shared" si="1"/>
        <v>580.97000000000116</v>
      </c>
      <c r="H36" s="61">
        <f>G36+'[3]16'!H36</f>
        <v>9802.0499999999884</v>
      </c>
      <c r="I36" s="60"/>
      <c r="J36" s="62">
        <f>H36/DAY(B2)</f>
        <v>576.59117647058758</v>
      </c>
      <c r="K36" s="513"/>
      <c r="L36" s="509"/>
    </row>
    <row r="37" spans="1:12" ht="17.25" customHeight="1" thickBot="1">
      <c r="A37" s="196" t="s">
        <v>177</v>
      </c>
      <c r="B37" s="197"/>
      <c r="C37" s="198"/>
      <c r="D37" s="59" t="s">
        <v>143</v>
      </c>
      <c r="E37" s="163">
        <f>'[3]16'!F37</f>
        <v>415066</v>
      </c>
      <c r="F37" s="215">
        <v>415066</v>
      </c>
      <c r="G37" s="209">
        <f t="shared" si="1"/>
        <v>0</v>
      </c>
      <c r="H37" s="61">
        <f>G37+'[3]16'!H37</f>
        <v>15221.809999999998</v>
      </c>
      <c r="I37" s="60"/>
      <c r="J37" s="62">
        <f>H37/DAY(B2)</f>
        <v>895.40058823529398</v>
      </c>
      <c r="K37" s="513"/>
      <c r="L37" s="509"/>
    </row>
    <row r="38" spans="1:12" ht="17.25" customHeight="1" thickBot="1">
      <c r="A38" s="196" t="s">
        <v>178</v>
      </c>
      <c r="B38" s="197"/>
      <c r="C38" s="198"/>
      <c r="D38" s="59" t="s">
        <v>143</v>
      </c>
      <c r="E38" s="163">
        <f>'[3]16'!F38</f>
        <v>150714</v>
      </c>
      <c r="F38" s="167">
        <v>150714</v>
      </c>
      <c r="G38" s="209">
        <f t="shared" si="1"/>
        <v>0</v>
      </c>
      <c r="H38" s="61">
        <f>G38+'[3]16'!H38</f>
        <v>0</v>
      </c>
      <c r="I38" s="60"/>
      <c r="J38" s="62">
        <f>H38/DAY(B2)</f>
        <v>0</v>
      </c>
      <c r="K38" s="513"/>
      <c r="L38" s="509"/>
    </row>
    <row r="39" spans="1:12" ht="17.25" customHeight="1" thickBot="1">
      <c r="A39" s="196" t="s">
        <v>179</v>
      </c>
      <c r="B39" s="197"/>
      <c r="C39" s="198"/>
      <c r="D39" s="59" t="s">
        <v>143</v>
      </c>
      <c r="E39" s="163">
        <f>'[3]16'!F39</f>
        <v>912480</v>
      </c>
      <c r="F39" s="215">
        <v>912480</v>
      </c>
      <c r="G39" s="209">
        <f>F39-E39</f>
        <v>0</v>
      </c>
      <c r="H39" s="61">
        <f>G39+'[3]16'!H39</f>
        <v>40355.290000000037</v>
      </c>
      <c r="I39" s="60"/>
      <c r="J39" s="62">
        <f>H39/DAY(B2)</f>
        <v>2373.8405882352963</v>
      </c>
      <c r="K39" s="513"/>
      <c r="L39" s="509"/>
    </row>
    <row r="40" spans="1:12" ht="17.25" customHeight="1" thickBot="1">
      <c r="A40" s="80" t="s">
        <v>180</v>
      </c>
      <c r="B40" s="81"/>
      <c r="C40" s="82"/>
      <c r="D40" s="59" t="s">
        <v>143</v>
      </c>
      <c r="E40" s="163">
        <f>'[3]16'!F40</f>
        <v>0.17</v>
      </c>
      <c r="F40" s="215">
        <v>0.17</v>
      </c>
      <c r="G40" s="209">
        <f t="shared" si="1"/>
        <v>0</v>
      </c>
      <c r="H40" s="61">
        <f>G40+'[3]16'!H40</f>
        <v>0</v>
      </c>
      <c r="I40" s="60"/>
      <c r="J40" s="62">
        <f>H40/DAY(B2)</f>
        <v>0</v>
      </c>
      <c r="K40" s="514"/>
      <c r="L40" s="509"/>
    </row>
    <row r="41" spans="1:12" ht="17.25" customHeight="1" thickBot="1">
      <c r="A41" s="196" t="s">
        <v>181</v>
      </c>
      <c r="B41" s="197"/>
      <c r="C41" s="198"/>
      <c r="D41" s="59" t="s">
        <v>143</v>
      </c>
      <c r="E41" s="163">
        <f>'[3]16'!F41</f>
        <v>300127.95</v>
      </c>
      <c r="F41" s="215">
        <v>300127.95</v>
      </c>
      <c r="G41" s="209">
        <f t="shared" si="1"/>
        <v>0</v>
      </c>
      <c r="H41" s="61">
        <f>G41+'[3]16'!H41</f>
        <v>-1.9999999960418791E-2</v>
      </c>
      <c r="I41" s="60"/>
      <c r="J41" s="62">
        <f>H41/DAY(B2)</f>
        <v>-1.1764705859069876E-3</v>
      </c>
      <c r="K41" s="513"/>
      <c r="L41" s="509"/>
    </row>
    <row r="42" spans="1:12" ht="17.25" customHeight="1" thickBot="1">
      <c r="A42" s="196" t="s">
        <v>182</v>
      </c>
      <c r="B42" s="197"/>
      <c r="C42" s="198"/>
      <c r="D42" s="59" t="s">
        <v>143</v>
      </c>
      <c r="E42" s="163">
        <f>'[3]16'!F42</f>
        <v>396197.47</v>
      </c>
      <c r="F42" s="215">
        <v>396197.47</v>
      </c>
      <c r="G42" s="209">
        <f>F42-E42</f>
        <v>0</v>
      </c>
      <c r="H42" s="61">
        <f>G42+'[3]16'!H42</f>
        <v>0</v>
      </c>
      <c r="I42" s="60"/>
      <c r="J42" s="62">
        <f>H42/DAY(B2)</f>
        <v>0</v>
      </c>
      <c r="K42" s="513"/>
      <c r="L42" s="509"/>
    </row>
    <row r="43" spans="1:12" ht="17.25" customHeight="1" thickBot="1">
      <c r="A43" s="196" t="s">
        <v>183</v>
      </c>
      <c r="B43" s="197"/>
      <c r="C43" s="198"/>
      <c r="D43" s="59" t="s">
        <v>143</v>
      </c>
      <c r="E43" s="163">
        <f>'[3]16'!F43</f>
        <v>596157.18999999994</v>
      </c>
      <c r="F43" s="215">
        <v>598549</v>
      </c>
      <c r="G43" s="209">
        <f t="shared" si="1"/>
        <v>2391.8100000000559</v>
      </c>
      <c r="H43" s="61">
        <f>G43+'[3]16'!H43</f>
        <v>40224.930000000051</v>
      </c>
      <c r="I43" s="60"/>
      <c r="J43" s="62">
        <f>H43/DAY(B2)</f>
        <v>2366.1723529411793</v>
      </c>
      <c r="K43" s="513"/>
      <c r="L43" s="509"/>
    </row>
    <row r="44" spans="1:12" ht="17.25" customHeight="1" thickBot="1">
      <c r="A44" s="196" t="s">
        <v>184</v>
      </c>
      <c r="B44" s="197"/>
      <c r="C44" s="198"/>
      <c r="D44" s="59" t="s">
        <v>143</v>
      </c>
      <c r="E44" s="163">
        <f>'[3]16'!F44</f>
        <v>0</v>
      </c>
      <c r="F44" s="215">
        <v>0</v>
      </c>
      <c r="G44" s="209">
        <f t="shared" si="1"/>
        <v>0</v>
      </c>
      <c r="H44" s="61">
        <f>G44+'[3]16'!H44</f>
        <v>0</v>
      </c>
      <c r="I44" s="60"/>
      <c r="J44" s="62">
        <f>H44/DAY(B2)</f>
        <v>0</v>
      </c>
      <c r="K44" s="513"/>
      <c r="L44" s="509"/>
    </row>
    <row r="45" spans="1:12" ht="17.25" customHeight="1" thickBot="1">
      <c r="A45" s="196" t="s">
        <v>185</v>
      </c>
      <c r="B45" s="197"/>
      <c r="C45" s="198"/>
      <c r="D45" s="59" t="s">
        <v>143</v>
      </c>
      <c r="E45" s="163">
        <f>'[3]16'!F45</f>
        <v>614</v>
      </c>
      <c r="F45" s="215">
        <v>614</v>
      </c>
      <c r="G45" s="209">
        <f t="shared" si="1"/>
        <v>0</v>
      </c>
      <c r="H45" s="61">
        <f>G45+'[3]16'!H45</f>
        <v>-0.48000000000001819</v>
      </c>
      <c r="I45" s="60"/>
      <c r="J45" s="62">
        <f>H45/DAY(B2)</f>
        <v>-2.8235294117648128E-2</v>
      </c>
      <c r="K45" s="513"/>
      <c r="L45" s="509"/>
    </row>
    <row r="46" spans="1:12" ht="17.25" customHeight="1" thickBot="1">
      <c r="A46" s="196" t="s">
        <v>186</v>
      </c>
      <c r="B46" s="197"/>
      <c r="C46" s="198"/>
      <c r="D46" s="59" t="s">
        <v>143</v>
      </c>
      <c r="E46" s="163">
        <f>'[3]16'!F46</f>
        <v>187.49</v>
      </c>
      <c r="F46" s="215">
        <v>187.49</v>
      </c>
      <c r="G46" s="209">
        <f t="shared" si="1"/>
        <v>0</v>
      </c>
      <c r="H46" s="61">
        <f>G46+'[3]16'!H46</f>
        <v>0</v>
      </c>
      <c r="I46" s="60"/>
      <c r="J46" s="62">
        <f>H46/DAY(B2)</f>
        <v>0</v>
      </c>
      <c r="K46" s="513"/>
      <c r="L46" s="509"/>
    </row>
    <row r="47" spans="1:12" ht="17.25" customHeight="1">
      <c r="A47" s="484" t="s">
        <v>187</v>
      </c>
      <c r="B47" s="485"/>
      <c r="C47" s="486"/>
      <c r="D47" s="83"/>
      <c r="E47" s="58"/>
      <c r="F47" s="58"/>
      <c r="G47" s="72">
        <f>G35+G36+G37+G38+G39+G40+G41+G42+G43+G44+G45+G46</f>
        <v>2972.780000000057</v>
      </c>
      <c r="H47" s="61">
        <f>G47+'[3]16'!H47</f>
        <v>131461.11000000016</v>
      </c>
      <c r="I47" s="60"/>
      <c r="J47" s="62">
        <f>H47/DAY(B2)</f>
        <v>7733.0064705882451</v>
      </c>
      <c r="K47" s="513"/>
      <c r="L47" s="509"/>
    </row>
    <row r="48" spans="1:12" ht="17.25" customHeight="1">
      <c r="A48" s="1365" t="s">
        <v>188</v>
      </c>
      <c r="B48" s="1366"/>
      <c r="C48" s="1367"/>
      <c r="D48" s="482"/>
      <c r="E48" s="481"/>
      <c r="F48" s="481"/>
      <c r="G48" s="482"/>
      <c r="H48" s="482"/>
      <c r="I48" s="482"/>
      <c r="J48" s="482"/>
      <c r="K48" s="513"/>
      <c r="L48" s="509"/>
    </row>
    <row r="49" spans="1:12" ht="17.25" customHeight="1" thickBot="1">
      <c r="A49" s="196" t="s">
        <v>175</v>
      </c>
      <c r="B49" s="179"/>
      <c r="C49" s="180"/>
      <c r="D49" s="59" t="s">
        <v>143</v>
      </c>
      <c r="E49" s="163">
        <f>'[3]16'!F49</f>
        <v>25991.866999999998</v>
      </c>
      <c r="F49" s="215">
        <v>28605</v>
      </c>
      <c r="G49" s="209">
        <f t="shared" ref="G49:G58" si="2">F49-E49</f>
        <v>2613.1330000000016</v>
      </c>
      <c r="H49" s="61">
        <f>G49+'[3]16'!H49</f>
        <v>16875.712</v>
      </c>
      <c r="I49" s="60"/>
      <c r="J49" s="62">
        <f>H49/DAY(B2)</f>
        <v>992.68894117647051</v>
      </c>
      <c r="K49" s="513">
        <f>E49+242</f>
        <v>26233.866999999998</v>
      </c>
      <c r="L49" s="509"/>
    </row>
    <row r="50" spans="1:12" ht="17.25" customHeight="1" thickBot="1">
      <c r="A50" s="196" t="s">
        <v>189</v>
      </c>
      <c r="B50" s="179"/>
      <c r="C50" s="180"/>
      <c r="D50" s="59" t="s">
        <v>143</v>
      </c>
      <c r="E50" s="163">
        <f>'[3]16'!F50</f>
        <v>280066.27</v>
      </c>
      <c r="F50" s="215">
        <v>281232</v>
      </c>
      <c r="G50" s="209">
        <f t="shared" si="2"/>
        <v>1165.7299999999814</v>
      </c>
      <c r="H50" s="61">
        <f>G50+'[3]16'!H50</f>
        <v>15173.059999999998</v>
      </c>
      <c r="I50" s="60"/>
      <c r="J50" s="62">
        <f>H50/DAY(B2)</f>
        <v>892.53294117647044</v>
      </c>
      <c r="K50" s="513"/>
      <c r="L50" s="509"/>
    </row>
    <row r="51" spans="1:12" ht="17.25" customHeight="1" thickBot="1">
      <c r="A51" s="196" t="s">
        <v>177</v>
      </c>
      <c r="B51" s="179"/>
      <c r="C51" s="180"/>
      <c r="D51" s="59" t="s">
        <v>143</v>
      </c>
      <c r="E51" s="163">
        <v>0</v>
      </c>
      <c r="F51" s="1716">
        <v>844.69</v>
      </c>
      <c r="G51" s="209">
        <f t="shared" si="2"/>
        <v>844.69</v>
      </c>
      <c r="H51" s="61">
        <f>G51+'[3]16'!H51</f>
        <v>8819.7419000000009</v>
      </c>
      <c r="I51" s="60"/>
      <c r="J51" s="62">
        <f>H51/DAY(B2)</f>
        <v>518.80834705882353</v>
      </c>
      <c r="K51" s="513"/>
      <c r="L51" s="509"/>
    </row>
    <row r="52" spans="1:12" ht="17.25" customHeight="1" thickBot="1">
      <c r="A52" s="196" t="s">
        <v>190</v>
      </c>
      <c r="B52" s="179"/>
      <c r="C52" s="180"/>
      <c r="D52" s="59" t="s">
        <v>143</v>
      </c>
      <c r="E52" s="163">
        <f>'[3]16'!F52</f>
        <v>346377.51</v>
      </c>
      <c r="F52" s="215">
        <v>348174.59</v>
      </c>
      <c r="G52" s="209">
        <f t="shared" si="2"/>
        <v>1797.0800000000163</v>
      </c>
      <c r="H52" s="61">
        <f>G52+'[3]16'!H52</f>
        <v>25885.170000000042</v>
      </c>
      <c r="I52" s="60"/>
      <c r="J52" s="62">
        <f>H52/DAY(B2)</f>
        <v>1522.6570588235318</v>
      </c>
      <c r="K52" s="513"/>
      <c r="L52" s="509"/>
    </row>
    <row r="53" spans="1:12" ht="17.25" customHeight="1" thickBot="1">
      <c r="A53" s="196" t="s">
        <v>179</v>
      </c>
      <c r="B53" s="179"/>
      <c r="C53" s="180"/>
      <c r="D53" s="59" t="s">
        <v>143</v>
      </c>
      <c r="E53" s="163">
        <v>0</v>
      </c>
      <c r="F53" s="1716">
        <v>2150.2800000000002</v>
      </c>
      <c r="G53" s="209">
        <f t="shared" si="2"/>
        <v>2150.2800000000002</v>
      </c>
      <c r="H53" s="61">
        <f>G53+'[3]16'!H53</f>
        <v>10251.280000000001</v>
      </c>
      <c r="I53" s="60"/>
      <c r="J53" s="62">
        <f>H53/DAY(B2)</f>
        <v>603.01647058823528</v>
      </c>
      <c r="K53" s="513"/>
      <c r="L53" s="509"/>
    </row>
    <row r="54" spans="1:12" ht="17.25" customHeight="1" thickBot="1">
      <c r="A54" s="196" t="s">
        <v>191</v>
      </c>
      <c r="B54" s="179"/>
      <c r="C54" s="180"/>
      <c r="D54" s="59" t="s">
        <v>143</v>
      </c>
      <c r="E54" s="163">
        <f>'[3]16'!F54</f>
        <v>2518.84</v>
      </c>
      <c r="F54" s="215">
        <v>2585.64</v>
      </c>
      <c r="G54" s="209">
        <f t="shared" si="2"/>
        <v>66.799999999999727</v>
      </c>
      <c r="H54" s="61">
        <f>G54+'[3]16'!H54</f>
        <v>1033.0792999999999</v>
      </c>
      <c r="I54" s="60"/>
      <c r="J54" s="62">
        <f>H54/DAY(B2)</f>
        <v>60.76937058823529</v>
      </c>
      <c r="K54" s="513"/>
      <c r="L54" s="509"/>
    </row>
    <row r="55" spans="1:12" ht="17.25" customHeight="1" thickBot="1">
      <c r="A55" s="196" t="s">
        <v>192</v>
      </c>
      <c r="B55" s="179"/>
      <c r="C55" s="180"/>
      <c r="D55" s="59" t="s">
        <v>143</v>
      </c>
      <c r="E55" s="163">
        <f>'[3]16'!F55</f>
        <v>158492.73000000001</v>
      </c>
      <c r="F55" s="215">
        <v>158492.73000000001</v>
      </c>
      <c r="G55" s="209">
        <f t="shared" si="2"/>
        <v>0</v>
      </c>
      <c r="H55" s="61">
        <f>G55+'[3]16'!H55</f>
        <v>-0.26999999998952262</v>
      </c>
      <c r="I55" s="60"/>
      <c r="J55" s="62">
        <f>H55/DAY(B2)</f>
        <v>-1.5882352940560153E-2</v>
      </c>
      <c r="K55" s="513"/>
      <c r="L55" s="509"/>
    </row>
    <row r="56" spans="1:12" ht="17.25" customHeight="1" thickBot="1">
      <c r="A56" s="196" t="s">
        <v>193</v>
      </c>
      <c r="B56" s="179"/>
      <c r="C56" s="180"/>
      <c r="D56" s="59" t="s">
        <v>194</v>
      </c>
      <c r="E56" s="163">
        <f>'[3]16'!F56</f>
        <v>372129.67</v>
      </c>
      <c r="F56" s="215">
        <v>377515</v>
      </c>
      <c r="G56" s="209">
        <f>F56-E56</f>
        <v>5385.3300000000163</v>
      </c>
      <c r="H56" s="61">
        <f>G56+'[3]16'!H56</f>
        <v>65470.520000000019</v>
      </c>
      <c r="I56" s="60"/>
      <c r="J56" s="62">
        <f>H56/DAY(B2)</f>
        <v>3851.2070588235306</v>
      </c>
      <c r="K56" s="512"/>
      <c r="L56" s="509"/>
    </row>
    <row r="57" spans="1:12" ht="17.25" customHeight="1" thickBot="1">
      <c r="A57" s="196" t="s">
        <v>183</v>
      </c>
      <c r="B57" s="179"/>
      <c r="C57" s="180"/>
      <c r="D57" s="59" t="s">
        <v>143</v>
      </c>
      <c r="E57" s="163">
        <f>'[3]16'!F57</f>
        <v>0</v>
      </c>
      <c r="F57" s="215">
        <v>0</v>
      </c>
      <c r="G57" s="209">
        <f>F57-E57</f>
        <v>0</v>
      </c>
      <c r="H57" s="61">
        <f>G57+'[3]16'!H57</f>
        <v>0</v>
      </c>
      <c r="I57" s="60"/>
      <c r="J57" s="62">
        <f>H57/DAY(B2)</f>
        <v>0</v>
      </c>
      <c r="K57" s="513"/>
      <c r="L57" s="509"/>
    </row>
    <row r="58" spans="1:12" ht="17.25" customHeight="1" thickBot="1">
      <c r="A58" s="196" t="s">
        <v>195</v>
      </c>
      <c r="B58" s="179"/>
      <c r="C58" s="180"/>
      <c r="D58" s="59" t="s">
        <v>143</v>
      </c>
      <c r="E58" s="163">
        <f>'[3]16'!F58</f>
        <v>18703.345000000001</v>
      </c>
      <c r="F58" s="215">
        <v>18789.740000000002</v>
      </c>
      <c r="G58" s="209">
        <f t="shared" si="2"/>
        <v>86.395000000000437</v>
      </c>
      <c r="H58" s="61">
        <f>G58+'[3]16'!H58</f>
        <v>1020.4439999999995</v>
      </c>
      <c r="I58" s="60"/>
      <c r="J58" s="62">
        <f>H58/DAY(B2)</f>
        <v>60.026117647058797</v>
      </c>
      <c r="K58" s="513"/>
      <c r="L58" s="509"/>
    </row>
    <row r="59" spans="1:12" ht="17.25" customHeight="1">
      <c r="A59" s="484" t="s">
        <v>187</v>
      </c>
      <c r="B59" s="485"/>
      <c r="C59" s="486"/>
      <c r="D59" s="58"/>
      <c r="E59" s="58"/>
      <c r="F59" s="58"/>
      <c r="G59" s="72">
        <f>G49+G50+G51+G52+G53+G54+G55+G56+G57+G58</f>
        <v>14109.438000000016</v>
      </c>
      <c r="H59" s="61">
        <f>G59+'[3]16'!H59</f>
        <v>144528.73720000006</v>
      </c>
      <c r="I59" s="60">
        <f>G7-G60</f>
        <v>2785.7819999999265</v>
      </c>
      <c r="J59" s="62">
        <f>H59/DAY(B2)</f>
        <v>8501.6904235294151</v>
      </c>
      <c r="K59" s="513"/>
      <c r="L59" s="509"/>
    </row>
    <row r="60" spans="1:12" ht="17.25" customHeight="1">
      <c r="A60" s="194"/>
      <c r="B60" s="194"/>
      <c r="C60" s="194"/>
      <c r="D60" s="58" t="s">
        <v>196</v>
      </c>
      <c r="E60" s="58"/>
      <c r="F60" s="58"/>
      <c r="G60" s="72">
        <f>G47+G59</f>
        <v>17082.218000000074</v>
      </c>
      <c r="H60" s="61">
        <f>G60+'[3]16'!H60</f>
        <v>290376.0079000002</v>
      </c>
      <c r="I60" s="60">
        <f>G13-G60</f>
        <v>2048.1260000000257</v>
      </c>
      <c r="J60" s="62">
        <f>H60/DAY(B2)</f>
        <v>17080.941641176483</v>
      </c>
      <c r="K60" s="513"/>
      <c r="L60" s="509"/>
    </row>
    <row r="61" spans="1:12" ht="17.25" customHeight="1">
      <c r="A61" s="492" t="s">
        <v>197</v>
      </c>
      <c r="B61" s="493"/>
      <c r="C61" s="494"/>
      <c r="D61" s="495"/>
      <c r="E61" s="496"/>
      <c r="F61" s="496"/>
      <c r="G61" s="497"/>
      <c r="H61" s="497"/>
      <c r="I61" s="497"/>
      <c r="J61" s="497"/>
      <c r="K61" s="513"/>
      <c r="L61" s="509"/>
    </row>
    <row r="62" spans="1:12" ht="17.25" customHeight="1" thickBot="1">
      <c r="A62" s="248" t="s">
        <v>106</v>
      </c>
      <c r="B62" s="249"/>
      <c r="C62" s="250"/>
      <c r="D62" s="58" t="s">
        <v>198</v>
      </c>
      <c r="E62" s="163">
        <f>'[3]16'!F62</f>
        <v>20419.18</v>
      </c>
      <c r="F62" s="206">
        <v>20419.18</v>
      </c>
      <c r="G62" s="209">
        <f t="shared" ref="G62:G69" si="3">F62-E62</f>
        <v>0</v>
      </c>
      <c r="H62" s="61">
        <f>G62+'[3]16'!H62</f>
        <v>-0.19799999999668216</v>
      </c>
      <c r="I62" s="205"/>
      <c r="J62" s="62">
        <f>H62/DAY(B2)</f>
        <v>-1.1647058823334245E-2</v>
      </c>
      <c r="K62" s="513"/>
      <c r="L62" s="509"/>
    </row>
    <row r="63" spans="1:12" ht="17.25" customHeight="1" thickBot="1">
      <c r="A63" s="248" t="s">
        <v>199</v>
      </c>
      <c r="B63" s="249"/>
      <c r="C63" s="250"/>
      <c r="D63" s="58" t="s">
        <v>198</v>
      </c>
      <c r="E63" s="163">
        <f>'[3]16'!F63</f>
        <v>615.01</v>
      </c>
      <c r="F63" s="206">
        <v>634.64</v>
      </c>
      <c r="G63" s="209">
        <f t="shared" si="3"/>
        <v>19.629999999999995</v>
      </c>
      <c r="H63" s="61">
        <f>G63+'[3]16'!H63</f>
        <v>336.18</v>
      </c>
      <c r="I63" s="205"/>
      <c r="J63" s="62">
        <f>H63/DAY(B2)</f>
        <v>19.775294117647061</v>
      </c>
      <c r="K63" s="513"/>
      <c r="L63" s="509"/>
    </row>
    <row r="64" spans="1:12" ht="17.25" customHeight="1" thickBot="1">
      <c r="A64" s="1539" t="s">
        <v>107</v>
      </c>
      <c r="B64" s="1540"/>
      <c r="C64" s="1541"/>
      <c r="D64" s="59" t="s">
        <v>198</v>
      </c>
      <c r="E64" s="163">
        <f>'[3]16'!F64</f>
        <v>81676.759000000005</v>
      </c>
      <c r="F64" s="86">
        <v>82030</v>
      </c>
      <c r="G64" s="209">
        <f t="shared" si="3"/>
        <v>353.24099999999453</v>
      </c>
      <c r="H64" s="61">
        <f>G64+'[3]16'!H64</f>
        <v>5966.9130000000005</v>
      </c>
      <c r="I64" s="73"/>
      <c r="J64" s="62">
        <f>H64/DAY(B2)</f>
        <v>350.9948823529412</v>
      </c>
      <c r="K64" s="513"/>
      <c r="L64" s="509"/>
    </row>
    <row r="65" spans="1:12" ht="17.25" customHeight="1" thickBot="1">
      <c r="A65" s="1539" t="s">
        <v>108</v>
      </c>
      <c r="B65" s="1540"/>
      <c r="C65" s="1541"/>
      <c r="D65" s="59" t="s">
        <v>198</v>
      </c>
      <c r="E65" s="163">
        <f>'[3]16'!F65</f>
        <v>91276.26</v>
      </c>
      <c r="F65" s="86">
        <v>91646</v>
      </c>
      <c r="G65" s="209">
        <f t="shared" si="3"/>
        <v>369.74000000000524</v>
      </c>
      <c r="H65" s="61">
        <f>G65+'[3]16'!H65</f>
        <v>6486.7369999999937</v>
      </c>
      <c r="I65" s="84"/>
      <c r="J65" s="62">
        <f>H65/DAY(B2)</f>
        <v>381.57276470588198</v>
      </c>
      <c r="K65" s="513"/>
      <c r="L65" s="509"/>
    </row>
    <row r="66" spans="1:12" ht="17.25" customHeight="1" thickBot="1">
      <c r="A66" s="1539" t="s">
        <v>109</v>
      </c>
      <c r="B66" s="1540"/>
      <c r="C66" s="1541"/>
      <c r="D66" s="59" t="s">
        <v>198</v>
      </c>
      <c r="E66" s="163">
        <f>'[3]16'!F66</f>
        <v>84389.039000000004</v>
      </c>
      <c r="F66" s="86">
        <v>84787.97</v>
      </c>
      <c r="G66" s="209">
        <f t="shared" si="3"/>
        <v>398.93099999999686</v>
      </c>
      <c r="H66" s="61">
        <f>G66+'[3]16'!H66</f>
        <v>6600.0120000000024</v>
      </c>
      <c r="I66" s="73"/>
      <c r="J66" s="62">
        <f>H66/DAY(B2)</f>
        <v>388.23600000000016</v>
      </c>
      <c r="K66" s="513"/>
      <c r="L66" s="509"/>
    </row>
    <row r="67" spans="1:12" ht="17.25" customHeight="1" thickBot="1">
      <c r="A67" s="1539" t="s">
        <v>110</v>
      </c>
      <c r="B67" s="1540"/>
      <c r="C67" s="1541"/>
      <c r="D67" s="59" t="s">
        <v>198</v>
      </c>
      <c r="E67" s="163">
        <f>'[3]16'!F67</f>
        <v>136310.98000000001</v>
      </c>
      <c r="F67" s="86">
        <v>136924</v>
      </c>
      <c r="G67" s="209">
        <f t="shared" si="3"/>
        <v>613.01999999998952</v>
      </c>
      <c r="H67" s="61">
        <f>G67+'[3]16'!H67</f>
        <v>10867.5</v>
      </c>
      <c r="I67" s="84"/>
      <c r="J67" s="62">
        <f>H67/DAY(B2)</f>
        <v>639.26470588235293</v>
      </c>
      <c r="K67" s="514"/>
      <c r="L67" s="509"/>
    </row>
    <row r="68" spans="1:12" ht="17.25" customHeight="1" thickBot="1">
      <c r="A68" s="1539" t="s">
        <v>111</v>
      </c>
      <c r="B68" s="1540"/>
      <c r="C68" s="1541"/>
      <c r="D68" s="59" t="s">
        <v>198</v>
      </c>
      <c r="E68" s="163">
        <f>'[3]16'!F68</f>
        <v>38456.510999999999</v>
      </c>
      <c r="F68" s="86">
        <v>38784</v>
      </c>
      <c r="G68" s="209">
        <f t="shared" si="3"/>
        <v>327.4890000000014</v>
      </c>
      <c r="H68" s="61">
        <f>G68+'[3]16'!H68</f>
        <v>5384.1310000000012</v>
      </c>
      <c r="I68" s="109"/>
      <c r="J68" s="62">
        <f>H68/DAY(B2)</f>
        <v>316.7135882352942</v>
      </c>
      <c r="K68" s="515"/>
      <c r="L68" s="509"/>
    </row>
    <row r="69" spans="1:12" ht="17.25" customHeight="1" thickBot="1">
      <c r="A69" s="1539" t="s">
        <v>112</v>
      </c>
      <c r="B69" s="1540"/>
      <c r="C69" s="1541"/>
      <c r="D69" s="59" t="s">
        <v>198</v>
      </c>
      <c r="E69" s="163">
        <f>'[3]16'!F69</f>
        <v>33525.870000000003</v>
      </c>
      <c r="F69" s="86">
        <v>33804.69</v>
      </c>
      <c r="G69" s="209">
        <f t="shared" si="3"/>
        <v>278.81999999999971</v>
      </c>
      <c r="H69" s="61">
        <f>G69+'[3]16'!H69</f>
        <v>4552.3250000000007</v>
      </c>
      <c r="I69" s="109"/>
      <c r="J69" s="62">
        <f>H69/DAY(B2)</f>
        <v>267.78382352941179</v>
      </c>
      <c r="K69" s="516"/>
      <c r="L69" s="509"/>
    </row>
    <row r="70" spans="1:12" ht="17.25" customHeight="1">
      <c r="A70" s="1560" t="s">
        <v>200</v>
      </c>
      <c r="B70" s="1561"/>
      <c r="C70" s="1562"/>
      <c r="D70" s="59" t="s">
        <v>198</v>
      </c>
      <c r="E70" s="532"/>
      <c r="F70" s="498"/>
      <c r="G70" s="498"/>
      <c r="H70" s="61">
        <f>G70+'[3]13'!H70</f>
        <v>0</v>
      </c>
      <c r="I70" s="533"/>
      <c r="J70" s="534"/>
      <c r="K70" s="516"/>
      <c r="L70" s="509"/>
    </row>
    <row r="71" spans="1:12" ht="17.25" customHeight="1">
      <c r="A71" s="1557" t="s">
        <v>201</v>
      </c>
      <c r="B71" s="1558"/>
      <c r="C71" s="1558"/>
      <c r="D71" s="1558"/>
      <c r="E71" s="1558"/>
      <c r="F71" s="1558"/>
      <c r="G71" s="1558"/>
      <c r="H71" s="1558"/>
      <c r="I71" s="1558"/>
      <c r="J71" s="1559"/>
      <c r="K71" s="515"/>
      <c r="L71" s="509"/>
    </row>
    <row r="72" spans="1:12" ht="17.25" customHeight="1" thickBot="1">
      <c r="A72" s="1539" t="s">
        <v>202</v>
      </c>
      <c r="B72" s="1540"/>
      <c r="C72" s="1541"/>
      <c r="D72" s="59" t="s">
        <v>198</v>
      </c>
      <c r="E72" s="163">
        <f>'[3]16'!F72</f>
        <v>844057</v>
      </c>
      <c r="F72" s="1234">
        <v>844065</v>
      </c>
      <c r="G72" s="209">
        <f t="shared" ref="G72:G84" si="4">F72-E72</f>
        <v>8</v>
      </c>
      <c r="H72" s="61">
        <f>G72+'[3]16'!H72</f>
        <v>123</v>
      </c>
      <c r="I72" s="73"/>
      <c r="J72" s="62">
        <f>H72/DAY(B2)</f>
        <v>7.2352941176470589</v>
      </c>
      <c r="K72" s="516"/>
      <c r="L72" s="509"/>
    </row>
    <row r="73" spans="1:12" ht="17.25" customHeight="1" thickBot="1">
      <c r="A73" s="1539" t="s">
        <v>203</v>
      </c>
      <c r="B73" s="1540"/>
      <c r="C73" s="1541"/>
      <c r="D73" s="59" t="s">
        <v>198</v>
      </c>
      <c r="E73" s="163">
        <f>'[3]16'!F73</f>
        <v>885264</v>
      </c>
      <c r="F73" s="1234">
        <v>885267</v>
      </c>
      <c r="G73" s="209">
        <f t="shared" si="4"/>
        <v>3</v>
      </c>
      <c r="H73" s="61">
        <f>G73+'[3]16'!H73</f>
        <v>139</v>
      </c>
      <c r="I73" s="73"/>
      <c r="J73" s="62">
        <f>H73/DAY(B2)</f>
        <v>8.1764705882352935</v>
      </c>
      <c r="K73" s="515"/>
      <c r="L73" s="509"/>
    </row>
    <row r="74" spans="1:12" ht="17.25" customHeight="1" thickBot="1">
      <c r="A74" s="1539" t="s">
        <v>204</v>
      </c>
      <c r="B74" s="1540"/>
      <c r="C74" s="1541"/>
      <c r="D74" s="59" t="s">
        <v>198</v>
      </c>
      <c r="E74" s="163">
        <f>'[3]16'!F74</f>
        <v>879916</v>
      </c>
      <c r="F74" s="1234">
        <v>879944</v>
      </c>
      <c r="G74" s="209">
        <f t="shared" si="4"/>
        <v>28</v>
      </c>
      <c r="H74" s="61">
        <f>G74+'[3]16'!H74</f>
        <v>308</v>
      </c>
      <c r="I74" s="73"/>
      <c r="J74" s="62">
        <f>H74/DAY(B2)</f>
        <v>18.117647058823529</v>
      </c>
      <c r="K74" s="516"/>
      <c r="L74" s="509"/>
    </row>
    <row r="75" spans="1:12" ht="17.25" customHeight="1" thickBot="1">
      <c r="A75" s="1554" t="s">
        <v>205</v>
      </c>
      <c r="B75" s="1555"/>
      <c r="C75" s="1556"/>
      <c r="D75" s="59" t="s">
        <v>198</v>
      </c>
      <c r="E75" s="163">
        <f>'[3]16'!F75</f>
        <v>723909</v>
      </c>
      <c r="F75" s="1234">
        <v>724068</v>
      </c>
      <c r="G75" s="209">
        <f t="shared" si="4"/>
        <v>159</v>
      </c>
      <c r="H75" s="61">
        <f>G75+'[3]16'!H75</f>
        <v>2702</v>
      </c>
      <c r="I75" s="73"/>
      <c r="J75" s="62">
        <f>H75/DAY(B2)</f>
        <v>158.94117647058823</v>
      </c>
      <c r="K75" s="515"/>
      <c r="L75" s="509"/>
    </row>
    <row r="76" spans="1:12" ht="17.25" customHeight="1" thickBot="1">
      <c r="A76" s="1554" t="s">
        <v>206</v>
      </c>
      <c r="B76" s="1555"/>
      <c r="C76" s="1556"/>
      <c r="D76" s="59" t="s">
        <v>198</v>
      </c>
      <c r="E76" s="163">
        <f>'[3]16'!F76</f>
        <v>680713</v>
      </c>
      <c r="F76" s="1234">
        <v>680775</v>
      </c>
      <c r="G76" s="209">
        <f t="shared" si="4"/>
        <v>62</v>
      </c>
      <c r="H76" s="61">
        <f>G76+'[3]16'!H76</f>
        <v>2305</v>
      </c>
      <c r="I76" s="116"/>
      <c r="J76" s="62">
        <f>H76/DAY(B2)</f>
        <v>135.58823529411765</v>
      </c>
      <c r="K76" s="515"/>
      <c r="L76" s="509"/>
    </row>
    <row r="77" spans="1:12" ht="17.25" customHeight="1" thickBot="1">
      <c r="A77" s="1539" t="s">
        <v>207</v>
      </c>
      <c r="B77" s="1540"/>
      <c r="C77" s="1541"/>
      <c r="D77" s="59" t="s">
        <v>198</v>
      </c>
      <c r="E77" s="163">
        <f>'[3]16'!F77</f>
        <v>693029</v>
      </c>
      <c r="F77" s="1234">
        <v>693078</v>
      </c>
      <c r="G77" s="209">
        <f t="shared" si="4"/>
        <v>49</v>
      </c>
      <c r="H77" s="61">
        <f>G77+'[3]16'!H77</f>
        <v>771</v>
      </c>
      <c r="I77" s="116"/>
      <c r="J77" s="62">
        <f>H77/DAY(B2)</f>
        <v>45.352941176470587</v>
      </c>
      <c r="K77" s="515"/>
      <c r="L77" s="509"/>
    </row>
    <row r="78" spans="1:12" ht="18.75" customHeight="1" thickBot="1">
      <c r="A78" s="1356" t="s">
        <v>208</v>
      </c>
      <c r="B78" s="1357"/>
      <c r="C78" s="1358"/>
      <c r="D78" s="59" t="s">
        <v>198</v>
      </c>
      <c r="E78" s="163">
        <f>'[3]16'!F78</f>
        <v>613100</v>
      </c>
      <c r="F78" s="1234">
        <v>613367</v>
      </c>
      <c r="G78" s="209">
        <f t="shared" si="4"/>
        <v>267</v>
      </c>
      <c r="H78" s="61">
        <f>G78+'[3]16'!H78</f>
        <v>5353</v>
      </c>
      <c r="I78" s="116"/>
      <c r="J78" s="62">
        <f>H78/DAY(B2)</f>
        <v>314.88235294117646</v>
      </c>
      <c r="K78" s="515"/>
      <c r="L78" s="509"/>
    </row>
    <row r="79" spans="1:12" ht="17.25" customHeight="1" thickBot="1">
      <c r="A79" s="1550" t="s">
        <v>97</v>
      </c>
      <c r="B79" s="1551"/>
      <c r="C79" s="1552"/>
      <c r="D79" s="85" t="s">
        <v>198</v>
      </c>
      <c r="E79" s="163">
        <f>'[3]16'!F79</f>
        <v>795415</v>
      </c>
      <c r="F79" s="1234">
        <v>795589</v>
      </c>
      <c r="G79" s="209">
        <f t="shared" si="4"/>
        <v>174</v>
      </c>
      <c r="H79" s="61">
        <f>G79+'[3]16'!H79</f>
        <v>4774</v>
      </c>
      <c r="I79" s="116"/>
      <c r="J79" s="62">
        <f>H79/DAY(B2)</f>
        <v>280.8235294117647</v>
      </c>
      <c r="K79" s="515"/>
      <c r="L79" s="509"/>
    </row>
    <row r="80" spans="1:12" ht="17.25" customHeight="1" thickBot="1">
      <c r="A80" s="1550" t="s">
        <v>209</v>
      </c>
      <c r="B80" s="1551"/>
      <c r="C80" s="1552"/>
      <c r="D80" s="85" t="s">
        <v>198</v>
      </c>
      <c r="E80" s="163">
        <f>'[3]16'!F80</f>
        <v>461347.32</v>
      </c>
      <c r="F80" s="1234">
        <v>461639</v>
      </c>
      <c r="G80" s="209">
        <f t="shared" si="4"/>
        <v>291.67999999999302</v>
      </c>
      <c r="H80" s="61">
        <f>G80+'[3]16'!H80</f>
        <v>3202.1199999999953</v>
      </c>
      <c r="I80" s="116"/>
      <c r="J80" s="62">
        <f>H80/DAY(B2)</f>
        <v>188.35999999999973</v>
      </c>
      <c r="K80" s="515"/>
      <c r="L80" s="509"/>
    </row>
    <row r="81" spans="1:15" ht="17.25" customHeight="1" thickBot="1">
      <c r="A81" s="1550" t="s">
        <v>210</v>
      </c>
      <c r="B81" s="1551"/>
      <c r="C81" s="1552"/>
      <c r="D81" s="85" t="s">
        <v>198</v>
      </c>
      <c r="E81" s="163">
        <f>'[3]16'!F81</f>
        <v>612688.12</v>
      </c>
      <c r="F81" s="1234">
        <v>612820</v>
      </c>
      <c r="G81" s="209">
        <f t="shared" si="4"/>
        <v>131.88000000000466</v>
      </c>
      <c r="H81" s="61">
        <f>G81+'[3]16'!H81</f>
        <v>1697.7199999999721</v>
      </c>
      <c r="I81" s="116"/>
      <c r="J81" s="62">
        <f>H81/DAY(B2)</f>
        <v>99.865882352939536</v>
      </c>
      <c r="K81" s="515"/>
      <c r="L81" s="509"/>
    </row>
    <row r="82" spans="1:15" ht="17.25" customHeight="1" thickBot="1">
      <c r="A82" s="1553" t="s">
        <v>100</v>
      </c>
      <c r="B82" s="1551"/>
      <c r="C82" s="1552"/>
      <c r="D82" s="211" t="s">
        <v>143</v>
      </c>
      <c r="E82" s="163">
        <f>'[3]16'!F82</f>
        <v>103286.56</v>
      </c>
      <c r="F82" s="200">
        <v>103311.75</v>
      </c>
      <c r="G82" s="209">
        <f t="shared" si="4"/>
        <v>25.190000000002328</v>
      </c>
      <c r="H82" s="61">
        <f>G82+'[3]16'!H82</f>
        <v>281.80000000000291</v>
      </c>
      <c r="I82" s="210"/>
      <c r="J82" s="62">
        <f>H82/DAY(B2)</f>
        <v>16.576470588235466</v>
      </c>
      <c r="K82" s="515"/>
      <c r="L82" s="509"/>
    </row>
    <row r="83" spans="1:15" ht="17.25" customHeight="1" thickBot="1">
      <c r="A83" s="1553" t="s">
        <v>211</v>
      </c>
      <c r="B83" s="1551"/>
      <c r="C83" s="1552"/>
      <c r="D83" s="212" t="s">
        <v>143</v>
      </c>
      <c r="E83" s="163">
        <f>'[3]16'!F83</f>
        <v>957818</v>
      </c>
      <c r="F83" s="212">
        <v>958159</v>
      </c>
      <c r="G83" s="209">
        <f t="shared" si="4"/>
        <v>341</v>
      </c>
      <c r="H83" s="61">
        <f>G83+'[3]16'!H83</f>
        <v>5916</v>
      </c>
      <c r="I83" s="72"/>
      <c r="J83" s="62">
        <f>H83/DAY(B2)</f>
        <v>348</v>
      </c>
      <c r="K83" s="514"/>
      <c r="L83" s="509"/>
    </row>
    <row r="84" spans="1:15" ht="18.75" customHeight="1" thickBot="1">
      <c r="A84" s="1363" t="s">
        <v>212</v>
      </c>
      <c r="B84" s="1363"/>
      <c r="C84" s="1364"/>
      <c r="D84" s="213" t="s">
        <v>143</v>
      </c>
      <c r="E84" s="163">
        <f>'[3]16'!F84</f>
        <v>374539</v>
      </c>
      <c r="F84" s="231">
        <v>375018</v>
      </c>
      <c r="G84" s="209">
        <f t="shared" si="4"/>
        <v>479</v>
      </c>
      <c r="H84" s="61">
        <f>G84+'[3]16'!H84</f>
        <v>8585</v>
      </c>
      <c r="I84" s="72"/>
      <c r="J84" s="62">
        <f>H84/DAY(B2)</f>
        <v>505</v>
      </c>
      <c r="K84" s="517"/>
      <c r="L84" s="509"/>
    </row>
    <row r="85" spans="1:15" s="519" customFormat="1" ht="17.25" customHeight="1">
      <c r="A85" s="499" t="s">
        <v>213</v>
      </c>
      <c r="B85" s="500"/>
      <c r="C85" s="500"/>
      <c r="D85" s="93"/>
      <c r="E85" s="59"/>
      <c r="F85" s="59"/>
      <c r="G85" s="501">
        <f xml:space="preserve"> SUM(G72:G84)</f>
        <v>2018.75</v>
      </c>
      <c r="H85" s="61">
        <f>G85+'[3]16'!H85</f>
        <v>32831.739999999991</v>
      </c>
      <c r="I85" s="72"/>
      <c r="J85" s="62">
        <f>H85/DAY(B2)</f>
        <v>1931.2788235294113</v>
      </c>
      <c r="K85" s="517"/>
      <c r="L85" s="51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'[3]16'!F86</f>
        <v>438643.04</v>
      </c>
      <c r="F86" s="780">
        <v>438756</v>
      </c>
      <c r="G86" s="861">
        <f t="shared" ref="G86:G90" si="5">F86-E86</f>
        <v>112.96000000002095</v>
      </c>
      <c r="H86" s="861">
        <f t="shared" ref="H86:H88" si="6">G86</f>
        <v>112.96000000002095</v>
      </c>
      <c r="I86" s="789"/>
      <c r="J86" s="863">
        <f>H86/DAY(B2)</f>
        <v>6.6447058823541738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'[3]16'!F87</f>
        <v>76483.600000000006</v>
      </c>
      <c r="F87" s="780">
        <v>76513</v>
      </c>
      <c r="G87" s="861">
        <f t="shared" si="5"/>
        <v>29.399999999994179</v>
      </c>
      <c r="H87" s="861">
        <f t="shared" si="6"/>
        <v>29.399999999994179</v>
      </c>
      <c r="I87" s="789"/>
      <c r="J87" s="863">
        <f>H87/DAY(B2)</f>
        <v>1.72941176470554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'[3]16'!F88</f>
        <v>141024.20000000001</v>
      </c>
      <c r="F88" s="780">
        <v>141130.45000000001</v>
      </c>
      <c r="G88" s="861">
        <f t="shared" si="5"/>
        <v>106.25</v>
      </c>
      <c r="H88" s="861">
        <f t="shared" si="6"/>
        <v>106.25</v>
      </c>
      <c r="I88" s="789"/>
      <c r="J88" s="863">
        <f>H88/DAY(B2)</f>
        <v>6.25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'[3]16'!F89</f>
        <v>54942.6</v>
      </c>
      <c r="F89" s="780">
        <v>54993</v>
      </c>
      <c r="G89" s="861">
        <f t="shared" si="5"/>
        <v>50.400000000001455</v>
      </c>
      <c r="H89" s="861">
        <f>G89</f>
        <v>50.400000000001455</v>
      </c>
      <c r="I89" s="789"/>
      <c r="J89" s="863">
        <f>H89/DAY(B2)</f>
        <v>2.9647058823530266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'[3]16'!F90</f>
        <v>2836.2</v>
      </c>
      <c r="F90" s="780">
        <v>2838</v>
      </c>
      <c r="G90" s="861">
        <f t="shared" si="5"/>
        <v>1.8000000000001819</v>
      </c>
      <c r="H90" s="861">
        <f>G90</f>
        <v>1.8000000000001819</v>
      </c>
      <c r="I90" s="789"/>
      <c r="J90" s="863">
        <f>H90/DAY(B2)</f>
        <v>0.10588235294118717</v>
      </c>
      <c r="K90" s="889"/>
      <c r="L90" s="890"/>
      <c r="N90" s="939"/>
      <c r="O90" s="426"/>
    </row>
    <row r="91" spans="1:15" s="519" customFormat="1" ht="17.25" customHeight="1">
      <c r="A91" s="1368" t="s">
        <v>216</v>
      </c>
      <c r="B91" s="502"/>
      <c r="C91" s="1369"/>
      <c r="D91" s="482"/>
      <c r="E91" s="482"/>
      <c r="F91" s="482"/>
      <c r="G91" s="488"/>
      <c r="H91" s="482"/>
      <c r="I91" s="482"/>
      <c r="J91" s="482"/>
      <c r="K91" s="517"/>
      <c r="L91" s="518"/>
    </row>
    <row r="92" spans="1:15" ht="17.25" customHeight="1" thickBot="1">
      <c r="A92" s="1536" t="s">
        <v>217</v>
      </c>
      <c r="B92" s="1537"/>
      <c r="C92" s="1538"/>
      <c r="D92" s="59" t="s">
        <v>155</v>
      </c>
      <c r="E92" s="163">
        <f>'[3]16'!F92</f>
        <v>229927</v>
      </c>
      <c r="F92" s="86">
        <v>229986</v>
      </c>
      <c r="G92" s="209">
        <f t="shared" ref="G92:G93" si="7">F92-E92</f>
        <v>59</v>
      </c>
      <c r="H92" s="61">
        <f>G92+'[3]16'!H92</f>
        <v>1391</v>
      </c>
      <c r="I92" s="73"/>
      <c r="J92" s="62">
        <f>H92/DAY(B2)</f>
        <v>81.82352941176471</v>
      </c>
      <c r="K92" s="514"/>
      <c r="L92" s="509"/>
    </row>
    <row r="93" spans="1:15" ht="17.25" customHeight="1" thickBot="1">
      <c r="A93" s="1536" t="s">
        <v>218</v>
      </c>
      <c r="B93" s="1537"/>
      <c r="C93" s="1538"/>
      <c r="D93" s="59" t="s">
        <v>155</v>
      </c>
      <c r="E93" s="163">
        <f>'[3]16'!F93</f>
        <v>160861</v>
      </c>
      <c r="F93" s="86">
        <v>161005</v>
      </c>
      <c r="G93" s="209">
        <f t="shared" si="7"/>
        <v>144</v>
      </c>
      <c r="H93" s="61">
        <f>G93+'[3]16'!H93</f>
        <v>2482</v>
      </c>
      <c r="I93" s="73"/>
      <c r="J93" s="62">
        <f>H93/DAY(B2)</f>
        <v>146</v>
      </c>
      <c r="K93" s="517"/>
      <c r="L93" s="509"/>
    </row>
    <row r="94" spans="1:15" ht="17.25" customHeight="1" thickBot="1">
      <c r="A94" s="1542" t="s">
        <v>219</v>
      </c>
      <c r="B94" s="1543"/>
      <c r="C94" s="1544"/>
      <c r="D94" s="59"/>
      <c r="E94" s="163">
        <f>'[3]16'!F94</f>
        <v>0</v>
      </c>
      <c r="F94" s="86"/>
      <c r="G94" s="209">
        <f>G92+G93</f>
        <v>203</v>
      </c>
      <c r="H94" s="61">
        <f>G94+'[3]16'!H94</f>
        <v>3583</v>
      </c>
      <c r="I94" s="73"/>
      <c r="J94" s="62">
        <f>H94/DAY(B2)</f>
        <v>210.76470588235293</v>
      </c>
      <c r="K94" s="517"/>
      <c r="L94" s="509"/>
    </row>
    <row r="95" spans="1:15" ht="17.25" customHeight="1" thickBot="1">
      <c r="A95" s="1536" t="s">
        <v>220</v>
      </c>
      <c r="B95" s="1537"/>
      <c r="C95" s="1538"/>
      <c r="D95" s="59" t="s">
        <v>155</v>
      </c>
      <c r="E95" s="163">
        <f>'[3]16'!F95</f>
        <v>400728</v>
      </c>
      <c r="F95" s="86">
        <v>400783</v>
      </c>
      <c r="G95" s="209">
        <f t="shared" ref="G95:G100" si="8">F95-E95</f>
        <v>55</v>
      </c>
      <c r="H95" s="61">
        <f>G95+'[3]16'!H95</f>
        <v>936</v>
      </c>
      <c r="I95" s="73"/>
      <c r="J95" s="62">
        <f>H95/DAY(B2)</f>
        <v>55.058823529411768</v>
      </c>
      <c r="K95" s="517"/>
      <c r="L95" s="509"/>
    </row>
    <row r="96" spans="1:15" ht="17.25" customHeight="1" thickBot="1">
      <c r="A96" s="1359" t="s">
        <v>221</v>
      </c>
      <c r="B96" s="1360"/>
      <c r="C96" s="1361"/>
      <c r="D96" s="59" t="s">
        <v>155</v>
      </c>
      <c r="E96" s="163">
        <f>'[3]16'!F96</f>
        <v>98725</v>
      </c>
      <c r="F96" s="86">
        <v>98749</v>
      </c>
      <c r="G96" s="209">
        <f t="shared" si="8"/>
        <v>24</v>
      </c>
      <c r="H96" s="61">
        <f>G96+'[3]16'!H96</f>
        <v>740</v>
      </c>
      <c r="I96" s="73"/>
      <c r="J96" s="62">
        <f>H96/DAY(B2)</f>
        <v>43.529411764705884</v>
      </c>
      <c r="K96" s="512"/>
      <c r="L96" s="509"/>
    </row>
    <row r="97" spans="1:12" ht="17.25" customHeight="1" thickBot="1">
      <c r="A97" s="1359" t="s">
        <v>222</v>
      </c>
      <c r="B97" s="1360"/>
      <c r="C97" s="1361"/>
      <c r="D97" s="59" t="s">
        <v>155</v>
      </c>
      <c r="E97" s="163">
        <f>'[3]16'!F97</f>
        <v>93890</v>
      </c>
      <c r="F97" s="200">
        <v>93916</v>
      </c>
      <c r="G97" s="209">
        <f t="shared" si="8"/>
        <v>26</v>
      </c>
      <c r="H97" s="61">
        <f>G97+'[3]16'!H97</f>
        <v>365</v>
      </c>
      <c r="I97" s="73"/>
      <c r="J97" s="62">
        <f>H97/DAY(B2)</f>
        <v>21.470588235294116</v>
      </c>
      <c r="K97" s="520"/>
      <c r="L97" s="509"/>
    </row>
    <row r="98" spans="1:12" ht="17.25" customHeight="1" thickBot="1">
      <c r="A98" s="1359" t="s">
        <v>223</v>
      </c>
      <c r="B98" s="1360"/>
      <c r="C98" s="1361"/>
      <c r="D98" s="59" t="s">
        <v>155</v>
      </c>
      <c r="E98" s="163">
        <f>'[3]16'!F98</f>
        <v>141554</v>
      </c>
      <c r="F98" s="86">
        <v>141608</v>
      </c>
      <c r="G98" s="209">
        <f t="shared" si="8"/>
        <v>54</v>
      </c>
      <c r="H98" s="61">
        <f>G98+'[3]16'!H98</f>
        <v>703</v>
      </c>
      <c r="I98" s="73"/>
      <c r="J98" s="62">
        <f>H98/DAY(B2)</f>
        <v>41.352941176470587</v>
      </c>
      <c r="K98" s="517"/>
      <c r="L98" s="509"/>
    </row>
    <row r="99" spans="1:12" ht="17.25" customHeight="1" thickBot="1">
      <c r="A99" s="1359" t="s">
        <v>224</v>
      </c>
      <c r="B99" s="1360"/>
      <c r="C99" s="1361"/>
      <c r="D99" s="59" t="s">
        <v>155</v>
      </c>
      <c r="E99" s="163">
        <f>'[3]16'!F99</f>
        <v>4842</v>
      </c>
      <c r="F99" s="86">
        <v>4848</v>
      </c>
      <c r="G99" s="209">
        <f t="shared" si="8"/>
        <v>6</v>
      </c>
      <c r="H99" s="61">
        <f>G99+'[3]16'!H99</f>
        <v>140</v>
      </c>
      <c r="I99" s="73"/>
      <c r="J99" s="62">
        <f>H99/DAY(B2)</f>
        <v>8.235294117647058</v>
      </c>
      <c r="K99" s="517"/>
      <c r="L99" s="509"/>
    </row>
    <row r="100" spans="1:12" ht="17.25" customHeight="1" thickBot="1">
      <c r="A100" s="1359" t="s">
        <v>225</v>
      </c>
      <c r="B100" s="1360"/>
      <c r="C100" s="1361"/>
      <c r="D100" s="59" t="s">
        <v>155</v>
      </c>
      <c r="E100" s="163">
        <f>'[3]16'!F100</f>
        <v>3674</v>
      </c>
      <c r="F100" s="86">
        <v>3674</v>
      </c>
      <c r="G100" s="209">
        <f t="shared" si="8"/>
        <v>0</v>
      </c>
      <c r="H100" s="61">
        <f>G100+'[3]16'!H100</f>
        <v>0</v>
      </c>
      <c r="I100" s="73"/>
      <c r="J100" s="62">
        <f>H100/DAY(B2)</f>
        <v>0</v>
      </c>
      <c r="K100" s="517"/>
      <c r="L100" s="509"/>
    </row>
    <row r="101" spans="1:12" ht="17.25" customHeight="1" thickBot="1">
      <c r="A101" s="1542" t="s">
        <v>227</v>
      </c>
      <c r="B101" s="1543"/>
      <c r="C101" s="1544"/>
      <c r="D101" s="59"/>
      <c r="E101" s="163"/>
      <c r="F101" s="231"/>
      <c r="G101" s="503">
        <f>SUM(G95:G100)</f>
        <v>165</v>
      </c>
      <c r="H101" s="61">
        <f>G101+'[3]16'!H101</f>
        <v>2884</v>
      </c>
      <c r="I101" s="144"/>
      <c r="J101" s="62">
        <f>H101/DAY(B2)</f>
        <v>169.64705882352942</v>
      </c>
      <c r="K101" s="517"/>
      <c r="L101" s="509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488" t="s">
        <v>229</v>
      </c>
      <c r="B103" s="1489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485" t="s">
        <v>230</v>
      </c>
      <c r="B104" s="1485"/>
      <c r="C104" s="1355"/>
      <c r="D104" s="578" t="s">
        <v>155</v>
      </c>
      <c r="E104" s="548">
        <f>'[3]16'!F104</f>
        <v>7010</v>
      </c>
      <c r="F104" s="548">
        <v>7010</v>
      </c>
      <c r="G104" s="548">
        <f>F104-E104</f>
        <v>0</v>
      </c>
      <c r="H104" s="549">
        <f>SUM(G104+'[3]1'!G76)</f>
        <v>60</v>
      </c>
      <c r="I104" s="548"/>
      <c r="J104" s="549">
        <f>H104/DAY(B2)</f>
        <v>3.5294117647058822</v>
      </c>
    </row>
    <row r="105" spans="1:12" s="544" customFormat="1" ht="21.75" customHeight="1">
      <c r="A105" s="1485" t="s">
        <v>77</v>
      </c>
      <c r="B105" s="1485"/>
      <c r="C105" s="1355"/>
      <c r="D105" s="578" t="s">
        <v>155</v>
      </c>
      <c r="E105" s="548">
        <f>'[3]16'!F105</f>
        <v>34587</v>
      </c>
      <c r="F105" s="550">
        <v>34587</v>
      </c>
      <c r="G105" s="548">
        <f t="shared" ref="G105:G106" si="9">F105-E105</f>
        <v>0</v>
      </c>
      <c r="H105" s="549">
        <f>SUM(G105+'[3]1'!G77)</f>
        <v>70</v>
      </c>
      <c r="I105" s="548"/>
      <c r="J105" s="549">
        <f>H105/DAY(B2)</f>
        <v>4.117647058823529</v>
      </c>
    </row>
    <row r="106" spans="1:12" s="544" customFormat="1" ht="21.75" customHeight="1">
      <c r="A106" s="1485" t="s">
        <v>78</v>
      </c>
      <c r="B106" s="1485"/>
      <c r="C106" s="1485"/>
      <c r="D106" s="578" t="s">
        <v>155</v>
      </c>
      <c r="E106" s="548">
        <f>'[3]16'!F106</f>
        <v>18681</v>
      </c>
      <c r="F106" s="548">
        <v>18685</v>
      </c>
      <c r="G106" s="548">
        <f t="shared" si="9"/>
        <v>4</v>
      </c>
      <c r="H106" s="549">
        <f>SUM(G106+'[3]1'!G78)</f>
        <v>333</v>
      </c>
      <c r="I106" s="548"/>
      <c r="J106" s="549">
        <f>H106/DAY(B2)</f>
        <v>19.588235294117649</v>
      </c>
    </row>
    <row r="107" spans="1:12" s="544" customFormat="1" ht="21.75" customHeight="1">
      <c r="A107" s="1486" t="s">
        <v>213</v>
      </c>
      <c r="B107" s="1486"/>
      <c r="C107" s="1355"/>
      <c r="D107" s="578"/>
      <c r="E107" s="548">
        <f>'[3]16'!F107</f>
        <v>0</v>
      </c>
      <c r="F107" s="548"/>
      <c r="G107" s="548">
        <f>SUM(G104:G106)</f>
        <v>4</v>
      </c>
      <c r="H107" s="549">
        <f>SUM(G107+'[3]1'!G79)</f>
        <v>164</v>
      </c>
      <c r="I107" s="548"/>
      <c r="J107" s="549">
        <f>H107/DAY(B2)</f>
        <v>9.6470588235294112</v>
      </c>
    </row>
    <row r="108" spans="1:12" s="544" customFormat="1" ht="21.75" customHeight="1">
      <c r="A108" s="1484" t="s">
        <v>79</v>
      </c>
      <c r="B108" s="1484"/>
      <c r="C108" s="1355"/>
      <c r="D108" s="578" t="s">
        <v>155</v>
      </c>
      <c r="E108" s="548">
        <f>'[3]16'!F108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485" t="s">
        <v>231</v>
      </c>
      <c r="B109" s="1485"/>
      <c r="C109" s="1355"/>
      <c r="D109" s="578" t="s">
        <v>155</v>
      </c>
      <c r="E109" s="548">
        <f>'[3]16'!F109</f>
        <v>50615</v>
      </c>
      <c r="F109" s="550">
        <v>50664</v>
      </c>
      <c r="G109" s="548">
        <f>F109-E109</f>
        <v>49</v>
      </c>
      <c r="H109" s="549">
        <f>SUM(G109+'[3]1'!G81)</f>
        <v>131</v>
      </c>
      <c r="I109" s="548"/>
      <c r="J109" s="549">
        <f>H109/DAY(B2)</f>
        <v>7.7058823529411766</v>
      </c>
    </row>
    <row r="110" spans="1:12" s="544" customFormat="1" ht="21.75" customHeight="1">
      <c r="A110" s="1485" t="s">
        <v>232</v>
      </c>
      <c r="B110" s="1485"/>
      <c r="C110" s="1355"/>
      <c r="D110" s="578" t="s">
        <v>155</v>
      </c>
      <c r="E110" s="548">
        <f>'[3]16'!F110</f>
        <v>24758</v>
      </c>
      <c r="F110" s="548">
        <v>24800</v>
      </c>
      <c r="G110" s="548">
        <f t="shared" ref="G110:G111" si="10">F110-E110</f>
        <v>42</v>
      </c>
      <c r="H110" s="549">
        <f>SUM(G110+'[3]1'!G82)</f>
        <v>67.740000000005239</v>
      </c>
      <c r="I110" s="548"/>
      <c r="J110" s="549">
        <f>H110/DAY(B2)</f>
        <v>3.9847058823532495</v>
      </c>
    </row>
    <row r="111" spans="1:12" s="544" customFormat="1" ht="21.75" customHeight="1">
      <c r="A111" s="1485" t="s">
        <v>233</v>
      </c>
      <c r="B111" s="1485"/>
      <c r="C111" s="1355"/>
      <c r="D111" s="578" t="s">
        <v>155</v>
      </c>
      <c r="E111" s="548">
        <f>'[3]16'!F111</f>
        <v>3279</v>
      </c>
      <c r="F111" s="548">
        <v>3279</v>
      </c>
      <c r="G111" s="548">
        <f t="shared" si="10"/>
        <v>0</v>
      </c>
      <c r="H111" s="549">
        <f>SUM(G111+'[3]1'!G83)</f>
        <v>446</v>
      </c>
      <c r="I111" s="548"/>
      <c r="J111" s="549">
        <f>H111/DAY(B2)</f>
        <v>26.235294117647058</v>
      </c>
    </row>
    <row r="112" spans="1:12" s="544" customFormat="1" ht="21.75" customHeight="1">
      <c r="A112" s="1487" t="s">
        <v>121</v>
      </c>
      <c r="B112" s="1487"/>
      <c r="C112" s="1355"/>
      <c r="D112" s="578"/>
      <c r="E112" s="548">
        <f>'[3]16'!F112</f>
        <v>0</v>
      </c>
      <c r="F112" s="548"/>
      <c r="G112" s="548">
        <f>SUM(G109:G111)</f>
        <v>91</v>
      </c>
      <c r="H112" s="549">
        <f>SUM(G112+'[3]1'!G84)</f>
        <v>687</v>
      </c>
      <c r="I112" s="548"/>
      <c r="J112" s="549">
        <f>H112/DAY(B2)</f>
        <v>40.411764705882355</v>
      </c>
    </row>
    <row r="113" spans="1:12" s="544" customFormat="1" ht="21.75" customHeight="1">
      <c r="A113" s="1484" t="s">
        <v>234</v>
      </c>
      <c r="B113" s="1484"/>
      <c r="C113" s="1355"/>
      <c r="D113" s="578"/>
      <c r="E113" s="548">
        <f>'[3]16'!F113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485" t="s">
        <v>235</v>
      </c>
      <c r="B114" s="1485"/>
      <c r="C114" s="582"/>
      <c r="D114" s="578" t="s">
        <v>155</v>
      </c>
      <c r="E114" s="548">
        <f>'[3]16'!F114</f>
        <v>8443</v>
      </c>
      <c r="F114" s="552">
        <v>8454</v>
      </c>
      <c r="G114" s="552">
        <f>F114-E114</f>
        <v>11</v>
      </c>
      <c r="H114" s="552">
        <f>SUM(G114+'[3]1'!G91)</f>
        <v>11</v>
      </c>
      <c r="I114" s="548"/>
      <c r="J114" s="549">
        <f>H114/DAY(B2)</f>
        <v>0.6470588235294118</v>
      </c>
    </row>
    <row r="115" spans="1:12" s="544" customFormat="1" ht="21.75" customHeight="1">
      <c r="A115" s="1485" t="s">
        <v>236</v>
      </c>
      <c r="B115" s="1485"/>
      <c r="C115" s="582"/>
      <c r="D115" s="578" t="s">
        <v>155</v>
      </c>
      <c r="E115" s="548">
        <f>'[3]16'!F115</f>
        <v>6668</v>
      </c>
      <c r="F115" s="552">
        <v>6675</v>
      </c>
      <c r="G115" s="552">
        <f t="shared" ref="G115:G116" si="11">F115-E115</f>
        <v>7</v>
      </c>
      <c r="H115" s="552">
        <f>SUM(G115+'[3]1'!G92)</f>
        <v>112</v>
      </c>
      <c r="I115" s="548"/>
      <c r="J115" s="549">
        <f>H115/DAY(B2)</f>
        <v>6.5882352941176467</v>
      </c>
    </row>
    <row r="116" spans="1:12" s="544" customFormat="1" ht="21.75" customHeight="1">
      <c r="A116" s="1485" t="s">
        <v>237</v>
      </c>
      <c r="B116" s="1485"/>
      <c r="C116" s="582"/>
      <c r="D116" s="578" t="s">
        <v>155</v>
      </c>
      <c r="E116" s="552"/>
      <c r="F116" s="552"/>
      <c r="G116" s="552">
        <f t="shared" si="11"/>
        <v>0</v>
      </c>
      <c r="H116" s="552">
        <f>SUM(G116+'[3]1'!G93)</f>
        <v>185</v>
      </c>
      <c r="I116" s="548"/>
      <c r="J116" s="549">
        <f>H116/DAY(B2)</f>
        <v>10.882352941176471</v>
      </c>
    </row>
    <row r="117" spans="1:12" s="557" customFormat="1" ht="23.25">
      <c r="A117" s="1486" t="s">
        <v>213</v>
      </c>
      <c r="B117" s="1486"/>
      <c r="C117" s="582"/>
      <c r="D117" s="579"/>
      <c r="E117" s="552"/>
      <c r="F117" s="552"/>
      <c r="G117" s="552">
        <f>SUM(G114:G116)</f>
        <v>18</v>
      </c>
      <c r="H117" s="552">
        <f>SUM(G117+'[3]1'!G95)</f>
        <v>66</v>
      </c>
      <c r="I117" s="552"/>
      <c r="J117" s="549">
        <f>H117/DAY(B2)</f>
        <v>3.8823529411764706</v>
      </c>
    </row>
    <row r="118" spans="1:12" s="558" customFormat="1" ht="23.25">
      <c r="A118" s="1482" t="s">
        <v>238</v>
      </c>
      <c r="B118" s="1482"/>
      <c r="C118" s="1354"/>
      <c r="D118" s="580" t="s">
        <v>155</v>
      </c>
      <c r="E118" s="576"/>
      <c r="F118" s="554">
        <f>SUM(G19+G92)</f>
        <v>114</v>
      </c>
      <c r="G118" s="554">
        <f>SUM(G19+G92)</f>
        <v>114</v>
      </c>
      <c r="H118" s="553">
        <f>SUM(G118+'[3]1'!G96)</f>
        <v>163</v>
      </c>
      <c r="I118" s="576"/>
      <c r="J118" s="554">
        <f>H118/DAY(B2)</f>
        <v>9.5882352941176467</v>
      </c>
    </row>
    <row r="119" spans="1:12" s="558" customFormat="1" ht="23.25">
      <c r="A119" s="1482" t="s">
        <v>239</v>
      </c>
      <c r="B119" s="1482"/>
      <c r="C119" s="1354"/>
      <c r="D119" s="580" t="s">
        <v>155</v>
      </c>
      <c r="E119" s="576"/>
      <c r="F119" s="554">
        <f>SUM(G95,G96,G97,G99,G100)</f>
        <v>111</v>
      </c>
      <c r="G119" s="554">
        <f>SUM(G95,G96,G97,G99,G100)</f>
        <v>111</v>
      </c>
      <c r="H119" s="553">
        <f>SUM(G119+'[3]1'!G98)</f>
        <v>143</v>
      </c>
      <c r="I119" s="576"/>
      <c r="J119" s="554">
        <f>H119/DAY(B2)</f>
        <v>8.4117647058823533</v>
      </c>
    </row>
    <row r="120" spans="1:12" s="558" customFormat="1" ht="23.25">
      <c r="A120" s="1482" t="s">
        <v>240</v>
      </c>
      <c r="B120" s="1482"/>
      <c r="C120" s="1354"/>
      <c r="D120" s="580" t="s">
        <v>155</v>
      </c>
      <c r="E120" s="576"/>
      <c r="F120" s="552">
        <f>SUM(G112)</f>
        <v>91</v>
      </c>
      <c r="G120" s="552">
        <f>SUM(G112)</f>
        <v>91</v>
      </c>
      <c r="H120" s="553">
        <f>SUM(G120+'[3]1'!G100)</f>
        <v>91</v>
      </c>
      <c r="I120" s="576"/>
      <c r="J120" s="554">
        <f>H120/DAY(B2)</f>
        <v>5.3529411764705879</v>
      </c>
    </row>
    <row r="121" spans="1:12" s="544" customFormat="1" ht="18.75" customHeight="1">
      <c r="A121" s="1483"/>
      <c r="B121" s="1483"/>
      <c r="C121" s="1355"/>
      <c r="F121" s="544" t="s">
        <v>226</v>
      </c>
      <c r="H121" s="555"/>
      <c r="J121" s="556"/>
    </row>
    <row r="122" spans="1:12" ht="17.25" customHeight="1">
      <c r="A122" s="1545" t="s">
        <v>241</v>
      </c>
      <c r="B122" s="1546"/>
      <c r="C122" s="1547"/>
      <c r="D122" s="482"/>
      <c r="E122" s="482"/>
      <c r="F122" s="482"/>
      <c r="G122" s="487"/>
      <c r="H122" s="487"/>
      <c r="I122" s="487"/>
      <c r="J122" s="487"/>
      <c r="K122" s="517"/>
      <c r="L122" s="509"/>
    </row>
    <row r="123" spans="1:12" ht="17.25" customHeight="1" thickBot="1">
      <c r="A123" s="190" t="s">
        <v>242</v>
      </c>
      <c r="B123" s="191"/>
      <c r="C123" s="192"/>
      <c r="D123" s="141" t="s">
        <v>152</v>
      </c>
      <c r="E123" s="163">
        <f>'[3]16'!F123</f>
        <v>785994.35100000002</v>
      </c>
      <c r="F123" s="142">
        <v>786196.36</v>
      </c>
      <c r="G123" s="209">
        <f t="shared" ref="G123:G127" si="12">F123-E123</f>
        <v>202.00899999996182</v>
      </c>
      <c r="H123" s="61">
        <f>G123+'[3]16'!H123</f>
        <v>3271.4739999999292</v>
      </c>
      <c r="I123" s="91"/>
      <c r="J123" s="62">
        <f>H123/DAY(B2)</f>
        <v>192.43964705881936</v>
      </c>
      <c r="K123" s="517"/>
      <c r="L123" s="509"/>
    </row>
    <row r="124" spans="1:12" ht="17.25" customHeight="1" thickBot="1">
      <c r="A124" s="190" t="s">
        <v>243</v>
      </c>
      <c r="B124" s="191"/>
      <c r="C124" s="192"/>
      <c r="D124" s="141" t="s">
        <v>152</v>
      </c>
      <c r="E124" s="163">
        <f>'[3]16'!F124</f>
        <v>73581.899999999994</v>
      </c>
      <c r="F124" s="142">
        <v>73581.899999999994</v>
      </c>
      <c r="G124" s="209">
        <f t="shared" si="12"/>
        <v>0</v>
      </c>
      <c r="H124" s="61">
        <f>G124+'[3]16'!H124</f>
        <v>0.89999999999417923</v>
      </c>
      <c r="I124" s="91"/>
      <c r="J124" s="62">
        <f>H124/DAY(B2)</f>
        <v>5.2941176470245835E-2</v>
      </c>
      <c r="K124" s="517"/>
      <c r="L124" s="509"/>
    </row>
    <row r="125" spans="1:12" ht="17.25" customHeight="1" thickBot="1">
      <c r="A125" s="1539" t="s">
        <v>244</v>
      </c>
      <c r="B125" s="1540"/>
      <c r="C125" s="1541"/>
      <c r="D125" s="59" t="s">
        <v>152</v>
      </c>
      <c r="E125" s="163">
        <f>'[3]16'!F125</f>
        <v>132110.25</v>
      </c>
      <c r="F125" s="71">
        <v>132165.46</v>
      </c>
      <c r="G125" s="209">
        <f t="shared" si="12"/>
        <v>55.209999999991851</v>
      </c>
      <c r="H125" s="61">
        <f>G125+'[3]16'!H125</f>
        <v>1059.2399999999907</v>
      </c>
      <c r="I125" s="91"/>
      <c r="J125" s="62">
        <f>H125/DAY(B2)</f>
        <v>62.308235294117097</v>
      </c>
      <c r="K125" s="517"/>
      <c r="L125" s="509"/>
    </row>
    <row r="126" spans="1:12" ht="17.25" customHeight="1" thickBot="1">
      <c r="A126" s="504" t="s">
        <v>245</v>
      </c>
      <c r="B126" s="1360"/>
      <c r="C126" s="1361"/>
      <c r="D126" s="59" t="s">
        <v>152</v>
      </c>
      <c r="E126" s="163">
        <f>'[3]16'!F126</f>
        <v>55967.199999999997</v>
      </c>
      <c r="F126" s="71">
        <v>55989.9</v>
      </c>
      <c r="G126" s="209">
        <f t="shared" si="12"/>
        <v>22.700000000004366</v>
      </c>
      <c r="H126" s="61">
        <f>G126+'[3]16'!H126</f>
        <v>404.09999999999854</v>
      </c>
      <c r="I126" s="91"/>
      <c r="J126" s="62">
        <f>H126/DAY(B2)</f>
        <v>23.770588235294031</v>
      </c>
      <c r="K126" s="517"/>
      <c r="L126" s="509"/>
    </row>
    <row r="127" spans="1:12" ht="17.25" customHeight="1" thickBot="1">
      <c r="A127" s="504" t="s">
        <v>246</v>
      </c>
      <c r="B127" s="1360"/>
      <c r="C127" s="1361"/>
      <c r="D127" s="59" t="s">
        <v>152</v>
      </c>
      <c r="E127" s="163">
        <f>'[3]16'!F127</f>
        <v>8640.1</v>
      </c>
      <c r="F127" s="71">
        <v>8640.1</v>
      </c>
      <c r="G127" s="209">
        <f t="shared" si="12"/>
        <v>0</v>
      </c>
      <c r="H127" s="61">
        <f>G127+'[3]16'!H127</f>
        <v>1.1000000000003638</v>
      </c>
      <c r="I127" s="73"/>
      <c r="J127" s="62">
        <f>H127/DAY(B2)</f>
        <v>6.4705882352962582E-2</v>
      </c>
      <c r="K127" s="517"/>
      <c r="L127" s="509"/>
    </row>
    <row r="128" spans="1:12" s="292" customFormat="1" ht="21.75" customHeight="1">
      <c r="A128" s="93" t="s">
        <v>247</v>
      </c>
      <c r="B128" s="538"/>
      <c r="C128" s="538"/>
      <c r="D128" s="279"/>
      <c r="E128" s="60"/>
      <c r="F128" s="275"/>
      <c r="G128" s="209">
        <f>G15-SUM(G123:G127)</f>
        <v>249.95700000020588</v>
      </c>
      <c r="H128" s="61">
        <f>G128+'[3]16'!H128</f>
        <v>332.22500000023865</v>
      </c>
      <c r="I128" s="337"/>
      <c r="J128" s="62">
        <f>H128/DAY(B2)</f>
        <v>19.542647058837566</v>
      </c>
      <c r="K128" s="402"/>
      <c r="L128" s="304"/>
    </row>
    <row r="129" spans="1:12" ht="17.25" customHeight="1">
      <c r="A129" s="481" t="s">
        <v>248</v>
      </c>
      <c r="B129" s="481"/>
      <c r="C129" s="481"/>
      <c r="D129" s="481"/>
      <c r="E129" s="481"/>
      <c r="F129" s="481"/>
      <c r="G129" s="506"/>
      <c r="H129" s="506"/>
      <c r="I129" s="506"/>
      <c r="J129" s="506"/>
    </row>
    <row r="130" spans="1:12" ht="17.25" customHeight="1" thickBot="1">
      <c r="A130" s="201" t="s">
        <v>249</v>
      </c>
      <c r="B130" s="201"/>
      <c r="C130" s="201"/>
      <c r="D130" s="59" t="s">
        <v>250</v>
      </c>
      <c r="E130" s="163">
        <f>'[3]16'!F130</f>
        <v>0</v>
      </c>
      <c r="F130" s="86">
        <v>0</v>
      </c>
      <c r="G130" s="209">
        <f t="shared" ref="G130:G140" si="13">F130-E130</f>
        <v>0</v>
      </c>
      <c r="H130" s="61">
        <f>G130+'[3]16'!H130</f>
        <v>0</v>
      </c>
      <c r="I130" s="73"/>
      <c r="J130" s="62">
        <f>H130/DAY(B2)</f>
        <v>0</v>
      </c>
    </row>
    <row r="131" spans="1:12" ht="17.25" customHeight="1" thickBot="1">
      <c r="A131" s="201" t="s">
        <v>251</v>
      </c>
      <c r="B131" s="201"/>
      <c r="C131" s="201"/>
      <c r="D131" s="59" t="s">
        <v>250</v>
      </c>
      <c r="E131" s="163">
        <f>'[3]16'!F131</f>
        <v>0</v>
      </c>
      <c r="F131" s="86">
        <v>0</v>
      </c>
      <c r="G131" s="209">
        <f t="shared" si="13"/>
        <v>0</v>
      </c>
      <c r="H131" s="61">
        <f>G131+'[3]16'!H131</f>
        <v>0</v>
      </c>
      <c r="I131" s="73"/>
      <c r="J131" s="62">
        <f>H131/DAY(B2)</f>
        <v>0</v>
      </c>
    </row>
    <row r="132" spans="1:12" ht="17.25" customHeight="1" thickBot="1">
      <c r="A132" s="201" t="s">
        <v>252</v>
      </c>
      <c r="B132" s="201"/>
      <c r="C132" s="201"/>
      <c r="D132" s="59" t="s">
        <v>250</v>
      </c>
      <c r="E132" s="163">
        <f>'[3]16'!F132</f>
        <v>38853</v>
      </c>
      <c r="F132" s="86">
        <v>38853</v>
      </c>
      <c r="G132" s="209">
        <f t="shared" si="13"/>
        <v>0</v>
      </c>
      <c r="H132" s="61">
        <f>G132+'[3]16'!H132</f>
        <v>0</v>
      </c>
      <c r="I132" s="73"/>
      <c r="J132" s="62">
        <f>H132/DAY(B2)</f>
        <v>0</v>
      </c>
    </row>
    <row r="133" spans="1:12" ht="17.25" customHeight="1" thickBot="1">
      <c r="A133" s="201" t="s">
        <v>253</v>
      </c>
      <c r="B133" s="201"/>
      <c r="C133" s="201"/>
      <c r="D133" s="59" t="s">
        <v>250</v>
      </c>
      <c r="E133" s="163">
        <f>'[3]16'!F133</f>
        <v>34948</v>
      </c>
      <c r="F133" s="86">
        <v>34948</v>
      </c>
      <c r="G133" s="209">
        <f t="shared" si="13"/>
        <v>0</v>
      </c>
      <c r="H133" s="61">
        <f>G133+'[3]16'!H133</f>
        <v>0</v>
      </c>
      <c r="I133" s="73">
        <f>G130+G131+G132+G133</f>
        <v>0</v>
      </c>
      <c r="J133" s="62">
        <f>H133/DAY(B2)</f>
        <v>0</v>
      </c>
    </row>
    <row r="134" spans="1:12" ht="17.25" customHeight="1" thickBot="1">
      <c r="A134" s="201" t="s">
        <v>254</v>
      </c>
      <c r="B134" s="201"/>
      <c r="C134" s="201"/>
      <c r="D134" s="59" t="s">
        <v>250</v>
      </c>
      <c r="E134" s="163">
        <f>'[3]16'!F134</f>
        <v>39735</v>
      </c>
      <c r="F134" s="86">
        <v>39735</v>
      </c>
      <c r="G134" s="209">
        <f t="shared" si="13"/>
        <v>0</v>
      </c>
      <c r="H134" s="61">
        <f>G134+'[3]16'!H134</f>
        <v>-1.2699999999967986</v>
      </c>
      <c r="I134" s="73"/>
      <c r="J134" s="62">
        <f>H134/DAY(B2)</f>
        <v>-7.4705882352752856E-2</v>
      </c>
    </row>
    <row r="135" spans="1:12" ht="17.25" customHeight="1" thickBot="1">
      <c r="A135" s="201" t="s">
        <v>255</v>
      </c>
      <c r="B135" s="201"/>
      <c r="C135" s="201"/>
      <c r="D135" s="59" t="s">
        <v>250</v>
      </c>
      <c r="E135" s="163">
        <f>'[3]16'!F135</f>
        <v>31376</v>
      </c>
      <c r="F135" s="86">
        <v>31400.23</v>
      </c>
      <c r="G135" s="209">
        <f t="shared" si="13"/>
        <v>24.229999999999563</v>
      </c>
      <c r="H135" s="61">
        <f>G135+'[3]16'!H135</f>
        <v>407.20999999999913</v>
      </c>
      <c r="I135" s="73"/>
      <c r="J135" s="62">
        <f>H135/DAY(B2)</f>
        <v>23.953529411764656</v>
      </c>
    </row>
    <row r="136" spans="1:12" ht="17.25" customHeight="1" thickBot="1">
      <c r="A136" s="201" t="s">
        <v>256</v>
      </c>
      <c r="B136" s="201"/>
      <c r="C136" s="201"/>
      <c r="D136" s="59" t="s">
        <v>250</v>
      </c>
      <c r="E136" s="163">
        <f>'[3]16'!F136</f>
        <v>21627.37</v>
      </c>
      <c r="F136" s="86">
        <v>21627.37</v>
      </c>
      <c r="G136" s="209">
        <f t="shared" si="13"/>
        <v>0</v>
      </c>
      <c r="H136" s="61">
        <f>G136+'[3]16'!H136</f>
        <v>29.340000000000146</v>
      </c>
      <c r="I136" s="73">
        <f>G134+G135+G136</f>
        <v>24.229999999999563</v>
      </c>
      <c r="J136" s="62">
        <f>H136/DAY(B2)</f>
        <v>1.7258823529411851</v>
      </c>
    </row>
    <row r="137" spans="1:12" ht="17.25" customHeight="1" thickBot="1">
      <c r="A137" s="201" t="s">
        <v>257</v>
      </c>
      <c r="B137" s="201"/>
      <c r="C137" s="201"/>
      <c r="D137" s="59" t="s">
        <v>250</v>
      </c>
      <c r="E137" s="163">
        <f>'[3]16'!F137</f>
        <v>24915.63</v>
      </c>
      <c r="F137" s="86">
        <v>24916.99</v>
      </c>
      <c r="G137" s="209">
        <f t="shared" si="13"/>
        <v>1.3600000000005821</v>
      </c>
      <c r="H137" s="61">
        <f>G137+'[3]16'!H137</f>
        <v>14.740000000001601</v>
      </c>
      <c r="I137" s="73"/>
      <c r="J137" s="62">
        <f>H137/DAY(B2)</f>
        <v>0.86705882352950592</v>
      </c>
    </row>
    <row r="138" spans="1:12" ht="17.25" customHeight="1" thickBot="1">
      <c r="A138" s="201" t="s">
        <v>258</v>
      </c>
      <c r="B138" s="201"/>
      <c r="C138" s="201"/>
      <c r="D138" s="59" t="s">
        <v>250</v>
      </c>
      <c r="E138" s="163">
        <f>'[3]16'!F138</f>
        <v>69929.399999999994</v>
      </c>
      <c r="F138" s="86">
        <v>69936.710000000006</v>
      </c>
      <c r="G138" s="209">
        <f t="shared" si="13"/>
        <v>7.3100000000122236</v>
      </c>
      <c r="H138" s="61">
        <f>G138+'[3]16'!H138</f>
        <v>55.060000000012224</v>
      </c>
      <c r="I138" s="73">
        <f>G137+G138</f>
        <v>8.6700000000128057</v>
      </c>
      <c r="J138" s="62">
        <f>H138/DAY(B2)</f>
        <v>3.2388235294124836</v>
      </c>
    </row>
    <row r="139" spans="1:12" ht="17.25" customHeight="1" thickBot="1">
      <c r="A139" s="201" t="s">
        <v>259</v>
      </c>
      <c r="B139" s="201"/>
      <c r="C139" s="201"/>
      <c r="D139" s="59" t="s">
        <v>250</v>
      </c>
      <c r="E139" s="163">
        <f>'[3]16'!F139</f>
        <v>861.76</v>
      </c>
      <c r="F139" s="86">
        <v>867.45</v>
      </c>
      <c r="G139" s="209">
        <f t="shared" si="13"/>
        <v>5.6900000000000546</v>
      </c>
      <c r="H139" s="61">
        <f>G139+'[3]16'!H139</f>
        <v>91.020000000000095</v>
      </c>
      <c r="I139" s="118"/>
      <c r="J139" s="62">
        <f>H139/DAY(B2)</f>
        <v>5.3541176470588292</v>
      </c>
    </row>
    <row r="140" spans="1:12" ht="18.75" customHeight="1" thickBot="1">
      <c r="A140" s="201" t="s">
        <v>260</v>
      </c>
      <c r="B140" s="201"/>
      <c r="C140" s="201"/>
      <c r="D140" s="59" t="s">
        <v>250</v>
      </c>
      <c r="E140" s="163">
        <f>'[3]16'!F140</f>
        <v>4156.9799999999996</v>
      </c>
      <c r="F140" s="86">
        <v>4156.9799999999996</v>
      </c>
      <c r="G140" s="209">
        <f t="shared" si="13"/>
        <v>0</v>
      </c>
      <c r="H140" s="61">
        <f>G140+'[3]16'!H140</f>
        <v>2.7099999999991269</v>
      </c>
      <c r="I140" s="118"/>
      <c r="J140" s="62">
        <f>H140/DAY(B2)</f>
        <v>0.15941176470583099</v>
      </c>
    </row>
    <row r="141" spans="1:12" ht="17.25" customHeight="1">
      <c r="A141" s="1548" t="s">
        <v>261</v>
      </c>
      <c r="B141" s="1549"/>
      <c r="C141" s="482"/>
      <c r="D141" s="482"/>
      <c r="E141" s="482"/>
      <c r="F141" s="482"/>
      <c r="G141" s="487"/>
      <c r="H141" s="487"/>
      <c r="I141" s="487"/>
      <c r="J141" s="487"/>
      <c r="K141" s="517"/>
      <c r="L141" s="509"/>
    </row>
    <row r="142" spans="1:12" ht="17.25" customHeight="1">
      <c r="A142" s="1536" t="s">
        <v>262</v>
      </c>
      <c r="B142" s="1537"/>
      <c r="C142" s="1538"/>
      <c r="D142" s="59" t="s">
        <v>143</v>
      </c>
      <c r="E142" s="59"/>
      <c r="F142" s="59"/>
      <c r="G142" s="61">
        <v>3349</v>
      </c>
      <c r="H142" s="61">
        <f>G142+'[3]16'!H142</f>
        <v>81302.679000000033</v>
      </c>
      <c r="I142" s="73"/>
      <c r="J142" s="62">
        <f>H142/DAY(B2)</f>
        <v>4782.5105294117666</v>
      </c>
      <c r="K142" s="517"/>
      <c r="L142" s="509"/>
    </row>
    <row r="143" spans="1:12" ht="17.25" customHeight="1">
      <c r="A143" s="1536" t="s">
        <v>263</v>
      </c>
      <c r="B143" s="1537"/>
      <c r="C143" s="1538"/>
      <c r="D143" s="59" t="s">
        <v>24</v>
      </c>
      <c r="E143" s="58"/>
      <c r="F143" s="58"/>
      <c r="G143" s="505">
        <f>G142/G7</f>
        <v>0.16856251258304811</v>
      </c>
      <c r="H143" s="61">
        <f>G143+'[3]16'!H143</f>
        <v>3.9584470643950715</v>
      </c>
      <c r="I143" s="88"/>
      <c r="J143" s="62">
        <f>H143/DAY(B2)</f>
        <v>0.23284982731735715</v>
      </c>
      <c r="K143" s="521"/>
      <c r="L143" s="509"/>
    </row>
    <row r="144" spans="1:12" ht="17.25" customHeight="1">
      <c r="A144" s="1536" t="s">
        <v>264</v>
      </c>
      <c r="B144" s="1537"/>
      <c r="C144" s="1538"/>
      <c r="D144" s="59" t="s">
        <v>143</v>
      </c>
      <c r="E144" s="74"/>
      <c r="F144" s="74"/>
      <c r="G144" s="61">
        <f>G41+G42+G55+G56</f>
        <v>5385.3300000000163</v>
      </c>
      <c r="H144" s="61">
        <f>G144+'[3]16'!H144</f>
        <v>73524.920000000071</v>
      </c>
      <c r="I144" s="73"/>
      <c r="J144" s="62">
        <f>H144/DAY(B2)</f>
        <v>4324.9952941176516</v>
      </c>
      <c r="K144" s="521"/>
      <c r="L144" s="509"/>
    </row>
    <row r="145" spans="1:12" ht="17.25" customHeight="1">
      <c r="A145" s="1536" t="s">
        <v>265</v>
      </c>
      <c r="B145" s="1537"/>
      <c r="C145" s="1538"/>
      <c r="D145" s="59" t="s">
        <v>24</v>
      </c>
      <c r="E145" s="74"/>
      <c r="F145" s="74"/>
      <c r="G145" s="505">
        <f>G144/G7</f>
        <v>0.27105546607610309</v>
      </c>
      <c r="H145" s="61">
        <f>G145+'[3]16'!H145</f>
        <v>3.7534945048227195</v>
      </c>
      <c r="I145" s="88"/>
      <c r="J145" s="62">
        <f>H145/DAY(B2)</f>
        <v>0.22079379440133645</v>
      </c>
      <c r="K145" s="521"/>
      <c r="L145" s="509"/>
    </row>
    <row r="146" spans="1:12" ht="17.25" customHeight="1">
      <c r="A146" s="1536" t="s">
        <v>266</v>
      </c>
      <c r="B146" s="1537"/>
      <c r="C146" s="1538"/>
      <c r="D146" s="59" t="s">
        <v>143</v>
      </c>
      <c r="E146" s="74"/>
      <c r="F146" s="74"/>
      <c r="G146" s="61">
        <f>G39+G53</f>
        <v>2150.2800000000002</v>
      </c>
      <c r="H146" s="61">
        <f>G146+'[3]16'!H146</f>
        <v>50606.570000000036</v>
      </c>
      <c r="I146" s="90"/>
      <c r="J146" s="62">
        <f>H146/DAY(B2)</f>
        <v>2976.8570588235316</v>
      </c>
      <c r="K146" s="521"/>
      <c r="L146" s="509"/>
    </row>
    <row r="147" spans="1:12" ht="17.25" customHeight="1">
      <c r="A147" s="1536" t="s">
        <v>267</v>
      </c>
      <c r="B147" s="1537"/>
      <c r="C147" s="1538"/>
      <c r="D147" s="59" t="s">
        <v>24</v>
      </c>
      <c r="E147" s="74"/>
      <c r="F147" s="74"/>
      <c r="G147" s="505">
        <f>G146/G7</f>
        <v>0.10822830682504531</v>
      </c>
      <c r="H147" s="61">
        <f>G147+'[3]16'!H147</f>
        <v>2.5301315425865547</v>
      </c>
      <c r="I147" s="90"/>
      <c r="J147" s="62">
        <f>H147/DAY(B2)</f>
        <v>0.14883126721097381</v>
      </c>
    </row>
    <row r="148" spans="1:12" ht="17.25" customHeight="1">
      <c r="A148" s="1536" t="s">
        <v>268</v>
      </c>
      <c r="B148" s="1537"/>
      <c r="C148" s="1538"/>
      <c r="D148" s="59" t="s">
        <v>194</v>
      </c>
      <c r="E148" s="74"/>
      <c r="F148" s="74"/>
      <c r="G148" s="61">
        <f>G38+G52</f>
        <v>1797.0800000000163</v>
      </c>
      <c r="H148" s="61">
        <f>G148+'[3]16'!H148</f>
        <v>29509.900000000023</v>
      </c>
      <c r="I148" s="73"/>
      <c r="J148" s="62">
        <f>H148/DAY(B2)</f>
        <v>1735.8764705882368</v>
      </c>
      <c r="K148" s="522"/>
    </row>
    <row r="149" spans="1:12" ht="17.25" customHeight="1">
      <c r="A149" s="1536" t="s">
        <v>269</v>
      </c>
      <c r="B149" s="1537"/>
      <c r="C149" s="1538"/>
      <c r="D149" s="59" t="s">
        <v>24</v>
      </c>
      <c r="E149" s="74"/>
      <c r="F149" s="74"/>
      <c r="G149" s="505">
        <f>G148/G7</f>
        <v>9.0450976444534745E-2</v>
      </c>
      <c r="H149" s="61">
        <f>G149+'[3]16'!H149</f>
        <v>1.5012215350806284</v>
      </c>
      <c r="I149" s="90"/>
      <c r="J149" s="62">
        <f>H149/DAY(B2)</f>
        <v>8.8307149122389905E-2</v>
      </c>
    </row>
    <row r="150" spans="1:12" ht="17.25" customHeight="1">
      <c r="A150" s="1536" t="s">
        <v>270</v>
      </c>
      <c r="B150" s="1537"/>
      <c r="C150" s="1538"/>
      <c r="D150" s="59" t="s">
        <v>194</v>
      </c>
      <c r="E150" s="74"/>
      <c r="F150" s="74"/>
      <c r="G150" s="61">
        <f>G36+G50</f>
        <v>1746.6999999999825</v>
      </c>
      <c r="H150" s="61">
        <f>G150+'[3]16'!H150</f>
        <v>27227.479999999981</v>
      </c>
      <c r="I150" s="90"/>
      <c r="J150" s="62">
        <f>H150/DAY(B2)</f>
        <v>1601.6164705882343</v>
      </c>
    </row>
    <row r="151" spans="1:12" ht="17.25" customHeight="1">
      <c r="A151" s="1536" t="s">
        <v>271</v>
      </c>
      <c r="B151" s="1537"/>
      <c r="C151" s="1538"/>
      <c r="D151" s="59" t="s">
        <v>24</v>
      </c>
      <c r="E151" s="74"/>
      <c r="F151" s="74"/>
      <c r="G151" s="505">
        <f>G150/G7</f>
        <v>8.7915240587879126E-2</v>
      </c>
      <c r="H151" s="61">
        <f>G151+'[3]16'!H151</f>
        <v>1.3830152081752811</v>
      </c>
      <c r="I151" s="73"/>
      <c r="J151" s="62">
        <f>H151/DAY(B2)</f>
        <v>8.1353835775016536E-2</v>
      </c>
    </row>
    <row r="152" spans="1:12" ht="17.25" customHeight="1">
      <c r="A152" s="1536" t="s">
        <v>272</v>
      </c>
      <c r="B152" s="1537"/>
      <c r="C152" s="1538"/>
      <c r="D152" s="59" t="s">
        <v>194</v>
      </c>
      <c r="E152" s="74"/>
      <c r="F152" s="74"/>
      <c r="G152" s="61">
        <f>G37+G51</f>
        <v>844.69</v>
      </c>
      <c r="H152" s="61">
        <f>G152+'[3]16'!H152</f>
        <v>24041.551899999999</v>
      </c>
      <c r="I152" s="73"/>
      <c r="J152" s="62">
        <f>H152/DAY(B2)</f>
        <v>1414.2089352941175</v>
      </c>
    </row>
    <row r="153" spans="1:12" ht="17.25" customHeight="1">
      <c r="A153" s="1536" t="s">
        <v>273</v>
      </c>
      <c r="B153" s="1537"/>
      <c r="C153" s="1538"/>
      <c r="D153" s="59" t="s">
        <v>24</v>
      </c>
      <c r="E153" s="74"/>
      <c r="F153" s="74"/>
      <c r="G153" s="505">
        <f>G152/G7</f>
        <v>4.2515099657741091E-2</v>
      </c>
      <c r="H153" s="61">
        <f>G153+'[3]16'!H153</f>
        <v>1.2285972852509786</v>
      </c>
      <c r="I153" s="73"/>
      <c r="J153" s="62">
        <f>H153/DAY(B2)</f>
        <v>7.2270428544175203E-2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552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163">
        <f>'[3]16'!F160</f>
        <v>22820.615000000002</v>
      </c>
      <c r="F160" s="795">
        <v>22895.279999999999</v>
      </c>
      <c r="G160" s="613">
        <f t="shared" ref="G160:G171" si="14">F160-E160</f>
        <v>74.664999999997235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163">
        <f>'[3]16'!F161</f>
        <v>15108.684999999999</v>
      </c>
      <c r="F161" s="795">
        <v>15212.57</v>
      </c>
      <c r="G161" s="613">
        <f t="shared" si="14"/>
        <v>103.88500000000022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163">
        <f>'[3]16'!F162</f>
        <v>34006.800000000003</v>
      </c>
      <c r="F162" s="795">
        <v>34232</v>
      </c>
      <c r="G162" s="613">
        <f t="shared" si="14"/>
        <v>225.19999999999709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163">
        <f>'[3]16'!F163</f>
        <v>3323.33</v>
      </c>
      <c r="F163" s="795">
        <v>3337</v>
      </c>
      <c r="G163" s="613">
        <f t="shared" si="14"/>
        <v>13.670000000000073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4"/>
        <v>0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15">E63</f>
        <v>615.01</v>
      </c>
      <c r="F165" s="654">
        <v>634.64</v>
      </c>
      <c r="G165" s="613">
        <f t="shared" si="14"/>
        <v>19.629999999999995</v>
      </c>
      <c r="H165" s="554"/>
      <c r="I165" s="552"/>
      <c r="J165" s="554"/>
    </row>
    <row r="166" spans="1:10" s="557" customFormat="1" ht="21.75" customHeight="1">
      <c r="A166" s="1404" t="s">
        <v>107</v>
      </c>
      <c r="B166" s="1404"/>
      <c r="C166" s="1404"/>
      <c r="D166" s="663" t="s">
        <v>198</v>
      </c>
      <c r="E166" s="654">
        <f t="shared" si="15"/>
        <v>81676.759000000005</v>
      </c>
      <c r="F166" s="654">
        <f t="shared" si="15"/>
        <v>82030</v>
      </c>
      <c r="G166" s="613">
        <f t="shared" si="14"/>
        <v>353.24099999999453</v>
      </c>
      <c r="H166" s="552"/>
      <c r="I166" s="552"/>
      <c r="J166" s="554"/>
    </row>
    <row r="167" spans="1:10" s="557" customFormat="1" ht="21.75" customHeight="1">
      <c r="A167" s="1404" t="s">
        <v>108</v>
      </c>
      <c r="B167" s="1404"/>
      <c r="C167" s="1404"/>
      <c r="D167" s="663" t="s">
        <v>198</v>
      </c>
      <c r="E167" s="654">
        <f t="shared" si="15"/>
        <v>91276.26</v>
      </c>
      <c r="F167" s="654">
        <f t="shared" si="15"/>
        <v>91646</v>
      </c>
      <c r="G167" s="613">
        <f t="shared" si="14"/>
        <v>369.74000000000524</v>
      </c>
      <c r="H167" s="552"/>
      <c r="I167" s="552"/>
      <c r="J167" s="554"/>
    </row>
    <row r="168" spans="1:10" s="557" customFormat="1" ht="21.75" customHeight="1">
      <c r="A168" s="1404" t="s">
        <v>109</v>
      </c>
      <c r="B168" s="1404"/>
      <c r="C168" s="1404"/>
      <c r="D168" s="663" t="s">
        <v>198</v>
      </c>
      <c r="E168" s="654">
        <f t="shared" si="15"/>
        <v>84389.039000000004</v>
      </c>
      <c r="F168" s="654">
        <f t="shared" si="15"/>
        <v>84787.97</v>
      </c>
      <c r="G168" s="613">
        <f t="shared" si="14"/>
        <v>398.93099999999686</v>
      </c>
      <c r="H168" s="553"/>
      <c r="I168" s="552"/>
      <c r="J168" s="554"/>
    </row>
    <row r="169" spans="1:10" s="557" customFormat="1" ht="24" customHeight="1">
      <c r="A169" s="1404" t="s">
        <v>110</v>
      </c>
      <c r="B169" s="1404"/>
      <c r="C169" s="1404"/>
      <c r="D169" s="663" t="s">
        <v>198</v>
      </c>
      <c r="E169" s="654">
        <f t="shared" si="15"/>
        <v>136310.98000000001</v>
      </c>
      <c r="F169" s="654">
        <f t="shared" si="15"/>
        <v>136924</v>
      </c>
      <c r="G169" s="613">
        <f t="shared" si="14"/>
        <v>613.01999999998952</v>
      </c>
      <c r="H169" s="553"/>
      <c r="I169" s="552"/>
      <c r="J169" s="554"/>
    </row>
    <row r="170" spans="1:10" s="557" customFormat="1" ht="24" customHeight="1">
      <c r="A170" s="1404" t="s">
        <v>111</v>
      </c>
      <c r="B170" s="1404"/>
      <c r="C170" s="1404"/>
      <c r="D170" s="663" t="s">
        <v>198</v>
      </c>
      <c r="E170" s="654">
        <f t="shared" si="15"/>
        <v>38456.510999999999</v>
      </c>
      <c r="F170" s="654">
        <f t="shared" si="15"/>
        <v>38784</v>
      </c>
      <c r="G170" s="613">
        <f t="shared" si="14"/>
        <v>327.4890000000014</v>
      </c>
      <c r="H170" s="553"/>
      <c r="I170" s="552"/>
      <c r="J170" s="554"/>
    </row>
    <row r="171" spans="1:10" s="558" customFormat="1" ht="27">
      <c r="A171" s="1404" t="s">
        <v>112</v>
      </c>
      <c r="B171" s="1404"/>
      <c r="C171" s="1404"/>
      <c r="D171" s="663" t="s">
        <v>198</v>
      </c>
      <c r="E171" s="654">
        <f t="shared" si="15"/>
        <v>33525.870000000003</v>
      </c>
      <c r="F171" s="654">
        <f t="shared" si="15"/>
        <v>33804.69</v>
      </c>
      <c r="G171" s="613">
        <f t="shared" si="14"/>
        <v>278.81999999999971</v>
      </c>
      <c r="H171" s="553"/>
      <c r="I171" s="546"/>
      <c r="J171" s="546"/>
    </row>
    <row r="172" spans="1:10" s="558" customFormat="1" ht="23.25">
      <c r="A172" s="546"/>
      <c r="B172" s="546"/>
      <c r="C172" s="551"/>
      <c r="D172" s="551"/>
      <c r="E172" s="546"/>
      <c r="F172" s="551"/>
      <c r="G172" s="966">
        <f>SUM(G160:G171)</f>
        <v>2778.290999999982</v>
      </c>
      <c r="H172" s="559"/>
      <c r="I172" s="546"/>
      <c r="J172" s="546"/>
    </row>
    <row r="173" spans="1:10" s="558" customFormat="1" ht="23.25">
      <c r="A173" s="546"/>
      <c r="B173" s="546"/>
      <c r="C173" s="551"/>
      <c r="D173" s="551"/>
      <c r="E173" s="546"/>
      <c r="F173" s="575"/>
      <c r="G173" s="545"/>
      <c r="H173" s="553"/>
      <c r="I173" s="546"/>
      <c r="J173" s="546"/>
    </row>
    <row r="174" spans="1:10" s="558" customFormat="1" ht="23.25">
      <c r="A174" s="546"/>
      <c r="B174" s="546"/>
      <c r="C174" s="546"/>
      <c r="D174" s="546"/>
      <c r="E174" s="546"/>
      <c r="F174" s="551"/>
      <c r="G174" s="546"/>
      <c r="H174" s="559"/>
      <c r="I174" s="546"/>
      <c r="J174" s="546"/>
    </row>
    <row r="175" spans="1:10" s="558" customFormat="1" ht="23.25">
      <c r="A175" s="546"/>
      <c r="B175" s="546"/>
      <c r="C175" s="551"/>
      <c r="D175" s="551"/>
      <c r="E175" s="546"/>
      <c r="F175" s="551"/>
      <c r="G175" s="545"/>
      <c r="H175" s="553"/>
      <c r="I175" s="546"/>
      <c r="J175" s="546"/>
    </row>
    <row r="176" spans="1:10" s="557" customFormat="1" ht="18.75" customHeight="1">
      <c r="H176" s="584"/>
      <c r="J176" s="585"/>
    </row>
    <row r="178" ht="17.25" customHeight="1"/>
    <row r="181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68" zoomScaleSheetLayoutView="55" workbookViewId="0">
      <selection activeCellId="1" sqref="A1:XFD1048576 A1:XFD1048576"/>
    </sheetView>
  </sheetViews>
  <sheetFormatPr defaultColWidth="22.33203125" defaultRowHeight="23.25" customHeight="1"/>
  <cols>
    <col min="1" max="1" width="45.109375" style="292" customWidth="1"/>
    <col min="2" max="2" width="27.6640625" style="292" customWidth="1"/>
    <col min="3" max="3" width="15.88671875" style="292" customWidth="1"/>
    <col min="4" max="4" width="13.6640625" style="292" customWidth="1"/>
    <col min="5" max="5" width="26.33203125" style="292" customWidth="1"/>
    <col min="6" max="6" width="27.109375" style="292" customWidth="1"/>
    <col min="7" max="7" width="31.6640625" style="292" customWidth="1"/>
    <col min="8" max="8" width="29.77734375" style="405" customWidth="1"/>
    <col min="9" max="9" width="23.77734375" style="292" customWidth="1"/>
    <col min="10" max="10" width="23.77734375" style="406" customWidth="1"/>
    <col min="11" max="16384" width="22.33203125" style="292"/>
  </cols>
  <sheetData>
    <row r="1" spans="1:12" ht="23.25" customHeight="1">
      <c r="A1" s="1535" t="s">
        <v>128</v>
      </c>
      <c r="B1" s="1535"/>
      <c r="C1" s="1535"/>
      <c r="D1" s="1535"/>
      <c r="E1" s="1535"/>
      <c r="F1" s="1535"/>
      <c r="G1" s="1535"/>
      <c r="H1" s="1535"/>
      <c r="I1" s="1535"/>
      <c r="J1" s="1535"/>
    </row>
    <row r="2" spans="1:12" ht="23.25" customHeight="1">
      <c r="A2" s="293" t="s">
        <v>321</v>
      </c>
      <c r="B2" s="294">
        <v>44153</v>
      </c>
      <c r="C2" s="432" t="s">
        <v>69</v>
      </c>
      <c r="D2" s="295">
        <v>0.5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340" t="s">
        <v>131</v>
      </c>
      <c r="D3" s="431">
        <v>29</v>
      </c>
      <c r="E3" s="1527" t="s">
        <v>132</v>
      </c>
      <c r="F3" s="1528"/>
      <c r="G3" s="301">
        <f>'[3]1'!G3</f>
        <v>0</v>
      </c>
      <c r="H3" s="302">
        <f>'[3]1'!H3</f>
        <v>0</v>
      </c>
      <c r="I3" s="302">
        <f>'[3]1'!I3</f>
        <v>0</v>
      </c>
      <c r="J3" s="302">
        <f>'[3]1'!J3</f>
        <v>0</v>
      </c>
      <c r="K3" s="303"/>
      <c r="L3" s="304"/>
    </row>
    <row r="4" spans="1:12" ht="23.25" customHeight="1">
      <c r="A4" s="305"/>
      <c r="B4" s="299"/>
      <c r="C4" s="432" t="s">
        <v>133</v>
      </c>
      <c r="D4" s="295">
        <v>0.8</v>
      </c>
      <c r="E4" s="306"/>
      <c r="F4" s="306"/>
      <c r="G4" s="306"/>
      <c r="H4" s="306"/>
      <c r="I4" s="307"/>
      <c r="J4" s="298"/>
      <c r="K4" s="308"/>
      <c r="L4" s="304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315" t="s">
        <v>138</v>
      </c>
      <c r="I5" s="316" t="s">
        <v>139</v>
      </c>
      <c r="J5" s="314" t="s">
        <v>140</v>
      </c>
      <c r="K5" s="317"/>
      <c r="L5" s="304"/>
    </row>
    <row r="6" spans="1:12" ht="23.25" customHeight="1">
      <c r="A6" s="1524" t="s">
        <v>141</v>
      </c>
      <c r="B6" s="1525"/>
      <c r="C6" s="1526"/>
      <c r="D6" s="435"/>
      <c r="E6" s="435"/>
      <c r="F6" s="435"/>
      <c r="G6" s="435"/>
      <c r="H6" s="537"/>
      <c r="I6" s="537"/>
      <c r="J6" s="537"/>
      <c r="K6" s="318"/>
      <c r="L6" s="304"/>
    </row>
    <row r="7" spans="1:12" ht="23.25" customHeight="1" thickBot="1">
      <c r="A7" s="319" t="s">
        <v>142</v>
      </c>
      <c r="B7" s="320"/>
      <c r="C7" s="321"/>
      <c r="D7" s="322" t="s">
        <v>143</v>
      </c>
      <c r="E7" s="323">
        <f>'[3]17'!F7</f>
        <v>2419051</v>
      </c>
      <c r="F7" s="323">
        <v>2438380</v>
      </c>
      <c r="G7" s="1717">
        <f>F7-E7</f>
        <v>19329</v>
      </c>
      <c r="H7" s="288">
        <f>G7+'[3]17'!H7</f>
        <v>333355</v>
      </c>
      <c r="I7" s="287">
        <f>'[3]1'!I7</f>
        <v>12000</v>
      </c>
      <c r="J7" s="325">
        <f>H7/DAY(B2)</f>
        <v>18519.722222222223</v>
      </c>
      <c r="K7" s="326"/>
      <c r="L7" s="304"/>
    </row>
    <row r="8" spans="1:12" ht="23.25" customHeight="1" thickBot="1">
      <c r="A8" s="327" t="s">
        <v>144</v>
      </c>
      <c r="B8" s="328"/>
      <c r="C8" s="329"/>
      <c r="D8" s="330" t="s">
        <v>25</v>
      </c>
      <c r="E8" s="331">
        <f>'[3]17'!F8</f>
        <v>2430672</v>
      </c>
      <c r="F8" s="331">
        <v>2450071</v>
      </c>
      <c r="G8" s="324">
        <f>F8-E8</f>
        <v>19399</v>
      </c>
      <c r="H8" s="288">
        <f>G8+'[3]17'!H8</f>
        <v>334630</v>
      </c>
      <c r="I8" s="586">
        <f>'[3]1'!I8</f>
        <v>12000</v>
      </c>
      <c r="J8" s="325">
        <f>H8/DAY(B2)</f>
        <v>18590.555555555555</v>
      </c>
      <c r="K8" s="326"/>
      <c r="L8" s="304"/>
    </row>
    <row r="9" spans="1:12" ht="23.25" customHeight="1" thickBot="1">
      <c r="A9" s="333" t="s">
        <v>145</v>
      </c>
      <c r="B9" s="334"/>
      <c r="C9" s="335"/>
      <c r="D9" s="279" t="s">
        <v>143</v>
      </c>
      <c r="E9" s="323">
        <f>'[3]17'!F9</f>
        <v>2217715</v>
      </c>
      <c r="F9" s="275">
        <v>2220584</v>
      </c>
      <c r="G9" s="324">
        <f t="shared" ref="G9" si="0">F9-E9</f>
        <v>2869</v>
      </c>
      <c r="H9" s="288">
        <f>G9+'[3]17'!H9</f>
        <v>203578.69999999995</v>
      </c>
      <c r="I9" s="289">
        <f>I7-J7</f>
        <v>-6519.7222222222226</v>
      </c>
      <c r="J9" s="325">
        <f>H9/DAY(B2)</f>
        <v>11309.927777777775</v>
      </c>
      <c r="K9" s="326"/>
      <c r="L9" s="430"/>
    </row>
    <row r="10" spans="1:12" ht="23.25" customHeight="1" thickBot="1">
      <c r="A10" s="338" t="s">
        <v>146</v>
      </c>
      <c r="B10" s="339"/>
      <c r="C10" s="340"/>
      <c r="D10" s="279" t="s">
        <v>143</v>
      </c>
      <c r="E10" s="323">
        <f>'[3]17'!F10</f>
        <v>102112</v>
      </c>
      <c r="F10" s="275">
        <v>117850.8</v>
      </c>
      <c r="G10" s="324">
        <f>F10-E10</f>
        <v>15738.800000000003</v>
      </c>
      <c r="H10" s="288">
        <f>G10+'[3]17'!H10</f>
        <v>117851.01000000002</v>
      </c>
      <c r="I10" s="337"/>
      <c r="J10" s="325">
        <f>H10/DAY(B2)</f>
        <v>6547.2783333333346</v>
      </c>
      <c r="K10" s="326"/>
      <c r="L10" s="304"/>
    </row>
    <row r="11" spans="1:12" ht="23.25" customHeight="1" thickBot="1">
      <c r="A11" s="338" t="s">
        <v>147</v>
      </c>
      <c r="B11" s="339"/>
      <c r="C11" s="340"/>
      <c r="D11" s="279" t="s">
        <v>143</v>
      </c>
      <c r="E11" s="323">
        <f>'[3]17'!F11</f>
        <v>35390</v>
      </c>
      <c r="F11" s="274">
        <v>35390</v>
      </c>
      <c r="G11" s="324">
        <f>F11-E11</f>
        <v>0</v>
      </c>
      <c r="H11" s="288">
        <f>G11+'[3]17'!H11</f>
        <v>0</v>
      </c>
      <c r="I11" s="337"/>
      <c r="J11" s="325">
        <f>H11/DAY(B2)</f>
        <v>0</v>
      </c>
      <c r="K11" s="326"/>
      <c r="L11" s="304"/>
    </row>
    <row r="12" spans="1:12" ht="23.25" customHeight="1" thickBot="1">
      <c r="A12" s="338" t="s">
        <v>148</v>
      </c>
      <c r="B12" s="339"/>
      <c r="C12" s="340"/>
      <c r="D12" s="279" t="s">
        <v>143</v>
      </c>
      <c r="E12" s="323">
        <f>'[3]17'!F12</f>
        <v>37630</v>
      </c>
      <c r="F12" s="275">
        <v>37630</v>
      </c>
      <c r="G12" s="324">
        <f t="shared" ref="G12:G13" si="1">F12-E12</f>
        <v>0</v>
      </c>
      <c r="H12" s="288">
        <f>G12+'[3]17'!H12</f>
        <v>0</v>
      </c>
      <c r="I12" s="337"/>
      <c r="J12" s="325">
        <f>H12/DAY(B2)</f>
        <v>0</v>
      </c>
      <c r="K12" s="326"/>
      <c r="L12" s="304"/>
    </row>
    <row r="13" spans="1:12" ht="23.25" customHeight="1" thickBot="1">
      <c r="A13" s="450" t="s">
        <v>149</v>
      </c>
      <c r="B13" s="451"/>
      <c r="C13" s="452"/>
      <c r="D13" s="279"/>
      <c r="E13" s="276"/>
      <c r="F13" s="276"/>
      <c r="G13" s="324">
        <f t="shared" si="1"/>
        <v>0</v>
      </c>
      <c r="H13" s="288">
        <f>G13+'[3]17'!H13</f>
        <v>267165.90999999997</v>
      </c>
      <c r="I13" s="477">
        <f>G7-G13</f>
        <v>19329</v>
      </c>
      <c r="J13" s="325">
        <f>H13/DAY(B2)</f>
        <v>14842.550555555554</v>
      </c>
      <c r="K13" s="326"/>
      <c r="L13" s="304"/>
    </row>
    <row r="14" spans="1:12" ht="23.25" customHeight="1">
      <c r="A14" s="1514" t="s">
        <v>150</v>
      </c>
      <c r="B14" s="1515"/>
      <c r="C14" s="1516"/>
      <c r="D14" s="537"/>
      <c r="E14" s="537"/>
      <c r="F14" s="537"/>
      <c r="G14" s="438"/>
      <c r="H14" s="537"/>
      <c r="I14" s="537"/>
      <c r="J14" s="537"/>
      <c r="K14" s="341"/>
      <c r="L14" s="304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323">
        <f>'[3]17'!F15</f>
        <v>1538893.11</v>
      </c>
      <c r="F15" s="277">
        <v>1539529.88</v>
      </c>
      <c r="G15" s="336">
        <f>(F15-E15)</f>
        <v>636.7699999997858</v>
      </c>
      <c r="H15" s="288">
        <f>G15+'[3]17'!H15</f>
        <v>9414.685999999987</v>
      </c>
      <c r="I15" s="287">
        <f>'[3]1'!I15</f>
        <v>800</v>
      </c>
      <c r="J15" s="325">
        <f>H15/DAY(B2)</f>
        <v>523.03811111111042</v>
      </c>
      <c r="K15" s="326"/>
      <c r="L15" s="304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349"/>
      <c r="I16" s="409">
        <f>I15-J15</f>
        <v>276.96188888888958</v>
      </c>
      <c r="J16" s="350"/>
      <c r="K16" s="326"/>
      <c r="L16" s="304"/>
    </row>
    <row r="17" spans="1:12" ht="23.25" customHeight="1">
      <c r="A17" s="1514" t="s">
        <v>153</v>
      </c>
      <c r="B17" s="1515"/>
      <c r="C17" s="1516"/>
      <c r="D17" s="537"/>
      <c r="E17" s="537"/>
      <c r="F17" s="537"/>
      <c r="G17" s="439"/>
      <c r="H17" s="537"/>
      <c r="I17" s="537"/>
      <c r="J17" s="537"/>
      <c r="K17" s="326"/>
      <c r="L17" s="304"/>
    </row>
    <row r="18" spans="1:12" ht="23.25" customHeight="1" thickBot="1">
      <c r="A18" s="1495" t="s">
        <v>154</v>
      </c>
      <c r="B18" s="1496"/>
      <c r="C18" s="1497"/>
      <c r="D18" s="279" t="s">
        <v>155</v>
      </c>
      <c r="E18" s="323">
        <f>'[3]17'!F18</f>
        <v>10</v>
      </c>
      <c r="F18" s="278">
        <v>8</v>
      </c>
      <c r="G18" s="434">
        <f>F18*10</f>
        <v>80</v>
      </c>
      <c r="H18" s="288">
        <f>G18+'[3]17'!H18</f>
        <v>1860</v>
      </c>
      <c r="I18" s="287">
        <f>'[3]1'!I18</f>
        <v>65</v>
      </c>
      <c r="J18" s="325">
        <f>H18/DAY(B2)</f>
        <v>103.33333333333333</v>
      </c>
      <c r="K18" s="326"/>
      <c r="L18" s="304"/>
    </row>
    <row r="19" spans="1:12" ht="23.25" customHeight="1" thickBot="1">
      <c r="A19" s="1495" t="s">
        <v>71</v>
      </c>
      <c r="B19" s="1496"/>
      <c r="C19" s="1497"/>
      <c r="D19" s="279" t="s">
        <v>155</v>
      </c>
      <c r="E19" s="323">
        <f>'[3]17'!F19</f>
        <v>129072</v>
      </c>
      <c r="F19" s="278">
        <v>129128</v>
      </c>
      <c r="G19" s="433">
        <f t="shared" ref="G19" si="2">F19-E19</f>
        <v>56</v>
      </c>
      <c r="H19" s="288">
        <f>G19+'[3]17'!H19</f>
        <v>933</v>
      </c>
      <c r="I19" s="351"/>
      <c r="J19" s="325">
        <f>H19/DAY(B2)</f>
        <v>51.833333333333336</v>
      </c>
      <c r="K19" s="326"/>
      <c r="L19" s="304"/>
    </row>
    <row r="20" spans="1:12" ht="23.25" customHeight="1">
      <c r="A20" s="450" t="s">
        <v>156</v>
      </c>
      <c r="B20" s="451"/>
      <c r="C20" s="452"/>
      <c r="D20" s="352"/>
      <c r="E20" s="352"/>
      <c r="F20" s="352"/>
      <c r="G20" s="353">
        <f>G18+G19</f>
        <v>136</v>
      </c>
      <c r="H20" s="288">
        <f>G20+'[3]17'!H20</f>
        <v>2793</v>
      </c>
      <c r="I20" s="354">
        <f>I18-J20</f>
        <v>-90.166666666666657</v>
      </c>
      <c r="J20" s="325">
        <f>H20/DAY(B2)</f>
        <v>155.16666666666666</v>
      </c>
      <c r="K20" s="326"/>
      <c r="L20" s="304"/>
    </row>
    <row r="21" spans="1:12" ht="23.25" customHeight="1">
      <c r="A21" s="1514" t="s">
        <v>157</v>
      </c>
      <c r="B21" s="1515"/>
      <c r="C21" s="1516"/>
      <c r="D21" s="537"/>
      <c r="E21" s="537"/>
      <c r="F21" s="537"/>
      <c r="G21" s="438"/>
      <c r="H21" s="537"/>
      <c r="I21" s="537"/>
      <c r="J21" s="537"/>
      <c r="K21" s="326"/>
      <c r="L21" s="304"/>
    </row>
    <row r="22" spans="1:12" ht="23.25" customHeight="1" thickBot="1">
      <c r="A22" s="1341" t="s">
        <v>158</v>
      </c>
      <c r="B22" s="1342"/>
      <c r="C22" s="1343"/>
      <c r="D22" s="279" t="s">
        <v>159</v>
      </c>
      <c r="E22" s="323">
        <f>'[3]17'!F22</f>
        <v>2250</v>
      </c>
      <c r="F22" s="278">
        <v>2250</v>
      </c>
      <c r="G22" s="433">
        <f t="shared" ref="G22" si="3">F22-E22</f>
        <v>0</v>
      </c>
      <c r="H22" s="288">
        <f>G22+'[3]17'!H22</f>
        <v>0</v>
      </c>
      <c r="I22" s="337"/>
      <c r="J22" s="325">
        <f>H22/DAY(B2)</f>
        <v>0</v>
      </c>
      <c r="K22" s="326"/>
      <c r="L22" s="304"/>
    </row>
    <row r="23" spans="1:12" ht="23.25" customHeight="1" thickBot="1">
      <c r="A23" s="1341" t="s">
        <v>160</v>
      </c>
      <c r="B23" s="1342"/>
      <c r="C23" s="1343"/>
      <c r="D23" s="279" t="s">
        <v>159</v>
      </c>
      <c r="E23" s="323">
        <f>'[3]17'!F23</f>
        <v>1700</v>
      </c>
      <c r="F23" s="278">
        <v>1700</v>
      </c>
      <c r="G23" s="290">
        <v>0</v>
      </c>
      <c r="H23" s="288">
        <f>G23+'[3]17'!H23</f>
        <v>0</v>
      </c>
      <c r="I23" s="337"/>
      <c r="J23" s="325">
        <f>H23/DAY(B2)</f>
        <v>0</v>
      </c>
      <c r="K23" s="326"/>
      <c r="L23" s="304"/>
    </row>
    <row r="24" spans="1:12" ht="23.25" customHeight="1" thickBot="1">
      <c r="A24" s="453" t="s">
        <v>161</v>
      </c>
      <c r="B24" s="454"/>
      <c r="C24" s="455"/>
      <c r="D24" s="280" t="s">
        <v>159</v>
      </c>
      <c r="E24" s="323">
        <f>'[3]17'!F24</f>
        <v>3310</v>
      </c>
      <c r="F24" s="355">
        <v>3310</v>
      </c>
      <c r="G24" s="290">
        <v>0</v>
      </c>
      <c r="H24" s="288">
        <f>G24+'[3]17'!H24</f>
        <v>0</v>
      </c>
      <c r="I24" s="337"/>
      <c r="J24" s="325">
        <f>H24/DAY(B2)</f>
        <v>0</v>
      </c>
      <c r="K24" s="326"/>
      <c r="L24" s="304"/>
    </row>
    <row r="25" spans="1:12" s="544" customFormat="1" ht="18.75" customHeight="1">
      <c r="A25" s="1520" t="s">
        <v>162</v>
      </c>
      <c r="B25" s="1521"/>
      <c r="C25" s="1522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19399</v>
      </c>
      <c r="F27" s="641">
        <v>9.5</v>
      </c>
      <c r="G27" s="407">
        <f>E27*F27</f>
        <v>184290.5</v>
      </c>
      <c r="H27" s="288">
        <f>G27+'[3]17'!H27</f>
        <v>3178985</v>
      </c>
      <c r="I27" s="365"/>
      <c r="J27" s="325">
        <f>H27/DAY(B2)</f>
        <v>176610.27777777778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636.7699999997858</v>
      </c>
      <c r="F28" s="641">
        <v>36.5</v>
      </c>
      <c r="G28" s="407">
        <f>E28*F28</f>
        <v>23242.104999992182</v>
      </c>
      <c r="H28" s="288">
        <f>G28+'[3]17'!H28</f>
        <v>343636.03899999952</v>
      </c>
      <c r="I28" s="367"/>
      <c r="J28" s="325">
        <f>H28/DAY(B2)</f>
        <v>19090.89105555553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G29+'[3]17'!H29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56</v>
      </c>
      <c r="F30" s="641">
        <v>145</v>
      </c>
      <c r="G30" s="407">
        <f>E30*F30</f>
        <v>8120</v>
      </c>
      <c r="H30" s="288">
        <f>G30+'[3]17'!H30</f>
        <v>135285</v>
      </c>
      <c r="I30" s="367"/>
      <c r="J30" s="325">
        <f>H30/DAY(B2)</f>
        <v>7515.833333333333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80</v>
      </c>
      <c r="F31" s="641">
        <v>80</v>
      </c>
      <c r="G31" s="407">
        <f>E31*F31</f>
        <v>6400</v>
      </c>
      <c r="H31" s="288">
        <f>G31+'[3]17'!H31</f>
        <v>148800</v>
      </c>
      <c r="I31" s="367"/>
      <c r="J31" s="325"/>
      <c r="K31" s="326"/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222052.60499999218</v>
      </c>
      <c r="H32" s="288">
        <f>G32+'[3]17'!H32</f>
        <v>3806706.0389999999</v>
      </c>
      <c r="I32" s="370"/>
      <c r="J32" s="325">
        <f>H32/DAY(B2)</f>
        <v>211483.66883333333</v>
      </c>
      <c r="K32" s="326"/>
      <c r="L32" s="547"/>
    </row>
    <row r="33" spans="1:12" ht="23.25" customHeight="1">
      <c r="A33" s="1532" t="s">
        <v>173</v>
      </c>
      <c r="B33" s="1533"/>
      <c r="C33" s="1533"/>
      <c r="D33" s="1533"/>
      <c r="E33" s="1533"/>
      <c r="F33" s="1533"/>
      <c r="G33" s="1533"/>
      <c r="H33" s="1533"/>
      <c r="I33" s="1533"/>
      <c r="J33" s="1534"/>
      <c r="K33" s="326"/>
      <c r="L33" s="304"/>
    </row>
    <row r="34" spans="1:12" ht="23.25" customHeight="1">
      <c r="A34" s="1349" t="s">
        <v>174</v>
      </c>
      <c r="B34" s="1350"/>
      <c r="C34" s="1351"/>
      <c r="D34" s="537"/>
      <c r="E34" s="435"/>
      <c r="F34" s="435"/>
      <c r="G34" s="537"/>
      <c r="H34" s="537"/>
      <c r="I34" s="537"/>
      <c r="J34" s="537"/>
      <c r="K34" s="326"/>
      <c r="L34" s="304"/>
    </row>
    <row r="35" spans="1:12" ht="23.25" customHeight="1" thickBot="1">
      <c r="A35" s="338" t="s">
        <v>175</v>
      </c>
      <c r="B35" s="339"/>
      <c r="C35" s="340"/>
      <c r="D35" s="279" t="s">
        <v>143</v>
      </c>
      <c r="E35" s="323">
        <f>'[3]17'!F35</f>
        <v>629201</v>
      </c>
      <c r="F35" s="371">
        <v>629201</v>
      </c>
      <c r="G35" s="336">
        <f>F35-E35</f>
        <v>0</v>
      </c>
      <c r="H35" s="288">
        <f>G35+'[3]17'!H35</f>
        <v>25857.530000000028</v>
      </c>
      <c r="I35" s="274"/>
      <c r="J35" s="325">
        <f>H35/DAY(B2)</f>
        <v>1436.529444444446</v>
      </c>
      <c r="K35" s="326"/>
      <c r="L35" s="304"/>
    </row>
    <row r="36" spans="1:12" ht="23.25" customHeight="1" thickBot="1">
      <c r="A36" s="338" t="s">
        <v>176</v>
      </c>
      <c r="B36" s="339"/>
      <c r="C36" s="340"/>
      <c r="D36" s="279" t="s">
        <v>143</v>
      </c>
      <c r="E36" s="323">
        <f>'[3]17'!F36</f>
        <v>221162</v>
      </c>
      <c r="F36" s="371">
        <v>221719</v>
      </c>
      <c r="G36" s="336">
        <f t="shared" ref="G36:G46" si="4">F36-E36</f>
        <v>557</v>
      </c>
      <c r="H36" s="288">
        <f>G36+'[3]17'!H36</f>
        <v>10359.049999999988</v>
      </c>
      <c r="I36" s="274"/>
      <c r="J36" s="325">
        <f>H36/DAY(B2)</f>
        <v>575.50277777777717</v>
      </c>
      <c r="K36" s="326"/>
      <c r="L36" s="304"/>
    </row>
    <row r="37" spans="1:12" ht="23.25" customHeight="1" thickBot="1">
      <c r="A37" s="338" t="s">
        <v>177</v>
      </c>
      <c r="B37" s="339"/>
      <c r="C37" s="340"/>
      <c r="D37" s="279" t="s">
        <v>143</v>
      </c>
      <c r="E37" s="323">
        <f>'[3]17'!F37</f>
        <v>415066</v>
      </c>
      <c r="F37" s="371">
        <v>415066</v>
      </c>
      <c r="G37" s="336">
        <f>F37-E37</f>
        <v>0</v>
      </c>
      <c r="H37" s="288">
        <f>G37+'[3]17'!H37</f>
        <v>15221.809999999998</v>
      </c>
      <c r="I37" s="274"/>
      <c r="J37" s="325">
        <f>H37/DAY(B2)</f>
        <v>845.65611111111093</v>
      </c>
      <c r="K37" s="326"/>
      <c r="L37" s="304"/>
    </row>
    <row r="38" spans="1:12" ht="23.25" customHeight="1" thickBot="1">
      <c r="A38" s="338" t="s">
        <v>178</v>
      </c>
      <c r="B38" s="339"/>
      <c r="C38" s="340"/>
      <c r="D38" s="279" t="s">
        <v>143</v>
      </c>
      <c r="E38" s="323">
        <f>'[3]17'!F38</f>
        <v>150714</v>
      </c>
      <c r="F38" s="372">
        <v>150714</v>
      </c>
      <c r="G38" s="336">
        <f t="shared" si="4"/>
        <v>0</v>
      </c>
      <c r="H38" s="288">
        <f>G38+'[3]17'!H38</f>
        <v>0</v>
      </c>
      <c r="I38" s="274"/>
      <c r="J38" s="325">
        <f>H38/DAY(B2)</f>
        <v>0</v>
      </c>
      <c r="K38" s="326"/>
      <c r="L38" s="304"/>
    </row>
    <row r="39" spans="1:12" ht="23.25" customHeight="1" thickBot="1">
      <c r="A39" s="338" t="s">
        <v>179</v>
      </c>
      <c r="B39" s="339"/>
      <c r="C39" s="340"/>
      <c r="D39" s="279" t="s">
        <v>143</v>
      </c>
      <c r="E39" s="323">
        <f>'[3]17'!F39</f>
        <v>912480</v>
      </c>
      <c r="F39" s="371">
        <v>912480</v>
      </c>
      <c r="G39" s="336">
        <f>F39-E39</f>
        <v>0</v>
      </c>
      <c r="H39" s="288">
        <f>G39+'[3]17'!H39</f>
        <v>40355.290000000037</v>
      </c>
      <c r="I39" s="274"/>
      <c r="J39" s="325">
        <f>H39/DAY(B2)</f>
        <v>2241.9605555555577</v>
      </c>
      <c r="K39" s="326"/>
      <c r="L39" s="304"/>
    </row>
    <row r="40" spans="1:12" ht="23.25" customHeight="1" thickBot="1">
      <c r="A40" s="373" t="s">
        <v>180</v>
      </c>
      <c r="B40" s="374"/>
      <c r="C40" s="375"/>
      <c r="D40" s="279" t="s">
        <v>143</v>
      </c>
      <c r="E40" s="323">
        <v>0</v>
      </c>
      <c r="F40" s="371">
        <v>0</v>
      </c>
      <c r="G40" s="336">
        <f t="shared" si="4"/>
        <v>0</v>
      </c>
      <c r="H40" s="288">
        <f>G40+'[3]17'!H40</f>
        <v>0</v>
      </c>
      <c r="I40" s="274"/>
      <c r="J40" s="325">
        <f>H40/DAY(B2)</f>
        <v>0</v>
      </c>
      <c r="K40" s="341"/>
      <c r="L40" s="304"/>
    </row>
    <row r="41" spans="1:12" ht="23.25" customHeight="1" thickBot="1">
      <c r="A41" s="338" t="s">
        <v>181</v>
      </c>
      <c r="B41" s="339"/>
      <c r="C41" s="340"/>
      <c r="D41" s="279" t="s">
        <v>143</v>
      </c>
      <c r="E41" s="323">
        <f>'[3]17'!F41</f>
        <v>300127.95</v>
      </c>
      <c r="F41" s="371">
        <v>300127.95</v>
      </c>
      <c r="G41" s="336">
        <f t="shared" si="4"/>
        <v>0</v>
      </c>
      <c r="H41" s="288">
        <f>G41+'[3]17'!H41</f>
        <v>-1.9999999960418791E-2</v>
      </c>
      <c r="I41" s="274"/>
      <c r="J41" s="325">
        <f>H41/DAY(B2)</f>
        <v>-1.111111108912155E-3</v>
      </c>
      <c r="K41" s="326"/>
      <c r="L41" s="304"/>
    </row>
    <row r="42" spans="1:12" ht="23.25" customHeight="1" thickBot="1">
      <c r="A42" s="338" t="s">
        <v>182</v>
      </c>
      <c r="B42" s="339"/>
      <c r="C42" s="340"/>
      <c r="D42" s="279" t="s">
        <v>143</v>
      </c>
      <c r="E42" s="323">
        <f>'[3]17'!F42</f>
        <v>396197.47</v>
      </c>
      <c r="F42" s="371">
        <v>396197.47</v>
      </c>
      <c r="G42" s="336">
        <f t="shared" si="4"/>
        <v>0</v>
      </c>
      <c r="H42" s="288">
        <f>G42+'[3]17'!H42</f>
        <v>0</v>
      </c>
      <c r="I42" s="274"/>
      <c r="J42" s="325">
        <f>H42/DAY(B2)</f>
        <v>0</v>
      </c>
      <c r="K42" s="326"/>
      <c r="L42" s="304"/>
    </row>
    <row r="43" spans="1:12" ht="23.25" customHeight="1" thickBot="1">
      <c r="A43" s="338" t="s">
        <v>183</v>
      </c>
      <c r="B43" s="339"/>
      <c r="C43" s="340"/>
      <c r="D43" s="279" t="s">
        <v>143</v>
      </c>
      <c r="E43" s="323">
        <f>'[3]17'!F43</f>
        <v>598549</v>
      </c>
      <c r="F43" s="371">
        <v>600993</v>
      </c>
      <c r="G43" s="336">
        <f t="shared" si="4"/>
        <v>2444</v>
      </c>
      <c r="H43" s="288">
        <f>G43+'[3]17'!H43</f>
        <v>42668.930000000051</v>
      </c>
      <c r="I43" s="274"/>
      <c r="J43" s="325">
        <f>H43/DAY(B2)</f>
        <v>2370.4961111111138</v>
      </c>
      <c r="K43" s="326"/>
      <c r="L43" s="304"/>
    </row>
    <row r="44" spans="1:12" ht="23.25" customHeight="1" thickBot="1">
      <c r="A44" s="338" t="s">
        <v>184</v>
      </c>
      <c r="B44" s="339"/>
      <c r="C44" s="340"/>
      <c r="D44" s="279" t="s">
        <v>143</v>
      </c>
      <c r="E44" s="323">
        <f>'[3]17'!F44</f>
        <v>0</v>
      </c>
      <c r="F44" s="371">
        <v>0</v>
      </c>
      <c r="G44" s="336">
        <f t="shared" si="4"/>
        <v>0</v>
      </c>
      <c r="H44" s="288">
        <f>G44+'[3]17'!H44</f>
        <v>0</v>
      </c>
      <c r="I44" s="274"/>
      <c r="J44" s="325">
        <f>H44/DAY(B2)</f>
        <v>0</v>
      </c>
      <c r="K44" s="326"/>
      <c r="L44" s="304"/>
    </row>
    <row r="45" spans="1:12" ht="23.25" customHeight="1" thickBot="1">
      <c r="A45" s="338" t="s">
        <v>185</v>
      </c>
      <c r="B45" s="339"/>
      <c r="C45" s="340"/>
      <c r="D45" s="279" t="s">
        <v>143</v>
      </c>
      <c r="E45" s="323">
        <f>'[3]17'!F45</f>
        <v>614</v>
      </c>
      <c r="F45" s="371">
        <v>614</v>
      </c>
      <c r="G45" s="336">
        <f t="shared" si="4"/>
        <v>0</v>
      </c>
      <c r="H45" s="288">
        <f>G45+'[3]17'!H45</f>
        <v>-0.48000000000001819</v>
      </c>
      <c r="I45" s="274"/>
      <c r="J45" s="325">
        <f>H45/DAY(B2)</f>
        <v>-2.6666666666667678E-2</v>
      </c>
      <c r="K45" s="326"/>
      <c r="L45" s="304"/>
    </row>
    <row r="46" spans="1:12" ht="23.25" customHeight="1" thickBot="1">
      <c r="A46" s="338" t="s">
        <v>186</v>
      </c>
      <c r="B46" s="339"/>
      <c r="C46" s="340"/>
      <c r="D46" s="279" t="s">
        <v>143</v>
      </c>
      <c r="E46" s="323">
        <f>'[3]17'!F46</f>
        <v>187.49</v>
      </c>
      <c r="F46" s="371">
        <v>187.44</v>
      </c>
      <c r="G46" s="336">
        <f t="shared" si="4"/>
        <v>-5.0000000000011369E-2</v>
      </c>
      <c r="H46" s="288">
        <f>G46+'[3]17'!H46</f>
        <v>-5.0000000000011369E-2</v>
      </c>
      <c r="I46" s="274"/>
      <c r="J46" s="325">
        <f>H46/DAY(B2)</f>
        <v>-2.7777777777784093E-3</v>
      </c>
      <c r="K46" s="326"/>
      <c r="L46" s="304"/>
    </row>
    <row r="47" spans="1:12" ht="23.25" customHeight="1">
      <c r="A47" s="450" t="s">
        <v>187</v>
      </c>
      <c r="B47" s="451"/>
      <c r="C47" s="452"/>
      <c r="D47" s="376"/>
      <c r="E47" s="280"/>
      <c r="F47" s="280"/>
      <c r="G47" s="290">
        <f>G35+G36+G37+G38+G39+G40+G41+G42+G43+G44+G45+G46</f>
        <v>3000.95</v>
      </c>
      <c r="H47" s="288">
        <f>G47+'[3]17'!H47</f>
        <v>134462.06000000017</v>
      </c>
      <c r="I47" s="274"/>
      <c r="J47" s="325">
        <f>H47/DAY(B2)</f>
        <v>7470.1144444444544</v>
      </c>
      <c r="K47" s="326"/>
      <c r="L47" s="304"/>
    </row>
    <row r="48" spans="1:12" ht="23.25" customHeight="1">
      <c r="A48" s="1349" t="s">
        <v>188</v>
      </c>
      <c r="B48" s="1350"/>
      <c r="C48" s="1351"/>
      <c r="D48" s="537"/>
      <c r="E48" s="435"/>
      <c r="F48" s="435"/>
      <c r="G48" s="537"/>
      <c r="H48" s="537"/>
      <c r="I48" s="537"/>
      <c r="J48" s="537"/>
      <c r="K48" s="326"/>
      <c r="L48" s="304"/>
    </row>
    <row r="49" spans="1:12" ht="23.25" customHeight="1" thickBot="1">
      <c r="A49" s="338" t="s">
        <v>175</v>
      </c>
      <c r="B49" s="377"/>
      <c r="C49" s="378"/>
      <c r="D49" s="279" t="s">
        <v>143</v>
      </c>
      <c r="E49" s="323">
        <f>'[3]17'!F49</f>
        <v>28605</v>
      </c>
      <c r="F49" s="371">
        <v>31113.84</v>
      </c>
      <c r="G49" s="336">
        <f t="shared" ref="G49:G58" si="5">F49-E49</f>
        <v>2508.84</v>
      </c>
      <c r="H49" s="288">
        <f>G49+'[3]17'!H49</f>
        <v>19384.552</v>
      </c>
      <c r="I49" s="274"/>
      <c r="J49" s="325">
        <f>H49/DAY(B2)</f>
        <v>1076.9195555555555</v>
      </c>
      <c r="K49" s="326">
        <f>E49+247</f>
        <v>28852</v>
      </c>
      <c r="L49" s="304"/>
    </row>
    <row r="50" spans="1:12" ht="23.25" customHeight="1" thickBot="1">
      <c r="A50" s="338" t="s">
        <v>189</v>
      </c>
      <c r="B50" s="377"/>
      <c r="C50" s="378"/>
      <c r="D50" s="279" t="s">
        <v>143</v>
      </c>
      <c r="E50" s="323">
        <f>'[3]17'!F50</f>
        <v>281232</v>
      </c>
      <c r="F50" s="371">
        <v>282184</v>
      </c>
      <c r="G50" s="336">
        <f t="shared" si="5"/>
        <v>952</v>
      </c>
      <c r="H50" s="288">
        <f>G50+'[3]17'!H50</f>
        <v>16125.059999999998</v>
      </c>
      <c r="I50" s="274"/>
      <c r="J50" s="325">
        <f>H50/DAY(B2)</f>
        <v>895.83666666666659</v>
      </c>
      <c r="K50" s="326"/>
      <c r="L50" s="304"/>
    </row>
    <row r="51" spans="1:12" ht="23.25" customHeight="1" thickBot="1">
      <c r="A51" s="338" t="s">
        <v>177</v>
      </c>
      <c r="B51" s="377"/>
      <c r="C51" s="378"/>
      <c r="D51" s="279" t="s">
        <v>143</v>
      </c>
      <c r="E51" s="323">
        <f>'[3]17'!F51</f>
        <v>844.69</v>
      </c>
      <c r="F51" s="371">
        <v>2273.5500000000002</v>
      </c>
      <c r="G51" s="336">
        <f t="shared" si="5"/>
        <v>1428.8600000000001</v>
      </c>
      <c r="H51" s="288">
        <f>G51+'[3]17'!H51</f>
        <v>10248.601900000001</v>
      </c>
      <c r="I51" s="274"/>
      <c r="J51" s="325">
        <f>H51/DAY(B2)</f>
        <v>569.36677222222227</v>
      </c>
      <c r="K51" s="326"/>
      <c r="L51" s="304"/>
    </row>
    <row r="52" spans="1:12" ht="23.25" customHeight="1" thickBot="1">
      <c r="A52" s="338" t="s">
        <v>190</v>
      </c>
      <c r="B52" s="377"/>
      <c r="C52" s="378"/>
      <c r="D52" s="279" t="s">
        <v>143</v>
      </c>
      <c r="E52" s="323">
        <f>'[3]17'!F52</f>
        <v>348174.59</v>
      </c>
      <c r="F52" s="371">
        <v>349944</v>
      </c>
      <c r="G52" s="336">
        <f t="shared" si="5"/>
        <v>1769.4099999999744</v>
      </c>
      <c r="H52" s="288">
        <f>G52+'[3]17'!H52</f>
        <v>27654.580000000016</v>
      </c>
      <c r="I52" s="274"/>
      <c r="J52" s="325">
        <f>H52/DAY(B2)</f>
        <v>1536.3655555555565</v>
      </c>
      <c r="K52" s="326"/>
      <c r="L52" s="304"/>
    </row>
    <row r="53" spans="1:12" ht="23.25" customHeight="1" thickBot="1">
      <c r="A53" s="338" t="s">
        <v>179</v>
      </c>
      <c r="B53" s="377"/>
      <c r="C53" s="378"/>
      <c r="D53" s="279" t="s">
        <v>143</v>
      </c>
      <c r="E53" s="323">
        <f>'[3]17'!F53</f>
        <v>2150.2800000000002</v>
      </c>
      <c r="F53" s="1718">
        <v>2780</v>
      </c>
      <c r="G53" s="336">
        <f t="shared" si="5"/>
        <v>629.7199999999998</v>
      </c>
      <c r="H53" s="288">
        <f>G53+'[3]17'!H53</f>
        <v>10881</v>
      </c>
      <c r="I53" s="274"/>
      <c r="J53" s="325">
        <f>H53/DAY(B2)</f>
        <v>604.5</v>
      </c>
      <c r="K53" s="326"/>
      <c r="L53" s="304"/>
    </row>
    <row r="54" spans="1:12" ht="23.25" customHeight="1" thickBot="1">
      <c r="A54" s="338" t="s">
        <v>191</v>
      </c>
      <c r="B54" s="377"/>
      <c r="C54" s="378"/>
      <c r="D54" s="279" t="s">
        <v>143</v>
      </c>
      <c r="E54" s="323">
        <f>'[3]17'!F54</f>
        <v>2585.64</v>
      </c>
      <c r="F54" s="371">
        <v>2624.61</v>
      </c>
      <c r="G54" s="336">
        <f t="shared" si="5"/>
        <v>38.970000000000255</v>
      </c>
      <c r="H54" s="288">
        <f>G54+'[3]17'!H54</f>
        <v>1072.0493000000001</v>
      </c>
      <c r="I54" s="274"/>
      <c r="J54" s="325">
        <f>H54/DAY(B2)</f>
        <v>59.558294444444449</v>
      </c>
      <c r="K54" s="326"/>
      <c r="L54" s="304"/>
    </row>
    <row r="55" spans="1:12" ht="23.25" customHeight="1" thickBot="1">
      <c r="A55" s="338" t="s">
        <v>192</v>
      </c>
      <c r="B55" s="377"/>
      <c r="C55" s="378"/>
      <c r="D55" s="279" t="s">
        <v>143</v>
      </c>
      <c r="E55" s="323">
        <f>'[3]17'!F55</f>
        <v>158492.73000000001</v>
      </c>
      <c r="F55" s="371">
        <v>158492.73000000001</v>
      </c>
      <c r="G55" s="336">
        <f t="shared" si="5"/>
        <v>0</v>
      </c>
      <c r="H55" s="288">
        <f>G55+'[3]17'!H55</f>
        <v>-0.26999999998952262</v>
      </c>
      <c r="I55" s="274"/>
      <c r="J55" s="325">
        <f>H55/DAY(B2)</f>
        <v>-1.4999999999417923E-2</v>
      </c>
      <c r="K55" s="326"/>
      <c r="L55" s="304"/>
    </row>
    <row r="56" spans="1:12" ht="23.25" customHeight="1" thickBot="1">
      <c r="A56" s="338" t="s">
        <v>193</v>
      </c>
      <c r="B56" s="377"/>
      <c r="C56" s="378"/>
      <c r="D56" s="279" t="s">
        <v>194</v>
      </c>
      <c r="E56" s="323">
        <f>'[3]17'!F56</f>
        <v>377515</v>
      </c>
      <c r="F56" s="371">
        <v>382554</v>
      </c>
      <c r="G56" s="336">
        <f t="shared" si="5"/>
        <v>5039</v>
      </c>
      <c r="H56" s="288">
        <f>G56+'[3]17'!H56</f>
        <v>70509.520000000019</v>
      </c>
      <c r="I56" s="274"/>
      <c r="J56" s="325">
        <f>H56/DAY(B2)</f>
        <v>3917.1955555555564</v>
      </c>
      <c r="K56" s="318"/>
      <c r="L56" s="304"/>
    </row>
    <row r="57" spans="1:12" ht="23.25" customHeight="1" thickBot="1">
      <c r="A57" s="338" t="s">
        <v>183</v>
      </c>
      <c r="B57" s="377"/>
      <c r="C57" s="378"/>
      <c r="D57" s="279" t="s">
        <v>143</v>
      </c>
      <c r="E57" s="323">
        <f>'[3]17'!F57</f>
        <v>0</v>
      </c>
      <c r="F57" s="371">
        <v>0</v>
      </c>
      <c r="G57" s="336">
        <f t="shared" si="5"/>
        <v>0</v>
      </c>
      <c r="H57" s="288">
        <f>G57+'[3]17'!H57</f>
        <v>0</v>
      </c>
      <c r="I57" s="274"/>
      <c r="J57" s="325">
        <f>H57/DAY(B2)</f>
        <v>0</v>
      </c>
      <c r="K57" s="326"/>
      <c r="L57" s="304"/>
    </row>
    <row r="58" spans="1:12" ht="23.25" customHeight="1" thickBot="1">
      <c r="A58" s="338" t="s">
        <v>195</v>
      </c>
      <c r="B58" s="377"/>
      <c r="C58" s="378"/>
      <c r="D58" s="279" t="s">
        <v>143</v>
      </c>
      <c r="E58" s="323">
        <f>'[3]17'!F58</f>
        <v>18789.740000000002</v>
      </c>
      <c r="F58" s="371">
        <v>18920</v>
      </c>
      <c r="G58" s="336">
        <f t="shared" si="5"/>
        <v>130.2599999999984</v>
      </c>
      <c r="H58" s="288">
        <f>G58+'[3]17'!H58</f>
        <v>1150.7039999999979</v>
      </c>
      <c r="I58" s="274"/>
      <c r="J58" s="325">
        <f>H58/DAY(B2)</f>
        <v>63.927999999999884</v>
      </c>
      <c r="K58" s="326"/>
      <c r="L58" s="304"/>
    </row>
    <row r="59" spans="1:12" ht="23.25" customHeight="1">
      <c r="A59" s="450" t="s">
        <v>187</v>
      </c>
      <c r="B59" s="451"/>
      <c r="C59" s="452"/>
      <c r="D59" s="280"/>
      <c r="E59" s="280"/>
      <c r="F59" s="280"/>
      <c r="G59" s="290">
        <f>G49+G50+G51+G52+G53+G54+G55+G56+G57+G58</f>
        <v>12497.059999999972</v>
      </c>
      <c r="H59" s="288">
        <f>G59+'[3]17'!H59</f>
        <v>157025.79720000003</v>
      </c>
      <c r="I59" s="274">
        <f>G7-G60</f>
        <v>3830.9900000000271</v>
      </c>
      <c r="J59" s="325">
        <f>H59/DAY(B2)</f>
        <v>8723.6554000000015</v>
      </c>
      <c r="K59" s="326"/>
      <c r="L59" s="304"/>
    </row>
    <row r="60" spans="1:12" ht="23.25" customHeight="1">
      <c r="A60" s="379"/>
      <c r="B60" s="379"/>
      <c r="C60" s="379"/>
      <c r="D60" s="280" t="s">
        <v>196</v>
      </c>
      <c r="E60" s="280"/>
      <c r="F60" s="280"/>
      <c r="G60" s="290">
        <f>G47+G59</f>
        <v>15498.009999999973</v>
      </c>
      <c r="H60" s="288">
        <f>G60+'[3]17'!H60</f>
        <v>305874.01790000015</v>
      </c>
      <c r="I60" s="274">
        <f>G13-G60</f>
        <v>-15498.009999999973</v>
      </c>
      <c r="J60" s="325">
        <f>H60/DAY(B2)</f>
        <v>16993.000994444454</v>
      </c>
      <c r="K60" s="326"/>
      <c r="L60" s="304"/>
    </row>
    <row r="61" spans="1:12" ht="23.25" customHeight="1">
      <c r="A61" s="442" t="s">
        <v>197</v>
      </c>
      <c r="B61" s="443"/>
      <c r="C61" s="444"/>
      <c r="D61" s="445"/>
      <c r="E61" s="446"/>
      <c r="F61" s="446"/>
      <c r="G61" s="447"/>
      <c r="H61" s="447"/>
      <c r="I61" s="447"/>
      <c r="J61" s="447"/>
      <c r="K61" s="326"/>
      <c r="L61" s="304"/>
    </row>
    <row r="62" spans="1:12" ht="23.25" customHeight="1" thickBot="1">
      <c r="A62" s="380" t="s">
        <v>106</v>
      </c>
      <c r="B62" s="381"/>
      <c r="C62" s="382"/>
      <c r="D62" s="280" t="s">
        <v>198</v>
      </c>
      <c r="E62" s="323">
        <f>'[3]17'!F62</f>
        <v>20419.18</v>
      </c>
      <c r="F62" s="281">
        <v>20419.18</v>
      </c>
      <c r="G62" s="336">
        <f t="shared" ref="G62:G69" si="6">F62-E62</f>
        <v>0</v>
      </c>
      <c r="H62" s="288">
        <f>G62+'[3]17'!H62</f>
        <v>-0.19799999999668216</v>
      </c>
      <c r="I62" s="383"/>
      <c r="J62" s="325">
        <f>H62/DAY(B2)</f>
        <v>-1.0999999999815676E-2</v>
      </c>
      <c r="K62" s="326"/>
      <c r="L62" s="304"/>
    </row>
    <row r="63" spans="1:12" ht="23.25" customHeight="1" thickBot="1">
      <c r="A63" s="380" t="s">
        <v>199</v>
      </c>
      <c r="B63" s="381"/>
      <c r="C63" s="382"/>
      <c r="D63" s="280" t="s">
        <v>198</v>
      </c>
      <c r="E63" s="323">
        <f>'[3]17'!F63</f>
        <v>634.64</v>
      </c>
      <c r="F63" s="281">
        <v>652.70000000000005</v>
      </c>
      <c r="G63" s="336">
        <f t="shared" si="6"/>
        <v>18.060000000000059</v>
      </c>
      <c r="H63" s="288">
        <f>G63+'[3]17'!H63</f>
        <v>354.24000000000007</v>
      </c>
      <c r="I63" s="383"/>
      <c r="J63" s="325">
        <f>H63/DAY(B2)</f>
        <v>19.680000000000003</v>
      </c>
      <c r="K63" s="326"/>
      <c r="L63" s="304"/>
    </row>
    <row r="64" spans="1:12" ht="23.25" customHeight="1" thickBot="1">
      <c r="A64" s="1498" t="s">
        <v>107</v>
      </c>
      <c r="B64" s="1499"/>
      <c r="C64" s="1500"/>
      <c r="D64" s="279" t="s">
        <v>198</v>
      </c>
      <c r="E64" s="323">
        <f>'[3]17'!F64</f>
        <v>82030</v>
      </c>
      <c r="F64" s="278">
        <v>82383</v>
      </c>
      <c r="G64" s="336">
        <f t="shared" si="6"/>
        <v>353</v>
      </c>
      <c r="H64" s="288">
        <f>G64+'[3]17'!H64</f>
        <v>6319.9130000000005</v>
      </c>
      <c r="I64" s="337"/>
      <c r="J64" s="325">
        <f>H64/DAY(B2)</f>
        <v>351.10627777777779</v>
      </c>
      <c r="K64" s="326"/>
      <c r="L64" s="304"/>
    </row>
    <row r="65" spans="1:12" ht="23.25" customHeight="1" thickBot="1">
      <c r="A65" s="1498" t="s">
        <v>108</v>
      </c>
      <c r="B65" s="1499"/>
      <c r="C65" s="1500"/>
      <c r="D65" s="279" t="s">
        <v>198</v>
      </c>
      <c r="E65" s="323">
        <f>'[3]17'!F65</f>
        <v>91646</v>
      </c>
      <c r="F65" s="278">
        <v>92018</v>
      </c>
      <c r="G65" s="336">
        <f t="shared" si="6"/>
        <v>372</v>
      </c>
      <c r="H65" s="288">
        <f>G65+'[3]17'!H65</f>
        <v>6858.7369999999937</v>
      </c>
      <c r="I65" s="351"/>
      <c r="J65" s="325">
        <f>H65/DAY(B2)</f>
        <v>381.04094444444411</v>
      </c>
      <c r="K65" s="326"/>
      <c r="L65" s="304"/>
    </row>
    <row r="66" spans="1:12" ht="23.25" customHeight="1" thickBot="1">
      <c r="A66" s="1498" t="s">
        <v>109</v>
      </c>
      <c r="B66" s="1499"/>
      <c r="C66" s="1500"/>
      <c r="D66" s="279" t="s">
        <v>198</v>
      </c>
      <c r="E66" s="323">
        <f>'[3]17'!F66</f>
        <v>84787.97</v>
      </c>
      <c r="F66" s="278">
        <v>85188.91</v>
      </c>
      <c r="G66" s="336">
        <f t="shared" si="6"/>
        <v>400.94000000000233</v>
      </c>
      <c r="H66" s="288">
        <f>G66+'[3]17'!H66</f>
        <v>7000.9520000000048</v>
      </c>
      <c r="I66" s="337"/>
      <c r="J66" s="325">
        <f>H66/DAY(B2)</f>
        <v>388.94177777777804</v>
      </c>
      <c r="K66" s="326"/>
      <c r="L66" s="304"/>
    </row>
    <row r="67" spans="1:12" ht="23.25" customHeight="1" thickBot="1">
      <c r="A67" s="1498" t="s">
        <v>110</v>
      </c>
      <c r="B67" s="1499"/>
      <c r="C67" s="1500"/>
      <c r="D67" s="279" t="s">
        <v>198</v>
      </c>
      <c r="E67" s="323">
        <f>'[3]17'!F67</f>
        <v>136924</v>
      </c>
      <c r="F67" s="278">
        <v>137565.65</v>
      </c>
      <c r="G67" s="336">
        <f t="shared" si="6"/>
        <v>641.64999999999418</v>
      </c>
      <c r="H67" s="288">
        <f>G67+'[3]17'!H67</f>
        <v>11509.149999999994</v>
      </c>
      <c r="I67" s="351"/>
      <c r="J67" s="325">
        <f>H67/DAY(B2)</f>
        <v>639.3972222222219</v>
      </c>
      <c r="K67" s="341"/>
      <c r="L67" s="304"/>
    </row>
    <row r="68" spans="1:12" ht="23.25" customHeight="1" thickBot="1">
      <c r="A68" s="1498" t="s">
        <v>111</v>
      </c>
      <c r="B68" s="1499"/>
      <c r="C68" s="1500"/>
      <c r="D68" s="279" t="s">
        <v>198</v>
      </c>
      <c r="E68" s="323">
        <f>'[3]17'!F68</f>
        <v>38784</v>
      </c>
      <c r="F68" s="278">
        <v>39118.9</v>
      </c>
      <c r="G68" s="336">
        <f t="shared" si="6"/>
        <v>334.90000000000146</v>
      </c>
      <c r="H68" s="288">
        <f>G68+'[3]17'!H68</f>
        <v>5719.0310000000027</v>
      </c>
      <c r="I68" s="384"/>
      <c r="J68" s="325">
        <f>H68/DAY(B2)</f>
        <v>317.72394444444461</v>
      </c>
      <c r="K68" s="385"/>
      <c r="L68" s="304"/>
    </row>
    <row r="69" spans="1:12" ht="23.25" customHeight="1" thickBot="1">
      <c r="A69" s="1498" t="s">
        <v>112</v>
      </c>
      <c r="B69" s="1499"/>
      <c r="C69" s="1500"/>
      <c r="D69" s="279" t="s">
        <v>198</v>
      </c>
      <c r="E69" s="323">
        <f>'[3]17'!F69</f>
        <v>33804.69</v>
      </c>
      <c r="F69" s="278">
        <v>34087</v>
      </c>
      <c r="G69" s="336">
        <f t="shared" si="6"/>
        <v>282.30999999999767</v>
      </c>
      <c r="H69" s="288">
        <f>G69+'[3]17'!H69</f>
        <v>4834.6349999999984</v>
      </c>
      <c r="I69" s="384"/>
      <c r="J69" s="325">
        <f>H69/DAY(B2)</f>
        <v>268.59083333333325</v>
      </c>
      <c r="K69" s="386"/>
      <c r="L69" s="304"/>
    </row>
    <row r="70" spans="1:12" ht="23.25" customHeight="1">
      <c r="A70" s="1511" t="s">
        <v>200</v>
      </c>
      <c r="B70" s="1512"/>
      <c r="C70" s="1513"/>
      <c r="D70" s="279" t="s">
        <v>198</v>
      </c>
      <c r="E70" s="475"/>
      <c r="F70" s="476"/>
      <c r="G70" s="476"/>
      <c r="H70" s="288">
        <f>G70+'[3]13'!H70</f>
        <v>0</v>
      </c>
      <c r="I70" s="476"/>
      <c r="J70" s="476"/>
      <c r="K70" s="386"/>
      <c r="L70" s="304"/>
    </row>
    <row r="71" spans="1:12" ht="23.25" customHeight="1">
      <c r="A71" s="1529" t="s">
        <v>201</v>
      </c>
      <c r="B71" s="1530"/>
      <c r="C71" s="1530"/>
      <c r="D71" s="1530"/>
      <c r="E71" s="1530"/>
      <c r="F71" s="1530"/>
      <c r="G71" s="1530"/>
      <c r="H71" s="1530"/>
      <c r="I71" s="1530"/>
      <c r="J71" s="1531"/>
      <c r="K71" s="385"/>
      <c r="L71" s="304"/>
    </row>
    <row r="72" spans="1:12" ht="23.25" customHeight="1" thickBot="1">
      <c r="A72" s="1498" t="s">
        <v>202</v>
      </c>
      <c r="B72" s="1499"/>
      <c r="C72" s="1500"/>
      <c r="D72" s="279" t="s">
        <v>198</v>
      </c>
      <c r="E72" s="323">
        <f>'[3]17'!F72</f>
        <v>844065</v>
      </c>
      <c r="F72" s="282">
        <v>844073</v>
      </c>
      <c r="G72" s="336">
        <f t="shared" ref="G72:G84" si="7">F72-E72</f>
        <v>8</v>
      </c>
      <c r="H72" s="288">
        <f>G72+'[3]17'!H72</f>
        <v>131</v>
      </c>
      <c r="I72" s="337"/>
      <c r="J72" s="325">
        <f>H72/DAY(B2)</f>
        <v>7.2777777777777777</v>
      </c>
      <c r="K72" s="386"/>
      <c r="L72" s="304"/>
    </row>
    <row r="73" spans="1:12" ht="23.25" customHeight="1" thickBot="1">
      <c r="A73" s="1498" t="s">
        <v>203</v>
      </c>
      <c r="B73" s="1499"/>
      <c r="C73" s="1500"/>
      <c r="D73" s="279" t="s">
        <v>198</v>
      </c>
      <c r="E73" s="323">
        <f>'[3]17'!F73</f>
        <v>885267</v>
      </c>
      <c r="F73" s="282">
        <v>885268</v>
      </c>
      <c r="G73" s="336">
        <f t="shared" si="7"/>
        <v>1</v>
      </c>
      <c r="H73" s="288">
        <f>G73+'[3]17'!H73</f>
        <v>140</v>
      </c>
      <c r="I73" s="337"/>
      <c r="J73" s="325">
        <f>H73/DAY(B2)</f>
        <v>7.7777777777777777</v>
      </c>
      <c r="K73" s="385"/>
      <c r="L73" s="304"/>
    </row>
    <row r="74" spans="1:12" ht="23.25" customHeight="1" thickBot="1">
      <c r="A74" s="1498" t="s">
        <v>204</v>
      </c>
      <c r="B74" s="1499"/>
      <c r="C74" s="1500"/>
      <c r="D74" s="279" t="s">
        <v>198</v>
      </c>
      <c r="E74" s="323">
        <f>'[3]17'!F74</f>
        <v>879944</v>
      </c>
      <c r="F74" s="282">
        <v>879961</v>
      </c>
      <c r="G74" s="336">
        <f t="shared" si="7"/>
        <v>17</v>
      </c>
      <c r="H74" s="288">
        <f>G74+'[3]17'!H74</f>
        <v>325</v>
      </c>
      <c r="I74" s="337"/>
      <c r="J74" s="325">
        <f>H74/DAY(B2)</f>
        <v>18.055555555555557</v>
      </c>
      <c r="K74" s="386"/>
      <c r="L74" s="304"/>
    </row>
    <row r="75" spans="1:12" ht="23.25" customHeight="1" thickBot="1">
      <c r="A75" s="1507" t="s">
        <v>205</v>
      </c>
      <c r="B75" s="1508"/>
      <c r="C75" s="1509"/>
      <c r="D75" s="279" t="s">
        <v>198</v>
      </c>
      <c r="E75" s="323">
        <f>'[3]17'!F75</f>
        <v>724068</v>
      </c>
      <c r="F75" s="282">
        <v>724222</v>
      </c>
      <c r="G75" s="336">
        <f t="shared" si="7"/>
        <v>154</v>
      </c>
      <c r="H75" s="288">
        <f>G75+'[3]17'!H75</f>
        <v>2856</v>
      </c>
      <c r="I75" s="337"/>
      <c r="J75" s="325">
        <f>H75/DAY(B2)</f>
        <v>158.66666666666666</v>
      </c>
      <c r="K75" s="385"/>
      <c r="L75" s="304"/>
    </row>
    <row r="76" spans="1:12" ht="23.25" customHeight="1" thickBot="1">
      <c r="A76" s="1507" t="s">
        <v>206</v>
      </c>
      <c r="B76" s="1508"/>
      <c r="C76" s="1509"/>
      <c r="D76" s="279" t="s">
        <v>198</v>
      </c>
      <c r="E76" s="323">
        <f>'[3]17'!F76</f>
        <v>680775</v>
      </c>
      <c r="F76" s="282">
        <v>680839</v>
      </c>
      <c r="G76" s="336">
        <f t="shared" si="7"/>
        <v>64</v>
      </c>
      <c r="H76" s="288">
        <f>G76+'[3]17'!H76</f>
        <v>2369</v>
      </c>
      <c r="I76" s="367"/>
      <c r="J76" s="325">
        <f>H76/DAY(B2)</f>
        <v>131.61111111111111</v>
      </c>
      <c r="K76" s="385"/>
      <c r="L76" s="304"/>
    </row>
    <row r="77" spans="1:12" ht="23.25" customHeight="1" thickBot="1">
      <c r="A77" s="1498" t="s">
        <v>207</v>
      </c>
      <c r="B77" s="1499"/>
      <c r="C77" s="1500"/>
      <c r="D77" s="279" t="s">
        <v>198</v>
      </c>
      <c r="E77" s="323">
        <f>'[3]17'!F77</f>
        <v>693078</v>
      </c>
      <c r="F77" s="282">
        <v>693130</v>
      </c>
      <c r="G77" s="336">
        <f t="shared" si="7"/>
        <v>52</v>
      </c>
      <c r="H77" s="288">
        <f>G77+'[3]17'!H77</f>
        <v>823</v>
      </c>
      <c r="I77" s="367"/>
      <c r="J77" s="325">
        <f>H77/DAY(B2)</f>
        <v>45.722222222222221</v>
      </c>
      <c r="K77" s="385"/>
      <c r="L77" s="304"/>
    </row>
    <row r="78" spans="1:12" ht="23.25" customHeight="1" thickBot="1">
      <c r="A78" s="1344" t="s">
        <v>208</v>
      </c>
      <c r="B78" s="1345"/>
      <c r="C78" s="1346"/>
      <c r="D78" s="279" t="s">
        <v>198</v>
      </c>
      <c r="E78" s="323">
        <f>'[3]17'!F78</f>
        <v>613367</v>
      </c>
      <c r="F78" s="282">
        <v>613674</v>
      </c>
      <c r="G78" s="336">
        <f t="shared" si="7"/>
        <v>307</v>
      </c>
      <c r="H78" s="288">
        <f>G78+'[3]17'!H78</f>
        <v>5660</v>
      </c>
      <c r="I78" s="367"/>
      <c r="J78" s="325">
        <f>H78/DAY(B2)</f>
        <v>314.44444444444446</v>
      </c>
      <c r="K78" s="385"/>
      <c r="L78" s="304"/>
    </row>
    <row r="79" spans="1:12" ht="23.25" customHeight="1" thickBot="1">
      <c r="A79" s="1510" t="s">
        <v>97</v>
      </c>
      <c r="B79" s="1505"/>
      <c r="C79" s="1506"/>
      <c r="D79" s="387" t="s">
        <v>198</v>
      </c>
      <c r="E79" s="323">
        <f>'[3]17'!F79</f>
        <v>795589</v>
      </c>
      <c r="F79" s="282">
        <v>795761</v>
      </c>
      <c r="G79" s="336">
        <f t="shared" si="7"/>
        <v>172</v>
      </c>
      <c r="H79" s="288">
        <f>G79+'[3]17'!H79</f>
        <v>4946</v>
      </c>
      <c r="I79" s="367"/>
      <c r="J79" s="325">
        <f>H79/DAY(B2)</f>
        <v>274.77777777777777</v>
      </c>
      <c r="K79" s="385"/>
      <c r="L79" s="304"/>
    </row>
    <row r="80" spans="1:12" ht="23.25" customHeight="1" thickBot="1">
      <c r="A80" s="1510" t="s">
        <v>209</v>
      </c>
      <c r="B80" s="1505"/>
      <c r="C80" s="1506"/>
      <c r="D80" s="387" t="s">
        <v>198</v>
      </c>
      <c r="E80" s="323">
        <f>'[3]17'!F80</f>
        <v>461639</v>
      </c>
      <c r="F80" s="282">
        <v>461938</v>
      </c>
      <c r="G80" s="336">
        <f t="shared" si="7"/>
        <v>299</v>
      </c>
      <c r="H80" s="288">
        <f>G80+'[3]17'!H80</f>
        <v>3501.1199999999953</v>
      </c>
      <c r="I80" s="367"/>
      <c r="J80" s="325">
        <f>H80/DAY(B2)</f>
        <v>194.5066666666664</v>
      </c>
      <c r="K80" s="385"/>
      <c r="L80" s="304"/>
    </row>
    <row r="81" spans="1:15" ht="23.25" customHeight="1" thickBot="1">
      <c r="A81" s="1510" t="s">
        <v>210</v>
      </c>
      <c r="B81" s="1505"/>
      <c r="C81" s="1506"/>
      <c r="D81" s="387" t="s">
        <v>198</v>
      </c>
      <c r="E81" s="323">
        <f>'[3]17'!F81</f>
        <v>612820</v>
      </c>
      <c r="F81" s="282">
        <v>612919</v>
      </c>
      <c r="G81" s="336">
        <f t="shared" si="7"/>
        <v>99</v>
      </c>
      <c r="H81" s="288">
        <f>G81+'[3]17'!H81</f>
        <v>1796.7199999999721</v>
      </c>
      <c r="I81" s="367"/>
      <c r="J81" s="325">
        <f>H81/DAY(B2)</f>
        <v>99.817777777776229</v>
      </c>
      <c r="K81" s="385"/>
      <c r="L81" s="304"/>
    </row>
    <row r="82" spans="1:15" ht="23.25" customHeight="1" thickBot="1">
      <c r="A82" s="1504" t="s">
        <v>100</v>
      </c>
      <c r="B82" s="1505"/>
      <c r="C82" s="1506"/>
      <c r="D82" s="388" t="s">
        <v>143</v>
      </c>
      <c r="E82" s="323">
        <f>'[3]17'!F82</f>
        <v>103311.75</v>
      </c>
      <c r="F82" s="283">
        <v>103317</v>
      </c>
      <c r="G82" s="336">
        <f t="shared" si="7"/>
        <v>5.25</v>
      </c>
      <c r="H82" s="288">
        <f>G82+'[3]17'!H82</f>
        <v>287.05000000000291</v>
      </c>
      <c r="I82" s="389"/>
      <c r="J82" s="325">
        <f>H82/DAY(B2)</f>
        <v>15.947222222222385</v>
      </c>
      <c r="K82" s="385"/>
      <c r="L82" s="304"/>
    </row>
    <row r="83" spans="1:15" ht="23.25" customHeight="1" thickBot="1">
      <c r="A83" s="1504" t="s">
        <v>211</v>
      </c>
      <c r="B83" s="1505"/>
      <c r="C83" s="1506"/>
      <c r="D83" s="284" t="s">
        <v>143</v>
      </c>
      <c r="E83" s="323">
        <f>'[3]17'!F83</f>
        <v>958159</v>
      </c>
      <c r="F83" s="280">
        <v>958497</v>
      </c>
      <c r="G83" s="336">
        <f t="shared" si="7"/>
        <v>338</v>
      </c>
      <c r="H83" s="288">
        <f>G83+'[3]17'!H83</f>
        <v>6254</v>
      </c>
      <c r="I83" s="290"/>
      <c r="J83" s="325">
        <f>H83/DAY(B2)</f>
        <v>347.44444444444446</v>
      </c>
      <c r="K83" s="341"/>
      <c r="L83" s="304"/>
    </row>
    <row r="84" spans="1:15" ht="23.25" customHeight="1" thickBot="1">
      <c r="A84" s="1347" t="s">
        <v>212</v>
      </c>
      <c r="B84" s="1347"/>
      <c r="C84" s="1348"/>
      <c r="D84" s="390" t="s">
        <v>143</v>
      </c>
      <c r="E84" s="323">
        <f>'[3]17'!F84</f>
        <v>375018</v>
      </c>
      <c r="F84" s="279">
        <v>375502</v>
      </c>
      <c r="G84" s="336">
        <f t="shared" si="7"/>
        <v>484</v>
      </c>
      <c r="H84" s="288">
        <f>G84+'[3]17'!H84</f>
        <v>9069</v>
      </c>
      <c r="I84" s="290"/>
      <c r="J84" s="325">
        <f>H84/DAY(B2)</f>
        <v>503.83333333333331</v>
      </c>
      <c r="K84" s="391"/>
      <c r="L84" s="304"/>
    </row>
    <row r="85" spans="1:15" s="394" customFormat="1" ht="23.25" customHeight="1">
      <c r="A85" s="459" t="s">
        <v>213</v>
      </c>
      <c r="B85" s="460"/>
      <c r="C85" s="460"/>
      <c r="D85" s="392"/>
      <c r="E85" s="279"/>
      <c r="F85" s="279"/>
      <c r="G85" s="410">
        <f xml:space="preserve"> SUM(G72:G84)</f>
        <v>2000.25</v>
      </c>
      <c r="H85" s="288">
        <f>G85+'[3]17'!H85</f>
        <v>34831.989999999991</v>
      </c>
      <c r="I85" s="290"/>
      <c r="J85" s="325">
        <f>H85/DAY(B2)</f>
        <v>1935.110555555555</v>
      </c>
      <c r="K85" s="391"/>
      <c r="L85" s="393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'[3]17'!F86</f>
        <v>438756</v>
      </c>
      <c r="F86" s="784">
        <v>438872</v>
      </c>
      <c r="G86" s="861">
        <f t="shared" ref="G86:G90" si="8">F86-E86</f>
        <v>116</v>
      </c>
      <c r="H86" s="861">
        <f t="shared" ref="H86:H88" si="9">G86</f>
        <v>116</v>
      </c>
      <c r="I86" s="789"/>
      <c r="J86" s="863">
        <f>H86/DAY(B2)</f>
        <v>6.4444444444444446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'[3]17'!F87</f>
        <v>76513</v>
      </c>
      <c r="F87" s="784">
        <v>76545.8</v>
      </c>
      <c r="G87" s="861">
        <f t="shared" si="8"/>
        <v>32.80000000000291</v>
      </c>
      <c r="H87" s="861">
        <f t="shared" si="9"/>
        <v>32.80000000000291</v>
      </c>
      <c r="I87" s="789"/>
      <c r="J87" s="863">
        <f>H87/DAY(B2)</f>
        <v>1.8222222222223838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'[3]17'!F88</f>
        <v>141130.45000000001</v>
      </c>
      <c r="F88" s="784">
        <v>141217.75</v>
      </c>
      <c r="G88" s="861">
        <f t="shared" si="8"/>
        <v>87.299999999988358</v>
      </c>
      <c r="H88" s="861">
        <f t="shared" si="9"/>
        <v>87.299999999988358</v>
      </c>
      <c r="I88" s="789"/>
      <c r="J88" s="863">
        <f>H88/DAY(B2)</f>
        <v>4.8499999999993531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'[3]17'!F89</f>
        <v>54993</v>
      </c>
      <c r="F89" s="784">
        <v>55045</v>
      </c>
      <c r="G89" s="861">
        <f t="shared" si="8"/>
        <v>52</v>
      </c>
      <c r="H89" s="861">
        <f>G89</f>
        <v>52</v>
      </c>
      <c r="I89" s="789"/>
      <c r="J89" s="863">
        <f>H89/DAY(B2)</f>
        <v>2.8888888888888888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'[3]17'!F90</f>
        <v>2838</v>
      </c>
      <c r="F90" s="784">
        <v>2841</v>
      </c>
      <c r="G90" s="861">
        <f t="shared" si="8"/>
        <v>3</v>
      </c>
      <c r="H90" s="861">
        <f>G90</f>
        <v>3</v>
      </c>
      <c r="I90" s="789"/>
      <c r="J90" s="863">
        <f>H90/DAY(B2)</f>
        <v>0.16666666666666666</v>
      </c>
      <c r="K90" s="889"/>
      <c r="L90" s="890"/>
      <c r="N90" s="939"/>
      <c r="O90" s="426"/>
    </row>
    <row r="91" spans="1:15" s="394" customFormat="1" ht="23.25" customHeight="1">
      <c r="A91" s="1352" t="s">
        <v>216</v>
      </c>
      <c r="B91" s="448"/>
      <c r="C91" s="1353"/>
      <c r="D91" s="537"/>
      <c r="E91" s="537"/>
      <c r="F91" s="537"/>
      <c r="G91" s="439"/>
      <c r="H91" s="537"/>
      <c r="I91" s="537"/>
      <c r="J91" s="537"/>
      <c r="K91" s="391"/>
      <c r="L91" s="393"/>
    </row>
    <row r="92" spans="1:15" ht="23.25" customHeight="1" thickBot="1">
      <c r="A92" s="1495" t="s">
        <v>217</v>
      </c>
      <c r="B92" s="1496"/>
      <c r="C92" s="1497"/>
      <c r="D92" s="279" t="s">
        <v>155</v>
      </c>
      <c r="E92" s="323">
        <f>'[3]17'!F92</f>
        <v>229986</v>
      </c>
      <c r="F92" s="278">
        <v>230056</v>
      </c>
      <c r="G92" s="336">
        <f t="shared" ref="G92:G93" si="10">F92-E92</f>
        <v>70</v>
      </c>
      <c r="H92" s="288">
        <f>G92+'[3]17'!H92</f>
        <v>1461</v>
      </c>
      <c r="I92" s="337"/>
      <c r="J92" s="325">
        <f>H92/DAY(B2)</f>
        <v>81.166666666666671</v>
      </c>
      <c r="K92" s="341"/>
      <c r="L92" s="304"/>
    </row>
    <row r="93" spans="1:15" ht="23.25" customHeight="1" thickBot="1">
      <c r="A93" s="1495" t="s">
        <v>218</v>
      </c>
      <c r="B93" s="1496"/>
      <c r="C93" s="1497"/>
      <c r="D93" s="279" t="s">
        <v>155</v>
      </c>
      <c r="E93" s="323">
        <f>'[3]17'!F93</f>
        <v>161005</v>
      </c>
      <c r="F93" s="278">
        <v>161122</v>
      </c>
      <c r="G93" s="336">
        <f t="shared" si="10"/>
        <v>117</v>
      </c>
      <c r="H93" s="288">
        <f>G93+'[3]17'!H93</f>
        <v>2599</v>
      </c>
      <c r="I93" s="337"/>
      <c r="J93" s="325">
        <f>H93/DAY(B2)</f>
        <v>144.38888888888889</v>
      </c>
      <c r="K93" s="391"/>
      <c r="L93" s="304"/>
    </row>
    <row r="94" spans="1:15" ht="23.25" customHeight="1" thickBot="1">
      <c r="A94" s="1501" t="s">
        <v>219</v>
      </c>
      <c r="B94" s="1502"/>
      <c r="C94" s="1503"/>
      <c r="D94" s="279"/>
      <c r="E94" s="323">
        <f>'[3]17'!F94</f>
        <v>0</v>
      </c>
      <c r="F94" s="278"/>
      <c r="G94" s="336">
        <f>G92+G93</f>
        <v>187</v>
      </c>
      <c r="H94" s="288">
        <f>G94+'[3]17'!H94</f>
        <v>3770</v>
      </c>
      <c r="I94" s="337"/>
      <c r="J94" s="325">
        <f>H94/DAY(B2)</f>
        <v>209.44444444444446</v>
      </c>
      <c r="K94" s="391"/>
      <c r="L94" s="304"/>
    </row>
    <row r="95" spans="1:15" ht="23.25" customHeight="1" thickBot="1">
      <c r="A95" s="1495" t="s">
        <v>220</v>
      </c>
      <c r="B95" s="1496"/>
      <c r="C95" s="1497"/>
      <c r="D95" s="279" t="s">
        <v>155</v>
      </c>
      <c r="E95" s="323">
        <f>'[3]17'!F95</f>
        <v>400783</v>
      </c>
      <c r="F95" s="278">
        <v>400841</v>
      </c>
      <c r="G95" s="336">
        <f t="shared" ref="G95:G100" si="11">F95-E95</f>
        <v>58</v>
      </c>
      <c r="H95" s="288">
        <f>G95+'[3]17'!H95</f>
        <v>994</v>
      </c>
      <c r="I95" s="337"/>
      <c r="J95" s="325">
        <f>H95/DAY(B2)</f>
        <v>55.222222222222221</v>
      </c>
      <c r="K95" s="391"/>
      <c r="L95" s="304"/>
    </row>
    <row r="96" spans="1:15" ht="23.25" customHeight="1" thickBot="1">
      <c r="A96" s="1341" t="s">
        <v>221</v>
      </c>
      <c r="B96" s="1342"/>
      <c r="C96" s="1343"/>
      <c r="D96" s="279" t="s">
        <v>155</v>
      </c>
      <c r="E96" s="323">
        <f>'[3]17'!F96</f>
        <v>98749</v>
      </c>
      <c r="F96" s="278">
        <v>98783</v>
      </c>
      <c r="G96" s="336">
        <f t="shared" si="11"/>
        <v>34</v>
      </c>
      <c r="H96" s="288">
        <f>G96+'[3]17'!H96</f>
        <v>774</v>
      </c>
      <c r="I96" s="337"/>
      <c r="J96" s="325">
        <f>H96/DAY(B2)</f>
        <v>43</v>
      </c>
      <c r="K96" s="318"/>
      <c r="L96" s="304"/>
    </row>
    <row r="97" spans="1:12" ht="23.25" customHeight="1" thickBot="1">
      <c r="A97" s="1341" t="s">
        <v>222</v>
      </c>
      <c r="B97" s="1342"/>
      <c r="C97" s="1343"/>
      <c r="D97" s="279" t="s">
        <v>155</v>
      </c>
      <c r="E97" s="323">
        <f>'[3]17'!F97</f>
        <v>93916</v>
      </c>
      <c r="F97" s="278">
        <v>93939</v>
      </c>
      <c r="G97" s="336">
        <f t="shared" si="11"/>
        <v>23</v>
      </c>
      <c r="H97" s="288">
        <f>G97+'[3]17'!H97</f>
        <v>388</v>
      </c>
      <c r="I97" s="337"/>
      <c r="J97" s="325">
        <f>H97/DAY(B2)</f>
        <v>21.555555555555557</v>
      </c>
      <c r="K97" s="395"/>
      <c r="L97" s="304"/>
    </row>
    <row r="98" spans="1:12" ht="23.25" customHeight="1" thickBot="1">
      <c r="A98" s="1341" t="s">
        <v>223</v>
      </c>
      <c r="B98" s="1342"/>
      <c r="C98" s="1343"/>
      <c r="D98" s="279" t="s">
        <v>155</v>
      </c>
      <c r="E98" s="323">
        <f>'[3]17'!F98</f>
        <v>141608</v>
      </c>
      <c r="F98" s="278">
        <v>141647</v>
      </c>
      <c r="G98" s="336">
        <f t="shared" si="11"/>
        <v>39</v>
      </c>
      <c r="H98" s="288">
        <f>G98+'[3]17'!H98</f>
        <v>742</v>
      </c>
      <c r="I98" s="337"/>
      <c r="J98" s="325">
        <f>H98/DAY(B2)</f>
        <v>41.222222222222221</v>
      </c>
      <c r="K98" s="391"/>
      <c r="L98" s="304"/>
    </row>
    <row r="99" spans="1:12" ht="23.25" customHeight="1" thickBot="1">
      <c r="A99" s="1341" t="s">
        <v>224</v>
      </c>
      <c r="B99" s="1342"/>
      <c r="C99" s="1343"/>
      <c r="D99" s="279" t="s">
        <v>155</v>
      </c>
      <c r="E99" s="323">
        <f>'[3]17'!F99</f>
        <v>4848</v>
      </c>
      <c r="F99" s="278">
        <v>4857</v>
      </c>
      <c r="G99" s="336">
        <f t="shared" si="11"/>
        <v>9</v>
      </c>
      <c r="H99" s="288">
        <f>G99+'[3]17'!H99</f>
        <v>149</v>
      </c>
      <c r="I99" s="337"/>
      <c r="J99" s="325">
        <f>H99/DAY(B2)</f>
        <v>8.2777777777777786</v>
      </c>
      <c r="K99" s="391"/>
      <c r="L99" s="304"/>
    </row>
    <row r="100" spans="1:12" ht="23.25" customHeight="1" thickBot="1">
      <c r="A100" s="1341" t="s">
        <v>225</v>
      </c>
      <c r="B100" s="1342"/>
      <c r="C100" s="1343"/>
      <c r="D100" s="279" t="s">
        <v>155</v>
      </c>
      <c r="E100" s="323">
        <f>'[3]17'!F100</f>
        <v>3674</v>
      </c>
      <c r="F100" s="278">
        <v>3674</v>
      </c>
      <c r="G100" s="336">
        <f t="shared" si="11"/>
        <v>0</v>
      </c>
      <c r="H100" s="288">
        <f>G100+'[3]17'!H100</f>
        <v>0</v>
      </c>
      <c r="I100" s="337"/>
      <c r="J100" s="325">
        <f>H100/DAY(B2)</f>
        <v>0</v>
      </c>
      <c r="K100" s="391"/>
      <c r="L100" s="304"/>
    </row>
    <row r="101" spans="1:12" ht="23.25" customHeight="1">
      <c r="A101" s="1501" t="s">
        <v>227</v>
      </c>
      <c r="B101" s="1502"/>
      <c r="C101" s="1503"/>
      <c r="D101" s="285"/>
      <c r="E101" s="285"/>
      <c r="F101" s="285"/>
      <c r="G101" s="461">
        <f>SUM(G95:G100)</f>
        <v>163</v>
      </c>
      <c r="H101" s="288">
        <f>G101+'[3]17'!H101</f>
        <v>3047</v>
      </c>
      <c r="I101" s="399"/>
      <c r="J101" s="325">
        <f>H101/DAY(B2)</f>
        <v>169.27777777777777</v>
      </c>
      <c r="K101" s="391"/>
      <c r="L101" s="304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488" t="s">
        <v>229</v>
      </c>
      <c r="B103" s="1489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485" t="s">
        <v>230</v>
      </c>
      <c r="B104" s="1485"/>
      <c r="C104" s="1355"/>
      <c r="D104" s="578" t="s">
        <v>155</v>
      </c>
      <c r="E104" s="548">
        <f>'[3]17'!F104</f>
        <v>7010</v>
      </c>
      <c r="F104" s="548">
        <v>7010</v>
      </c>
      <c r="G104" s="548">
        <f>F104-E104</f>
        <v>0</v>
      </c>
      <c r="H104" s="549">
        <f>SUM(G104+'[3]1'!G76)</f>
        <v>60</v>
      </c>
      <c r="I104" s="548"/>
      <c r="J104" s="549">
        <f>H104/DAY(B2)</f>
        <v>3.3333333333333335</v>
      </c>
    </row>
    <row r="105" spans="1:12" s="544" customFormat="1" ht="21.75" customHeight="1">
      <c r="A105" s="1485" t="s">
        <v>77</v>
      </c>
      <c r="B105" s="1485"/>
      <c r="C105" s="1355"/>
      <c r="D105" s="578" t="s">
        <v>155</v>
      </c>
      <c r="E105" s="548">
        <f>'[3]17'!F105</f>
        <v>34587</v>
      </c>
      <c r="F105" s="550">
        <v>34597</v>
      </c>
      <c r="G105" s="548">
        <f t="shared" ref="G105:G106" si="12">F105-E105</f>
        <v>10</v>
      </c>
      <c r="H105" s="549">
        <f>SUM(G105+'[3]1'!G77)</f>
        <v>80</v>
      </c>
      <c r="I105" s="548"/>
      <c r="J105" s="549">
        <f>H105/DAY(B2)</f>
        <v>4.4444444444444446</v>
      </c>
    </row>
    <row r="106" spans="1:12" s="544" customFormat="1" ht="21.75" customHeight="1">
      <c r="A106" s="1485" t="s">
        <v>78</v>
      </c>
      <c r="B106" s="1485"/>
      <c r="C106" s="1485"/>
      <c r="D106" s="578" t="s">
        <v>155</v>
      </c>
      <c r="E106" s="548">
        <f>'[3]17'!F106</f>
        <v>18685</v>
      </c>
      <c r="F106" s="548">
        <v>18689</v>
      </c>
      <c r="G106" s="548">
        <f t="shared" si="12"/>
        <v>4</v>
      </c>
      <c r="H106" s="549">
        <f>SUM(G106+'[3]1'!G78)</f>
        <v>333</v>
      </c>
      <c r="I106" s="548"/>
      <c r="J106" s="549">
        <f>H106/DAY(B2)</f>
        <v>18.5</v>
      </c>
    </row>
    <row r="107" spans="1:12" s="544" customFormat="1" ht="21.75" customHeight="1">
      <c r="A107" s="1486" t="s">
        <v>213</v>
      </c>
      <c r="B107" s="1486"/>
      <c r="C107" s="1355"/>
      <c r="D107" s="578"/>
      <c r="E107" s="548">
        <f>'[3]17'!F107</f>
        <v>0</v>
      </c>
      <c r="F107" s="548"/>
      <c r="G107" s="548">
        <f>SUM(G104:G106)</f>
        <v>14</v>
      </c>
      <c r="H107" s="549">
        <f>SUM(G107+'[3]1'!G79)</f>
        <v>174</v>
      </c>
      <c r="I107" s="548"/>
      <c r="J107" s="549">
        <f>H107/DAY(B2)</f>
        <v>9.6666666666666661</v>
      </c>
    </row>
    <row r="108" spans="1:12" s="544" customFormat="1" ht="21.75" customHeight="1">
      <c r="A108" s="1484" t="s">
        <v>79</v>
      </c>
      <c r="B108" s="1484"/>
      <c r="C108" s="1355"/>
      <c r="D108" s="578" t="s">
        <v>155</v>
      </c>
      <c r="E108" s="548">
        <f>'[3]17'!F108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485" t="s">
        <v>231</v>
      </c>
      <c r="B109" s="1485"/>
      <c r="C109" s="1355"/>
      <c r="D109" s="578" t="s">
        <v>155</v>
      </c>
      <c r="E109" s="548">
        <f>'[3]17'!F109</f>
        <v>50664</v>
      </c>
      <c r="F109" s="548">
        <v>50673</v>
      </c>
      <c r="G109" s="548">
        <f>F109-E109</f>
        <v>9</v>
      </c>
      <c r="H109" s="549">
        <f>SUM(G109+'[3]1'!G81)</f>
        <v>91</v>
      </c>
      <c r="I109" s="548"/>
      <c r="J109" s="549">
        <f>H109/DAY(B2)</f>
        <v>5.0555555555555554</v>
      </c>
    </row>
    <row r="110" spans="1:12" s="544" customFormat="1" ht="21.75" customHeight="1">
      <c r="A110" s="1485" t="s">
        <v>232</v>
      </c>
      <c r="B110" s="1485"/>
      <c r="C110" s="1355"/>
      <c r="D110" s="578" t="s">
        <v>155</v>
      </c>
      <c r="E110" s="548">
        <f>'[3]17'!F110</f>
        <v>24800</v>
      </c>
      <c r="F110" s="548">
        <v>24830</v>
      </c>
      <c r="G110" s="548">
        <f t="shared" ref="G110:G111" si="13">F110-E110</f>
        <v>30</v>
      </c>
      <c r="H110" s="549">
        <f>SUM(G110+'[3]1'!G82)</f>
        <v>55.740000000005239</v>
      </c>
      <c r="I110" s="548"/>
      <c r="J110" s="549">
        <f>H110/DAY(B2)</f>
        <v>3.0966666666669576</v>
      </c>
    </row>
    <row r="111" spans="1:12" s="544" customFormat="1" ht="21.75" customHeight="1">
      <c r="A111" s="1485" t="s">
        <v>233</v>
      </c>
      <c r="B111" s="1485"/>
      <c r="C111" s="1355"/>
      <c r="D111" s="578" t="s">
        <v>155</v>
      </c>
      <c r="E111" s="548">
        <f>'[3]17'!F111</f>
        <v>3279</v>
      </c>
      <c r="F111" s="548">
        <v>3291</v>
      </c>
      <c r="G111" s="548">
        <f t="shared" si="13"/>
        <v>12</v>
      </c>
      <c r="H111" s="549">
        <f>SUM(G111+'[3]1'!G83)</f>
        <v>458</v>
      </c>
      <c r="I111" s="548"/>
      <c r="J111" s="549">
        <f>H111/DAY(B2)</f>
        <v>25.444444444444443</v>
      </c>
    </row>
    <row r="112" spans="1:12" s="544" customFormat="1" ht="21.75" customHeight="1">
      <c r="A112" s="1487" t="s">
        <v>121</v>
      </c>
      <c r="B112" s="1487"/>
      <c r="C112" s="1355"/>
      <c r="D112" s="578"/>
      <c r="E112" s="548">
        <f>'[3]17'!F112</f>
        <v>0</v>
      </c>
      <c r="F112" s="548"/>
      <c r="G112" s="548">
        <f>SUM(G109:G111)</f>
        <v>51</v>
      </c>
      <c r="H112" s="549">
        <f>SUM(G112+'[3]1'!G84)</f>
        <v>647</v>
      </c>
      <c r="I112" s="548"/>
      <c r="J112" s="549">
        <f>H112/DAY(B2)</f>
        <v>35.944444444444443</v>
      </c>
    </row>
    <row r="113" spans="1:12" s="544" customFormat="1" ht="21.75" customHeight="1">
      <c r="A113" s="1484" t="s">
        <v>234</v>
      </c>
      <c r="B113" s="1484"/>
      <c r="C113" s="1355"/>
      <c r="D113" s="578"/>
      <c r="E113" s="548">
        <f>'[3]17'!F113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485" t="s">
        <v>235</v>
      </c>
      <c r="B114" s="1485"/>
      <c r="C114" s="582"/>
      <c r="D114" s="578" t="s">
        <v>155</v>
      </c>
      <c r="E114" s="548">
        <f>'[3]17'!F114</f>
        <v>8454</v>
      </c>
      <c r="F114" s="552">
        <v>8462</v>
      </c>
      <c r="G114" s="552">
        <f>F114-E114</f>
        <v>8</v>
      </c>
      <c r="H114" s="552">
        <f>SUM(G114+'[3]1'!G91)</f>
        <v>8</v>
      </c>
      <c r="I114" s="548"/>
      <c r="J114" s="549">
        <f>H114/DAY(B2)</f>
        <v>0.44444444444444442</v>
      </c>
    </row>
    <row r="115" spans="1:12" s="544" customFormat="1" ht="21.75" customHeight="1">
      <c r="A115" s="1485" t="s">
        <v>236</v>
      </c>
      <c r="B115" s="1485"/>
      <c r="C115" s="582"/>
      <c r="D115" s="578" t="s">
        <v>155</v>
      </c>
      <c r="E115" s="548">
        <f>'[3]17'!F115</f>
        <v>6675</v>
      </c>
      <c r="F115" s="552">
        <v>6682</v>
      </c>
      <c r="G115" s="552">
        <f t="shared" ref="G115:G116" si="14">F115-E115</f>
        <v>7</v>
      </c>
      <c r="H115" s="552">
        <f>SUM(G115+'[3]1'!G92)</f>
        <v>112</v>
      </c>
      <c r="I115" s="548"/>
      <c r="J115" s="549">
        <f>H115/DAY(B2)</f>
        <v>6.2222222222222223</v>
      </c>
    </row>
    <row r="116" spans="1:12" s="544" customFormat="1" ht="21.75" customHeight="1">
      <c r="A116" s="1485" t="s">
        <v>237</v>
      </c>
      <c r="B116" s="1485"/>
      <c r="C116" s="582"/>
      <c r="D116" s="578" t="s">
        <v>155</v>
      </c>
      <c r="E116" s="552"/>
      <c r="F116" s="552"/>
      <c r="G116" s="552">
        <f t="shared" si="14"/>
        <v>0</v>
      </c>
      <c r="H116" s="552">
        <f>SUM(G116+'[3]1'!G93)</f>
        <v>185</v>
      </c>
      <c r="I116" s="548"/>
      <c r="J116" s="549">
        <f>H116/DAY(B2)</f>
        <v>10.277777777777779</v>
      </c>
    </row>
    <row r="117" spans="1:12" s="557" customFormat="1">
      <c r="A117" s="1486" t="s">
        <v>213</v>
      </c>
      <c r="B117" s="1486"/>
      <c r="C117" s="582"/>
      <c r="D117" s="579"/>
      <c r="E117" s="552"/>
      <c r="F117" s="552"/>
      <c r="G117" s="552">
        <f>SUM(G114:G116)</f>
        <v>15</v>
      </c>
      <c r="H117" s="552">
        <f>SUM(G117+'[3]1'!G95)</f>
        <v>63</v>
      </c>
      <c r="I117" s="552"/>
      <c r="J117" s="549">
        <f>H117/DAY(B2)</f>
        <v>3.5</v>
      </c>
    </row>
    <row r="118" spans="1:12" s="558" customFormat="1">
      <c r="A118" s="1482" t="s">
        <v>238</v>
      </c>
      <c r="B118" s="1482"/>
      <c r="C118" s="1354"/>
      <c r="D118" s="580" t="s">
        <v>155</v>
      </c>
      <c r="E118" s="576"/>
      <c r="F118" s="554">
        <f>SUM(G19+G92)</f>
        <v>126</v>
      </c>
      <c r="G118" s="554">
        <f>SUM(G19+G92)</f>
        <v>126</v>
      </c>
      <c r="H118" s="553">
        <f>SUM(G118+'[3]1'!G96)</f>
        <v>175</v>
      </c>
      <c r="I118" s="576"/>
      <c r="J118" s="554">
        <f>H118/DAY(B2)</f>
        <v>9.7222222222222214</v>
      </c>
    </row>
    <row r="119" spans="1:12" s="558" customFormat="1">
      <c r="A119" s="1482" t="s">
        <v>239</v>
      </c>
      <c r="B119" s="1482"/>
      <c r="C119" s="1354"/>
      <c r="D119" s="580" t="s">
        <v>155</v>
      </c>
      <c r="E119" s="576"/>
      <c r="F119" s="554">
        <f>SUM(G95,G96,G97,G99,G100)</f>
        <v>124</v>
      </c>
      <c r="G119" s="554">
        <f>SUM(G95,G96,G97,G99,G100)</f>
        <v>124</v>
      </c>
      <c r="H119" s="553">
        <f>SUM(G119+'[3]1'!G98)</f>
        <v>156</v>
      </c>
      <c r="I119" s="576"/>
      <c r="J119" s="554">
        <f>H119/DAY(B2)</f>
        <v>8.6666666666666661</v>
      </c>
    </row>
    <row r="120" spans="1:12" s="558" customFormat="1">
      <c r="A120" s="1482" t="s">
        <v>240</v>
      </c>
      <c r="B120" s="1482"/>
      <c r="C120" s="1354"/>
      <c r="D120" s="580" t="s">
        <v>155</v>
      </c>
      <c r="E120" s="576"/>
      <c r="F120" s="552">
        <f>SUM(G112)</f>
        <v>51</v>
      </c>
      <c r="G120" s="552">
        <f>SUM(G112)</f>
        <v>51</v>
      </c>
      <c r="H120" s="553">
        <f>SUM(G120+'[3]1'!G100)</f>
        <v>51</v>
      </c>
      <c r="I120" s="576"/>
      <c r="J120" s="554">
        <f>H120/DAY(B2)</f>
        <v>2.8333333333333335</v>
      </c>
    </row>
    <row r="121" spans="1:12" s="544" customFormat="1" ht="18.75" customHeight="1">
      <c r="A121" s="1483"/>
      <c r="B121" s="1483"/>
      <c r="C121" s="1355"/>
      <c r="F121" s="544" t="s">
        <v>226</v>
      </c>
      <c r="H121" s="555"/>
      <c r="J121" s="556"/>
    </row>
    <row r="122" spans="1:12" ht="23.25" customHeight="1">
      <c r="A122" s="1490" t="s">
        <v>241</v>
      </c>
      <c r="B122" s="1491"/>
      <c r="C122" s="1492"/>
      <c r="D122" s="537"/>
      <c r="E122" s="537"/>
      <c r="F122" s="537"/>
      <c r="G122" s="438"/>
      <c r="H122" s="438"/>
      <c r="I122" s="438"/>
      <c r="J122" s="438"/>
      <c r="K122" s="391"/>
      <c r="L122" s="304"/>
    </row>
    <row r="123" spans="1:12" ht="23.25" customHeight="1" thickBot="1">
      <c r="A123" s="396" t="s">
        <v>242</v>
      </c>
      <c r="B123" s="397"/>
      <c r="C123" s="398"/>
      <c r="D123" s="330" t="s">
        <v>152</v>
      </c>
      <c r="E123" s="323">
        <f>'[3]17'!F123</f>
        <v>786196.36</v>
      </c>
      <c r="F123" s="286">
        <v>786395.88</v>
      </c>
      <c r="G123" s="336">
        <f t="shared" ref="G123:G127" si="15">F123-E123</f>
        <v>199.52000000001863</v>
      </c>
      <c r="H123" s="288">
        <f>G123+'[3]17'!H123</f>
        <v>3470.9939999999478</v>
      </c>
      <c r="I123" s="400"/>
      <c r="J123" s="325">
        <f>H123/DAY(B2)</f>
        <v>192.8329999999971</v>
      </c>
      <c r="K123" s="391"/>
      <c r="L123" s="304"/>
    </row>
    <row r="124" spans="1:12" ht="23.25" customHeight="1" thickBot="1">
      <c r="A124" s="396" t="s">
        <v>243</v>
      </c>
      <c r="B124" s="397"/>
      <c r="C124" s="398"/>
      <c r="D124" s="330" t="s">
        <v>152</v>
      </c>
      <c r="E124" s="323">
        <f>'[3]17'!F124</f>
        <v>73581.899999999994</v>
      </c>
      <c r="F124" s="286">
        <v>73581.899999999994</v>
      </c>
      <c r="G124" s="336">
        <f t="shared" si="15"/>
        <v>0</v>
      </c>
      <c r="H124" s="288">
        <f>G124+'[3]17'!H124</f>
        <v>0.89999999999417923</v>
      </c>
      <c r="I124" s="400"/>
      <c r="J124" s="325">
        <f>H124/DAY(B2)</f>
        <v>4.9999999999676623E-2</v>
      </c>
      <c r="K124" s="391"/>
      <c r="L124" s="304"/>
    </row>
    <row r="125" spans="1:12" ht="23.25" customHeight="1" thickBot="1">
      <c r="A125" s="1498" t="s">
        <v>244</v>
      </c>
      <c r="B125" s="1499"/>
      <c r="C125" s="1500"/>
      <c r="D125" s="279" t="s">
        <v>152</v>
      </c>
      <c r="E125" s="323">
        <f>'[3]17'!F125</f>
        <v>132165.46</v>
      </c>
      <c r="F125" s="275">
        <v>132225</v>
      </c>
      <c r="G125" s="336">
        <f t="shared" si="15"/>
        <v>59.540000000008149</v>
      </c>
      <c r="H125" s="288">
        <f>G125+'[3]17'!H125</f>
        <v>1118.7799999999988</v>
      </c>
      <c r="I125" s="400"/>
      <c r="J125" s="325">
        <f>H125/DAY(B2)</f>
        <v>62.15444444444438</v>
      </c>
      <c r="K125" s="391"/>
      <c r="L125" s="304"/>
    </row>
    <row r="126" spans="1:12" ht="23.25" customHeight="1" thickBot="1">
      <c r="A126" s="429" t="s">
        <v>245</v>
      </c>
      <c r="B126" s="1342"/>
      <c r="C126" s="1343"/>
      <c r="D126" s="279" t="s">
        <v>152</v>
      </c>
      <c r="E126" s="323">
        <f>'[3]17'!F126</f>
        <v>55989.9</v>
      </c>
      <c r="F126" s="275">
        <v>56016.9</v>
      </c>
      <c r="G126" s="336">
        <f>F126-E126</f>
        <v>27</v>
      </c>
      <c r="H126" s="288">
        <f>G126+'[3]17'!H126</f>
        <v>431.09999999999854</v>
      </c>
      <c r="I126" s="400"/>
      <c r="J126" s="325">
        <f>H126/DAY(B2)</f>
        <v>23.949999999999918</v>
      </c>
      <c r="K126" s="391"/>
      <c r="L126" s="304"/>
    </row>
    <row r="127" spans="1:12" ht="23.25" customHeight="1" thickBot="1">
      <c r="A127" s="429" t="s">
        <v>246</v>
      </c>
      <c r="B127" s="1342"/>
      <c r="C127" s="1343"/>
      <c r="D127" s="279" t="s">
        <v>152</v>
      </c>
      <c r="E127" s="323">
        <f>'[3]17'!F127</f>
        <v>8640.1</v>
      </c>
      <c r="F127" s="275">
        <v>8640.1</v>
      </c>
      <c r="G127" s="336">
        <f t="shared" si="15"/>
        <v>0</v>
      </c>
      <c r="H127" s="288">
        <f>G127+'[3]17'!H127</f>
        <v>1.1000000000003638</v>
      </c>
      <c r="I127" s="337"/>
      <c r="J127" s="325">
        <f>H127/DAY(B2)</f>
        <v>6.1111111111131322E-2</v>
      </c>
      <c r="K127" s="391"/>
      <c r="L127" s="304"/>
    </row>
    <row r="128" spans="1:12" ht="21.75" customHeight="1">
      <c r="A128" s="392" t="s">
        <v>247</v>
      </c>
      <c r="B128" s="538"/>
      <c r="C128" s="538"/>
      <c r="D128" s="279"/>
      <c r="E128" s="274"/>
      <c r="F128" s="275"/>
      <c r="G128" s="336">
        <f>G15-SUM(G123:G127)</f>
        <v>350.70999999975902</v>
      </c>
      <c r="H128" s="288">
        <f>G128+'[3]17'!H128</f>
        <v>682.93499999999767</v>
      </c>
      <c r="I128" s="337"/>
      <c r="J128" s="325">
        <f>H128/DAY(B2)</f>
        <v>37.940833333333202</v>
      </c>
      <c r="K128" s="402"/>
      <c r="L128" s="304"/>
    </row>
    <row r="129" spans="1:12" ht="23.25" customHeight="1">
      <c r="A129" s="435" t="s">
        <v>248</v>
      </c>
      <c r="B129" s="435"/>
      <c r="C129" s="435"/>
      <c r="D129" s="435"/>
      <c r="E129" s="435"/>
      <c r="F129" s="435"/>
      <c r="G129" s="449"/>
      <c r="H129" s="449"/>
      <c r="I129" s="449"/>
      <c r="J129" s="449"/>
    </row>
    <row r="130" spans="1:12" ht="23.25" customHeight="1" thickBot="1">
      <c r="A130" s="538" t="s">
        <v>249</v>
      </c>
      <c r="B130" s="538"/>
      <c r="C130" s="538"/>
      <c r="D130" s="279" t="s">
        <v>250</v>
      </c>
      <c r="E130" s="323">
        <f>'[3]17'!F130</f>
        <v>0</v>
      </c>
      <c r="F130" s="278">
        <v>0</v>
      </c>
      <c r="G130" s="336">
        <f t="shared" ref="G130:G140" si="16">F130-E130</f>
        <v>0</v>
      </c>
      <c r="H130" s="288">
        <f>G130+'[3]17'!H130</f>
        <v>0</v>
      </c>
      <c r="I130" s="337"/>
      <c r="J130" s="325">
        <f>H130/DAY(B2)</f>
        <v>0</v>
      </c>
    </row>
    <row r="131" spans="1:12" ht="23.25" customHeight="1" thickBot="1">
      <c r="A131" s="538" t="s">
        <v>251</v>
      </c>
      <c r="B131" s="538"/>
      <c r="C131" s="538"/>
      <c r="D131" s="279" t="s">
        <v>250</v>
      </c>
      <c r="E131" s="323">
        <f>'[3]17'!F131</f>
        <v>0</v>
      </c>
      <c r="F131" s="278">
        <v>0</v>
      </c>
      <c r="G131" s="336">
        <f t="shared" si="16"/>
        <v>0</v>
      </c>
      <c r="H131" s="288">
        <f>G131+'[3]17'!H131</f>
        <v>0</v>
      </c>
      <c r="I131" s="337"/>
      <c r="J131" s="325">
        <f>H131/DAY(B2)</f>
        <v>0</v>
      </c>
    </row>
    <row r="132" spans="1:12" ht="23.25" customHeight="1" thickBot="1">
      <c r="A132" s="538" t="s">
        <v>252</v>
      </c>
      <c r="B132" s="538"/>
      <c r="C132" s="538"/>
      <c r="D132" s="279" t="s">
        <v>250</v>
      </c>
      <c r="E132" s="323">
        <f>'[3]17'!F132</f>
        <v>38853</v>
      </c>
      <c r="F132" s="278">
        <v>38853</v>
      </c>
      <c r="G132" s="336">
        <f t="shared" si="16"/>
        <v>0</v>
      </c>
      <c r="H132" s="288">
        <f>G132+'[3]17'!H132</f>
        <v>0</v>
      </c>
      <c r="I132" s="337"/>
      <c r="J132" s="325">
        <f>H132/DAY(B2)</f>
        <v>0</v>
      </c>
    </row>
    <row r="133" spans="1:12" ht="23.25" customHeight="1" thickBot="1">
      <c r="A133" s="538" t="s">
        <v>253</v>
      </c>
      <c r="B133" s="538"/>
      <c r="C133" s="538"/>
      <c r="D133" s="279" t="s">
        <v>250</v>
      </c>
      <c r="E133" s="323">
        <f>'[3]17'!F133</f>
        <v>34948</v>
      </c>
      <c r="F133" s="278">
        <v>34948</v>
      </c>
      <c r="G133" s="336">
        <f t="shared" si="16"/>
        <v>0</v>
      </c>
      <c r="H133" s="288">
        <f>G133+'[3]17'!H133</f>
        <v>0</v>
      </c>
      <c r="I133" s="337">
        <f>G130+G131+G132+G133</f>
        <v>0</v>
      </c>
      <c r="J133" s="325">
        <f>H133/DAY(B2)</f>
        <v>0</v>
      </c>
    </row>
    <row r="134" spans="1:12" ht="23.25" customHeight="1" thickBot="1">
      <c r="A134" s="538" t="s">
        <v>254</v>
      </c>
      <c r="B134" s="538"/>
      <c r="C134" s="538"/>
      <c r="D134" s="279" t="s">
        <v>250</v>
      </c>
      <c r="E134" s="323">
        <f>'[3]17'!F134</f>
        <v>39735</v>
      </c>
      <c r="F134" s="278">
        <v>39735</v>
      </c>
      <c r="G134" s="336">
        <f t="shared" si="16"/>
        <v>0</v>
      </c>
      <c r="H134" s="288">
        <f>G134+'[3]17'!H134</f>
        <v>-1.2699999999967986</v>
      </c>
      <c r="I134" s="337"/>
      <c r="J134" s="325">
        <f>H134/DAY(B2)</f>
        <v>-7.0555555555377694E-2</v>
      </c>
    </row>
    <row r="135" spans="1:12" ht="23.25" customHeight="1" thickBot="1">
      <c r="A135" s="538" t="s">
        <v>255</v>
      </c>
      <c r="B135" s="538"/>
      <c r="C135" s="538"/>
      <c r="D135" s="279" t="s">
        <v>250</v>
      </c>
      <c r="E135" s="323">
        <v>31403.23</v>
      </c>
      <c r="F135" s="278">
        <v>31427.22</v>
      </c>
      <c r="G135" s="336">
        <f t="shared" si="16"/>
        <v>23.990000000001601</v>
      </c>
      <c r="H135" s="288">
        <f>G135+'[3]17'!H135</f>
        <v>431.20000000000073</v>
      </c>
      <c r="I135" s="337"/>
      <c r="J135" s="325">
        <f>H135/DAY(B2)</f>
        <v>23.955555555555595</v>
      </c>
    </row>
    <row r="136" spans="1:12" ht="23.25" customHeight="1" thickBot="1">
      <c r="A136" s="538" t="s">
        <v>256</v>
      </c>
      <c r="B136" s="538"/>
      <c r="C136" s="538"/>
      <c r="D136" s="279" t="s">
        <v>250</v>
      </c>
      <c r="E136" s="323">
        <f>'[3]17'!F136</f>
        <v>21627.37</v>
      </c>
      <c r="F136" s="278">
        <v>21627.22</v>
      </c>
      <c r="G136" s="336">
        <f t="shared" si="16"/>
        <v>-0.14999999999781721</v>
      </c>
      <c r="H136" s="288">
        <f>G136+'[3]17'!H136</f>
        <v>29.190000000002328</v>
      </c>
      <c r="I136" s="337">
        <f>G134+G135+G136</f>
        <v>23.840000000003783</v>
      </c>
      <c r="J136" s="325">
        <f>H136/DAY(B2)</f>
        <v>1.621666666666796</v>
      </c>
    </row>
    <row r="137" spans="1:12" ht="23.25" customHeight="1" thickBot="1">
      <c r="A137" s="538" t="s">
        <v>257</v>
      </c>
      <c r="B137" s="538"/>
      <c r="C137" s="538"/>
      <c r="D137" s="279" t="s">
        <v>250</v>
      </c>
      <c r="E137" s="323">
        <f>'[3]17'!F137</f>
        <v>24916.99</v>
      </c>
      <c r="F137" s="278">
        <v>24922.95</v>
      </c>
      <c r="G137" s="336">
        <f t="shared" si="16"/>
        <v>5.9599999999991269</v>
      </c>
      <c r="H137" s="288">
        <f>G137+'[3]17'!H137</f>
        <v>20.700000000000728</v>
      </c>
      <c r="I137" s="337"/>
      <c r="J137" s="325">
        <f>H137/DAY(B2)</f>
        <v>1.1500000000000403</v>
      </c>
    </row>
    <row r="138" spans="1:12" ht="23.25" customHeight="1" thickBot="1">
      <c r="A138" s="538" t="s">
        <v>258</v>
      </c>
      <c r="B138" s="538"/>
      <c r="C138" s="538"/>
      <c r="D138" s="279" t="s">
        <v>250</v>
      </c>
      <c r="E138" s="323">
        <f>'[3]17'!F138</f>
        <v>69936.710000000006</v>
      </c>
      <c r="F138" s="278">
        <v>69936.710000000006</v>
      </c>
      <c r="G138" s="336">
        <f t="shared" si="16"/>
        <v>0</v>
      </c>
      <c r="H138" s="288">
        <f>G138+'[3]17'!H138</f>
        <v>55.060000000012224</v>
      </c>
      <c r="I138" s="337">
        <f>G137+G138</f>
        <v>5.9599999999991269</v>
      </c>
      <c r="J138" s="325">
        <f>H138/DAY(B2)</f>
        <v>3.0588888888895678</v>
      </c>
    </row>
    <row r="139" spans="1:12" ht="23.25" customHeight="1" thickBot="1">
      <c r="A139" s="538" t="s">
        <v>259</v>
      </c>
      <c r="B139" s="538"/>
      <c r="C139" s="538"/>
      <c r="D139" s="279" t="s">
        <v>250</v>
      </c>
      <c r="E139" s="323">
        <f>'[3]17'!F139</f>
        <v>867.45</v>
      </c>
      <c r="F139" s="278">
        <v>873.04</v>
      </c>
      <c r="G139" s="336">
        <f t="shared" si="16"/>
        <v>5.5899999999999181</v>
      </c>
      <c r="H139" s="288">
        <f>G139+'[3]17'!H139</f>
        <v>96.610000000000014</v>
      </c>
      <c r="J139" s="325">
        <f>H139/DAY(B2)</f>
        <v>5.3672222222222228</v>
      </c>
    </row>
    <row r="140" spans="1:12" ht="23.25" customHeight="1" thickBot="1">
      <c r="A140" s="538" t="s">
        <v>260</v>
      </c>
      <c r="B140" s="538"/>
      <c r="C140" s="538"/>
      <c r="D140" s="279" t="s">
        <v>250</v>
      </c>
      <c r="E140" s="323">
        <f>'[3]17'!F140</f>
        <v>4156.9799999999996</v>
      </c>
      <c r="F140" s="278">
        <v>4156.9799999999996</v>
      </c>
      <c r="G140" s="336">
        <f t="shared" si="16"/>
        <v>0</v>
      </c>
      <c r="H140" s="288">
        <f>G140+'[3]17'!H140</f>
        <v>2.7099999999991269</v>
      </c>
      <c r="J140" s="325">
        <f>H140/DAY(B2)</f>
        <v>0.15055555555550704</v>
      </c>
    </row>
    <row r="141" spans="1:12" ht="23.25" customHeight="1">
      <c r="A141" s="1493" t="s">
        <v>261</v>
      </c>
      <c r="B141" s="1494"/>
      <c r="C141" s="537"/>
      <c r="D141" s="537"/>
      <c r="E141" s="537"/>
      <c r="F141" s="537"/>
      <c r="G141" s="438"/>
      <c r="H141" s="438"/>
      <c r="I141" s="438"/>
      <c r="J141" s="438"/>
      <c r="K141" s="391"/>
      <c r="L141" s="304"/>
    </row>
    <row r="142" spans="1:12" ht="23.25" customHeight="1">
      <c r="A142" s="1495" t="s">
        <v>262</v>
      </c>
      <c r="B142" s="1496"/>
      <c r="C142" s="1497"/>
      <c r="D142" s="279" t="s">
        <v>143</v>
      </c>
      <c r="E142" s="279"/>
      <c r="F142" s="279"/>
      <c r="G142" s="288">
        <f>G35+G43+G49+G57</f>
        <v>4952.84</v>
      </c>
      <c r="H142" s="288">
        <f>G142+'[3]17'!H142</f>
        <v>86255.519000000029</v>
      </c>
      <c r="I142" s="337"/>
      <c r="J142" s="325">
        <f>H142/DAY(B2)</f>
        <v>4791.973277777779</v>
      </c>
      <c r="K142" s="391"/>
      <c r="L142" s="304"/>
    </row>
    <row r="143" spans="1:12" ht="23.25" customHeight="1">
      <c r="A143" s="1495" t="s">
        <v>263</v>
      </c>
      <c r="B143" s="1496"/>
      <c r="C143" s="1497"/>
      <c r="D143" s="279" t="s">
        <v>24</v>
      </c>
      <c r="E143" s="280"/>
      <c r="F143" s="280"/>
      <c r="G143" s="291">
        <f>G142/G7</f>
        <v>0.25623881214755034</v>
      </c>
      <c r="H143" s="288">
        <f>G143+'[3]17'!H143</f>
        <v>4.2146858765426218</v>
      </c>
      <c r="I143" s="401"/>
      <c r="J143" s="325">
        <f>H143/DAY(B2)</f>
        <v>0.23414921536347899</v>
      </c>
      <c r="K143" s="402"/>
      <c r="L143" s="304"/>
    </row>
    <row r="144" spans="1:12" ht="23.25" customHeight="1">
      <c r="A144" s="1495" t="s">
        <v>264</v>
      </c>
      <c r="B144" s="1496"/>
      <c r="C144" s="1497"/>
      <c r="D144" s="279" t="s">
        <v>143</v>
      </c>
      <c r="E144" s="276"/>
      <c r="F144" s="276"/>
      <c r="G144" s="288">
        <f>G41+G42+G55+G56</f>
        <v>5039</v>
      </c>
      <c r="H144" s="288">
        <f>G144+'[3]17'!H144</f>
        <v>78563.920000000071</v>
      </c>
      <c r="I144" s="337"/>
      <c r="J144" s="325">
        <f>H144/DAY(B2)</f>
        <v>4364.6622222222259</v>
      </c>
      <c r="K144" s="402"/>
      <c r="L144" s="304"/>
    </row>
    <row r="145" spans="1:12" ht="23.25" customHeight="1">
      <c r="A145" s="1495" t="s">
        <v>265</v>
      </c>
      <c r="B145" s="1496"/>
      <c r="C145" s="1497"/>
      <c r="D145" s="279" t="s">
        <v>24</v>
      </c>
      <c r="E145" s="276"/>
      <c r="F145" s="276" t="s">
        <v>286</v>
      </c>
      <c r="G145" s="291">
        <f>G144/G7</f>
        <v>0.26069636297790882</v>
      </c>
      <c r="H145" s="288">
        <f>G145+'[3]17'!H145</f>
        <v>4.0141908678006279</v>
      </c>
      <c r="I145" s="401"/>
      <c r="J145" s="325">
        <f>H145/DAY(B2)</f>
        <v>0.22301060376670157</v>
      </c>
      <c r="K145" s="402"/>
      <c r="L145" s="304"/>
    </row>
    <row r="146" spans="1:12" ht="23.25" customHeight="1">
      <c r="A146" s="1495" t="s">
        <v>266</v>
      </c>
      <c r="B146" s="1496"/>
      <c r="C146" s="1497"/>
      <c r="D146" s="279" t="s">
        <v>143</v>
      </c>
      <c r="E146" s="276"/>
      <c r="F146" s="276"/>
      <c r="G146" s="288">
        <f>G39+G53</f>
        <v>629.7199999999998</v>
      </c>
      <c r="H146" s="288">
        <f>G146+'[3]17'!H146</f>
        <v>51236.290000000037</v>
      </c>
      <c r="I146" s="403"/>
      <c r="J146" s="325">
        <f>H146/DAY(B2)</f>
        <v>2846.4605555555577</v>
      </c>
      <c r="K146" s="402"/>
      <c r="L146" s="304"/>
    </row>
    <row r="147" spans="1:12" ht="23.25" customHeight="1">
      <c r="A147" s="1495" t="s">
        <v>267</v>
      </c>
      <c r="B147" s="1496"/>
      <c r="C147" s="1497"/>
      <c r="D147" s="279" t="s">
        <v>24</v>
      </c>
      <c r="E147" s="276"/>
      <c r="F147" s="276"/>
      <c r="G147" s="291">
        <f>G146/G7</f>
        <v>3.2579026333488532E-2</v>
      </c>
      <c r="H147" s="288">
        <f>G147+'[3]17'!H147</f>
        <v>2.5627105689200431</v>
      </c>
      <c r="I147" s="403"/>
      <c r="J147" s="325">
        <f>H147/DAY(B2)</f>
        <v>0.14237280938444685</v>
      </c>
    </row>
    <row r="148" spans="1:12" ht="23.25" customHeight="1">
      <c r="A148" s="1495" t="s">
        <v>268</v>
      </c>
      <c r="B148" s="1496"/>
      <c r="C148" s="1497"/>
      <c r="D148" s="279" t="s">
        <v>194</v>
      </c>
      <c r="E148" s="276"/>
      <c r="F148" s="276"/>
      <c r="G148" s="288">
        <f>G38+G52</f>
        <v>1769.4099999999744</v>
      </c>
      <c r="H148" s="288">
        <f>G148+'[3]17'!H148</f>
        <v>31279.309999999998</v>
      </c>
      <c r="I148" s="337"/>
      <c r="J148" s="325">
        <f>H148/DAY(B2)</f>
        <v>1737.7394444444444</v>
      </c>
      <c r="K148" s="404"/>
    </row>
    <row r="149" spans="1:12" ht="23.25" customHeight="1">
      <c r="A149" s="1495" t="s">
        <v>269</v>
      </c>
      <c r="B149" s="1496"/>
      <c r="C149" s="1497"/>
      <c r="D149" s="279" t="s">
        <v>24</v>
      </c>
      <c r="E149" s="276"/>
      <c r="F149" s="276"/>
      <c r="G149" s="291">
        <f>G148/G7</f>
        <v>9.1541724869365945E-2</v>
      </c>
      <c r="H149" s="288">
        <f>G149+'[3]17'!H149</f>
        <v>1.5927632599499943</v>
      </c>
      <c r="I149" s="403"/>
      <c r="J149" s="325">
        <f>H149/DAY(B2)</f>
        <v>8.8486847774999683E-2</v>
      </c>
    </row>
    <row r="150" spans="1:12" ht="23.25" customHeight="1">
      <c r="A150" s="1495" t="s">
        <v>270</v>
      </c>
      <c r="B150" s="1496"/>
      <c r="C150" s="1497"/>
      <c r="D150" s="279" t="s">
        <v>194</v>
      </c>
      <c r="E150" s="276"/>
      <c r="F150" s="276"/>
      <c r="G150" s="288">
        <f>G36+G50</f>
        <v>1509</v>
      </c>
      <c r="H150" s="288">
        <f>G150+'[3]17'!H150</f>
        <v>28736.479999999981</v>
      </c>
      <c r="I150" s="403"/>
      <c r="J150" s="325">
        <f>H150/DAY(B2)</f>
        <v>1596.4711111111101</v>
      </c>
    </row>
    <row r="151" spans="1:12" ht="23.25" customHeight="1">
      <c r="A151" s="1495" t="s">
        <v>271</v>
      </c>
      <c r="B151" s="1496"/>
      <c r="C151" s="1497"/>
      <c r="D151" s="279" t="s">
        <v>24</v>
      </c>
      <c r="E151" s="276"/>
      <c r="F151" s="276"/>
      <c r="G151" s="291">
        <f>G150/G7</f>
        <v>7.8069222411919909E-2</v>
      </c>
      <c r="H151" s="288">
        <f>G151+'[3]17'!H151</f>
        <v>1.4610844305872011</v>
      </c>
      <c r="I151" s="337"/>
      <c r="J151" s="325">
        <f>H151/DAY(B2)</f>
        <v>8.1171357254844506E-2</v>
      </c>
    </row>
    <row r="152" spans="1:12" ht="23.25" customHeight="1">
      <c r="A152" s="1495" t="s">
        <v>272</v>
      </c>
      <c r="B152" s="1496"/>
      <c r="C152" s="1497"/>
      <c r="D152" s="279" t="s">
        <v>194</v>
      </c>
      <c r="E152" s="276"/>
      <c r="F152" s="276"/>
      <c r="G152" s="288">
        <f>G37+G51</f>
        <v>1428.8600000000001</v>
      </c>
      <c r="H152" s="288">
        <f>G152+'[3]17'!H152</f>
        <v>25470.411899999999</v>
      </c>
      <c r="I152" s="337"/>
      <c r="J152" s="325">
        <f>H152/DAY(B2)</f>
        <v>1415.0228833333333</v>
      </c>
    </row>
    <row r="153" spans="1:12" ht="23.25" customHeight="1">
      <c r="A153" s="1495" t="s">
        <v>273</v>
      </c>
      <c r="B153" s="1496"/>
      <c r="C153" s="1497"/>
      <c r="D153" s="279" t="s">
        <v>24</v>
      </c>
      <c r="E153" s="276"/>
      <c r="F153" s="276"/>
      <c r="G153" s="291">
        <f>G152/G7</f>
        <v>7.3923120699467132E-2</v>
      </c>
      <c r="H153" s="288">
        <f>G153+'[3]17'!H153</f>
        <v>1.3025204059504456</v>
      </c>
      <c r="I153" s="337"/>
      <c r="J153" s="325">
        <f>H153/DAY(B2)</f>
        <v>7.2362244775024759E-2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967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323">
        <f>'[3]17'!F160</f>
        <v>22895.279999999999</v>
      </c>
      <c r="F160" s="795">
        <v>22967.81</v>
      </c>
      <c r="G160" s="613">
        <f t="shared" ref="G160:G165" si="17">F160-E160</f>
        <v>72.530000000002474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323">
        <f>'[3]17'!F161</f>
        <v>15212.57</v>
      </c>
      <c r="F161" s="795">
        <v>15313.77</v>
      </c>
      <c r="G161" s="613">
        <f t="shared" si="17"/>
        <v>101.20000000000073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323">
        <f>'[3]17'!F162</f>
        <v>34232</v>
      </c>
      <c r="F162" s="796">
        <v>34458</v>
      </c>
      <c r="G162" s="613">
        <f t="shared" si="17"/>
        <v>226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323">
        <f>'[3]17'!F163</f>
        <v>3337</v>
      </c>
      <c r="F163" s="795">
        <v>3351</v>
      </c>
      <c r="G163" s="613">
        <f t="shared" si="17"/>
        <v>14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v>20419</v>
      </c>
      <c r="G164" s="613">
        <f t="shared" si="17"/>
        <v>-0.18000000000029104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E171" si="18">E63</f>
        <v>634.64</v>
      </c>
      <c r="F165" s="654">
        <v>14160</v>
      </c>
      <c r="G165" s="613">
        <f t="shared" si="17"/>
        <v>13525.36</v>
      </c>
      <c r="H165" s="554"/>
      <c r="I165" s="552"/>
      <c r="J165" s="554"/>
    </row>
    <row r="166" spans="1:10" s="557" customFormat="1" ht="21.75" customHeight="1">
      <c r="A166" s="1404" t="s">
        <v>107</v>
      </c>
      <c r="B166" s="1404"/>
      <c r="C166" s="1404"/>
      <c r="D166" s="663" t="s">
        <v>198</v>
      </c>
      <c r="E166" s="654">
        <f t="shared" si="18"/>
        <v>82030</v>
      </c>
      <c r="F166" s="654">
        <v>50768</v>
      </c>
      <c r="G166" s="613">
        <f>F64-E64</f>
        <v>353</v>
      </c>
      <c r="H166" s="554"/>
      <c r="I166" s="552"/>
      <c r="J166" s="554"/>
    </row>
    <row r="167" spans="1:10" s="557" customFormat="1" ht="21.75" customHeight="1">
      <c r="A167" s="1404" t="s">
        <v>108</v>
      </c>
      <c r="B167" s="1404"/>
      <c r="C167" s="1404"/>
      <c r="D167" s="663" t="s">
        <v>198</v>
      </c>
      <c r="E167" s="654">
        <f t="shared" si="18"/>
        <v>91646</v>
      </c>
      <c r="F167" s="654">
        <v>48316</v>
      </c>
      <c r="G167" s="613">
        <f t="shared" ref="G167:G171" si="19">F65-E65</f>
        <v>372</v>
      </c>
      <c r="H167" s="552"/>
      <c r="I167" s="552"/>
      <c r="J167" s="554"/>
    </row>
    <row r="168" spans="1:10" s="557" customFormat="1" ht="21.75" customHeight="1">
      <c r="A168" s="1404" t="s">
        <v>109</v>
      </c>
      <c r="B168" s="1404"/>
      <c r="C168" s="1404"/>
      <c r="D168" s="663" t="s">
        <v>198</v>
      </c>
      <c r="E168" s="654">
        <f t="shared" si="18"/>
        <v>84787.97</v>
      </c>
      <c r="F168" s="654">
        <v>43521</v>
      </c>
      <c r="G168" s="613">
        <f t="shared" si="19"/>
        <v>400.94000000000233</v>
      </c>
      <c r="H168" s="552"/>
      <c r="I168" s="552"/>
      <c r="J168" s="554"/>
    </row>
    <row r="169" spans="1:10" s="557" customFormat="1" ht="21.75" customHeight="1">
      <c r="A169" s="1404" t="s">
        <v>110</v>
      </c>
      <c r="B169" s="1404"/>
      <c r="C169" s="1404"/>
      <c r="D169" s="663" t="s">
        <v>198</v>
      </c>
      <c r="E169" s="654">
        <f t="shared" si="18"/>
        <v>136924</v>
      </c>
      <c r="F169" s="654">
        <v>81491</v>
      </c>
      <c r="G169" s="613">
        <f t="shared" si="19"/>
        <v>641.64999999999418</v>
      </c>
      <c r="H169" s="553"/>
      <c r="I169" s="552"/>
      <c r="J169" s="554"/>
    </row>
    <row r="170" spans="1:10" s="557" customFormat="1" ht="23.25" customHeight="1">
      <c r="A170" s="1404" t="s">
        <v>111</v>
      </c>
      <c r="B170" s="1404"/>
      <c r="C170" s="1404"/>
      <c r="D170" s="663" t="s">
        <v>198</v>
      </c>
      <c r="E170" s="654">
        <f t="shared" si="18"/>
        <v>38784</v>
      </c>
      <c r="F170" s="654">
        <v>8925</v>
      </c>
      <c r="G170" s="613">
        <f t="shared" si="19"/>
        <v>334.90000000000146</v>
      </c>
      <c r="H170" s="553"/>
      <c r="I170" s="552"/>
      <c r="J170" s="554"/>
    </row>
    <row r="171" spans="1:10" s="557" customFormat="1" ht="24" customHeight="1">
      <c r="A171" s="1404" t="s">
        <v>112</v>
      </c>
      <c r="B171" s="1404"/>
      <c r="C171" s="1404"/>
      <c r="D171" s="663" t="s">
        <v>198</v>
      </c>
      <c r="E171" s="654">
        <f t="shared" si="18"/>
        <v>33804.69</v>
      </c>
      <c r="F171" s="654">
        <v>21492</v>
      </c>
      <c r="G171" s="613">
        <f t="shared" si="19"/>
        <v>282.30999999999767</v>
      </c>
      <c r="H171" s="553"/>
      <c r="I171" s="552"/>
      <c r="J171" s="554"/>
    </row>
    <row r="172" spans="1:10" s="558" customFormat="1">
      <c r="A172" s="546"/>
      <c r="B172" s="546"/>
      <c r="C172" s="551"/>
      <c r="D172" s="551"/>
      <c r="E172" s="546"/>
      <c r="F172" s="575"/>
      <c r="G172" s="545">
        <f>SUM(G160:G171)</f>
        <v>16323.71</v>
      </c>
      <c r="H172" s="553"/>
      <c r="I172" s="546"/>
      <c r="J172" s="546"/>
    </row>
    <row r="173" spans="1:10" s="558" customFormat="1">
      <c r="A173" s="546"/>
      <c r="B173" s="546"/>
      <c r="C173" s="551"/>
      <c r="D173" s="551"/>
      <c r="E173" s="546"/>
      <c r="F173" s="551"/>
      <c r="G173" s="546"/>
      <c r="H173" s="559"/>
      <c r="I173" s="546"/>
      <c r="J173" s="546"/>
    </row>
    <row r="174" spans="1:10" s="558" customFormat="1">
      <c r="A174" s="546"/>
      <c r="B174" s="546"/>
      <c r="C174" s="551"/>
      <c r="D174" s="551"/>
      <c r="E174" s="546"/>
      <c r="F174" s="575"/>
      <c r="G174" s="545"/>
      <c r="H174" s="553"/>
      <c r="I174" s="546"/>
      <c r="J174" s="546"/>
    </row>
    <row r="175" spans="1:10" s="558" customFormat="1">
      <c r="A175" s="546"/>
      <c r="B175" s="546"/>
      <c r="C175" s="546"/>
      <c r="D175" s="546"/>
      <c r="E175" s="546"/>
      <c r="F175" s="551"/>
      <c r="G175" s="546"/>
      <c r="H175" s="559"/>
      <c r="I175" s="546"/>
      <c r="J175" s="546"/>
    </row>
    <row r="176" spans="1:10" s="558" customFormat="1">
      <c r="A176" s="546"/>
      <c r="B176" s="546"/>
      <c r="C176" s="551"/>
      <c r="D176" s="551"/>
      <c r="E176" s="546"/>
      <c r="F176" s="551"/>
      <c r="G176" s="545"/>
      <c r="H176" s="553"/>
      <c r="I176" s="546"/>
      <c r="J176" s="546"/>
    </row>
    <row r="177" spans="8:10" s="557" customFormat="1" ht="18.75" customHeight="1">
      <c r="H177" s="584"/>
      <c r="J177" s="585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" zoomScale="55" zoomScaleNormal="40" zoomScaleSheetLayoutView="55" zoomScalePageLayoutView="60" workbookViewId="0">
      <selection activeCell="A2" sqref="A1:XFD1048576"/>
    </sheetView>
  </sheetViews>
  <sheetFormatPr defaultColWidth="22.33203125" defaultRowHeight="29.25"/>
  <cols>
    <col min="1" max="1" width="48.44140625" style="594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321</v>
      </c>
      <c r="B2" s="1195">
        <v>44154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30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'[3]18'!F7</f>
        <v>2438380</v>
      </c>
      <c r="F7" s="595">
        <v>2457718</v>
      </c>
      <c r="G7" s="613">
        <f>F7-E7</f>
        <v>19338</v>
      </c>
      <c r="H7" s="600">
        <f>G7+'[3]18'!H7</f>
        <v>352693</v>
      </c>
      <c r="I7" s="614">
        <f>'[3]1'!I7</f>
        <v>12000</v>
      </c>
      <c r="J7" s="693">
        <f>H7/DAY(B2)</f>
        <v>18562.78947368421</v>
      </c>
      <c r="K7" s="690"/>
      <c r="L7" s="421"/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'[3]18'!F8</f>
        <v>2450071</v>
      </c>
      <c r="F8" s="615">
        <v>2469633</v>
      </c>
      <c r="G8" s="616">
        <f>F8-E8</f>
        <v>19562</v>
      </c>
      <c r="H8" s="600">
        <f>G8+'[3]18'!H8</f>
        <v>354192</v>
      </c>
      <c r="I8" s="617">
        <f>'[3]1'!I8</f>
        <v>12000</v>
      </c>
      <c r="J8" s="693">
        <f>H8/DAY(B2)</f>
        <v>18641.684210526317</v>
      </c>
      <c r="K8" s="690"/>
      <c r="L8" s="479"/>
      <c r="M8" s="542"/>
      <c r="N8" s="426">
        <f>F8-'[3]1'!E8</f>
        <v>354192</v>
      </c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'[3]18'!F9</f>
        <v>2220584</v>
      </c>
      <c r="F9" s="618">
        <v>2223570</v>
      </c>
      <c r="G9" s="613">
        <f t="shared" ref="G9:G12" si="0">F9-E9</f>
        <v>2986</v>
      </c>
      <c r="H9" s="600">
        <f>G9+'[3]18'!H9</f>
        <v>206564.69999999995</v>
      </c>
      <c r="I9" s="619">
        <f>I8-J8</f>
        <v>-6641.6842105263167</v>
      </c>
      <c r="J9" s="693">
        <f>H9/DAY(B2)</f>
        <v>10871.826315789471</v>
      </c>
      <c r="K9" s="527"/>
      <c r="L9" s="421"/>
      <c r="N9" s="426">
        <f>N8/19</f>
        <v>18641.684210526317</v>
      </c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'[3]18'!F10</f>
        <v>117850.8</v>
      </c>
      <c r="F10" s="618">
        <v>133488</v>
      </c>
      <c r="G10" s="613">
        <f t="shared" si="0"/>
        <v>15637.199999999997</v>
      </c>
      <c r="H10" s="600">
        <f>G10+'[3]18'!H10</f>
        <v>133488.21000000002</v>
      </c>
      <c r="I10" s="620"/>
      <c r="J10" s="693">
        <f>H10/DAY(B2)</f>
        <v>7025.6952631578961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'[3]18'!F11</f>
        <v>35390</v>
      </c>
      <c r="F11" s="595">
        <v>35390</v>
      </c>
      <c r="G11" s="613">
        <f t="shared" si="0"/>
        <v>0</v>
      </c>
      <c r="H11" s="600">
        <f>G11+'[3]18'!H11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'[3]18'!F12</f>
        <v>37630</v>
      </c>
      <c r="F12" s="618">
        <v>37630</v>
      </c>
      <c r="G12" s="613">
        <f t="shared" si="0"/>
        <v>0</v>
      </c>
      <c r="H12" s="600">
        <f>G12+'[3]18'!H12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18623.199999999997</v>
      </c>
      <c r="H13" s="600">
        <f>G13+'[3]18'!H13</f>
        <v>285789.11</v>
      </c>
      <c r="I13" s="622">
        <f>G7-G13</f>
        <v>714.80000000000291</v>
      </c>
      <c r="J13" s="693">
        <f>H13/DAY(B2)</f>
        <v>15041.532105263157</v>
      </c>
      <c r="K13" s="527"/>
      <c r="L13" s="421"/>
      <c r="N13" s="426"/>
      <c r="O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'[3]18'!F15</f>
        <v>1539529.88</v>
      </c>
      <c r="F15" s="624">
        <v>1540093</v>
      </c>
      <c r="G15" s="613">
        <f>(F15-E15)</f>
        <v>563.12000000011176</v>
      </c>
      <c r="H15" s="600">
        <f>G15+'[3]18'!H15</f>
        <v>9977.8060000000987</v>
      </c>
      <c r="I15" s="614">
        <v>800</v>
      </c>
      <c r="J15" s="693">
        <f>H15/DAY(B2)</f>
        <v>525.14768421053157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274.85231578946843</v>
      </c>
      <c r="J16" s="694"/>
      <c r="K16" s="527"/>
      <c r="L16" s="421"/>
      <c r="N16" s="426"/>
      <c r="O16" s="426"/>
    </row>
    <row r="17" spans="1:1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32" t="s">
        <v>154</v>
      </c>
      <c r="B18" s="1433"/>
      <c r="C18" s="1434"/>
      <c r="D18" s="663" t="s">
        <v>155</v>
      </c>
      <c r="E18" s="624">
        <f>'[3]18'!F18</f>
        <v>8</v>
      </c>
      <c r="F18" s="624">
        <v>8</v>
      </c>
      <c r="G18" s="621">
        <f>F18*10</f>
        <v>80</v>
      </c>
      <c r="H18" s="600">
        <f>G18+'[3]18'!H18</f>
        <v>1940</v>
      </c>
      <c r="I18" s="614">
        <f>'[3]1'!I18</f>
        <v>65</v>
      </c>
      <c r="J18" s="693">
        <f>H18/DAY(B2)</f>
        <v>102.10526315789474</v>
      </c>
      <c r="K18" s="527"/>
      <c r="L18" s="421"/>
      <c r="N18" s="426"/>
      <c r="O18" s="426"/>
    </row>
    <row r="19" spans="1:15" ht="27.75">
      <c r="A19" s="1432" t="s">
        <v>71</v>
      </c>
      <c r="B19" s="1433"/>
      <c r="C19" s="1434"/>
      <c r="D19" s="663" t="s">
        <v>155</v>
      </c>
      <c r="E19" s="624">
        <f>'[3]18'!F19</f>
        <v>129128</v>
      </c>
      <c r="F19" s="624">
        <v>129185</v>
      </c>
      <c r="G19" s="613">
        <f t="shared" ref="G19" si="1">F19-E19</f>
        <v>57</v>
      </c>
      <c r="H19" s="600">
        <f>G19+'[3]18'!H19</f>
        <v>990</v>
      </c>
      <c r="I19" s="629"/>
      <c r="J19" s="693">
        <f>H19/DAY(B2)</f>
        <v>52.10526315789474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137</v>
      </c>
      <c r="H20" s="600">
        <f>G20+'[3]18'!H20</f>
        <v>2930</v>
      </c>
      <c r="I20" s="632">
        <f>I18-J20</f>
        <v>-89.21052631578948</v>
      </c>
      <c r="J20" s="693">
        <f>H20/DAY(B2)</f>
        <v>154.21052631578948</v>
      </c>
      <c r="K20" s="527"/>
      <c r="L20" s="421"/>
      <c r="N20" s="426"/>
      <c r="O20" s="426"/>
    </row>
    <row r="21" spans="1:1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'[3]18'!F22</f>
        <v>2250</v>
      </c>
      <c r="F22" s="624">
        <v>2250</v>
      </c>
      <c r="G22" s="621">
        <f t="shared" ref="G22" si="2">(F22-E22)</f>
        <v>0</v>
      </c>
      <c r="H22" s="600"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'[3]18'!F23</f>
        <v>1700</v>
      </c>
      <c r="F23" s="624">
        <v>1700</v>
      </c>
      <c r="G23" s="621">
        <v>0</v>
      </c>
      <c r="H23" s="600">
        <f>G23+'[3]18'!H23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'[3]18'!F24</f>
        <v>3310</v>
      </c>
      <c r="F24" s="633">
        <v>3310</v>
      </c>
      <c r="G24" s="621">
        <v>0</v>
      </c>
      <c r="H24" s="600">
        <f>G24+'[3]18'!H24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19562</v>
      </c>
      <c r="F27" s="641">
        <v>9.5</v>
      </c>
      <c r="G27" s="642">
        <f>E27*F27</f>
        <v>185839</v>
      </c>
      <c r="H27" s="600">
        <f>G27+'[3]18'!H27</f>
        <v>3364824</v>
      </c>
      <c r="I27" s="643"/>
      <c r="J27" s="693">
        <f>H27/DAY(B2)</f>
        <v>177096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563.12000000011176</v>
      </c>
      <c r="F28" s="641">
        <v>36.5</v>
      </c>
      <c r="G28" s="642">
        <f>E28*F28</f>
        <v>20553.880000004079</v>
      </c>
      <c r="H28" s="600">
        <f>G28+'[3]18'!H28</f>
        <v>364189.9190000036</v>
      </c>
      <c r="I28" s="645"/>
      <c r="J28" s="693">
        <f>H28/DAY(B2)</f>
        <v>19167.890473684402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G29+'[3]18'!H29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57</v>
      </c>
      <c r="F30" s="641">
        <v>145</v>
      </c>
      <c r="G30" s="642">
        <f>E30*F30</f>
        <v>8265</v>
      </c>
      <c r="H30" s="600">
        <f>G30+'[3]18'!H30</f>
        <v>143550</v>
      </c>
      <c r="I30" s="645"/>
      <c r="J30" s="693">
        <f>H30/DAY(B2)</f>
        <v>7555.2631578947367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G31+'[3]18'!H31</f>
        <v>155200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221057.88000000408</v>
      </c>
      <c r="H32" s="600">
        <f>G32+'[3]18'!H32</f>
        <v>4027763.919000004</v>
      </c>
      <c r="I32" s="649"/>
      <c r="J32" s="693">
        <f>H32/DAY(B2)</f>
        <v>211987.57468421073</v>
      </c>
      <c r="K32" s="417"/>
      <c r="L32" s="547"/>
      <c r="N32" s="556"/>
      <c r="O32" s="426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629027</v>
      </c>
      <c r="F35" s="650">
        <v>629027</v>
      </c>
      <c r="G35" s="613">
        <f t="shared" ref="G35:G46" si="3">F35-E35</f>
        <v>0</v>
      </c>
      <c r="H35" s="600">
        <f>G35+'[3]18'!H35</f>
        <v>25857.530000000028</v>
      </c>
      <c r="I35" s="595"/>
      <c r="J35" s="693">
        <f>H35/DAY(B2)</f>
        <v>1360.9226315789488</v>
      </c>
      <c r="K35" s="527"/>
      <c r="L35" s="421"/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'[3]18'!F36</f>
        <v>221719</v>
      </c>
      <c r="F36" s="650">
        <v>222298</v>
      </c>
      <c r="G36" s="613">
        <f t="shared" si="3"/>
        <v>579</v>
      </c>
      <c r="H36" s="600">
        <f>G36+'[3]18'!H36</f>
        <v>10938.049999999988</v>
      </c>
      <c r="I36" s="595"/>
      <c r="J36" s="693">
        <f>H36/DAY(B2)</f>
        <v>575.6868421052626</v>
      </c>
      <c r="K36" s="527"/>
      <c r="L36" s="421"/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'[3]18'!F37</f>
        <v>415066</v>
      </c>
      <c r="F37" s="650">
        <v>415066</v>
      </c>
      <c r="G37" s="613">
        <f t="shared" si="3"/>
        <v>0</v>
      </c>
      <c r="H37" s="600">
        <f>G37+'[3]18'!H37</f>
        <v>15221.809999999998</v>
      </c>
      <c r="I37" s="595"/>
      <c r="J37" s="693">
        <f>H37/DAY(B2)</f>
        <v>801.14789473684198</v>
      </c>
      <c r="K37" s="527"/>
      <c r="L37" s="421"/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'[3]18'!F38</f>
        <v>150714</v>
      </c>
      <c r="F38" s="609">
        <v>150714</v>
      </c>
      <c r="G38" s="613">
        <f t="shared" si="3"/>
        <v>0</v>
      </c>
      <c r="H38" s="600">
        <f>G38+'[3]18'!H38</f>
        <v>0</v>
      </c>
      <c r="I38" s="595"/>
      <c r="J38" s="693">
        <f>H38/DAY(B2)</f>
        <v>0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'[3]18'!F39</f>
        <v>912480</v>
      </c>
      <c r="F39" s="650">
        <v>912480</v>
      </c>
      <c r="G39" s="613">
        <f t="shared" si="3"/>
        <v>0</v>
      </c>
      <c r="H39" s="600">
        <f>G39+'[3]18'!H39</f>
        <v>40355.290000000037</v>
      </c>
      <c r="I39" s="595"/>
      <c r="J39" s="693">
        <f>H39/DAY(B2)</f>
        <v>2123.9626315789492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'[3]18'!F40</f>
        <v>0</v>
      </c>
      <c r="F40" s="650">
        <v>0</v>
      </c>
      <c r="G40" s="613">
        <f t="shared" si="3"/>
        <v>0</v>
      </c>
      <c r="H40" s="600">
        <f>G40+'[3]18'!H40</f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'[3]18'!F41</f>
        <v>300127.95</v>
      </c>
      <c r="F41" s="650">
        <v>300127.95</v>
      </c>
      <c r="G41" s="613">
        <f t="shared" si="3"/>
        <v>0</v>
      </c>
      <c r="H41" s="600">
        <f>G41+'[3]18'!H41</f>
        <v>-1.9999999960418791E-2</v>
      </c>
      <c r="I41" s="595"/>
      <c r="J41" s="693">
        <f>H41/DAY(B2)</f>
        <v>-1.0526315768641468E-3</v>
      </c>
      <c r="K41" s="527"/>
      <c r="L41" s="421"/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'[3]18'!F42</f>
        <v>396197.47</v>
      </c>
      <c r="F42" s="650">
        <v>396197.95</v>
      </c>
      <c r="G42" s="613">
        <f>F42-E42</f>
        <v>0.48000000003958121</v>
      </c>
      <c r="H42" s="600">
        <f>G42+'[3]18'!H42</f>
        <v>0.48000000003958121</v>
      </c>
      <c r="I42" s="595"/>
      <c r="J42" s="693">
        <f>H42/DAY(B2)</f>
        <v>2.5263157896820064E-2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'[3]18'!F43</f>
        <v>600993</v>
      </c>
      <c r="F43" s="650">
        <v>603535.94999999995</v>
      </c>
      <c r="G43" s="613">
        <f t="shared" si="3"/>
        <v>2542.9499999999534</v>
      </c>
      <c r="H43" s="600">
        <f>G43+'[3]18'!H43</f>
        <v>45211.880000000005</v>
      </c>
      <c r="I43" s="595"/>
      <c r="J43" s="693">
        <f>H43/DAY(B2)</f>
        <v>2379.5726315789475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'[3]18'!F44</f>
        <v>0</v>
      </c>
      <c r="F44" s="650">
        <v>0</v>
      </c>
      <c r="G44" s="613">
        <f t="shared" si="3"/>
        <v>0</v>
      </c>
      <c r="H44" s="600">
        <f>G44+'[3]18'!H44</f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'[3]18'!F45</f>
        <v>614</v>
      </c>
      <c r="F45" s="650">
        <v>614</v>
      </c>
      <c r="G45" s="613">
        <f t="shared" si="3"/>
        <v>0</v>
      </c>
      <c r="H45" s="600">
        <f>G45+'[3]18'!H45</f>
        <v>-0.48000000000001819</v>
      </c>
      <c r="I45" s="595"/>
      <c r="J45" s="693">
        <f>H45/DAY(B2)</f>
        <v>-2.5263157894737799E-2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'[3]18'!F46</f>
        <v>187.44</v>
      </c>
      <c r="F46" s="650">
        <v>187.44</v>
      </c>
      <c r="G46" s="613">
        <f t="shared" si="3"/>
        <v>0</v>
      </c>
      <c r="H46" s="600">
        <f>G46+'[3]18'!H46</f>
        <v>-5.0000000000011369E-2</v>
      </c>
      <c r="I46" s="595"/>
      <c r="J46" s="693">
        <f>H46/DAY(B2)</f>
        <v>-2.6315789473690195E-3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>
        <f>'[3]18'!F47</f>
        <v>0</v>
      </c>
      <c r="F47" s="651">
        <v>0</v>
      </c>
      <c r="G47" s="621">
        <f>G35+G36+G37+G38+G39+G40+G41+G42+G43+G44+G45+G46</f>
        <v>3122.429999999993</v>
      </c>
      <c r="H47" s="600">
        <f>G47+'[3]18'!H47</f>
        <v>137584.49000000017</v>
      </c>
      <c r="I47" s="595"/>
      <c r="J47" s="693">
        <f>H47/DAY(B2)</f>
        <v>7241.2889473684299</v>
      </c>
      <c r="K47" s="527"/>
      <c r="L47" s="421"/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'[3]18'!F49</f>
        <v>31113.84</v>
      </c>
      <c r="F49" s="650">
        <v>33609</v>
      </c>
      <c r="G49" s="613">
        <f t="shared" ref="G49:G58" si="4">F49-E49</f>
        <v>2495.16</v>
      </c>
      <c r="H49" s="600">
        <f>G49+'[3]18'!H49</f>
        <v>21879.712</v>
      </c>
      <c r="I49" s="595"/>
      <c r="J49" s="693">
        <f>H49/DAY(B2)</f>
        <v>1151.5637894736842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'[3]18'!F50</f>
        <v>282184</v>
      </c>
      <c r="F50" s="650">
        <v>283278</v>
      </c>
      <c r="G50" s="613">
        <f t="shared" si="4"/>
        <v>1094</v>
      </c>
      <c r="H50" s="600">
        <f>G50+'[3]18'!H50</f>
        <v>17219.059999999998</v>
      </c>
      <c r="I50" s="595"/>
      <c r="J50" s="693">
        <f>H50/DAY(B2)</f>
        <v>906.26631578947354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'[3]18'!F51</f>
        <v>2273.5500000000002</v>
      </c>
      <c r="F51" s="650">
        <v>3685</v>
      </c>
      <c r="G51" s="613">
        <f t="shared" si="4"/>
        <v>1411.4499999999998</v>
      </c>
      <c r="H51" s="600">
        <f>G51+'[3]18'!H51</f>
        <v>11660.051900000002</v>
      </c>
      <c r="I51" s="595"/>
      <c r="J51" s="693">
        <f>H51/DAY(B2)</f>
        <v>613.68694210526326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'[3]18'!F52</f>
        <v>349944</v>
      </c>
      <c r="F52" s="650">
        <v>351684</v>
      </c>
      <c r="G52" s="613">
        <f t="shared" si="4"/>
        <v>1740</v>
      </c>
      <c r="H52" s="600">
        <f>G52+'[3]18'!H52</f>
        <v>29394.580000000016</v>
      </c>
      <c r="I52" s="595"/>
      <c r="J52" s="693">
        <f>H52/DAY(B2)</f>
        <v>1547.0831578947377</v>
      </c>
      <c r="K52" s="527"/>
      <c r="L52" s="421"/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v>0</v>
      </c>
      <c r="F53" s="650">
        <v>174.94</v>
      </c>
      <c r="G53" s="613">
        <f t="shared" si="4"/>
        <v>174.94</v>
      </c>
      <c r="H53" s="600">
        <f>G53+'[3]18'!H53</f>
        <v>11055.94</v>
      </c>
      <c r="I53" s="595"/>
      <c r="J53" s="693">
        <f>H53/DAY(B2)</f>
        <v>581.89157894736843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'[3]18'!F54</f>
        <v>2624.61</v>
      </c>
      <c r="F54" s="650">
        <v>2633</v>
      </c>
      <c r="G54" s="613">
        <f t="shared" si="4"/>
        <v>8.3899999999998727</v>
      </c>
      <c r="H54" s="600">
        <f>G54+'[3]18'!H54</f>
        <v>1080.4393</v>
      </c>
      <c r="I54" s="595"/>
      <c r="J54" s="693">
        <f>H54/DAY(B2)</f>
        <v>56.865226315789471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'[3]18'!F55</f>
        <v>158492.73000000001</v>
      </c>
      <c r="F55" s="650">
        <v>158492.73000000001</v>
      </c>
      <c r="G55" s="613">
        <f t="shared" si="4"/>
        <v>0</v>
      </c>
      <c r="H55" s="600">
        <f>G55+'[3]18'!H55</f>
        <v>-0.26999999998952262</v>
      </c>
      <c r="I55" s="595"/>
      <c r="J55" s="693">
        <f>H55/DAY(B2)</f>
        <v>-1.4210526315238033E-2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'[3]18'!F56</f>
        <v>382554</v>
      </c>
      <c r="F56" s="650">
        <v>387429</v>
      </c>
      <c r="G56" s="613">
        <f t="shared" si="4"/>
        <v>4875</v>
      </c>
      <c r="H56" s="600">
        <f>G56+'[3]18'!H56</f>
        <v>75384.520000000019</v>
      </c>
      <c r="I56" s="595"/>
      <c r="J56" s="693">
        <f>H56/DAY(B2)</f>
        <v>3967.6063157894746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'[3]18'!F57</f>
        <v>0</v>
      </c>
      <c r="F57" s="650">
        <v>0</v>
      </c>
      <c r="G57" s="613">
        <f t="shared" si="4"/>
        <v>0</v>
      </c>
      <c r="H57" s="600">
        <f>G57+'[3]18'!H57</f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'[3]18'!F58</f>
        <v>18920</v>
      </c>
      <c r="F58" s="650">
        <v>18987</v>
      </c>
      <c r="G58" s="613">
        <f t="shared" si="4"/>
        <v>67</v>
      </c>
      <c r="H58" s="600">
        <f>G58+'[3]18'!H58</f>
        <v>1217.7039999999979</v>
      </c>
      <c r="I58" s="595"/>
      <c r="J58" s="693">
        <f>H58/DAY(B2)</f>
        <v>64.089684210526201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11865.939999999999</v>
      </c>
      <c r="H59" s="600">
        <f>G59+'[3]18'!H59</f>
        <v>168891.73720000003</v>
      </c>
      <c r="I59" s="595">
        <f>G7-G60</f>
        <v>4349.6300000000083</v>
      </c>
      <c r="J59" s="693">
        <f>H59/DAY(B2)</f>
        <v>8889.0388000000021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14988.369999999992</v>
      </c>
      <c r="H60" s="600">
        <f>G60+'[3]18'!H60</f>
        <v>320862.38790000015</v>
      </c>
      <c r="I60" s="595">
        <f>G13-G60</f>
        <v>3634.8300000000054</v>
      </c>
      <c r="J60" s="693">
        <f>H60/DAY(B2)</f>
        <v>16887.494100000007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'[3]18'!F62</f>
        <v>20419.18</v>
      </c>
      <c r="F62" s="654">
        <v>20419.2</v>
      </c>
      <c r="G62" s="613">
        <f t="shared" ref="G62:G69" si="5">F62-E62</f>
        <v>2.0000000000436557E-2</v>
      </c>
      <c r="H62" s="600">
        <f>G62+'[3]18'!H62</f>
        <v>-0.17799999999624561</v>
      </c>
      <c r="I62" s="655"/>
      <c r="J62" s="693">
        <f>H62/DAY(B2)</f>
        <v>-9.3684210524339791E-3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'[3]18'!F63</f>
        <v>652.70000000000005</v>
      </c>
      <c r="F63" s="654">
        <v>670</v>
      </c>
      <c r="G63" s="613">
        <f t="shared" si="5"/>
        <v>17.299999999999955</v>
      </c>
      <c r="H63" s="600">
        <f>G63+'[3]18'!H63</f>
        <v>371.54</v>
      </c>
      <c r="I63" s="655"/>
      <c r="J63" s="693">
        <f>H63/DAY(B2)</f>
        <v>19.554736842105264</v>
      </c>
      <c r="K63" s="527"/>
      <c r="L63" s="421"/>
      <c r="N63" s="426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24">
        <f>'[3]18'!F64</f>
        <v>82383</v>
      </c>
      <c r="F64" s="624">
        <v>82750</v>
      </c>
      <c r="G64" s="613">
        <f t="shared" si="5"/>
        <v>367</v>
      </c>
      <c r="H64" s="600">
        <f>G64+'[3]18'!H64</f>
        <v>6686.9130000000005</v>
      </c>
      <c r="I64" s="620"/>
      <c r="J64" s="693">
        <f>H64/DAY(B2)</f>
        <v>351.94278947368423</v>
      </c>
      <c r="K64" s="527"/>
      <c r="L64" s="421"/>
      <c r="N64" s="426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624">
        <f>'[3]18'!F65</f>
        <v>92018</v>
      </c>
      <c r="F65" s="624">
        <v>92395</v>
      </c>
      <c r="G65" s="613">
        <f t="shared" si="5"/>
        <v>377</v>
      </c>
      <c r="H65" s="600">
        <f>G65+'[3]18'!H65</f>
        <v>7235.7369999999937</v>
      </c>
      <c r="I65" s="629"/>
      <c r="J65" s="693">
        <f>H65/DAY(B2)</f>
        <v>380.82826315789441</v>
      </c>
      <c r="K65" s="527"/>
      <c r="L65" s="421"/>
      <c r="N65" s="426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24">
        <f>'[3]18'!F66</f>
        <v>85188.91</v>
      </c>
      <c r="F66" s="624">
        <v>85576</v>
      </c>
      <c r="G66" s="613">
        <f t="shared" si="5"/>
        <v>387.08999999999651</v>
      </c>
      <c r="H66" s="600">
        <f>G66+'[3]18'!H66</f>
        <v>7388.0420000000013</v>
      </c>
      <c r="I66" s="620"/>
      <c r="J66" s="693">
        <f>H66/DAY(B2)</f>
        <v>388.84431578947374</v>
      </c>
      <c r="K66" s="527"/>
      <c r="L66" s="421"/>
      <c r="N66" s="426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24">
        <f>'[3]18'!F67</f>
        <v>137565.65</v>
      </c>
      <c r="F67" s="624">
        <v>138255</v>
      </c>
      <c r="G67" s="613">
        <f t="shared" si="5"/>
        <v>689.35000000000582</v>
      </c>
      <c r="H67" s="600">
        <f>G67+'[3]18'!H67</f>
        <v>12198.5</v>
      </c>
      <c r="I67" s="629"/>
      <c r="J67" s="693">
        <f>H67/DAY(B2)</f>
        <v>642.02631578947364</v>
      </c>
      <c r="K67" s="528"/>
      <c r="L67" s="421"/>
      <c r="N67" s="426"/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624">
        <f>'[3]18'!F68</f>
        <v>39118.9</v>
      </c>
      <c r="F68" s="624">
        <v>39415.54</v>
      </c>
      <c r="G68" s="613">
        <f t="shared" si="5"/>
        <v>296.63999999999942</v>
      </c>
      <c r="H68" s="600">
        <f>G68+'[3]18'!H68</f>
        <v>6015.6710000000021</v>
      </c>
      <c r="I68" s="656"/>
      <c r="J68" s="693">
        <f>H68/DAY(B2)</f>
        <v>316.61426315789487</v>
      </c>
      <c r="K68" s="529"/>
      <c r="L68" s="421"/>
      <c r="N68" s="426"/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624">
        <f>'[3]18'!F69</f>
        <v>34087</v>
      </c>
      <c r="F69" s="624">
        <v>34377</v>
      </c>
      <c r="G69" s="613">
        <f t="shared" si="5"/>
        <v>290</v>
      </c>
      <c r="H69" s="600">
        <f>G69+'[3]18'!H69</f>
        <v>5124.6349999999984</v>
      </c>
      <c r="I69" s="656"/>
      <c r="J69" s="693">
        <f>H69/DAY(B2)</f>
        <v>269.71763157894731</v>
      </c>
      <c r="K69" s="530"/>
      <c r="L69" s="421"/>
      <c r="N69" s="426"/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659">
        <f>'[3]18'!F72</f>
        <v>844073</v>
      </c>
      <c r="F72" s="659">
        <v>844084</v>
      </c>
      <c r="G72" s="613">
        <f t="shared" ref="G72:G84" si="6">F72-E72</f>
        <v>11</v>
      </c>
      <c r="H72" s="600">
        <f>G72+'[3]18'!H72</f>
        <v>142</v>
      </c>
      <c r="I72" s="620"/>
      <c r="J72" s="693">
        <f>H72/DAY(B2)</f>
        <v>7.4736842105263159</v>
      </c>
      <c r="K72" s="530"/>
      <c r="L72" s="421"/>
      <c r="N72" s="426"/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660">
        <f>'[3]18'!F73</f>
        <v>885268</v>
      </c>
      <c r="F73" s="660">
        <v>885271</v>
      </c>
      <c r="G73" s="613">
        <f t="shared" si="6"/>
        <v>3</v>
      </c>
      <c r="H73" s="600">
        <f>G73+'[3]18'!H73</f>
        <v>143</v>
      </c>
      <c r="I73" s="620"/>
      <c r="J73" s="693">
        <f>H73/DAY(B2)</f>
        <v>7.5263157894736841</v>
      </c>
      <c r="K73" s="529"/>
      <c r="L73" s="421"/>
      <c r="N73" s="426"/>
      <c r="O73" s="426"/>
    </row>
    <row r="74" spans="1:15" ht="27.75">
      <c r="A74" s="1571" t="s">
        <v>204</v>
      </c>
      <c r="B74" s="1572"/>
      <c r="C74" s="1573"/>
      <c r="D74" s="663" t="s">
        <v>198</v>
      </c>
      <c r="E74" s="661">
        <f>'[3]18'!F74</f>
        <v>879961</v>
      </c>
      <c r="F74" s="661">
        <v>879978</v>
      </c>
      <c r="G74" s="613">
        <f t="shared" si="6"/>
        <v>17</v>
      </c>
      <c r="H74" s="600">
        <f>G74+'[3]18'!H74</f>
        <v>342</v>
      </c>
      <c r="I74" s="620"/>
      <c r="J74" s="693">
        <f>H74/DAY(B2)</f>
        <v>18</v>
      </c>
      <c r="K74" s="530"/>
      <c r="L74" s="421"/>
      <c r="N74" s="426"/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661">
        <f>'[3]18'!F75</f>
        <v>724222</v>
      </c>
      <c r="F75" s="661">
        <v>724376</v>
      </c>
      <c r="G75" s="613">
        <f t="shared" si="6"/>
        <v>154</v>
      </c>
      <c r="H75" s="600">
        <f>G75+'[3]18'!H75</f>
        <v>3010</v>
      </c>
      <c r="I75" s="620"/>
      <c r="J75" s="693">
        <f>H75/DAY(B2)</f>
        <v>158.42105263157896</v>
      </c>
      <c r="K75" s="529"/>
      <c r="L75" s="421"/>
      <c r="N75" s="426"/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660">
        <f>'[3]18'!F76</f>
        <v>680839</v>
      </c>
      <c r="F76" s="660">
        <v>680916</v>
      </c>
      <c r="G76" s="613">
        <f t="shared" si="6"/>
        <v>77</v>
      </c>
      <c r="H76" s="600">
        <f>G76+'[3]18'!H76</f>
        <v>2446</v>
      </c>
      <c r="I76" s="645"/>
      <c r="J76" s="693">
        <f>H76/DAY(B2)</f>
        <v>128.73684210526315</v>
      </c>
      <c r="K76" s="529"/>
      <c r="L76" s="421"/>
      <c r="N76" s="426"/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661">
        <f>'[3]18'!F77</f>
        <v>693130</v>
      </c>
      <c r="F77" s="661">
        <v>693181</v>
      </c>
      <c r="G77" s="613">
        <f t="shared" si="6"/>
        <v>51</v>
      </c>
      <c r="H77" s="600">
        <f>G77+'[3]18'!H77</f>
        <v>874</v>
      </c>
      <c r="I77" s="645"/>
      <c r="J77" s="693">
        <f>H77/DAY(B2)</f>
        <v>46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'[3]18'!F78</f>
        <v>613674</v>
      </c>
      <c r="F78" s="661">
        <v>614050</v>
      </c>
      <c r="G78" s="613">
        <f t="shared" si="6"/>
        <v>376</v>
      </c>
      <c r="H78" s="600">
        <f>G78+'[3]18'!H78</f>
        <v>6036</v>
      </c>
      <c r="I78" s="645"/>
      <c r="J78" s="693">
        <f>H78/DAY(B2)</f>
        <v>317.68421052631578</v>
      </c>
      <c r="K78" s="529"/>
      <c r="L78" s="421"/>
      <c r="N78" s="426"/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661">
        <f>'[3]18'!F79</f>
        <v>795761</v>
      </c>
      <c r="F79" s="661">
        <v>795927</v>
      </c>
      <c r="G79" s="613">
        <f t="shared" si="6"/>
        <v>166</v>
      </c>
      <c r="H79" s="600">
        <f>G79+'[3]18'!H79</f>
        <v>5112</v>
      </c>
      <c r="I79" s="645"/>
      <c r="J79" s="693">
        <f>H79/DAY(B2)</f>
        <v>269.05263157894734</v>
      </c>
      <c r="K79" s="529"/>
      <c r="L79" s="421"/>
      <c r="N79" s="426"/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660">
        <f>'[3]18'!F80</f>
        <v>461938</v>
      </c>
      <c r="F80" s="660">
        <v>462218</v>
      </c>
      <c r="G80" s="613">
        <f t="shared" si="6"/>
        <v>280</v>
      </c>
      <c r="H80" s="600">
        <f>G80+'[3]18'!H80</f>
        <v>3781.1199999999953</v>
      </c>
      <c r="I80" s="645"/>
      <c r="J80" s="693">
        <f>H80/DAY(B2)</f>
        <v>199.00631578947343</v>
      </c>
      <c r="K80" s="529"/>
      <c r="L80" s="421"/>
      <c r="N80" s="426"/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'[3]18'!F81</f>
        <v>612919</v>
      </c>
      <c r="F81" s="660">
        <v>613001</v>
      </c>
      <c r="G81" s="613">
        <f t="shared" si="6"/>
        <v>82</v>
      </c>
      <c r="H81" s="600">
        <f>G81+'[3]18'!H81</f>
        <v>1878.7199999999721</v>
      </c>
      <c r="I81" s="645"/>
      <c r="J81" s="693">
        <f>H81/DAY(B2)</f>
        <v>98.879999999998532</v>
      </c>
      <c r="K81" s="529"/>
      <c r="L81" s="421"/>
      <c r="N81" s="426"/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'[3]18'!F82</f>
        <v>103317</v>
      </c>
      <c r="F82" s="662">
        <v>103339</v>
      </c>
      <c r="G82" s="613">
        <f t="shared" si="6"/>
        <v>22</v>
      </c>
      <c r="H82" s="600">
        <f>G82+'[3]18'!H82</f>
        <v>309.05000000000291</v>
      </c>
      <c r="I82" s="626"/>
      <c r="J82" s="693">
        <f>H82/DAY(B2)</f>
        <v>16.265789473684364</v>
      </c>
      <c r="K82" s="529"/>
      <c r="L82" s="421"/>
      <c r="N82" s="426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'[3]18'!F83</f>
        <v>958497</v>
      </c>
      <c r="F83" s="651">
        <v>958821</v>
      </c>
      <c r="G83" s="613">
        <f t="shared" si="6"/>
        <v>324</v>
      </c>
      <c r="H83" s="600">
        <f>G83+'[3]18'!H83</f>
        <v>6578</v>
      </c>
      <c r="I83" s="621"/>
      <c r="J83" s="693">
        <f>H83/DAY(B2)</f>
        <v>346.21052631578948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'[3]18'!F84</f>
        <v>375502</v>
      </c>
      <c r="F84" s="768">
        <v>375992</v>
      </c>
      <c r="G84" s="613">
        <f t="shared" si="6"/>
        <v>490</v>
      </c>
      <c r="H84" s="600">
        <f>G84+'[3]18'!H84</f>
        <v>9559</v>
      </c>
      <c r="I84" s="621"/>
      <c r="J84" s="693">
        <f>H84/DAY(B2)</f>
        <v>503.10526315789474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2053</v>
      </c>
      <c r="H85" s="600">
        <f>G85+'[3]18'!H85</f>
        <v>36884.989999999991</v>
      </c>
      <c r="I85" s="621"/>
      <c r="J85" s="693">
        <f>H85/DAY(B2)</f>
        <v>1941.3152631578942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'[3]18'!F86</f>
        <v>438872</v>
      </c>
      <c r="F86" s="1719">
        <v>438977</v>
      </c>
      <c r="G86" s="861">
        <f t="shared" ref="G86:G90" si="7">F86-E86</f>
        <v>105</v>
      </c>
      <c r="H86" s="861">
        <f t="shared" ref="H86:H88" si="8">G86</f>
        <v>105</v>
      </c>
      <c r="I86" s="789"/>
      <c r="J86" s="863">
        <f>H86/DAY(B2)</f>
        <v>5.5263157894736841</v>
      </c>
      <c r="K86" s="889">
        <v>424609</v>
      </c>
      <c r="L86" s="890">
        <f>K86-F86</f>
        <v>-14368</v>
      </c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'[3]18'!F87</f>
        <v>76545.8</v>
      </c>
      <c r="F87" s="780">
        <v>76582</v>
      </c>
      <c r="G87" s="861">
        <f t="shared" si="7"/>
        <v>36.19999999999709</v>
      </c>
      <c r="H87" s="861">
        <f t="shared" si="8"/>
        <v>36.19999999999709</v>
      </c>
      <c r="I87" s="789"/>
      <c r="J87" s="863">
        <f>H87/DAY(B2)</f>
        <v>1.9052631578945836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'[3]18'!F88</f>
        <v>141217.75</v>
      </c>
      <c r="F88" s="784">
        <v>141281</v>
      </c>
      <c r="G88" s="861">
        <f t="shared" si="7"/>
        <v>63.25</v>
      </c>
      <c r="H88" s="861">
        <f t="shared" si="8"/>
        <v>63.25</v>
      </c>
      <c r="I88" s="789"/>
      <c r="J88" s="863">
        <f>H88/DAY(B2)</f>
        <v>3.3289473684210527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'[3]18'!F89</f>
        <v>55045</v>
      </c>
      <c r="F89" s="780">
        <v>55105</v>
      </c>
      <c r="G89" s="861">
        <f t="shared" si="7"/>
        <v>60</v>
      </c>
      <c r="H89" s="861">
        <f>G89</f>
        <v>60</v>
      </c>
      <c r="I89" s="789"/>
      <c r="J89" s="863">
        <f>H89/DAY(B2)</f>
        <v>3.1578947368421053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'[3]18'!F90</f>
        <v>2841</v>
      </c>
      <c r="F90" s="780">
        <v>2846</v>
      </c>
      <c r="G90" s="861">
        <f t="shared" si="7"/>
        <v>5</v>
      </c>
      <c r="H90" s="861">
        <f>G90</f>
        <v>5</v>
      </c>
      <c r="I90" s="789"/>
      <c r="J90" s="863">
        <f>H90/DAY(B2)</f>
        <v>0.26315789473684209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'[3]18'!F92</f>
        <v>230056</v>
      </c>
      <c r="F92" s="624">
        <v>230110</v>
      </c>
      <c r="G92" s="613">
        <f t="shared" ref="G92:G93" si="9">F92-E92</f>
        <v>54</v>
      </c>
      <c r="H92" s="600">
        <f>G92+'[3]18'!H92</f>
        <v>1515</v>
      </c>
      <c r="I92" s="620"/>
      <c r="J92" s="693">
        <f>H92/DAY(B2)</f>
        <v>79.736842105263165</v>
      </c>
      <c r="K92" s="528"/>
      <c r="L92" s="421"/>
      <c r="N92" s="426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'[3]18'!F93</f>
        <v>161122</v>
      </c>
      <c r="F93" s="624">
        <v>161246</v>
      </c>
      <c r="G93" s="613">
        <f t="shared" si="9"/>
        <v>124</v>
      </c>
      <c r="H93" s="600">
        <f>G93+'[3]18'!H93</f>
        <v>2723</v>
      </c>
      <c r="I93" s="620"/>
      <c r="J93" s="693">
        <f>H93/DAY(B2)</f>
        <v>143.31578947368422</v>
      </c>
      <c r="K93" s="424"/>
      <c r="L93" s="421"/>
      <c r="N93" s="426"/>
      <c r="O93" s="426"/>
    </row>
    <row r="94" spans="1:15">
      <c r="A94" s="1460" t="s">
        <v>219</v>
      </c>
      <c r="B94" s="1461"/>
      <c r="C94" s="1462"/>
      <c r="D94" s="663"/>
      <c r="E94" s="624">
        <f>'[3]18'!F94</f>
        <v>0</v>
      </c>
      <c r="F94" s="624"/>
      <c r="G94" s="613">
        <f>G92+G93</f>
        <v>178</v>
      </c>
      <c r="H94" s="600">
        <f>G94+'[3]18'!H94</f>
        <v>3948</v>
      </c>
      <c r="I94" s="620"/>
      <c r="J94" s="693">
        <f>H94/DAY(B2)</f>
        <v>207.78947368421052</v>
      </c>
      <c r="K94" s="424"/>
      <c r="L94" s="421"/>
      <c r="N94" s="426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'[3]18'!F95</f>
        <v>400841</v>
      </c>
      <c r="F95" s="624">
        <v>400887</v>
      </c>
      <c r="G95" s="613">
        <f t="shared" ref="G95:G100" si="10">F95-E95</f>
        <v>46</v>
      </c>
      <c r="H95" s="600">
        <f>G95+'[3]18'!H95</f>
        <v>1040</v>
      </c>
      <c r="I95" s="620"/>
      <c r="J95" s="693">
        <f>H95/DAY(B2)</f>
        <v>54.736842105263158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'[3]18'!F96</f>
        <v>98783</v>
      </c>
      <c r="F96" s="624">
        <v>98808</v>
      </c>
      <c r="G96" s="613">
        <f t="shared" si="10"/>
        <v>25</v>
      </c>
      <c r="H96" s="600">
        <f>G96+'[3]18'!H96</f>
        <v>799</v>
      </c>
      <c r="I96" s="620"/>
      <c r="J96" s="693">
        <f>H96/DAY(B2)</f>
        <v>42.05263157894737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'[3]18'!F97</f>
        <v>93939</v>
      </c>
      <c r="F97" s="624">
        <v>93963</v>
      </c>
      <c r="G97" s="613">
        <f t="shared" si="10"/>
        <v>24</v>
      </c>
      <c r="H97" s="600">
        <f>G97+'[3]18'!H97</f>
        <v>412</v>
      </c>
      <c r="I97" s="620"/>
      <c r="J97" s="693">
        <f>H97/DAY(B2)</f>
        <v>21.684210526315791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'[3]18'!F98</f>
        <v>141647</v>
      </c>
      <c r="F98" s="624">
        <v>141687</v>
      </c>
      <c r="G98" s="613">
        <f t="shared" si="10"/>
        <v>40</v>
      </c>
      <c r="H98" s="600">
        <f>G98+'[3]18'!H98</f>
        <v>782</v>
      </c>
      <c r="I98" s="620"/>
      <c r="J98" s="693">
        <f>H98/DAY(B2)</f>
        <v>41.157894736842103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'[3]18'!F99</f>
        <v>4857</v>
      </c>
      <c r="F99" s="624">
        <v>4865</v>
      </c>
      <c r="G99" s="613">
        <f t="shared" si="10"/>
        <v>8</v>
      </c>
      <c r="H99" s="600">
        <f>G99+'[3]18'!H99</f>
        <v>157</v>
      </c>
      <c r="I99" s="620"/>
      <c r="J99" s="693">
        <f>H99/DAY(B2)</f>
        <v>8.2631578947368425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'[3]18'!F100</f>
        <v>3674</v>
      </c>
      <c r="F100" s="624">
        <v>3674</v>
      </c>
      <c r="G100" s="613">
        <f t="shared" si="10"/>
        <v>0</v>
      </c>
      <c r="H100" s="600">
        <f>G100+'[3]18'!H100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60" t="s">
        <v>227</v>
      </c>
      <c r="B101" s="1461"/>
      <c r="C101" s="1462"/>
      <c r="D101" s="664"/>
      <c r="E101" s="664"/>
      <c r="F101" s="664"/>
      <c r="G101" s="665">
        <f>SUM(G95:G100)</f>
        <v>143</v>
      </c>
      <c r="H101" s="600">
        <f>G101+'[3]18'!H101</f>
        <v>3190</v>
      </c>
      <c r="I101" s="666"/>
      <c r="J101" s="693">
        <f>H101/DAY(B2)</f>
        <v>167.89473684210526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21" t="s">
        <v>230</v>
      </c>
      <c r="B104" s="1422"/>
      <c r="C104" s="1380"/>
      <c r="D104" s="763" t="s">
        <v>155</v>
      </c>
      <c r="E104" s="672">
        <f>'[3]18'!F104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3.1578947368421053</v>
      </c>
      <c r="N104" s="556"/>
      <c r="O104" s="426"/>
    </row>
    <row r="105" spans="1:15" s="544" customFormat="1" ht="27.75">
      <c r="A105" s="1421" t="s">
        <v>77</v>
      </c>
      <c r="B105" s="1422"/>
      <c r="C105" s="1380"/>
      <c r="D105" s="763" t="s">
        <v>155</v>
      </c>
      <c r="E105" s="674">
        <f>'[3]18'!F105</f>
        <v>34597</v>
      </c>
      <c r="F105" s="674">
        <v>34597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3.6842105263157894</v>
      </c>
      <c r="N105" s="556"/>
      <c r="O105" s="426"/>
    </row>
    <row r="106" spans="1:15" s="544" customFormat="1" ht="27.75">
      <c r="A106" s="1421" t="s">
        <v>78</v>
      </c>
      <c r="B106" s="1465"/>
      <c r="C106" s="1422"/>
      <c r="D106" s="763" t="s">
        <v>155</v>
      </c>
      <c r="E106" s="672">
        <f>'[3]18'!F106</f>
        <v>18689</v>
      </c>
      <c r="F106" s="672">
        <v>18692</v>
      </c>
      <c r="G106" s="672">
        <f t="shared" si="11"/>
        <v>3</v>
      </c>
      <c r="H106" s="673">
        <f>SUM(G106+'[3]1'!G78)</f>
        <v>332</v>
      </c>
      <c r="I106" s="672"/>
      <c r="J106" s="699">
        <f>H106/DAY(B2)</f>
        <v>17.473684210526315</v>
      </c>
      <c r="N106" s="556"/>
      <c r="O106" s="426"/>
    </row>
    <row r="107" spans="1:15" s="544" customFormat="1" ht="27.75">
      <c r="A107" s="1423" t="s">
        <v>213</v>
      </c>
      <c r="B107" s="1424"/>
      <c r="C107" s="1380"/>
      <c r="D107" s="763"/>
      <c r="E107" s="672">
        <f>'[3]18'!F107</f>
        <v>0</v>
      </c>
      <c r="F107" s="672"/>
      <c r="G107" s="672">
        <f>SUM(G104:G106)</f>
        <v>3</v>
      </c>
      <c r="H107" s="673">
        <f>SUM(G107+'[3]1'!G79)</f>
        <v>163</v>
      </c>
      <c r="I107" s="672"/>
      <c r="J107" s="699">
        <f>H107/DAY(B2)</f>
        <v>8.5789473684210531</v>
      </c>
      <c r="N107" s="556"/>
      <c r="O107" s="426"/>
    </row>
    <row r="108" spans="1:15" s="544" customFormat="1" ht="27.75">
      <c r="A108" s="1427" t="s">
        <v>79</v>
      </c>
      <c r="B108" s="1428"/>
      <c r="C108" s="1380"/>
      <c r="D108" s="763" t="s">
        <v>155</v>
      </c>
      <c r="E108" s="672">
        <f>'[3]18'!F108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21" t="s">
        <v>231</v>
      </c>
      <c r="B109" s="1422"/>
      <c r="C109" s="1380"/>
      <c r="D109" s="763" t="s">
        <v>155</v>
      </c>
      <c r="E109" s="672">
        <f>'[3]18'!F109</f>
        <v>50673</v>
      </c>
      <c r="F109" s="672">
        <v>50712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6.3684210526315788</v>
      </c>
      <c r="N109" s="556"/>
      <c r="O109" s="426"/>
    </row>
    <row r="110" spans="1:15" s="544" customFormat="1" ht="27.75">
      <c r="A110" s="1421" t="s">
        <v>232</v>
      </c>
      <c r="B110" s="1422"/>
      <c r="C110" s="1380"/>
      <c r="D110" s="763" t="s">
        <v>155</v>
      </c>
      <c r="E110" s="672">
        <f>'[3]18'!F110</f>
        <v>24830</v>
      </c>
      <c r="F110" s="672">
        <v>24879</v>
      </c>
      <c r="G110" s="672">
        <f t="shared" ref="G110:G111" si="12">F110-E110</f>
        <v>49</v>
      </c>
      <c r="H110" s="673">
        <f>SUM(G110+'[3]1'!G82)</f>
        <v>74.740000000005239</v>
      </c>
      <c r="I110" s="672"/>
      <c r="J110" s="699">
        <f>H110/DAY(B2)</f>
        <v>3.9336842105265917</v>
      </c>
      <c r="N110" s="556"/>
      <c r="O110" s="426"/>
    </row>
    <row r="111" spans="1:15" s="544" customFormat="1" ht="27.75">
      <c r="A111" s="1421" t="s">
        <v>233</v>
      </c>
      <c r="B111" s="1422"/>
      <c r="C111" s="1380"/>
      <c r="D111" s="763" t="s">
        <v>155</v>
      </c>
      <c r="E111" s="672">
        <f>'[3]18'!F111</f>
        <v>3291</v>
      </c>
      <c r="F111" s="672">
        <v>3292</v>
      </c>
      <c r="G111" s="672">
        <f t="shared" si="12"/>
        <v>1</v>
      </c>
      <c r="H111" s="673">
        <f>SUM(G111+'[3]1'!G83)</f>
        <v>447</v>
      </c>
      <c r="I111" s="672"/>
      <c r="J111" s="699">
        <f>H111/DAY(B2)</f>
        <v>23.526315789473685</v>
      </c>
      <c r="N111" s="556"/>
      <c r="O111" s="426"/>
    </row>
    <row r="112" spans="1:15" s="544" customFormat="1" ht="27.75">
      <c r="A112" s="1425" t="s">
        <v>121</v>
      </c>
      <c r="B112" s="1426"/>
      <c r="C112" s="1380"/>
      <c r="D112" s="763"/>
      <c r="E112" s="672">
        <f>'[3]18'!F112</f>
        <v>0</v>
      </c>
      <c r="F112" s="672"/>
      <c r="G112" s="672">
        <f>SUM(G109:G111)</f>
        <v>89</v>
      </c>
      <c r="H112" s="673">
        <f>SUM(G112+'[3]1'!G84)</f>
        <v>685</v>
      </c>
      <c r="I112" s="672"/>
      <c r="J112" s="699">
        <f>H112/DAY(B2)</f>
        <v>36.05263157894737</v>
      </c>
      <c r="N112" s="556"/>
      <c r="O112" s="426"/>
    </row>
    <row r="113" spans="1:15" s="544" customFormat="1" ht="27.75">
      <c r="A113" s="1427" t="s">
        <v>234</v>
      </c>
      <c r="B113" s="1428"/>
      <c r="C113" s="1380"/>
      <c r="D113" s="763"/>
      <c r="E113" s="672">
        <f>'[3]18'!F113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21" t="s">
        <v>235</v>
      </c>
      <c r="B114" s="1422"/>
      <c r="C114" s="715"/>
      <c r="D114" s="763" t="s">
        <v>155</v>
      </c>
      <c r="E114" s="674">
        <f>'[3]18'!F114</f>
        <v>8462</v>
      </c>
      <c r="F114" s="674">
        <v>8472</v>
      </c>
      <c r="G114" s="674">
        <f>F114-E114</f>
        <v>10</v>
      </c>
      <c r="H114" s="673">
        <f>SUM(G114+'[3]1'!G91)</f>
        <v>10</v>
      </c>
      <c r="I114" s="672"/>
      <c r="J114" s="699">
        <f>H114/DAY(B2)</f>
        <v>0.52631578947368418</v>
      </c>
      <c r="N114" s="556"/>
      <c r="O114" s="426"/>
    </row>
    <row r="115" spans="1:15" s="544" customFormat="1" ht="27.75">
      <c r="A115" s="1421" t="s">
        <v>236</v>
      </c>
      <c r="B115" s="1422"/>
      <c r="C115" s="715"/>
      <c r="D115" s="763" t="s">
        <v>155</v>
      </c>
      <c r="E115" s="674">
        <f>'[3]18'!F115</f>
        <v>6682</v>
      </c>
      <c r="F115" s="674">
        <v>6688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5.8421052631578947</v>
      </c>
      <c r="N115" s="556"/>
      <c r="O115" s="426"/>
    </row>
    <row r="116" spans="1:15" s="544" customFormat="1" ht="27.75">
      <c r="A116" s="1421" t="s">
        <v>237</v>
      </c>
      <c r="B116" s="1422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185</v>
      </c>
      <c r="I116" s="672"/>
      <c r="J116" s="699">
        <f>H116/DAY(B2)</f>
        <v>9.7368421052631575</v>
      </c>
      <c r="N116" s="556"/>
      <c r="O116" s="426"/>
    </row>
    <row r="117" spans="1:15" s="557" customFormat="1" ht="27.75">
      <c r="A117" s="1423" t="s">
        <v>213</v>
      </c>
      <c r="B117" s="1424"/>
      <c r="C117" s="715"/>
      <c r="D117" s="764"/>
      <c r="E117" s="674"/>
      <c r="F117" s="674"/>
      <c r="G117" s="674">
        <f>SUM(G114:G116)</f>
        <v>16</v>
      </c>
      <c r="H117" s="673">
        <f>SUM(G117+'[3]1'!G95)</f>
        <v>64</v>
      </c>
      <c r="I117" s="674"/>
      <c r="J117" s="699">
        <f>H117/DAY(B2)</f>
        <v>3.3684210526315788</v>
      </c>
      <c r="N117" s="585"/>
      <c r="O117" s="426"/>
    </row>
    <row r="118" spans="1:15" s="558" customFormat="1" ht="27.75">
      <c r="A118" s="1417" t="s">
        <v>238</v>
      </c>
      <c r="B118" s="1418"/>
      <c r="C118" s="1379"/>
      <c r="D118" s="765" t="s">
        <v>155</v>
      </c>
      <c r="E118" s="676"/>
      <c r="F118" s="676">
        <f>SUM(G19+G92)</f>
        <v>111</v>
      </c>
      <c r="G118" s="676">
        <f>SUM(G19+G92)</f>
        <v>111</v>
      </c>
      <c r="H118" s="673">
        <f>SUM(G118+'[3]1'!G96)</f>
        <v>160</v>
      </c>
      <c r="I118" s="675"/>
      <c r="J118" s="700">
        <f>H118/DAY(B2)</f>
        <v>8.4210526315789469</v>
      </c>
      <c r="N118" s="940"/>
      <c r="O118" s="426"/>
    </row>
    <row r="119" spans="1:15" s="558" customFormat="1" ht="27.75">
      <c r="A119" s="1417" t="s">
        <v>239</v>
      </c>
      <c r="B119" s="1418"/>
      <c r="C119" s="1379"/>
      <c r="D119" s="765" t="s">
        <v>155</v>
      </c>
      <c r="E119" s="676"/>
      <c r="F119" s="676">
        <f>SUM(G95,G96,G97,G99,G100)</f>
        <v>103</v>
      </c>
      <c r="G119" s="676">
        <f>SUM(G95,G96,G97,G99,G100)</f>
        <v>103</v>
      </c>
      <c r="H119" s="673">
        <f>SUM(G119+'[3]1'!G98)</f>
        <v>135</v>
      </c>
      <c r="I119" s="675"/>
      <c r="J119" s="700">
        <f>H119/DAY(B2)</f>
        <v>7.1052631578947372</v>
      </c>
      <c r="N119" s="940"/>
      <c r="O119" s="426"/>
    </row>
    <row r="120" spans="1:15" s="558" customFormat="1" ht="27.75">
      <c r="A120" s="1417" t="s">
        <v>240</v>
      </c>
      <c r="B120" s="1418"/>
      <c r="C120" s="1379"/>
      <c r="D120" s="765" t="s">
        <v>155</v>
      </c>
      <c r="E120" s="674"/>
      <c r="F120" s="674">
        <f>SUM(G112)</f>
        <v>89</v>
      </c>
      <c r="G120" s="674">
        <f>SUM(G112)</f>
        <v>89</v>
      </c>
      <c r="H120" s="673">
        <f>SUM(G120+'[3]1'!G100)</f>
        <v>89</v>
      </c>
      <c r="I120" s="675"/>
      <c r="J120" s="700">
        <f>H120/DAY(B2)</f>
        <v>4.6842105263157894</v>
      </c>
      <c r="N120" s="940"/>
      <c r="O120" s="426"/>
    </row>
    <row r="121" spans="1:15" s="544" customFormat="1" ht="27.75">
      <c r="A121" s="1419"/>
      <c r="B121" s="1420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'[3]18'!F123</f>
        <v>786395.88</v>
      </c>
      <c r="F123" s="618">
        <v>786609</v>
      </c>
      <c r="G123" s="613">
        <f t="shared" ref="G123:G127" si="14">F123-E123</f>
        <v>213.11999999999534</v>
      </c>
      <c r="H123" s="600">
        <f>G123+'[3]18'!H123</f>
        <v>3684.1139999999432</v>
      </c>
      <c r="I123" s="666"/>
      <c r="J123" s="693">
        <f>H123/DAY(B2)</f>
        <v>193.90073684210228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'[3]18'!F124</f>
        <v>73581.899999999994</v>
      </c>
      <c r="F124" s="767">
        <v>73581.899999999994</v>
      </c>
      <c r="G124" s="613">
        <f t="shared" si="14"/>
        <v>0</v>
      </c>
      <c r="H124" s="600">
        <f>G124+'[3]18'!H124</f>
        <v>0.89999999999417923</v>
      </c>
      <c r="I124" s="666"/>
      <c r="J124" s="693">
        <f>H124/DAY(B2)</f>
        <v>4.7368421052325221E-2</v>
      </c>
      <c r="K124" s="424"/>
      <c r="L124" s="421"/>
      <c r="N124" s="426"/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618">
        <f>'[3]18'!F125</f>
        <v>132225</v>
      </c>
      <c r="F125" s="618">
        <v>132298</v>
      </c>
      <c r="G125" s="613">
        <f t="shared" si="14"/>
        <v>73</v>
      </c>
      <c r="H125" s="600">
        <f>G125+'[3]18'!H125</f>
        <v>1191.7799999999988</v>
      </c>
      <c r="I125" s="666"/>
      <c r="J125" s="693">
        <f>H125/DAY(B2)</f>
        <v>62.725263157894673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'[3]18'!F126</f>
        <v>56016.9</v>
      </c>
      <c r="F126" s="625">
        <v>56044</v>
      </c>
      <c r="G126" s="613">
        <f t="shared" si="14"/>
        <v>27.099999999998545</v>
      </c>
      <c r="H126" s="600">
        <f>G126+'[3]18'!H126</f>
        <v>458.19999999999709</v>
      </c>
      <c r="I126" s="666"/>
      <c r="J126" s="693">
        <f>H126/DAY(B2)</f>
        <v>24.115789473684057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'[3]18'!F127</f>
        <v>8640.1</v>
      </c>
      <c r="F127" s="767">
        <v>8640</v>
      </c>
      <c r="G127" s="613">
        <f t="shared" si="14"/>
        <v>-0.1000000000003638</v>
      </c>
      <c r="H127" s="600">
        <f>G127+'[3]18'!H127</f>
        <v>1</v>
      </c>
      <c r="I127" s="620"/>
      <c r="J127" s="693">
        <f>H127/DAY(B2)</f>
        <v>5.2631578947368418E-2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250.00000000011823</v>
      </c>
      <c r="H128" s="600">
        <f>G128+'[3]18'!H128</f>
        <v>932.93500000011591</v>
      </c>
      <c r="I128" s="620"/>
      <c r="J128" s="693">
        <f>H128/DAY(B2)</f>
        <v>49.101842105269256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'[3]18'!F130</f>
        <v>0</v>
      </c>
      <c r="F130" s="624">
        <v>0</v>
      </c>
      <c r="G130" s="613">
        <f t="shared" ref="G130:G140" si="15">F130-E130</f>
        <v>0</v>
      </c>
      <c r="H130" s="600">
        <f>G130+'[3]18'!H130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'[3]18'!F131</f>
        <v>0</v>
      </c>
      <c r="F131" s="624">
        <v>0</v>
      </c>
      <c r="G131" s="613">
        <f t="shared" si="15"/>
        <v>0</v>
      </c>
      <c r="H131" s="600">
        <f>G131+'[3]18'!H131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'[3]18'!F132</f>
        <v>38853</v>
      </c>
      <c r="F132" s="682">
        <v>38853</v>
      </c>
      <c r="G132" s="613">
        <f t="shared" si="15"/>
        <v>0</v>
      </c>
      <c r="H132" s="600">
        <f>G132+'[3]18'!H132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'[3]18'!F133</f>
        <v>34948</v>
      </c>
      <c r="F133" s="682">
        <v>34948</v>
      </c>
      <c r="G133" s="789">
        <f t="shared" si="15"/>
        <v>0</v>
      </c>
      <c r="H133" s="861">
        <f>G133+'[3]18'!H133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'[3]18'!F134</f>
        <v>39735</v>
      </c>
      <c r="F134" s="682">
        <v>39735</v>
      </c>
      <c r="G134" s="613">
        <f t="shared" si="15"/>
        <v>0</v>
      </c>
      <c r="H134" s="600">
        <f>G134+'[3]18'!H134</f>
        <v>-1.2699999999967986</v>
      </c>
      <c r="I134" s="620"/>
      <c r="J134" s="693">
        <f>H134/DAY(B2)</f>
        <v>-6.6842105262989393E-2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'[3]18'!F135</f>
        <v>31427.22</v>
      </c>
      <c r="F135" s="682">
        <v>31451.42</v>
      </c>
      <c r="G135" s="613">
        <f t="shared" si="15"/>
        <v>24.19999999999709</v>
      </c>
      <c r="H135" s="600">
        <f>G135+'[3]18'!H135</f>
        <v>455.39999999999782</v>
      </c>
      <c r="I135" s="620"/>
      <c r="J135" s="693">
        <f>H135/DAY(B2)</f>
        <v>23.968421052631463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'[3]18'!F136</f>
        <v>21627.22</v>
      </c>
      <c r="F136" s="682">
        <v>21629</v>
      </c>
      <c r="G136" s="613">
        <f t="shared" si="15"/>
        <v>1.7799999999988358</v>
      </c>
      <c r="H136" s="600">
        <f>G136+'[3]18'!H136</f>
        <v>30.970000000001164</v>
      </c>
      <c r="I136" s="620">
        <f>G134+G135+G136</f>
        <v>25.979999999995925</v>
      </c>
      <c r="J136" s="693">
        <f>H136/DAY(B2)</f>
        <v>1.6300000000000612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'[3]18'!F137</f>
        <v>24922.95</v>
      </c>
      <c r="F137" s="682">
        <v>24922.95</v>
      </c>
      <c r="G137" s="613">
        <f t="shared" si="15"/>
        <v>0</v>
      </c>
      <c r="H137" s="600">
        <f>G137+'[3]18'!H137</f>
        <v>20.700000000000728</v>
      </c>
      <c r="I137" s="620"/>
      <c r="J137" s="693">
        <f>H137/DAY(B2)</f>
        <v>1.0894736842105646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'[3]18'!F138</f>
        <v>69936.710000000006</v>
      </c>
      <c r="F138" s="682">
        <v>69942.850000000006</v>
      </c>
      <c r="G138" s="613">
        <f t="shared" si="15"/>
        <v>6.1399999999994179</v>
      </c>
      <c r="H138" s="600">
        <f>G138+'[3]18'!H138</f>
        <v>61.200000000011642</v>
      </c>
      <c r="I138" s="620">
        <f>G137+G138</f>
        <v>6.1399999999994179</v>
      </c>
      <c r="J138" s="693">
        <f>H138/DAY(B2)</f>
        <v>3.22105263157956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'[3]18'!F139</f>
        <v>873.04</v>
      </c>
      <c r="F139" s="624">
        <v>879</v>
      </c>
      <c r="G139" s="613">
        <f t="shared" si="15"/>
        <v>5.9600000000000364</v>
      </c>
      <c r="H139" s="600">
        <f>G139+'[3]18'!H139</f>
        <v>102.57000000000005</v>
      </c>
      <c r="I139" s="683"/>
      <c r="J139" s="693">
        <f>H139/DAY(B2)</f>
        <v>5.3984210526315817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'[3]18'!F140</f>
        <v>4156.9799999999996</v>
      </c>
      <c r="F140" s="624">
        <v>4156.8999999999996</v>
      </c>
      <c r="G140" s="613">
        <f t="shared" si="15"/>
        <v>-7.999999999992724E-2</v>
      </c>
      <c r="H140" s="600">
        <f>G140+'[3]18'!H140</f>
        <v>2.6299999999991996</v>
      </c>
      <c r="I140" s="683"/>
      <c r="J140" s="693">
        <f>H140/DAY(B2)</f>
        <v>0.13842105263153681</v>
      </c>
      <c r="N140" s="426"/>
      <c r="O140" s="426"/>
    </row>
    <row r="141" spans="1:15">
      <c r="A141" s="1438" t="s">
        <v>261</v>
      </c>
      <c r="B141" s="1439"/>
      <c r="C141" s="1375"/>
      <c r="D141" s="612"/>
      <c r="E141" s="612"/>
      <c r="F141" s="612" t="s">
        <v>286</v>
      </c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5038.1099999999533</v>
      </c>
      <c r="H142" s="600">
        <f>G142+'[3]18'!H142</f>
        <v>91293.628999999986</v>
      </c>
      <c r="I142" s="620"/>
      <c r="J142" s="693">
        <f>H142/DAY(B2)</f>
        <v>4804.9278421052622</v>
      </c>
      <c r="K142" s="424"/>
      <c r="L142" s="421"/>
      <c r="N142" s="426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0.26052901023890546</v>
      </c>
      <c r="H143" s="600">
        <f>G143+'[3]18'!H143</f>
        <v>4.4752148867815276</v>
      </c>
      <c r="I143" s="685"/>
      <c r="J143" s="693">
        <f>H143/DAY(B2)</f>
        <v>0.2355376256200804</v>
      </c>
      <c r="K143" s="424"/>
      <c r="L143" s="421"/>
      <c r="N143" s="426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4875.4800000000396</v>
      </c>
      <c r="H144" s="600">
        <f>G144+'[3]18'!H144</f>
        <v>83439.400000000111</v>
      </c>
      <c r="I144" s="620"/>
      <c r="J144" s="693">
        <f>H144/DAY(B2)</f>
        <v>4391.5473684210583</v>
      </c>
      <c r="K144" s="424"/>
      <c r="L144" s="421"/>
      <c r="N144" s="426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0.25211914365498189</v>
      </c>
      <c r="H145" s="600">
        <f>G145+'[3]18'!H145</f>
        <v>4.2663100114556096</v>
      </c>
      <c r="I145" s="685"/>
      <c r="J145" s="693">
        <f>H145/DAY(B2)</f>
        <v>0.2245426321818742</v>
      </c>
      <c r="K145" s="424"/>
      <c r="L145" s="421"/>
      <c r="N145" s="426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174.94</v>
      </c>
      <c r="H146" s="600">
        <f>G146+'[3]18'!H146</f>
        <v>51411.23000000004</v>
      </c>
      <c r="I146" s="686"/>
      <c r="J146" s="693">
        <f>H146/DAY(B2)</f>
        <v>2705.8542105263177</v>
      </c>
      <c r="K146" s="424"/>
      <c r="L146" s="421"/>
      <c r="N146" s="426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9.0464370669148825E-3</v>
      </c>
      <c r="H147" s="600">
        <f>G147+'[3]18'!H147</f>
        <v>2.5717570059869579</v>
      </c>
      <c r="I147" s="686"/>
      <c r="J147" s="693">
        <f>H147/DAY(B2)</f>
        <v>0.13535563189405042</v>
      </c>
      <c r="N147" s="426"/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1740</v>
      </c>
      <c r="H148" s="600">
        <f>G148+'[3]18'!H148</f>
        <v>33019.31</v>
      </c>
      <c r="I148" s="620"/>
      <c r="J148" s="693">
        <f>H148/DAY(B2)</f>
        <v>1737.8584210526315</v>
      </c>
      <c r="K148" s="425"/>
      <c r="N148" s="426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8.9978281104560964E-2</v>
      </c>
      <c r="H149" s="600">
        <f>G149+'[3]18'!H149</f>
        <v>1.6827415410545554</v>
      </c>
      <c r="I149" s="686"/>
      <c r="J149" s="693">
        <f>H149/DAY(B2)</f>
        <v>8.8565344266029231E-2</v>
      </c>
      <c r="N149" s="426"/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1673</v>
      </c>
      <c r="H150" s="600">
        <f>G150+'[3]18'!H150</f>
        <v>30409.479999999981</v>
      </c>
      <c r="I150" s="686"/>
      <c r="J150" s="693">
        <f>H150/DAY(B2)</f>
        <v>1600.49894736842</v>
      </c>
      <c r="N150" s="426"/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8.6513600165477295E-2</v>
      </c>
      <c r="H151" s="600">
        <f>G151+'[3]18'!H151</f>
        <v>1.5475980307526784</v>
      </c>
      <c r="I151" s="620"/>
      <c r="J151" s="693">
        <f>H151/DAY(B2)</f>
        <v>8.1452527934351496E-2</v>
      </c>
      <c r="N151" s="426"/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1411.4499999999998</v>
      </c>
      <c r="H152" s="600">
        <f>G152+'[3]18'!H152</f>
        <v>26881.8619</v>
      </c>
      <c r="I152" s="620"/>
      <c r="J152" s="693">
        <f>H152/DAY(B2)</f>
        <v>1414.8348368421052</v>
      </c>
      <c r="N152" s="426"/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7.2988416589099173E-2</v>
      </c>
      <c r="H153" s="600">
        <f>G153+'[3]18'!H153</f>
        <v>1.3755088225395449</v>
      </c>
      <c r="I153" s="709"/>
      <c r="J153" s="710">
        <f>H153/DAY(B2)</f>
        <v>7.2395201186291835E-2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'[3]18'!F160</f>
        <v>22967.81</v>
      </c>
      <c r="F160" s="795">
        <v>23038</v>
      </c>
      <c r="G160" s="613">
        <f t="shared" ref="G160:G165" si="16">F160-E160</f>
        <v>70.18999999999869</v>
      </c>
    </row>
    <row r="161" spans="1:7" ht="21.75" customHeight="1">
      <c r="A161" s="946" t="s">
        <v>275</v>
      </c>
      <c r="B161" s="947"/>
      <c r="C161" s="947"/>
      <c r="D161" s="651" t="s">
        <v>198</v>
      </c>
      <c r="E161" s="795">
        <f>'[3]18'!F161</f>
        <v>15313.77</v>
      </c>
      <c r="F161" s="795">
        <v>15416</v>
      </c>
      <c r="G161" s="613">
        <f t="shared" si="16"/>
        <v>102.22999999999956</v>
      </c>
    </row>
    <row r="162" spans="1:7" ht="21.75" customHeight="1">
      <c r="A162" s="946" t="s">
        <v>276</v>
      </c>
      <c r="B162" s="947"/>
      <c r="C162" s="947"/>
      <c r="D162" s="651" t="s">
        <v>198</v>
      </c>
      <c r="E162" s="795">
        <f>'[3]18'!F162</f>
        <v>34458</v>
      </c>
      <c r="F162" s="795">
        <v>34683</v>
      </c>
      <c r="G162" s="613">
        <f t="shared" si="16"/>
        <v>225</v>
      </c>
    </row>
    <row r="163" spans="1:7" ht="21.75" customHeight="1">
      <c r="A163" s="946" t="s">
        <v>277</v>
      </c>
      <c r="B163" s="947"/>
      <c r="C163" s="947"/>
      <c r="D163" s="651" t="s">
        <v>198</v>
      </c>
      <c r="E163" s="795">
        <f>'[3]18'!F163</f>
        <v>3351</v>
      </c>
      <c r="F163" s="795">
        <v>3363.52</v>
      </c>
      <c r="G163" s="613">
        <f t="shared" si="16"/>
        <v>12.519999999999982</v>
      </c>
    </row>
    <row r="164" spans="1:7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v>20419</v>
      </c>
      <c r="G164" s="613">
        <f t="shared" si="16"/>
        <v>-0.18000000000029104</v>
      </c>
    </row>
    <row r="165" spans="1:7" ht="21.75" customHeight="1">
      <c r="A165" s="948" t="s">
        <v>199</v>
      </c>
      <c r="B165" s="745"/>
      <c r="C165" s="745"/>
      <c r="D165" s="651" t="s">
        <v>198</v>
      </c>
      <c r="E165" s="654">
        <f t="shared" ref="E165:E171" si="17">E63</f>
        <v>652.70000000000005</v>
      </c>
      <c r="F165" s="654">
        <v>670</v>
      </c>
      <c r="G165" s="613">
        <f t="shared" si="16"/>
        <v>17.299999999999955</v>
      </c>
    </row>
    <row r="166" spans="1:7" ht="21.75" customHeight="1">
      <c r="A166" s="1404" t="s">
        <v>107</v>
      </c>
      <c r="B166" s="1404"/>
      <c r="C166" s="1404"/>
      <c r="D166" s="663" t="s">
        <v>198</v>
      </c>
      <c r="E166" s="654">
        <f t="shared" si="17"/>
        <v>82383</v>
      </c>
      <c r="F166" s="654">
        <v>50961.72</v>
      </c>
      <c r="G166" s="613">
        <f>F64-E64</f>
        <v>367</v>
      </c>
    </row>
    <row r="167" spans="1:7" ht="21.75" customHeight="1">
      <c r="A167" s="1404" t="s">
        <v>108</v>
      </c>
      <c r="B167" s="1404"/>
      <c r="C167" s="1404"/>
      <c r="D167" s="663" t="s">
        <v>198</v>
      </c>
      <c r="E167" s="654">
        <f t="shared" si="17"/>
        <v>92018</v>
      </c>
      <c r="F167" s="654">
        <v>48484.45</v>
      </c>
      <c r="G167" s="613">
        <f t="shared" ref="G167:G171" si="18">F65-E65</f>
        <v>377</v>
      </c>
    </row>
    <row r="168" spans="1:7" ht="21.75" customHeight="1">
      <c r="A168" s="1404" t="s">
        <v>109</v>
      </c>
      <c r="B168" s="1404"/>
      <c r="C168" s="1404"/>
      <c r="D168" s="663" t="s">
        <v>198</v>
      </c>
      <c r="E168" s="654">
        <f t="shared" si="17"/>
        <v>85188.91</v>
      </c>
      <c r="F168" s="654">
        <v>43741.95</v>
      </c>
      <c r="G168" s="613">
        <f t="shared" si="18"/>
        <v>387.08999999999651</v>
      </c>
    </row>
    <row r="169" spans="1:7" ht="24.75" customHeight="1">
      <c r="A169" s="1404" t="s">
        <v>110</v>
      </c>
      <c r="B169" s="1404"/>
      <c r="C169" s="1404"/>
      <c r="D169" s="663" t="s">
        <v>198</v>
      </c>
      <c r="E169" s="654">
        <f t="shared" si="17"/>
        <v>137565.65</v>
      </c>
      <c r="F169" s="654">
        <v>81828</v>
      </c>
      <c r="G169" s="613">
        <f t="shared" si="18"/>
        <v>689.35000000000582</v>
      </c>
    </row>
    <row r="170" spans="1:7" ht="24" customHeight="1">
      <c r="A170" s="1404" t="s">
        <v>111</v>
      </c>
      <c r="B170" s="1404"/>
      <c r="C170" s="1404"/>
      <c r="D170" s="663" t="s">
        <v>198</v>
      </c>
      <c r="E170" s="654">
        <f t="shared" si="17"/>
        <v>39118.9</v>
      </c>
      <c r="F170" s="654">
        <v>9040.2999999999993</v>
      </c>
      <c r="G170" s="613">
        <f t="shared" si="18"/>
        <v>296.63999999999942</v>
      </c>
    </row>
    <row r="171" spans="1:7" ht="27.75">
      <c r="A171" s="1404" t="s">
        <v>112</v>
      </c>
      <c r="B171" s="1404"/>
      <c r="C171" s="1404"/>
      <c r="D171" s="663" t="s">
        <v>198</v>
      </c>
      <c r="E171" s="654">
        <f t="shared" si="17"/>
        <v>34087</v>
      </c>
      <c r="F171" s="654">
        <v>21504.2</v>
      </c>
      <c r="G171" s="613">
        <f t="shared" si="18"/>
        <v>290</v>
      </c>
    </row>
    <row r="172" spans="1:7">
      <c r="G172" s="678">
        <f>SUM(G160:G171)</f>
        <v>2834.1399999999994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SheetLayoutView="55" zoomScalePageLayoutView="78" workbookViewId="0">
      <selection sqref="A1:XFD1048576"/>
    </sheetView>
  </sheetViews>
  <sheetFormatPr defaultColWidth="22.33203125" defaultRowHeight="29.25"/>
  <cols>
    <col min="1" max="1" width="59.6640625" style="594" bestFit="1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279</v>
      </c>
      <c r="B2" s="1195">
        <v>44155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30</v>
      </c>
      <c r="E3" s="1449" t="s">
        <v>132</v>
      </c>
      <c r="F3" s="1450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0.81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'[3]19'!F7</f>
        <v>2457718</v>
      </c>
      <c r="F7" s="595">
        <v>2476592</v>
      </c>
      <c r="G7" s="613">
        <f>F7-E7</f>
        <v>18874</v>
      </c>
      <c r="H7" s="600">
        <f>G7+'[3]19'!H7</f>
        <v>371567</v>
      </c>
      <c r="I7" s="614">
        <f>'[3]1'!I7</f>
        <v>12000</v>
      </c>
      <c r="J7" s="693">
        <f>H7/DAY(B2)</f>
        <v>18578.349999999999</v>
      </c>
      <c r="K7" s="690">
        <v>11998</v>
      </c>
      <c r="L7" s="421">
        <f>G7-K7</f>
        <v>6876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'[3]19'!F8</f>
        <v>2469633</v>
      </c>
      <c r="F8" s="615">
        <v>2488730</v>
      </c>
      <c r="G8" s="616">
        <f>F8-E8</f>
        <v>19097</v>
      </c>
      <c r="H8" s="600">
        <f>G8+'[3]19'!H8</f>
        <v>373289</v>
      </c>
      <c r="I8" s="617">
        <f>'[3]1'!I8</f>
        <v>12000</v>
      </c>
      <c r="J8" s="693">
        <f>H8/DAY(B2)</f>
        <v>18664.45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'[3]19'!F9</f>
        <v>2223570</v>
      </c>
      <c r="F9" s="618">
        <v>2226565</v>
      </c>
      <c r="G9" s="613">
        <f t="shared" ref="G9:G12" si="0">F9-E9</f>
        <v>2995</v>
      </c>
      <c r="H9" s="600">
        <f>G9+'[3]19'!H9</f>
        <v>209559.69999999995</v>
      </c>
      <c r="I9" s="619">
        <f>I8-J8</f>
        <v>-6664.4500000000007</v>
      </c>
      <c r="J9" s="693">
        <f>H9/DAY(B2)</f>
        <v>10477.984999999997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'[3]19'!F10</f>
        <v>133488</v>
      </c>
      <c r="F10" s="618">
        <v>148670.91</v>
      </c>
      <c r="G10" s="613">
        <f t="shared" si="0"/>
        <v>15182.910000000003</v>
      </c>
      <c r="H10" s="600">
        <f>G10+'[3]19'!H10</f>
        <v>148671.12000000002</v>
      </c>
      <c r="I10" s="620"/>
      <c r="J10" s="693">
        <f>H10/DAY(B2)</f>
        <v>7433.5560000000014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'[3]19'!F11</f>
        <v>35390</v>
      </c>
      <c r="F11" s="595">
        <v>35390</v>
      </c>
      <c r="G11" s="613">
        <f t="shared" si="0"/>
        <v>0</v>
      </c>
      <c r="H11" s="600">
        <f>G11+'[3]19'!H11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'[3]19'!F12</f>
        <v>37630</v>
      </c>
      <c r="F12" s="618">
        <v>37630</v>
      </c>
      <c r="G12" s="613">
        <f t="shared" si="0"/>
        <v>0</v>
      </c>
      <c r="H12" s="600">
        <f>G12+'[3]19'!H12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18177.910000000003</v>
      </c>
      <c r="H13" s="600">
        <f>G13+'[3]19'!H13</f>
        <v>303967.02</v>
      </c>
      <c r="I13" s="622">
        <f>G7-G13</f>
        <v>696.08999999999651</v>
      </c>
      <c r="J13" s="693">
        <f>H13/DAY(B2)</f>
        <v>15198.351000000001</v>
      </c>
      <c r="K13" s="527"/>
      <c r="L13" s="421"/>
      <c r="N13" s="426"/>
      <c r="O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'[3]19'!F15</f>
        <v>1540093</v>
      </c>
      <c r="F15" s="624">
        <v>1540733</v>
      </c>
      <c r="G15" s="941">
        <f>(F15-E15)</f>
        <v>640</v>
      </c>
      <c r="H15" s="600">
        <f>G15+'[3]19'!H15</f>
        <v>10617.806000000099</v>
      </c>
      <c r="I15" s="614">
        <v>800</v>
      </c>
      <c r="J15" s="693">
        <f>H15/DAY(B2)</f>
        <v>530.89030000000491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269.10969999999509</v>
      </c>
      <c r="J16" s="694"/>
      <c r="K16" s="527"/>
      <c r="L16" s="421"/>
      <c r="N16" s="426"/>
      <c r="O16" s="426"/>
    </row>
    <row r="17" spans="1:1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32" t="s">
        <v>154</v>
      </c>
      <c r="B18" s="1433"/>
      <c r="C18" s="1434"/>
      <c r="D18" s="663" t="s">
        <v>155</v>
      </c>
      <c r="E18" s="624">
        <f>'[3]19'!F18</f>
        <v>8</v>
      </c>
      <c r="F18" s="624">
        <v>8</v>
      </c>
      <c r="G18" s="621">
        <f>F18*10</f>
        <v>80</v>
      </c>
      <c r="H18" s="600">
        <f>G18+'[3]19'!H18</f>
        <v>2020</v>
      </c>
      <c r="I18" s="614">
        <f>'[3]1'!I18</f>
        <v>65</v>
      </c>
      <c r="J18" s="693">
        <f>H18/DAY(B2)</f>
        <v>101</v>
      </c>
      <c r="K18" s="527"/>
      <c r="L18" s="421"/>
      <c r="N18" s="426"/>
      <c r="O18" s="426"/>
    </row>
    <row r="19" spans="1:15" ht="27.75">
      <c r="A19" s="1432" t="s">
        <v>71</v>
      </c>
      <c r="B19" s="1433"/>
      <c r="C19" s="1434"/>
      <c r="D19" s="663" t="s">
        <v>155</v>
      </c>
      <c r="E19" s="624">
        <f>'[3]19'!F19</f>
        <v>129185</v>
      </c>
      <c r="F19" s="624">
        <v>129243</v>
      </c>
      <c r="G19" s="613">
        <f t="shared" ref="G19" si="1">F19-E19</f>
        <v>58</v>
      </c>
      <c r="H19" s="600">
        <f>G19+'[3]19'!H19</f>
        <v>1048</v>
      </c>
      <c r="I19" s="629"/>
      <c r="J19" s="693">
        <f>H19/DAY(B2)</f>
        <v>52.4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138</v>
      </c>
      <c r="H20" s="600">
        <f>G20+'[3]19'!H20</f>
        <v>3068</v>
      </c>
      <c r="I20" s="632">
        <f>I18-J20</f>
        <v>-88.4</v>
      </c>
      <c r="J20" s="693">
        <f>H20/DAY(B2)</f>
        <v>153.4</v>
      </c>
      <c r="K20" s="527"/>
      <c r="L20" s="421"/>
      <c r="N20" s="426"/>
      <c r="O20" s="426"/>
    </row>
    <row r="21" spans="1:1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'[3]19'!F22</f>
        <v>2250</v>
      </c>
      <c r="F22" s="624">
        <v>2250</v>
      </c>
      <c r="G22" s="621">
        <v>0</v>
      </c>
      <c r="H22" s="600">
        <f>G22+'[3]19'!H22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'[3]19'!F23</f>
        <v>1700</v>
      </c>
      <c r="F23" s="624">
        <v>1700</v>
      </c>
      <c r="G23" s="621">
        <v>0</v>
      </c>
      <c r="H23" s="600">
        <f>G23+'[3]19'!H23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'[3]19'!F24</f>
        <v>3310</v>
      </c>
      <c r="F24" s="633">
        <v>3310</v>
      </c>
      <c r="G24" s="621">
        <v>0</v>
      </c>
      <c r="H24" s="600">
        <f>G24+'[3]19'!H24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19097</v>
      </c>
      <c r="F27" s="641">
        <v>9.5</v>
      </c>
      <c r="G27" s="642">
        <f>E27*F27</f>
        <v>181421.5</v>
      </c>
      <c r="H27" s="600">
        <f>G27+'[3]19'!H27</f>
        <v>3546245.5</v>
      </c>
      <c r="I27" s="643"/>
      <c r="J27" s="693">
        <f>H27/DAY(B2)</f>
        <v>177312.27499999999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640</v>
      </c>
      <c r="F28" s="641">
        <v>36.5</v>
      </c>
      <c r="G28" s="642">
        <f>E28*F28</f>
        <v>23360</v>
      </c>
      <c r="H28" s="600">
        <f>G28+'[3]19'!H28</f>
        <v>387549.9190000036</v>
      </c>
      <c r="I28" s="645"/>
      <c r="J28" s="693">
        <f>H28/DAY(B2)</f>
        <v>19377.495950000179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G29+'[3]19'!H29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58</v>
      </c>
      <c r="F30" s="641">
        <v>145</v>
      </c>
      <c r="G30" s="642">
        <f>E30*F30</f>
        <v>8410</v>
      </c>
      <c r="H30" s="600">
        <f>G30+'[3]19'!H30</f>
        <v>151960</v>
      </c>
      <c r="I30" s="645"/>
      <c r="J30" s="693">
        <f>H30/DAY(B2)</f>
        <v>7598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G31+'[3]19'!H31</f>
        <v>161600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219591.5</v>
      </c>
      <c r="H32" s="600">
        <f>G32+'[3]19'!H32</f>
        <v>4247355.4190000035</v>
      </c>
      <c r="I32" s="649"/>
      <c r="J32" s="693">
        <f>H32/DAY(B2)</f>
        <v>212367.77095000018</v>
      </c>
      <c r="K32" s="417"/>
      <c r="L32" s="547"/>
      <c r="N32" s="556"/>
      <c r="O32" s="426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'[3]19'!F35</f>
        <v>629027</v>
      </c>
      <c r="F35" s="650">
        <v>629027</v>
      </c>
      <c r="G35" s="613">
        <f t="shared" ref="G35:G46" si="2">F35-E35</f>
        <v>0</v>
      </c>
      <c r="H35" s="600">
        <f>G35+'[3]19'!H35</f>
        <v>25857.530000000028</v>
      </c>
      <c r="I35" s="595"/>
      <c r="J35" s="693">
        <f>H35/DAY(B2)</f>
        <v>1292.8765000000014</v>
      </c>
      <c r="K35" s="527">
        <v>1457.2799999999697</v>
      </c>
      <c r="L35" s="421">
        <f>G35-K35</f>
        <v>-1457.2799999999697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'[3]19'!F36</f>
        <v>222298</v>
      </c>
      <c r="F36" s="650">
        <v>222882</v>
      </c>
      <c r="G36" s="613">
        <f t="shared" si="2"/>
        <v>584</v>
      </c>
      <c r="H36" s="600">
        <f>G36+'[3]19'!H36</f>
        <v>11522.049999999988</v>
      </c>
      <c r="I36" s="595"/>
      <c r="J36" s="693">
        <f>H36/DAY(B2)</f>
        <v>576.1024999999994</v>
      </c>
      <c r="K36" s="527">
        <v>483.92999999999302</v>
      </c>
      <c r="L36" s="421">
        <f t="shared" ref="L36:L60" si="3">G36-K36</f>
        <v>100.07000000000698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'[3]19'!F37</f>
        <v>415066</v>
      </c>
      <c r="F37" s="650">
        <v>415066</v>
      </c>
      <c r="G37" s="613">
        <f t="shared" si="2"/>
        <v>0</v>
      </c>
      <c r="H37" s="600">
        <f>G37+'[3]19'!H37</f>
        <v>15221.809999999998</v>
      </c>
      <c r="I37" s="595"/>
      <c r="J37" s="693">
        <f>H37/DAY(B2)</f>
        <v>761.09049999999991</v>
      </c>
      <c r="K37" s="527">
        <v>1173.9200000000128</v>
      </c>
      <c r="L37" s="421">
        <f>G37-K37</f>
        <v>-1173.9200000000128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'[3]19'!F38</f>
        <v>150714</v>
      </c>
      <c r="F38" s="609">
        <v>150714</v>
      </c>
      <c r="G38" s="613">
        <f t="shared" si="2"/>
        <v>0</v>
      </c>
      <c r="H38" s="600">
        <f>G38+'[3]19'!H38</f>
        <v>0</v>
      </c>
      <c r="I38" s="595"/>
      <c r="J38" s="693">
        <f>H38/DAY(B2)</f>
        <v>0</v>
      </c>
      <c r="K38" s="527">
        <v>0</v>
      </c>
      <c r="L38" s="421">
        <f t="shared" si="3"/>
        <v>0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'[3]19'!F39</f>
        <v>912480</v>
      </c>
      <c r="F39" s="650">
        <v>912480</v>
      </c>
      <c r="G39" s="613">
        <f t="shared" si="2"/>
        <v>0</v>
      </c>
      <c r="H39" s="600">
        <f>G39+'[3]19'!H39</f>
        <v>40355.290000000037</v>
      </c>
      <c r="I39" s="595"/>
      <c r="J39" s="693">
        <f>H39/DAY(B2)</f>
        <v>2017.7645000000018</v>
      </c>
      <c r="K39" s="527">
        <v>1987.0400000000373</v>
      </c>
      <c r="L39" s="421">
        <f t="shared" si="3"/>
        <v>-1987.0400000000373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'[3]19'!F40</f>
        <v>0</v>
      </c>
      <c r="F40" s="650">
        <v>0</v>
      </c>
      <c r="G40" s="613">
        <f t="shared" si="2"/>
        <v>0</v>
      </c>
      <c r="H40" s="600">
        <f>G40+'[3]19'!H40</f>
        <v>0</v>
      </c>
      <c r="I40" s="595"/>
      <c r="J40" s="693">
        <f>H40/DAY(B2)</f>
        <v>0</v>
      </c>
      <c r="K40" s="528">
        <v>0</v>
      </c>
      <c r="L40" s="421">
        <f t="shared" si="3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'[3]19'!F41</f>
        <v>300127.95</v>
      </c>
      <c r="F41" s="650">
        <v>300127.95</v>
      </c>
      <c r="G41" s="613">
        <f t="shared" si="2"/>
        <v>0</v>
      </c>
      <c r="H41" s="600">
        <f>G41+'[3]19'!H41</f>
        <v>-1.9999999960418791E-2</v>
      </c>
      <c r="I41" s="595"/>
      <c r="J41" s="693">
        <f>H41/DAY(B2)</f>
        <v>-9.9999999802093944E-4</v>
      </c>
      <c r="K41" s="527">
        <v>0</v>
      </c>
      <c r="L41" s="421">
        <f t="shared" si="3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'[3]19'!F42</f>
        <v>396197.95</v>
      </c>
      <c r="F42" s="650">
        <v>396197.95</v>
      </c>
      <c r="G42" s="613">
        <f t="shared" si="2"/>
        <v>0</v>
      </c>
      <c r="H42" s="600">
        <f>G42+'[3]19'!H42</f>
        <v>0.48000000003958121</v>
      </c>
      <c r="I42" s="595"/>
      <c r="J42" s="693">
        <f>H42/DAY(B2)</f>
        <v>2.400000000197906E-2</v>
      </c>
      <c r="K42" s="527">
        <v>3246.4500000000007</v>
      </c>
      <c r="L42" s="421">
        <f t="shared" si="3"/>
        <v>-3246.4500000000007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'[3]19'!F43</f>
        <v>603535.94999999995</v>
      </c>
      <c r="F43" s="650">
        <v>606076.03</v>
      </c>
      <c r="G43" s="613">
        <f t="shared" si="2"/>
        <v>2540.0800000000745</v>
      </c>
      <c r="H43" s="600">
        <f>G43+'[3]19'!H43</f>
        <v>47751.960000000079</v>
      </c>
      <c r="I43" s="595"/>
      <c r="J43" s="693">
        <f>H43/DAY(B2)</f>
        <v>2387.598000000004</v>
      </c>
      <c r="K43" s="527">
        <v>1559.2000000000116</v>
      </c>
      <c r="L43" s="421">
        <f t="shared" si="3"/>
        <v>980.88000000006286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'[3]19'!F44</f>
        <v>0</v>
      </c>
      <c r="F44" s="650">
        <v>0</v>
      </c>
      <c r="G44" s="613">
        <f t="shared" si="2"/>
        <v>0</v>
      </c>
      <c r="H44" s="600">
        <f>G44+'[3]19'!H44</f>
        <v>0</v>
      </c>
      <c r="I44" s="595"/>
      <c r="J44" s="693">
        <f>H44/DAY(B2)</f>
        <v>0</v>
      </c>
      <c r="K44" s="527">
        <v>0</v>
      </c>
      <c r="L44" s="421">
        <f t="shared" si="3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'[3]19'!F45</f>
        <v>614</v>
      </c>
      <c r="F45" s="650">
        <v>614</v>
      </c>
      <c r="G45" s="613">
        <f t="shared" si="2"/>
        <v>0</v>
      </c>
      <c r="H45" s="600">
        <f>G45+'[3]19'!H45</f>
        <v>-0.48000000000001819</v>
      </c>
      <c r="I45" s="595"/>
      <c r="J45" s="693">
        <f>H45/DAY(B2)</f>
        <v>-2.4000000000000909E-2</v>
      </c>
      <c r="K45" s="527">
        <v>0</v>
      </c>
      <c r="L45" s="421">
        <f t="shared" si="3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'[3]19'!F46</f>
        <v>187.44</v>
      </c>
      <c r="F46" s="650">
        <v>187.44</v>
      </c>
      <c r="G46" s="613">
        <f t="shared" si="2"/>
        <v>0</v>
      </c>
      <c r="H46" s="600">
        <f>G46+'[3]19'!H46</f>
        <v>-5.0000000000011369E-2</v>
      </c>
      <c r="I46" s="595"/>
      <c r="J46" s="693">
        <f>H46/DAY(B2)</f>
        <v>-2.5000000000005686E-3</v>
      </c>
      <c r="K46" s="527">
        <v>0</v>
      </c>
      <c r="L46" s="421">
        <f t="shared" si="3"/>
        <v>0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3124.0800000000745</v>
      </c>
      <c r="H47" s="600">
        <f>G47+'[3]19'!H47</f>
        <v>140708.57000000024</v>
      </c>
      <c r="I47" s="595"/>
      <c r="J47" s="693">
        <f>H47/DAY(B2)</f>
        <v>7035.4285000000118</v>
      </c>
      <c r="K47" s="527">
        <v>9907.8200000000252</v>
      </c>
      <c r="L47" s="421">
        <f t="shared" si="3"/>
        <v>-6783.7399999999507</v>
      </c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>
        <f t="shared" si="3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'[3]19'!F49</f>
        <v>33609</v>
      </c>
      <c r="F49" s="650">
        <v>36135.300000000003</v>
      </c>
      <c r="G49" s="613">
        <f t="shared" ref="G49:G58" si="4">F49-E49</f>
        <v>2526.3000000000029</v>
      </c>
      <c r="H49" s="600">
        <f>G49+'[3]19'!H49</f>
        <v>24406.012000000002</v>
      </c>
      <c r="I49" s="595"/>
      <c r="J49" s="693">
        <f>H49/DAY(B2)</f>
        <v>1220.3006</v>
      </c>
      <c r="K49" s="527">
        <v>0</v>
      </c>
      <c r="L49" s="421">
        <f t="shared" si="3"/>
        <v>2526.3000000000029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'[3]19'!F50</f>
        <v>283278</v>
      </c>
      <c r="F50" s="650">
        <v>284368.01</v>
      </c>
      <c r="G50" s="613">
        <f t="shared" si="4"/>
        <v>1090.0100000000093</v>
      </c>
      <c r="H50" s="600">
        <f>G50+'[3]19'!H50</f>
        <v>18309.070000000007</v>
      </c>
      <c r="I50" s="595"/>
      <c r="J50" s="693">
        <f>H50/DAY(B2)</f>
        <v>915.4535000000003</v>
      </c>
      <c r="K50" s="527">
        <v>631.67000000001281</v>
      </c>
      <c r="L50" s="421">
        <f t="shared" si="3"/>
        <v>458.33999999999651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'[3]19'!F51</f>
        <v>3685</v>
      </c>
      <c r="F51" s="650">
        <v>5072.74</v>
      </c>
      <c r="G51" s="613">
        <f t="shared" si="4"/>
        <v>1387.7399999999998</v>
      </c>
      <c r="H51" s="600">
        <f>G51+'[3]19'!H51</f>
        <v>13047.791900000002</v>
      </c>
      <c r="I51" s="595"/>
      <c r="J51" s="693">
        <f>H51/DAY(B2)</f>
        <v>652.3895950000001</v>
      </c>
      <c r="K51" s="527">
        <v>0</v>
      </c>
      <c r="L51" s="421">
        <f t="shared" si="3"/>
        <v>1387.7399999999998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'[3]19'!F52</f>
        <v>351684</v>
      </c>
      <c r="F52" s="650">
        <v>353447.47</v>
      </c>
      <c r="G52" s="613">
        <f t="shared" si="4"/>
        <v>1763.4699999999721</v>
      </c>
      <c r="H52" s="600">
        <f>G52+'[3]19'!H52</f>
        <v>31158.049999999988</v>
      </c>
      <c r="I52" s="595"/>
      <c r="J52" s="693">
        <f>H52/DAY(B2)</f>
        <v>1557.9024999999995</v>
      </c>
      <c r="K52" s="527">
        <v>1057.5200000000186</v>
      </c>
      <c r="L52" s="421">
        <f t="shared" si="3"/>
        <v>705.94999999995343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'[3]19'!F53</f>
        <v>174.94</v>
      </c>
      <c r="F53" s="650">
        <v>4149.8999999999996</v>
      </c>
      <c r="G53" s="613">
        <f t="shared" si="4"/>
        <v>3974.9599999999996</v>
      </c>
      <c r="H53" s="600">
        <f>G53+'[3]19'!H53</f>
        <v>15030.9</v>
      </c>
      <c r="I53" s="595"/>
      <c r="J53" s="693">
        <f>H53/DAY(B2)</f>
        <v>751.54499999999996</v>
      </c>
      <c r="K53" s="527">
        <v>106.48999999999978</v>
      </c>
      <c r="L53" s="421">
        <f t="shared" si="3"/>
        <v>3868.47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'[3]19'!F54</f>
        <v>2633</v>
      </c>
      <c r="F54" s="650">
        <v>2648.98</v>
      </c>
      <c r="G54" s="613">
        <f t="shared" si="4"/>
        <v>15.980000000000018</v>
      </c>
      <c r="H54" s="600">
        <f>G54+'[3]19'!H54</f>
        <v>1096.4193</v>
      </c>
      <c r="I54" s="595"/>
      <c r="J54" s="693">
        <f>H54/DAY(B2)</f>
        <v>54.820965000000001</v>
      </c>
      <c r="K54" s="527">
        <v>0</v>
      </c>
      <c r="L54" s="421">
        <f t="shared" si="3"/>
        <v>15.980000000000018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'[3]19'!F55</f>
        <v>158492.73000000001</v>
      </c>
      <c r="F55" s="650">
        <v>158492.73000000001</v>
      </c>
      <c r="G55" s="613">
        <f t="shared" si="4"/>
        <v>0</v>
      </c>
      <c r="H55" s="600">
        <f>G55+'[3]19'!H55</f>
        <v>-0.26999999998952262</v>
      </c>
      <c r="I55" s="595"/>
      <c r="J55" s="693">
        <f>H55/DAY(B2)</f>
        <v>-1.3499999999476131E-2</v>
      </c>
      <c r="K55" s="527">
        <v>0</v>
      </c>
      <c r="L55" s="421">
        <f t="shared" si="3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'[3]19'!F56</f>
        <v>387429</v>
      </c>
      <c r="F56" s="650">
        <v>391750.55</v>
      </c>
      <c r="G56" s="613">
        <f t="shared" si="4"/>
        <v>4321.5499999999884</v>
      </c>
      <c r="H56" s="600">
        <f>G56+'[3]19'!H56</f>
        <v>79706.070000000007</v>
      </c>
      <c r="I56" s="595"/>
      <c r="J56" s="693">
        <f>H56/DAY(B2)</f>
        <v>3985.3035000000004</v>
      </c>
      <c r="K56" s="526">
        <v>0</v>
      </c>
      <c r="L56" s="421">
        <f t="shared" si="3"/>
        <v>4321.5499999999884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'[3]19'!F57</f>
        <v>0</v>
      </c>
      <c r="F57" s="650">
        <v>0</v>
      </c>
      <c r="G57" s="613">
        <f t="shared" si="4"/>
        <v>0</v>
      </c>
      <c r="H57" s="600">
        <f>G57+'[3]19'!H57</f>
        <v>0</v>
      </c>
      <c r="I57" s="595"/>
      <c r="J57" s="693">
        <f>H57/DAY(B2)</f>
        <v>0</v>
      </c>
      <c r="K57" s="527">
        <v>0</v>
      </c>
      <c r="L57" s="421">
        <f t="shared" si="3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'[3]19'!F58</f>
        <v>18987</v>
      </c>
      <c r="F58" s="650">
        <v>19157.09</v>
      </c>
      <c r="G58" s="613">
        <f t="shared" si="4"/>
        <v>170.09000000000015</v>
      </c>
      <c r="H58" s="600">
        <f>G58+'[3]19'!H58</f>
        <v>1387.7939999999981</v>
      </c>
      <c r="I58" s="595"/>
      <c r="J58" s="693">
        <f>H58/DAY(B2)</f>
        <v>69.389699999999905</v>
      </c>
      <c r="K58" s="527">
        <v>0</v>
      </c>
      <c r="L58" s="421">
        <f t="shared" si="3"/>
        <v>170.09000000000015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15250.099999999971</v>
      </c>
      <c r="H59" s="600">
        <f>G59+'[3]19'!H59</f>
        <v>184141.83720000001</v>
      </c>
      <c r="I59" s="595">
        <f>G7-G60</f>
        <v>499.81999999995605</v>
      </c>
      <c r="J59" s="693">
        <f>H59/DAY(B2)</f>
        <v>9207.0918600000005</v>
      </c>
      <c r="K59" s="527">
        <v>1795.6800000000312</v>
      </c>
      <c r="L59" s="421">
        <f t="shared" si="3"/>
        <v>13454.41999999994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18374.180000000044</v>
      </c>
      <c r="H60" s="600">
        <f>G60+'[3]19'!H60</f>
        <v>339236.5679000002</v>
      </c>
      <c r="I60" s="595">
        <f>G13-G60</f>
        <v>-196.27000000004045</v>
      </c>
      <c r="J60" s="693">
        <f>H60/DAY(B2)</f>
        <v>16961.828395000011</v>
      </c>
      <c r="K60" s="527">
        <v>11703.500000000056</v>
      </c>
      <c r="L60" s="421">
        <f t="shared" si="3"/>
        <v>6670.6799999999876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'[3]19'!F62</f>
        <v>20419.2</v>
      </c>
      <c r="F62" s="654">
        <v>20419.2</v>
      </c>
      <c r="G62" s="613">
        <f t="shared" ref="G62:G69" si="5">F62-E62</f>
        <v>0</v>
      </c>
      <c r="H62" s="600">
        <f>G62+'[3]19'!H62</f>
        <v>-0.17799999999624561</v>
      </c>
      <c r="I62" s="655"/>
      <c r="J62" s="693">
        <f>H62/DAY(B2)</f>
        <v>-8.8999999998122803E-3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'[3]19'!F63</f>
        <v>670</v>
      </c>
      <c r="F63" s="654">
        <v>689.02</v>
      </c>
      <c r="G63" s="613">
        <f t="shared" si="5"/>
        <v>19.019999999999982</v>
      </c>
      <c r="H63" s="600">
        <f>G63+'[3]19'!H63</f>
        <v>390.56</v>
      </c>
      <c r="I63" s="655"/>
      <c r="J63" s="693">
        <f>H63/DAY(B2)</f>
        <v>19.527999999999999</v>
      </c>
      <c r="K63" s="527"/>
      <c r="L63" s="421"/>
      <c r="N63" s="426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24">
        <f>'[3]19'!F64</f>
        <v>82750</v>
      </c>
      <c r="F64" s="624">
        <v>83110.39</v>
      </c>
      <c r="G64" s="613">
        <f t="shared" si="5"/>
        <v>360.38999999999942</v>
      </c>
      <c r="H64" s="600">
        <f>G64+'[3]19'!H64</f>
        <v>7047.3029999999999</v>
      </c>
      <c r="I64" s="620"/>
      <c r="J64" s="693">
        <f>H64/DAY(B2)</f>
        <v>352.36514999999997</v>
      </c>
      <c r="K64" s="527"/>
      <c r="L64" s="421"/>
      <c r="N64" s="426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624">
        <f>'[3]19'!F65</f>
        <v>92395</v>
      </c>
      <c r="F65" s="624">
        <v>92779.35</v>
      </c>
      <c r="G65" s="613">
        <f t="shared" si="5"/>
        <v>384.35000000000582</v>
      </c>
      <c r="H65" s="600">
        <f>G65+'[3]19'!H65</f>
        <v>7620.0869999999995</v>
      </c>
      <c r="I65" s="629"/>
      <c r="J65" s="693">
        <f>H65/DAY(B2)</f>
        <v>381.00434999999999</v>
      </c>
      <c r="K65" s="527"/>
      <c r="L65" s="421"/>
      <c r="N65" s="426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24">
        <f>'[3]19'!F66</f>
        <v>85576</v>
      </c>
      <c r="F66" s="624">
        <v>85958.76</v>
      </c>
      <c r="G66" s="613">
        <f t="shared" si="5"/>
        <v>382.75999999999476</v>
      </c>
      <c r="H66" s="600">
        <f>G66+'[3]19'!H66</f>
        <v>7770.801999999996</v>
      </c>
      <c r="I66" s="620"/>
      <c r="J66" s="693">
        <f>H66/DAY(B2)</f>
        <v>388.54009999999982</v>
      </c>
      <c r="K66" s="527"/>
      <c r="L66" s="421"/>
      <c r="N66" s="426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24">
        <f>'[3]19'!F67</f>
        <v>138255</v>
      </c>
      <c r="F67" s="624">
        <v>138948.75</v>
      </c>
      <c r="G67" s="613">
        <f t="shared" si="5"/>
        <v>693.75</v>
      </c>
      <c r="H67" s="600">
        <f>G67+'[3]19'!H67</f>
        <v>12892.25</v>
      </c>
      <c r="I67" s="629"/>
      <c r="J67" s="693">
        <f>H67/DAY(B2)</f>
        <v>644.61249999999995</v>
      </c>
      <c r="K67" s="528"/>
      <c r="L67" s="421"/>
      <c r="N67" s="426"/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624">
        <f>'[3]19'!F68</f>
        <v>39415.54</v>
      </c>
      <c r="F68" s="624">
        <v>39708.44</v>
      </c>
      <c r="G68" s="613">
        <f t="shared" si="5"/>
        <v>292.90000000000146</v>
      </c>
      <c r="H68" s="600">
        <f>G68+'[3]19'!H68</f>
        <v>6308.5710000000036</v>
      </c>
      <c r="I68" s="656"/>
      <c r="J68" s="693">
        <f>H68/DAY(B2)</f>
        <v>315.4285500000002</v>
      </c>
      <c r="K68" s="529"/>
      <c r="L68" s="421"/>
      <c r="N68" s="426"/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624">
        <f>'[3]19'!F69</f>
        <v>34377</v>
      </c>
      <c r="F69" s="624">
        <v>34670</v>
      </c>
      <c r="G69" s="613">
        <f t="shared" si="5"/>
        <v>293</v>
      </c>
      <c r="H69" s="600">
        <f>G69+'[3]19'!H69</f>
        <v>5417.6349999999984</v>
      </c>
      <c r="I69" s="656"/>
      <c r="J69" s="693">
        <f>H69/DAY(B2)</f>
        <v>270.8817499999999</v>
      </c>
      <c r="K69" s="530"/>
      <c r="L69" s="421"/>
      <c r="N69" s="426"/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659">
        <f>'[3]19'!F72</f>
        <v>844084</v>
      </c>
      <c r="F72" s="659">
        <v>844094</v>
      </c>
      <c r="G72" s="613">
        <f t="shared" ref="G72:G84" si="6">F72-E72</f>
        <v>10</v>
      </c>
      <c r="H72" s="600">
        <f>G72+'[3]19'!H72</f>
        <v>152</v>
      </c>
      <c r="I72" s="620"/>
      <c r="J72" s="693">
        <f>H72/DAY(B2)</f>
        <v>7.6</v>
      </c>
      <c r="K72" s="530"/>
      <c r="L72" s="421"/>
      <c r="N72" s="426"/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660">
        <f>'[3]19'!F73</f>
        <v>885271</v>
      </c>
      <c r="F73" s="660">
        <v>885292</v>
      </c>
      <c r="G73" s="613">
        <f t="shared" si="6"/>
        <v>21</v>
      </c>
      <c r="H73" s="600">
        <f>G73+'[3]19'!H73</f>
        <v>164</v>
      </c>
      <c r="I73" s="620"/>
      <c r="J73" s="693">
        <f>H73/DAY(B2)</f>
        <v>8.1999999999999993</v>
      </c>
      <c r="K73" s="529"/>
      <c r="L73" s="421"/>
      <c r="N73" s="426"/>
      <c r="O73" s="426"/>
    </row>
    <row r="74" spans="1:15" ht="27.75">
      <c r="A74" s="1571" t="s">
        <v>204</v>
      </c>
      <c r="B74" s="1572"/>
      <c r="C74" s="1573"/>
      <c r="D74" s="663" t="s">
        <v>198</v>
      </c>
      <c r="E74" s="661">
        <f>'[3]19'!F74</f>
        <v>879978</v>
      </c>
      <c r="F74" s="661">
        <v>880000</v>
      </c>
      <c r="G74" s="613">
        <f t="shared" si="6"/>
        <v>22</v>
      </c>
      <c r="H74" s="600">
        <f>G74+'[3]19'!H74</f>
        <v>364</v>
      </c>
      <c r="I74" s="620"/>
      <c r="J74" s="693">
        <f>H74/DAY(B2)</f>
        <v>18.2</v>
      </c>
      <c r="K74" s="530"/>
      <c r="L74" s="421"/>
      <c r="N74" s="426"/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661">
        <f>'[3]19'!F75</f>
        <v>724376</v>
      </c>
      <c r="F75" s="661">
        <v>724541</v>
      </c>
      <c r="G75" s="613">
        <f t="shared" si="6"/>
        <v>165</v>
      </c>
      <c r="H75" s="600">
        <f>G75+'[3]19'!H75</f>
        <v>3175</v>
      </c>
      <c r="I75" s="620"/>
      <c r="J75" s="693">
        <f>H75/DAY(B2)</f>
        <v>158.75</v>
      </c>
      <c r="K75" s="529"/>
      <c r="L75" s="421"/>
      <c r="N75" s="426"/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661">
        <f>'[3]19'!F76</f>
        <v>680916</v>
      </c>
      <c r="F76" s="791">
        <v>680984</v>
      </c>
      <c r="G76" s="613">
        <f t="shared" si="6"/>
        <v>68</v>
      </c>
      <c r="H76" s="600">
        <f>G76+'[3]19'!H76</f>
        <v>2514</v>
      </c>
      <c r="I76" s="645"/>
      <c r="J76" s="693">
        <f>H76/DAY(B2)</f>
        <v>125.7</v>
      </c>
      <c r="K76" s="529"/>
      <c r="L76" s="421"/>
      <c r="N76" s="426"/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661">
        <f>'[3]19'!F77</f>
        <v>693181</v>
      </c>
      <c r="F77" s="661">
        <v>693231</v>
      </c>
      <c r="G77" s="613">
        <f t="shared" si="6"/>
        <v>50</v>
      </c>
      <c r="H77" s="600">
        <f>G77+'[3]19'!H77</f>
        <v>924</v>
      </c>
      <c r="I77" s="645"/>
      <c r="J77" s="693">
        <f>H77/DAY(B2)</f>
        <v>46.2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'[3]19'!F78</f>
        <v>614050</v>
      </c>
      <c r="F78" s="661">
        <v>614421</v>
      </c>
      <c r="G78" s="613">
        <f t="shared" si="6"/>
        <v>371</v>
      </c>
      <c r="H78" s="600">
        <f>G78+'[3]19'!H78</f>
        <v>6407</v>
      </c>
      <c r="I78" s="645"/>
      <c r="J78" s="693">
        <f>H78/DAY(B2)</f>
        <v>320.35000000000002</v>
      </c>
      <c r="K78" s="529"/>
      <c r="L78" s="421"/>
      <c r="N78" s="426"/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661">
        <f>'[3]19'!F79</f>
        <v>795927</v>
      </c>
      <c r="F79" s="661">
        <v>796096</v>
      </c>
      <c r="G79" s="613">
        <f t="shared" si="6"/>
        <v>169</v>
      </c>
      <c r="H79" s="600">
        <f>G79+'[3]19'!H79</f>
        <v>5281</v>
      </c>
      <c r="I79" s="645"/>
      <c r="J79" s="693">
        <f>H79/DAY(B2)</f>
        <v>264.05</v>
      </c>
      <c r="K79" s="529"/>
      <c r="L79" s="421"/>
      <c r="N79" s="426"/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660">
        <f>'[3]19'!F80</f>
        <v>462218</v>
      </c>
      <c r="F80" s="660">
        <v>462507</v>
      </c>
      <c r="G80" s="613">
        <f t="shared" si="6"/>
        <v>289</v>
      </c>
      <c r="H80" s="600">
        <f>G80+'[3]19'!H80</f>
        <v>4070.1199999999953</v>
      </c>
      <c r="I80" s="645"/>
      <c r="J80" s="693">
        <f>H80/DAY(B2)</f>
        <v>203.50599999999977</v>
      </c>
      <c r="K80" s="529"/>
      <c r="L80" s="421"/>
      <c r="N80" s="426"/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'[3]19'!F81</f>
        <v>613001</v>
      </c>
      <c r="F81" s="660">
        <v>613085</v>
      </c>
      <c r="G81" s="613">
        <f t="shared" si="6"/>
        <v>84</v>
      </c>
      <c r="H81" s="600">
        <f>G81+'[3]19'!H81</f>
        <v>1962.7199999999721</v>
      </c>
      <c r="I81" s="645"/>
      <c r="J81" s="693">
        <f>H81/DAY(B2)</f>
        <v>98.135999999998603</v>
      </c>
      <c r="K81" s="529"/>
      <c r="L81" s="421"/>
      <c r="N81" s="426"/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'[3]19'!F82</f>
        <v>103339</v>
      </c>
      <c r="F82" s="662">
        <v>103348</v>
      </c>
      <c r="G82" s="613">
        <f t="shared" si="6"/>
        <v>9</v>
      </c>
      <c r="H82" s="600">
        <f>G82+'[3]19'!H82</f>
        <v>318.05000000000291</v>
      </c>
      <c r="I82" s="626"/>
      <c r="J82" s="693">
        <f>H82/DAY(B2)</f>
        <v>15.902500000000146</v>
      </c>
      <c r="K82" s="529"/>
      <c r="L82" s="421"/>
      <c r="N82" s="426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'[3]19'!F83</f>
        <v>958821</v>
      </c>
      <c r="F83" s="651">
        <v>959177</v>
      </c>
      <c r="G83" s="613">
        <f t="shared" si="6"/>
        <v>356</v>
      </c>
      <c r="H83" s="600">
        <f>G83+'[3]19'!H83</f>
        <v>6934</v>
      </c>
      <c r="I83" s="621"/>
      <c r="J83" s="693">
        <f>H83/DAY(B2)</f>
        <v>346.7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'[3]19'!F84</f>
        <v>375992</v>
      </c>
      <c r="F84" s="768">
        <v>376481</v>
      </c>
      <c r="G84" s="613">
        <f t="shared" si="6"/>
        <v>489</v>
      </c>
      <c r="H84" s="600">
        <f>G84+'[3]19'!H84</f>
        <v>10048</v>
      </c>
      <c r="I84" s="621"/>
      <c r="J84" s="693">
        <f>H84/DAY(B2)</f>
        <v>502.4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2103</v>
      </c>
      <c r="H85" s="600">
        <f>G85+'[3]19'!H85</f>
        <v>38987.989999999991</v>
      </c>
      <c r="I85" s="621"/>
      <c r="J85" s="693">
        <f>H85/DAY(B2)</f>
        <v>1949.3994999999995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'[3]19'!F86</f>
        <v>438977</v>
      </c>
      <c r="F86" s="784">
        <v>439076</v>
      </c>
      <c r="G86" s="861">
        <f t="shared" ref="G86:G90" si="7">F86-E86</f>
        <v>99</v>
      </c>
      <c r="H86" s="861">
        <f t="shared" ref="H86:H90" si="8">G86</f>
        <v>99</v>
      </c>
      <c r="I86" s="789"/>
      <c r="J86" s="863">
        <f>H86/DAY(B2)</f>
        <v>4.95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'[3]19'!F87</f>
        <v>76582</v>
      </c>
      <c r="F87" s="784">
        <v>76614</v>
      </c>
      <c r="G87" s="861">
        <f t="shared" si="7"/>
        <v>32</v>
      </c>
      <c r="H87" s="861">
        <f t="shared" si="8"/>
        <v>32</v>
      </c>
      <c r="I87" s="789"/>
      <c r="J87" s="863">
        <f>H87/DAY(B2)</f>
        <v>1.6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'[3]19'!F88</f>
        <v>141281</v>
      </c>
      <c r="F88" s="784">
        <v>141390</v>
      </c>
      <c r="G88" s="861">
        <f t="shared" si="7"/>
        <v>109</v>
      </c>
      <c r="H88" s="861">
        <f t="shared" si="8"/>
        <v>109</v>
      </c>
      <c r="I88" s="789"/>
      <c r="J88" s="863">
        <f>H88/DAY(B2)</f>
        <v>5.45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'[3]19'!F89</f>
        <v>55105</v>
      </c>
      <c r="F89" s="784">
        <v>55152</v>
      </c>
      <c r="G89" s="861">
        <f t="shared" si="7"/>
        <v>47</v>
      </c>
      <c r="H89" s="861">
        <f t="shared" si="8"/>
        <v>47</v>
      </c>
      <c r="I89" s="789"/>
      <c r="J89" s="863">
        <f>H89/DAY(B2)</f>
        <v>2.35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'[3]19'!F90</f>
        <v>2846</v>
      </c>
      <c r="F90" s="784">
        <v>2849</v>
      </c>
      <c r="G90" s="861">
        <f t="shared" si="7"/>
        <v>3</v>
      </c>
      <c r="H90" s="861">
        <f t="shared" si="8"/>
        <v>3</v>
      </c>
      <c r="I90" s="789"/>
      <c r="J90" s="863">
        <f>H90/DAY(B2)</f>
        <v>0.15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'[3]19'!F92</f>
        <v>230110</v>
      </c>
      <c r="F92" s="624">
        <v>230165</v>
      </c>
      <c r="G92" s="613">
        <f t="shared" ref="G92:G93" si="9">F92-E92</f>
        <v>55</v>
      </c>
      <c r="H92" s="600">
        <f>G92+'[3]19'!H92</f>
        <v>1570</v>
      </c>
      <c r="I92" s="620"/>
      <c r="J92" s="693">
        <f>H92/DAY(B2)</f>
        <v>78.5</v>
      </c>
      <c r="K92" s="528"/>
      <c r="L92" s="421"/>
      <c r="N92" s="426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'[3]19'!F93</f>
        <v>161246</v>
      </c>
      <c r="F93" s="624">
        <v>161344</v>
      </c>
      <c r="G93" s="613">
        <f t="shared" si="9"/>
        <v>98</v>
      </c>
      <c r="H93" s="600">
        <f>G93+'[3]19'!H93</f>
        <v>2821</v>
      </c>
      <c r="I93" s="620"/>
      <c r="J93" s="693">
        <f>H93/DAY(B2)</f>
        <v>141.05000000000001</v>
      </c>
      <c r="K93" s="424"/>
      <c r="L93" s="421"/>
      <c r="N93" s="426"/>
      <c r="O93" s="426"/>
    </row>
    <row r="94" spans="1:15">
      <c r="A94" s="1460" t="s">
        <v>219</v>
      </c>
      <c r="B94" s="1461"/>
      <c r="C94" s="1462"/>
      <c r="D94" s="663"/>
      <c r="E94" s="624">
        <f>'[3]19'!F94</f>
        <v>0</v>
      </c>
      <c r="F94" s="624"/>
      <c r="G94" s="613">
        <f>G92+G93</f>
        <v>153</v>
      </c>
      <c r="H94" s="600">
        <f>G94+'[3]19'!H94</f>
        <v>4101</v>
      </c>
      <c r="I94" s="620"/>
      <c r="J94" s="693">
        <f>H94/DAY(B2)</f>
        <v>205.05</v>
      </c>
      <c r="K94" s="424"/>
      <c r="L94" s="421"/>
      <c r="N94" s="426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'[3]19'!F95</f>
        <v>400887</v>
      </c>
      <c r="F95" s="624">
        <v>400952</v>
      </c>
      <c r="G95" s="613">
        <f t="shared" ref="G95:G100" si="10">F95-E95</f>
        <v>65</v>
      </c>
      <c r="H95" s="600">
        <f>G95+'[3]19'!H95</f>
        <v>1105</v>
      </c>
      <c r="I95" s="620"/>
      <c r="J95" s="693">
        <f>H95/DAY(B2)</f>
        <v>55.25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'[3]19'!F96</f>
        <v>98808</v>
      </c>
      <c r="F96" s="624">
        <v>98832</v>
      </c>
      <c r="G96" s="613">
        <f t="shared" si="10"/>
        <v>24</v>
      </c>
      <c r="H96" s="600">
        <f>G96+'[3]19'!H96</f>
        <v>823</v>
      </c>
      <c r="I96" s="620"/>
      <c r="J96" s="693">
        <f>H96/DAY(B2)</f>
        <v>41.15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'[3]19'!F97</f>
        <v>93963</v>
      </c>
      <c r="F97" s="624">
        <v>93983</v>
      </c>
      <c r="G97" s="613">
        <f t="shared" si="10"/>
        <v>20</v>
      </c>
      <c r="H97" s="600">
        <f>G97+'[3]19'!H97</f>
        <v>432</v>
      </c>
      <c r="I97" s="620"/>
      <c r="J97" s="693">
        <f>H97/DAY(B2)</f>
        <v>21.6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'[3]19'!F98</f>
        <v>141687</v>
      </c>
      <c r="F98" s="624">
        <v>141725</v>
      </c>
      <c r="G98" s="613">
        <f t="shared" si="10"/>
        <v>38</v>
      </c>
      <c r="H98" s="600">
        <f>G98+'[3]19'!H98</f>
        <v>820</v>
      </c>
      <c r="I98" s="620"/>
      <c r="J98" s="693">
        <f>H98/DAY(B2)</f>
        <v>41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'[3]19'!F99</f>
        <v>4865</v>
      </c>
      <c r="F99" s="624">
        <v>4871</v>
      </c>
      <c r="G99" s="613">
        <f t="shared" si="10"/>
        <v>6</v>
      </c>
      <c r="H99" s="600">
        <f>G99+'[3]19'!H99</f>
        <v>163</v>
      </c>
      <c r="I99" s="620"/>
      <c r="J99" s="693">
        <f>H99/DAY(B2)</f>
        <v>8.15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'[3]19'!F100</f>
        <v>3674</v>
      </c>
      <c r="F100" s="624">
        <v>3674</v>
      </c>
      <c r="G100" s="613">
        <f t="shared" si="10"/>
        <v>0</v>
      </c>
      <c r="H100" s="600">
        <f>G100+'[3]19'!H100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60" t="s">
        <v>227</v>
      </c>
      <c r="B101" s="1461"/>
      <c r="C101" s="1462"/>
      <c r="D101" s="664"/>
      <c r="E101" s="664"/>
      <c r="F101" s="664"/>
      <c r="G101" s="665">
        <f>SUM(G95:G100)</f>
        <v>153</v>
      </c>
      <c r="H101" s="600">
        <f>G101+'[3]19'!H101</f>
        <v>3343</v>
      </c>
      <c r="I101" s="666"/>
      <c r="J101" s="693">
        <f>H101/DAY(B2)</f>
        <v>167.15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21" t="s">
        <v>230</v>
      </c>
      <c r="B104" s="1422"/>
      <c r="C104" s="1380"/>
      <c r="D104" s="763" t="s">
        <v>155</v>
      </c>
      <c r="E104" s="672">
        <f>'[3]19'!F104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</v>
      </c>
      <c r="N104" s="556"/>
      <c r="O104" s="426"/>
    </row>
    <row r="105" spans="1:15" s="544" customFormat="1" ht="27.75">
      <c r="A105" s="1421" t="s">
        <v>77</v>
      </c>
      <c r="B105" s="1422"/>
      <c r="C105" s="1380"/>
      <c r="D105" s="763" t="s">
        <v>155</v>
      </c>
      <c r="E105" s="674">
        <f>'[3]19'!F105</f>
        <v>34597</v>
      </c>
      <c r="F105" s="674">
        <v>34610</v>
      </c>
      <c r="G105" s="672">
        <f t="shared" ref="G105:G106" si="11">F105-E105</f>
        <v>13</v>
      </c>
      <c r="H105" s="673">
        <f>SUM(G105+'[3]1'!G77)</f>
        <v>83</v>
      </c>
      <c r="I105" s="672"/>
      <c r="J105" s="699">
        <f>H105/DAY(B2)</f>
        <v>4.1500000000000004</v>
      </c>
      <c r="N105" s="556"/>
      <c r="O105" s="426"/>
    </row>
    <row r="106" spans="1:15" s="544" customFormat="1" ht="27.75">
      <c r="A106" s="1421" t="s">
        <v>78</v>
      </c>
      <c r="B106" s="1465"/>
      <c r="C106" s="1422"/>
      <c r="D106" s="763" t="s">
        <v>155</v>
      </c>
      <c r="E106" s="672">
        <f>'[3]19'!F106</f>
        <v>18692</v>
      </c>
      <c r="F106" s="672">
        <v>18697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16.7</v>
      </c>
      <c r="N106" s="556"/>
      <c r="O106" s="426"/>
    </row>
    <row r="107" spans="1:15" s="544" customFormat="1" ht="27.75">
      <c r="A107" s="1423" t="s">
        <v>213</v>
      </c>
      <c r="B107" s="1424"/>
      <c r="C107" s="1380"/>
      <c r="D107" s="763"/>
      <c r="E107" s="672">
        <f>'[3]19'!F107</f>
        <v>0</v>
      </c>
      <c r="F107" s="672"/>
      <c r="G107" s="672">
        <f>SUM(G104:G106)</f>
        <v>18</v>
      </c>
      <c r="H107" s="673">
        <f>SUM(G107+'[3]1'!G79)</f>
        <v>178</v>
      </c>
      <c r="I107" s="672"/>
      <c r="J107" s="699">
        <f>H107/DAY(B2)</f>
        <v>8.9</v>
      </c>
      <c r="N107" s="556"/>
      <c r="O107" s="426"/>
    </row>
    <row r="108" spans="1:15" s="544" customFormat="1" ht="27.75">
      <c r="A108" s="1427" t="s">
        <v>79</v>
      </c>
      <c r="B108" s="1428"/>
      <c r="C108" s="1380"/>
      <c r="D108" s="763" t="s">
        <v>155</v>
      </c>
      <c r="E108" s="672">
        <f>'[3]19'!F108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21" t="s">
        <v>231</v>
      </c>
      <c r="B109" s="1422"/>
      <c r="C109" s="1380"/>
      <c r="D109" s="763" t="s">
        <v>155</v>
      </c>
      <c r="E109" s="672">
        <f>'[3]19'!F109</f>
        <v>50712</v>
      </c>
      <c r="F109" s="672">
        <v>50773</v>
      </c>
      <c r="G109" s="672">
        <f>F109-E109</f>
        <v>61</v>
      </c>
      <c r="H109" s="673">
        <f>SUM(G109+'[3]1'!G81)</f>
        <v>143</v>
      </c>
      <c r="I109" s="672"/>
      <c r="J109" s="699">
        <f>H109/DAY(B2)</f>
        <v>7.15</v>
      </c>
      <c r="N109" s="556"/>
      <c r="O109" s="426"/>
    </row>
    <row r="110" spans="1:15" s="544" customFormat="1" ht="27.75">
      <c r="A110" s="1421" t="s">
        <v>232</v>
      </c>
      <c r="B110" s="1422"/>
      <c r="C110" s="1380"/>
      <c r="D110" s="763" t="s">
        <v>155</v>
      </c>
      <c r="E110" s="672">
        <f>'[3]19'!F110</f>
        <v>24879</v>
      </c>
      <c r="F110" s="672">
        <v>24913</v>
      </c>
      <c r="G110" s="672">
        <f t="shared" ref="G110:G111" si="12">F110-E110</f>
        <v>34</v>
      </c>
      <c r="H110" s="673">
        <f>SUM(G110+'[3]1'!G82)</f>
        <v>59.740000000005239</v>
      </c>
      <c r="I110" s="672"/>
      <c r="J110" s="699">
        <f>H110/DAY(B2)</f>
        <v>2.9870000000002621</v>
      </c>
      <c r="N110" s="556"/>
      <c r="O110" s="426"/>
    </row>
    <row r="111" spans="1:15" s="544" customFormat="1" ht="27.75">
      <c r="A111" s="1421" t="s">
        <v>233</v>
      </c>
      <c r="B111" s="1422"/>
      <c r="C111" s="1380"/>
      <c r="D111" s="763" t="s">
        <v>155</v>
      </c>
      <c r="E111" s="672">
        <f>'[3]19'!F111</f>
        <v>3292</v>
      </c>
      <c r="F111" s="672">
        <v>3307</v>
      </c>
      <c r="G111" s="672">
        <f t="shared" si="12"/>
        <v>15</v>
      </c>
      <c r="H111" s="673">
        <f>SUM(G111+'[3]1'!G83)</f>
        <v>461</v>
      </c>
      <c r="I111" s="672"/>
      <c r="J111" s="699">
        <f>H111/DAY(B2)</f>
        <v>23.05</v>
      </c>
      <c r="N111" s="556"/>
      <c r="O111" s="426"/>
    </row>
    <row r="112" spans="1:15" s="544" customFormat="1" ht="27.75">
      <c r="A112" s="1425" t="s">
        <v>121</v>
      </c>
      <c r="B112" s="1426"/>
      <c r="C112" s="1380"/>
      <c r="D112" s="763"/>
      <c r="E112" s="672">
        <f>'[3]19'!F112</f>
        <v>0</v>
      </c>
      <c r="F112" s="672"/>
      <c r="G112" s="672">
        <f>SUM(G109:G111)</f>
        <v>110</v>
      </c>
      <c r="H112" s="673">
        <f>SUM(G112+'[3]1'!G84)</f>
        <v>706</v>
      </c>
      <c r="I112" s="672"/>
      <c r="J112" s="699">
        <f>H112/DAY(B2)</f>
        <v>35.299999999999997</v>
      </c>
      <c r="N112" s="556"/>
      <c r="O112" s="426"/>
    </row>
    <row r="113" spans="1:15" s="544" customFormat="1" ht="27.75">
      <c r="A113" s="1427" t="s">
        <v>234</v>
      </c>
      <c r="B113" s="1428"/>
      <c r="C113" s="1380"/>
      <c r="D113" s="763"/>
      <c r="E113" s="672">
        <f>'[3]19'!F113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21" t="s">
        <v>235</v>
      </c>
      <c r="B114" s="1422"/>
      <c r="C114" s="715"/>
      <c r="D114" s="763" t="s">
        <v>155</v>
      </c>
      <c r="E114" s="674">
        <f>'[3]19'!F114</f>
        <v>8472</v>
      </c>
      <c r="F114" s="674">
        <v>8480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0.4</v>
      </c>
      <c r="N114" s="556"/>
      <c r="O114" s="426"/>
    </row>
    <row r="115" spans="1:15" s="544" customFormat="1" ht="27.75">
      <c r="A115" s="1421" t="s">
        <v>236</v>
      </c>
      <c r="B115" s="1422"/>
      <c r="C115" s="715"/>
      <c r="D115" s="763" t="s">
        <v>155</v>
      </c>
      <c r="E115" s="674">
        <f>'[3]19'!F115</f>
        <v>6688</v>
      </c>
      <c r="F115" s="674">
        <v>6694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5.55</v>
      </c>
      <c r="N115" s="556"/>
      <c r="O115" s="426"/>
    </row>
    <row r="116" spans="1:15" s="544" customFormat="1" ht="27.75">
      <c r="A116" s="1421" t="s">
        <v>237</v>
      </c>
      <c r="B116" s="1422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185</v>
      </c>
      <c r="I116" s="672"/>
      <c r="J116" s="699">
        <f>H116/DAY(B2)</f>
        <v>9.25</v>
      </c>
      <c r="N116" s="556"/>
      <c r="O116" s="426"/>
    </row>
    <row r="117" spans="1:15" s="557" customFormat="1" ht="27.75">
      <c r="A117" s="1423" t="s">
        <v>213</v>
      </c>
      <c r="B117" s="1424"/>
      <c r="C117" s="715"/>
      <c r="D117" s="764"/>
      <c r="E117" s="674"/>
      <c r="F117" s="674"/>
      <c r="G117" s="674">
        <f>SUM(G114:G116)</f>
        <v>14</v>
      </c>
      <c r="H117" s="673">
        <f>SUM(G117+'[3]1'!G95)</f>
        <v>62</v>
      </c>
      <c r="I117" s="674"/>
      <c r="J117" s="699">
        <f>H117/DAY(B2)</f>
        <v>3.1</v>
      </c>
      <c r="N117" s="585"/>
      <c r="O117" s="426"/>
    </row>
    <row r="118" spans="1:15" s="558" customFormat="1" ht="27.75">
      <c r="A118" s="1417" t="s">
        <v>238</v>
      </c>
      <c r="B118" s="1418"/>
      <c r="C118" s="1379"/>
      <c r="D118" s="765" t="s">
        <v>155</v>
      </c>
      <c r="E118" s="676"/>
      <c r="F118" s="676">
        <f>SUM(G19+G92)</f>
        <v>113</v>
      </c>
      <c r="G118" s="676">
        <f>SUM(G19+G92)</f>
        <v>113</v>
      </c>
      <c r="H118" s="673">
        <f>SUM(G118+'[3]1'!G96)</f>
        <v>162</v>
      </c>
      <c r="I118" s="675"/>
      <c r="J118" s="700">
        <f>H118/DAY(B2)</f>
        <v>8.1</v>
      </c>
      <c r="N118" s="940"/>
      <c r="O118" s="426"/>
    </row>
    <row r="119" spans="1:15" s="558" customFormat="1" ht="27.75">
      <c r="A119" s="1417" t="s">
        <v>239</v>
      </c>
      <c r="B119" s="1418"/>
      <c r="C119" s="1379"/>
      <c r="D119" s="765" t="s">
        <v>155</v>
      </c>
      <c r="E119" s="676"/>
      <c r="F119" s="676">
        <f>SUM(G95,G96,G97,G99,G100)</f>
        <v>115</v>
      </c>
      <c r="G119" s="676">
        <f>SUM(G95,G96,G97,G99,G100)</f>
        <v>115</v>
      </c>
      <c r="H119" s="673">
        <f>SUM(G119+'[3]1'!G98)</f>
        <v>147</v>
      </c>
      <c r="I119" s="675"/>
      <c r="J119" s="700">
        <f>H119/DAY(B2)</f>
        <v>7.35</v>
      </c>
      <c r="N119" s="940"/>
      <c r="O119" s="426"/>
    </row>
    <row r="120" spans="1:15" s="558" customFormat="1" ht="27.75">
      <c r="A120" s="1417" t="s">
        <v>240</v>
      </c>
      <c r="B120" s="1418"/>
      <c r="C120" s="1379"/>
      <c r="D120" s="765" t="s">
        <v>155</v>
      </c>
      <c r="E120" s="674"/>
      <c r="F120" s="674">
        <f>SUM(G112)</f>
        <v>110</v>
      </c>
      <c r="G120" s="674">
        <f>SUM(G112)</f>
        <v>110</v>
      </c>
      <c r="H120" s="673">
        <f>SUM(G120+'[3]1'!G100)</f>
        <v>110</v>
      </c>
      <c r="I120" s="675"/>
      <c r="J120" s="700">
        <f>H120/DAY(B2)</f>
        <v>5.5</v>
      </c>
      <c r="N120" s="940"/>
      <c r="O120" s="426"/>
    </row>
    <row r="121" spans="1:15" s="544" customFormat="1" ht="27.75">
      <c r="A121" s="1419"/>
      <c r="B121" s="1420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'[3]19'!F123</f>
        <v>786609</v>
      </c>
      <c r="F123" s="618">
        <v>786821.33</v>
      </c>
      <c r="G123" s="613">
        <f t="shared" ref="G123:G127" si="14">F123-E123</f>
        <v>212.32999999995809</v>
      </c>
      <c r="H123" s="600">
        <f>G123+'[3]19'!H123</f>
        <v>3896.4439999999013</v>
      </c>
      <c r="I123" s="666"/>
      <c r="J123" s="693">
        <f>H123/DAY(B2)</f>
        <v>194.82219999999506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'[3]19'!F124</f>
        <v>73581.899999999994</v>
      </c>
      <c r="F124" s="767">
        <v>73581.899999999994</v>
      </c>
      <c r="G124" s="613">
        <f t="shared" si="14"/>
        <v>0</v>
      </c>
      <c r="H124" s="600">
        <f>G124+'[3]19'!H124</f>
        <v>0.89999999999417923</v>
      </c>
      <c r="I124" s="666"/>
      <c r="J124" s="693">
        <f>H124/DAY(B2)</f>
        <v>4.499999999970896E-2</v>
      </c>
      <c r="K124" s="424"/>
      <c r="L124" s="421"/>
      <c r="N124" s="426"/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618">
        <f>'[3]19'!F125</f>
        <v>132298</v>
      </c>
      <c r="F125" s="618">
        <v>132350.88</v>
      </c>
      <c r="G125" s="613">
        <f t="shared" si="14"/>
        <v>52.880000000004657</v>
      </c>
      <c r="H125" s="600">
        <f>G125+'[3]19'!H125</f>
        <v>1244.6600000000035</v>
      </c>
      <c r="I125" s="666"/>
      <c r="J125" s="693">
        <f>H125/DAY(B2)</f>
        <v>62.233000000000175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'[3]19'!F126</f>
        <v>56044</v>
      </c>
      <c r="F126" s="625">
        <v>56071.9</v>
      </c>
      <c r="G126" s="613">
        <f t="shared" si="14"/>
        <v>27.900000000001455</v>
      </c>
      <c r="H126" s="600">
        <f>G126+'[3]19'!H126</f>
        <v>486.09999999999854</v>
      </c>
      <c r="I126" s="666"/>
      <c r="J126" s="693">
        <f>H126/DAY(B2)</f>
        <v>24.304999999999929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'[3]19'!F127</f>
        <v>8640</v>
      </c>
      <c r="F127" s="767">
        <v>8640</v>
      </c>
      <c r="G127" s="613">
        <f t="shared" si="14"/>
        <v>0</v>
      </c>
      <c r="H127" s="600">
        <f>G127+'[3]19'!H127</f>
        <v>1</v>
      </c>
      <c r="I127" s="620"/>
      <c r="J127" s="693">
        <f>H127/DAY(B2)</f>
        <v>0.05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346.8900000000358</v>
      </c>
      <c r="H128" s="600">
        <f>G128+'[3]19'!H128</f>
        <v>1279.8250000001517</v>
      </c>
      <c r="I128" s="620"/>
      <c r="J128" s="693">
        <f>H128/DAY(B2)</f>
        <v>63.991250000007582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'[3]19'!F130</f>
        <v>0</v>
      </c>
      <c r="F130" s="624">
        <v>0</v>
      </c>
      <c r="G130" s="613">
        <f t="shared" ref="G130:G140" si="15">F130-E130</f>
        <v>0</v>
      </c>
      <c r="H130" s="600">
        <f>G130+'[3]19'!H130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'[3]19'!F131</f>
        <v>0</v>
      </c>
      <c r="F131" s="624">
        <v>0</v>
      </c>
      <c r="G131" s="613">
        <f t="shared" si="15"/>
        <v>0</v>
      </c>
      <c r="H131" s="600">
        <f>G131+'[3]19'!H131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'[3]19'!F132+24</f>
        <v>38877</v>
      </c>
      <c r="F132" s="682">
        <v>38877</v>
      </c>
      <c r="G132" s="613">
        <f t="shared" si="15"/>
        <v>0</v>
      </c>
      <c r="H132" s="600">
        <f>G132+'[3]19'!H132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'[3]19'!F133</f>
        <v>34948</v>
      </c>
      <c r="F133" s="682">
        <v>34948</v>
      </c>
      <c r="G133" s="789">
        <f t="shared" si="15"/>
        <v>0</v>
      </c>
      <c r="H133" s="861">
        <f>G133+'[3]19'!H133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'[3]19'!F134</f>
        <v>39735</v>
      </c>
      <c r="F134" s="682">
        <v>39735</v>
      </c>
      <c r="G134" s="613">
        <f t="shared" si="15"/>
        <v>0</v>
      </c>
      <c r="H134" s="600">
        <f>G134+'[3]19'!H134</f>
        <v>-1.2699999999967986</v>
      </c>
      <c r="I134" s="620"/>
      <c r="J134" s="693">
        <f>H134/DAY(B2)</f>
        <v>-6.3499999999839934E-2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'[3]19'!F135</f>
        <v>31451.42</v>
      </c>
      <c r="F135" s="682">
        <v>31475.48</v>
      </c>
      <c r="G135" s="613">
        <f t="shared" si="15"/>
        <v>24.06000000000131</v>
      </c>
      <c r="H135" s="600">
        <f>G135+'[3]19'!H135</f>
        <v>479.45999999999913</v>
      </c>
      <c r="I135" s="620"/>
      <c r="J135" s="693">
        <f>H135/DAY(B2)</f>
        <v>23.972999999999956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'[3]19'!F136</f>
        <v>21629</v>
      </c>
      <c r="F136" s="682">
        <v>21629</v>
      </c>
      <c r="G136" s="613">
        <f t="shared" si="15"/>
        <v>0</v>
      </c>
      <c r="H136" s="600">
        <f>G136+'[3]19'!H136</f>
        <v>30.970000000001164</v>
      </c>
      <c r="I136" s="620">
        <f>G134+G135+G136</f>
        <v>24.06000000000131</v>
      </c>
      <c r="J136" s="693">
        <f>H136/DAY(B2)</f>
        <v>1.5485000000000582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'[3]19'!F137</f>
        <v>24922.95</v>
      </c>
      <c r="F137" s="682">
        <v>24928.97</v>
      </c>
      <c r="G137" s="613">
        <f t="shared" si="15"/>
        <v>6.0200000000004366</v>
      </c>
      <c r="H137" s="600">
        <f>G137+'[3]19'!H137</f>
        <v>26.720000000001164</v>
      </c>
      <c r="I137" s="620"/>
      <c r="J137" s="693">
        <f>H137/DAY(B2)</f>
        <v>1.3360000000000583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'[3]19'!F138</f>
        <v>69942.850000000006</v>
      </c>
      <c r="F138" s="682">
        <v>69942.850000000006</v>
      </c>
      <c r="G138" s="613">
        <f t="shared" si="15"/>
        <v>0</v>
      </c>
      <c r="H138" s="600">
        <f>G138+'[3]19'!H138</f>
        <v>61.200000000011642</v>
      </c>
      <c r="I138" s="620">
        <f>G137+G138</f>
        <v>6.0200000000004366</v>
      </c>
      <c r="J138" s="693">
        <f>H138/DAY(B2)</f>
        <v>3.0600000000005823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'[3]19'!F139</f>
        <v>879</v>
      </c>
      <c r="F139" s="624">
        <v>884.99</v>
      </c>
      <c r="G139" s="613">
        <f t="shared" si="15"/>
        <v>5.9900000000000091</v>
      </c>
      <c r="H139" s="600">
        <f>G139+'[3]19'!H139</f>
        <v>108.56000000000006</v>
      </c>
      <c r="I139" s="683"/>
      <c r="J139" s="693">
        <f>H139/DAY(B2)</f>
        <v>5.4280000000000026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'[3]19'!F140</f>
        <v>4156.8999999999996</v>
      </c>
      <c r="F140" s="624">
        <v>4156.8999999999996</v>
      </c>
      <c r="G140" s="613">
        <f t="shared" si="15"/>
        <v>0</v>
      </c>
      <c r="H140" s="600">
        <f>G140+'[3]19'!H140</f>
        <v>2.6299999999991996</v>
      </c>
      <c r="I140" s="683"/>
      <c r="J140" s="693">
        <f>H140/DAY(B2)</f>
        <v>0.13149999999995998</v>
      </c>
      <c r="N140" s="426"/>
      <c r="O140" s="426"/>
    </row>
    <row r="141" spans="1:15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5066.3800000000774</v>
      </c>
      <c r="H142" s="600">
        <f>G142+'[3]19'!H142</f>
        <v>96360.009000000064</v>
      </c>
      <c r="I142" s="620"/>
      <c r="J142" s="693">
        <f>H142/DAY(B2)</f>
        <v>4818.0004500000032</v>
      </c>
      <c r="K142" s="424"/>
      <c r="L142" s="421"/>
      <c r="N142" s="426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0.268431704990997</v>
      </c>
      <c r="H143" s="600">
        <f>G143+'[3]19'!H143</f>
        <v>4.7436465917725243</v>
      </c>
      <c r="I143" s="685"/>
      <c r="J143" s="693">
        <f>H143/DAY(B2)</f>
        <v>0.23718232958862623</v>
      </c>
      <c r="K143" s="424"/>
      <c r="L143" s="421"/>
      <c r="N143" s="426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4321.5499999999884</v>
      </c>
      <c r="H144" s="600">
        <f>G144+'[3]19'!H144</f>
        <v>87760.950000000099</v>
      </c>
      <c r="I144" s="620"/>
      <c r="J144" s="693">
        <f>H144/DAY(B2)</f>
        <v>4388.0475000000051</v>
      </c>
      <c r="K144" s="424"/>
      <c r="L144" s="421"/>
      <c r="N144" s="426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0.22896842216806126</v>
      </c>
      <c r="H145" s="600">
        <f>G145+'[3]19'!H145</f>
        <v>4.4952784336236711</v>
      </c>
      <c r="I145" s="685"/>
      <c r="J145" s="693">
        <f>H145/DAY(B2)</f>
        <v>0.22476392168118356</v>
      </c>
      <c r="K145" s="424"/>
      <c r="L145" s="421"/>
      <c r="N145" s="426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3974.9599999999996</v>
      </c>
      <c r="H146" s="600">
        <f>G146+'[3]19'!H146</f>
        <v>55386.190000000039</v>
      </c>
      <c r="I146" s="686"/>
      <c r="J146" s="693">
        <f>H146/DAY(B2)</f>
        <v>2769.3095000000021</v>
      </c>
      <c r="K146" s="424"/>
      <c r="L146" s="421"/>
      <c r="N146" s="426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0.21060506516901556</v>
      </c>
      <c r="H147" s="600">
        <f>G147+'[3]19'!H147</f>
        <v>2.7823620711559736</v>
      </c>
      <c r="I147" s="686"/>
      <c r="J147" s="693">
        <f>H147/DAY(B2)</f>
        <v>0.13911810355779869</v>
      </c>
      <c r="N147" s="426"/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1763.4699999999721</v>
      </c>
      <c r="H148" s="600">
        <f>G148+'[3]19'!H148</f>
        <v>34782.77999999997</v>
      </c>
      <c r="I148" s="620"/>
      <c r="J148" s="693">
        <f>H148/DAY(B2)</f>
        <v>1739.1389999999985</v>
      </c>
      <c r="K148" s="425"/>
      <c r="N148" s="426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9.3433824308571153E-2</v>
      </c>
      <c r="H149" s="600">
        <f>G149+'[3]19'!H149</f>
        <v>1.7761753653631265</v>
      </c>
      <c r="I149" s="686"/>
      <c r="J149" s="693">
        <f>H149/DAY(B2)</f>
        <v>8.8808768268156327E-2</v>
      </c>
      <c r="N149" s="426"/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1674.0100000000093</v>
      </c>
      <c r="H150" s="600">
        <f>G150+'[3]19'!H150</f>
        <v>32083.489999999991</v>
      </c>
      <c r="I150" s="686"/>
      <c r="J150" s="693">
        <f>H150/DAY(B2)</f>
        <v>1604.1744999999996</v>
      </c>
      <c r="N150" s="426"/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8.8693970541486131E-2</v>
      </c>
      <c r="H151" s="600">
        <f>G151+'[3]19'!H151</f>
        <v>1.6362920012941646</v>
      </c>
      <c r="I151" s="620"/>
      <c r="J151" s="693">
        <f>H151/DAY(B2)</f>
        <v>8.1814600064708226E-2</v>
      </c>
      <c r="N151" s="426"/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1387.7399999999998</v>
      </c>
      <c r="H152" s="600">
        <f>G152+'[3]19'!H152</f>
        <v>28269.601900000001</v>
      </c>
      <c r="I152" s="620"/>
      <c r="J152" s="693">
        <f>H152/DAY(B2)</f>
        <v>1413.4800950000001</v>
      </c>
      <c r="L152" s="420" t="s">
        <v>287</v>
      </c>
      <c r="M152" s="420">
        <v>0.5</v>
      </c>
      <c r="N152" s="426">
        <v>50</v>
      </c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7.3526544452686221E-2</v>
      </c>
      <c r="H153" s="600">
        <f>G153+'[3]19'!H153</f>
        <v>1.4490353669922311</v>
      </c>
      <c r="I153" s="709"/>
      <c r="J153" s="710">
        <f>H153/DAY(B2)</f>
        <v>7.2451768349611562E-2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'[3]19'!F160</f>
        <v>23038</v>
      </c>
      <c r="F160" s="795">
        <v>23111.93</v>
      </c>
      <c r="G160" s="613">
        <f t="shared" ref="G160:G171" si="16">F160-E160</f>
        <v>73.930000000000291</v>
      </c>
      <c r="K160" s="420">
        <v>70.399999999999636</v>
      </c>
      <c r="L160" s="420">
        <f t="shared" ref="L160:L171" si="17">G160-K160</f>
        <v>3.5300000000006548</v>
      </c>
    </row>
    <row r="161" spans="1:12" ht="24.75" customHeight="1">
      <c r="A161" s="946" t="s">
        <v>275</v>
      </c>
      <c r="B161" s="947"/>
      <c r="C161" s="947"/>
      <c r="D161" s="651" t="s">
        <v>198</v>
      </c>
      <c r="E161" s="795">
        <f>'[3]19'!F161</f>
        <v>15416</v>
      </c>
      <c r="F161" s="795">
        <v>15517</v>
      </c>
      <c r="G161" s="613">
        <f t="shared" si="16"/>
        <v>101</v>
      </c>
      <c r="K161" s="420">
        <v>124.25999999999999</v>
      </c>
      <c r="L161" s="420">
        <f t="shared" si="17"/>
        <v>-23.259999999999991</v>
      </c>
    </row>
    <row r="162" spans="1:12" ht="24.75" customHeight="1">
      <c r="A162" s="946" t="s">
        <v>276</v>
      </c>
      <c r="B162" s="947"/>
      <c r="C162" s="947"/>
      <c r="D162" s="651" t="s">
        <v>198</v>
      </c>
      <c r="E162" s="795">
        <f>'[3]19'!F162</f>
        <v>34683</v>
      </c>
      <c r="F162" s="795">
        <v>34916</v>
      </c>
      <c r="G162" s="613">
        <f t="shared" si="16"/>
        <v>233</v>
      </c>
      <c r="K162" s="420">
        <v>138.98000000000002</v>
      </c>
      <c r="L162" s="420">
        <f t="shared" si="17"/>
        <v>94.019999999999982</v>
      </c>
    </row>
    <row r="163" spans="1:12" ht="24.75" customHeight="1">
      <c r="A163" s="946" t="s">
        <v>277</v>
      </c>
      <c r="B163" s="947"/>
      <c r="C163" s="947"/>
      <c r="D163" s="651" t="s">
        <v>198</v>
      </c>
      <c r="E163" s="795">
        <f>'[3]19'!F163</f>
        <v>3363.52</v>
      </c>
      <c r="F163" s="795">
        <v>3375.34</v>
      </c>
      <c r="G163" s="613">
        <f t="shared" si="16"/>
        <v>11.820000000000164</v>
      </c>
      <c r="K163" s="420">
        <v>45.830000000000041</v>
      </c>
      <c r="L163" s="420">
        <f t="shared" si="17"/>
        <v>-34.009999999999877</v>
      </c>
    </row>
    <row r="164" spans="1:12" ht="24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f>F62</f>
        <v>20419.2</v>
      </c>
      <c r="G164" s="613">
        <f t="shared" si="16"/>
        <v>0</v>
      </c>
      <c r="K164" s="420">
        <v>-0.18000000000029104</v>
      </c>
      <c r="L164" s="420">
        <f t="shared" si="17"/>
        <v>0.18000000000029104</v>
      </c>
    </row>
    <row r="165" spans="1:12" ht="24.75" customHeight="1">
      <c r="A165" s="948" t="s">
        <v>199</v>
      </c>
      <c r="B165" s="745"/>
      <c r="C165" s="745"/>
      <c r="D165" s="651" t="s">
        <v>198</v>
      </c>
      <c r="E165" s="654">
        <f t="shared" ref="E165:F171" si="18">E63</f>
        <v>670</v>
      </c>
      <c r="F165" s="654">
        <f t="shared" si="18"/>
        <v>689.02</v>
      </c>
      <c r="G165" s="613">
        <f t="shared" si="16"/>
        <v>19.019999999999982</v>
      </c>
      <c r="K165" s="420">
        <v>0</v>
      </c>
      <c r="L165" s="420">
        <f t="shared" si="17"/>
        <v>19.019999999999982</v>
      </c>
    </row>
    <row r="166" spans="1:12" ht="24.75" customHeight="1">
      <c r="A166" s="1404" t="s">
        <v>107</v>
      </c>
      <c r="B166" s="1404"/>
      <c r="C166" s="1404"/>
      <c r="D166" s="663" t="s">
        <v>198</v>
      </c>
      <c r="E166" s="654">
        <f t="shared" si="18"/>
        <v>82750</v>
      </c>
      <c r="F166" s="654">
        <f t="shared" si="18"/>
        <v>83110.39</v>
      </c>
      <c r="G166" s="613">
        <f t="shared" si="16"/>
        <v>360.38999999999942</v>
      </c>
      <c r="K166" s="420">
        <v>193.55000000000291</v>
      </c>
      <c r="L166" s="420">
        <f t="shared" si="17"/>
        <v>166.83999999999651</v>
      </c>
    </row>
    <row r="167" spans="1:12" ht="24.75" customHeight="1">
      <c r="A167" s="1404" t="s">
        <v>108</v>
      </c>
      <c r="B167" s="1404"/>
      <c r="C167" s="1404"/>
      <c r="D167" s="663" t="s">
        <v>198</v>
      </c>
      <c r="E167" s="654">
        <f t="shared" si="18"/>
        <v>92395</v>
      </c>
      <c r="F167" s="654">
        <f t="shared" si="18"/>
        <v>92779.35</v>
      </c>
      <c r="G167" s="613">
        <f t="shared" si="16"/>
        <v>384.35000000000582</v>
      </c>
      <c r="K167" s="420">
        <v>168.39999999999418</v>
      </c>
      <c r="L167" s="420">
        <f t="shared" si="17"/>
        <v>215.95000000001164</v>
      </c>
    </row>
    <row r="168" spans="1:12" ht="24.75" customHeight="1">
      <c r="A168" s="1404" t="s">
        <v>109</v>
      </c>
      <c r="B168" s="1404"/>
      <c r="C168" s="1404"/>
      <c r="D168" s="663" t="s">
        <v>198</v>
      </c>
      <c r="E168" s="654">
        <f t="shared" si="18"/>
        <v>85576</v>
      </c>
      <c r="F168" s="654">
        <f t="shared" si="18"/>
        <v>85958.76</v>
      </c>
      <c r="G168" s="613">
        <f t="shared" si="16"/>
        <v>382.75999999999476</v>
      </c>
      <c r="K168" s="420">
        <v>221.18999999999505</v>
      </c>
      <c r="L168" s="420">
        <f t="shared" si="17"/>
        <v>161.56999999999971</v>
      </c>
    </row>
    <row r="169" spans="1:12" ht="24.75" customHeight="1">
      <c r="A169" s="1404" t="s">
        <v>110</v>
      </c>
      <c r="B169" s="1404"/>
      <c r="C169" s="1404"/>
      <c r="D169" s="663" t="s">
        <v>198</v>
      </c>
      <c r="E169" s="654">
        <f t="shared" si="18"/>
        <v>138255</v>
      </c>
      <c r="F169" s="654">
        <f t="shared" si="18"/>
        <v>138948.75</v>
      </c>
      <c r="G169" s="613">
        <f t="shared" si="16"/>
        <v>693.75</v>
      </c>
      <c r="K169" s="420">
        <v>337.19000000000233</v>
      </c>
      <c r="L169" s="420">
        <f t="shared" si="17"/>
        <v>356.55999999999767</v>
      </c>
    </row>
    <row r="170" spans="1:12" ht="24.75" customHeight="1">
      <c r="A170" s="1404" t="s">
        <v>111</v>
      </c>
      <c r="B170" s="1404"/>
      <c r="C170" s="1404"/>
      <c r="D170" s="663" t="s">
        <v>198</v>
      </c>
      <c r="E170" s="654">
        <f t="shared" si="18"/>
        <v>39415.54</v>
      </c>
      <c r="F170" s="654">
        <f t="shared" si="18"/>
        <v>39708.44</v>
      </c>
      <c r="G170" s="613">
        <f t="shared" si="16"/>
        <v>292.90000000000146</v>
      </c>
      <c r="K170" s="420">
        <v>115.09000000000015</v>
      </c>
      <c r="L170" s="420">
        <f t="shared" si="17"/>
        <v>177.81000000000131</v>
      </c>
    </row>
    <row r="171" spans="1:12" ht="24.75" customHeight="1">
      <c r="A171" s="1404" t="s">
        <v>112</v>
      </c>
      <c r="B171" s="1404"/>
      <c r="C171" s="1404"/>
      <c r="D171" s="663" t="s">
        <v>198</v>
      </c>
      <c r="E171" s="654">
        <f t="shared" si="18"/>
        <v>34377</v>
      </c>
      <c r="F171" s="654">
        <f t="shared" si="18"/>
        <v>34670</v>
      </c>
      <c r="G171" s="613">
        <f t="shared" si="16"/>
        <v>293</v>
      </c>
      <c r="K171" s="420">
        <v>11.799999999999272</v>
      </c>
      <c r="L171" s="420">
        <f t="shared" si="17"/>
        <v>281.20000000000073</v>
      </c>
    </row>
    <row r="172" spans="1:12" ht="24.75" customHeight="1">
      <c r="G172" s="678">
        <f>SUM(G160:G171)</f>
        <v>2845.9200000000019</v>
      </c>
      <c r="L172" s="420">
        <f>SUM(L160:L171)</f>
        <v>1419.4100000000085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78" t="s">
        <v>280</v>
      </c>
    </row>
    <row r="302" spans="6:6">
      <c r="F302" s="678">
        <v>0</v>
      </c>
    </row>
    <row r="303" spans="6:6">
      <c r="F303" s="678">
        <v>0</v>
      </c>
    </row>
    <row r="304" spans="6:6">
      <c r="F304" s="678">
        <v>0</v>
      </c>
    </row>
    <row r="305" spans="6:6">
      <c r="F305" s="678">
        <v>0</v>
      </c>
    </row>
    <row r="306" spans="6:6">
      <c r="F306" s="678">
        <v>0</v>
      </c>
    </row>
    <row r="307" spans="6:6">
      <c r="F307" s="678">
        <v>0</v>
      </c>
    </row>
    <row r="308" spans="6:6">
      <c r="F308" s="678">
        <v>0</v>
      </c>
    </row>
    <row r="309" spans="6:6">
      <c r="F309" s="678">
        <v>0</v>
      </c>
    </row>
    <row r="310" spans="6:6">
      <c r="F310" s="678">
        <v>0</v>
      </c>
    </row>
    <row r="311" spans="6:6">
      <c r="F311" s="678">
        <v>0</v>
      </c>
    </row>
    <row r="312" spans="6:6">
      <c r="F312" s="678">
        <v>0</v>
      </c>
    </row>
    <row r="313" spans="6:6">
      <c r="F313" s="678">
        <v>0</v>
      </c>
    </row>
    <row r="314" spans="6:6">
      <c r="F314" s="678">
        <v>0</v>
      </c>
    </row>
    <row r="315" spans="6:6">
      <c r="F315" s="678">
        <v>0</v>
      </c>
    </row>
    <row r="316" spans="6:6">
      <c r="F316" s="678">
        <v>0</v>
      </c>
    </row>
    <row r="317" spans="6:6">
      <c r="F317" s="678">
        <v>0</v>
      </c>
    </row>
    <row r="318" spans="6:6">
      <c r="F318" s="678">
        <v>0</v>
      </c>
    </row>
    <row r="319" spans="6:6">
      <c r="F319" s="678">
        <v>0</v>
      </c>
    </row>
    <row r="320" spans="6:6">
      <c r="F320" s="678">
        <v>0</v>
      </c>
    </row>
    <row r="321" spans="6:6">
      <c r="F321" s="678">
        <v>0</v>
      </c>
    </row>
    <row r="322" spans="6:6">
      <c r="F322" s="678">
        <v>0</v>
      </c>
    </row>
    <row r="323" spans="6:6">
      <c r="F323" s="678">
        <v>0</v>
      </c>
    </row>
    <row r="324" spans="6:6">
      <c r="F324" s="678">
        <v>0</v>
      </c>
    </row>
    <row r="325" spans="6:6">
      <c r="F325" s="678">
        <v>0</v>
      </c>
    </row>
    <row r="326" spans="6:6">
      <c r="F326" s="678">
        <v>0</v>
      </c>
    </row>
    <row r="327" spans="6:6">
      <c r="F327" s="678">
        <v>0</v>
      </c>
    </row>
    <row r="328" spans="6:6">
      <c r="F328" s="678">
        <v>0</v>
      </c>
    </row>
    <row r="329" spans="6:6">
      <c r="F329" s="678">
        <v>0</v>
      </c>
    </row>
    <row r="330" spans="6:6">
      <c r="F330" s="678">
        <v>0</v>
      </c>
    </row>
    <row r="331" spans="6:6">
      <c r="F331" s="678">
        <v>0</v>
      </c>
    </row>
    <row r="332" spans="6:6">
      <c r="F332" s="678">
        <v>0</v>
      </c>
    </row>
    <row r="333" spans="6:6">
      <c r="F333" s="678">
        <v>0</v>
      </c>
    </row>
    <row r="334" spans="6:6">
      <c r="F334" s="678">
        <v>0</v>
      </c>
    </row>
    <row r="335" spans="6:6">
      <c r="F335" s="678">
        <v>0</v>
      </c>
    </row>
    <row r="336" spans="6:6">
      <c r="F336" s="678">
        <v>0</v>
      </c>
    </row>
    <row r="337" spans="6:6">
      <c r="F337" s="678">
        <v>0</v>
      </c>
    </row>
    <row r="338" spans="6:6">
      <c r="F338" s="678">
        <v>0</v>
      </c>
    </row>
    <row r="339" spans="6:6">
      <c r="F339" s="678">
        <v>0</v>
      </c>
    </row>
    <row r="340" spans="6:6">
      <c r="F340" s="678">
        <v>0</v>
      </c>
    </row>
    <row r="341" spans="6:6">
      <c r="F341" s="678">
        <v>0</v>
      </c>
    </row>
    <row r="342" spans="6:6">
      <c r="F342" s="678">
        <v>0</v>
      </c>
    </row>
    <row r="343" spans="6:6">
      <c r="F343" s="678">
        <v>0</v>
      </c>
    </row>
    <row r="344" spans="6:6">
      <c r="F344" s="678">
        <v>0</v>
      </c>
    </row>
    <row r="345" spans="6:6">
      <c r="F345" s="678">
        <v>0</v>
      </c>
    </row>
    <row r="346" spans="6:6">
      <c r="F346" s="678">
        <v>0</v>
      </c>
    </row>
    <row r="347" spans="6:6">
      <c r="F347" s="678">
        <v>0</v>
      </c>
    </row>
    <row r="348" spans="6:6">
      <c r="F348" s="678">
        <v>0</v>
      </c>
    </row>
    <row r="349" spans="6:6">
      <c r="F349" s="678">
        <v>0</v>
      </c>
    </row>
    <row r="350" spans="6:6">
      <c r="F350" s="678">
        <v>0</v>
      </c>
    </row>
    <row r="351" spans="6:6">
      <c r="F351" s="678">
        <v>0</v>
      </c>
    </row>
    <row r="352" spans="6:6">
      <c r="F352" s="678">
        <v>0</v>
      </c>
    </row>
    <row r="353" spans="6:6">
      <c r="F353" s="678">
        <v>0</v>
      </c>
    </row>
    <row r="354" spans="6:6">
      <c r="F354" s="678">
        <v>0</v>
      </c>
    </row>
    <row r="355" spans="6:6">
      <c r="F355" s="678">
        <v>0</v>
      </c>
    </row>
    <row r="356" spans="6:6">
      <c r="F356" s="678">
        <v>0</v>
      </c>
    </row>
    <row r="357" spans="6:6">
      <c r="F357" s="678">
        <v>0</v>
      </c>
    </row>
    <row r="358" spans="6:6">
      <c r="F358" s="678">
        <v>0</v>
      </c>
    </row>
    <row r="359" spans="6:6">
      <c r="F359" s="678">
        <v>0</v>
      </c>
    </row>
    <row r="360" spans="6:6">
      <c r="F360" s="678">
        <v>0</v>
      </c>
    </row>
    <row r="361" spans="6:6">
      <c r="F361" s="678">
        <v>0</v>
      </c>
    </row>
    <row r="362" spans="6:6">
      <c r="F362" s="678">
        <v>0</v>
      </c>
    </row>
    <row r="363" spans="6:6">
      <c r="F363" s="678">
        <v>0</v>
      </c>
    </row>
    <row r="364" spans="6:6">
      <c r="F364" s="678">
        <v>0</v>
      </c>
    </row>
    <row r="365" spans="6:6">
      <c r="F365" s="678">
        <v>0</v>
      </c>
    </row>
    <row r="366" spans="6:6">
      <c r="F366" s="678">
        <v>0</v>
      </c>
    </row>
    <row r="367" spans="6:6">
      <c r="F367" s="678">
        <v>0</v>
      </c>
    </row>
    <row r="368" spans="6:6">
      <c r="F368" s="678">
        <v>0</v>
      </c>
    </row>
    <row r="369" spans="6:6">
      <c r="F369" s="678">
        <v>0</v>
      </c>
    </row>
    <row r="370" spans="6:6">
      <c r="F370" s="678">
        <v>0</v>
      </c>
    </row>
    <row r="371" spans="6:6">
      <c r="F371" s="678">
        <v>0</v>
      </c>
    </row>
    <row r="372" spans="6:6">
      <c r="F372" s="678">
        <v>0</v>
      </c>
    </row>
    <row r="373" spans="6:6">
      <c r="F373" s="678">
        <v>0</v>
      </c>
    </row>
    <row r="374" spans="6:6">
      <c r="F374" s="678">
        <v>0</v>
      </c>
    </row>
    <row r="375" spans="6:6">
      <c r="F375" s="678">
        <v>0</v>
      </c>
    </row>
    <row r="376" spans="6:6">
      <c r="F376" s="678">
        <v>0</v>
      </c>
    </row>
    <row r="377" spans="6:6">
      <c r="F377" s="678">
        <v>0</v>
      </c>
    </row>
    <row r="378" spans="6:6">
      <c r="F378" s="678">
        <v>0</v>
      </c>
    </row>
    <row r="379" spans="6:6">
      <c r="F379" s="678">
        <v>0</v>
      </c>
    </row>
    <row r="380" spans="6:6">
      <c r="F380" s="678">
        <v>0</v>
      </c>
    </row>
    <row r="381" spans="6:6">
      <c r="F381" s="678">
        <v>0</v>
      </c>
    </row>
    <row r="382" spans="6:6">
      <c r="F382" s="678">
        <v>0</v>
      </c>
    </row>
    <row r="383" spans="6:6">
      <c r="F383" s="678">
        <v>0</v>
      </c>
    </row>
    <row r="384" spans="6:6">
      <c r="F384" s="678">
        <v>0</v>
      </c>
    </row>
    <row r="385" spans="6:6">
      <c r="F385" s="678">
        <v>0</v>
      </c>
    </row>
    <row r="386" spans="6:6">
      <c r="F386" s="678">
        <v>0</v>
      </c>
    </row>
    <row r="387" spans="6:6">
      <c r="F387" s="678">
        <v>0</v>
      </c>
    </row>
    <row r="388" spans="6:6">
      <c r="F388" s="678">
        <v>0</v>
      </c>
    </row>
    <row r="389" spans="6:6">
      <c r="F389" s="678">
        <v>0</v>
      </c>
    </row>
    <row r="390" spans="6:6">
      <c r="F390" s="678">
        <v>0</v>
      </c>
    </row>
    <row r="391" spans="6:6">
      <c r="F391" s="678">
        <v>0</v>
      </c>
    </row>
    <row r="392" spans="6:6">
      <c r="F392" s="678">
        <v>0</v>
      </c>
    </row>
    <row r="393" spans="6:6">
      <c r="F393" s="678">
        <v>0</v>
      </c>
    </row>
    <row r="394" spans="6:6">
      <c r="F394" s="678">
        <v>0</v>
      </c>
    </row>
    <row r="395" spans="6:6">
      <c r="F395" s="678">
        <v>0</v>
      </c>
    </row>
    <row r="396" spans="6:6">
      <c r="F396" s="678">
        <v>0</v>
      </c>
    </row>
    <row r="397" spans="6:6">
      <c r="F397" s="678">
        <v>0</v>
      </c>
    </row>
    <row r="398" spans="6:6">
      <c r="F398" s="678">
        <v>0</v>
      </c>
    </row>
    <row r="399" spans="6:6">
      <c r="F399" s="678">
        <v>0</v>
      </c>
    </row>
    <row r="400" spans="6:6">
      <c r="F400" s="678">
        <v>0</v>
      </c>
    </row>
    <row r="401" spans="6:6">
      <c r="F401" s="678">
        <v>0</v>
      </c>
    </row>
    <row r="402" spans="6:6">
      <c r="F402" s="678">
        <v>0</v>
      </c>
    </row>
    <row r="403" spans="6:6">
      <c r="F403" s="678">
        <v>0</v>
      </c>
    </row>
    <row r="404" spans="6:6">
      <c r="F404" s="678">
        <v>0</v>
      </c>
    </row>
    <row r="405" spans="6:6">
      <c r="F405" s="678">
        <v>0</v>
      </c>
    </row>
    <row r="406" spans="6:6">
      <c r="F406" s="678">
        <v>0</v>
      </c>
    </row>
    <row r="407" spans="6:6">
      <c r="F407" s="678">
        <v>0</v>
      </c>
    </row>
    <row r="408" spans="6:6">
      <c r="F408" s="678">
        <v>0</v>
      </c>
    </row>
    <row r="409" spans="6:6">
      <c r="F409" s="678">
        <v>0</v>
      </c>
    </row>
    <row r="410" spans="6:6">
      <c r="F410" s="678">
        <v>0</v>
      </c>
    </row>
    <row r="411" spans="6:6">
      <c r="F411" s="678">
        <v>0</v>
      </c>
    </row>
    <row r="412" spans="6:6">
      <c r="F412" s="678">
        <v>0</v>
      </c>
    </row>
    <row r="413" spans="6:6">
      <c r="F413" s="678">
        <v>0</v>
      </c>
    </row>
    <row r="414" spans="6:6">
      <c r="F414" s="678">
        <v>0</v>
      </c>
    </row>
    <row r="415" spans="6:6">
      <c r="F415" s="678">
        <v>0</v>
      </c>
    </row>
    <row r="416" spans="6:6">
      <c r="F416" s="678">
        <v>0</v>
      </c>
    </row>
    <row r="417" spans="6:6">
      <c r="F417" s="678">
        <v>0</v>
      </c>
    </row>
    <row r="418" spans="6:6">
      <c r="F418" s="678">
        <v>0</v>
      </c>
    </row>
    <row r="419" spans="6:6">
      <c r="F419" s="678">
        <v>0</v>
      </c>
    </row>
    <row r="420" spans="6:6">
      <c r="F420" s="678">
        <v>0</v>
      </c>
    </row>
    <row r="421" spans="6:6">
      <c r="F421" s="678">
        <v>0</v>
      </c>
    </row>
    <row r="422" spans="6:6">
      <c r="F422" s="678">
        <v>0</v>
      </c>
    </row>
    <row r="423" spans="6:6">
      <c r="F423" s="678">
        <v>0</v>
      </c>
    </row>
    <row r="424" spans="6:6">
      <c r="F424" s="678">
        <v>0</v>
      </c>
    </row>
    <row r="425" spans="6:6">
      <c r="F425" s="678">
        <v>0</v>
      </c>
    </row>
    <row r="426" spans="6:6">
      <c r="F426" s="678">
        <v>0</v>
      </c>
    </row>
    <row r="427" spans="6:6">
      <c r="F427" s="678">
        <v>0</v>
      </c>
    </row>
    <row r="428" spans="6:6">
      <c r="F428" s="678">
        <v>0</v>
      </c>
    </row>
    <row r="429" spans="6:6">
      <c r="F429" s="678">
        <v>0</v>
      </c>
    </row>
    <row r="430" spans="6:6">
      <c r="F430" s="678">
        <v>0</v>
      </c>
    </row>
    <row r="431" spans="6:6">
      <c r="F431" s="678">
        <v>0</v>
      </c>
    </row>
    <row r="432" spans="6:6">
      <c r="F432" s="678">
        <v>0</v>
      </c>
    </row>
    <row r="433" spans="6:6">
      <c r="F433" s="678">
        <v>0</v>
      </c>
    </row>
    <row r="434" spans="6:6">
      <c r="F434" s="678">
        <v>0</v>
      </c>
    </row>
    <row r="435" spans="6:6">
      <c r="F435" s="678">
        <v>0</v>
      </c>
    </row>
    <row r="436" spans="6:6">
      <c r="F436" s="678">
        <v>0</v>
      </c>
    </row>
    <row r="437" spans="6:6">
      <c r="F437" s="678">
        <v>0</v>
      </c>
    </row>
    <row r="438" spans="6:6">
      <c r="F438" s="678">
        <v>0</v>
      </c>
    </row>
    <row r="439" spans="6:6">
      <c r="F439" s="678">
        <v>0</v>
      </c>
    </row>
    <row r="440" spans="6:6">
      <c r="F440" s="678">
        <v>0</v>
      </c>
    </row>
    <row r="441" spans="6:6">
      <c r="F441" s="678">
        <v>0</v>
      </c>
    </row>
    <row r="442" spans="6:6">
      <c r="F442" s="678">
        <v>0</v>
      </c>
    </row>
    <row r="443" spans="6:6">
      <c r="F443" s="678">
        <v>0</v>
      </c>
    </row>
    <row r="444" spans="6:6">
      <c r="F444" s="678">
        <v>0</v>
      </c>
    </row>
    <row r="445" spans="6:6">
      <c r="F445" s="678">
        <v>0</v>
      </c>
    </row>
    <row r="446" spans="6:6">
      <c r="F446" s="678">
        <v>0</v>
      </c>
    </row>
    <row r="447" spans="6:6">
      <c r="F447" s="678">
        <v>0</v>
      </c>
    </row>
    <row r="448" spans="6:6">
      <c r="F448" s="678">
        <v>0</v>
      </c>
    </row>
    <row r="449" spans="6:6">
      <c r="F449" s="678">
        <v>0</v>
      </c>
    </row>
    <row r="450" spans="6:6">
      <c r="F450" s="678">
        <v>0</v>
      </c>
    </row>
    <row r="451" spans="6:6">
      <c r="F451" s="678">
        <v>0</v>
      </c>
    </row>
    <row r="452" spans="6:6">
      <c r="F452" s="678">
        <v>0</v>
      </c>
    </row>
    <row r="453" spans="6:6">
      <c r="F453" s="678">
        <v>0</v>
      </c>
    </row>
    <row r="454" spans="6:6">
      <c r="F454" s="678">
        <v>0</v>
      </c>
    </row>
    <row r="455" spans="6:6">
      <c r="F455" s="678">
        <v>0</v>
      </c>
    </row>
    <row r="456" spans="6:6">
      <c r="F456" s="678">
        <v>0</v>
      </c>
    </row>
    <row r="457" spans="6:6">
      <c r="F457" s="678">
        <v>0</v>
      </c>
    </row>
    <row r="458" spans="6:6">
      <c r="F458" s="678">
        <v>0</v>
      </c>
    </row>
    <row r="459" spans="6:6">
      <c r="F459" s="678">
        <v>0</v>
      </c>
    </row>
    <row r="460" spans="6:6">
      <c r="F460" s="678">
        <v>0</v>
      </c>
    </row>
    <row r="461" spans="6:6">
      <c r="F461" s="678">
        <v>0</v>
      </c>
    </row>
    <row r="462" spans="6:6">
      <c r="F462" s="678">
        <v>0</v>
      </c>
    </row>
    <row r="463" spans="6:6">
      <c r="F463" s="678">
        <v>0</v>
      </c>
    </row>
    <row r="464" spans="6:6">
      <c r="F464" s="678">
        <v>0</v>
      </c>
    </row>
    <row r="465" spans="6:6">
      <c r="F465" s="678">
        <v>0</v>
      </c>
    </row>
    <row r="466" spans="6:6">
      <c r="F466" s="678">
        <v>0</v>
      </c>
    </row>
    <row r="467" spans="6:6">
      <c r="F467" s="678">
        <v>0</v>
      </c>
    </row>
    <row r="468" spans="6:6">
      <c r="F468" s="678">
        <v>0</v>
      </c>
    </row>
    <row r="469" spans="6:6">
      <c r="F469" s="678">
        <v>0</v>
      </c>
    </row>
    <row r="470" spans="6:6">
      <c r="F470" s="678">
        <v>0</v>
      </c>
    </row>
    <row r="471" spans="6:6">
      <c r="F471" s="678">
        <v>0</v>
      </c>
    </row>
    <row r="472" spans="6:6">
      <c r="F472" s="678">
        <v>0</v>
      </c>
    </row>
    <row r="473" spans="6:6">
      <c r="F473" s="678">
        <v>0</v>
      </c>
    </row>
    <row r="474" spans="6:6">
      <c r="F474" s="678">
        <v>0</v>
      </c>
    </row>
    <row r="475" spans="6:6">
      <c r="F475" s="678">
        <v>0</v>
      </c>
    </row>
    <row r="476" spans="6:6">
      <c r="F476" s="678">
        <v>0</v>
      </c>
    </row>
    <row r="477" spans="6:6">
      <c r="F477" s="678">
        <v>0</v>
      </c>
    </row>
    <row r="478" spans="6:6">
      <c r="F478" s="678">
        <v>0</v>
      </c>
    </row>
    <row r="479" spans="6:6">
      <c r="F479" s="678">
        <v>0</v>
      </c>
    </row>
    <row r="480" spans="6:6">
      <c r="F480" s="678">
        <v>0</v>
      </c>
    </row>
    <row r="481" spans="6:6">
      <c r="F481" s="678">
        <v>0</v>
      </c>
    </row>
    <row r="482" spans="6:6">
      <c r="F482" s="678">
        <v>0</v>
      </c>
    </row>
    <row r="483" spans="6:6">
      <c r="F483" s="678">
        <v>0</v>
      </c>
    </row>
    <row r="484" spans="6:6">
      <c r="F484" s="678">
        <v>0</v>
      </c>
    </row>
    <row r="485" spans="6:6">
      <c r="F485" s="678">
        <v>0</v>
      </c>
    </row>
    <row r="486" spans="6:6">
      <c r="F486" s="678">
        <v>0</v>
      </c>
    </row>
    <row r="487" spans="6:6">
      <c r="F487" s="678">
        <v>0</v>
      </c>
    </row>
    <row r="488" spans="6:6">
      <c r="F488" s="678">
        <v>0</v>
      </c>
    </row>
    <row r="489" spans="6:6">
      <c r="F489" s="678">
        <v>0</v>
      </c>
    </row>
    <row r="490" spans="6:6">
      <c r="F490" s="678">
        <v>0</v>
      </c>
    </row>
    <row r="491" spans="6:6">
      <c r="F491" s="678">
        <v>0</v>
      </c>
    </row>
    <row r="492" spans="6:6">
      <c r="F492" s="678">
        <v>0</v>
      </c>
    </row>
    <row r="493" spans="6:6">
      <c r="F493" s="678">
        <v>0</v>
      </c>
    </row>
    <row r="494" spans="6:6">
      <c r="F494" s="678">
        <v>0</v>
      </c>
    </row>
    <row r="495" spans="6:6">
      <c r="F495" s="678">
        <v>0</v>
      </c>
    </row>
    <row r="496" spans="6:6">
      <c r="F496" s="678">
        <v>0</v>
      </c>
    </row>
    <row r="497" spans="6:6">
      <c r="F497" s="678">
        <v>0</v>
      </c>
    </row>
    <row r="498" spans="6:6">
      <c r="F498" s="678">
        <v>0</v>
      </c>
    </row>
    <row r="499" spans="6:6">
      <c r="F499" s="678">
        <v>0</v>
      </c>
    </row>
    <row r="500" spans="6:6">
      <c r="F500" s="678">
        <v>0</v>
      </c>
    </row>
    <row r="501" spans="6:6">
      <c r="F501" s="678">
        <v>0</v>
      </c>
    </row>
    <row r="502" spans="6:6">
      <c r="F502" s="678">
        <v>0</v>
      </c>
    </row>
    <row r="503" spans="6:6">
      <c r="F503" s="678">
        <v>0</v>
      </c>
    </row>
    <row r="504" spans="6:6">
      <c r="F504" s="678">
        <v>0</v>
      </c>
    </row>
    <row r="505" spans="6:6">
      <c r="F505" s="678">
        <v>0</v>
      </c>
    </row>
    <row r="506" spans="6:6">
      <c r="F506" s="678">
        <v>0</v>
      </c>
    </row>
    <row r="507" spans="6:6">
      <c r="F507" s="678">
        <v>0</v>
      </c>
    </row>
    <row r="508" spans="6:6">
      <c r="F508" s="678">
        <v>0</v>
      </c>
    </row>
    <row r="509" spans="6:6">
      <c r="F509" s="678">
        <v>0</v>
      </c>
    </row>
    <row r="510" spans="6:6">
      <c r="F510" s="678">
        <v>0</v>
      </c>
    </row>
    <row r="511" spans="6:6">
      <c r="F511" s="678">
        <v>0</v>
      </c>
    </row>
    <row r="512" spans="6:6">
      <c r="F512" s="678">
        <v>0</v>
      </c>
    </row>
    <row r="513" spans="6:6">
      <c r="F513" s="678">
        <v>0</v>
      </c>
    </row>
    <row r="514" spans="6:6">
      <c r="F514" s="678">
        <v>0</v>
      </c>
    </row>
    <row r="515" spans="6:6">
      <c r="F515" s="678">
        <v>0</v>
      </c>
    </row>
    <row r="516" spans="6:6">
      <c r="F516" s="678">
        <v>0</v>
      </c>
    </row>
    <row r="517" spans="6:6">
      <c r="F517" s="678">
        <v>0</v>
      </c>
    </row>
    <row r="518" spans="6:6">
      <c r="F518" s="678">
        <v>0</v>
      </c>
    </row>
    <row r="519" spans="6:6">
      <c r="F519" s="678">
        <v>0</v>
      </c>
    </row>
    <row r="520" spans="6:6">
      <c r="F520" s="678">
        <v>0</v>
      </c>
    </row>
    <row r="521" spans="6:6">
      <c r="F521" s="678">
        <v>0</v>
      </c>
    </row>
    <row r="522" spans="6:6">
      <c r="F522" s="678">
        <v>0</v>
      </c>
    </row>
    <row r="523" spans="6:6">
      <c r="F523" s="678">
        <v>0</v>
      </c>
    </row>
    <row r="524" spans="6:6">
      <c r="F524" s="678">
        <v>0</v>
      </c>
    </row>
    <row r="525" spans="6:6">
      <c r="F525" s="678">
        <v>0</v>
      </c>
    </row>
    <row r="526" spans="6:6">
      <c r="F526" s="678">
        <v>0</v>
      </c>
    </row>
    <row r="527" spans="6:6">
      <c r="F527" s="678">
        <v>0</v>
      </c>
    </row>
    <row r="528" spans="6:6">
      <c r="F528" s="678">
        <v>0</v>
      </c>
    </row>
    <row r="529" spans="6:6">
      <c r="F529" s="678">
        <v>0</v>
      </c>
    </row>
    <row r="530" spans="6:6">
      <c r="F530" s="678">
        <v>0</v>
      </c>
    </row>
    <row r="531" spans="6:6">
      <c r="F531" s="678">
        <v>0</v>
      </c>
    </row>
    <row r="532" spans="6:6">
      <c r="F532" s="678">
        <v>0</v>
      </c>
    </row>
    <row r="533" spans="6:6">
      <c r="F533" s="678">
        <v>0</v>
      </c>
    </row>
    <row r="534" spans="6:6">
      <c r="F534" s="678">
        <v>0</v>
      </c>
    </row>
    <row r="535" spans="6:6">
      <c r="F535" s="678">
        <v>0</v>
      </c>
    </row>
    <row r="536" spans="6:6">
      <c r="F536" s="678">
        <v>0</v>
      </c>
    </row>
    <row r="537" spans="6:6">
      <c r="F537" s="678">
        <v>0</v>
      </c>
    </row>
    <row r="538" spans="6:6">
      <c r="F538" s="678">
        <v>0</v>
      </c>
    </row>
    <row r="539" spans="6:6">
      <c r="F539" s="678">
        <v>0</v>
      </c>
    </row>
    <row r="540" spans="6:6">
      <c r="F540" s="678">
        <v>0</v>
      </c>
    </row>
    <row r="541" spans="6:6">
      <c r="F541" s="678">
        <v>0</v>
      </c>
    </row>
    <row r="542" spans="6:6">
      <c r="F542" s="678">
        <v>0</v>
      </c>
    </row>
    <row r="543" spans="6:6">
      <c r="F543" s="678">
        <v>0</v>
      </c>
    </row>
    <row r="544" spans="6:6">
      <c r="F544" s="678">
        <v>0</v>
      </c>
    </row>
    <row r="545" spans="6:6">
      <c r="F545" s="678">
        <v>0</v>
      </c>
    </row>
    <row r="546" spans="6:6">
      <c r="F546" s="678">
        <v>0</v>
      </c>
    </row>
    <row r="547" spans="6:6">
      <c r="F547" s="678">
        <v>0</v>
      </c>
    </row>
    <row r="548" spans="6:6">
      <c r="F548" s="678">
        <v>0</v>
      </c>
    </row>
    <row r="549" spans="6:6">
      <c r="F549" s="678">
        <v>0</v>
      </c>
    </row>
    <row r="550" spans="6:6">
      <c r="F550" s="678">
        <v>0</v>
      </c>
    </row>
    <row r="551" spans="6:6">
      <c r="F551" s="678">
        <v>0</v>
      </c>
    </row>
    <row r="552" spans="6:6">
      <c r="F552" s="678">
        <v>0</v>
      </c>
    </row>
    <row r="553" spans="6:6">
      <c r="F553" s="678">
        <v>0</v>
      </c>
    </row>
    <row r="554" spans="6:6">
      <c r="F554" s="678">
        <v>0</v>
      </c>
    </row>
    <row r="555" spans="6:6">
      <c r="F555" s="678">
        <v>0</v>
      </c>
    </row>
    <row r="556" spans="6:6">
      <c r="F556" s="678">
        <v>0</v>
      </c>
    </row>
    <row r="557" spans="6:6">
      <c r="F557" s="678">
        <v>0</v>
      </c>
    </row>
    <row r="558" spans="6:6">
      <c r="F558" s="678">
        <v>0</v>
      </c>
    </row>
    <row r="559" spans="6:6">
      <c r="F559" s="678">
        <v>0</v>
      </c>
    </row>
    <row r="560" spans="6:6">
      <c r="F560" s="678">
        <v>0</v>
      </c>
    </row>
    <row r="561" spans="6:6">
      <c r="F561" s="678">
        <v>0</v>
      </c>
    </row>
    <row r="562" spans="6:6">
      <c r="F562" s="678">
        <v>0</v>
      </c>
    </row>
    <row r="563" spans="6:6">
      <c r="F563" s="678">
        <v>0</v>
      </c>
    </row>
    <row r="564" spans="6:6">
      <c r="F564" s="678">
        <v>0</v>
      </c>
    </row>
    <row r="565" spans="6:6">
      <c r="F565" s="678">
        <v>0</v>
      </c>
    </row>
    <row r="566" spans="6:6">
      <c r="F566" s="678">
        <v>0</v>
      </c>
    </row>
    <row r="567" spans="6:6">
      <c r="F567" s="678">
        <v>0</v>
      </c>
    </row>
    <row r="568" spans="6:6">
      <c r="F568" s="678">
        <v>0</v>
      </c>
    </row>
    <row r="569" spans="6:6">
      <c r="F569" s="678">
        <v>0</v>
      </c>
    </row>
    <row r="570" spans="6:6">
      <c r="F570" s="678">
        <v>0</v>
      </c>
    </row>
    <row r="571" spans="6:6">
      <c r="F571" s="678">
        <v>0</v>
      </c>
    </row>
    <row r="572" spans="6:6">
      <c r="F572" s="678">
        <v>0</v>
      </c>
    </row>
    <row r="573" spans="6:6">
      <c r="F573" s="678">
        <v>0</v>
      </c>
    </row>
    <row r="574" spans="6:6">
      <c r="F574" s="678">
        <v>0</v>
      </c>
    </row>
    <row r="575" spans="6:6">
      <c r="F575" s="678">
        <v>0</v>
      </c>
    </row>
    <row r="576" spans="6:6">
      <c r="F576" s="678">
        <v>0</v>
      </c>
    </row>
    <row r="577" spans="6:6">
      <c r="F577" s="678">
        <v>0</v>
      </c>
    </row>
    <row r="578" spans="6:6">
      <c r="F578" s="678">
        <v>0</v>
      </c>
    </row>
    <row r="579" spans="6:6">
      <c r="F579" s="678">
        <v>0</v>
      </c>
    </row>
    <row r="580" spans="6:6">
      <c r="F580" s="678">
        <v>0</v>
      </c>
    </row>
    <row r="581" spans="6:6">
      <c r="F581" s="678">
        <v>0</v>
      </c>
    </row>
    <row r="582" spans="6:6">
      <c r="F582" s="678">
        <v>0</v>
      </c>
    </row>
    <row r="583" spans="6:6">
      <c r="F583" s="678">
        <v>0</v>
      </c>
    </row>
    <row r="584" spans="6:6">
      <c r="F584" s="678">
        <v>0</v>
      </c>
    </row>
    <row r="585" spans="6:6">
      <c r="F585" s="678">
        <v>0</v>
      </c>
    </row>
    <row r="586" spans="6:6">
      <c r="F586" s="678">
        <v>0</v>
      </c>
    </row>
    <row r="587" spans="6:6">
      <c r="F587" s="678">
        <v>0</v>
      </c>
    </row>
    <row r="588" spans="6:6">
      <c r="F588" s="678">
        <v>0</v>
      </c>
    </row>
    <row r="589" spans="6:6">
      <c r="F589" s="678">
        <v>0</v>
      </c>
    </row>
    <row r="590" spans="6:6">
      <c r="F590" s="678">
        <v>0</v>
      </c>
    </row>
    <row r="591" spans="6:6">
      <c r="F591" s="678">
        <v>0</v>
      </c>
    </row>
    <row r="592" spans="6:6">
      <c r="F592" s="678">
        <v>0</v>
      </c>
    </row>
    <row r="593" spans="6:6">
      <c r="F593" s="678">
        <v>0</v>
      </c>
    </row>
    <row r="594" spans="6:6">
      <c r="F594" s="678">
        <v>0</v>
      </c>
    </row>
    <row r="595" spans="6:6">
      <c r="F595" s="678">
        <v>0</v>
      </c>
    </row>
    <row r="596" spans="6:6">
      <c r="F596" s="678">
        <v>0</v>
      </c>
    </row>
    <row r="597" spans="6:6">
      <c r="F597" s="678">
        <v>0</v>
      </c>
    </row>
    <row r="598" spans="6:6">
      <c r="F598" s="678">
        <v>0</v>
      </c>
    </row>
    <row r="599" spans="6:6">
      <c r="F599" s="678">
        <v>0</v>
      </c>
    </row>
    <row r="600" spans="6:6">
      <c r="F600" s="678">
        <v>0</v>
      </c>
    </row>
    <row r="601" spans="6:6">
      <c r="F601" s="678">
        <v>0</v>
      </c>
    </row>
    <row r="602" spans="6:6">
      <c r="F602" s="678">
        <v>0</v>
      </c>
    </row>
    <row r="603" spans="6:6">
      <c r="F603" s="678">
        <v>0</v>
      </c>
    </row>
    <row r="604" spans="6:6">
      <c r="F604" s="678">
        <v>0</v>
      </c>
    </row>
    <row r="605" spans="6:6">
      <c r="F605" s="678">
        <v>0</v>
      </c>
    </row>
    <row r="606" spans="6:6">
      <c r="F606" s="678">
        <v>0</v>
      </c>
    </row>
    <row r="607" spans="6:6">
      <c r="F607" s="678">
        <v>0</v>
      </c>
    </row>
    <row r="608" spans="6:6">
      <c r="F608" s="678">
        <v>0</v>
      </c>
    </row>
    <row r="609" spans="6:6">
      <c r="F609" s="678">
        <v>0</v>
      </c>
    </row>
    <row r="610" spans="6:6">
      <c r="F610" s="678">
        <v>0</v>
      </c>
    </row>
    <row r="611" spans="6:6">
      <c r="F611" s="678">
        <v>0</v>
      </c>
    </row>
    <row r="612" spans="6:6">
      <c r="F612" s="678">
        <v>0</v>
      </c>
    </row>
    <row r="613" spans="6:6">
      <c r="F613" s="678">
        <v>0</v>
      </c>
    </row>
    <row r="614" spans="6:6">
      <c r="F614" s="678">
        <v>0</v>
      </c>
    </row>
    <row r="615" spans="6:6">
      <c r="F615" s="678">
        <v>0</v>
      </c>
    </row>
    <row r="616" spans="6:6">
      <c r="F616" s="678">
        <v>0</v>
      </c>
    </row>
    <row r="617" spans="6:6">
      <c r="F617" s="678">
        <v>0</v>
      </c>
    </row>
    <row r="618" spans="6:6">
      <c r="F618" s="678">
        <v>0</v>
      </c>
    </row>
    <row r="619" spans="6:6">
      <c r="F619" s="678">
        <v>0</v>
      </c>
    </row>
    <row r="620" spans="6:6">
      <c r="F620" s="678">
        <v>0</v>
      </c>
    </row>
    <row r="621" spans="6:6">
      <c r="F621" s="678">
        <v>0</v>
      </c>
    </row>
    <row r="622" spans="6:6">
      <c r="F622" s="678">
        <v>0</v>
      </c>
    </row>
    <row r="623" spans="6:6">
      <c r="F623" s="678">
        <v>0</v>
      </c>
    </row>
    <row r="624" spans="6:6">
      <c r="F624" s="678">
        <v>0</v>
      </c>
    </row>
    <row r="625" spans="6:6">
      <c r="F625" s="678">
        <v>0</v>
      </c>
    </row>
    <row r="626" spans="6:6">
      <c r="F626" s="678">
        <v>0</v>
      </c>
    </row>
    <row r="627" spans="6:6">
      <c r="F627" s="678">
        <v>0</v>
      </c>
    </row>
    <row r="628" spans="6:6">
      <c r="F628" s="678">
        <v>0</v>
      </c>
    </row>
    <row r="629" spans="6:6">
      <c r="F629" s="678">
        <v>0</v>
      </c>
    </row>
    <row r="630" spans="6:6">
      <c r="F630" s="678">
        <v>0</v>
      </c>
    </row>
    <row r="631" spans="6:6">
      <c r="F631" s="678">
        <v>0</v>
      </c>
    </row>
    <row r="632" spans="6:6">
      <c r="F632" s="678">
        <v>0</v>
      </c>
    </row>
    <row r="633" spans="6:6">
      <c r="F633" s="678">
        <v>0</v>
      </c>
    </row>
    <row r="634" spans="6:6">
      <c r="F634" s="678">
        <v>0</v>
      </c>
    </row>
    <row r="635" spans="6:6">
      <c r="F635" s="678">
        <v>0</v>
      </c>
    </row>
    <row r="636" spans="6:6">
      <c r="F636" s="678">
        <v>0</v>
      </c>
    </row>
    <row r="637" spans="6:6">
      <c r="F637" s="678">
        <v>0</v>
      </c>
    </row>
    <row r="638" spans="6:6">
      <c r="F638" s="678">
        <v>0</v>
      </c>
    </row>
    <row r="639" spans="6:6">
      <c r="F639" s="678">
        <v>0</v>
      </c>
    </row>
    <row r="640" spans="6:6">
      <c r="F640" s="678">
        <v>0</v>
      </c>
    </row>
    <row r="641" spans="6:6">
      <c r="F641" s="678">
        <v>0</v>
      </c>
    </row>
    <row r="642" spans="6:6">
      <c r="F642" s="678">
        <v>0</v>
      </c>
    </row>
    <row r="643" spans="6:6">
      <c r="F643" s="678">
        <v>0</v>
      </c>
    </row>
    <row r="644" spans="6:6">
      <c r="F644" s="678">
        <v>0</v>
      </c>
    </row>
    <row r="645" spans="6:6">
      <c r="F645" s="678">
        <v>0</v>
      </c>
    </row>
    <row r="646" spans="6:6">
      <c r="F646" s="678">
        <v>0</v>
      </c>
    </row>
    <row r="647" spans="6:6">
      <c r="F647" s="678">
        <v>0</v>
      </c>
    </row>
    <row r="648" spans="6:6">
      <c r="F648" s="678">
        <v>0</v>
      </c>
    </row>
    <row r="649" spans="6:6">
      <c r="F649" s="678">
        <v>0</v>
      </c>
    </row>
    <row r="650" spans="6:6">
      <c r="F650" s="678">
        <v>0</v>
      </c>
    </row>
    <row r="651" spans="6:6">
      <c r="F651" s="678">
        <v>0</v>
      </c>
    </row>
    <row r="652" spans="6:6">
      <c r="F652" s="678">
        <v>0</v>
      </c>
    </row>
    <row r="653" spans="6:6">
      <c r="F653" s="678">
        <v>0</v>
      </c>
    </row>
    <row r="654" spans="6:6">
      <c r="F654" s="678">
        <v>0</v>
      </c>
    </row>
    <row r="655" spans="6:6">
      <c r="F655" s="678">
        <v>0</v>
      </c>
    </row>
    <row r="656" spans="6:6">
      <c r="F656" s="678">
        <v>0</v>
      </c>
    </row>
    <row r="657" spans="6:6">
      <c r="F657" s="678">
        <v>0</v>
      </c>
    </row>
    <row r="658" spans="6:6">
      <c r="F658" s="678">
        <v>0</v>
      </c>
    </row>
    <row r="659" spans="6:6">
      <c r="F659" s="678">
        <v>0</v>
      </c>
    </row>
    <row r="660" spans="6:6">
      <c r="F660" s="678">
        <v>0</v>
      </c>
    </row>
    <row r="661" spans="6:6">
      <c r="F661" s="678">
        <v>0</v>
      </c>
    </row>
    <row r="662" spans="6:6">
      <c r="F662" s="678">
        <v>0</v>
      </c>
    </row>
    <row r="663" spans="6:6">
      <c r="F663" s="678">
        <v>0</v>
      </c>
    </row>
    <row r="664" spans="6:6">
      <c r="F664" s="678">
        <v>0</v>
      </c>
    </row>
    <row r="665" spans="6:6">
      <c r="F665" s="678">
        <v>0</v>
      </c>
    </row>
    <row r="666" spans="6:6">
      <c r="F666" s="678">
        <v>0</v>
      </c>
    </row>
    <row r="667" spans="6:6">
      <c r="F667" s="678">
        <v>0</v>
      </c>
    </row>
    <row r="668" spans="6:6">
      <c r="F668" s="678">
        <v>0</v>
      </c>
    </row>
    <row r="669" spans="6:6">
      <c r="F669" s="678">
        <v>0</v>
      </c>
    </row>
    <row r="670" spans="6:6">
      <c r="F670" s="678">
        <v>0</v>
      </c>
    </row>
    <row r="671" spans="6:6">
      <c r="F671" s="678">
        <v>0</v>
      </c>
    </row>
    <row r="672" spans="6:6">
      <c r="F672" s="678">
        <v>0</v>
      </c>
    </row>
    <row r="673" spans="6:6">
      <c r="F673" s="678">
        <v>0</v>
      </c>
    </row>
    <row r="674" spans="6:6">
      <c r="F674" s="678">
        <v>0</v>
      </c>
    </row>
    <row r="675" spans="6:6">
      <c r="F675" s="678">
        <v>0</v>
      </c>
    </row>
    <row r="676" spans="6:6">
      <c r="F676" s="678">
        <v>0</v>
      </c>
    </row>
    <row r="677" spans="6:6">
      <c r="F677" s="678">
        <v>0</v>
      </c>
    </row>
    <row r="678" spans="6:6">
      <c r="F678" s="678">
        <v>0</v>
      </c>
    </row>
    <row r="679" spans="6:6">
      <c r="F679" s="678">
        <v>0</v>
      </c>
    </row>
    <row r="680" spans="6:6">
      <c r="F680" s="678">
        <v>0</v>
      </c>
    </row>
    <row r="681" spans="6:6">
      <c r="F681" s="678">
        <v>0</v>
      </c>
    </row>
    <row r="682" spans="6:6">
      <c r="F682" s="678">
        <v>0</v>
      </c>
    </row>
    <row r="683" spans="6:6">
      <c r="F683" s="678">
        <v>0</v>
      </c>
    </row>
    <row r="684" spans="6:6">
      <c r="F684" s="678">
        <v>0</v>
      </c>
    </row>
    <row r="685" spans="6:6">
      <c r="F685" s="678">
        <v>0</v>
      </c>
    </row>
    <row r="686" spans="6:6">
      <c r="F686" s="678">
        <v>0</v>
      </c>
    </row>
    <row r="687" spans="6:6">
      <c r="F687" s="678">
        <v>0</v>
      </c>
    </row>
    <row r="688" spans="6:6">
      <c r="F688" s="678">
        <v>0</v>
      </c>
    </row>
    <row r="689" spans="6:6">
      <c r="F689" s="678">
        <v>0</v>
      </c>
    </row>
    <row r="690" spans="6:6">
      <c r="F690" s="678">
        <v>0</v>
      </c>
    </row>
    <row r="691" spans="6:6">
      <c r="F691" s="678">
        <v>0</v>
      </c>
    </row>
    <row r="692" spans="6:6">
      <c r="F692" s="678">
        <v>0</v>
      </c>
    </row>
    <row r="693" spans="6:6">
      <c r="F693" s="678">
        <v>0</v>
      </c>
    </row>
    <row r="694" spans="6:6">
      <c r="F694" s="678">
        <v>0</v>
      </c>
    </row>
    <row r="695" spans="6:6">
      <c r="F695" s="678">
        <v>0</v>
      </c>
    </row>
    <row r="696" spans="6:6">
      <c r="F696" s="678">
        <v>0</v>
      </c>
    </row>
    <row r="697" spans="6:6">
      <c r="F697" s="678">
        <v>0</v>
      </c>
    </row>
    <row r="698" spans="6:6">
      <c r="F698" s="678">
        <v>0</v>
      </c>
    </row>
    <row r="699" spans="6:6">
      <c r="F699" s="678">
        <v>0</v>
      </c>
    </row>
    <row r="700" spans="6:6">
      <c r="F700" s="678">
        <v>0</v>
      </c>
    </row>
    <row r="701" spans="6:6">
      <c r="F701" s="678">
        <v>0</v>
      </c>
    </row>
    <row r="702" spans="6:6">
      <c r="F702" s="678">
        <v>0</v>
      </c>
    </row>
    <row r="703" spans="6:6">
      <c r="F703" s="678">
        <v>0</v>
      </c>
    </row>
    <row r="704" spans="6:6">
      <c r="F704" s="678">
        <v>0</v>
      </c>
    </row>
    <row r="705" spans="6:6">
      <c r="F705" s="678">
        <v>0</v>
      </c>
    </row>
    <row r="706" spans="6:6">
      <c r="F706" s="678">
        <v>0</v>
      </c>
    </row>
    <row r="707" spans="6:6">
      <c r="F707" s="678">
        <v>0</v>
      </c>
    </row>
    <row r="708" spans="6:6">
      <c r="F708" s="678">
        <v>0</v>
      </c>
    </row>
    <row r="709" spans="6:6">
      <c r="F709" s="678">
        <v>0</v>
      </c>
    </row>
    <row r="710" spans="6:6">
      <c r="F710" s="678">
        <v>0</v>
      </c>
    </row>
    <row r="711" spans="6:6">
      <c r="F711" s="678">
        <v>0</v>
      </c>
    </row>
    <row r="712" spans="6:6">
      <c r="F712" s="678">
        <v>0</v>
      </c>
    </row>
    <row r="713" spans="6:6">
      <c r="F713" s="678">
        <v>0</v>
      </c>
    </row>
    <row r="714" spans="6:6">
      <c r="F714" s="678">
        <v>0</v>
      </c>
    </row>
    <row r="715" spans="6:6">
      <c r="F715" s="678">
        <v>0</v>
      </c>
    </row>
    <row r="716" spans="6:6">
      <c r="F716" s="678">
        <v>0</v>
      </c>
    </row>
    <row r="717" spans="6:6">
      <c r="F717" s="678">
        <v>0</v>
      </c>
    </row>
    <row r="718" spans="6:6">
      <c r="F718" s="678">
        <v>0</v>
      </c>
    </row>
    <row r="719" spans="6:6">
      <c r="F719" s="678">
        <v>0</v>
      </c>
    </row>
    <row r="720" spans="6:6">
      <c r="F720" s="678">
        <v>0</v>
      </c>
    </row>
    <row r="721" spans="6:6">
      <c r="F721" s="678">
        <v>0</v>
      </c>
    </row>
    <row r="722" spans="6:6">
      <c r="F722" s="678">
        <v>0</v>
      </c>
    </row>
    <row r="723" spans="6:6">
      <c r="F723" s="678">
        <v>0</v>
      </c>
    </row>
    <row r="724" spans="6:6">
      <c r="F724" s="678">
        <v>0</v>
      </c>
    </row>
    <row r="725" spans="6:6">
      <c r="F725" s="678">
        <v>0</v>
      </c>
    </row>
    <row r="726" spans="6:6">
      <c r="F726" s="678">
        <v>0</v>
      </c>
    </row>
    <row r="727" spans="6:6">
      <c r="F727" s="678">
        <v>0</v>
      </c>
    </row>
    <row r="728" spans="6:6">
      <c r="F728" s="678">
        <v>0</v>
      </c>
    </row>
    <row r="729" spans="6:6">
      <c r="F729" s="678">
        <v>0</v>
      </c>
    </row>
    <row r="730" spans="6:6">
      <c r="F730" s="678">
        <v>0</v>
      </c>
    </row>
    <row r="731" spans="6:6">
      <c r="F731" s="678">
        <v>0</v>
      </c>
    </row>
    <row r="732" spans="6:6">
      <c r="F732" s="678">
        <v>0</v>
      </c>
    </row>
    <row r="733" spans="6:6">
      <c r="F733" s="678">
        <v>0</v>
      </c>
    </row>
    <row r="734" spans="6:6">
      <c r="F734" s="678">
        <v>0</v>
      </c>
    </row>
    <row r="735" spans="6:6">
      <c r="F735" s="678">
        <v>0</v>
      </c>
    </row>
    <row r="736" spans="6:6">
      <c r="F736" s="678">
        <v>0</v>
      </c>
    </row>
    <row r="737" spans="6:6">
      <c r="F737" s="678">
        <v>0</v>
      </c>
    </row>
    <row r="738" spans="6:6">
      <c r="F738" s="678">
        <v>0</v>
      </c>
    </row>
    <row r="739" spans="6:6">
      <c r="F739" s="678">
        <v>0</v>
      </c>
    </row>
    <row r="740" spans="6:6">
      <c r="F740" s="678">
        <v>0</v>
      </c>
    </row>
    <row r="741" spans="6:6">
      <c r="F741" s="678">
        <v>0</v>
      </c>
    </row>
    <row r="742" spans="6:6">
      <c r="F742" s="678">
        <v>0</v>
      </c>
    </row>
    <row r="743" spans="6:6">
      <c r="F743" s="678">
        <v>0</v>
      </c>
    </row>
    <row r="744" spans="6:6">
      <c r="F744" s="678">
        <v>0</v>
      </c>
    </row>
    <row r="745" spans="6:6">
      <c r="F745" s="678">
        <v>0</v>
      </c>
    </row>
    <row r="746" spans="6:6">
      <c r="F746" s="678">
        <v>0</v>
      </c>
    </row>
    <row r="747" spans="6:6">
      <c r="F747" s="678">
        <v>0</v>
      </c>
    </row>
    <row r="748" spans="6:6">
      <c r="F748" s="678">
        <v>0</v>
      </c>
    </row>
    <row r="749" spans="6:6">
      <c r="F749" s="678">
        <v>0</v>
      </c>
    </row>
    <row r="750" spans="6:6">
      <c r="F750" s="678">
        <v>0</v>
      </c>
    </row>
    <row r="751" spans="6:6">
      <c r="F751" s="678">
        <v>0</v>
      </c>
    </row>
    <row r="752" spans="6:6">
      <c r="F752" s="678">
        <v>0</v>
      </c>
    </row>
    <row r="753" spans="6:6">
      <c r="F753" s="678">
        <v>0</v>
      </c>
    </row>
    <row r="754" spans="6:6">
      <c r="F754" s="678">
        <v>0</v>
      </c>
    </row>
    <row r="755" spans="6:6">
      <c r="F755" s="678">
        <v>0</v>
      </c>
    </row>
    <row r="756" spans="6:6">
      <c r="F756" s="678">
        <v>0</v>
      </c>
    </row>
    <row r="757" spans="6:6">
      <c r="F757" s="678">
        <v>0</v>
      </c>
    </row>
    <row r="758" spans="6:6">
      <c r="F758" s="678">
        <v>0</v>
      </c>
    </row>
    <row r="759" spans="6:6">
      <c r="F759" s="678">
        <v>0</v>
      </c>
    </row>
    <row r="760" spans="6:6">
      <c r="F760" s="678">
        <v>0</v>
      </c>
    </row>
    <row r="761" spans="6:6">
      <c r="F761" s="678">
        <v>0</v>
      </c>
    </row>
    <row r="762" spans="6:6">
      <c r="F762" s="678">
        <v>0</v>
      </c>
    </row>
    <row r="763" spans="6:6">
      <c r="F763" s="678">
        <v>0</v>
      </c>
    </row>
    <row r="764" spans="6:6">
      <c r="F764" s="678">
        <v>0</v>
      </c>
    </row>
    <row r="765" spans="6:6">
      <c r="F765" s="678">
        <v>0</v>
      </c>
    </row>
    <row r="766" spans="6:6">
      <c r="F766" s="678">
        <v>0</v>
      </c>
    </row>
    <row r="767" spans="6:6">
      <c r="F767" s="678">
        <v>0</v>
      </c>
    </row>
    <row r="768" spans="6:6">
      <c r="F768" s="678">
        <v>0</v>
      </c>
    </row>
    <row r="769" spans="6:6">
      <c r="F769" s="678">
        <v>0</v>
      </c>
    </row>
    <row r="770" spans="6:6">
      <c r="F770" s="678">
        <v>0</v>
      </c>
    </row>
    <row r="771" spans="6:6">
      <c r="F771" s="678">
        <v>0</v>
      </c>
    </row>
    <row r="772" spans="6:6">
      <c r="F772" s="678">
        <v>0</v>
      </c>
    </row>
    <row r="773" spans="6:6">
      <c r="F773" s="678">
        <v>0</v>
      </c>
    </row>
    <row r="774" spans="6:6">
      <c r="F774" s="678">
        <v>0</v>
      </c>
    </row>
    <row r="775" spans="6:6">
      <c r="F775" s="678">
        <v>0</v>
      </c>
    </row>
    <row r="776" spans="6:6">
      <c r="F776" s="678">
        <v>0</v>
      </c>
    </row>
    <row r="777" spans="6:6">
      <c r="F777" s="678">
        <v>0</v>
      </c>
    </row>
    <row r="778" spans="6:6">
      <c r="F778" s="678">
        <v>0</v>
      </c>
    </row>
    <row r="779" spans="6:6">
      <c r="F779" s="678">
        <v>0</v>
      </c>
    </row>
    <row r="780" spans="6:6">
      <c r="F780" s="678">
        <v>0</v>
      </c>
    </row>
    <row r="781" spans="6:6">
      <c r="F781" s="678">
        <v>0</v>
      </c>
    </row>
    <row r="782" spans="6:6">
      <c r="F782" s="678">
        <v>0</v>
      </c>
    </row>
    <row r="783" spans="6:6">
      <c r="F783" s="678">
        <v>0</v>
      </c>
    </row>
    <row r="784" spans="6:6">
      <c r="F784" s="678">
        <v>0</v>
      </c>
    </row>
    <row r="785" spans="6:6">
      <c r="F785" s="678">
        <v>0</v>
      </c>
    </row>
    <row r="786" spans="6:6">
      <c r="F786" s="678">
        <v>0</v>
      </c>
    </row>
    <row r="787" spans="6:6">
      <c r="F787" s="678">
        <v>0</v>
      </c>
    </row>
    <row r="788" spans="6:6">
      <c r="F788" s="678">
        <v>0</v>
      </c>
    </row>
    <row r="789" spans="6:6">
      <c r="F789" s="678">
        <v>0</v>
      </c>
    </row>
    <row r="790" spans="6:6">
      <c r="F790" s="678">
        <v>0</v>
      </c>
    </row>
    <row r="791" spans="6:6">
      <c r="F791" s="678">
        <v>0</v>
      </c>
    </row>
    <row r="792" spans="6:6">
      <c r="F792" s="678">
        <v>0</v>
      </c>
    </row>
    <row r="793" spans="6:6">
      <c r="F793" s="678">
        <v>0</v>
      </c>
    </row>
    <row r="794" spans="6:6">
      <c r="F794" s="678">
        <v>0</v>
      </c>
    </row>
    <row r="795" spans="6:6">
      <c r="F795" s="678">
        <v>0</v>
      </c>
    </row>
    <row r="796" spans="6:6">
      <c r="F796" s="678">
        <v>0</v>
      </c>
    </row>
    <row r="797" spans="6:6">
      <c r="F797" s="678">
        <v>0</v>
      </c>
    </row>
    <row r="798" spans="6:6">
      <c r="F798" s="678">
        <v>0</v>
      </c>
    </row>
    <row r="799" spans="6:6">
      <c r="F799" s="678">
        <v>0</v>
      </c>
    </row>
    <row r="800" spans="6:6">
      <c r="F800" s="678">
        <v>0</v>
      </c>
    </row>
    <row r="801" spans="6:6">
      <c r="F801" s="678">
        <v>0</v>
      </c>
    </row>
    <row r="802" spans="6:6">
      <c r="F802" s="678">
        <v>0</v>
      </c>
    </row>
    <row r="803" spans="6:6">
      <c r="F803" s="678">
        <v>0</v>
      </c>
    </row>
    <row r="804" spans="6:6">
      <c r="F804" s="678">
        <v>0</v>
      </c>
    </row>
    <row r="805" spans="6:6">
      <c r="F805" s="678">
        <v>0</v>
      </c>
    </row>
    <row r="806" spans="6:6">
      <c r="F806" s="678">
        <v>0</v>
      </c>
    </row>
    <row r="807" spans="6:6">
      <c r="F807" s="678">
        <v>0</v>
      </c>
    </row>
    <row r="808" spans="6:6">
      <c r="F808" s="678">
        <v>0</v>
      </c>
    </row>
    <row r="809" spans="6:6">
      <c r="F809" s="678">
        <v>0</v>
      </c>
    </row>
    <row r="810" spans="6:6">
      <c r="F810" s="678">
        <v>0</v>
      </c>
    </row>
    <row r="811" spans="6:6">
      <c r="F811" s="678">
        <v>0</v>
      </c>
    </row>
    <row r="812" spans="6:6">
      <c r="F812" s="678">
        <v>0</v>
      </c>
    </row>
    <row r="813" spans="6:6">
      <c r="F813" s="678">
        <v>0</v>
      </c>
    </row>
    <row r="814" spans="6:6">
      <c r="F814" s="678">
        <v>0</v>
      </c>
    </row>
    <row r="815" spans="6:6">
      <c r="F815" s="678">
        <v>0</v>
      </c>
    </row>
    <row r="816" spans="6:6">
      <c r="F816" s="678">
        <v>0</v>
      </c>
    </row>
    <row r="817" spans="6:6">
      <c r="F817" s="678">
        <v>0</v>
      </c>
    </row>
    <row r="818" spans="6:6">
      <c r="F818" s="678">
        <v>0</v>
      </c>
    </row>
    <row r="819" spans="6:6">
      <c r="F819" s="678">
        <v>0</v>
      </c>
    </row>
    <row r="820" spans="6:6">
      <c r="F820" s="678">
        <v>0</v>
      </c>
    </row>
    <row r="821" spans="6:6">
      <c r="F821" s="678">
        <v>0</v>
      </c>
    </row>
    <row r="822" spans="6:6">
      <c r="F822" s="678">
        <v>0</v>
      </c>
    </row>
    <row r="823" spans="6:6">
      <c r="F823" s="678">
        <v>0</v>
      </c>
    </row>
    <row r="824" spans="6:6">
      <c r="F824" s="678">
        <v>0</v>
      </c>
    </row>
    <row r="825" spans="6:6">
      <c r="F825" s="678">
        <v>0</v>
      </c>
    </row>
    <row r="826" spans="6:6">
      <c r="F826" s="678">
        <v>0</v>
      </c>
    </row>
    <row r="827" spans="6:6">
      <c r="F827" s="678">
        <v>0</v>
      </c>
    </row>
    <row r="828" spans="6:6">
      <c r="F828" s="678">
        <v>0</v>
      </c>
    </row>
    <row r="829" spans="6:6">
      <c r="F829" s="678">
        <v>0</v>
      </c>
    </row>
    <row r="830" spans="6:6">
      <c r="F830" s="678">
        <v>0</v>
      </c>
    </row>
    <row r="831" spans="6:6">
      <c r="F831" s="678">
        <v>0</v>
      </c>
    </row>
    <row r="832" spans="6:6">
      <c r="F832" s="678">
        <v>0</v>
      </c>
    </row>
    <row r="833" spans="6:6">
      <c r="F833" s="678">
        <v>0</v>
      </c>
    </row>
    <row r="834" spans="6:6">
      <c r="F834" s="678">
        <v>0</v>
      </c>
    </row>
    <row r="835" spans="6:6">
      <c r="F835" s="678">
        <v>0</v>
      </c>
    </row>
    <row r="836" spans="6:6">
      <c r="F836" s="678">
        <v>0</v>
      </c>
    </row>
    <row r="837" spans="6:6">
      <c r="F837" s="678">
        <v>0</v>
      </c>
    </row>
    <row r="838" spans="6:6">
      <c r="F838" s="678">
        <v>0</v>
      </c>
    </row>
    <row r="839" spans="6:6">
      <c r="F839" s="678">
        <v>0</v>
      </c>
    </row>
    <row r="840" spans="6:6">
      <c r="F840" s="678">
        <v>0</v>
      </c>
    </row>
    <row r="841" spans="6:6">
      <c r="F841" s="678">
        <v>0</v>
      </c>
    </row>
    <row r="842" spans="6:6">
      <c r="F842" s="678">
        <v>0</v>
      </c>
    </row>
    <row r="843" spans="6:6">
      <c r="F843" s="678">
        <v>0</v>
      </c>
    </row>
    <row r="844" spans="6:6">
      <c r="F844" s="678">
        <v>0</v>
      </c>
    </row>
    <row r="845" spans="6:6">
      <c r="F845" s="678">
        <v>0</v>
      </c>
    </row>
    <row r="846" spans="6:6">
      <c r="F846" s="678">
        <v>0</v>
      </c>
    </row>
    <row r="847" spans="6:6">
      <c r="F847" s="678">
        <v>0</v>
      </c>
    </row>
    <row r="848" spans="6:6">
      <c r="F848" s="678">
        <v>0</v>
      </c>
    </row>
    <row r="849" spans="6:6">
      <c r="F849" s="678">
        <v>0</v>
      </c>
    </row>
    <row r="850" spans="6:6">
      <c r="F850" s="678">
        <v>0</v>
      </c>
    </row>
    <row r="851" spans="6:6">
      <c r="F851" s="678">
        <v>0</v>
      </c>
    </row>
    <row r="852" spans="6:6">
      <c r="F852" s="678">
        <v>0</v>
      </c>
    </row>
    <row r="853" spans="6:6">
      <c r="F853" s="678">
        <v>0</v>
      </c>
    </row>
    <row r="854" spans="6:6">
      <c r="F854" s="678">
        <v>0</v>
      </c>
    </row>
    <row r="855" spans="6:6">
      <c r="F855" s="678">
        <v>0</v>
      </c>
    </row>
    <row r="856" spans="6:6">
      <c r="F856" s="678">
        <v>0</v>
      </c>
    </row>
    <row r="857" spans="6:6">
      <c r="F857" s="678">
        <v>0</v>
      </c>
    </row>
    <row r="858" spans="6:6">
      <c r="F858" s="678">
        <v>0</v>
      </c>
    </row>
    <row r="859" spans="6:6">
      <c r="F859" s="678">
        <v>0</v>
      </c>
    </row>
    <row r="860" spans="6:6">
      <c r="F860" s="678">
        <v>0</v>
      </c>
    </row>
    <row r="861" spans="6:6">
      <c r="F861" s="678">
        <v>0</v>
      </c>
    </row>
    <row r="862" spans="6:6">
      <c r="F862" s="678">
        <v>0</v>
      </c>
    </row>
    <row r="863" spans="6:6">
      <c r="F863" s="678">
        <v>0</v>
      </c>
    </row>
    <row r="864" spans="6:6">
      <c r="F864" s="678">
        <v>0</v>
      </c>
    </row>
    <row r="865" spans="6:6">
      <c r="F865" s="678">
        <v>0</v>
      </c>
    </row>
    <row r="866" spans="6:6">
      <c r="F866" s="678">
        <v>0</v>
      </c>
    </row>
    <row r="867" spans="6:6">
      <c r="F867" s="678">
        <v>0</v>
      </c>
    </row>
    <row r="868" spans="6:6">
      <c r="F868" s="678">
        <v>0</v>
      </c>
    </row>
    <row r="869" spans="6:6">
      <c r="F869" s="678">
        <v>0</v>
      </c>
    </row>
    <row r="870" spans="6:6">
      <c r="F870" s="678">
        <v>0</v>
      </c>
    </row>
    <row r="871" spans="6:6">
      <c r="F871" s="678">
        <v>0</v>
      </c>
    </row>
    <row r="872" spans="6:6">
      <c r="F872" s="678">
        <v>0</v>
      </c>
    </row>
    <row r="873" spans="6:6">
      <c r="F873" s="678">
        <v>0</v>
      </c>
    </row>
    <row r="874" spans="6:6">
      <c r="F874" s="678">
        <v>0</v>
      </c>
    </row>
    <row r="875" spans="6:6">
      <c r="F875" s="678">
        <v>0</v>
      </c>
    </row>
    <row r="876" spans="6:6">
      <c r="F876" s="678">
        <v>0</v>
      </c>
    </row>
    <row r="877" spans="6:6">
      <c r="F877" s="678">
        <v>0</v>
      </c>
    </row>
    <row r="878" spans="6:6">
      <c r="F878" s="678">
        <v>0</v>
      </c>
    </row>
    <row r="879" spans="6:6">
      <c r="F879" s="678">
        <v>0</v>
      </c>
    </row>
    <row r="880" spans="6:6">
      <c r="F880" s="678">
        <v>0</v>
      </c>
    </row>
    <row r="881" spans="6:6">
      <c r="F881" s="678">
        <v>0</v>
      </c>
    </row>
    <row r="882" spans="6:6">
      <c r="F882" s="678">
        <v>0</v>
      </c>
    </row>
    <row r="883" spans="6:6">
      <c r="F883" s="678">
        <v>0</v>
      </c>
    </row>
    <row r="884" spans="6:6">
      <c r="F884" s="678">
        <v>0</v>
      </c>
    </row>
    <row r="885" spans="6:6">
      <c r="F885" s="678">
        <v>0</v>
      </c>
    </row>
    <row r="886" spans="6:6">
      <c r="F886" s="678">
        <v>0</v>
      </c>
    </row>
    <row r="887" spans="6:6">
      <c r="F887" s="678">
        <v>0</v>
      </c>
    </row>
    <row r="888" spans="6:6">
      <c r="F888" s="678">
        <v>0</v>
      </c>
    </row>
    <row r="889" spans="6:6">
      <c r="F889" s="678">
        <v>0</v>
      </c>
    </row>
    <row r="890" spans="6:6">
      <c r="F890" s="678">
        <v>0</v>
      </c>
    </row>
    <row r="891" spans="6:6">
      <c r="F891" s="678">
        <v>0</v>
      </c>
    </row>
    <row r="892" spans="6:6">
      <c r="F892" s="678">
        <v>0</v>
      </c>
    </row>
    <row r="893" spans="6:6">
      <c r="F893" s="678">
        <v>0</v>
      </c>
    </row>
    <row r="894" spans="6:6">
      <c r="F894" s="678">
        <v>0</v>
      </c>
    </row>
    <row r="895" spans="6:6">
      <c r="F895" s="678">
        <v>0</v>
      </c>
    </row>
    <row r="896" spans="6:6">
      <c r="F896" s="678">
        <v>0</v>
      </c>
    </row>
    <row r="897" spans="6:6">
      <c r="F897" s="678">
        <v>0</v>
      </c>
    </row>
    <row r="898" spans="6:6">
      <c r="F898" s="678">
        <v>0</v>
      </c>
    </row>
    <row r="899" spans="6:6">
      <c r="F899" s="678">
        <v>0</v>
      </c>
    </row>
    <row r="900" spans="6:6">
      <c r="F900" s="678">
        <v>0</v>
      </c>
    </row>
    <row r="901" spans="6:6">
      <c r="F901" s="678">
        <v>0</v>
      </c>
    </row>
    <row r="902" spans="6:6">
      <c r="F902" s="678">
        <v>0</v>
      </c>
    </row>
    <row r="903" spans="6:6">
      <c r="F903" s="678">
        <v>0</v>
      </c>
    </row>
    <row r="904" spans="6:6">
      <c r="F904" s="678">
        <v>0</v>
      </c>
    </row>
    <row r="905" spans="6:6">
      <c r="F905" s="678">
        <v>0</v>
      </c>
    </row>
    <row r="906" spans="6:6">
      <c r="F906" s="678">
        <v>0</v>
      </c>
    </row>
    <row r="907" spans="6:6">
      <c r="F907" s="678">
        <v>0</v>
      </c>
    </row>
    <row r="908" spans="6:6">
      <c r="F908" s="678">
        <v>0</v>
      </c>
    </row>
    <row r="909" spans="6:6">
      <c r="F909" s="678">
        <v>0</v>
      </c>
    </row>
    <row r="910" spans="6:6">
      <c r="F910" s="678">
        <v>0</v>
      </c>
    </row>
    <row r="911" spans="6:6">
      <c r="F911" s="678">
        <v>0</v>
      </c>
    </row>
    <row r="912" spans="6:6">
      <c r="F912" s="678">
        <v>0</v>
      </c>
    </row>
    <row r="913" spans="6:6">
      <c r="F913" s="678">
        <v>0</v>
      </c>
    </row>
    <row r="914" spans="6:6">
      <c r="F914" s="678">
        <v>0</v>
      </c>
    </row>
    <row r="915" spans="6:6">
      <c r="F915" s="678">
        <v>0</v>
      </c>
    </row>
    <row r="916" spans="6:6">
      <c r="F916" s="678">
        <v>0</v>
      </c>
    </row>
    <row r="917" spans="6:6">
      <c r="F917" s="678">
        <v>0</v>
      </c>
    </row>
    <row r="918" spans="6:6">
      <c r="F918" s="678">
        <v>0</v>
      </c>
    </row>
    <row r="919" spans="6:6">
      <c r="F919" s="678">
        <v>0</v>
      </c>
    </row>
    <row r="920" spans="6:6">
      <c r="F920" s="678">
        <v>0</v>
      </c>
    </row>
    <row r="921" spans="6:6">
      <c r="F921" s="678">
        <v>0</v>
      </c>
    </row>
    <row r="922" spans="6:6">
      <c r="F922" s="678">
        <v>0</v>
      </c>
    </row>
    <row r="923" spans="6:6">
      <c r="F923" s="678">
        <v>0</v>
      </c>
    </row>
    <row r="924" spans="6:6">
      <c r="F924" s="678">
        <v>0</v>
      </c>
    </row>
    <row r="925" spans="6:6">
      <c r="F925" s="678">
        <v>0</v>
      </c>
    </row>
    <row r="926" spans="6:6">
      <c r="F926" s="678">
        <v>0</v>
      </c>
    </row>
    <row r="927" spans="6:6">
      <c r="F927" s="678">
        <v>0</v>
      </c>
    </row>
    <row r="928" spans="6:6">
      <c r="F928" s="678">
        <v>0</v>
      </c>
    </row>
    <row r="929" spans="6:6">
      <c r="F929" s="678">
        <v>0</v>
      </c>
    </row>
    <row r="930" spans="6:6">
      <c r="F930" s="678">
        <v>0</v>
      </c>
    </row>
    <row r="931" spans="6:6">
      <c r="F931" s="678">
        <v>0</v>
      </c>
    </row>
    <row r="932" spans="6:6">
      <c r="F932" s="678">
        <v>0</v>
      </c>
    </row>
    <row r="933" spans="6:6">
      <c r="F933" s="678">
        <v>0</v>
      </c>
    </row>
    <row r="934" spans="6:6">
      <c r="F934" s="678">
        <v>0</v>
      </c>
    </row>
    <row r="935" spans="6:6">
      <c r="F935" s="678">
        <v>0</v>
      </c>
    </row>
    <row r="936" spans="6:6">
      <c r="F936" s="678">
        <v>0</v>
      </c>
    </row>
    <row r="937" spans="6:6">
      <c r="F937" s="678">
        <v>0</v>
      </c>
    </row>
    <row r="938" spans="6:6">
      <c r="F938" s="678">
        <v>0</v>
      </c>
    </row>
    <row r="939" spans="6:6">
      <c r="F939" s="678">
        <v>0</v>
      </c>
    </row>
    <row r="940" spans="6:6">
      <c r="F940" s="678">
        <v>0</v>
      </c>
    </row>
    <row r="941" spans="6:6">
      <c r="F941" s="678">
        <v>0</v>
      </c>
    </row>
    <row r="942" spans="6:6">
      <c r="F942" s="678">
        <v>0</v>
      </c>
    </row>
    <row r="943" spans="6:6">
      <c r="F943" s="678">
        <v>0</v>
      </c>
    </row>
    <row r="944" spans="6:6">
      <c r="F944" s="678">
        <v>0</v>
      </c>
    </row>
    <row r="945" spans="6:6">
      <c r="F945" s="678">
        <v>0</v>
      </c>
    </row>
    <row r="946" spans="6:6">
      <c r="F946" s="678">
        <v>0</v>
      </c>
    </row>
    <row r="947" spans="6:6">
      <c r="F947" s="678">
        <v>0</v>
      </c>
    </row>
    <row r="948" spans="6:6">
      <c r="F948" s="678">
        <v>0</v>
      </c>
    </row>
    <row r="949" spans="6:6">
      <c r="F949" s="678">
        <v>0</v>
      </c>
    </row>
    <row r="950" spans="6:6">
      <c r="F950" s="678">
        <v>0</v>
      </c>
    </row>
    <row r="951" spans="6:6">
      <c r="F951" s="678">
        <v>0</v>
      </c>
    </row>
    <row r="952" spans="6:6">
      <c r="F952" s="678">
        <v>0</v>
      </c>
    </row>
    <row r="953" spans="6:6">
      <c r="F953" s="678">
        <v>0</v>
      </c>
    </row>
    <row r="954" spans="6:6">
      <c r="F954" s="678">
        <v>0</v>
      </c>
    </row>
    <row r="955" spans="6:6">
      <c r="F955" s="678">
        <v>0</v>
      </c>
    </row>
    <row r="956" spans="6:6">
      <c r="F956" s="678">
        <v>0</v>
      </c>
    </row>
    <row r="957" spans="6:6">
      <c r="F957" s="678">
        <v>0</v>
      </c>
    </row>
    <row r="958" spans="6:6">
      <c r="F958" s="678">
        <v>0</v>
      </c>
    </row>
    <row r="959" spans="6:6">
      <c r="F959" s="678">
        <v>0</v>
      </c>
    </row>
    <row r="960" spans="6:6">
      <c r="F960" s="678">
        <v>0</v>
      </c>
    </row>
    <row r="961" spans="6:6">
      <c r="F961" s="678">
        <v>0</v>
      </c>
    </row>
    <row r="962" spans="6:6">
      <c r="F962" s="678">
        <v>0</v>
      </c>
    </row>
    <row r="963" spans="6:6">
      <c r="F963" s="678">
        <v>0</v>
      </c>
    </row>
    <row r="964" spans="6:6">
      <c r="F964" s="678">
        <v>0</v>
      </c>
    </row>
    <row r="965" spans="6:6">
      <c r="F965" s="678">
        <v>0</v>
      </c>
    </row>
    <row r="966" spans="6:6">
      <c r="F966" s="678">
        <v>0</v>
      </c>
    </row>
    <row r="967" spans="6:6">
      <c r="F967" s="678">
        <v>0</v>
      </c>
    </row>
    <row r="968" spans="6:6">
      <c r="F968" s="678">
        <v>0</v>
      </c>
    </row>
    <row r="969" spans="6:6">
      <c r="F969" s="678">
        <v>0</v>
      </c>
    </row>
    <row r="970" spans="6:6">
      <c r="F970" s="678">
        <v>0</v>
      </c>
    </row>
    <row r="971" spans="6:6">
      <c r="F971" s="678">
        <v>0</v>
      </c>
    </row>
    <row r="972" spans="6:6">
      <c r="F972" s="678">
        <v>0</v>
      </c>
    </row>
    <row r="973" spans="6:6">
      <c r="F973" s="678">
        <v>0</v>
      </c>
    </row>
    <row r="974" spans="6:6">
      <c r="F974" s="678">
        <v>0</v>
      </c>
    </row>
    <row r="975" spans="6:6">
      <c r="F975" s="678">
        <v>0</v>
      </c>
    </row>
    <row r="976" spans="6:6">
      <c r="F976" s="678">
        <v>0</v>
      </c>
    </row>
    <row r="977" spans="6:6">
      <c r="F977" s="678">
        <v>0</v>
      </c>
    </row>
    <row r="978" spans="6:6">
      <c r="F978" s="678">
        <v>0</v>
      </c>
    </row>
    <row r="979" spans="6:6">
      <c r="F979" s="678">
        <v>0</v>
      </c>
    </row>
    <row r="980" spans="6:6">
      <c r="F980" s="678">
        <v>0</v>
      </c>
    </row>
    <row r="981" spans="6:6">
      <c r="F981" s="678">
        <v>0</v>
      </c>
    </row>
    <row r="982" spans="6:6">
      <c r="F982" s="678">
        <v>0</v>
      </c>
    </row>
    <row r="983" spans="6:6">
      <c r="F983" s="678">
        <v>0</v>
      </c>
    </row>
    <row r="984" spans="6:6">
      <c r="F984" s="678">
        <v>0</v>
      </c>
    </row>
    <row r="985" spans="6:6">
      <c r="F985" s="678">
        <v>0</v>
      </c>
    </row>
    <row r="986" spans="6:6">
      <c r="F986" s="678">
        <v>0</v>
      </c>
    </row>
    <row r="987" spans="6:6">
      <c r="F987" s="678">
        <v>0</v>
      </c>
    </row>
    <row r="988" spans="6:6">
      <c r="F988" s="678">
        <v>0</v>
      </c>
    </row>
    <row r="989" spans="6:6">
      <c r="F989" s="678">
        <v>0</v>
      </c>
    </row>
    <row r="990" spans="6:6">
      <c r="F990" s="678">
        <v>0</v>
      </c>
    </row>
    <row r="991" spans="6:6">
      <c r="F991" s="678">
        <v>0</v>
      </c>
    </row>
    <row r="992" spans="6:6">
      <c r="F992" s="678">
        <v>0</v>
      </c>
    </row>
    <row r="993" spans="6:6">
      <c r="F993" s="678">
        <v>0</v>
      </c>
    </row>
    <row r="994" spans="6:6">
      <c r="F994" s="678">
        <v>0</v>
      </c>
    </row>
    <row r="995" spans="6:6">
      <c r="F995" s="678">
        <v>0</v>
      </c>
    </row>
    <row r="996" spans="6:6">
      <c r="F996" s="678">
        <v>0</v>
      </c>
    </row>
    <row r="997" spans="6:6">
      <c r="F997" s="678">
        <v>0</v>
      </c>
    </row>
    <row r="998" spans="6:6">
      <c r="F998" s="678">
        <v>0</v>
      </c>
    </row>
    <row r="999" spans="6:6">
      <c r="F999" s="678">
        <v>0</v>
      </c>
    </row>
    <row r="1000" spans="6:6">
      <c r="F1000" s="678">
        <v>0</v>
      </c>
    </row>
    <row r="1001" spans="6:6">
      <c r="F1001" s="678">
        <v>0</v>
      </c>
    </row>
    <row r="1002" spans="6:6">
      <c r="F1002" s="678">
        <v>0</v>
      </c>
    </row>
    <row r="1003" spans="6:6">
      <c r="F1003" s="678">
        <v>0</v>
      </c>
    </row>
    <row r="1004" spans="6:6">
      <c r="F1004" s="678">
        <v>0</v>
      </c>
    </row>
    <row r="1005" spans="6:6">
      <c r="F1005" s="678">
        <v>0</v>
      </c>
    </row>
    <row r="1006" spans="6:6">
      <c r="F1006" s="678">
        <v>0</v>
      </c>
    </row>
    <row r="1007" spans="6:6">
      <c r="F1007" s="678">
        <v>0</v>
      </c>
    </row>
    <row r="1008" spans="6:6">
      <c r="F1008" s="678">
        <v>0</v>
      </c>
    </row>
    <row r="1009" spans="6:6">
      <c r="F1009" s="678">
        <v>0</v>
      </c>
    </row>
    <row r="1010" spans="6:6">
      <c r="F1010" s="678">
        <v>0</v>
      </c>
    </row>
    <row r="1011" spans="6:6">
      <c r="F1011" s="678">
        <v>0</v>
      </c>
    </row>
    <row r="1012" spans="6:6">
      <c r="F1012" s="678">
        <v>0</v>
      </c>
    </row>
    <row r="1013" spans="6:6">
      <c r="F1013" s="678">
        <v>0</v>
      </c>
    </row>
    <row r="1014" spans="6:6">
      <c r="F1014" s="678">
        <v>0</v>
      </c>
    </row>
    <row r="1015" spans="6:6">
      <c r="F1015" s="678">
        <v>0</v>
      </c>
    </row>
    <row r="1016" spans="6:6">
      <c r="F1016" s="678">
        <v>0</v>
      </c>
    </row>
    <row r="1017" spans="6:6">
      <c r="F1017" s="678">
        <v>0</v>
      </c>
    </row>
    <row r="1018" spans="6:6">
      <c r="F1018" s="678">
        <v>0</v>
      </c>
    </row>
    <row r="1019" spans="6:6">
      <c r="F1019" s="678">
        <v>0</v>
      </c>
    </row>
    <row r="1020" spans="6:6">
      <c r="F1020" s="678">
        <v>0</v>
      </c>
    </row>
    <row r="1021" spans="6:6">
      <c r="F1021" s="678">
        <v>0</v>
      </c>
    </row>
    <row r="1022" spans="6:6">
      <c r="F1022" s="678">
        <v>0</v>
      </c>
    </row>
    <row r="1023" spans="6:6">
      <c r="F1023" s="678">
        <v>0</v>
      </c>
    </row>
    <row r="1024" spans="6:6">
      <c r="F1024" s="678">
        <v>0</v>
      </c>
    </row>
    <row r="1025" spans="6:6">
      <c r="F1025" s="678">
        <v>0</v>
      </c>
    </row>
    <row r="1026" spans="6:6">
      <c r="F1026" s="678">
        <v>0</v>
      </c>
    </row>
    <row r="1027" spans="6:6">
      <c r="F1027" s="678">
        <v>0</v>
      </c>
    </row>
    <row r="1028" spans="6:6">
      <c r="F1028" s="678">
        <v>0</v>
      </c>
    </row>
    <row r="1029" spans="6:6">
      <c r="F1029" s="678">
        <v>0</v>
      </c>
    </row>
    <row r="1030" spans="6:6">
      <c r="F1030" s="678">
        <v>0</v>
      </c>
    </row>
    <row r="1031" spans="6:6">
      <c r="F1031" s="678">
        <v>0</v>
      </c>
    </row>
    <row r="1032" spans="6:6">
      <c r="F1032" s="678">
        <v>0</v>
      </c>
    </row>
    <row r="1033" spans="6:6">
      <c r="F1033" s="678">
        <v>0</v>
      </c>
    </row>
    <row r="1034" spans="6:6">
      <c r="F1034" s="678">
        <v>0</v>
      </c>
    </row>
    <row r="1035" spans="6:6">
      <c r="F1035" s="678">
        <v>0</v>
      </c>
    </row>
    <row r="1036" spans="6:6">
      <c r="F1036" s="678">
        <v>0</v>
      </c>
    </row>
    <row r="1037" spans="6:6">
      <c r="F1037" s="678">
        <v>0</v>
      </c>
    </row>
    <row r="1038" spans="6:6">
      <c r="F1038" s="678">
        <v>0</v>
      </c>
    </row>
    <row r="1039" spans="6:6">
      <c r="F1039" s="678">
        <v>0</v>
      </c>
    </row>
    <row r="1040" spans="6:6">
      <c r="F1040" s="678">
        <v>0</v>
      </c>
    </row>
    <row r="1041" spans="6:6">
      <c r="F1041" s="678">
        <v>0</v>
      </c>
    </row>
    <row r="1042" spans="6:6">
      <c r="F1042" s="678">
        <v>0</v>
      </c>
    </row>
    <row r="1043" spans="6:6">
      <c r="F1043" s="678">
        <v>0</v>
      </c>
    </row>
    <row r="1044" spans="6:6">
      <c r="F1044" s="678">
        <v>0</v>
      </c>
    </row>
    <row r="1045" spans="6:6">
      <c r="F1045" s="678">
        <v>0</v>
      </c>
    </row>
    <row r="1046" spans="6:6">
      <c r="F1046" s="678">
        <v>0</v>
      </c>
    </row>
    <row r="1047" spans="6:6">
      <c r="F1047" s="678">
        <v>0</v>
      </c>
    </row>
    <row r="1048" spans="6:6">
      <c r="F1048" s="678">
        <v>0</v>
      </c>
    </row>
    <row r="1049" spans="6:6">
      <c r="F1049" s="678">
        <v>0</v>
      </c>
    </row>
    <row r="1050" spans="6:6">
      <c r="F1050" s="678">
        <v>0</v>
      </c>
    </row>
    <row r="1051" spans="6:6">
      <c r="F1051" s="678">
        <v>0</v>
      </c>
    </row>
    <row r="1052" spans="6:6">
      <c r="F1052" s="678">
        <v>0</v>
      </c>
    </row>
    <row r="1053" spans="6:6">
      <c r="F1053" s="678">
        <v>0</v>
      </c>
    </row>
    <row r="1054" spans="6:6">
      <c r="F1054" s="678">
        <v>0</v>
      </c>
    </row>
    <row r="1055" spans="6:6">
      <c r="F1055" s="678">
        <v>0</v>
      </c>
    </row>
    <row r="1056" spans="6:6">
      <c r="F1056" s="678">
        <v>0</v>
      </c>
    </row>
    <row r="1057" spans="6:6">
      <c r="F1057" s="678">
        <v>0</v>
      </c>
    </row>
    <row r="1058" spans="6:6">
      <c r="F1058" s="678">
        <v>0</v>
      </c>
    </row>
    <row r="1059" spans="6:6">
      <c r="F1059" s="678">
        <v>0</v>
      </c>
    </row>
    <row r="1060" spans="6:6">
      <c r="F1060" s="678">
        <v>0</v>
      </c>
    </row>
    <row r="1061" spans="6:6">
      <c r="F1061" s="678">
        <v>0</v>
      </c>
    </row>
    <row r="1062" spans="6:6">
      <c r="F1062" s="678">
        <v>0</v>
      </c>
    </row>
    <row r="1063" spans="6:6">
      <c r="F1063" s="678">
        <v>0</v>
      </c>
    </row>
    <row r="1064" spans="6:6">
      <c r="F1064" s="678">
        <v>0</v>
      </c>
    </row>
    <row r="1065" spans="6:6">
      <c r="F1065" s="678">
        <v>0</v>
      </c>
    </row>
    <row r="1066" spans="6:6">
      <c r="F1066" s="678">
        <v>0</v>
      </c>
    </row>
    <row r="1067" spans="6:6">
      <c r="F1067" s="678">
        <v>0</v>
      </c>
    </row>
    <row r="1068" spans="6:6">
      <c r="F1068" s="678">
        <v>0</v>
      </c>
    </row>
    <row r="1069" spans="6:6">
      <c r="F1069" s="678">
        <v>0</v>
      </c>
    </row>
    <row r="1070" spans="6:6">
      <c r="F1070" s="678">
        <v>0</v>
      </c>
    </row>
    <row r="1071" spans="6:6">
      <c r="F1071" s="678">
        <v>0</v>
      </c>
    </row>
    <row r="1072" spans="6:6">
      <c r="F1072" s="678">
        <v>0</v>
      </c>
    </row>
    <row r="1073" spans="6:6">
      <c r="F1073" s="678">
        <v>0</v>
      </c>
    </row>
    <row r="1074" spans="6:6">
      <c r="F1074" s="678">
        <v>0</v>
      </c>
    </row>
    <row r="1075" spans="6:6">
      <c r="F1075" s="678">
        <v>0</v>
      </c>
    </row>
    <row r="1076" spans="6:6">
      <c r="F1076" s="678">
        <v>0</v>
      </c>
    </row>
    <row r="1077" spans="6:6">
      <c r="F1077" s="678">
        <v>0</v>
      </c>
    </row>
    <row r="1078" spans="6:6">
      <c r="F1078" s="678">
        <v>0</v>
      </c>
    </row>
    <row r="1079" spans="6:6">
      <c r="F1079" s="678">
        <v>0</v>
      </c>
    </row>
    <row r="1080" spans="6:6">
      <c r="F1080" s="678">
        <v>0</v>
      </c>
    </row>
    <row r="1081" spans="6:6">
      <c r="F1081" s="678">
        <v>0</v>
      </c>
    </row>
    <row r="1082" spans="6:6">
      <c r="F1082" s="678">
        <v>0</v>
      </c>
    </row>
    <row r="1083" spans="6:6">
      <c r="F1083" s="678">
        <v>0</v>
      </c>
    </row>
    <row r="1084" spans="6:6">
      <c r="F1084" s="678">
        <v>0</v>
      </c>
    </row>
    <row r="1085" spans="6:6">
      <c r="F1085" s="678">
        <v>0</v>
      </c>
    </row>
    <row r="1086" spans="6:6">
      <c r="F1086" s="678">
        <v>0</v>
      </c>
    </row>
    <row r="1087" spans="6:6">
      <c r="F1087" s="678">
        <v>0</v>
      </c>
    </row>
    <row r="1088" spans="6:6">
      <c r="F1088" s="678">
        <v>0</v>
      </c>
    </row>
    <row r="1089" spans="6:6">
      <c r="F1089" s="678">
        <v>0</v>
      </c>
    </row>
    <row r="1090" spans="6:6">
      <c r="F1090" s="678">
        <v>0</v>
      </c>
    </row>
    <row r="1091" spans="6:6">
      <c r="F1091" s="678">
        <v>0</v>
      </c>
    </row>
    <row r="1092" spans="6:6">
      <c r="F1092" s="678">
        <v>0</v>
      </c>
    </row>
    <row r="1093" spans="6:6">
      <c r="F1093" s="678">
        <v>0</v>
      </c>
    </row>
    <row r="1094" spans="6:6">
      <c r="F1094" s="678">
        <v>0</v>
      </c>
    </row>
    <row r="1095" spans="6:6">
      <c r="F1095" s="678">
        <v>0</v>
      </c>
    </row>
    <row r="1096" spans="6:6">
      <c r="F1096" s="678">
        <v>0</v>
      </c>
    </row>
    <row r="1097" spans="6:6">
      <c r="F1097" s="678">
        <v>0</v>
      </c>
    </row>
    <row r="1098" spans="6:6">
      <c r="F1098" s="678">
        <v>0</v>
      </c>
    </row>
    <row r="1099" spans="6:6">
      <c r="F1099" s="678">
        <v>0</v>
      </c>
    </row>
    <row r="1100" spans="6:6">
      <c r="F1100" s="678">
        <v>0</v>
      </c>
    </row>
    <row r="1101" spans="6:6">
      <c r="F1101" s="678">
        <v>0</v>
      </c>
    </row>
    <row r="1102" spans="6:6">
      <c r="F1102" s="678">
        <v>0</v>
      </c>
    </row>
    <row r="1103" spans="6:6">
      <c r="F1103" s="678">
        <v>0</v>
      </c>
    </row>
    <row r="1104" spans="6:6">
      <c r="F1104" s="678">
        <v>0</v>
      </c>
    </row>
    <row r="1105" spans="6:6">
      <c r="F1105" s="678">
        <v>0</v>
      </c>
    </row>
    <row r="1106" spans="6:6">
      <c r="F1106" s="678">
        <v>0</v>
      </c>
    </row>
    <row r="1107" spans="6:6">
      <c r="F1107" s="678">
        <v>0</v>
      </c>
    </row>
    <row r="1108" spans="6:6">
      <c r="F1108" s="678">
        <v>0</v>
      </c>
    </row>
    <row r="1109" spans="6:6">
      <c r="F1109" s="678">
        <v>0</v>
      </c>
    </row>
    <row r="1110" spans="6:6">
      <c r="F1110" s="678">
        <v>0</v>
      </c>
    </row>
    <row r="1111" spans="6:6">
      <c r="F1111" s="678">
        <v>0</v>
      </c>
    </row>
    <row r="1112" spans="6:6">
      <c r="F1112" s="678">
        <v>0</v>
      </c>
    </row>
    <row r="1113" spans="6:6">
      <c r="F1113" s="678">
        <v>0</v>
      </c>
    </row>
    <row r="1114" spans="6:6">
      <c r="F1114" s="678">
        <v>0</v>
      </c>
    </row>
    <row r="1115" spans="6:6">
      <c r="F1115" s="678">
        <v>0</v>
      </c>
    </row>
    <row r="1116" spans="6:6">
      <c r="F1116" s="678">
        <v>0</v>
      </c>
    </row>
    <row r="1117" spans="6:6">
      <c r="F1117" s="678">
        <v>0</v>
      </c>
    </row>
    <row r="1118" spans="6:6">
      <c r="F1118" s="678">
        <v>0</v>
      </c>
    </row>
    <row r="1119" spans="6:6">
      <c r="F1119" s="678">
        <v>0</v>
      </c>
    </row>
    <row r="1120" spans="6:6">
      <c r="F1120" s="678">
        <v>0</v>
      </c>
    </row>
    <row r="1121" spans="6:6">
      <c r="F1121" s="678">
        <v>0</v>
      </c>
    </row>
    <row r="1122" spans="6:6">
      <c r="F1122" s="678">
        <v>0</v>
      </c>
    </row>
    <row r="1123" spans="6:6">
      <c r="F1123" s="678">
        <v>0</v>
      </c>
    </row>
    <row r="1124" spans="6:6">
      <c r="F1124" s="678">
        <v>0</v>
      </c>
    </row>
    <row r="1125" spans="6:6">
      <c r="F1125" s="678">
        <v>0</v>
      </c>
    </row>
    <row r="1126" spans="6:6">
      <c r="F1126" s="678">
        <v>0</v>
      </c>
    </row>
    <row r="1127" spans="6:6">
      <c r="F1127" s="678">
        <v>0</v>
      </c>
    </row>
    <row r="1128" spans="6:6">
      <c r="F1128" s="678">
        <v>0</v>
      </c>
    </row>
    <row r="1129" spans="6:6">
      <c r="F1129" s="678">
        <v>0</v>
      </c>
    </row>
    <row r="1130" spans="6:6">
      <c r="F1130" s="678">
        <v>0</v>
      </c>
    </row>
    <row r="1131" spans="6:6">
      <c r="F1131" s="678">
        <v>0</v>
      </c>
    </row>
    <row r="1132" spans="6:6">
      <c r="F1132" s="678">
        <v>0</v>
      </c>
    </row>
    <row r="1133" spans="6:6">
      <c r="F1133" s="678">
        <v>0</v>
      </c>
    </row>
    <row r="1134" spans="6:6">
      <c r="F1134" s="678">
        <v>0</v>
      </c>
    </row>
    <row r="1135" spans="6:6">
      <c r="F1135" s="678">
        <v>0</v>
      </c>
    </row>
    <row r="1136" spans="6:6">
      <c r="F1136" s="678">
        <v>0</v>
      </c>
    </row>
    <row r="1137" spans="6:6">
      <c r="F1137" s="678">
        <v>0</v>
      </c>
    </row>
    <row r="1138" spans="6:6">
      <c r="F1138" s="678">
        <v>0</v>
      </c>
    </row>
    <row r="1139" spans="6:6">
      <c r="F1139" s="678">
        <v>0</v>
      </c>
    </row>
    <row r="1140" spans="6:6">
      <c r="F1140" s="678">
        <v>0</v>
      </c>
    </row>
    <row r="1141" spans="6:6">
      <c r="F1141" s="678">
        <v>0</v>
      </c>
    </row>
    <row r="1142" spans="6:6">
      <c r="F1142" s="678">
        <v>0</v>
      </c>
    </row>
    <row r="1143" spans="6:6">
      <c r="F1143" s="678">
        <v>0</v>
      </c>
    </row>
    <row r="1144" spans="6:6">
      <c r="F1144" s="678">
        <v>0</v>
      </c>
    </row>
    <row r="1145" spans="6:6">
      <c r="F1145" s="678">
        <v>0</v>
      </c>
    </row>
    <row r="1146" spans="6:6">
      <c r="F1146" s="678">
        <v>0</v>
      </c>
    </row>
    <row r="1147" spans="6:6">
      <c r="F1147" s="678">
        <v>0</v>
      </c>
    </row>
    <row r="1148" spans="6:6">
      <c r="F1148" s="678">
        <v>0</v>
      </c>
    </row>
    <row r="1149" spans="6:6">
      <c r="F1149" s="678">
        <v>0</v>
      </c>
    </row>
    <row r="1150" spans="6:6">
      <c r="F1150" s="678">
        <v>0</v>
      </c>
    </row>
    <row r="1151" spans="6:6">
      <c r="F1151" s="678">
        <v>0</v>
      </c>
    </row>
    <row r="1152" spans="6:6">
      <c r="F1152" s="678">
        <v>0</v>
      </c>
    </row>
    <row r="1153" spans="6:6">
      <c r="F1153" s="678">
        <v>0</v>
      </c>
    </row>
    <row r="1154" spans="6:6">
      <c r="F1154" s="678">
        <v>0</v>
      </c>
    </row>
    <row r="1155" spans="6:6">
      <c r="F1155" s="678">
        <v>0</v>
      </c>
    </row>
    <row r="1156" spans="6:6">
      <c r="F1156" s="678">
        <v>0</v>
      </c>
    </row>
    <row r="1157" spans="6:6">
      <c r="F1157" s="678">
        <v>0</v>
      </c>
    </row>
    <row r="1158" spans="6:6">
      <c r="F1158" s="678">
        <v>0</v>
      </c>
    </row>
    <row r="1159" spans="6:6">
      <c r="F1159" s="678">
        <v>0</v>
      </c>
    </row>
    <row r="1160" spans="6:6">
      <c r="F1160" s="678">
        <v>0</v>
      </c>
    </row>
    <row r="1161" spans="6:6">
      <c r="F1161" s="678">
        <v>0</v>
      </c>
    </row>
    <row r="1162" spans="6:6">
      <c r="F1162" s="678">
        <v>0</v>
      </c>
    </row>
    <row r="1163" spans="6:6">
      <c r="F1163" s="678">
        <v>0</v>
      </c>
    </row>
    <row r="1164" spans="6:6">
      <c r="F1164" s="678">
        <v>0</v>
      </c>
    </row>
    <row r="1165" spans="6:6">
      <c r="F1165" s="678">
        <v>0</v>
      </c>
    </row>
    <row r="1166" spans="6:6">
      <c r="F1166" s="678">
        <v>0</v>
      </c>
    </row>
    <row r="1167" spans="6:6">
      <c r="F1167" s="678">
        <v>0</v>
      </c>
    </row>
    <row r="1168" spans="6:6">
      <c r="F1168" s="678">
        <v>0</v>
      </c>
    </row>
    <row r="1169" spans="6:6">
      <c r="F1169" s="678">
        <v>0</v>
      </c>
    </row>
    <row r="1170" spans="6:6">
      <c r="F1170" s="678">
        <v>0</v>
      </c>
    </row>
    <row r="1171" spans="6:6">
      <c r="F1171" s="678">
        <v>0</v>
      </c>
    </row>
    <row r="1172" spans="6:6">
      <c r="F1172" s="678">
        <v>0</v>
      </c>
    </row>
    <row r="1173" spans="6:6">
      <c r="F1173" s="678">
        <v>0</v>
      </c>
    </row>
    <row r="1174" spans="6:6">
      <c r="F1174" s="678">
        <v>0</v>
      </c>
    </row>
    <row r="1175" spans="6:6">
      <c r="F1175" s="678">
        <v>0</v>
      </c>
    </row>
    <row r="1176" spans="6:6">
      <c r="F1176" s="678">
        <v>0</v>
      </c>
    </row>
    <row r="1177" spans="6:6">
      <c r="F1177" s="678">
        <v>0</v>
      </c>
    </row>
    <row r="1178" spans="6:6">
      <c r="F1178" s="678">
        <v>0</v>
      </c>
    </row>
    <row r="1179" spans="6:6">
      <c r="F1179" s="678">
        <v>0</v>
      </c>
    </row>
    <row r="1180" spans="6:6">
      <c r="F1180" s="678">
        <v>0</v>
      </c>
    </row>
    <row r="1181" spans="6:6">
      <c r="F1181" s="678">
        <v>0</v>
      </c>
    </row>
    <row r="1182" spans="6:6">
      <c r="F1182" s="678">
        <v>0</v>
      </c>
    </row>
    <row r="1183" spans="6:6">
      <c r="F1183" s="678">
        <v>0</v>
      </c>
    </row>
    <row r="1184" spans="6:6">
      <c r="F1184" s="678">
        <v>0</v>
      </c>
    </row>
    <row r="1185" spans="6:6">
      <c r="F1185" s="678">
        <v>0</v>
      </c>
    </row>
    <row r="1186" spans="6:6">
      <c r="F1186" s="678">
        <v>0</v>
      </c>
    </row>
    <row r="1187" spans="6:6">
      <c r="F1187" s="678">
        <v>0</v>
      </c>
    </row>
    <row r="1188" spans="6:6">
      <c r="F1188" s="678">
        <v>0</v>
      </c>
    </row>
    <row r="1189" spans="6:6">
      <c r="F1189" s="678">
        <v>0</v>
      </c>
    </row>
    <row r="1190" spans="6:6">
      <c r="F1190" s="678">
        <v>0</v>
      </c>
    </row>
    <row r="1191" spans="6:6">
      <c r="F1191" s="678">
        <v>0</v>
      </c>
    </row>
    <row r="1192" spans="6:6">
      <c r="F1192" s="678">
        <v>0</v>
      </c>
    </row>
    <row r="1193" spans="6:6">
      <c r="F1193" s="678">
        <v>0</v>
      </c>
    </row>
    <row r="1194" spans="6:6">
      <c r="F1194" s="678">
        <v>0</v>
      </c>
    </row>
    <row r="1195" spans="6:6">
      <c r="F1195" s="678">
        <v>0</v>
      </c>
    </row>
    <row r="1196" spans="6:6">
      <c r="F1196" s="678">
        <v>0</v>
      </c>
    </row>
    <row r="1197" spans="6:6">
      <c r="F1197" s="678">
        <v>0</v>
      </c>
    </row>
    <row r="1198" spans="6:6">
      <c r="F1198" s="678">
        <v>0</v>
      </c>
    </row>
    <row r="1199" spans="6:6">
      <c r="F1199" s="678">
        <v>0</v>
      </c>
    </row>
    <row r="1200" spans="6:6">
      <c r="F1200" s="678">
        <v>0</v>
      </c>
    </row>
    <row r="1201" spans="6:6">
      <c r="F1201" s="678">
        <v>0</v>
      </c>
    </row>
    <row r="1202" spans="6:6">
      <c r="F1202" s="678">
        <v>0</v>
      </c>
    </row>
    <row r="1203" spans="6:6">
      <c r="F1203" s="678">
        <v>0</v>
      </c>
    </row>
    <row r="1204" spans="6:6">
      <c r="F1204" s="678">
        <v>0</v>
      </c>
    </row>
    <row r="1205" spans="6:6">
      <c r="F1205" s="678">
        <v>0</v>
      </c>
    </row>
    <row r="1206" spans="6:6">
      <c r="F1206" s="678">
        <v>0</v>
      </c>
    </row>
    <row r="1207" spans="6:6">
      <c r="F1207" s="678">
        <v>0</v>
      </c>
    </row>
    <row r="1208" spans="6:6">
      <c r="F1208" s="678">
        <v>0</v>
      </c>
    </row>
    <row r="1209" spans="6:6">
      <c r="F1209" s="678">
        <v>0</v>
      </c>
    </row>
    <row r="1210" spans="6:6">
      <c r="F1210" s="678">
        <v>0</v>
      </c>
    </row>
    <row r="1211" spans="6:6">
      <c r="F1211" s="678">
        <v>0</v>
      </c>
    </row>
    <row r="1212" spans="6:6">
      <c r="F1212" s="678">
        <v>0</v>
      </c>
    </row>
    <row r="1213" spans="6:6">
      <c r="F1213" s="678">
        <v>0</v>
      </c>
    </row>
    <row r="1214" spans="6:6">
      <c r="F1214" s="678">
        <v>0</v>
      </c>
    </row>
    <row r="1215" spans="6:6">
      <c r="F1215" s="678">
        <v>0</v>
      </c>
    </row>
    <row r="1216" spans="6:6">
      <c r="F1216" s="678">
        <v>0</v>
      </c>
    </row>
    <row r="1217" spans="6:6">
      <c r="F1217" s="678">
        <v>0</v>
      </c>
    </row>
    <row r="1218" spans="6:6">
      <c r="F1218" s="678">
        <v>0</v>
      </c>
    </row>
    <row r="1219" spans="6:6">
      <c r="F1219" s="678">
        <v>0</v>
      </c>
    </row>
    <row r="1220" spans="6:6">
      <c r="F1220" s="678">
        <v>0</v>
      </c>
    </row>
    <row r="1221" spans="6:6">
      <c r="F1221" s="678">
        <v>0</v>
      </c>
    </row>
    <row r="1222" spans="6:6">
      <c r="F1222" s="678">
        <v>0</v>
      </c>
    </row>
    <row r="1223" spans="6:6">
      <c r="F1223" s="678">
        <v>0</v>
      </c>
    </row>
    <row r="1224" spans="6:6">
      <c r="F1224" s="678">
        <v>0</v>
      </c>
    </row>
    <row r="1225" spans="6:6">
      <c r="F1225" s="678">
        <v>0</v>
      </c>
    </row>
    <row r="1226" spans="6:6">
      <c r="F1226" s="678">
        <v>0</v>
      </c>
    </row>
    <row r="1227" spans="6:6">
      <c r="F1227" s="678">
        <v>0</v>
      </c>
    </row>
    <row r="1228" spans="6:6">
      <c r="F1228" s="678">
        <v>0</v>
      </c>
    </row>
    <row r="1229" spans="6:6">
      <c r="F1229" s="678">
        <v>0</v>
      </c>
    </row>
    <row r="1230" spans="6:6">
      <c r="F1230" s="678">
        <v>0</v>
      </c>
    </row>
    <row r="1231" spans="6:6">
      <c r="F1231" s="678">
        <v>0</v>
      </c>
    </row>
    <row r="1232" spans="6:6">
      <c r="F1232" s="678">
        <v>0</v>
      </c>
    </row>
    <row r="1233" spans="6:6">
      <c r="F1233" s="678">
        <v>0</v>
      </c>
    </row>
    <row r="1234" spans="6:6">
      <c r="F1234" s="678">
        <v>0</v>
      </c>
    </row>
    <row r="1235" spans="6:6">
      <c r="F1235" s="678">
        <v>0</v>
      </c>
    </row>
    <row r="1236" spans="6:6">
      <c r="F1236" s="678">
        <v>0</v>
      </c>
    </row>
    <row r="1237" spans="6:6">
      <c r="F1237" s="678">
        <v>0</v>
      </c>
    </row>
    <row r="1238" spans="6:6">
      <c r="F1238" s="678">
        <v>0</v>
      </c>
    </row>
    <row r="1239" spans="6:6">
      <c r="F1239" s="678">
        <v>0</v>
      </c>
    </row>
    <row r="1240" spans="6:6">
      <c r="F1240" s="678">
        <v>0</v>
      </c>
    </row>
    <row r="1241" spans="6:6">
      <c r="F1241" s="678">
        <v>0</v>
      </c>
    </row>
    <row r="1242" spans="6:6">
      <c r="F1242" s="678">
        <v>0</v>
      </c>
    </row>
    <row r="1243" spans="6:6">
      <c r="F1243" s="678">
        <v>0</v>
      </c>
    </row>
    <row r="1244" spans="6:6">
      <c r="F1244" s="678">
        <v>0</v>
      </c>
    </row>
    <row r="1245" spans="6:6">
      <c r="F1245" s="678">
        <v>0</v>
      </c>
    </row>
    <row r="1246" spans="6:6">
      <c r="F1246" s="678">
        <v>0</v>
      </c>
    </row>
    <row r="1247" spans="6:6">
      <c r="F1247" s="678">
        <v>0</v>
      </c>
    </row>
    <row r="1248" spans="6:6">
      <c r="F1248" s="678">
        <v>0</v>
      </c>
    </row>
    <row r="1249" spans="6:6">
      <c r="F1249" s="678">
        <v>0</v>
      </c>
    </row>
    <row r="1250" spans="6:6">
      <c r="F1250" s="678">
        <v>0</v>
      </c>
    </row>
    <row r="1251" spans="6:6">
      <c r="F1251" s="678">
        <v>0</v>
      </c>
    </row>
    <row r="1252" spans="6:6">
      <c r="F1252" s="678">
        <v>0</v>
      </c>
    </row>
    <row r="1253" spans="6:6">
      <c r="F1253" s="678">
        <v>0</v>
      </c>
    </row>
    <row r="1254" spans="6:6">
      <c r="F1254" s="678">
        <v>0</v>
      </c>
    </row>
    <row r="1255" spans="6:6">
      <c r="F1255" s="678">
        <v>0</v>
      </c>
    </row>
    <row r="1256" spans="6:6">
      <c r="F1256" s="678">
        <v>0</v>
      </c>
    </row>
    <row r="1257" spans="6:6">
      <c r="F1257" s="678">
        <v>0</v>
      </c>
    </row>
    <row r="1258" spans="6:6">
      <c r="F1258" s="678">
        <v>0</v>
      </c>
    </row>
    <row r="1259" spans="6:6">
      <c r="F1259" s="678">
        <v>0</v>
      </c>
    </row>
    <row r="1260" spans="6:6">
      <c r="F1260" s="678">
        <v>0</v>
      </c>
    </row>
    <row r="1261" spans="6:6">
      <c r="F1261" s="678">
        <v>0</v>
      </c>
    </row>
    <row r="1262" spans="6:6">
      <c r="F1262" s="678">
        <v>0</v>
      </c>
    </row>
    <row r="1263" spans="6:6">
      <c r="F1263" s="678">
        <v>0</v>
      </c>
    </row>
    <row r="1264" spans="6:6">
      <c r="F1264" s="678">
        <v>0</v>
      </c>
    </row>
    <row r="1265" spans="6:6">
      <c r="F1265" s="678">
        <v>0</v>
      </c>
    </row>
    <row r="1266" spans="6:6">
      <c r="F1266" s="678">
        <v>0</v>
      </c>
    </row>
    <row r="1267" spans="6:6">
      <c r="F1267" s="678">
        <v>0</v>
      </c>
    </row>
    <row r="1268" spans="6:6">
      <c r="F1268" s="678">
        <v>0</v>
      </c>
    </row>
    <row r="1269" spans="6:6">
      <c r="F1269" s="678">
        <v>0</v>
      </c>
    </row>
    <row r="1270" spans="6:6">
      <c r="F1270" s="678">
        <v>0</v>
      </c>
    </row>
    <row r="1271" spans="6:6">
      <c r="F1271" s="678">
        <v>0</v>
      </c>
    </row>
    <row r="1272" spans="6:6">
      <c r="F1272" s="678">
        <v>0</v>
      </c>
    </row>
    <row r="1273" spans="6:6">
      <c r="F1273" s="678">
        <v>0</v>
      </c>
    </row>
    <row r="1274" spans="6:6">
      <c r="F1274" s="678">
        <v>0</v>
      </c>
    </row>
    <row r="1275" spans="6:6">
      <c r="F1275" s="678">
        <v>0</v>
      </c>
    </row>
    <row r="1276" spans="6:6">
      <c r="F1276" s="678">
        <v>0</v>
      </c>
    </row>
    <row r="1277" spans="6:6">
      <c r="F1277" s="678">
        <v>0</v>
      </c>
    </row>
    <row r="1278" spans="6:6">
      <c r="F1278" s="678">
        <v>0</v>
      </c>
    </row>
    <row r="1279" spans="6:6">
      <c r="F1279" s="678">
        <v>0</v>
      </c>
    </row>
    <row r="1280" spans="6:6">
      <c r="F1280" s="678">
        <v>0</v>
      </c>
    </row>
    <row r="1281" spans="6:6">
      <c r="F1281" s="678">
        <v>0</v>
      </c>
    </row>
    <row r="1282" spans="6:6">
      <c r="F1282" s="678">
        <v>0</v>
      </c>
    </row>
    <row r="1283" spans="6:6">
      <c r="F1283" s="678">
        <v>0</v>
      </c>
    </row>
    <row r="1284" spans="6:6">
      <c r="F1284" s="678">
        <v>0</v>
      </c>
    </row>
    <row r="1285" spans="6:6">
      <c r="F1285" s="678">
        <v>0</v>
      </c>
    </row>
    <row r="1286" spans="6:6">
      <c r="F1286" s="678">
        <v>0</v>
      </c>
    </row>
    <row r="1287" spans="6:6">
      <c r="F1287" s="678">
        <v>0</v>
      </c>
    </row>
    <row r="1288" spans="6:6">
      <c r="F1288" s="678">
        <v>0</v>
      </c>
    </row>
    <row r="1289" spans="6:6">
      <c r="F1289" s="678">
        <v>0</v>
      </c>
    </row>
    <row r="1290" spans="6:6">
      <c r="F1290" s="678">
        <v>0</v>
      </c>
    </row>
    <row r="1291" spans="6:6">
      <c r="F1291" s="678">
        <v>0</v>
      </c>
    </row>
    <row r="1292" spans="6:6">
      <c r="F1292" s="678">
        <v>0</v>
      </c>
    </row>
    <row r="1293" spans="6:6">
      <c r="F1293" s="678">
        <v>0</v>
      </c>
    </row>
    <row r="1294" spans="6:6">
      <c r="F1294" s="678">
        <v>0</v>
      </c>
    </row>
    <row r="1295" spans="6:6">
      <c r="F1295" s="678">
        <v>0</v>
      </c>
    </row>
    <row r="1296" spans="6:6">
      <c r="F1296" s="678">
        <v>0</v>
      </c>
    </row>
    <row r="1297" spans="6:6">
      <c r="F1297" s="678">
        <v>0</v>
      </c>
    </row>
    <row r="1298" spans="6:6">
      <c r="F1298" s="678">
        <v>0</v>
      </c>
    </row>
    <row r="1299" spans="6:6">
      <c r="F1299" s="678">
        <v>0</v>
      </c>
    </row>
    <row r="1300" spans="6:6">
      <c r="F1300" s="678">
        <v>0</v>
      </c>
    </row>
    <row r="1301" spans="6:6">
      <c r="F1301" s="678">
        <v>0</v>
      </c>
    </row>
    <row r="1302" spans="6:6">
      <c r="F1302" s="678">
        <v>0</v>
      </c>
    </row>
    <row r="1303" spans="6:6">
      <c r="F1303" s="678">
        <v>0</v>
      </c>
    </row>
    <row r="1304" spans="6:6">
      <c r="F1304" s="678">
        <v>0</v>
      </c>
    </row>
    <row r="1305" spans="6:6">
      <c r="F1305" s="678">
        <v>0</v>
      </c>
    </row>
    <row r="1306" spans="6:6">
      <c r="F1306" s="678">
        <v>0</v>
      </c>
    </row>
    <row r="1307" spans="6:6">
      <c r="F1307" s="678">
        <v>0</v>
      </c>
    </row>
    <row r="1308" spans="6:6">
      <c r="F1308" s="678">
        <v>0</v>
      </c>
    </row>
    <row r="1309" spans="6:6">
      <c r="F1309" s="678">
        <v>0</v>
      </c>
    </row>
    <row r="1310" spans="6:6">
      <c r="F1310" s="678">
        <v>0</v>
      </c>
    </row>
    <row r="1311" spans="6:6">
      <c r="F1311" s="678">
        <v>0</v>
      </c>
    </row>
    <row r="1312" spans="6:6">
      <c r="F1312" s="678">
        <v>0</v>
      </c>
    </row>
    <row r="1313" spans="6:6">
      <c r="F1313" s="678">
        <v>0</v>
      </c>
    </row>
    <row r="1314" spans="6:6">
      <c r="F1314" s="678">
        <v>0</v>
      </c>
    </row>
    <row r="1315" spans="6:6">
      <c r="F1315" s="678">
        <v>0</v>
      </c>
    </row>
    <row r="1316" spans="6:6">
      <c r="F1316" s="678">
        <v>0</v>
      </c>
    </row>
    <row r="1317" spans="6:6">
      <c r="F1317" s="678">
        <v>0</v>
      </c>
    </row>
    <row r="1318" spans="6:6">
      <c r="F1318" s="678">
        <v>0</v>
      </c>
    </row>
    <row r="1319" spans="6:6">
      <c r="F1319" s="678">
        <v>0</v>
      </c>
    </row>
    <row r="1320" spans="6:6">
      <c r="F1320" s="678">
        <v>0</v>
      </c>
    </row>
    <row r="1321" spans="6:6">
      <c r="F1321" s="678">
        <v>0</v>
      </c>
    </row>
    <row r="1322" spans="6:6">
      <c r="F1322" s="678">
        <v>0</v>
      </c>
    </row>
    <row r="1323" spans="6:6">
      <c r="F1323" s="678">
        <v>0</v>
      </c>
    </row>
    <row r="1324" spans="6:6">
      <c r="F1324" s="678">
        <v>0</v>
      </c>
    </row>
    <row r="1325" spans="6:6">
      <c r="F1325" s="678">
        <v>0</v>
      </c>
    </row>
    <row r="1326" spans="6:6">
      <c r="F1326" s="678">
        <v>0</v>
      </c>
    </row>
    <row r="1327" spans="6:6">
      <c r="F1327" s="678">
        <v>0</v>
      </c>
    </row>
    <row r="1328" spans="6:6">
      <c r="F1328" s="678">
        <v>0</v>
      </c>
    </row>
    <row r="1329" spans="6:6">
      <c r="F1329" s="678">
        <v>0</v>
      </c>
    </row>
    <row r="1330" spans="6:6">
      <c r="F1330" s="678">
        <v>0</v>
      </c>
    </row>
    <row r="1331" spans="6:6">
      <c r="F1331" s="678">
        <v>0</v>
      </c>
    </row>
    <row r="1332" spans="6:6">
      <c r="F1332" s="678">
        <v>0</v>
      </c>
    </row>
    <row r="1333" spans="6:6">
      <c r="F1333" s="678">
        <v>0</v>
      </c>
    </row>
    <row r="1334" spans="6:6">
      <c r="F1334" s="678">
        <v>0</v>
      </c>
    </row>
    <row r="1335" spans="6:6">
      <c r="F1335" s="678">
        <v>0</v>
      </c>
    </row>
    <row r="1336" spans="6:6">
      <c r="F1336" s="678">
        <v>0</v>
      </c>
    </row>
    <row r="1337" spans="6:6">
      <c r="F1337" s="678">
        <v>0</v>
      </c>
    </row>
    <row r="1338" spans="6:6">
      <c r="F1338" s="678">
        <v>0</v>
      </c>
    </row>
    <row r="1339" spans="6:6">
      <c r="F1339" s="678">
        <v>0</v>
      </c>
    </row>
    <row r="1340" spans="6:6">
      <c r="F1340" s="678">
        <v>0</v>
      </c>
    </row>
    <row r="1341" spans="6:6">
      <c r="F1341" s="678">
        <v>0</v>
      </c>
    </row>
    <row r="1342" spans="6:6">
      <c r="F1342" s="678">
        <v>0</v>
      </c>
    </row>
    <row r="1343" spans="6:6">
      <c r="F1343" s="678">
        <v>0</v>
      </c>
    </row>
    <row r="1344" spans="6:6">
      <c r="F1344" s="678">
        <v>0</v>
      </c>
    </row>
    <row r="1345" spans="6:6">
      <c r="F1345" s="678">
        <v>0</v>
      </c>
    </row>
    <row r="1346" spans="6:6">
      <c r="F1346" s="678">
        <v>0</v>
      </c>
    </row>
    <row r="1347" spans="6:6">
      <c r="F1347" s="678">
        <v>0</v>
      </c>
    </row>
    <row r="1348" spans="6:6">
      <c r="F1348" s="678">
        <v>0</v>
      </c>
    </row>
    <row r="1349" spans="6:6">
      <c r="F1349" s="678">
        <v>0</v>
      </c>
    </row>
    <row r="1350" spans="6:6">
      <c r="F1350" s="678">
        <v>0</v>
      </c>
    </row>
    <row r="1351" spans="6:6">
      <c r="F1351" s="678">
        <v>0</v>
      </c>
    </row>
    <row r="1352" spans="6:6">
      <c r="F1352" s="678">
        <v>0</v>
      </c>
    </row>
    <row r="1353" spans="6:6">
      <c r="F1353" s="678">
        <v>0</v>
      </c>
    </row>
    <row r="1354" spans="6:6">
      <c r="F1354" s="678">
        <v>0</v>
      </c>
    </row>
    <row r="1355" spans="6:6">
      <c r="F1355" s="678">
        <v>0</v>
      </c>
    </row>
    <row r="1356" spans="6:6">
      <c r="F1356" s="678">
        <v>0</v>
      </c>
    </row>
    <row r="1357" spans="6:6">
      <c r="F1357" s="678">
        <v>0</v>
      </c>
    </row>
    <row r="1358" spans="6:6">
      <c r="F1358" s="678">
        <v>0</v>
      </c>
    </row>
    <row r="1359" spans="6:6">
      <c r="F1359" s="678">
        <v>0</v>
      </c>
    </row>
    <row r="1360" spans="6:6">
      <c r="F1360" s="678">
        <v>0</v>
      </c>
    </row>
    <row r="1361" spans="6:6">
      <c r="F1361" s="678">
        <v>0</v>
      </c>
    </row>
    <row r="1362" spans="6:6">
      <c r="F1362" s="678">
        <v>0</v>
      </c>
    </row>
    <row r="1363" spans="6:6">
      <c r="F1363" s="678">
        <v>0</v>
      </c>
    </row>
    <row r="1364" spans="6:6">
      <c r="F1364" s="678">
        <v>0</v>
      </c>
    </row>
    <row r="1365" spans="6:6">
      <c r="F1365" s="678">
        <v>0</v>
      </c>
    </row>
    <row r="1366" spans="6:6">
      <c r="F1366" s="678">
        <v>0</v>
      </c>
    </row>
    <row r="1367" spans="6:6">
      <c r="F1367" s="678">
        <v>0</v>
      </c>
    </row>
    <row r="1368" spans="6:6">
      <c r="F1368" s="678">
        <v>0</v>
      </c>
    </row>
    <row r="1369" spans="6:6">
      <c r="F1369" s="678">
        <v>0</v>
      </c>
    </row>
    <row r="1370" spans="6:6">
      <c r="F1370" s="678">
        <v>0</v>
      </c>
    </row>
    <row r="1371" spans="6:6">
      <c r="F1371" s="678">
        <v>0</v>
      </c>
    </row>
    <row r="1372" spans="6:6">
      <c r="F1372" s="678">
        <v>0</v>
      </c>
    </row>
    <row r="1373" spans="6:6">
      <c r="F1373" s="678">
        <v>0</v>
      </c>
    </row>
    <row r="1374" spans="6:6">
      <c r="F1374" s="678">
        <v>0</v>
      </c>
    </row>
    <row r="1375" spans="6:6">
      <c r="F1375" s="678">
        <v>0</v>
      </c>
    </row>
    <row r="1376" spans="6:6">
      <c r="F1376" s="678">
        <v>0</v>
      </c>
    </row>
    <row r="1377" spans="6:6">
      <c r="F1377" s="678">
        <v>0</v>
      </c>
    </row>
    <row r="1378" spans="6:6">
      <c r="F1378" s="678">
        <v>0</v>
      </c>
    </row>
    <row r="1379" spans="6:6">
      <c r="F1379" s="678">
        <v>0</v>
      </c>
    </row>
    <row r="1380" spans="6:6">
      <c r="F1380" s="678">
        <v>0</v>
      </c>
    </row>
    <row r="1381" spans="6:6">
      <c r="F1381" s="678">
        <v>0</v>
      </c>
    </row>
    <row r="1382" spans="6:6">
      <c r="F1382" s="678">
        <v>0</v>
      </c>
    </row>
    <row r="1383" spans="6:6">
      <c r="F1383" s="678">
        <v>0</v>
      </c>
    </row>
    <row r="1384" spans="6:6">
      <c r="F1384" s="678">
        <v>0</v>
      </c>
    </row>
    <row r="1385" spans="6:6">
      <c r="F1385" s="678">
        <v>0</v>
      </c>
    </row>
    <row r="1386" spans="6:6">
      <c r="F1386" s="678">
        <v>0</v>
      </c>
    </row>
    <row r="1387" spans="6:6">
      <c r="F1387" s="678">
        <v>0</v>
      </c>
    </row>
    <row r="1388" spans="6:6">
      <c r="F1388" s="678">
        <v>0</v>
      </c>
    </row>
    <row r="1389" spans="6:6">
      <c r="F1389" s="678">
        <v>0</v>
      </c>
    </row>
    <row r="1390" spans="6:6">
      <c r="F1390" s="678">
        <v>0</v>
      </c>
    </row>
    <row r="1391" spans="6:6">
      <c r="F1391" s="678">
        <v>0</v>
      </c>
    </row>
    <row r="1392" spans="6:6">
      <c r="F1392" s="678">
        <v>0</v>
      </c>
    </row>
    <row r="1393" spans="6:6">
      <c r="F1393" s="678">
        <v>0</v>
      </c>
    </row>
    <row r="1394" spans="6:6">
      <c r="F1394" s="678">
        <v>0</v>
      </c>
    </row>
    <row r="1395" spans="6:6">
      <c r="F1395" s="678">
        <v>0</v>
      </c>
    </row>
    <row r="1396" spans="6:6">
      <c r="F1396" s="678">
        <v>0</v>
      </c>
    </row>
    <row r="1397" spans="6:6">
      <c r="F1397" s="678">
        <v>0</v>
      </c>
    </row>
    <row r="1398" spans="6:6">
      <c r="F1398" s="678">
        <v>0</v>
      </c>
    </row>
    <row r="1399" spans="6:6">
      <c r="F1399" s="678">
        <v>0</v>
      </c>
    </row>
    <row r="1400" spans="6:6">
      <c r="F1400" s="678">
        <v>0</v>
      </c>
    </row>
    <row r="1401" spans="6:6">
      <c r="F1401" s="678">
        <v>0</v>
      </c>
    </row>
    <row r="1402" spans="6:6">
      <c r="F1402" s="678">
        <v>0</v>
      </c>
    </row>
    <row r="1403" spans="6:6">
      <c r="F1403" s="678">
        <v>0</v>
      </c>
    </row>
    <row r="1404" spans="6:6">
      <c r="F1404" s="678">
        <v>0</v>
      </c>
    </row>
    <row r="1405" spans="6:6">
      <c r="F1405" s="678">
        <v>0</v>
      </c>
    </row>
    <row r="1406" spans="6:6">
      <c r="F1406" s="678">
        <v>0</v>
      </c>
    </row>
    <row r="1407" spans="6:6">
      <c r="F1407" s="678">
        <v>0</v>
      </c>
    </row>
    <row r="1408" spans="6:6">
      <c r="F1408" s="678">
        <v>0</v>
      </c>
    </row>
    <row r="1409" spans="6:6">
      <c r="F1409" s="678">
        <v>0</v>
      </c>
    </row>
    <row r="1410" spans="6:6">
      <c r="F1410" s="678">
        <v>0</v>
      </c>
    </row>
    <row r="1411" spans="6:6">
      <c r="F1411" s="678">
        <v>0</v>
      </c>
    </row>
    <row r="1412" spans="6:6">
      <c r="F1412" s="678">
        <v>0</v>
      </c>
    </row>
    <row r="1413" spans="6:6">
      <c r="F1413" s="678">
        <v>0</v>
      </c>
    </row>
    <row r="1414" spans="6:6">
      <c r="F1414" s="678">
        <v>0</v>
      </c>
    </row>
    <row r="1415" spans="6:6">
      <c r="F1415" s="678">
        <v>0</v>
      </c>
    </row>
    <row r="1416" spans="6:6">
      <c r="F1416" s="678">
        <v>0</v>
      </c>
    </row>
    <row r="1417" spans="6:6">
      <c r="F1417" s="678">
        <v>0</v>
      </c>
    </row>
    <row r="1418" spans="6:6">
      <c r="F1418" s="678">
        <v>0</v>
      </c>
    </row>
    <row r="1419" spans="6:6">
      <c r="F1419" s="678">
        <v>0</v>
      </c>
    </row>
    <row r="1420" spans="6:6">
      <c r="F1420" s="678">
        <v>0</v>
      </c>
    </row>
    <row r="1421" spans="6:6">
      <c r="F1421" s="678">
        <v>0</v>
      </c>
    </row>
    <row r="1422" spans="6:6">
      <c r="F1422" s="678">
        <v>0</v>
      </c>
    </row>
    <row r="1423" spans="6:6">
      <c r="F1423" s="678">
        <v>0</v>
      </c>
    </row>
    <row r="1424" spans="6:6">
      <c r="F1424" s="678">
        <v>0</v>
      </c>
    </row>
    <row r="1425" spans="6:6">
      <c r="F1425" s="678">
        <v>0</v>
      </c>
    </row>
    <row r="1426" spans="6:6">
      <c r="F1426" s="678">
        <v>0</v>
      </c>
    </row>
    <row r="1427" spans="6:6">
      <c r="F1427" s="678">
        <v>0</v>
      </c>
    </row>
    <row r="1428" spans="6:6">
      <c r="F1428" s="678">
        <v>0</v>
      </c>
    </row>
    <row r="1429" spans="6:6">
      <c r="F1429" s="678">
        <v>0</v>
      </c>
    </row>
    <row r="1430" spans="6:6">
      <c r="F1430" s="678">
        <v>0</v>
      </c>
    </row>
    <row r="1431" spans="6:6">
      <c r="F1431" s="678">
        <v>0</v>
      </c>
    </row>
    <row r="1432" spans="6:6">
      <c r="F1432" s="678">
        <v>0</v>
      </c>
    </row>
    <row r="1433" spans="6:6">
      <c r="F1433" s="678">
        <v>0</v>
      </c>
    </row>
    <row r="1434" spans="6:6">
      <c r="F1434" s="678">
        <v>0</v>
      </c>
    </row>
    <row r="1435" spans="6:6">
      <c r="F1435" s="678">
        <v>0</v>
      </c>
    </row>
    <row r="1436" spans="6:6">
      <c r="F1436" s="678">
        <v>0</v>
      </c>
    </row>
    <row r="1437" spans="6:6">
      <c r="F1437" s="678">
        <v>0</v>
      </c>
    </row>
    <row r="1438" spans="6:6">
      <c r="F1438" s="678">
        <v>0</v>
      </c>
    </row>
    <row r="1439" spans="6:6">
      <c r="F1439" s="678">
        <v>0</v>
      </c>
    </row>
    <row r="1440" spans="6:6">
      <c r="F1440" s="678">
        <v>0</v>
      </c>
    </row>
    <row r="1441" spans="6:6">
      <c r="F1441" s="678">
        <v>0</v>
      </c>
    </row>
    <row r="1442" spans="6:6">
      <c r="F1442" s="678">
        <v>0</v>
      </c>
    </row>
    <row r="1443" spans="6:6">
      <c r="F1443" s="678">
        <v>0</v>
      </c>
    </row>
    <row r="1444" spans="6:6">
      <c r="F1444" s="678">
        <v>0</v>
      </c>
    </row>
    <row r="1445" spans="6:6">
      <c r="F1445" s="678">
        <v>0</v>
      </c>
    </row>
    <row r="1446" spans="6:6">
      <c r="F1446" s="678">
        <v>0</v>
      </c>
    </row>
    <row r="1447" spans="6:6">
      <c r="F1447" s="678">
        <v>0</v>
      </c>
    </row>
    <row r="1448" spans="6:6">
      <c r="F1448" s="678">
        <v>0</v>
      </c>
    </row>
    <row r="1449" spans="6:6">
      <c r="F1449" s="678">
        <v>0</v>
      </c>
    </row>
    <row r="1450" spans="6:6">
      <c r="F1450" s="678">
        <v>0</v>
      </c>
    </row>
    <row r="1451" spans="6:6">
      <c r="F1451" s="678">
        <v>0</v>
      </c>
    </row>
    <row r="1452" spans="6:6">
      <c r="F1452" s="678">
        <v>0</v>
      </c>
    </row>
    <row r="1453" spans="6:6">
      <c r="F1453" s="678">
        <v>0</v>
      </c>
    </row>
    <row r="1454" spans="6:6">
      <c r="F1454" s="678">
        <v>0</v>
      </c>
    </row>
    <row r="1455" spans="6:6">
      <c r="F1455" s="678">
        <v>0</v>
      </c>
    </row>
    <row r="1456" spans="6:6">
      <c r="F1456" s="678">
        <v>0</v>
      </c>
    </row>
    <row r="1457" spans="6:6">
      <c r="F1457" s="678">
        <v>0</v>
      </c>
    </row>
    <row r="1458" spans="6:6">
      <c r="F1458" s="678">
        <v>0</v>
      </c>
    </row>
    <row r="1459" spans="6:6">
      <c r="F1459" s="678">
        <v>0</v>
      </c>
    </row>
    <row r="1460" spans="6:6">
      <c r="F1460" s="678">
        <v>0</v>
      </c>
    </row>
    <row r="1461" spans="6:6">
      <c r="F1461" s="678">
        <v>0</v>
      </c>
    </row>
    <row r="1462" spans="6:6">
      <c r="F1462" s="678">
        <v>0</v>
      </c>
    </row>
    <row r="1463" spans="6:6">
      <c r="F1463" s="678">
        <v>0</v>
      </c>
    </row>
    <row r="1464" spans="6:6">
      <c r="F1464" s="678">
        <v>0</v>
      </c>
    </row>
    <row r="1465" spans="6:6">
      <c r="F1465" s="678">
        <v>0</v>
      </c>
    </row>
    <row r="1466" spans="6:6">
      <c r="F1466" s="678">
        <v>0</v>
      </c>
    </row>
    <row r="1467" spans="6:6">
      <c r="F1467" s="678">
        <v>0</v>
      </c>
    </row>
    <row r="1468" spans="6:6">
      <c r="F1468" s="678">
        <v>0</v>
      </c>
    </row>
    <row r="1469" spans="6:6">
      <c r="F1469" s="678">
        <v>0</v>
      </c>
    </row>
    <row r="1470" spans="6:6">
      <c r="F1470" s="678">
        <v>0</v>
      </c>
    </row>
    <row r="1471" spans="6:6">
      <c r="F1471" s="678">
        <v>0</v>
      </c>
    </row>
    <row r="1472" spans="6:6">
      <c r="F1472" s="678">
        <v>0</v>
      </c>
    </row>
    <row r="1473" spans="6:6">
      <c r="F1473" s="678">
        <v>0</v>
      </c>
    </row>
    <row r="1474" spans="6:6">
      <c r="F1474" s="678">
        <v>0</v>
      </c>
    </row>
    <row r="1475" spans="6:6">
      <c r="F1475" s="678">
        <v>0</v>
      </c>
    </row>
    <row r="1476" spans="6:6">
      <c r="F1476" s="678">
        <v>0</v>
      </c>
    </row>
    <row r="1477" spans="6:6">
      <c r="F1477" s="678">
        <v>0</v>
      </c>
    </row>
    <row r="1478" spans="6:6">
      <c r="F1478" s="678">
        <v>0</v>
      </c>
    </row>
    <row r="1479" spans="6:6">
      <c r="F1479" s="678">
        <v>0</v>
      </c>
    </row>
    <row r="1480" spans="6:6">
      <c r="F1480" s="678">
        <v>0</v>
      </c>
    </row>
    <row r="1481" spans="6:6">
      <c r="F1481" s="678">
        <v>0</v>
      </c>
    </row>
    <row r="1482" spans="6:6">
      <c r="F1482" s="678">
        <v>0</v>
      </c>
    </row>
    <row r="1483" spans="6:6">
      <c r="F1483" s="678">
        <v>0</v>
      </c>
    </row>
    <row r="1484" spans="6:6">
      <c r="F1484" s="678">
        <v>0</v>
      </c>
    </row>
    <row r="1485" spans="6:6">
      <c r="F1485" s="678">
        <v>0</v>
      </c>
    </row>
    <row r="1486" spans="6:6">
      <c r="F1486" s="678">
        <v>0</v>
      </c>
    </row>
    <row r="1487" spans="6:6">
      <c r="F1487" s="678">
        <v>0</v>
      </c>
    </row>
    <row r="1488" spans="6:6">
      <c r="F1488" s="678">
        <v>0</v>
      </c>
    </row>
    <row r="1489" spans="6:6">
      <c r="F1489" s="678">
        <v>0</v>
      </c>
    </row>
    <row r="1490" spans="6:6">
      <c r="F1490" s="678">
        <v>0</v>
      </c>
    </row>
    <row r="1491" spans="6:6">
      <c r="F1491" s="678">
        <v>0</v>
      </c>
    </row>
    <row r="1492" spans="6:6">
      <c r="F1492" s="678">
        <v>0</v>
      </c>
    </row>
    <row r="1493" spans="6:6">
      <c r="F1493" s="678">
        <v>0</v>
      </c>
    </row>
    <row r="1494" spans="6:6">
      <c r="F1494" s="678">
        <v>0</v>
      </c>
    </row>
    <row r="1495" spans="6:6">
      <c r="F1495" s="678">
        <v>0</v>
      </c>
    </row>
    <row r="1496" spans="6:6">
      <c r="F1496" s="678">
        <v>0</v>
      </c>
    </row>
    <row r="1497" spans="6:6">
      <c r="F1497" s="678">
        <v>0</v>
      </c>
    </row>
    <row r="1498" spans="6:6">
      <c r="F1498" s="678">
        <v>0</v>
      </c>
    </row>
    <row r="1499" spans="6:6">
      <c r="F1499" s="678">
        <v>0</v>
      </c>
    </row>
    <row r="1500" spans="6:6">
      <c r="F1500" s="678">
        <v>0</v>
      </c>
    </row>
    <row r="1501" spans="6:6">
      <c r="F1501" s="678">
        <v>0</v>
      </c>
    </row>
    <row r="1502" spans="6:6">
      <c r="F1502" s="678">
        <v>0</v>
      </c>
    </row>
    <row r="1503" spans="6:6">
      <c r="F1503" s="678">
        <v>0</v>
      </c>
    </row>
    <row r="1504" spans="6:6">
      <c r="F1504" s="678">
        <v>0</v>
      </c>
    </row>
    <row r="1505" spans="6:6">
      <c r="F1505" s="678">
        <v>0</v>
      </c>
    </row>
    <row r="1506" spans="6:6">
      <c r="F1506" s="678">
        <v>0</v>
      </c>
    </row>
    <row r="1507" spans="6:6">
      <c r="F1507" s="678">
        <v>0</v>
      </c>
    </row>
    <row r="1508" spans="6:6">
      <c r="F1508" s="678">
        <v>0</v>
      </c>
    </row>
    <row r="1509" spans="6:6">
      <c r="F1509" s="678">
        <v>0</v>
      </c>
    </row>
    <row r="1510" spans="6:6">
      <c r="F1510" s="678">
        <v>0</v>
      </c>
    </row>
    <row r="1511" spans="6:6">
      <c r="F1511" s="678">
        <v>0</v>
      </c>
    </row>
    <row r="1512" spans="6:6">
      <c r="F1512" s="678">
        <v>0</v>
      </c>
    </row>
    <row r="1513" spans="6:6">
      <c r="F1513" s="678">
        <v>0</v>
      </c>
    </row>
    <row r="1514" spans="6:6">
      <c r="F1514" s="678">
        <v>0</v>
      </c>
    </row>
    <row r="1515" spans="6:6">
      <c r="F1515" s="678">
        <v>0</v>
      </c>
    </row>
    <row r="1516" spans="6:6">
      <c r="F1516" s="678">
        <v>0</v>
      </c>
    </row>
    <row r="1517" spans="6:6">
      <c r="F1517" s="678">
        <v>0</v>
      </c>
    </row>
    <row r="1518" spans="6:6">
      <c r="F1518" s="678">
        <v>0</v>
      </c>
    </row>
    <row r="1519" spans="6:6">
      <c r="F1519" s="678">
        <v>0</v>
      </c>
    </row>
    <row r="1520" spans="6:6">
      <c r="F1520" s="678">
        <v>0</v>
      </c>
    </row>
    <row r="1521" spans="6:6">
      <c r="F1521" s="678">
        <v>0</v>
      </c>
    </row>
    <row r="1522" spans="6:6">
      <c r="F1522" s="678">
        <v>0</v>
      </c>
    </row>
    <row r="1523" spans="6:6">
      <c r="F1523" s="678">
        <v>0</v>
      </c>
    </row>
    <row r="1524" spans="6:6">
      <c r="F1524" s="678">
        <v>0</v>
      </c>
    </row>
    <row r="1525" spans="6:6">
      <c r="F1525" s="678">
        <v>0</v>
      </c>
    </row>
    <row r="1526" spans="6:6">
      <c r="F1526" s="678">
        <v>0</v>
      </c>
    </row>
    <row r="1527" spans="6:6">
      <c r="F1527" s="678">
        <v>0</v>
      </c>
    </row>
    <row r="1528" spans="6:6">
      <c r="F1528" s="678">
        <v>0</v>
      </c>
    </row>
    <row r="1529" spans="6:6">
      <c r="F1529" s="678">
        <v>0</v>
      </c>
    </row>
    <row r="1530" spans="6:6">
      <c r="F1530" s="678">
        <v>0</v>
      </c>
    </row>
    <row r="1531" spans="6:6">
      <c r="F1531" s="678">
        <v>0</v>
      </c>
    </row>
    <row r="1532" spans="6:6">
      <c r="F1532" s="678">
        <v>0</v>
      </c>
    </row>
    <row r="1533" spans="6:6">
      <c r="F1533" s="678">
        <v>0</v>
      </c>
    </row>
    <row r="1534" spans="6:6">
      <c r="F1534" s="678">
        <v>0</v>
      </c>
    </row>
    <row r="1535" spans="6:6">
      <c r="F1535" s="678">
        <v>0</v>
      </c>
    </row>
    <row r="1536" spans="6:6">
      <c r="F1536" s="678">
        <v>0</v>
      </c>
    </row>
    <row r="1537" spans="6:6">
      <c r="F1537" s="678">
        <v>0</v>
      </c>
    </row>
    <row r="1538" spans="6:6">
      <c r="F1538" s="678">
        <v>0</v>
      </c>
    </row>
    <row r="1539" spans="6:6">
      <c r="F1539" s="678">
        <v>0</v>
      </c>
    </row>
    <row r="1540" spans="6:6">
      <c r="F1540" s="678">
        <v>0</v>
      </c>
    </row>
    <row r="1541" spans="6:6">
      <c r="F1541" s="678">
        <v>0</v>
      </c>
    </row>
    <row r="1542" spans="6:6">
      <c r="F1542" s="678">
        <v>0</v>
      </c>
    </row>
    <row r="1543" spans="6:6">
      <c r="F1543" s="678">
        <v>0</v>
      </c>
    </row>
    <row r="1544" spans="6:6">
      <c r="F1544" s="678">
        <v>0</v>
      </c>
    </row>
    <row r="1545" spans="6:6">
      <c r="F1545" s="678">
        <v>0</v>
      </c>
    </row>
    <row r="1546" spans="6:6">
      <c r="F1546" s="678">
        <v>0</v>
      </c>
    </row>
    <row r="1547" spans="6:6">
      <c r="F1547" s="678">
        <v>0</v>
      </c>
    </row>
    <row r="1548" spans="6:6">
      <c r="F1548" s="678">
        <v>0</v>
      </c>
    </row>
    <row r="1549" spans="6:6">
      <c r="F1549" s="678">
        <v>0</v>
      </c>
    </row>
    <row r="1550" spans="6:6">
      <c r="F1550" s="678">
        <v>0</v>
      </c>
    </row>
    <row r="1551" spans="6:6">
      <c r="F1551" s="678">
        <v>0</v>
      </c>
    </row>
    <row r="1552" spans="6:6">
      <c r="F1552" s="678">
        <v>0</v>
      </c>
    </row>
    <row r="1553" spans="6:6">
      <c r="F1553" s="678">
        <v>0</v>
      </c>
    </row>
    <row r="1554" spans="6:6">
      <c r="F1554" s="678">
        <v>0</v>
      </c>
    </row>
    <row r="1555" spans="6:6">
      <c r="F1555" s="678">
        <v>0</v>
      </c>
    </row>
    <row r="1556" spans="6:6">
      <c r="F1556" s="678">
        <v>0</v>
      </c>
    </row>
    <row r="1557" spans="6:6">
      <c r="F1557" s="678">
        <v>0</v>
      </c>
    </row>
    <row r="1558" spans="6:6">
      <c r="F1558" s="678">
        <v>0</v>
      </c>
    </row>
    <row r="1559" spans="6:6">
      <c r="F1559" s="678">
        <v>0</v>
      </c>
    </row>
    <row r="1560" spans="6:6">
      <c r="F1560" s="678">
        <v>0</v>
      </c>
    </row>
    <row r="1561" spans="6:6">
      <c r="F1561" s="678">
        <v>0</v>
      </c>
    </row>
    <row r="1562" spans="6:6">
      <c r="F1562" s="678">
        <v>0</v>
      </c>
    </row>
    <row r="1563" spans="6:6">
      <c r="F1563" s="678">
        <v>0</v>
      </c>
    </row>
    <row r="1564" spans="6:6">
      <c r="F1564" s="678">
        <v>0</v>
      </c>
    </row>
    <row r="1565" spans="6:6">
      <c r="F1565" s="678">
        <v>0</v>
      </c>
    </row>
    <row r="1566" spans="6:6">
      <c r="F1566" s="678">
        <v>0</v>
      </c>
    </row>
    <row r="1567" spans="6:6">
      <c r="F1567" s="678">
        <v>0</v>
      </c>
    </row>
    <row r="1568" spans="6:6">
      <c r="F1568" s="678">
        <v>0</v>
      </c>
    </row>
    <row r="1569" spans="6:6">
      <c r="F1569" s="678">
        <v>0</v>
      </c>
    </row>
    <row r="1570" spans="6:6">
      <c r="F1570" s="678">
        <v>0</v>
      </c>
    </row>
    <row r="1571" spans="6:6">
      <c r="F1571" s="678">
        <v>0</v>
      </c>
    </row>
    <row r="1572" spans="6:6">
      <c r="F1572" s="678">
        <v>0</v>
      </c>
    </row>
    <row r="1573" spans="6:6">
      <c r="F1573" s="678">
        <v>0</v>
      </c>
    </row>
    <row r="1574" spans="6:6">
      <c r="F1574" s="678">
        <v>0</v>
      </c>
    </row>
    <row r="1575" spans="6:6">
      <c r="F1575" s="678">
        <v>0</v>
      </c>
    </row>
    <row r="1576" spans="6:6">
      <c r="F1576" s="678">
        <v>0</v>
      </c>
    </row>
    <row r="1577" spans="6:6">
      <c r="F1577" s="678">
        <v>0</v>
      </c>
    </row>
    <row r="1578" spans="6:6">
      <c r="F1578" s="678">
        <v>0</v>
      </c>
    </row>
    <row r="1579" spans="6:6">
      <c r="F1579" s="678">
        <v>0</v>
      </c>
    </row>
    <row r="1580" spans="6:6">
      <c r="F1580" s="678">
        <v>0</v>
      </c>
    </row>
    <row r="1581" spans="6:6">
      <c r="F1581" s="678">
        <v>0</v>
      </c>
    </row>
    <row r="1582" spans="6:6">
      <c r="F1582" s="678">
        <v>0</v>
      </c>
    </row>
    <row r="1583" spans="6:6">
      <c r="F1583" s="678">
        <v>0</v>
      </c>
    </row>
    <row r="1584" spans="6:6">
      <c r="F1584" s="678">
        <v>0</v>
      </c>
    </row>
    <row r="1585" spans="6:6">
      <c r="F1585" s="678">
        <v>0</v>
      </c>
    </row>
    <row r="1586" spans="6:6">
      <c r="F1586" s="678">
        <v>0</v>
      </c>
    </row>
    <row r="1587" spans="6:6">
      <c r="F1587" s="678">
        <v>0</v>
      </c>
    </row>
    <row r="1588" spans="6:6">
      <c r="F1588" s="678">
        <v>0</v>
      </c>
    </row>
    <row r="1589" spans="6:6">
      <c r="F1589" s="678">
        <v>0</v>
      </c>
    </row>
    <row r="1590" spans="6:6">
      <c r="F1590" s="678">
        <v>0</v>
      </c>
    </row>
    <row r="1591" spans="6:6">
      <c r="F1591" s="678">
        <v>0</v>
      </c>
    </row>
    <row r="1592" spans="6:6">
      <c r="F1592" s="678">
        <v>0</v>
      </c>
    </row>
    <row r="1593" spans="6:6">
      <c r="F1593" s="678">
        <v>0</v>
      </c>
    </row>
    <row r="1594" spans="6:6">
      <c r="F1594" s="678">
        <v>0</v>
      </c>
    </row>
    <row r="1595" spans="6:6">
      <c r="F1595" s="678">
        <v>0</v>
      </c>
    </row>
    <row r="1596" spans="6:6">
      <c r="F1596" s="678">
        <v>0</v>
      </c>
    </row>
    <row r="1597" spans="6:6">
      <c r="F1597" s="678">
        <v>0</v>
      </c>
    </row>
    <row r="1598" spans="6:6">
      <c r="F1598" s="678">
        <v>0</v>
      </c>
    </row>
    <row r="1599" spans="6:6">
      <c r="F1599" s="678">
        <v>0</v>
      </c>
    </row>
    <row r="1600" spans="6:6">
      <c r="F1600" s="678">
        <v>0</v>
      </c>
    </row>
    <row r="1601" spans="6:6">
      <c r="F1601" s="678">
        <v>0</v>
      </c>
    </row>
    <row r="1602" spans="6:6">
      <c r="F1602" s="678">
        <v>0</v>
      </c>
    </row>
    <row r="1603" spans="6:6">
      <c r="F1603" s="678">
        <v>0</v>
      </c>
    </row>
    <row r="1604" spans="6:6">
      <c r="F1604" s="678">
        <v>0</v>
      </c>
    </row>
    <row r="1605" spans="6:6">
      <c r="F1605" s="678">
        <v>0</v>
      </c>
    </row>
    <row r="1606" spans="6:6">
      <c r="F1606" s="678">
        <v>0</v>
      </c>
    </row>
    <row r="1607" spans="6:6">
      <c r="F1607" s="678">
        <v>0</v>
      </c>
    </row>
    <row r="1608" spans="6:6">
      <c r="F1608" s="678">
        <v>0</v>
      </c>
    </row>
    <row r="1609" spans="6:6">
      <c r="F1609" s="678">
        <v>0</v>
      </c>
    </row>
    <row r="1610" spans="6:6">
      <c r="F1610" s="678">
        <v>0</v>
      </c>
    </row>
    <row r="1611" spans="6:6">
      <c r="F1611" s="678">
        <v>0</v>
      </c>
    </row>
    <row r="1612" spans="6:6">
      <c r="F1612" s="678">
        <v>0</v>
      </c>
    </row>
    <row r="1613" spans="6:6">
      <c r="F1613" s="678">
        <v>0</v>
      </c>
    </row>
    <row r="1614" spans="6:6">
      <c r="F1614" s="678">
        <v>0</v>
      </c>
    </row>
    <row r="1615" spans="6:6">
      <c r="F1615" s="678">
        <v>0</v>
      </c>
    </row>
    <row r="1616" spans="6:6">
      <c r="F1616" s="678">
        <v>0</v>
      </c>
    </row>
    <row r="1617" spans="6:6">
      <c r="F1617" s="678">
        <v>0</v>
      </c>
    </row>
    <row r="1618" spans="6:6">
      <c r="F1618" s="678">
        <v>0</v>
      </c>
    </row>
    <row r="1619" spans="6:6">
      <c r="F1619" s="678">
        <v>0</v>
      </c>
    </row>
    <row r="1620" spans="6:6">
      <c r="F1620" s="678">
        <v>0</v>
      </c>
    </row>
    <row r="1621" spans="6:6">
      <c r="F1621" s="678">
        <v>0</v>
      </c>
    </row>
    <row r="1622" spans="6:6">
      <c r="F1622" s="678">
        <v>0</v>
      </c>
    </row>
    <row r="1623" spans="6:6">
      <c r="F1623" s="678">
        <v>0</v>
      </c>
    </row>
    <row r="1624" spans="6:6">
      <c r="F1624" s="678">
        <v>0</v>
      </c>
    </row>
    <row r="1625" spans="6:6">
      <c r="F1625" s="678">
        <v>0</v>
      </c>
    </row>
    <row r="1626" spans="6:6">
      <c r="F1626" s="678">
        <v>0</v>
      </c>
    </row>
    <row r="1627" spans="6:6">
      <c r="F1627" s="678">
        <v>0</v>
      </c>
    </row>
    <row r="1628" spans="6:6">
      <c r="F1628" s="678">
        <v>0</v>
      </c>
    </row>
    <row r="1629" spans="6:6">
      <c r="F1629" s="678">
        <v>0</v>
      </c>
    </row>
    <row r="1630" spans="6:6">
      <c r="F1630" s="678">
        <v>0</v>
      </c>
    </row>
    <row r="1631" spans="6:6">
      <c r="F1631" s="678">
        <v>0</v>
      </c>
    </row>
    <row r="1632" spans="6:6">
      <c r="F1632" s="678">
        <v>0</v>
      </c>
    </row>
    <row r="1633" spans="6:6">
      <c r="F1633" s="678">
        <v>0</v>
      </c>
    </row>
    <row r="1634" spans="6:6">
      <c r="F1634" s="678">
        <v>0</v>
      </c>
    </row>
    <row r="1635" spans="6:6">
      <c r="F1635" s="678">
        <v>0</v>
      </c>
    </row>
    <row r="1636" spans="6:6">
      <c r="F1636" s="678">
        <v>0</v>
      </c>
    </row>
    <row r="1637" spans="6:6">
      <c r="F1637" s="678">
        <v>0</v>
      </c>
    </row>
    <row r="1638" spans="6:6">
      <c r="F1638" s="678">
        <v>0</v>
      </c>
    </row>
    <row r="1639" spans="6:6">
      <c r="F1639" s="678">
        <v>0</v>
      </c>
    </row>
    <row r="1640" spans="6:6">
      <c r="F1640" s="678">
        <v>0</v>
      </c>
    </row>
    <row r="1641" spans="6:6">
      <c r="F1641" s="678">
        <v>0</v>
      </c>
    </row>
    <row r="1642" spans="6:6">
      <c r="F1642" s="678">
        <v>0</v>
      </c>
    </row>
    <row r="1643" spans="6:6">
      <c r="F1643" s="678">
        <v>0</v>
      </c>
    </row>
    <row r="1644" spans="6:6">
      <c r="F1644" s="678">
        <v>0</v>
      </c>
    </row>
    <row r="1645" spans="6:6">
      <c r="F1645" s="678">
        <v>0</v>
      </c>
    </row>
    <row r="1646" spans="6:6">
      <c r="F1646" s="678">
        <v>0</v>
      </c>
    </row>
    <row r="1647" spans="6:6">
      <c r="F1647" s="678">
        <v>0</v>
      </c>
    </row>
    <row r="1648" spans="6:6">
      <c r="F1648" s="678">
        <v>0</v>
      </c>
    </row>
    <row r="1649" spans="6:6">
      <c r="F1649" s="678">
        <v>0</v>
      </c>
    </row>
    <row r="1650" spans="6:6">
      <c r="F1650" s="678">
        <v>0</v>
      </c>
    </row>
    <row r="1651" spans="6:6">
      <c r="F1651" s="678">
        <v>0</v>
      </c>
    </row>
    <row r="1652" spans="6:6">
      <c r="F1652" s="678">
        <v>0</v>
      </c>
    </row>
    <row r="1653" spans="6:6">
      <c r="F1653" s="678">
        <v>0</v>
      </c>
    </row>
    <row r="1654" spans="6:6">
      <c r="F1654" s="678">
        <v>0</v>
      </c>
    </row>
    <row r="1655" spans="6:6">
      <c r="F1655" s="678">
        <v>0</v>
      </c>
    </row>
    <row r="1656" spans="6:6">
      <c r="F1656" s="678">
        <v>0</v>
      </c>
    </row>
    <row r="1657" spans="6:6">
      <c r="F1657" s="678">
        <v>0</v>
      </c>
    </row>
    <row r="1658" spans="6:6">
      <c r="F1658" s="678">
        <v>0</v>
      </c>
    </row>
    <row r="1659" spans="6:6">
      <c r="F1659" s="678">
        <v>0</v>
      </c>
    </row>
    <row r="1660" spans="6:6">
      <c r="F1660" s="678">
        <v>0</v>
      </c>
    </row>
    <row r="1661" spans="6:6">
      <c r="F1661" s="678">
        <v>0</v>
      </c>
    </row>
    <row r="1662" spans="6:6">
      <c r="F1662" s="678">
        <v>0</v>
      </c>
    </row>
    <row r="1663" spans="6:6">
      <c r="F1663" s="678">
        <v>0</v>
      </c>
    </row>
    <row r="1664" spans="6:6">
      <c r="F1664" s="678">
        <v>0</v>
      </c>
    </row>
    <row r="1665" spans="6:6">
      <c r="F1665" s="678">
        <v>0</v>
      </c>
    </row>
    <row r="1666" spans="6:6">
      <c r="F1666" s="678">
        <v>0</v>
      </c>
    </row>
    <row r="1667" spans="6:6">
      <c r="F1667" s="678">
        <v>0</v>
      </c>
    </row>
    <row r="1668" spans="6:6">
      <c r="F1668" s="678">
        <v>0</v>
      </c>
    </row>
    <row r="1669" spans="6:6">
      <c r="F1669" s="678">
        <v>0</v>
      </c>
    </row>
    <row r="1670" spans="6:6">
      <c r="F1670" s="678">
        <v>0</v>
      </c>
    </row>
    <row r="1671" spans="6:6">
      <c r="F1671" s="678">
        <v>0</v>
      </c>
    </row>
    <row r="1672" spans="6:6">
      <c r="F1672" s="678">
        <v>0</v>
      </c>
    </row>
    <row r="1673" spans="6:6">
      <c r="F1673" s="678">
        <v>0</v>
      </c>
    </row>
    <row r="1674" spans="6:6">
      <c r="F1674" s="678">
        <v>0</v>
      </c>
    </row>
    <row r="1675" spans="6:6">
      <c r="F1675" s="678">
        <v>0</v>
      </c>
    </row>
    <row r="1676" spans="6:6">
      <c r="F1676" s="678">
        <v>0</v>
      </c>
    </row>
    <row r="1677" spans="6:6">
      <c r="F1677" s="678">
        <v>0</v>
      </c>
    </row>
    <row r="1678" spans="6:6">
      <c r="F1678" s="678">
        <v>0</v>
      </c>
    </row>
    <row r="1679" spans="6:6">
      <c r="F1679" s="678">
        <v>0</v>
      </c>
    </row>
    <row r="1680" spans="6:6">
      <c r="F1680" s="678">
        <v>0</v>
      </c>
    </row>
    <row r="1681" spans="6:6">
      <c r="F1681" s="678">
        <v>0</v>
      </c>
    </row>
    <row r="1682" spans="6:6">
      <c r="F1682" s="678">
        <v>0</v>
      </c>
    </row>
    <row r="1683" spans="6:6">
      <c r="F1683" s="678">
        <v>0</v>
      </c>
    </row>
    <row r="1684" spans="6:6">
      <c r="F1684" s="678">
        <v>0</v>
      </c>
    </row>
    <row r="1685" spans="6:6">
      <c r="F1685" s="678">
        <v>0</v>
      </c>
    </row>
    <row r="1686" spans="6:6">
      <c r="F1686" s="678">
        <v>0</v>
      </c>
    </row>
    <row r="1687" spans="6:6">
      <c r="F1687" s="678">
        <v>0</v>
      </c>
    </row>
    <row r="1688" spans="6:6">
      <c r="F1688" s="678">
        <v>0</v>
      </c>
    </row>
    <row r="1689" spans="6:6">
      <c r="F1689" s="678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21" zoomScale="55" zoomScaleNormal="60" zoomScaleSheetLayoutView="55" zoomScalePageLayoutView="20" workbookViewId="0">
      <selection activeCell="A121" sqref="A1:XFD1048576"/>
    </sheetView>
  </sheetViews>
  <sheetFormatPr defaultColWidth="22.33203125" defaultRowHeight="29.25"/>
  <cols>
    <col min="1" max="1" width="35.77734375" style="594" customWidth="1"/>
    <col min="2" max="2" width="28" style="597" customWidth="1"/>
    <col min="3" max="3" width="15.88671875" style="597" customWidth="1"/>
    <col min="4" max="4" width="13.6640625" style="678" customWidth="1"/>
    <col min="5" max="5" width="23.88671875" style="678" customWidth="1"/>
    <col min="6" max="6" width="23.5546875" style="678" customWidth="1"/>
    <col min="7" max="7" width="21" style="678" customWidth="1"/>
    <col min="8" max="8" width="28.88671875" style="679" customWidth="1"/>
    <col min="9" max="9" width="20.33203125" style="678" customWidth="1"/>
    <col min="10" max="10" width="21.77734375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40" t="s">
        <v>226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279</v>
      </c>
      <c r="B2" s="1195">
        <v>44157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49" t="s">
        <v>132</v>
      </c>
      <c r="F3" s="1450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0.81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'[3]20'!F7</f>
        <v>2476592</v>
      </c>
      <c r="F7" s="595">
        <v>2495879</v>
      </c>
      <c r="G7" s="613">
        <f>F7-E7</f>
        <v>19287</v>
      </c>
      <c r="H7" s="600">
        <f>G7+'[3]20'!H7</f>
        <v>390854</v>
      </c>
      <c r="I7" s="614">
        <f>'[3]1'!I7</f>
        <v>12000</v>
      </c>
      <c r="J7" s="693">
        <f>H7/DAY(B2)</f>
        <v>17766.090909090908</v>
      </c>
      <c r="K7" s="690">
        <v>12199</v>
      </c>
      <c r="L7" s="421">
        <f>G7-K7</f>
        <v>7088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'[3]20'!F8</f>
        <v>2488730</v>
      </c>
      <c r="F8" s="615">
        <v>2508240</v>
      </c>
      <c r="G8" s="616">
        <f>F8-E8</f>
        <v>19510</v>
      </c>
      <c r="H8" s="600">
        <f>G8+'[3]20'!H8</f>
        <v>392799</v>
      </c>
      <c r="I8" s="617">
        <f>'[3]1'!I8</f>
        <v>12000</v>
      </c>
      <c r="J8" s="693">
        <f>H8/DAY(B2)</f>
        <v>17854.5</v>
      </c>
      <c r="K8" s="690">
        <v>12262</v>
      </c>
      <c r="L8" s="479">
        <f>G8-K8</f>
        <v>7248</v>
      </c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'[3]20'!F9</f>
        <v>2226565</v>
      </c>
      <c r="F9" s="618">
        <v>2229568</v>
      </c>
      <c r="G9" s="613">
        <f t="shared" ref="G9:G12" si="0">F9-E9</f>
        <v>3003</v>
      </c>
      <c r="H9" s="600">
        <f>G9+'[3]20'!H9</f>
        <v>212562.69999999995</v>
      </c>
      <c r="I9" s="619">
        <f>I8-J8</f>
        <v>-5854.5</v>
      </c>
      <c r="J9" s="693">
        <f>H9/DAY(B2)</f>
        <v>9661.9409090909066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'[3]20'!F10</f>
        <v>148670.91</v>
      </c>
      <c r="F10" s="618">
        <v>164247.32</v>
      </c>
      <c r="G10" s="613">
        <f t="shared" si="0"/>
        <v>15576.410000000003</v>
      </c>
      <c r="H10" s="600">
        <f>G10+'[3]20'!H10</f>
        <v>164247.53000000003</v>
      </c>
      <c r="I10" s="620"/>
      <c r="J10" s="693">
        <f>H10/DAY(B2)</f>
        <v>7465.7968181818196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'[3]20'!F11</f>
        <v>35390</v>
      </c>
      <c r="F11" s="595">
        <v>35390</v>
      </c>
      <c r="G11" s="613">
        <f t="shared" si="0"/>
        <v>0</v>
      </c>
      <c r="H11" s="600">
        <f>G11+'[3]20'!H11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'[3]20'!F12</f>
        <v>37630</v>
      </c>
      <c r="F12" s="618">
        <v>37630</v>
      </c>
      <c r="G12" s="613">
        <f t="shared" si="0"/>
        <v>0</v>
      </c>
      <c r="H12" s="600">
        <f>G12+'[3]20'!H12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18579.410000000003</v>
      </c>
      <c r="H13" s="600">
        <f>G13+'[3]20'!H13</f>
        <v>322546.43000000005</v>
      </c>
      <c r="I13" s="622">
        <f>G7-G13</f>
        <v>707.58999999999651</v>
      </c>
      <c r="J13" s="693">
        <f>H13/DAY(B2)</f>
        <v>14661.201363636366</v>
      </c>
      <c r="K13" s="527"/>
      <c r="L13" s="421"/>
      <c r="N13" s="426"/>
      <c r="O13" s="426"/>
    </row>
    <row r="14" spans="1:1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'[3]20'!F15</f>
        <v>1540733</v>
      </c>
      <c r="F15" s="624">
        <v>1541466</v>
      </c>
      <c r="G15" s="941">
        <f>(F15-E15)</f>
        <v>733</v>
      </c>
      <c r="H15" s="600">
        <f>G15+'[3]20'!H15</f>
        <v>11350.806000000099</v>
      </c>
      <c r="I15" s="614">
        <v>800</v>
      </c>
      <c r="J15" s="693">
        <f>H15/DAY(B2)</f>
        <v>515.9457272727318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284.0542727272682</v>
      </c>
      <c r="J16" s="694"/>
      <c r="K16" s="527"/>
      <c r="L16" s="421"/>
      <c r="N16" s="426"/>
      <c r="O16" s="426"/>
    </row>
    <row r="17" spans="1:1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32" t="s">
        <v>154</v>
      </c>
      <c r="B18" s="1433"/>
      <c r="C18" s="1434"/>
      <c r="D18" s="663" t="s">
        <v>155</v>
      </c>
      <c r="E18" s="624">
        <f>'[3]20'!F18</f>
        <v>8</v>
      </c>
      <c r="F18" s="624">
        <v>10</v>
      </c>
      <c r="G18" s="621">
        <f>F18*10</f>
        <v>100</v>
      </c>
      <c r="H18" s="600">
        <f>G18+'[3]20'!H18</f>
        <v>2120</v>
      </c>
      <c r="I18" s="614">
        <f>'[3]1'!I18</f>
        <v>65</v>
      </c>
      <c r="J18" s="693">
        <f>H18/DAY(B2)</f>
        <v>96.36363636363636</v>
      </c>
      <c r="K18" s="527"/>
      <c r="L18" s="421"/>
      <c r="N18" s="426"/>
      <c r="O18" s="426"/>
    </row>
    <row r="19" spans="1:15" ht="27.75">
      <c r="A19" s="1432" t="s">
        <v>71</v>
      </c>
      <c r="B19" s="1433"/>
      <c r="C19" s="1434"/>
      <c r="D19" s="663" t="s">
        <v>155</v>
      </c>
      <c r="E19" s="624">
        <f>'[3]20'!F19</f>
        <v>129243</v>
      </c>
      <c r="F19" s="624">
        <v>129301</v>
      </c>
      <c r="G19" s="613">
        <f t="shared" ref="G19" si="1">F19-E19</f>
        <v>58</v>
      </c>
      <c r="H19" s="600">
        <f>G19+'[3]20'!H19</f>
        <v>1106</v>
      </c>
      <c r="I19" s="629"/>
      <c r="J19" s="693">
        <f>H19/DAY(B2)</f>
        <v>50.272727272727273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158</v>
      </c>
      <c r="H20" s="600">
        <f>G20+'[3]20'!H20</f>
        <v>3226</v>
      </c>
      <c r="I20" s="632">
        <f>I18-J20</f>
        <v>-81.636363636363626</v>
      </c>
      <c r="J20" s="693">
        <f>H20/DAY(B2)</f>
        <v>146.63636363636363</v>
      </c>
      <c r="K20" s="527"/>
      <c r="L20" s="421"/>
      <c r="N20" s="426"/>
      <c r="O20" s="426"/>
    </row>
    <row r="21" spans="1:1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'[3]20'!F22</f>
        <v>2250</v>
      </c>
      <c r="F22" s="624">
        <v>2250</v>
      </c>
      <c r="G22" s="621">
        <f t="shared" ref="G22" si="2">(F22-E22)</f>
        <v>0</v>
      </c>
      <c r="H22" s="600">
        <f>G22+'[3]20'!H22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'[3]20'!F23</f>
        <v>1700</v>
      </c>
      <c r="F23" s="624">
        <v>1700</v>
      </c>
      <c r="G23" s="621">
        <v>0</v>
      </c>
      <c r="H23" s="600">
        <f>G23+'[3]20'!H23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f>'[3]20'!F24</f>
        <v>3310</v>
      </c>
      <c r="F24" s="633">
        <v>3310</v>
      </c>
      <c r="G24" s="621">
        <v>0</v>
      </c>
      <c r="H24" s="600">
        <f>G24+'[3]20'!H24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19510</v>
      </c>
      <c r="F27" s="641">
        <v>9.5</v>
      </c>
      <c r="G27" s="642">
        <f>E27*F27</f>
        <v>185345</v>
      </c>
      <c r="H27" s="600">
        <f>G27+'[3]20'!H27</f>
        <v>3731590.5</v>
      </c>
      <c r="I27" s="643"/>
      <c r="J27" s="693">
        <f>H27/DAY(B2)</f>
        <v>169617.75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733</v>
      </c>
      <c r="F28" s="641">
        <v>36.5</v>
      </c>
      <c r="G28" s="642">
        <f t="shared" ref="G28:G30" si="3">E28*F28</f>
        <v>26754.5</v>
      </c>
      <c r="H28" s="600">
        <f>G28+'[3]20'!H28</f>
        <v>414304.4190000036</v>
      </c>
      <c r="I28" s="645"/>
      <c r="J28" s="693">
        <f>H28/DAY(B2)</f>
        <v>18832.019045454708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3"/>
        <v>0</v>
      </c>
      <c r="H29" s="600">
        <f>G29+'[3]20'!H29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58</v>
      </c>
      <c r="F30" s="641">
        <v>145</v>
      </c>
      <c r="G30" s="642">
        <f t="shared" si="3"/>
        <v>8410</v>
      </c>
      <c r="H30" s="600">
        <f>G30+'[3]20'!H30</f>
        <v>160370</v>
      </c>
      <c r="I30" s="645"/>
      <c r="J30" s="693">
        <f>H30/DAY(B2)</f>
        <v>7289.545454545455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100</v>
      </c>
      <c r="F31" s="641">
        <v>80</v>
      </c>
      <c r="G31" s="642">
        <f>E31*F31</f>
        <v>8000</v>
      </c>
      <c r="H31" s="600">
        <f>G31+'[3]20'!H31</f>
        <v>169600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228509.5</v>
      </c>
      <c r="H32" s="600">
        <f>G32+'[3]20'!H32</f>
        <v>4475864.9190000035</v>
      </c>
      <c r="I32" s="649"/>
      <c r="J32" s="693">
        <f>H32/DAY(B2)</f>
        <v>203448.40540909106</v>
      </c>
      <c r="K32" s="417"/>
      <c r="L32" s="547"/>
      <c r="N32" s="556"/>
      <c r="O32" s="426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'[3]20'!F35</f>
        <v>629027</v>
      </c>
      <c r="F35" s="650">
        <v>629027</v>
      </c>
      <c r="G35" s="613">
        <f t="shared" ref="G35:G46" si="4">F35-E35</f>
        <v>0</v>
      </c>
      <c r="H35" s="600">
        <f>G35+'[3]20'!H35</f>
        <v>25857.530000000028</v>
      </c>
      <c r="I35" s="595"/>
      <c r="J35" s="693">
        <f>H35/DAY(B2)</f>
        <v>1175.3422727272739</v>
      </c>
      <c r="K35" s="527">
        <v>1520.2800000000279</v>
      </c>
      <c r="L35" s="421">
        <f t="shared" ref="L35:L60" si="5">G35-K35</f>
        <v>-1520.2800000000279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'[3]20'!F36</f>
        <v>222882</v>
      </c>
      <c r="F36" s="650">
        <v>223475.65</v>
      </c>
      <c r="G36" s="613">
        <f t="shared" si="4"/>
        <v>593.64999999999418</v>
      </c>
      <c r="H36" s="600">
        <f>G36+'[3]20'!H36</f>
        <v>12115.699999999983</v>
      </c>
      <c r="I36" s="595"/>
      <c r="J36" s="693">
        <f>H36/DAY(B2)</f>
        <v>550.7136363636356</v>
      </c>
      <c r="K36" s="527">
        <v>485.22000000000116</v>
      </c>
      <c r="L36" s="421">
        <f t="shared" si="5"/>
        <v>108.42999999999302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'[3]20'!F37</f>
        <v>415066</v>
      </c>
      <c r="F37" s="650">
        <v>415066</v>
      </c>
      <c r="G37" s="613">
        <f t="shared" si="4"/>
        <v>0</v>
      </c>
      <c r="H37" s="600">
        <f>G37+'[3]20'!H37</f>
        <v>15221.809999999998</v>
      </c>
      <c r="I37" s="595"/>
      <c r="J37" s="693">
        <f>H37/DAY(B2)</f>
        <v>691.90045454545441</v>
      </c>
      <c r="K37" s="527">
        <v>1194.8999999999942</v>
      </c>
      <c r="L37" s="421">
        <f t="shared" si="5"/>
        <v>-1194.8999999999942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'[3]20'!F38</f>
        <v>150714</v>
      </c>
      <c r="F38" s="609">
        <v>150714.38</v>
      </c>
      <c r="G38" s="613">
        <f t="shared" si="4"/>
        <v>0.38000000000465661</v>
      </c>
      <c r="H38" s="600">
        <f>G38+'[3]20'!H38</f>
        <v>0.38000000000465661</v>
      </c>
      <c r="I38" s="595"/>
      <c r="J38" s="693">
        <f>H38/DAY(B2)</f>
        <v>1.7272727272938937E-2</v>
      </c>
      <c r="K38" s="527">
        <v>0</v>
      </c>
      <c r="L38" s="421">
        <f t="shared" si="5"/>
        <v>0.38000000000465661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'[3]20'!F39</f>
        <v>912480</v>
      </c>
      <c r="F39" s="650">
        <v>912480</v>
      </c>
      <c r="G39" s="613">
        <f t="shared" si="4"/>
        <v>0</v>
      </c>
      <c r="H39" s="600">
        <f>G39+'[3]20'!H39</f>
        <v>40355.290000000037</v>
      </c>
      <c r="I39" s="595"/>
      <c r="J39" s="693">
        <f>H39/DAY(B2)</f>
        <v>1834.3313636363653</v>
      </c>
      <c r="K39" s="527">
        <v>2147.359999999986</v>
      </c>
      <c r="L39" s="421">
        <f t="shared" si="5"/>
        <v>-2147.359999999986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'[3]20'!F40</f>
        <v>0</v>
      </c>
      <c r="F40" s="650">
        <v>0</v>
      </c>
      <c r="G40" s="613">
        <f t="shared" si="4"/>
        <v>0</v>
      </c>
      <c r="H40" s="600">
        <f>G40+'[3]20'!H40</f>
        <v>0</v>
      </c>
      <c r="I40" s="595"/>
      <c r="J40" s="693">
        <f>H40/DAY(B2)</f>
        <v>0</v>
      </c>
      <c r="K40" s="528">
        <v>0</v>
      </c>
      <c r="L40" s="421">
        <f t="shared" si="5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300127.95</v>
      </c>
      <c r="F41" s="650">
        <v>300127.95</v>
      </c>
      <c r="G41" s="613">
        <f t="shared" si="4"/>
        <v>0</v>
      </c>
      <c r="H41" s="600">
        <f>G41+'[3]20'!H41</f>
        <v>-1.9999999960418791E-2</v>
      </c>
      <c r="I41" s="595"/>
      <c r="J41" s="693">
        <f>H41/DAY(B2)</f>
        <v>-9.0909090729176319E-4</v>
      </c>
      <c r="K41" s="527">
        <v>0</v>
      </c>
      <c r="L41" s="421">
        <f t="shared" si="5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'[3]20'!F42</f>
        <v>396197.95</v>
      </c>
      <c r="F42" s="650">
        <v>396197.95</v>
      </c>
      <c r="G42" s="613">
        <f t="shared" si="4"/>
        <v>0</v>
      </c>
      <c r="H42" s="600">
        <f>G42+'[3]20'!H42</f>
        <v>0.48000000003958121</v>
      </c>
      <c r="I42" s="595"/>
      <c r="J42" s="693">
        <f>H42/DAY(B2)</f>
        <v>2.1818181819980964E-2</v>
      </c>
      <c r="K42" s="527">
        <v>3228.5699999999997</v>
      </c>
      <c r="L42" s="421">
        <f t="shared" si="5"/>
        <v>-3228.5699999999997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'[3]20'!F43</f>
        <v>606076.03</v>
      </c>
      <c r="F43" s="650">
        <v>608616.94999999995</v>
      </c>
      <c r="G43" s="613">
        <f t="shared" si="4"/>
        <v>2540.9199999999255</v>
      </c>
      <c r="H43" s="600">
        <f>G43+'[3]20'!H43</f>
        <v>50292.880000000005</v>
      </c>
      <c r="I43" s="595"/>
      <c r="J43" s="693">
        <f>H43/DAY(B2)</f>
        <v>2286.0400000000004</v>
      </c>
      <c r="K43" s="527">
        <v>1595.679999999993</v>
      </c>
      <c r="L43" s="421">
        <f t="shared" si="5"/>
        <v>945.23999999993248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'[3]20'!F44</f>
        <v>0</v>
      </c>
      <c r="F44" s="650">
        <v>0</v>
      </c>
      <c r="G44" s="613">
        <f t="shared" si="4"/>
        <v>0</v>
      </c>
      <c r="H44" s="600">
        <f>G44+'[3]20'!H44</f>
        <v>0</v>
      </c>
      <c r="I44" s="595"/>
      <c r="J44" s="693">
        <f>H44/DAY(B2)</f>
        <v>0</v>
      </c>
      <c r="K44" s="527">
        <v>0</v>
      </c>
      <c r="L44" s="421">
        <f t="shared" si="5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'[3]20'!F45</f>
        <v>614</v>
      </c>
      <c r="F45" s="650">
        <v>614</v>
      </c>
      <c r="G45" s="613">
        <f t="shared" si="4"/>
        <v>0</v>
      </c>
      <c r="H45" s="600">
        <f>G45+'[3]20'!H45</f>
        <v>-0.48000000000001819</v>
      </c>
      <c r="I45" s="595"/>
      <c r="J45" s="693">
        <f>H45/DAY(B2)</f>
        <v>-2.1818181818182646E-2</v>
      </c>
      <c r="K45" s="527">
        <v>0</v>
      </c>
      <c r="L45" s="421">
        <f t="shared" si="5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'[3]20'!F46</f>
        <v>187.44</v>
      </c>
      <c r="F46" s="650">
        <v>187.44</v>
      </c>
      <c r="G46" s="613">
        <f t="shared" si="4"/>
        <v>0</v>
      </c>
      <c r="H46" s="600">
        <f>G46+'[3]20'!H46</f>
        <v>-5.0000000000011369E-2</v>
      </c>
      <c r="I46" s="595"/>
      <c r="J46" s="693">
        <f>H46/DAY(B2)</f>
        <v>-2.2727272727277896E-3</v>
      </c>
      <c r="K46" s="527">
        <v>5.0000000000011369E-2</v>
      </c>
      <c r="L46" s="421">
        <f t="shared" si="5"/>
        <v>-5.0000000000011369E-2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3134.9499999999243</v>
      </c>
      <c r="H47" s="600">
        <f>G47+'[3]20'!H47</f>
        <v>143843.52000000016</v>
      </c>
      <c r="I47" s="595"/>
      <c r="J47" s="693">
        <f>H47/DAY(B2)</f>
        <v>6538.3418181818261</v>
      </c>
      <c r="K47" s="527">
        <v>10172.060000000001</v>
      </c>
      <c r="L47" s="421">
        <f t="shared" si="5"/>
        <v>-7037.110000000077</v>
      </c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>
        <f t="shared" si="5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'[3]20'!F49</f>
        <v>36135.300000000003</v>
      </c>
      <c r="F49" s="650">
        <v>38638.22</v>
      </c>
      <c r="G49" s="613">
        <f t="shared" ref="G49:G58" si="6">F49-E49</f>
        <v>2502.9199999999983</v>
      </c>
      <c r="H49" s="600">
        <f>G49+'[3]20'!H49</f>
        <v>26908.932000000001</v>
      </c>
      <c r="I49" s="595"/>
      <c r="J49" s="693">
        <f>H49/DAY(B2)</f>
        <v>1223.1332727272727</v>
      </c>
      <c r="K49" s="527">
        <v>0</v>
      </c>
      <c r="L49" s="421">
        <f t="shared" si="5"/>
        <v>2502.9199999999983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'[3]20'!F50</f>
        <v>284368.01</v>
      </c>
      <c r="F50" s="650">
        <v>285412.21000000002</v>
      </c>
      <c r="G50" s="613">
        <f>F50-E50</f>
        <v>1044.2000000000116</v>
      </c>
      <c r="H50" s="600">
        <f>G50+'[3]20'!H50</f>
        <v>19353.270000000019</v>
      </c>
      <c r="I50" s="595"/>
      <c r="J50" s="693">
        <f>H50/DAY(B2)</f>
        <v>879.69409090909176</v>
      </c>
      <c r="K50" s="527">
        <v>700.86999999999534</v>
      </c>
      <c r="L50" s="421">
        <f t="shared" si="5"/>
        <v>343.3300000000163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'[3]20'!F51</f>
        <v>5072.74</v>
      </c>
      <c r="F51" s="650">
        <v>6533.61</v>
      </c>
      <c r="G51" s="613">
        <f t="shared" si="6"/>
        <v>1460.87</v>
      </c>
      <c r="H51" s="600">
        <f>G51+'[3]20'!H51</f>
        <v>14508.661900000003</v>
      </c>
      <c r="I51" s="595"/>
      <c r="J51" s="693">
        <f>H51/DAY(B2)</f>
        <v>659.48463181818192</v>
      </c>
      <c r="K51" s="527">
        <v>0</v>
      </c>
      <c r="L51" s="421">
        <f t="shared" si="5"/>
        <v>1460.87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'[3]20'!F52</f>
        <v>353447.47</v>
      </c>
      <c r="F52" s="650">
        <v>355224.35</v>
      </c>
      <c r="G52" s="613">
        <f t="shared" si="6"/>
        <v>1776.8800000000047</v>
      </c>
      <c r="H52" s="600">
        <f>G52+'[3]20'!H52</f>
        <v>32934.929999999993</v>
      </c>
      <c r="I52" s="595"/>
      <c r="J52" s="693">
        <f>H52/DAY(B2)</f>
        <v>1497.0422727272723</v>
      </c>
      <c r="K52" s="527">
        <v>985.97999999998137</v>
      </c>
      <c r="L52" s="421">
        <f t="shared" si="5"/>
        <v>790.90000000002328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'[3]20'!F53</f>
        <v>4149.8999999999996</v>
      </c>
      <c r="F53" s="650">
        <v>8141.95</v>
      </c>
      <c r="G53" s="613">
        <f t="shared" si="6"/>
        <v>3992.05</v>
      </c>
      <c r="H53" s="600">
        <f>G53+'[3]20'!H53</f>
        <v>19022.95</v>
      </c>
      <c r="I53" s="595"/>
      <c r="J53" s="693">
        <f>H53/DAY(B2)</f>
        <v>864.67954545454552</v>
      </c>
      <c r="K53" s="527">
        <v>107.60000000000036</v>
      </c>
      <c r="L53" s="421">
        <f t="shared" si="5"/>
        <v>3884.45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'[3]20'!F54</f>
        <v>2648.98</v>
      </c>
      <c r="F54" s="650">
        <v>2661.45</v>
      </c>
      <c r="G54" s="613">
        <f t="shared" si="6"/>
        <v>12.4699999999998</v>
      </c>
      <c r="H54" s="600">
        <f>G54+'[3]20'!H54</f>
        <v>1108.8892999999998</v>
      </c>
      <c r="I54" s="595"/>
      <c r="J54" s="693">
        <f>H54/DAY(B2)</f>
        <v>50.40405909090908</v>
      </c>
      <c r="K54" s="527">
        <v>0</v>
      </c>
      <c r="L54" s="421">
        <f t="shared" si="5"/>
        <v>12.4699999999998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'[3]20'!F55</f>
        <v>158492.73000000001</v>
      </c>
      <c r="F55" s="650">
        <v>158492.73000000001</v>
      </c>
      <c r="G55" s="613">
        <f t="shared" si="6"/>
        <v>0</v>
      </c>
      <c r="H55" s="600">
        <f>G55+'[3]20'!H55</f>
        <v>-0.26999999998952262</v>
      </c>
      <c r="I55" s="595"/>
      <c r="J55" s="693">
        <f>H55/DAY(B2)</f>
        <v>-1.2272727272251028E-2</v>
      </c>
      <c r="K55" s="527">
        <v>0</v>
      </c>
      <c r="L55" s="421">
        <f t="shared" si="5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'[3]20'!F56</f>
        <v>391750.55</v>
      </c>
      <c r="F56" s="650">
        <v>396439.27</v>
      </c>
      <c r="G56" s="613">
        <f t="shared" si="6"/>
        <v>4688.7200000000303</v>
      </c>
      <c r="H56" s="600">
        <f>G56+'[3]20'!H56</f>
        <v>84394.790000000037</v>
      </c>
      <c r="I56" s="595"/>
      <c r="J56" s="693">
        <f>H56/DAY(B2)</f>
        <v>3836.12681818182</v>
      </c>
      <c r="K56" s="526">
        <v>0</v>
      </c>
      <c r="L56" s="421">
        <f t="shared" si="5"/>
        <v>4688.7200000000303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'[3]20'!F57</f>
        <v>0</v>
      </c>
      <c r="F57" s="650">
        <v>0</v>
      </c>
      <c r="G57" s="613">
        <f t="shared" si="6"/>
        <v>0</v>
      </c>
      <c r="H57" s="600">
        <f>G57+'[3]20'!H57</f>
        <v>0</v>
      </c>
      <c r="I57" s="595"/>
      <c r="J57" s="693">
        <f>H57/DAY(B2)</f>
        <v>0</v>
      </c>
      <c r="K57" s="527">
        <v>0</v>
      </c>
      <c r="L57" s="421">
        <f t="shared" si="5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'[3]20'!F58</f>
        <v>19157.09</v>
      </c>
      <c r="F58" s="650">
        <v>19306.349999999999</v>
      </c>
      <c r="G58" s="613">
        <f t="shared" si="6"/>
        <v>149.2599999999984</v>
      </c>
      <c r="H58" s="600">
        <f>G58+'[3]20'!H58</f>
        <v>1537.0539999999964</v>
      </c>
      <c r="I58" s="595"/>
      <c r="J58" s="693">
        <f>H58/DAY(B2)</f>
        <v>69.866090909090744</v>
      </c>
      <c r="K58" s="527">
        <v>0</v>
      </c>
      <c r="L58" s="421">
        <f t="shared" si="5"/>
        <v>149.2599999999984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15627.370000000043</v>
      </c>
      <c r="H59" s="600">
        <f>G59+'[3]20'!H59</f>
        <v>199769.20720000006</v>
      </c>
      <c r="I59" s="595">
        <f>G7-G60</f>
        <v>524.68000000003303</v>
      </c>
      <c r="J59" s="693">
        <f>H59/DAY(B2)</f>
        <v>9080.4185090909123</v>
      </c>
      <c r="K59" s="527">
        <v>1794.4499999999771</v>
      </c>
      <c r="L59" s="421">
        <f t="shared" si="5"/>
        <v>13832.920000000066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18762.319999999967</v>
      </c>
      <c r="H60" s="600">
        <f>G60+'[3]20'!H60</f>
        <v>357998.88790000015</v>
      </c>
      <c r="I60" s="595">
        <f>G13-G60</f>
        <v>-182.90999999996347</v>
      </c>
      <c r="J60" s="693">
        <f>H60/DAY(B2)</f>
        <v>16272.676722727279</v>
      </c>
      <c r="K60" s="527">
        <v>11966.509999999978</v>
      </c>
      <c r="L60" s="421">
        <f t="shared" si="5"/>
        <v>6795.8099999999886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'[3]20'!F62</f>
        <v>20419.2</v>
      </c>
      <c r="F62" s="654">
        <v>20419.2</v>
      </c>
      <c r="G62" s="613">
        <f t="shared" ref="G62:G69" si="7">F62-E62</f>
        <v>0</v>
      </c>
      <c r="H62" s="600">
        <f>G62+'[3]20'!H62</f>
        <v>-0.17799999999624561</v>
      </c>
      <c r="I62" s="655"/>
      <c r="J62" s="693">
        <f>H62/DAY(B2)</f>
        <v>-8.0909090907384362E-3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'[3]20'!F63</f>
        <v>689.02</v>
      </c>
      <c r="F63" s="654">
        <v>707.22</v>
      </c>
      <c r="G63" s="613">
        <f t="shared" si="7"/>
        <v>18.200000000000045</v>
      </c>
      <c r="H63" s="600">
        <f>G63+'[3]20'!H63</f>
        <v>408.76000000000005</v>
      </c>
      <c r="I63" s="655"/>
      <c r="J63" s="693">
        <f>H63/DAY(B2)</f>
        <v>18.580000000000002</v>
      </c>
      <c r="K63" s="527"/>
      <c r="L63" s="421"/>
      <c r="N63" s="426"/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624">
        <f>'[3]20'!F64</f>
        <v>83110.39</v>
      </c>
      <c r="F64" s="624">
        <v>83472.91</v>
      </c>
      <c r="G64" s="613">
        <f t="shared" si="7"/>
        <v>362.52000000000407</v>
      </c>
      <c r="H64" s="600">
        <f>G64+'[3]20'!H64</f>
        <v>7409.823000000004</v>
      </c>
      <c r="I64" s="620"/>
      <c r="J64" s="693">
        <f>H64/DAY(B2)</f>
        <v>336.81013636363656</v>
      </c>
      <c r="K64" s="527"/>
      <c r="L64" s="421"/>
      <c r="N64" s="426"/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624">
        <f>'[3]20'!F65</f>
        <v>92779.35</v>
      </c>
      <c r="F65" s="624">
        <v>93154.87</v>
      </c>
      <c r="G65" s="613">
        <f t="shared" si="7"/>
        <v>375.51999999998952</v>
      </c>
      <c r="H65" s="600">
        <f>G65+'[3]20'!H65</f>
        <v>7995.6069999999891</v>
      </c>
      <c r="I65" s="629"/>
      <c r="J65" s="693">
        <f>H65/DAY(B2)</f>
        <v>363.43668181818134</v>
      </c>
      <c r="K65" s="527"/>
      <c r="L65" s="421"/>
      <c r="N65" s="426"/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624">
        <f>'[3]20'!F66</f>
        <v>85958.76</v>
      </c>
      <c r="F66" s="624">
        <v>86367.83</v>
      </c>
      <c r="G66" s="613">
        <f t="shared" si="7"/>
        <v>409.07000000000698</v>
      </c>
      <c r="H66" s="600">
        <f>G66+'[3]20'!H66</f>
        <v>8179.872000000003</v>
      </c>
      <c r="I66" s="620"/>
      <c r="J66" s="693">
        <f>H66/DAY(B2)</f>
        <v>371.81236363636378</v>
      </c>
      <c r="K66" s="527"/>
      <c r="L66" s="421"/>
      <c r="N66" s="426"/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624">
        <f>'[3]20'!F67</f>
        <v>138948.75</v>
      </c>
      <c r="F67" s="624">
        <v>139625.19</v>
      </c>
      <c r="G67" s="613">
        <f t="shared" si="7"/>
        <v>676.44000000000233</v>
      </c>
      <c r="H67" s="600">
        <f>G67+'[3]20'!H67</f>
        <v>13568.690000000002</v>
      </c>
      <c r="I67" s="629"/>
      <c r="J67" s="693">
        <f>H67/DAY(B2)</f>
        <v>616.75863636363647</v>
      </c>
      <c r="K67" s="528"/>
      <c r="L67" s="421"/>
      <c r="N67" s="426"/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624">
        <f>'[3]20'!F68</f>
        <v>39708.44</v>
      </c>
      <c r="F68" s="624">
        <v>40004.76</v>
      </c>
      <c r="G68" s="613">
        <f t="shared" si="7"/>
        <v>296.31999999999971</v>
      </c>
      <c r="H68" s="600">
        <f>G68+'[3]20'!H68</f>
        <v>6604.8910000000033</v>
      </c>
      <c r="I68" s="656"/>
      <c r="J68" s="693">
        <f>H68/DAY(B2)</f>
        <v>300.22231818181831</v>
      </c>
      <c r="K68" s="529"/>
      <c r="L68" s="421"/>
      <c r="N68" s="426"/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624">
        <f>'[3]20'!F69</f>
        <v>34670</v>
      </c>
      <c r="F69" s="624">
        <v>34964.14</v>
      </c>
      <c r="G69" s="613">
        <f t="shared" si="7"/>
        <v>294.13999999999942</v>
      </c>
      <c r="H69" s="600">
        <f>G69+'[3]20'!H69</f>
        <v>5711.7749999999978</v>
      </c>
      <c r="I69" s="656"/>
      <c r="J69" s="693">
        <f>H69/DAY(B2)</f>
        <v>259.62613636363625</v>
      </c>
      <c r="K69" s="530"/>
      <c r="L69" s="421"/>
      <c r="N69" s="426"/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>
        <f>G70+'[3]20'!H70</f>
        <v>0</v>
      </c>
      <c r="I70" s="658"/>
      <c r="J70" s="697"/>
      <c r="K70" s="530"/>
      <c r="L70" s="421"/>
      <c r="N70" s="426"/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659">
        <f>'[3]20'!F72</f>
        <v>844094</v>
      </c>
      <c r="F72" s="659">
        <v>844104</v>
      </c>
      <c r="G72" s="613">
        <f t="shared" ref="G72:G84" si="8">F72-E72</f>
        <v>10</v>
      </c>
      <c r="H72" s="600">
        <f>G72+'[3]20'!H72</f>
        <v>162</v>
      </c>
      <c r="I72" s="620"/>
      <c r="J72" s="693">
        <f>H72/DAY(B2)</f>
        <v>7.3636363636363633</v>
      </c>
      <c r="K72" s="530"/>
      <c r="L72" s="421"/>
      <c r="N72" s="426"/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660">
        <f>'[3]20'!F73</f>
        <v>885292</v>
      </c>
      <c r="F73" s="660">
        <v>885298</v>
      </c>
      <c r="G73" s="613">
        <f t="shared" si="8"/>
        <v>6</v>
      </c>
      <c r="H73" s="600">
        <f>G73+'[3]20'!H73</f>
        <v>170</v>
      </c>
      <c r="I73" s="620"/>
      <c r="J73" s="693">
        <f>H73/DAY(B2)</f>
        <v>7.7272727272727275</v>
      </c>
      <c r="K73" s="529"/>
      <c r="L73" s="421"/>
      <c r="N73" s="426"/>
      <c r="O73" s="426"/>
    </row>
    <row r="74" spans="1:15" ht="27.75">
      <c r="A74" s="1571" t="s">
        <v>204</v>
      </c>
      <c r="B74" s="1572"/>
      <c r="C74" s="1573"/>
      <c r="D74" s="663" t="s">
        <v>198</v>
      </c>
      <c r="E74" s="661">
        <f>'[3]20'!F74</f>
        <v>880000</v>
      </c>
      <c r="F74" s="661">
        <v>880032</v>
      </c>
      <c r="G74" s="613">
        <f t="shared" si="8"/>
        <v>32</v>
      </c>
      <c r="H74" s="600">
        <f>G74+'[3]20'!H74</f>
        <v>396</v>
      </c>
      <c r="I74" s="620"/>
      <c r="J74" s="693">
        <f>H74/DAY(B2)</f>
        <v>18</v>
      </c>
      <c r="K74" s="530"/>
      <c r="L74" s="421"/>
      <c r="N74" s="426"/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661">
        <f>'[3]20'!F75</f>
        <v>724541</v>
      </c>
      <c r="F75" s="661">
        <v>724690</v>
      </c>
      <c r="G75" s="613">
        <f t="shared" si="8"/>
        <v>149</v>
      </c>
      <c r="H75" s="600">
        <f>G75+'[3]20'!H75</f>
        <v>3324</v>
      </c>
      <c r="I75" s="620"/>
      <c r="J75" s="693">
        <f>H75/DAY(B2)</f>
        <v>151.09090909090909</v>
      </c>
      <c r="K75" s="529"/>
      <c r="L75" s="421"/>
      <c r="N75" s="426"/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660">
        <f>'[3]20'!F76</f>
        <v>680984</v>
      </c>
      <c r="F76" s="792">
        <v>681057</v>
      </c>
      <c r="G76" s="613">
        <f t="shared" si="8"/>
        <v>73</v>
      </c>
      <c r="H76" s="600">
        <f>G76+'[3]20'!H76</f>
        <v>2587</v>
      </c>
      <c r="I76" s="645"/>
      <c r="J76" s="693">
        <f>H76/DAY(B2)</f>
        <v>117.59090909090909</v>
      </c>
      <c r="K76" s="529"/>
      <c r="L76" s="421"/>
      <c r="N76" s="426"/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661">
        <f>'[3]20'!F77</f>
        <v>693231</v>
      </c>
      <c r="F77" s="661">
        <v>693278</v>
      </c>
      <c r="G77" s="613">
        <f t="shared" si="8"/>
        <v>47</v>
      </c>
      <c r="H77" s="600">
        <f>G77+'[3]20'!H77</f>
        <v>971</v>
      </c>
      <c r="I77" s="645"/>
      <c r="J77" s="693">
        <f>H77/DAY(B2)</f>
        <v>44.136363636363633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'[3]20'!F78</f>
        <v>614421</v>
      </c>
      <c r="F78" s="661">
        <v>614766</v>
      </c>
      <c r="G78" s="613">
        <f t="shared" si="8"/>
        <v>345</v>
      </c>
      <c r="H78" s="600">
        <f>G78+'[3]20'!H78</f>
        <v>6752</v>
      </c>
      <c r="I78" s="645"/>
      <c r="J78" s="693">
        <f>H78/DAY(B2)</f>
        <v>306.90909090909093</v>
      </c>
      <c r="K78" s="529"/>
      <c r="L78" s="421"/>
      <c r="N78" s="426"/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661">
        <f>'[3]20'!F79</f>
        <v>796096</v>
      </c>
      <c r="F79" s="661">
        <v>796272</v>
      </c>
      <c r="G79" s="613">
        <f t="shared" si="8"/>
        <v>176</v>
      </c>
      <c r="H79" s="600">
        <f>G79+'[3]20'!H79</f>
        <v>5457</v>
      </c>
      <c r="I79" s="645"/>
      <c r="J79" s="693">
        <f>H79/DAY(B2)</f>
        <v>248.04545454545453</v>
      </c>
      <c r="K79" s="529"/>
      <c r="L79" s="421"/>
      <c r="N79" s="426"/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660">
        <f>'[3]20'!F80</f>
        <v>462507</v>
      </c>
      <c r="F80" s="660">
        <v>462814</v>
      </c>
      <c r="G80" s="613">
        <f t="shared" si="8"/>
        <v>307</v>
      </c>
      <c r="H80" s="600">
        <f>G80+'[3]20'!H80</f>
        <v>4377.1199999999953</v>
      </c>
      <c r="I80" s="645"/>
      <c r="J80" s="693">
        <f>H80/DAY(B2)</f>
        <v>198.95999999999978</v>
      </c>
      <c r="K80" s="529"/>
      <c r="L80" s="421"/>
      <c r="N80" s="426"/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'[3]20'!F81</f>
        <v>613085</v>
      </c>
      <c r="F81" s="660">
        <v>613218</v>
      </c>
      <c r="G81" s="613">
        <f t="shared" si="8"/>
        <v>133</v>
      </c>
      <c r="H81" s="600">
        <f>G81+'[3]20'!H81</f>
        <v>2095.7199999999721</v>
      </c>
      <c r="I81" s="645"/>
      <c r="J81" s="693">
        <f>H81/DAY(B2)</f>
        <v>95.259999999998726</v>
      </c>
      <c r="K81" s="529"/>
      <c r="L81" s="421"/>
      <c r="N81" s="426"/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'[3]20'!F82</f>
        <v>103348</v>
      </c>
      <c r="F82" s="662">
        <v>103374</v>
      </c>
      <c r="G82" s="613">
        <f t="shared" si="8"/>
        <v>26</v>
      </c>
      <c r="H82" s="600">
        <f>G82+'[3]20'!H82</f>
        <v>344.05000000000291</v>
      </c>
      <c r="I82" s="626"/>
      <c r="J82" s="693">
        <f>H82/DAY(B2)</f>
        <v>15.638636363636495</v>
      </c>
      <c r="K82" s="529"/>
      <c r="L82" s="421"/>
      <c r="N82" s="426"/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'[3]20'!F83</f>
        <v>959177</v>
      </c>
      <c r="F83" s="651">
        <v>959516</v>
      </c>
      <c r="G83" s="613">
        <f t="shared" si="8"/>
        <v>339</v>
      </c>
      <c r="H83" s="600">
        <f>G83+'[3]20'!H83</f>
        <v>7273</v>
      </c>
      <c r="I83" s="621"/>
      <c r="J83" s="693">
        <f>H83/DAY(B2)</f>
        <v>330.59090909090907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'[3]20'!F84</f>
        <v>376481</v>
      </c>
      <c r="F84" s="768">
        <v>376966</v>
      </c>
      <c r="G84" s="613">
        <f t="shared" si="8"/>
        <v>485</v>
      </c>
      <c r="H84" s="600">
        <f>G84+'[3]20'!H84</f>
        <v>10533</v>
      </c>
      <c r="I84" s="621"/>
      <c r="J84" s="693">
        <f>H84/DAY(B2)</f>
        <v>478.77272727272725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2128</v>
      </c>
      <c r="H85" s="600">
        <f>G85+'[3]20'!H85</f>
        <v>41115.989999999991</v>
      </c>
      <c r="I85" s="621"/>
      <c r="J85" s="693">
        <f>H85/DAY(B2)</f>
        <v>1868.9086363636359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'[3]20'!F86</f>
        <v>439076</v>
      </c>
      <c r="F86" s="784">
        <v>439182</v>
      </c>
      <c r="G86" s="861">
        <f t="shared" ref="G86:G90" si="9">F86-E86</f>
        <v>106</v>
      </c>
      <c r="H86" s="861">
        <f t="shared" ref="H86:H88" si="10">G86</f>
        <v>106</v>
      </c>
      <c r="I86" s="789"/>
      <c r="J86" s="863">
        <f>H86/DAY(B2)</f>
        <v>4.8181818181818183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'[3]20'!F87</f>
        <v>76614</v>
      </c>
      <c r="F87" s="784">
        <v>76638</v>
      </c>
      <c r="G87" s="861">
        <f t="shared" si="9"/>
        <v>24</v>
      </c>
      <c r="H87" s="861">
        <f t="shared" si="10"/>
        <v>24</v>
      </c>
      <c r="I87" s="789"/>
      <c r="J87" s="863">
        <f>H87/DAY(B2)</f>
        <v>1.0909090909090908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'[3]20'!F88</f>
        <v>141390</v>
      </c>
      <c r="F88" s="784">
        <v>141551</v>
      </c>
      <c r="G88" s="861">
        <f t="shared" si="9"/>
        <v>161</v>
      </c>
      <c r="H88" s="861">
        <f t="shared" si="10"/>
        <v>161</v>
      </c>
      <c r="I88" s="789"/>
      <c r="J88" s="863">
        <f>H88/DAY(B2)</f>
        <v>7.3181818181818183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'[3]20'!F89</f>
        <v>55152</v>
      </c>
      <c r="F89" s="784">
        <v>55208.7</v>
      </c>
      <c r="G89" s="861">
        <f t="shared" si="9"/>
        <v>56.69999999999709</v>
      </c>
      <c r="H89" s="861">
        <f>G89</f>
        <v>56.69999999999709</v>
      </c>
      <c r="I89" s="789"/>
      <c r="J89" s="863">
        <f>H89/DAY(B2)</f>
        <v>2.5772727272725948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'[3]20'!F90</f>
        <v>2849</v>
      </c>
      <c r="F90" s="784">
        <v>2852.9</v>
      </c>
      <c r="G90" s="861">
        <f t="shared" si="9"/>
        <v>3.9000000000000909</v>
      </c>
      <c r="H90" s="861">
        <f>G90</f>
        <v>3.9000000000000909</v>
      </c>
      <c r="I90" s="789"/>
      <c r="J90" s="863">
        <f>H90/DAY(B2)</f>
        <v>0.17727272727273141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'[3]20'!F92</f>
        <v>230165</v>
      </c>
      <c r="F92" s="624">
        <v>230238</v>
      </c>
      <c r="G92" s="613">
        <f t="shared" ref="G92:G93" si="11">F92-E92</f>
        <v>73</v>
      </c>
      <c r="H92" s="600">
        <f>G92+'[3]20'!H92</f>
        <v>1643</v>
      </c>
      <c r="I92" s="620"/>
      <c r="J92" s="693">
        <f>H92/DAY(B2)</f>
        <v>74.681818181818187</v>
      </c>
      <c r="K92" s="528"/>
      <c r="L92" s="421"/>
      <c r="N92" s="426"/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'[3]20'!F93</f>
        <v>161344</v>
      </c>
      <c r="F93" s="624">
        <v>161476</v>
      </c>
      <c r="G93" s="613">
        <f t="shared" si="11"/>
        <v>132</v>
      </c>
      <c r="H93" s="600">
        <f>G93+'[3]20'!H93</f>
        <v>2953</v>
      </c>
      <c r="I93" s="620"/>
      <c r="J93" s="693">
        <f>H93/DAY(B2)</f>
        <v>134.22727272727272</v>
      </c>
      <c r="K93" s="424"/>
      <c r="L93" s="421"/>
      <c r="N93" s="426"/>
      <c r="O93" s="426"/>
    </row>
    <row r="94" spans="1:15">
      <c r="A94" s="1460" t="s">
        <v>219</v>
      </c>
      <c r="B94" s="1461"/>
      <c r="C94" s="1462"/>
      <c r="D94" s="663"/>
      <c r="E94" s="624">
        <f>'[3]20'!F94</f>
        <v>0</v>
      </c>
      <c r="F94" s="624"/>
      <c r="G94" s="613">
        <f>G92+G93</f>
        <v>205</v>
      </c>
      <c r="H94" s="600">
        <f>G94+'[3]20'!H94</f>
        <v>4306</v>
      </c>
      <c r="I94" s="620"/>
      <c r="J94" s="693">
        <f>H94/DAY(B2)</f>
        <v>195.72727272727272</v>
      </c>
      <c r="K94" s="424"/>
      <c r="L94" s="421"/>
      <c r="N94" s="426"/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'[3]20'!F95</f>
        <v>400952</v>
      </c>
      <c r="F95" s="624">
        <v>401019</v>
      </c>
      <c r="G95" s="613">
        <f t="shared" ref="G95:G100" si="12">F95-E95</f>
        <v>67</v>
      </c>
      <c r="H95" s="600">
        <f>G95+'[3]20'!H95</f>
        <v>1172</v>
      </c>
      <c r="I95" s="620"/>
      <c r="J95" s="693">
        <f>H95/DAY(B2)</f>
        <v>53.272727272727273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'[3]20'!F96</f>
        <v>98832</v>
      </c>
      <c r="F96" s="624">
        <v>98860</v>
      </c>
      <c r="G96" s="613">
        <f t="shared" si="12"/>
        <v>28</v>
      </c>
      <c r="H96" s="600">
        <f>G96+'[3]20'!H96</f>
        <v>851</v>
      </c>
      <c r="I96" s="620"/>
      <c r="J96" s="693">
        <f>H96/DAY(B2)</f>
        <v>38.68181818181818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'[3]20'!F97</f>
        <v>93983</v>
      </c>
      <c r="F97" s="624">
        <v>94013</v>
      </c>
      <c r="G97" s="613">
        <f t="shared" si="12"/>
        <v>30</v>
      </c>
      <c r="H97" s="600">
        <f>G97+'[3]20'!H97</f>
        <v>462</v>
      </c>
      <c r="I97" s="620"/>
      <c r="J97" s="693">
        <f>H97/DAY(B2)</f>
        <v>21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'[3]20'!F98</f>
        <v>141725</v>
      </c>
      <c r="F98" s="624">
        <v>141768</v>
      </c>
      <c r="G98" s="613">
        <f t="shared" si="12"/>
        <v>43</v>
      </c>
      <c r="H98" s="600">
        <f>G98+'[3]20'!H98</f>
        <v>863</v>
      </c>
      <c r="I98" s="620"/>
      <c r="J98" s="693">
        <f>H98/DAY(B2)</f>
        <v>39.227272727272727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'[3]20'!F99</f>
        <v>4871</v>
      </c>
      <c r="F99" s="624">
        <v>4878</v>
      </c>
      <c r="G99" s="613">
        <f t="shared" si="12"/>
        <v>7</v>
      </c>
      <c r="H99" s="600">
        <f>G99+'[3]20'!H99</f>
        <v>170</v>
      </c>
      <c r="I99" s="620"/>
      <c r="J99" s="693">
        <f>H99/DAY(B2)</f>
        <v>7.7272727272727275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'[3]20'!F100</f>
        <v>3674</v>
      </c>
      <c r="F100" s="624">
        <v>3674</v>
      </c>
      <c r="G100" s="613">
        <f t="shared" si="12"/>
        <v>0</v>
      </c>
      <c r="H100" s="600">
        <f>G100+'[3]20'!H100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460" t="s">
        <v>227</v>
      </c>
      <c r="B101" s="1461"/>
      <c r="C101" s="1462"/>
      <c r="D101" s="664"/>
      <c r="E101" s="664"/>
      <c r="F101" s="664"/>
      <c r="G101" s="665">
        <f>SUM(G95:G100)</f>
        <v>175</v>
      </c>
      <c r="H101" s="600">
        <f>G101+'[3]20'!H101</f>
        <v>3518</v>
      </c>
      <c r="I101" s="666"/>
      <c r="J101" s="693">
        <f>H101/DAY(B2)</f>
        <v>159.90909090909091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21" t="s">
        <v>230</v>
      </c>
      <c r="B104" s="1422"/>
      <c r="C104" s="1380"/>
      <c r="D104" s="763" t="s">
        <v>155</v>
      </c>
      <c r="E104" s="672">
        <f>'[3]20'!F104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2.7272727272727271</v>
      </c>
      <c r="N104" s="556"/>
      <c r="O104" s="426"/>
    </row>
    <row r="105" spans="1:15" s="544" customFormat="1" ht="27.75">
      <c r="A105" s="1421" t="s">
        <v>77</v>
      </c>
      <c r="B105" s="1422"/>
      <c r="C105" s="1380"/>
      <c r="D105" s="763" t="s">
        <v>155</v>
      </c>
      <c r="E105" s="674">
        <f>'[3]20'!F105</f>
        <v>34610</v>
      </c>
      <c r="F105" s="674">
        <v>34618</v>
      </c>
      <c r="G105" s="672">
        <f t="shared" ref="G105:G106" si="13">F105-E105</f>
        <v>8</v>
      </c>
      <c r="H105" s="673">
        <f>SUM(G105+'[3]1'!G77)</f>
        <v>78</v>
      </c>
      <c r="I105" s="672"/>
      <c r="J105" s="699">
        <f>H105/DAY(B2)</f>
        <v>3.5454545454545454</v>
      </c>
      <c r="N105" s="556"/>
      <c r="O105" s="426"/>
    </row>
    <row r="106" spans="1:15" s="544" customFormat="1" ht="27.75">
      <c r="A106" s="1421" t="s">
        <v>78</v>
      </c>
      <c r="B106" s="1465"/>
      <c r="C106" s="1422"/>
      <c r="D106" s="763" t="s">
        <v>155</v>
      </c>
      <c r="E106" s="672">
        <f>'[3]20'!F106</f>
        <v>18697</v>
      </c>
      <c r="F106" s="672">
        <v>18703</v>
      </c>
      <c r="G106" s="672">
        <f t="shared" si="13"/>
        <v>6</v>
      </c>
      <c r="H106" s="673">
        <f>SUM(G106+'[3]1'!G78)</f>
        <v>335</v>
      </c>
      <c r="I106" s="672"/>
      <c r="J106" s="699">
        <f>H106/DAY(B2)</f>
        <v>15.227272727272727</v>
      </c>
      <c r="N106" s="556"/>
      <c r="O106" s="426"/>
    </row>
    <row r="107" spans="1:15" s="544" customFormat="1" ht="27.75">
      <c r="A107" s="1423" t="s">
        <v>213</v>
      </c>
      <c r="B107" s="1424"/>
      <c r="C107" s="1380"/>
      <c r="D107" s="763"/>
      <c r="E107" s="672">
        <f>'[3]20'!F107</f>
        <v>0</v>
      </c>
      <c r="F107" s="672"/>
      <c r="G107" s="672">
        <f>SUM(G104:G106)</f>
        <v>14</v>
      </c>
      <c r="H107" s="673">
        <f>SUM(G107+'[3]1'!G79)</f>
        <v>174</v>
      </c>
      <c r="I107" s="672"/>
      <c r="J107" s="699">
        <f>H107/DAY(B2)</f>
        <v>7.9090909090909092</v>
      </c>
      <c r="N107" s="556"/>
      <c r="O107" s="426"/>
    </row>
    <row r="108" spans="1:15" s="544" customFormat="1" ht="27.75">
      <c r="A108" s="1427" t="s">
        <v>79</v>
      </c>
      <c r="B108" s="1428"/>
      <c r="C108" s="1380"/>
      <c r="D108" s="763" t="s">
        <v>155</v>
      </c>
      <c r="E108" s="672">
        <f>'[3]20'!F108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21" t="s">
        <v>231</v>
      </c>
      <c r="B109" s="1422"/>
      <c r="C109" s="1380"/>
      <c r="D109" s="763" t="s">
        <v>155</v>
      </c>
      <c r="E109" s="672">
        <f>'[3]20'!F109</f>
        <v>50773</v>
      </c>
      <c r="F109" s="672">
        <v>50828</v>
      </c>
      <c r="G109" s="672">
        <f>F109-E109</f>
        <v>55</v>
      </c>
      <c r="H109" s="673">
        <f>SUM(G109+'[3]1'!G81)</f>
        <v>137</v>
      </c>
      <c r="I109" s="672"/>
      <c r="J109" s="699">
        <f>H109/DAY(B2)</f>
        <v>6.2272727272727275</v>
      </c>
      <c r="N109" s="556"/>
      <c r="O109" s="426"/>
    </row>
    <row r="110" spans="1:15" s="544" customFormat="1" ht="27.75">
      <c r="A110" s="1421" t="s">
        <v>232</v>
      </c>
      <c r="B110" s="1422"/>
      <c r="C110" s="1380"/>
      <c r="D110" s="763" t="s">
        <v>155</v>
      </c>
      <c r="E110" s="672">
        <f>'[3]20'!F110</f>
        <v>24913</v>
      </c>
      <c r="F110" s="672">
        <v>24956</v>
      </c>
      <c r="G110" s="672">
        <f t="shared" ref="G110:G111" si="14">F110-E110</f>
        <v>43</v>
      </c>
      <c r="H110" s="673">
        <f>SUM(G110+'[3]1'!G82)</f>
        <v>68.740000000005239</v>
      </c>
      <c r="I110" s="672"/>
      <c r="J110" s="699">
        <f>H110/DAY(B2)</f>
        <v>3.1245454545456925</v>
      </c>
      <c r="N110" s="556"/>
      <c r="O110" s="426"/>
    </row>
    <row r="111" spans="1:15" s="544" customFormat="1" ht="27.75">
      <c r="A111" s="1421" t="s">
        <v>233</v>
      </c>
      <c r="B111" s="1422"/>
      <c r="C111" s="1380"/>
      <c r="D111" s="763" t="s">
        <v>155</v>
      </c>
      <c r="E111" s="672">
        <f>'[3]20'!F111</f>
        <v>3307</v>
      </c>
      <c r="F111" s="672">
        <v>3321</v>
      </c>
      <c r="G111" s="672">
        <f t="shared" si="14"/>
        <v>14</v>
      </c>
      <c r="H111" s="673">
        <f>SUM(G111+'[3]1'!G83)</f>
        <v>460</v>
      </c>
      <c r="I111" s="672"/>
      <c r="J111" s="699">
        <f>H111/DAY(B2)</f>
        <v>20.90909090909091</v>
      </c>
      <c r="N111" s="556"/>
      <c r="O111" s="426"/>
    </row>
    <row r="112" spans="1:15" s="544" customFormat="1" ht="27.75">
      <c r="A112" s="1425" t="s">
        <v>121</v>
      </c>
      <c r="B112" s="1426"/>
      <c r="C112" s="1380"/>
      <c r="D112" s="763"/>
      <c r="E112" s="672">
        <f>'[3]20'!F112</f>
        <v>0</v>
      </c>
      <c r="F112" s="672"/>
      <c r="G112" s="672">
        <f>SUM(G109:G111)</f>
        <v>112</v>
      </c>
      <c r="H112" s="673">
        <f>SUM(G112+'[3]1'!G84)</f>
        <v>708</v>
      </c>
      <c r="I112" s="672"/>
      <c r="J112" s="699">
        <f>H112/DAY(B2)</f>
        <v>32.18181818181818</v>
      </c>
      <c r="N112" s="556"/>
      <c r="O112" s="426"/>
    </row>
    <row r="113" spans="1:15" s="544" customFormat="1" ht="27.75">
      <c r="A113" s="1427" t="s">
        <v>234</v>
      </c>
      <c r="B113" s="1428"/>
      <c r="C113" s="1380"/>
      <c r="D113" s="763"/>
      <c r="E113" s="672">
        <f>'[3]20'!F113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21" t="s">
        <v>235</v>
      </c>
      <c r="B114" s="1422"/>
      <c r="C114" s="715"/>
      <c r="D114" s="763" t="s">
        <v>155</v>
      </c>
      <c r="E114" s="674">
        <f>'[3]20'!F114</f>
        <v>8480</v>
      </c>
      <c r="F114" s="674">
        <v>8488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0.36363636363636365</v>
      </c>
      <c r="N114" s="556"/>
      <c r="O114" s="426"/>
    </row>
    <row r="115" spans="1:15" s="544" customFormat="1" ht="27.75">
      <c r="A115" s="1421" t="s">
        <v>236</v>
      </c>
      <c r="B115" s="1422"/>
      <c r="C115" s="715"/>
      <c r="D115" s="763" t="s">
        <v>155</v>
      </c>
      <c r="E115" s="674">
        <f>'[3]20'!F115</f>
        <v>6694</v>
      </c>
      <c r="F115" s="674">
        <v>6701</v>
      </c>
      <c r="G115" s="674">
        <f t="shared" ref="G115:G116" si="15">F115-E115</f>
        <v>7</v>
      </c>
      <c r="H115" s="673">
        <f>SUM(G115+'[3]1'!G92)</f>
        <v>112</v>
      </c>
      <c r="I115" s="672"/>
      <c r="J115" s="699">
        <f>H115/DAY(B2)</f>
        <v>5.0909090909090908</v>
      </c>
      <c r="N115" s="556"/>
      <c r="O115" s="426"/>
    </row>
    <row r="116" spans="1:15" s="544" customFormat="1" ht="27.75">
      <c r="A116" s="1421" t="s">
        <v>237</v>
      </c>
      <c r="B116" s="1422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185</v>
      </c>
      <c r="I116" s="672"/>
      <c r="J116" s="699">
        <f>H116/DAY(B2)</f>
        <v>8.4090909090909083</v>
      </c>
      <c r="N116" s="556"/>
      <c r="O116" s="426"/>
    </row>
    <row r="117" spans="1:15" s="557" customFormat="1" ht="27.75">
      <c r="A117" s="1423" t="s">
        <v>213</v>
      </c>
      <c r="B117" s="1424"/>
      <c r="C117" s="715"/>
      <c r="D117" s="764"/>
      <c r="E117" s="674"/>
      <c r="F117" s="674"/>
      <c r="G117" s="674">
        <f>SUM(G114:G116)</f>
        <v>15</v>
      </c>
      <c r="H117" s="673">
        <f>SUM(G117+'[3]1'!G95)</f>
        <v>63</v>
      </c>
      <c r="I117" s="674"/>
      <c r="J117" s="699">
        <f>H117/DAY(B2)</f>
        <v>2.8636363636363638</v>
      </c>
      <c r="N117" s="585"/>
      <c r="O117" s="426"/>
    </row>
    <row r="118" spans="1:15" s="558" customFormat="1" ht="27.75">
      <c r="A118" s="1417" t="s">
        <v>238</v>
      </c>
      <c r="B118" s="1418"/>
      <c r="C118" s="1379"/>
      <c r="D118" s="765" t="s">
        <v>155</v>
      </c>
      <c r="E118" s="676"/>
      <c r="F118" s="676">
        <f>SUM(G19+G92)</f>
        <v>131</v>
      </c>
      <c r="G118" s="676">
        <f>SUM(G19+G92)</f>
        <v>131</v>
      </c>
      <c r="H118" s="673">
        <f>SUM(G118+'[3]1'!G96)</f>
        <v>180</v>
      </c>
      <c r="I118" s="675"/>
      <c r="J118" s="700">
        <f>H118/DAY(B2)</f>
        <v>8.1818181818181817</v>
      </c>
      <c r="N118" s="940"/>
      <c r="O118" s="426"/>
    </row>
    <row r="119" spans="1:15" s="558" customFormat="1" ht="27.75">
      <c r="A119" s="1417" t="s">
        <v>239</v>
      </c>
      <c r="B119" s="1418"/>
      <c r="C119" s="1379"/>
      <c r="D119" s="765" t="s">
        <v>155</v>
      </c>
      <c r="E119" s="676"/>
      <c r="F119" s="676">
        <f>SUM(G95,G96,G97,G99,G100)</f>
        <v>132</v>
      </c>
      <c r="G119" s="676">
        <f>SUM(G95,G96,G97,G99,G100)</f>
        <v>132</v>
      </c>
      <c r="H119" s="673">
        <f>SUM(G119+'[3]1'!G98)</f>
        <v>164</v>
      </c>
      <c r="I119" s="675"/>
      <c r="J119" s="700">
        <f>H119/DAY(B2)</f>
        <v>7.4545454545454541</v>
      </c>
      <c r="N119" s="940"/>
      <c r="O119" s="426"/>
    </row>
    <row r="120" spans="1:15" s="558" customFormat="1" ht="27.75">
      <c r="A120" s="1417" t="s">
        <v>240</v>
      </c>
      <c r="B120" s="1418"/>
      <c r="C120" s="1379"/>
      <c r="D120" s="765" t="s">
        <v>155</v>
      </c>
      <c r="E120" s="674"/>
      <c r="F120" s="674">
        <f>SUM(G112)</f>
        <v>112</v>
      </c>
      <c r="G120" s="674">
        <f>SUM(G112)</f>
        <v>112</v>
      </c>
      <c r="H120" s="673">
        <f>SUM(G120+'[3]1'!G100)</f>
        <v>112</v>
      </c>
      <c r="I120" s="675"/>
      <c r="J120" s="700">
        <f>H120/DAY(B2)</f>
        <v>5.0909090909090908</v>
      </c>
      <c r="N120" s="940"/>
      <c r="O120" s="426"/>
    </row>
    <row r="121" spans="1:15" s="544" customFormat="1" ht="27.75">
      <c r="A121" s="1419"/>
      <c r="B121" s="1420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'[3]20'!F123</f>
        <v>786821.33</v>
      </c>
      <c r="F123" s="618">
        <v>787030.41</v>
      </c>
      <c r="G123" s="613">
        <f t="shared" ref="G123:G127" si="16">F123-E123</f>
        <v>209.08000000007451</v>
      </c>
      <c r="H123" s="600">
        <f>G123+'[3]20'!H123</f>
        <v>4105.5239999999758</v>
      </c>
      <c r="I123" s="666"/>
      <c r="J123" s="693">
        <f>H123/DAY(B2)</f>
        <v>186.61472727272618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'[3]20'!F124</f>
        <v>73581.899999999994</v>
      </c>
      <c r="F124" s="767">
        <v>73581.899999999994</v>
      </c>
      <c r="G124" s="613">
        <f t="shared" si="16"/>
        <v>0</v>
      </c>
      <c r="H124" s="600">
        <f>G124+'[3]20'!H124</f>
        <v>0.89999999999417923</v>
      </c>
      <c r="I124" s="666"/>
      <c r="J124" s="693">
        <f>H124/DAY(B2)</f>
        <v>4.0909090908826329E-2</v>
      </c>
      <c r="K124" s="424"/>
      <c r="L124" s="421"/>
      <c r="N124" s="426"/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618">
        <f>'[3]20'!F125</f>
        <v>132350.88</v>
      </c>
      <c r="F125" s="618">
        <v>132415.70000000001</v>
      </c>
      <c r="G125" s="613">
        <f t="shared" si="16"/>
        <v>64.820000000006985</v>
      </c>
      <c r="H125" s="600">
        <f>G125+'[3]20'!H125</f>
        <v>1309.4800000000105</v>
      </c>
      <c r="I125" s="666"/>
      <c r="J125" s="693">
        <f>H125/DAY(B2)</f>
        <v>59.521818181818659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'[3]20'!F126</f>
        <v>56071.9</v>
      </c>
      <c r="F126" s="625">
        <v>56119.9</v>
      </c>
      <c r="G126" s="613">
        <f t="shared" si="16"/>
        <v>48</v>
      </c>
      <c r="H126" s="600">
        <f>G126+'[3]20'!H126</f>
        <v>534.09999999999854</v>
      </c>
      <c r="I126" s="666"/>
      <c r="J126" s="693">
        <f>H126/DAY(B2)</f>
        <v>24.27727272727266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'[3]20'!F127</f>
        <v>8640</v>
      </c>
      <c r="F127" s="767">
        <v>8640</v>
      </c>
      <c r="G127" s="613">
        <f t="shared" si="16"/>
        <v>0</v>
      </c>
      <c r="H127" s="600">
        <f>G127+'[3]20'!H127</f>
        <v>1</v>
      </c>
      <c r="I127" s="620"/>
      <c r="J127" s="693">
        <f>H127/DAY(B2)</f>
        <v>4.5454545454545456E-2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411.09999999991851</v>
      </c>
      <c r="H128" s="600">
        <f>G128+'[3]20'!H128</f>
        <v>1690.9250000000702</v>
      </c>
      <c r="I128" s="620"/>
      <c r="J128" s="693">
        <f>H128/DAY(B2)</f>
        <v>76.860227272730469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'[3]20'!F130</f>
        <v>0</v>
      </c>
      <c r="F130" s="624">
        <v>0</v>
      </c>
      <c r="G130" s="613">
        <f t="shared" ref="G130:G140" si="17">F130-E130</f>
        <v>0</v>
      </c>
      <c r="H130" s="600">
        <f>G130+'[3]20'!H130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'[3]20'!F131</f>
        <v>0</v>
      </c>
      <c r="F131" s="624">
        <v>0</v>
      </c>
      <c r="G131" s="613">
        <f t="shared" si="17"/>
        <v>0</v>
      </c>
      <c r="H131" s="600">
        <f>G131+'[3]20'!H131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'[3]20'!F132</f>
        <v>38877</v>
      </c>
      <c r="F132" s="682">
        <v>38877</v>
      </c>
      <c r="G132" s="613">
        <f t="shared" si="17"/>
        <v>0</v>
      </c>
      <c r="H132" s="600">
        <f>G132+'[3]20'!H132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'[3]20'!F133</f>
        <v>34948</v>
      </c>
      <c r="F133" s="682">
        <v>34948</v>
      </c>
      <c r="G133" s="789">
        <f t="shared" si="17"/>
        <v>0</v>
      </c>
      <c r="H133" s="861">
        <f>G133+'[3]20'!H133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'[3]20'!F134</f>
        <v>39735</v>
      </c>
      <c r="F134" s="682">
        <v>39735</v>
      </c>
      <c r="G134" s="613">
        <f t="shared" si="17"/>
        <v>0</v>
      </c>
      <c r="H134" s="600">
        <f>G134+'[3]20'!H134</f>
        <v>-1.2699999999967986</v>
      </c>
      <c r="I134" s="620"/>
      <c r="J134" s="693">
        <f>H134/DAY(B2)</f>
        <v>-5.7727272727127209E-2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'[3]20'!F135</f>
        <v>31475.48</v>
      </c>
      <c r="F135" s="682">
        <v>31499.56</v>
      </c>
      <c r="G135" s="613">
        <f t="shared" si="17"/>
        <v>24.080000000001746</v>
      </c>
      <c r="H135" s="600">
        <f>G135+'[3]20'!H135</f>
        <v>503.54000000000087</v>
      </c>
      <c r="I135" s="620"/>
      <c r="J135" s="693">
        <f>H135/DAY(B2)</f>
        <v>22.888181818181859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'[3]20'!F136</f>
        <v>21629</v>
      </c>
      <c r="F136" s="682">
        <v>21636.59</v>
      </c>
      <c r="G136" s="613">
        <f t="shared" si="17"/>
        <v>7.5900000000001455</v>
      </c>
      <c r="H136" s="600">
        <f>G136+'[3]20'!H136</f>
        <v>38.56000000000131</v>
      </c>
      <c r="I136" s="620">
        <f>G134+G135+G136</f>
        <v>31.670000000001892</v>
      </c>
      <c r="J136" s="693">
        <f>H136/DAY(B2)</f>
        <v>1.7527272727273322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'[3]20'!F137</f>
        <v>24928.97</v>
      </c>
      <c r="F137" s="682">
        <v>24928.97</v>
      </c>
      <c r="G137" s="613">
        <f t="shared" si="17"/>
        <v>0</v>
      </c>
      <c r="H137" s="600">
        <f>G137+'[3]20'!H137</f>
        <v>26.720000000001164</v>
      </c>
      <c r="I137" s="620"/>
      <c r="J137" s="693">
        <f>H137/DAY(B2)</f>
        <v>1.2145454545455074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'[3]20'!F138</f>
        <v>69942.850000000006</v>
      </c>
      <c r="F138" s="682">
        <v>69943.39</v>
      </c>
      <c r="G138" s="613">
        <f t="shared" si="17"/>
        <v>0.53999999999359716</v>
      </c>
      <c r="H138" s="600">
        <f>G138+'[3]20'!H138</f>
        <v>61.740000000005239</v>
      </c>
      <c r="I138" s="620">
        <f>G137+G138</f>
        <v>0.53999999999359716</v>
      </c>
      <c r="J138" s="693">
        <f>H138/DAY(B2)</f>
        <v>2.8063636363638746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'[3]20'!F139</f>
        <v>884.99</v>
      </c>
      <c r="F139" s="624">
        <v>890.84</v>
      </c>
      <c r="G139" s="613">
        <f t="shared" si="17"/>
        <v>5.8500000000000227</v>
      </c>
      <c r="H139" s="600">
        <f>G139+'[3]20'!H139</f>
        <v>114.41000000000008</v>
      </c>
      <c r="I139" s="683"/>
      <c r="J139" s="693">
        <f>H139/DAY(B2)</f>
        <v>5.2004545454545488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'[3]20'!F140</f>
        <v>4156.8999999999996</v>
      </c>
      <c r="F140" s="624">
        <v>4156.8999999999996</v>
      </c>
      <c r="G140" s="613">
        <f t="shared" si="17"/>
        <v>0</v>
      </c>
      <c r="H140" s="600">
        <f>G140+'[3]20'!H140</f>
        <v>2.6299999999991996</v>
      </c>
      <c r="I140" s="683"/>
      <c r="J140" s="693">
        <f>H140/DAY(B2)</f>
        <v>0.11954545454541816</v>
      </c>
      <c r="N140" s="426"/>
      <c r="O140" s="426"/>
    </row>
    <row r="141" spans="1:15">
      <c r="A141" s="1438" t="s">
        <v>261</v>
      </c>
      <c r="B141" s="1439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5043.8399999999237</v>
      </c>
      <c r="H142" s="600">
        <f>G142+'[3]20'!H142</f>
        <v>101403.84899999999</v>
      </c>
      <c r="I142" s="620"/>
      <c r="J142" s="693">
        <f>H142/DAY(B2)</f>
        <v>4609.2658636363631</v>
      </c>
      <c r="K142" s="424"/>
      <c r="L142" s="421"/>
      <c r="N142" s="426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0.26151501011043315</v>
      </c>
      <c r="H143" s="600">
        <f>G143+'[3]20'!H143</f>
        <v>5.0051616018829579</v>
      </c>
      <c r="I143" s="685"/>
      <c r="J143" s="693">
        <f>H143/DAY(B2)</f>
        <v>0.22750734554013444</v>
      </c>
      <c r="K143" s="424"/>
      <c r="L143" s="421"/>
      <c r="N143" s="426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4688.7200000000303</v>
      </c>
      <c r="H144" s="600">
        <f>G144+'[3]20'!H144</f>
        <v>92449.670000000129</v>
      </c>
      <c r="I144" s="620"/>
      <c r="J144" s="693">
        <f>H144/DAY(B2)</f>
        <v>4202.2577272727331</v>
      </c>
      <c r="K144" s="424"/>
      <c r="L144" s="421"/>
      <c r="N144" s="426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0.24310260797428476</v>
      </c>
      <c r="H145" s="600">
        <f>G145+'[3]20'!H145</f>
        <v>4.7383810415979557</v>
      </c>
      <c r="I145" s="685"/>
      <c r="J145" s="693">
        <f>H145/DAY(B2)</f>
        <v>0.21538095643627073</v>
      </c>
      <c r="K145" s="424"/>
      <c r="L145" s="421"/>
      <c r="N145" s="426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3992.05</v>
      </c>
      <c r="H146" s="600">
        <f>G146+'[3]20'!H146</f>
        <v>59378.240000000042</v>
      </c>
      <c r="I146" s="686"/>
      <c r="J146" s="693">
        <f>H146/DAY(B2)</f>
        <v>2699.0109090909109</v>
      </c>
      <c r="K146" s="424"/>
      <c r="L146" s="421"/>
      <c r="N146" s="426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0.20698138642609012</v>
      </c>
      <c r="H147" s="600">
        <f>G147+'[3]20'!H147</f>
        <v>2.9893434575820637</v>
      </c>
      <c r="I147" s="686"/>
      <c r="J147" s="693">
        <f>H147/DAY(B2)</f>
        <v>0.13587924807191198</v>
      </c>
      <c r="N147" s="426"/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1777.2600000000093</v>
      </c>
      <c r="H148" s="600">
        <f>G148+'[3]20'!H148</f>
        <v>36560.039999999979</v>
      </c>
      <c r="I148" s="620"/>
      <c r="J148" s="693">
        <f>H148/DAY(B2)</f>
        <v>1661.819999999999</v>
      </c>
      <c r="K148" s="425"/>
      <c r="N148" s="426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9.2148079016954904E-2</v>
      </c>
      <c r="H149" s="600">
        <f>G149+'[3]20'!H149</f>
        <v>1.8683234443800814</v>
      </c>
      <c r="I149" s="686"/>
      <c r="J149" s="693">
        <f>H149/DAY(B2)</f>
        <v>8.4923792926367328E-2</v>
      </c>
      <c r="N149" s="426"/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1637.8500000000058</v>
      </c>
      <c r="H150" s="600">
        <f>G150+'[3]20'!H150</f>
        <v>33721.339999999997</v>
      </c>
      <c r="I150" s="686"/>
      <c r="J150" s="693">
        <f>H150/DAY(B2)</f>
        <v>1532.7881818181816</v>
      </c>
      <c r="N150" s="426"/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8.4919894229273901E-2</v>
      </c>
      <c r="H151" s="600">
        <f>G151+'[3]20'!H151</f>
        <v>1.7212118955234386</v>
      </c>
      <c r="I151" s="620"/>
      <c r="J151" s="693">
        <f>H151/DAY(B2)</f>
        <v>7.8236904341974486E-2</v>
      </c>
      <c r="N151" s="426"/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1460.87</v>
      </c>
      <c r="H152" s="600">
        <f>G152+'[3]20'!H152</f>
        <v>29730.4719</v>
      </c>
      <c r="I152" s="620"/>
      <c r="J152" s="693">
        <f>H152/DAY(B2)</f>
        <v>1351.3850863636364</v>
      </c>
      <c r="N152" s="426"/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7.5743765230466109E-2</v>
      </c>
      <c r="H153" s="600">
        <f>G153+'[3]20'!H153</f>
        <v>1.5247791322226973</v>
      </c>
      <c r="I153" s="709"/>
      <c r="J153" s="710">
        <f>H153/DAY(B2)</f>
        <v>6.9308142373758971E-2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'[3]20'!F160</f>
        <v>23111.93</v>
      </c>
      <c r="F160" s="795">
        <v>23185.11</v>
      </c>
      <c r="G160" s="613">
        <f t="shared" ref="G160:G171" si="18">F160-E160</f>
        <v>73.180000000000291</v>
      </c>
      <c r="K160" s="420">
        <v>68.829999999999927</v>
      </c>
      <c r="L160" s="420">
        <f t="shared" ref="L160:L171" si="19">G160-K160</f>
        <v>4.3500000000003638</v>
      </c>
    </row>
    <row r="161" spans="1:12" ht="21.75" customHeight="1">
      <c r="A161" s="946" t="s">
        <v>275</v>
      </c>
      <c r="B161" s="947"/>
      <c r="C161" s="947"/>
      <c r="D161" s="651" t="s">
        <v>198</v>
      </c>
      <c r="E161" s="795">
        <v>4078.42</v>
      </c>
      <c r="F161" s="795">
        <v>4718.5</v>
      </c>
      <c r="G161" s="613">
        <f t="shared" si="18"/>
        <v>640.07999999999993</v>
      </c>
      <c r="K161" s="420">
        <v>122.46000000000004</v>
      </c>
      <c r="L161" s="420">
        <f t="shared" si="19"/>
        <v>517.61999999999989</v>
      </c>
    </row>
    <row r="162" spans="1:12" ht="21.75" customHeight="1">
      <c r="A162" s="946" t="s">
        <v>276</v>
      </c>
      <c r="B162" s="947"/>
      <c r="C162" s="947"/>
      <c r="D162" s="651" t="s">
        <v>198</v>
      </c>
      <c r="E162" s="795">
        <v>167</v>
      </c>
      <c r="F162" s="795">
        <v>506</v>
      </c>
      <c r="G162" s="613">
        <f t="shared" si="18"/>
        <v>339</v>
      </c>
      <c r="K162" s="420">
        <v>139.42000000000007</v>
      </c>
      <c r="L162" s="420">
        <f t="shared" si="19"/>
        <v>199.57999999999993</v>
      </c>
    </row>
    <row r="163" spans="1:12" ht="21.75" customHeight="1">
      <c r="A163" s="946" t="s">
        <v>277</v>
      </c>
      <c r="B163" s="947"/>
      <c r="C163" s="947"/>
      <c r="D163" s="651" t="s">
        <v>198</v>
      </c>
      <c r="E163" s="795">
        <f>'[3]20'!F163</f>
        <v>3375.34</v>
      </c>
      <c r="F163" s="795">
        <v>3385.78</v>
      </c>
      <c r="G163" s="613">
        <f t="shared" si="18"/>
        <v>10.440000000000055</v>
      </c>
      <c r="K163" s="420">
        <v>49.659999999999968</v>
      </c>
      <c r="L163" s="420">
        <f t="shared" si="19"/>
        <v>-39.219999999999914</v>
      </c>
    </row>
    <row r="164" spans="1:12" ht="21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f>F62</f>
        <v>20419.2</v>
      </c>
      <c r="G164" s="613">
        <f t="shared" si="18"/>
        <v>0</v>
      </c>
      <c r="K164" s="420">
        <v>0</v>
      </c>
      <c r="L164" s="420">
        <f t="shared" si="19"/>
        <v>0</v>
      </c>
    </row>
    <row r="165" spans="1:12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20">E63</f>
        <v>689.02</v>
      </c>
      <c r="F165" s="654">
        <f t="shared" si="20"/>
        <v>707.22</v>
      </c>
      <c r="G165" s="613">
        <f t="shared" si="18"/>
        <v>18.200000000000045</v>
      </c>
      <c r="K165" s="420">
        <v>0</v>
      </c>
      <c r="L165" s="420">
        <f t="shared" si="19"/>
        <v>18.200000000000045</v>
      </c>
    </row>
    <row r="166" spans="1:12" ht="21.75" customHeight="1">
      <c r="A166" s="1404" t="s">
        <v>107</v>
      </c>
      <c r="B166" s="1404"/>
      <c r="C166" s="1404"/>
      <c r="D166" s="663" t="s">
        <v>198</v>
      </c>
      <c r="E166" s="654">
        <f t="shared" si="20"/>
        <v>83110.39</v>
      </c>
      <c r="F166" s="654">
        <f t="shared" si="20"/>
        <v>83472.91</v>
      </c>
      <c r="G166" s="613">
        <f t="shared" si="18"/>
        <v>362.52000000000407</v>
      </c>
      <c r="K166" s="420">
        <v>201.76000000000204</v>
      </c>
      <c r="L166" s="420">
        <f t="shared" si="19"/>
        <v>160.76000000000204</v>
      </c>
    </row>
    <row r="167" spans="1:12" ht="21.75" customHeight="1">
      <c r="A167" s="1404" t="s">
        <v>108</v>
      </c>
      <c r="B167" s="1404"/>
      <c r="C167" s="1404"/>
      <c r="D167" s="663" t="s">
        <v>198</v>
      </c>
      <c r="E167" s="654">
        <f t="shared" si="20"/>
        <v>92779.35</v>
      </c>
      <c r="F167" s="654">
        <f t="shared" si="20"/>
        <v>93154.87</v>
      </c>
      <c r="G167" s="613">
        <f t="shared" si="18"/>
        <v>375.51999999998952</v>
      </c>
      <c r="K167" s="420">
        <v>191.63000000000466</v>
      </c>
      <c r="L167" s="420">
        <f t="shared" si="19"/>
        <v>183.88999999998487</v>
      </c>
    </row>
    <row r="168" spans="1:12" ht="21.75" customHeight="1">
      <c r="A168" s="1404" t="s">
        <v>109</v>
      </c>
      <c r="B168" s="1404"/>
      <c r="C168" s="1404"/>
      <c r="D168" s="663" t="s">
        <v>198</v>
      </c>
      <c r="E168" s="654">
        <f t="shared" si="20"/>
        <v>85958.76</v>
      </c>
      <c r="F168" s="654">
        <f t="shared" si="20"/>
        <v>86367.83</v>
      </c>
      <c r="G168" s="613">
        <f t="shared" si="18"/>
        <v>409.07000000000698</v>
      </c>
      <c r="K168" s="420">
        <v>231.68000000000029</v>
      </c>
      <c r="L168" s="420">
        <f t="shared" si="19"/>
        <v>177.39000000000669</v>
      </c>
    </row>
    <row r="169" spans="1:12" ht="26.25" customHeight="1">
      <c r="A169" s="1404" t="s">
        <v>110</v>
      </c>
      <c r="B169" s="1404"/>
      <c r="C169" s="1404"/>
      <c r="D169" s="663" t="s">
        <v>198</v>
      </c>
      <c r="E169" s="654">
        <f t="shared" si="20"/>
        <v>138948.75</v>
      </c>
      <c r="F169" s="654">
        <f t="shared" si="20"/>
        <v>139625.19</v>
      </c>
      <c r="G169" s="613">
        <f t="shared" si="18"/>
        <v>676.44000000000233</v>
      </c>
      <c r="K169" s="420">
        <v>344.30000000000291</v>
      </c>
      <c r="L169" s="420">
        <f t="shared" si="19"/>
        <v>332.13999999999942</v>
      </c>
    </row>
    <row r="170" spans="1:12" ht="24" customHeight="1">
      <c r="A170" s="1404" t="s">
        <v>111</v>
      </c>
      <c r="B170" s="1404"/>
      <c r="C170" s="1404"/>
      <c r="D170" s="663" t="s">
        <v>198</v>
      </c>
      <c r="E170" s="654">
        <f t="shared" si="20"/>
        <v>39708.44</v>
      </c>
      <c r="F170" s="654">
        <f t="shared" si="20"/>
        <v>40004.76</v>
      </c>
      <c r="G170" s="613">
        <f t="shared" si="18"/>
        <v>296.31999999999971</v>
      </c>
      <c r="K170" s="420">
        <v>140.90999999999985</v>
      </c>
      <c r="L170" s="420">
        <f t="shared" si="19"/>
        <v>155.40999999999985</v>
      </c>
    </row>
    <row r="171" spans="1:12" ht="27.75">
      <c r="A171" s="1404" t="s">
        <v>112</v>
      </c>
      <c r="B171" s="1404"/>
      <c r="C171" s="1404"/>
      <c r="D171" s="663" t="s">
        <v>198</v>
      </c>
      <c r="E171" s="654">
        <f t="shared" si="20"/>
        <v>34670</v>
      </c>
      <c r="F171" s="654">
        <f t="shared" si="20"/>
        <v>34964.14</v>
      </c>
      <c r="G171" s="613">
        <f t="shared" si="18"/>
        <v>294.13999999999942</v>
      </c>
      <c r="K171" s="420">
        <v>57.709999999999127</v>
      </c>
      <c r="L171" s="420">
        <f t="shared" si="19"/>
        <v>236.43000000000029</v>
      </c>
    </row>
    <row r="172" spans="1:12">
      <c r="G172" s="678">
        <f>SUM(G160:G171)</f>
        <v>3494.9100000000026</v>
      </c>
    </row>
    <row r="176" spans="1:12" ht="18.75" customHeight="1"/>
    <row r="177" spans="6:6" ht="21" customHeight="1">
      <c r="F177" s="678" t="s">
        <v>289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A109" sqref="A109:B109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27.77734375" style="1167" customWidth="1"/>
    <col min="6" max="6" width="23.33203125" style="1167" customWidth="1"/>
    <col min="7" max="7" width="15.5546875" style="1167" bestFit="1" customWidth="1"/>
    <col min="8" max="8" width="20.44140625" style="1168" customWidth="1"/>
    <col min="9" max="9" width="11.21875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9.33203125" style="969" customWidth="1"/>
    <col min="16" max="16384" width="22.33203125" style="969"/>
  </cols>
  <sheetData>
    <row r="1" spans="1:15" ht="22.5">
      <c r="A1" s="1616" t="s">
        <v>128</v>
      </c>
      <c r="B1" s="1617"/>
      <c r="C1" s="1617"/>
      <c r="D1" s="1617"/>
      <c r="E1" s="1617"/>
      <c r="F1" s="1617"/>
      <c r="G1" s="1617"/>
      <c r="H1" s="1617"/>
      <c r="I1" s="1617"/>
      <c r="J1" s="1618"/>
    </row>
    <row r="2" spans="1:15">
      <c r="A2" s="970" t="s">
        <v>279</v>
      </c>
      <c r="B2" s="1242">
        <v>44157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  <c r="N2" s="1170" t="s">
        <v>129</v>
      </c>
    </row>
    <row r="3" spans="1:15">
      <c r="A3" s="975"/>
      <c r="B3" s="976"/>
      <c r="C3" s="971" t="s">
        <v>131</v>
      </c>
      <c r="D3" s="977">
        <v>30</v>
      </c>
      <c r="E3" s="1625" t="s">
        <v>132</v>
      </c>
      <c r="F3" s="162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  <c r="N3" s="1170">
        <v>0</v>
      </c>
    </row>
    <row r="4" spans="1:15">
      <c r="A4" s="983"/>
      <c r="B4" s="984"/>
      <c r="C4" s="971" t="s">
        <v>133</v>
      </c>
      <c r="D4" s="972">
        <v>0.78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  <c r="N5" s="1170" t="s">
        <v>137</v>
      </c>
    </row>
    <row r="6" spans="1:15">
      <c r="A6" s="1619" t="s">
        <v>141</v>
      </c>
      <c r="B6" s="1620"/>
      <c r="C6" s="162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'[3]21'!F7</f>
        <v>2495879</v>
      </c>
      <c r="F7" s="1003">
        <v>2515200</v>
      </c>
      <c r="G7" s="1004">
        <f>F7-E7</f>
        <v>19321</v>
      </c>
      <c r="H7" s="1005">
        <f>G7+'[3]21'!H7</f>
        <v>410175</v>
      </c>
      <c r="I7" s="1006">
        <f>'[3]1'!I7</f>
        <v>12000</v>
      </c>
      <c r="J7" s="1007">
        <f>H7/DAY(B2)</f>
        <v>18644.31818181818</v>
      </c>
      <c r="K7" s="1008"/>
      <c r="L7" s="982"/>
      <c r="N7" s="1170">
        <v>12493</v>
      </c>
      <c r="O7" s="1009">
        <f>N7-G7</f>
        <v>-6828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'[3]21'!F8</f>
        <v>2508240</v>
      </c>
      <c r="F8" s="1014">
        <v>2527758</v>
      </c>
      <c r="G8" s="1015">
        <f>F8-E8</f>
        <v>19518</v>
      </c>
      <c r="H8" s="1005">
        <f>G8+'[3]21'!H8</f>
        <v>412317</v>
      </c>
      <c r="I8" s="1016">
        <f>'[3]1'!I8</f>
        <v>12000</v>
      </c>
      <c r="J8" s="1007">
        <f>H8/DAY(B2)</f>
        <v>18741.68181818182</v>
      </c>
      <c r="K8" s="1008"/>
      <c r="L8" s="1017"/>
      <c r="M8" s="1018"/>
      <c r="N8" s="1170">
        <v>12551</v>
      </c>
      <c r="O8" s="1009">
        <f t="shared" ref="O8:O71" si="0">N8-G8</f>
        <v>-6967</v>
      </c>
    </row>
    <row r="9" spans="1:15">
      <c r="A9" s="1019" t="s">
        <v>145</v>
      </c>
      <c r="B9" s="1020"/>
      <c r="C9" s="1020"/>
      <c r="D9" s="1002" t="s">
        <v>143</v>
      </c>
      <c r="E9" s="1003">
        <f>'[3]21'!F9</f>
        <v>2229568</v>
      </c>
      <c r="F9" s="1021">
        <v>2232535.9</v>
      </c>
      <c r="G9" s="1004">
        <f t="shared" ref="G9:G12" si="1">F9-E9</f>
        <v>2967.8999999999069</v>
      </c>
      <c r="H9" s="1005">
        <f>G9+'[3]21'!H9</f>
        <v>215530.59999999986</v>
      </c>
      <c r="I9" s="1022">
        <f>I8-J8</f>
        <v>-6741.6818181818198</v>
      </c>
      <c r="J9" s="1007">
        <f>H9/DAY(B2)</f>
        <v>9796.8454545454479</v>
      </c>
      <c r="K9" s="1023"/>
      <c r="L9" s="982"/>
      <c r="N9" s="1170">
        <v>12017.049999999988</v>
      </c>
      <c r="O9" s="1009">
        <f t="shared" si="0"/>
        <v>9049.1500000000815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'[3]21'!F10</f>
        <v>164247.32</v>
      </c>
      <c r="F10" s="1021">
        <v>179876.25</v>
      </c>
      <c r="G10" s="1004">
        <f t="shared" si="1"/>
        <v>15628.929999999993</v>
      </c>
      <c r="H10" s="1005">
        <f>G10+'[3]21'!H10</f>
        <v>179876.46000000002</v>
      </c>
      <c r="I10" s="1024"/>
      <c r="J10" s="1007">
        <f>H10/DAY(B2)</f>
        <v>8176.2027272727282</v>
      </c>
      <c r="K10" s="1023"/>
      <c r="L10" s="982"/>
      <c r="N10" s="1170">
        <v>0</v>
      </c>
      <c r="O10" s="1009">
        <f t="shared" si="0"/>
        <v>-15628.929999999993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'[3]21'!F11</f>
        <v>35390</v>
      </c>
      <c r="F11" s="1003">
        <v>35390</v>
      </c>
      <c r="G11" s="1004">
        <f t="shared" si="1"/>
        <v>0</v>
      </c>
      <c r="H11" s="1005">
        <f>G11+'[3]21'!H11</f>
        <v>0</v>
      </c>
      <c r="I11" s="1024"/>
      <c r="J11" s="1007">
        <f>H11/DAY(B2)</f>
        <v>0</v>
      </c>
      <c r="K11" s="1023"/>
      <c r="L11" s="982"/>
      <c r="N11" s="1170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'[3]21'!F12</f>
        <v>37630</v>
      </c>
      <c r="F12" s="1021">
        <v>37630</v>
      </c>
      <c r="G12" s="1004">
        <f t="shared" si="1"/>
        <v>0</v>
      </c>
      <c r="H12" s="1005">
        <f>G12+'[3]21'!H12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18596.8299999999</v>
      </c>
      <c r="H13" s="1005">
        <f>G13+'[3]21'!H13</f>
        <v>341143.25999999995</v>
      </c>
      <c r="I13" s="1028">
        <f>G7-G13</f>
        <v>724.17000000010012</v>
      </c>
      <c r="J13" s="1007">
        <f>H13/DAY(B2)</f>
        <v>15506.511818181816</v>
      </c>
      <c r="K13" s="1023"/>
      <c r="L13" s="982"/>
      <c r="N13" s="1170">
        <v>12017.049999999988</v>
      </c>
      <c r="O13" s="1009">
        <f t="shared" si="0"/>
        <v>-6579.7799999999115</v>
      </c>
    </row>
    <row r="14" spans="1:15">
      <c r="A14" s="1622" t="s">
        <v>150</v>
      </c>
      <c r="B14" s="1623"/>
      <c r="C14" s="1624"/>
      <c r="D14" s="997"/>
      <c r="E14" s="997"/>
      <c r="F14" s="997"/>
      <c r="G14" s="1029"/>
      <c r="H14" s="997"/>
      <c r="I14" s="997"/>
      <c r="J14" s="998"/>
      <c r="K14" s="1030"/>
      <c r="L14" s="982"/>
      <c r="O14" s="1009">
        <f t="shared" si="0"/>
        <v>0</v>
      </c>
    </row>
    <row r="15" spans="1:15">
      <c r="A15" s="1031" t="s">
        <v>151</v>
      </c>
      <c r="B15" s="1032"/>
      <c r="C15" s="1032"/>
      <c r="D15" s="1002" t="s">
        <v>152</v>
      </c>
      <c r="E15" s="1003">
        <f>'[3]21'!F15</f>
        <v>1541466</v>
      </c>
      <c r="F15" s="1033">
        <v>1541852</v>
      </c>
      <c r="G15" s="1004">
        <f>(F15-E15)</f>
        <v>386</v>
      </c>
      <c r="H15" s="1005">
        <f>G15+'[3]21'!H15</f>
        <v>11736.806000000099</v>
      </c>
      <c r="I15" s="1006">
        <v>800</v>
      </c>
      <c r="J15" s="1007">
        <f>H15/DAY(B2)</f>
        <v>533.49118181818631</v>
      </c>
      <c r="K15" s="1023"/>
      <c r="L15" s="982"/>
      <c r="N15" s="1170">
        <v>499.20999999996275</v>
      </c>
      <c r="O15" s="1009">
        <f t="shared" si="0"/>
        <v>113.20999999996275</v>
      </c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266.50881818181369</v>
      </c>
      <c r="J16" s="1040"/>
      <c r="K16" s="1023"/>
      <c r="L16" s="982"/>
      <c r="O16" s="1009">
        <f t="shared" si="0"/>
        <v>0</v>
      </c>
    </row>
    <row r="17" spans="1:15">
      <c r="A17" s="1622" t="s">
        <v>153</v>
      </c>
      <c r="B17" s="1623"/>
      <c r="C17" s="1624"/>
      <c r="D17" s="997"/>
      <c r="E17" s="997"/>
      <c r="F17" s="997"/>
      <c r="G17" s="1041"/>
      <c r="H17" s="997"/>
      <c r="I17" s="997"/>
      <c r="J17" s="998"/>
      <c r="K17" s="1023"/>
      <c r="L17" s="982"/>
      <c r="O17" s="1009">
        <f t="shared" si="0"/>
        <v>0</v>
      </c>
    </row>
    <row r="18" spans="1:15">
      <c r="A18" s="1587" t="s">
        <v>154</v>
      </c>
      <c r="B18" s="1588"/>
      <c r="C18" s="1589"/>
      <c r="D18" s="1002" t="s">
        <v>155</v>
      </c>
      <c r="E18" s="1003">
        <f>'[3]21'!F18</f>
        <v>10</v>
      </c>
      <c r="F18" s="1033">
        <v>12</v>
      </c>
      <c r="G18" s="1027">
        <f>F18*10</f>
        <v>120</v>
      </c>
      <c r="H18" s="1005">
        <f>G18+'[3]21'!H18</f>
        <v>2240</v>
      </c>
      <c r="I18" s="1006">
        <f>'[3]1'!I18</f>
        <v>65</v>
      </c>
      <c r="J18" s="1007">
        <f>H18/DAY(B2)</f>
        <v>101.81818181818181</v>
      </c>
      <c r="K18" s="1023"/>
      <c r="L18" s="982"/>
      <c r="N18" s="1170">
        <v>20</v>
      </c>
      <c r="O18" s="1009">
        <f t="shared" si="0"/>
        <v>-100</v>
      </c>
    </row>
    <row r="19" spans="1:15">
      <c r="A19" s="1587" t="s">
        <v>71</v>
      </c>
      <c r="B19" s="1588"/>
      <c r="C19" s="1589"/>
      <c r="D19" s="1002" t="s">
        <v>155</v>
      </c>
      <c r="E19" s="1003">
        <f>'[3]21'!F19</f>
        <v>129301</v>
      </c>
      <c r="F19" s="1033">
        <v>129352</v>
      </c>
      <c r="G19" s="1004">
        <f t="shared" ref="G19" si="2">F19-E19</f>
        <v>51</v>
      </c>
      <c r="H19" s="1005">
        <f>G19+'[3]21'!H19</f>
        <v>1157</v>
      </c>
      <c r="I19" s="1042"/>
      <c r="J19" s="1007">
        <f>H19/DAY(B2)</f>
        <v>52.590909090909093</v>
      </c>
      <c r="K19" s="1023"/>
      <c r="L19" s="982"/>
      <c r="N19" s="1170">
        <v>53</v>
      </c>
      <c r="O19" s="1009">
        <f t="shared" si="0"/>
        <v>2</v>
      </c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171</v>
      </c>
      <c r="H20" s="1005">
        <f>G20+'[3]21'!H20</f>
        <v>3397</v>
      </c>
      <c r="I20" s="1045">
        <f>I18-J20</f>
        <v>-89.409090909090907</v>
      </c>
      <c r="J20" s="1007">
        <f>H20/DAY(B2)</f>
        <v>154.40909090909091</v>
      </c>
      <c r="K20" s="1023"/>
      <c r="L20" s="982"/>
      <c r="N20" s="1170">
        <v>73</v>
      </c>
      <c r="O20" s="1009">
        <f t="shared" si="0"/>
        <v>-98</v>
      </c>
    </row>
    <row r="21" spans="1:15">
      <c r="A21" s="1622" t="s">
        <v>157</v>
      </c>
      <c r="B21" s="1623"/>
      <c r="C21" s="1624"/>
      <c r="D21" s="997"/>
      <c r="E21" s="997"/>
      <c r="F21" s="997"/>
      <c r="G21" s="1029"/>
      <c r="H21" s="997"/>
      <c r="I21" s="997"/>
      <c r="J21" s="998"/>
      <c r="K21" s="1023"/>
      <c r="L21" s="982"/>
      <c r="O21" s="1009">
        <f t="shared" si="0"/>
        <v>0</v>
      </c>
    </row>
    <row r="22" spans="1:15">
      <c r="A22" s="1031" t="s">
        <v>158</v>
      </c>
      <c r="B22" s="1032"/>
      <c r="C22" s="1032"/>
      <c r="D22" s="1002" t="s">
        <v>159</v>
      </c>
      <c r="E22" s="1033">
        <f>'[3]21'!F22</f>
        <v>2250</v>
      </c>
      <c r="F22" s="1033">
        <v>2250</v>
      </c>
      <c r="G22" s="1027">
        <f>(F22-E22)</f>
        <v>0</v>
      </c>
      <c r="H22" s="1005">
        <f>G22+'[3]21'!H22</f>
        <v>0</v>
      </c>
      <c r="I22" s="1024"/>
      <c r="J22" s="1007">
        <f>H22/DAY(B2)</f>
        <v>0</v>
      </c>
      <c r="K22" s="1023"/>
      <c r="L22" s="982"/>
      <c r="N22" s="1170">
        <v>0</v>
      </c>
      <c r="O22" s="1009">
        <f t="shared" si="0"/>
        <v>0</v>
      </c>
    </row>
    <row r="23" spans="1:15">
      <c r="A23" s="1031" t="s">
        <v>160</v>
      </c>
      <c r="B23" s="1032"/>
      <c r="C23" s="1032"/>
      <c r="D23" s="1002" t="s">
        <v>159</v>
      </c>
      <c r="E23" s="1033">
        <f>'[3]21'!F23</f>
        <v>1700</v>
      </c>
      <c r="F23" s="1033">
        <v>1700</v>
      </c>
      <c r="G23" s="1027">
        <v>0</v>
      </c>
      <c r="H23" s="1005">
        <f>G23+'[3]21'!H23</f>
        <v>0</v>
      </c>
      <c r="I23" s="1024"/>
      <c r="J23" s="1007">
        <f>H23/DAY(B2)</f>
        <v>0</v>
      </c>
      <c r="K23" s="1023"/>
      <c r="L23" s="982"/>
      <c r="N23" s="1170">
        <v>0</v>
      </c>
      <c r="O23" s="1009">
        <f t="shared" si="0"/>
        <v>0</v>
      </c>
    </row>
    <row r="24" spans="1:15">
      <c r="A24" s="1046" t="s">
        <v>161</v>
      </c>
      <c r="B24" s="1047"/>
      <c r="C24" s="1047"/>
      <c r="D24" s="989" t="s">
        <v>159</v>
      </c>
      <c r="E24" s="1033">
        <f>'[3]21'!F24</f>
        <v>3310</v>
      </c>
      <c r="F24" s="1048">
        <v>3310</v>
      </c>
      <c r="G24" s="1027">
        <v>0</v>
      </c>
      <c r="H24" s="1005">
        <f>G24+'[3]21'!H24</f>
        <v>0</v>
      </c>
      <c r="I24" s="1024"/>
      <c r="J24" s="1007">
        <f>H24/DAY(B2)</f>
        <v>0</v>
      </c>
      <c r="K24" s="1023"/>
      <c r="L24" s="982"/>
      <c r="N24" s="1170">
        <v>0</v>
      </c>
      <c r="O24" s="1009">
        <f t="shared" si="0"/>
        <v>0</v>
      </c>
    </row>
    <row r="25" spans="1:15" s="1054" customFormat="1">
      <c r="A25" s="1619" t="s">
        <v>162</v>
      </c>
      <c r="B25" s="1620"/>
      <c r="C25" s="162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>
        <f t="shared" si="0"/>
        <v>0</v>
      </c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>
        <f t="shared" si="0"/>
        <v>0</v>
      </c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19518</v>
      </c>
      <c r="F27" s="641">
        <v>9.5</v>
      </c>
      <c r="G27" s="1064">
        <f>E27*F27</f>
        <v>185421</v>
      </c>
      <c r="H27" s="1005">
        <f>G27+'[3]21'!H27</f>
        <v>3917011.5</v>
      </c>
      <c r="I27" s="1065"/>
      <c r="J27" s="1007">
        <f>H27/DAY(B2)</f>
        <v>178045.97727272726</v>
      </c>
      <c r="K27" s="1023"/>
      <c r="L27" s="1053"/>
      <c r="N27" s="1171">
        <v>125510</v>
      </c>
      <c r="O27" s="1009">
        <f t="shared" si="0"/>
        <v>-59911</v>
      </c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386</v>
      </c>
      <c r="F28" s="641">
        <v>36.5</v>
      </c>
      <c r="G28" s="1064">
        <f>E28*F28</f>
        <v>14089</v>
      </c>
      <c r="H28" s="1005">
        <f>G28+'[3]21'!H28</f>
        <v>428393.4190000036</v>
      </c>
      <c r="I28" s="1066"/>
      <c r="J28" s="1007">
        <f>H28/DAY(B2)</f>
        <v>19472.4281363638</v>
      </c>
      <c r="K28" s="1023"/>
      <c r="L28" s="1053"/>
      <c r="N28" s="1171">
        <v>17472.349999998696</v>
      </c>
      <c r="O28" s="1009">
        <f t="shared" si="0"/>
        <v>3383.3499999986961</v>
      </c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G29+'[3]21'!H29</f>
        <v>0</v>
      </c>
      <c r="I29" s="1066"/>
      <c r="J29" s="1007">
        <f>H29/DAY(B2)</f>
        <v>0</v>
      </c>
      <c r="K29" s="1023"/>
      <c r="L29" s="1053"/>
      <c r="N29" s="1171">
        <v>0</v>
      </c>
      <c r="O29" s="1009">
        <f t="shared" si="0"/>
        <v>0</v>
      </c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51</v>
      </c>
      <c r="F30" s="641">
        <v>145</v>
      </c>
      <c r="G30" s="1064">
        <f>E30*F30</f>
        <v>7395</v>
      </c>
      <c r="H30" s="1005">
        <f>G30+'[3]21'!H30</f>
        <v>167765</v>
      </c>
      <c r="I30" s="1066"/>
      <c r="J30" s="1007">
        <f>H30/DAY(B2)</f>
        <v>7625.681818181818</v>
      </c>
      <c r="K30" s="1023"/>
      <c r="L30" s="1053"/>
      <c r="N30" s="1171">
        <v>7102</v>
      </c>
      <c r="O30" s="1009">
        <f t="shared" si="0"/>
        <v>-293</v>
      </c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G31+'[3]21'!H31</f>
        <v>179200</v>
      </c>
      <c r="I31" s="1066"/>
      <c r="J31" s="1007"/>
      <c r="K31" s="1023"/>
      <c r="L31" s="1053"/>
      <c r="N31" s="1171">
        <v>1600</v>
      </c>
      <c r="O31" s="1009">
        <f t="shared" si="0"/>
        <v>-8000</v>
      </c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216505</v>
      </c>
      <c r="H32" s="1005">
        <f>G32+'[3]21'!H32</f>
        <v>4692369.9190000035</v>
      </c>
      <c r="I32" s="1072"/>
      <c r="J32" s="1007">
        <f>H32/DAY(B2)</f>
        <v>213289.54177272742</v>
      </c>
      <c r="K32" s="1023"/>
      <c r="L32" s="1053"/>
      <c r="N32" s="1171">
        <v>151684.3499999987</v>
      </c>
      <c r="O32" s="1009">
        <f t="shared" si="0"/>
        <v>-64820.650000001304</v>
      </c>
    </row>
    <row r="33" spans="1:15" ht="18.75">
      <c r="A33" s="1627" t="s">
        <v>173</v>
      </c>
      <c r="B33" s="1628"/>
      <c r="C33" s="1628"/>
      <c r="D33" s="1628"/>
      <c r="E33" s="1628"/>
      <c r="F33" s="1628"/>
      <c r="G33" s="1628"/>
      <c r="H33" s="1628"/>
      <c r="I33" s="1628"/>
      <c r="J33" s="1629"/>
      <c r="K33" s="1023"/>
      <c r="L33" s="982"/>
      <c r="O33" s="1009">
        <f t="shared" si="0"/>
        <v>0</v>
      </c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>
        <f t="shared" si="0"/>
        <v>0</v>
      </c>
    </row>
    <row r="35" spans="1:15">
      <c r="A35" s="1000" t="s">
        <v>175</v>
      </c>
      <c r="B35" s="1001"/>
      <c r="C35" s="1001"/>
      <c r="D35" s="1002" t="s">
        <v>143</v>
      </c>
      <c r="E35" s="1003">
        <f>'[3]21'!F35</f>
        <v>629027</v>
      </c>
      <c r="F35" s="1075">
        <v>629027</v>
      </c>
      <c r="G35" s="1004">
        <f t="shared" ref="G35:G46" si="3">F35-E35</f>
        <v>0</v>
      </c>
      <c r="H35" s="1005">
        <f>G35+'[3]21'!H35</f>
        <v>25857.530000000028</v>
      </c>
      <c r="I35" s="1003"/>
      <c r="J35" s="1007">
        <f>H35/DAY(B2)</f>
        <v>1175.3422727272739</v>
      </c>
      <c r="K35" s="1023"/>
      <c r="L35" s="982"/>
      <c r="N35" s="1170">
        <v>1529.8400000000256</v>
      </c>
      <c r="O35" s="1009">
        <f t="shared" si="0"/>
        <v>1529.8400000000256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'[3]21'!F36</f>
        <v>223475.65</v>
      </c>
      <c r="F36" s="1075">
        <v>224002.07</v>
      </c>
      <c r="G36" s="1004">
        <f t="shared" si="3"/>
        <v>526.42000000001281</v>
      </c>
      <c r="H36" s="1005">
        <f>G36+'[3]21'!H36</f>
        <v>12642.119999999995</v>
      </c>
      <c r="I36" s="1003"/>
      <c r="J36" s="1007">
        <f>H36/DAY(B2)</f>
        <v>574.64181818181794</v>
      </c>
      <c r="K36" s="1023"/>
      <c r="L36" s="982"/>
      <c r="N36" s="1170">
        <v>466.20999999999185</v>
      </c>
      <c r="O36" s="1009">
        <f t="shared" si="0"/>
        <v>-60.210000000020955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'[3]21'!F37</f>
        <v>415066</v>
      </c>
      <c r="F37" s="1075">
        <v>415066</v>
      </c>
      <c r="G37" s="1004">
        <f t="shared" si="3"/>
        <v>0</v>
      </c>
      <c r="H37" s="1005">
        <f>G37+'[3]21'!H37</f>
        <v>15221.809999999998</v>
      </c>
      <c r="I37" s="1003"/>
      <c r="J37" s="1007">
        <f>H37/DAY(B2)</f>
        <v>691.90045454545441</v>
      </c>
      <c r="K37" s="1023"/>
      <c r="L37" s="982"/>
      <c r="N37" s="1170">
        <v>1215.359999999986</v>
      </c>
      <c r="O37" s="1009">
        <f t="shared" si="0"/>
        <v>1215.359999999986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'[3]21'!F38</f>
        <v>150714.38</v>
      </c>
      <c r="F38" s="992">
        <v>150714.38</v>
      </c>
      <c r="G38" s="1004">
        <f t="shared" si="3"/>
        <v>0</v>
      </c>
      <c r="H38" s="1005">
        <f>G38+'[3]21'!H38</f>
        <v>0.38000000000465661</v>
      </c>
      <c r="I38" s="1003"/>
      <c r="J38" s="1007">
        <f>H38/DAY(B2)</f>
        <v>1.7272727272938937E-2</v>
      </c>
      <c r="K38" s="1023"/>
      <c r="L38" s="982"/>
      <c r="N38" s="1170">
        <v>0</v>
      </c>
      <c r="O38" s="1009">
        <f t="shared" si="0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'[3]21'!F39</f>
        <v>912480</v>
      </c>
      <c r="F39" s="1075">
        <v>912480</v>
      </c>
      <c r="G39" s="1004">
        <f t="shared" si="3"/>
        <v>0</v>
      </c>
      <c r="H39" s="1005">
        <f>G39+'[3]21'!H39</f>
        <v>40355.290000000037</v>
      </c>
      <c r="I39" s="1003"/>
      <c r="J39" s="1007">
        <f>H39/DAY(B2)</f>
        <v>1834.3313636363653</v>
      </c>
      <c r="K39" s="1023"/>
      <c r="L39" s="982"/>
      <c r="N39" s="1170">
        <v>2046.7600000000093</v>
      </c>
      <c r="O39" s="1009">
        <f t="shared" si="0"/>
        <v>2046.7600000000093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'[3]21'!F40</f>
        <v>0</v>
      </c>
      <c r="F40" s="1075">
        <v>0</v>
      </c>
      <c r="G40" s="1004">
        <f t="shared" si="3"/>
        <v>0</v>
      </c>
      <c r="H40" s="1005">
        <f>G40+'[3]21'!H40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0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'[3]21'!F41</f>
        <v>300127.95</v>
      </c>
      <c r="F41" s="1075">
        <v>300127.95</v>
      </c>
      <c r="G41" s="1004">
        <f t="shared" si="3"/>
        <v>0</v>
      </c>
      <c r="H41" s="1005">
        <f>G41+'[3]21'!H41</f>
        <v>-1.9999999960418791E-2</v>
      </c>
      <c r="I41" s="1003"/>
      <c r="J41" s="1007">
        <f>H41/DAY(B2)</f>
        <v>-9.0909090729176319E-4</v>
      </c>
      <c r="K41" s="1023"/>
      <c r="L41" s="982"/>
      <c r="N41" s="1170">
        <v>0.95000000001164153</v>
      </c>
      <c r="O41" s="1009">
        <f t="shared" si="0"/>
        <v>0.95000000001164153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'[3]21'!F42</f>
        <v>396197.95</v>
      </c>
      <c r="F42" s="1075">
        <v>396197.95</v>
      </c>
      <c r="G42" s="1004">
        <f t="shared" si="3"/>
        <v>0</v>
      </c>
      <c r="H42" s="1005">
        <f>G42+'[3]21'!H42</f>
        <v>0.48000000003958121</v>
      </c>
      <c r="I42" s="1003"/>
      <c r="J42" s="1007">
        <f>H42/DAY(B2)</f>
        <v>2.1818181819980964E-2</v>
      </c>
      <c r="K42" s="1023"/>
      <c r="L42" s="982"/>
      <c r="N42" s="1170">
        <v>3270.130000000001</v>
      </c>
      <c r="O42" s="1009">
        <f t="shared" si="0"/>
        <v>3270.130000000001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'[3]21'!F43</f>
        <v>608616.94999999995</v>
      </c>
      <c r="F43" s="1075">
        <v>611188.67000000004</v>
      </c>
      <c r="G43" s="1004">
        <f>F43-E43</f>
        <v>2571.7200000000885</v>
      </c>
      <c r="H43" s="1005">
        <f>G43+'[3]21'!H43</f>
        <v>52864.600000000093</v>
      </c>
      <c r="I43" s="1003"/>
      <c r="J43" s="1007">
        <f>H43/DAY(B2)</f>
        <v>2402.9363636363678</v>
      </c>
      <c r="K43" s="1023"/>
      <c r="L43" s="982"/>
      <c r="N43" s="1170">
        <v>1586.2399999999907</v>
      </c>
      <c r="O43" s="1009">
        <f t="shared" si="0"/>
        <v>-985.48000000009779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'[3]21'!F44</f>
        <v>0</v>
      </c>
      <c r="F44" s="1075">
        <v>0</v>
      </c>
      <c r="G44" s="1004">
        <f t="shared" si="3"/>
        <v>0</v>
      </c>
      <c r="H44" s="1005">
        <f>G44+'[3]21'!H44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0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'[3]21'!F45</f>
        <v>614</v>
      </c>
      <c r="F45" s="1075">
        <v>614</v>
      </c>
      <c r="G45" s="1004">
        <f t="shared" si="3"/>
        <v>0</v>
      </c>
      <c r="H45" s="1005">
        <f>G45+'[3]21'!H45</f>
        <v>-0.48000000000001819</v>
      </c>
      <c r="I45" s="1003"/>
      <c r="J45" s="1007">
        <f>H45/DAY(B2)</f>
        <v>-2.1818181818182646E-2</v>
      </c>
      <c r="K45" s="1023"/>
      <c r="L45" s="982"/>
      <c r="N45" s="1170">
        <v>0.48000000000001819</v>
      </c>
      <c r="O45" s="1009">
        <f t="shared" si="0"/>
        <v>0.48000000000001819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'[3]21'!F46</f>
        <v>187.44</v>
      </c>
      <c r="F46" s="1075">
        <v>187</v>
      </c>
      <c r="G46" s="1004">
        <f t="shared" si="3"/>
        <v>-0.43999999999999773</v>
      </c>
      <c r="H46" s="1005">
        <f>G46+'[3]21'!H46</f>
        <v>-0.49000000000000909</v>
      </c>
      <c r="I46" s="1003"/>
      <c r="J46" s="1007">
        <f>H46/DAY(B2)</f>
        <v>-2.2272727272727687E-2</v>
      </c>
      <c r="K46" s="1023"/>
      <c r="L46" s="982"/>
      <c r="N46" s="1170">
        <v>0</v>
      </c>
      <c r="O46" s="1009">
        <f t="shared" si="0"/>
        <v>0.43999999999999773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3097.7000000001012</v>
      </c>
      <c r="H47" s="1005">
        <f>G47+'[3]21'!H47</f>
        <v>146941.22000000026</v>
      </c>
      <c r="I47" s="1003"/>
      <c r="J47" s="1007">
        <f>H47/DAY(B2)</f>
        <v>6679.146363636376</v>
      </c>
      <c r="K47" s="1023"/>
      <c r="L47" s="982"/>
      <c r="N47" s="1172">
        <v>10115.970000000016</v>
      </c>
      <c r="O47" s="1009">
        <f t="shared" si="0"/>
        <v>7018.2699999999149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0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'[3]21'!F49</f>
        <v>38638.22</v>
      </c>
      <c r="F49" s="1075">
        <v>41352.32</v>
      </c>
      <c r="G49" s="1004">
        <f t="shared" ref="G49:G58" si="4">F49-E49</f>
        <v>2714.0999999999985</v>
      </c>
      <c r="H49" s="1005">
        <f>G49+'[3]21'!H49</f>
        <v>29623.031999999999</v>
      </c>
      <c r="I49" s="1003"/>
      <c r="J49" s="1007">
        <f>H49/DAY(B2)</f>
        <v>1346.5014545454544</v>
      </c>
      <c r="K49" s="1023"/>
      <c r="L49" s="982"/>
      <c r="N49" s="1170">
        <v>0</v>
      </c>
      <c r="O49" s="1009">
        <f t="shared" si="0"/>
        <v>-2714.0999999999985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'[3]21'!F50</f>
        <v>285412.21000000002</v>
      </c>
      <c r="F50" s="1075">
        <v>286430.40999999997</v>
      </c>
      <c r="G50" s="1004">
        <f t="shared" si="4"/>
        <v>1018.1999999999534</v>
      </c>
      <c r="H50" s="1005">
        <f>G50+'[3]21'!H50</f>
        <v>20371.469999999972</v>
      </c>
      <c r="I50" s="1003"/>
      <c r="J50" s="1007">
        <f>H50/DAY(B2)</f>
        <v>925.97590909090786</v>
      </c>
      <c r="K50" s="1023"/>
      <c r="L50" s="982"/>
      <c r="N50" s="1170">
        <v>812.01999999998952</v>
      </c>
      <c r="O50" s="1009">
        <f t="shared" si="0"/>
        <v>-206.17999999996391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'[3]21'!F51</f>
        <v>6533.61</v>
      </c>
      <c r="F51" s="1075">
        <v>7967.5</v>
      </c>
      <c r="G51" s="1004">
        <f t="shared" si="4"/>
        <v>1433.8900000000003</v>
      </c>
      <c r="H51" s="1005">
        <f>G51+'[3]21'!H51</f>
        <v>15942.551900000002</v>
      </c>
      <c r="I51" s="1003"/>
      <c r="J51" s="1007">
        <f>H51/DAY(B2)</f>
        <v>724.66145000000006</v>
      </c>
      <c r="K51" s="1023"/>
      <c r="L51" s="982"/>
      <c r="N51" s="1170">
        <v>0</v>
      </c>
      <c r="O51" s="1009">
        <f t="shared" si="0"/>
        <v>-1433.8900000000003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'[3]21'!F52</f>
        <v>355224.35</v>
      </c>
      <c r="F52" s="1075">
        <v>356885.07</v>
      </c>
      <c r="G52" s="1004">
        <f t="shared" si="4"/>
        <v>1660.7200000000303</v>
      </c>
      <c r="H52" s="1005">
        <f>G52+'[3]21'!H52</f>
        <v>34595.650000000023</v>
      </c>
      <c r="I52" s="1003"/>
      <c r="J52" s="1007">
        <f>H52/DAY(B2)</f>
        <v>1572.5295454545465</v>
      </c>
      <c r="K52" s="1023"/>
      <c r="L52" s="982"/>
      <c r="N52" s="1170">
        <v>1058.2600000000093</v>
      </c>
      <c r="O52" s="1009">
        <f t="shared" si="0"/>
        <v>-602.46000000002095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'[3]21'!F53</f>
        <v>8141.95</v>
      </c>
      <c r="F53" s="1075">
        <v>12135.57</v>
      </c>
      <c r="G53" s="1004">
        <f t="shared" si="4"/>
        <v>3993.62</v>
      </c>
      <c r="H53" s="1005">
        <f>G53+'[3]21'!H53</f>
        <v>23016.57</v>
      </c>
      <c r="I53" s="1003"/>
      <c r="J53" s="1007">
        <f>H53/DAY(B2)</f>
        <v>1046.2077272727272</v>
      </c>
      <c r="K53" s="1023"/>
      <c r="L53" s="982"/>
      <c r="N53" s="1170">
        <v>104.8799999999992</v>
      </c>
      <c r="O53" s="1009">
        <f t="shared" si="0"/>
        <v>-3888.7400000000007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'[3]21'!F54</f>
        <v>2661.45</v>
      </c>
      <c r="F54" s="1075">
        <v>2666.1</v>
      </c>
      <c r="G54" s="1004">
        <f t="shared" si="4"/>
        <v>4.6500000000000909</v>
      </c>
      <c r="H54" s="1005">
        <f>G54+'[3]21'!H54</f>
        <v>1113.5392999999999</v>
      </c>
      <c r="I54" s="1003"/>
      <c r="J54" s="1007">
        <f>H54/DAY(B2)</f>
        <v>50.615422727272723</v>
      </c>
      <c r="K54" s="1023"/>
      <c r="L54" s="982"/>
      <c r="N54" s="1170">
        <v>0</v>
      </c>
      <c r="O54" s="1009">
        <f t="shared" si="0"/>
        <v>-4.6500000000000909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'[3]21'!F55</f>
        <v>158492.73000000001</v>
      </c>
      <c r="F55" s="1075">
        <v>158492.73000000001</v>
      </c>
      <c r="G55" s="1004">
        <f t="shared" si="4"/>
        <v>0</v>
      </c>
      <c r="H55" s="1005">
        <f>G55+'[3]21'!H55</f>
        <v>-0.26999999998952262</v>
      </c>
      <c r="I55" s="1003"/>
      <c r="J55" s="1007">
        <f>H55/DAY(B2)</f>
        <v>-1.2272727272251028E-2</v>
      </c>
      <c r="K55" s="1023"/>
      <c r="L55" s="982"/>
      <c r="N55" s="1170">
        <v>0</v>
      </c>
      <c r="O55" s="1009">
        <f t="shared" si="0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'[3]21'!F56</f>
        <v>396439.27</v>
      </c>
      <c r="F56" s="1075">
        <v>401282.03</v>
      </c>
      <c r="G56" s="1004">
        <f t="shared" si="4"/>
        <v>4842.7600000000093</v>
      </c>
      <c r="H56" s="1005">
        <f>G56+'[3]21'!H56</f>
        <v>89237.550000000047</v>
      </c>
      <c r="I56" s="1003"/>
      <c r="J56" s="1007">
        <f>H56/DAY(B2)</f>
        <v>4056.2522727272749</v>
      </c>
      <c r="K56" s="999"/>
      <c r="L56" s="982"/>
      <c r="N56" s="1170">
        <v>0</v>
      </c>
      <c r="O56" s="1009">
        <f t="shared" si="0"/>
        <v>-4842.7600000000093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'[3]21'!F57</f>
        <v>0</v>
      </c>
      <c r="F57" s="1075">
        <v>0</v>
      </c>
      <c r="G57" s="1004">
        <f t="shared" si="4"/>
        <v>0</v>
      </c>
      <c r="H57" s="1005">
        <f>G57+'[3]21'!H57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0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'[3]21'!F58</f>
        <v>19306.349999999999</v>
      </c>
      <c r="F58" s="1075">
        <v>19306.349999999999</v>
      </c>
      <c r="G58" s="1004">
        <f t="shared" si="4"/>
        <v>0</v>
      </c>
      <c r="H58" s="1005">
        <f>G58+'[3]21'!H58</f>
        <v>1537.0539999999964</v>
      </c>
      <c r="I58" s="1003"/>
      <c r="J58" s="1007">
        <f>H58/DAY(B2)</f>
        <v>69.866090909090744</v>
      </c>
      <c r="K58" s="1023"/>
      <c r="L58" s="982"/>
      <c r="N58" s="1170">
        <v>120.15000000000146</v>
      </c>
      <c r="O58" s="1009">
        <f t="shared" si="0"/>
        <v>120.15000000000146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15667.939999999991</v>
      </c>
      <c r="H59" s="1005">
        <f>G59+'[3]21'!H59</f>
        <v>215437.14720000006</v>
      </c>
      <c r="I59" s="1003">
        <f>G7-G60</f>
        <v>555.35999999990599</v>
      </c>
      <c r="J59" s="1007">
        <f>H59/DAY(B2)</f>
        <v>9792.5976000000028</v>
      </c>
      <c r="K59" s="1023"/>
      <c r="L59" s="982"/>
      <c r="N59" s="1170">
        <v>2095.3099999999995</v>
      </c>
      <c r="O59" s="1009">
        <f t="shared" si="0"/>
        <v>-13572.629999999992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18765.640000000094</v>
      </c>
      <c r="H60" s="1005">
        <f>G60+'[3]21'!H60</f>
        <v>376764.52790000022</v>
      </c>
      <c r="I60" s="1003">
        <f>G13-G60</f>
        <v>-168.81000000019412</v>
      </c>
      <c r="J60" s="1007">
        <f>H60/DAY(B2)</f>
        <v>17125.660359090918</v>
      </c>
      <c r="K60" s="1023"/>
      <c r="L60" s="982"/>
      <c r="N60" s="1170">
        <v>12211.280000000015</v>
      </c>
      <c r="O60" s="1009">
        <f t="shared" si="0"/>
        <v>-6554.3600000000788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 t="shared" si="0"/>
        <v>0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'[3]21'!F62</f>
        <v>20419.2</v>
      </c>
      <c r="F62" s="1085">
        <v>20419.2</v>
      </c>
      <c r="G62" s="1004">
        <f t="shared" ref="G62:G69" si="5">F62-E62</f>
        <v>0</v>
      </c>
      <c r="H62" s="1005">
        <f>G62+'[3]21'!H62</f>
        <v>-0.17799999999624561</v>
      </c>
      <c r="I62" s="1086"/>
      <c r="J62" s="1007">
        <f>H62/DAY(B2)</f>
        <v>-8.0909090907384362E-3</v>
      </c>
      <c r="K62" s="1023"/>
      <c r="L62" s="982"/>
      <c r="N62" s="1170">
        <v>0</v>
      </c>
      <c r="O62" s="1009">
        <f t="shared" si="0"/>
        <v>0</v>
      </c>
    </row>
    <row r="63" spans="1:15">
      <c r="A63" s="1083" t="s">
        <v>199</v>
      </c>
      <c r="B63" s="1084"/>
      <c r="C63" s="1084"/>
      <c r="D63" s="989" t="s">
        <v>198</v>
      </c>
      <c r="E63" s="1003">
        <f>'[3]21'!F63</f>
        <v>707.22</v>
      </c>
      <c r="F63" s="1085">
        <v>725.2</v>
      </c>
      <c r="G63" s="1004">
        <f t="shared" si="5"/>
        <v>17.980000000000018</v>
      </c>
      <c r="H63" s="1005">
        <f>G63+'[3]21'!H63</f>
        <v>426.74000000000007</v>
      </c>
      <c r="I63" s="1086"/>
      <c r="J63" s="1007">
        <f>H63/DAY(B2)</f>
        <v>19.397272727272732</v>
      </c>
      <c r="K63" s="1023"/>
      <c r="L63" s="982"/>
      <c r="N63" s="1170">
        <v>0</v>
      </c>
      <c r="O63" s="1009">
        <f t="shared" si="0"/>
        <v>-17.980000000000018</v>
      </c>
    </row>
    <row r="64" spans="1:15">
      <c r="A64" s="1593" t="s">
        <v>107</v>
      </c>
      <c r="B64" s="1594"/>
      <c r="C64" s="1595"/>
      <c r="D64" s="1002" t="s">
        <v>198</v>
      </c>
      <c r="E64" s="1003">
        <f>'[3]21'!F64</f>
        <v>83472.91</v>
      </c>
      <c r="F64" s="1033">
        <v>83820.23</v>
      </c>
      <c r="G64" s="1004">
        <f t="shared" si="5"/>
        <v>347.31999999999243</v>
      </c>
      <c r="H64" s="1005">
        <f>G64+'[3]21'!H64</f>
        <v>7757.1429999999964</v>
      </c>
      <c r="I64" s="1024"/>
      <c r="J64" s="1007">
        <f>H64/DAY(B2)</f>
        <v>352.59740909090891</v>
      </c>
      <c r="K64" s="1023"/>
      <c r="L64" s="982"/>
      <c r="N64" s="1170">
        <v>178.5199999999968</v>
      </c>
      <c r="O64" s="1009">
        <f t="shared" si="0"/>
        <v>-168.79999999999563</v>
      </c>
    </row>
    <row r="65" spans="1:15">
      <c r="A65" s="1593" t="s">
        <v>108</v>
      </c>
      <c r="B65" s="1594"/>
      <c r="C65" s="1595"/>
      <c r="D65" s="1002" t="s">
        <v>198</v>
      </c>
      <c r="E65" s="1003">
        <f>'[3]21'!F65</f>
        <v>93154.87</v>
      </c>
      <c r="F65" s="1033">
        <v>93532.53</v>
      </c>
      <c r="G65" s="1004">
        <f t="shared" si="5"/>
        <v>377.66000000000349</v>
      </c>
      <c r="H65" s="1005">
        <f>G65+'[3]21'!H65</f>
        <v>8373.2669999999925</v>
      </c>
      <c r="I65" s="1042"/>
      <c r="J65" s="1007">
        <f>H65/DAY(B2)</f>
        <v>380.60304545454511</v>
      </c>
      <c r="K65" s="1023"/>
      <c r="L65" s="982"/>
      <c r="N65" s="1170">
        <v>198.38999999999942</v>
      </c>
      <c r="O65" s="1009">
        <f t="shared" si="0"/>
        <v>-179.27000000000407</v>
      </c>
    </row>
    <row r="66" spans="1:15">
      <c r="A66" s="1593" t="s">
        <v>109</v>
      </c>
      <c r="B66" s="1594"/>
      <c r="C66" s="1595"/>
      <c r="D66" s="1002" t="s">
        <v>198</v>
      </c>
      <c r="E66" s="1003">
        <f>'[3]21'!F66</f>
        <v>86367.83</v>
      </c>
      <c r="F66" s="1033">
        <v>86772.19</v>
      </c>
      <c r="G66" s="1004">
        <f t="shared" si="5"/>
        <v>404.36000000000058</v>
      </c>
      <c r="H66" s="1005">
        <f>G66+'[3]21'!H66</f>
        <v>8584.2320000000036</v>
      </c>
      <c r="I66" s="1024"/>
      <c r="J66" s="1007">
        <f>H66/DAY(B2)</f>
        <v>390.19236363636378</v>
      </c>
      <c r="K66" s="1023"/>
      <c r="L66" s="982"/>
      <c r="N66" s="1170">
        <v>226.35000000000582</v>
      </c>
      <c r="O66" s="1009">
        <f t="shared" si="0"/>
        <v>-178.00999999999476</v>
      </c>
    </row>
    <row r="67" spans="1:15">
      <c r="A67" s="1593" t="s">
        <v>110</v>
      </c>
      <c r="B67" s="1594"/>
      <c r="C67" s="1595"/>
      <c r="D67" s="1002" t="s">
        <v>198</v>
      </c>
      <c r="E67" s="1003">
        <f>'[3]21'!F67</f>
        <v>139625.19</v>
      </c>
      <c r="F67" s="1033">
        <v>140286.53</v>
      </c>
      <c r="G67" s="1004">
        <f t="shared" si="5"/>
        <v>661.33999999999651</v>
      </c>
      <c r="H67" s="1005">
        <f>G67+'[3]21'!H67</f>
        <v>14230.029999999999</v>
      </c>
      <c r="I67" s="1042"/>
      <c r="J67" s="1007">
        <f>H67/DAY(B2)</f>
        <v>646.81954545454539</v>
      </c>
      <c r="K67" s="1030"/>
      <c r="L67" s="982"/>
      <c r="N67" s="1170">
        <v>312.47000000000116</v>
      </c>
      <c r="O67" s="1009">
        <f t="shared" si="0"/>
        <v>-348.86999999999534</v>
      </c>
    </row>
    <row r="68" spans="1:15">
      <c r="A68" s="1593" t="s">
        <v>111</v>
      </c>
      <c r="B68" s="1594"/>
      <c r="C68" s="1595"/>
      <c r="D68" s="1002" t="s">
        <v>198</v>
      </c>
      <c r="E68" s="1003">
        <f>'[3]21'!F68</f>
        <v>40004.76</v>
      </c>
      <c r="F68" s="1033">
        <v>40328.19</v>
      </c>
      <c r="G68" s="1004">
        <f t="shared" si="5"/>
        <v>323.43000000000029</v>
      </c>
      <c r="H68" s="1005">
        <f>G68+'[3]21'!H68</f>
        <v>6928.3210000000036</v>
      </c>
      <c r="I68" s="1087"/>
      <c r="J68" s="1007">
        <f>H68/DAY(B2)</f>
        <v>314.92368181818199</v>
      </c>
      <c r="K68" s="1088"/>
      <c r="L68" s="982"/>
      <c r="N68" s="1170">
        <v>142.1200000000008</v>
      </c>
      <c r="O68" s="1009">
        <f t="shared" si="0"/>
        <v>-181.30999999999949</v>
      </c>
    </row>
    <row r="69" spans="1:15">
      <c r="A69" s="1593" t="s">
        <v>112</v>
      </c>
      <c r="B69" s="1594"/>
      <c r="C69" s="1595"/>
      <c r="D69" s="1002" t="s">
        <v>198</v>
      </c>
      <c r="E69" s="1003">
        <f>'[3]21'!F69</f>
        <v>34964.14</v>
      </c>
      <c r="F69" s="1033">
        <v>35250.980000000003</v>
      </c>
      <c r="G69" s="1004">
        <f t="shared" si="5"/>
        <v>286.84000000000378</v>
      </c>
      <c r="H69" s="1005">
        <f>G69+'[3]21'!H69</f>
        <v>5998.6150000000016</v>
      </c>
      <c r="I69" s="1087"/>
      <c r="J69" s="1007">
        <f>H69/DAY(B2)</f>
        <v>272.66431818181826</v>
      </c>
      <c r="K69" s="1089"/>
      <c r="L69" s="982"/>
      <c r="N69" s="1170">
        <v>12.869999999998981</v>
      </c>
      <c r="O69" s="1009">
        <f t="shared" si="0"/>
        <v>-273.9700000000048</v>
      </c>
    </row>
    <row r="70" spans="1:15">
      <c r="A70" s="1613" t="s">
        <v>200</v>
      </c>
      <c r="B70" s="1614"/>
      <c r="C70" s="1615"/>
      <c r="D70" s="1002" t="s">
        <v>198</v>
      </c>
      <c r="E70" s="1090"/>
      <c r="F70" s="1091"/>
      <c r="G70" s="1091"/>
      <c r="H70" s="1005">
        <f>G70+'[3]21'!H70</f>
        <v>0</v>
      </c>
      <c r="I70" s="1091"/>
      <c r="J70" s="1092"/>
      <c r="K70" s="1089"/>
      <c r="L70" s="982"/>
      <c r="O70" s="1009">
        <f t="shared" si="0"/>
        <v>0</v>
      </c>
    </row>
    <row r="71" spans="1:15" ht="22.5">
      <c r="A71" s="1610" t="s">
        <v>201</v>
      </c>
      <c r="B71" s="1611"/>
      <c r="C71" s="1611"/>
      <c r="D71" s="1611"/>
      <c r="E71" s="1611"/>
      <c r="F71" s="1611"/>
      <c r="G71" s="1611"/>
      <c r="H71" s="1611"/>
      <c r="I71" s="1611"/>
      <c r="J71" s="1612"/>
      <c r="K71" s="1088"/>
      <c r="L71" s="982"/>
      <c r="O71" s="1009">
        <f t="shared" si="0"/>
        <v>0</v>
      </c>
    </row>
    <row r="72" spans="1:15">
      <c r="A72" s="1593" t="s">
        <v>202</v>
      </c>
      <c r="B72" s="1594"/>
      <c r="C72" s="1595"/>
      <c r="D72" s="1002" t="s">
        <v>198</v>
      </c>
      <c r="E72" s="1003">
        <f>'[3]21'!F72</f>
        <v>844104</v>
      </c>
      <c r="F72" s="1093">
        <v>844112</v>
      </c>
      <c r="G72" s="1004">
        <f t="shared" ref="G72:G84" si="6">F72-E72</f>
        <v>8</v>
      </c>
      <c r="H72" s="1005">
        <f>G72+'[3]21'!H72</f>
        <v>170</v>
      </c>
      <c r="I72" s="1024"/>
      <c r="J72" s="1007">
        <f>H72/DAY(B2)</f>
        <v>7.7272727272727275</v>
      </c>
      <c r="K72" s="1089"/>
      <c r="L72" s="982"/>
      <c r="N72" s="1170">
        <v>18</v>
      </c>
      <c r="O72" s="1009">
        <f t="shared" ref="O72:O135" si="7">N72-G72</f>
        <v>10</v>
      </c>
    </row>
    <row r="73" spans="1:15">
      <c r="A73" s="1593" t="s">
        <v>203</v>
      </c>
      <c r="B73" s="1594"/>
      <c r="C73" s="1595"/>
      <c r="D73" s="1002" t="s">
        <v>198</v>
      </c>
      <c r="E73" s="1003">
        <f>'[3]21'!F73</f>
        <v>885298</v>
      </c>
      <c r="F73" s="1094">
        <v>885298</v>
      </c>
      <c r="G73" s="1004">
        <f t="shared" si="6"/>
        <v>0</v>
      </c>
      <c r="H73" s="1005">
        <f>G73+'[3]21'!H73</f>
        <v>170</v>
      </c>
      <c r="I73" s="1024"/>
      <c r="J73" s="1007">
        <f>H73/DAY(B2)</f>
        <v>7.7272727272727275</v>
      </c>
      <c r="K73" s="1088"/>
      <c r="L73" s="982"/>
      <c r="N73" s="1170">
        <v>2</v>
      </c>
      <c r="O73" s="1009">
        <f t="shared" si="7"/>
        <v>2</v>
      </c>
    </row>
    <row r="74" spans="1:15">
      <c r="A74" s="1593" t="s">
        <v>204</v>
      </c>
      <c r="B74" s="1594"/>
      <c r="C74" s="1595"/>
      <c r="D74" s="1002" t="s">
        <v>198</v>
      </c>
      <c r="E74" s="1003">
        <f>'[3]21'!F74</f>
        <v>880032</v>
      </c>
      <c r="F74" s="1095">
        <v>880052</v>
      </c>
      <c r="G74" s="1004">
        <f t="shared" si="6"/>
        <v>20</v>
      </c>
      <c r="H74" s="1005">
        <f>G74+'[3]21'!H74</f>
        <v>416</v>
      </c>
      <c r="I74" s="1024"/>
      <c r="J74" s="1007">
        <f>H74/DAY(B2)</f>
        <v>18.90909090909091</v>
      </c>
      <c r="K74" s="1089"/>
      <c r="L74" s="982"/>
      <c r="N74" s="1170">
        <v>5</v>
      </c>
      <c r="O74" s="1009">
        <f t="shared" si="7"/>
        <v>-15</v>
      </c>
    </row>
    <row r="75" spans="1:15">
      <c r="A75" s="1607" t="s">
        <v>205</v>
      </c>
      <c r="B75" s="1608"/>
      <c r="C75" s="1609"/>
      <c r="D75" s="1002" t="s">
        <v>198</v>
      </c>
      <c r="E75" s="1003">
        <f>'[3]21'!F75</f>
        <v>724690</v>
      </c>
      <c r="F75" s="1095">
        <v>724864</v>
      </c>
      <c r="G75" s="1004">
        <f t="shared" si="6"/>
        <v>174</v>
      </c>
      <c r="H75" s="1005">
        <f>G75+'[3]21'!H75</f>
        <v>3498</v>
      </c>
      <c r="I75" s="1024"/>
      <c r="J75" s="1007">
        <f>H75/DAY(B2)</f>
        <v>159</v>
      </c>
      <c r="K75" s="1088"/>
      <c r="L75" s="982"/>
      <c r="N75" s="1170">
        <v>48</v>
      </c>
      <c r="O75" s="1009">
        <f t="shared" si="7"/>
        <v>-126</v>
      </c>
    </row>
    <row r="76" spans="1:15">
      <c r="A76" s="1607" t="s">
        <v>206</v>
      </c>
      <c r="B76" s="1608"/>
      <c r="C76" s="1609"/>
      <c r="D76" s="1002" t="s">
        <v>198</v>
      </c>
      <c r="E76" s="1003">
        <f>'[3]21'!F76</f>
        <v>681057</v>
      </c>
      <c r="F76" s="1094">
        <v>681121</v>
      </c>
      <c r="G76" s="1004">
        <f t="shared" si="6"/>
        <v>64</v>
      </c>
      <c r="H76" s="1005">
        <f>G76+'[3]21'!H76</f>
        <v>2651</v>
      </c>
      <c r="I76" s="1066"/>
      <c r="J76" s="1007">
        <f>H76/DAY(B2)</f>
        <v>120.5</v>
      </c>
      <c r="K76" s="1088"/>
      <c r="L76" s="982"/>
      <c r="N76" s="1170">
        <v>5</v>
      </c>
      <c r="O76" s="1009">
        <f t="shared" si="7"/>
        <v>-59</v>
      </c>
    </row>
    <row r="77" spans="1:15">
      <c r="A77" s="1593" t="s">
        <v>207</v>
      </c>
      <c r="B77" s="1594"/>
      <c r="C77" s="1595"/>
      <c r="D77" s="1002" t="s">
        <v>198</v>
      </c>
      <c r="E77" s="1003">
        <f>'[3]21'!F77</f>
        <v>693278</v>
      </c>
      <c r="F77" s="1094">
        <v>693326</v>
      </c>
      <c r="G77" s="1004">
        <f t="shared" si="6"/>
        <v>48</v>
      </c>
      <c r="H77" s="1005">
        <f>G77+'[3]21'!H77</f>
        <v>1019</v>
      </c>
      <c r="I77" s="1066"/>
      <c r="J77" s="1007">
        <f>H77/DAY(B2)</f>
        <v>46.31818181818182</v>
      </c>
      <c r="K77" s="1088"/>
      <c r="L77" s="982"/>
      <c r="N77" s="1170">
        <v>2</v>
      </c>
      <c r="O77" s="1009">
        <f t="shared" si="7"/>
        <v>-46</v>
      </c>
    </row>
    <row r="78" spans="1:15">
      <c r="A78" s="1096" t="s">
        <v>208</v>
      </c>
      <c r="B78" s="1370"/>
      <c r="C78" s="1370"/>
      <c r="D78" s="1002" t="s">
        <v>198</v>
      </c>
      <c r="E78" s="1003">
        <f>'[3]21'!F78</f>
        <v>614766</v>
      </c>
      <c r="F78" s="1095">
        <v>615113</v>
      </c>
      <c r="G78" s="1004">
        <f t="shared" si="6"/>
        <v>347</v>
      </c>
      <c r="H78" s="1005">
        <f>G78+'[3]21'!H78</f>
        <v>7099</v>
      </c>
      <c r="I78" s="1066"/>
      <c r="J78" s="1007">
        <f>H78/DAY(B2)</f>
        <v>322.68181818181819</v>
      </c>
      <c r="K78" s="1088"/>
      <c r="L78" s="982"/>
      <c r="N78" s="1170">
        <v>28</v>
      </c>
      <c r="O78" s="1009">
        <f t="shared" si="7"/>
        <v>-319</v>
      </c>
    </row>
    <row r="79" spans="1:15">
      <c r="A79" s="1607" t="s">
        <v>97</v>
      </c>
      <c r="B79" s="1608"/>
      <c r="C79" s="1609"/>
      <c r="D79" s="1036" t="s">
        <v>198</v>
      </c>
      <c r="E79" s="1003">
        <f>'[3]21'!F79</f>
        <v>796272</v>
      </c>
      <c r="F79" s="1095">
        <v>796444</v>
      </c>
      <c r="G79" s="1004">
        <f t="shared" si="6"/>
        <v>172</v>
      </c>
      <c r="H79" s="1005">
        <f>G79+'[3]21'!H79</f>
        <v>5629</v>
      </c>
      <c r="I79" s="1066"/>
      <c r="J79" s="1007">
        <f>H79/DAY(B2)</f>
        <v>255.86363636363637</v>
      </c>
      <c r="K79" s="1088"/>
      <c r="L79" s="982"/>
      <c r="N79" s="1170">
        <v>139</v>
      </c>
      <c r="O79" s="1009">
        <f t="shared" si="7"/>
        <v>-33</v>
      </c>
    </row>
    <row r="80" spans="1:15">
      <c r="A80" s="1607" t="s">
        <v>209</v>
      </c>
      <c r="B80" s="1608"/>
      <c r="C80" s="1609"/>
      <c r="D80" s="1036" t="s">
        <v>198</v>
      </c>
      <c r="E80" s="1003">
        <f>'[3]21'!F80</f>
        <v>462814</v>
      </c>
      <c r="F80" s="1094">
        <v>463107</v>
      </c>
      <c r="G80" s="1004">
        <f t="shared" si="6"/>
        <v>293</v>
      </c>
      <c r="H80" s="1005">
        <f>G80+'[3]21'!H80</f>
        <v>4670.1199999999953</v>
      </c>
      <c r="I80" s="1066"/>
      <c r="J80" s="1007">
        <f>H80/DAY(B2)</f>
        <v>212.27818181818159</v>
      </c>
      <c r="K80" s="1088"/>
      <c r="L80" s="982"/>
      <c r="N80" s="1170">
        <v>177</v>
      </c>
      <c r="O80" s="1009">
        <f t="shared" si="7"/>
        <v>-116</v>
      </c>
    </row>
    <row r="81" spans="1:15">
      <c r="A81" s="1607" t="s">
        <v>210</v>
      </c>
      <c r="B81" s="1608"/>
      <c r="C81" s="1609"/>
      <c r="D81" s="1036" t="s">
        <v>198</v>
      </c>
      <c r="E81" s="1003">
        <f>'[3]21'!F81</f>
        <v>613218</v>
      </c>
      <c r="F81" s="1094">
        <v>613334</v>
      </c>
      <c r="G81" s="1004">
        <f t="shared" si="6"/>
        <v>116</v>
      </c>
      <c r="H81" s="1005">
        <f>G81+'[3]21'!H81</f>
        <v>2211.7199999999721</v>
      </c>
      <c r="I81" s="1066"/>
      <c r="J81" s="1007">
        <f>H81/DAY(B2)</f>
        <v>100.53272727272601</v>
      </c>
      <c r="K81" s="1088"/>
      <c r="L81" s="982"/>
      <c r="N81" s="1170">
        <v>86</v>
      </c>
      <c r="O81" s="1009">
        <f t="shared" si="7"/>
        <v>-30</v>
      </c>
    </row>
    <row r="82" spans="1:15">
      <c r="A82" s="1607" t="s">
        <v>100</v>
      </c>
      <c r="B82" s="1608"/>
      <c r="C82" s="1609"/>
      <c r="D82" s="1037" t="s">
        <v>143</v>
      </c>
      <c r="E82" s="1003">
        <f>'[3]21'!F82</f>
        <v>103374</v>
      </c>
      <c r="F82" s="1097">
        <v>103379</v>
      </c>
      <c r="G82" s="1004">
        <f t="shared" si="6"/>
        <v>5</v>
      </c>
      <c r="H82" s="1005">
        <f>G82+'[3]21'!H82</f>
        <v>349.05000000000291</v>
      </c>
      <c r="I82" s="1038"/>
      <c r="J82" s="1007">
        <f>H82/DAY(B2)</f>
        <v>15.865909090909224</v>
      </c>
      <c r="K82" s="1088"/>
      <c r="L82" s="982"/>
      <c r="N82" s="1170">
        <v>29</v>
      </c>
      <c r="O82" s="1009">
        <f t="shared" si="7"/>
        <v>24</v>
      </c>
    </row>
    <row r="83" spans="1:15">
      <c r="A83" s="1607" t="s">
        <v>211</v>
      </c>
      <c r="B83" s="1608"/>
      <c r="C83" s="1609"/>
      <c r="D83" s="1098" t="s">
        <v>143</v>
      </c>
      <c r="E83" s="1003">
        <f>'[3]21'!F83</f>
        <v>959516</v>
      </c>
      <c r="F83" s="989">
        <v>959842</v>
      </c>
      <c r="G83" s="1004">
        <f t="shared" si="6"/>
        <v>326</v>
      </c>
      <c r="H83" s="1005">
        <f>G83+'[3]21'!H83</f>
        <v>7599</v>
      </c>
      <c r="I83" s="1027"/>
      <c r="J83" s="1007">
        <f>H83/DAY(B2)</f>
        <v>345.40909090909093</v>
      </c>
      <c r="K83" s="1030"/>
      <c r="L83" s="982"/>
      <c r="N83" s="1170">
        <v>228</v>
      </c>
      <c r="O83" s="1009">
        <f t="shared" si="7"/>
        <v>-98</v>
      </c>
    </row>
    <row r="84" spans="1:15">
      <c r="A84" s="1099" t="s">
        <v>212</v>
      </c>
      <c r="B84" s="1100"/>
      <c r="C84" s="1100"/>
      <c r="D84" s="1021" t="s">
        <v>143</v>
      </c>
      <c r="E84" s="1003">
        <f>'[3]21'!F84</f>
        <v>376966</v>
      </c>
      <c r="F84" s="1101">
        <v>377446</v>
      </c>
      <c r="G84" s="1004">
        <f t="shared" si="6"/>
        <v>480</v>
      </c>
      <c r="H84" s="1005">
        <f>G84+'[3]21'!H84</f>
        <v>11013</v>
      </c>
      <c r="I84" s="1027"/>
      <c r="J84" s="1007">
        <f>H84/DAY(B2)</f>
        <v>500.59090909090907</v>
      </c>
      <c r="K84" s="1102"/>
      <c r="L84" s="982"/>
      <c r="N84" s="1170">
        <v>423</v>
      </c>
      <c r="O84" s="1009">
        <f t="shared" si="7"/>
        <v>-57</v>
      </c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2053</v>
      </c>
      <c r="H85" s="1005">
        <f>G85+'[3]21'!H85</f>
        <v>43168.989999999991</v>
      </c>
      <c r="I85" s="1027"/>
      <c r="J85" s="1007">
        <f>H85/DAY(B2)</f>
        <v>1962.2268181818179</v>
      </c>
      <c r="K85" s="1102"/>
      <c r="L85" s="1105"/>
      <c r="N85" s="1173">
        <v>1190</v>
      </c>
      <c r="O85" s="1009">
        <f t="shared" si="7"/>
        <v>-863</v>
      </c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'[3]21'!F86</f>
        <v>439182</v>
      </c>
      <c r="F86" s="1110">
        <v>439289</v>
      </c>
      <c r="G86" s="1111">
        <f t="shared" ref="G86:G90" si="8">F86-E86</f>
        <v>107</v>
      </c>
      <c r="H86" s="1111">
        <f t="shared" ref="H86:H90" si="9">G86</f>
        <v>107</v>
      </c>
      <c r="I86" s="1112"/>
      <c r="J86" s="1113">
        <f>H86/DAY(B2)</f>
        <v>4.8636363636363633</v>
      </c>
      <c r="K86" s="1114"/>
      <c r="L86" s="1115"/>
      <c r="N86" s="1174">
        <v>171</v>
      </c>
      <c r="O86" s="1009">
        <f t="shared" si="7"/>
        <v>64</v>
      </c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'[3]21'!F87</f>
        <v>76638</v>
      </c>
      <c r="F87" s="1110">
        <v>76650</v>
      </c>
      <c r="G87" s="1111">
        <f t="shared" si="8"/>
        <v>12</v>
      </c>
      <c r="H87" s="1111">
        <f t="shared" si="9"/>
        <v>12</v>
      </c>
      <c r="I87" s="1112"/>
      <c r="J87" s="1113">
        <f>H87/DAY(B2)</f>
        <v>0.54545454545454541</v>
      </c>
      <c r="K87" s="1114"/>
      <c r="L87" s="1115"/>
      <c r="N87" s="1174">
        <v>21</v>
      </c>
      <c r="O87" s="1009">
        <f t="shared" si="7"/>
        <v>9</v>
      </c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'[3]21'!F88</f>
        <v>141551</v>
      </c>
      <c r="F88" s="1101">
        <v>141617</v>
      </c>
      <c r="G88" s="1111">
        <f t="shared" si="8"/>
        <v>66</v>
      </c>
      <c r="H88" s="1111">
        <f t="shared" si="9"/>
        <v>66</v>
      </c>
      <c r="I88" s="1112"/>
      <c r="J88" s="1113">
        <f>H88/DAY(B2)</f>
        <v>3</v>
      </c>
      <c r="K88" s="1114"/>
      <c r="L88" s="1115"/>
      <c r="N88" s="1174">
        <v>86</v>
      </c>
      <c r="O88" s="1009">
        <f t="shared" si="7"/>
        <v>20</v>
      </c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'[3]21'!F89</f>
        <v>55208.7</v>
      </c>
      <c r="F89" s="1110">
        <v>55258</v>
      </c>
      <c r="G89" s="1111">
        <f t="shared" si="8"/>
        <v>49.30000000000291</v>
      </c>
      <c r="H89" s="1111">
        <f t="shared" si="9"/>
        <v>49.30000000000291</v>
      </c>
      <c r="I89" s="1112"/>
      <c r="J89" s="1113" t="e">
        <f t="shared" ref="J89:J90" si="10">H89/DAY(B3)</f>
        <v>#DIV/0!</v>
      </c>
      <c r="K89" s="1114"/>
      <c r="L89" s="1115"/>
      <c r="N89" s="1175">
        <v>25</v>
      </c>
      <c r="O89" s="1009">
        <f t="shared" si="7"/>
        <v>-24.30000000000291</v>
      </c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'[3]21'!F90</f>
        <v>2852.9</v>
      </c>
      <c r="F90" s="1110">
        <v>2854.4</v>
      </c>
      <c r="G90" s="1111">
        <f t="shared" si="8"/>
        <v>1.5</v>
      </c>
      <c r="H90" s="1111">
        <f t="shared" si="9"/>
        <v>1.5</v>
      </c>
      <c r="I90" s="1112"/>
      <c r="J90" s="1113" t="e">
        <f t="shared" si="10"/>
        <v>#DIV/0!</v>
      </c>
      <c r="K90" s="1114"/>
      <c r="L90" s="1115"/>
      <c r="N90" s="1175">
        <v>1</v>
      </c>
      <c r="O90" s="1009">
        <f t="shared" si="7"/>
        <v>-0.5</v>
      </c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>
        <f t="shared" si="7"/>
        <v>0</v>
      </c>
    </row>
    <row r="92" spans="1:15">
      <c r="A92" s="1587" t="s">
        <v>217</v>
      </c>
      <c r="B92" s="1588"/>
      <c r="C92" s="1589"/>
      <c r="D92" s="1002" t="s">
        <v>155</v>
      </c>
      <c r="E92" s="1003">
        <f>'[3]21'!F92</f>
        <v>230238</v>
      </c>
      <c r="F92" s="1033">
        <v>230312</v>
      </c>
      <c r="G92" s="1004">
        <f t="shared" ref="G92:G93" si="11">F92-E92</f>
        <v>74</v>
      </c>
      <c r="H92" s="1005">
        <f>G92+'[3]21'!H92</f>
        <v>1717</v>
      </c>
      <c r="I92" s="1024"/>
      <c r="J92" s="1007">
        <f>H92/DAY(B2)</f>
        <v>78.045454545454547</v>
      </c>
      <c r="K92" s="1030"/>
      <c r="L92" s="982"/>
      <c r="N92" s="1170">
        <v>29</v>
      </c>
      <c r="O92" s="1009">
        <f t="shared" si="7"/>
        <v>-45</v>
      </c>
    </row>
    <row r="93" spans="1:15">
      <c r="A93" s="1587" t="s">
        <v>218</v>
      </c>
      <c r="B93" s="1588"/>
      <c r="C93" s="1589"/>
      <c r="D93" s="1002" t="s">
        <v>155</v>
      </c>
      <c r="E93" s="1003">
        <f>'[3]21'!F93</f>
        <v>161476</v>
      </c>
      <c r="F93" s="1033">
        <v>161621</v>
      </c>
      <c r="G93" s="1004">
        <f t="shared" si="11"/>
        <v>145</v>
      </c>
      <c r="H93" s="1005">
        <f>G93+'[3]21'!H93</f>
        <v>3098</v>
      </c>
      <c r="I93" s="1024"/>
      <c r="J93" s="1007">
        <f>H93/DAY(B2)</f>
        <v>140.81818181818181</v>
      </c>
      <c r="K93" s="1102"/>
      <c r="L93" s="982"/>
      <c r="N93" s="1170">
        <v>40</v>
      </c>
      <c r="O93" s="1009">
        <f t="shared" si="7"/>
        <v>-105</v>
      </c>
    </row>
    <row r="94" spans="1:15">
      <c r="A94" s="1596" t="s">
        <v>219</v>
      </c>
      <c r="B94" s="1597"/>
      <c r="C94" s="1598"/>
      <c r="D94" s="1002"/>
      <c r="E94" s="1003">
        <f>'[3]21'!F94</f>
        <v>0</v>
      </c>
      <c r="F94" s="1033"/>
      <c r="G94" s="1004">
        <f>G92+G93</f>
        <v>219</v>
      </c>
      <c r="H94" s="1005">
        <f>G94+'[3]21'!H94</f>
        <v>4525</v>
      </c>
      <c r="I94" s="1024"/>
      <c r="J94" s="1007">
        <f>H94/DAY(B2)</f>
        <v>205.68181818181819</v>
      </c>
      <c r="K94" s="1102"/>
      <c r="L94" s="982"/>
      <c r="N94" s="1170">
        <v>69</v>
      </c>
      <c r="O94" s="1009">
        <f t="shared" si="7"/>
        <v>-150</v>
      </c>
    </row>
    <row r="95" spans="1:15">
      <c r="A95" s="1587" t="s">
        <v>220</v>
      </c>
      <c r="B95" s="1588"/>
      <c r="C95" s="1589"/>
      <c r="D95" s="1002" t="s">
        <v>155</v>
      </c>
      <c r="E95" s="1003">
        <f>'[3]21'!F95</f>
        <v>401019</v>
      </c>
      <c r="F95" s="1033">
        <v>401052</v>
      </c>
      <c r="G95" s="1004">
        <f t="shared" ref="G95:G100" si="12">F95-E95</f>
        <v>33</v>
      </c>
      <c r="H95" s="1005">
        <f>G95+'[3]21'!H95</f>
        <v>1205</v>
      </c>
      <c r="I95" s="1024"/>
      <c r="J95" s="1007">
        <f>H95/DAY(B2)</f>
        <v>54.772727272727273</v>
      </c>
      <c r="K95" s="1102"/>
      <c r="L95" s="982"/>
      <c r="N95" s="1170">
        <v>49</v>
      </c>
      <c r="O95" s="1009">
        <f t="shared" si="7"/>
        <v>16</v>
      </c>
    </row>
    <row r="96" spans="1:15">
      <c r="A96" s="1031" t="s">
        <v>221</v>
      </c>
      <c r="B96" s="1032"/>
      <c r="C96" s="1032"/>
      <c r="D96" s="1002" t="s">
        <v>155</v>
      </c>
      <c r="E96" s="1003">
        <f>'[3]21'!F96</f>
        <v>98860</v>
      </c>
      <c r="F96" s="1033">
        <v>98896</v>
      </c>
      <c r="G96" s="1004">
        <f t="shared" si="12"/>
        <v>36</v>
      </c>
      <c r="H96" s="1005">
        <f>G96+'[3]21'!H96</f>
        <v>887</v>
      </c>
      <c r="I96" s="1024"/>
      <c r="J96" s="1007">
        <f>H96/DAY(B2)</f>
        <v>40.31818181818182</v>
      </c>
      <c r="K96" s="999"/>
      <c r="L96" s="982"/>
      <c r="N96" s="1170">
        <v>7</v>
      </c>
      <c r="O96" s="1009">
        <f t="shared" si="7"/>
        <v>-29</v>
      </c>
    </row>
    <row r="97" spans="1:15">
      <c r="A97" s="1031" t="s">
        <v>222</v>
      </c>
      <c r="B97" s="1032"/>
      <c r="C97" s="1032"/>
      <c r="D97" s="1002" t="s">
        <v>155</v>
      </c>
      <c r="E97" s="1003">
        <f>'[3]21'!F97</f>
        <v>94013</v>
      </c>
      <c r="F97" s="1033">
        <v>94046</v>
      </c>
      <c r="G97" s="1004">
        <f t="shared" si="12"/>
        <v>33</v>
      </c>
      <c r="H97" s="1005">
        <f>G97+'[3]21'!H97</f>
        <v>495</v>
      </c>
      <c r="I97" s="1024"/>
      <c r="J97" s="1007">
        <f>H97/DAY(B2)</f>
        <v>22.5</v>
      </c>
      <c r="K97" s="1118"/>
      <c r="L97" s="982"/>
      <c r="N97" s="1170">
        <v>12</v>
      </c>
      <c r="O97" s="1009">
        <f t="shared" si="7"/>
        <v>-21</v>
      </c>
    </row>
    <row r="98" spans="1:15">
      <c r="A98" s="1031" t="s">
        <v>223</v>
      </c>
      <c r="B98" s="1032"/>
      <c r="C98" s="1032"/>
      <c r="D98" s="1002" t="s">
        <v>155</v>
      </c>
      <c r="E98" s="1003">
        <f>'[3]21'!F98</f>
        <v>141768</v>
      </c>
      <c r="F98" s="1033">
        <v>141823</v>
      </c>
      <c r="G98" s="1004">
        <f t="shared" si="12"/>
        <v>55</v>
      </c>
      <c r="H98" s="1005">
        <f>G98+'[3]21'!H98</f>
        <v>918</v>
      </c>
      <c r="I98" s="1024"/>
      <c r="J98" s="1007">
        <f>H98/DAY(B2)</f>
        <v>41.727272727272727</v>
      </c>
      <c r="K98" s="1102"/>
      <c r="L98" s="982"/>
      <c r="N98" s="1170">
        <v>16</v>
      </c>
      <c r="O98" s="1009">
        <f t="shared" si="7"/>
        <v>-39</v>
      </c>
    </row>
    <row r="99" spans="1:15">
      <c r="A99" s="1031" t="s">
        <v>224</v>
      </c>
      <c r="B99" s="1032"/>
      <c r="C99" s="1032"/>
      <c r="D99" s="1002" t="s">
        <v>155</v>
      </c>
      <c r="E99" s="1003">
        <f>'[3]21'!F99</f>
        <v>4878</v>
      </c>
      <c r="F99" s="1033">
        <v>4887</v>
      </c>
      <c r="G99" s="1004">
        <f t="shared" si="12"/>
        <v>9</v>
      </c>
      <c r="H99" s="1005">
        <f>G99+'[3]21'!H99</f>
        <v>179</v>
      </c>
      <c r="I99" s="1024"/>
      <c r="J99" s="1007">
        <f>H99/DAY(B2)</f>
        <v>8.1363636363636367</v>
      </c>
      <c r="K99" s="1102"/>
      <c r="L99" s="982"/>
      <c r="N99" s="1170">
        <v>3</v>
      </c>
      <c r="O99" s="1009">
        <f t="shared" si="7"/>
        <v>-6</v>
      </c>
    </row>
    <row r="100" spans="1:15">
      <c r="A100" s="1031" t="s">
        <v>225</v>
      </c>
      <c r="B100" s="1032"/>
      <c r="C100" s="1032"/>
      <c r="D100" s="1002" t="s">
        <v>155</v>
      </c>
      <c r="E100" s="1003">
        <f>'[3]21'!F100</f>
        <v>3674</v>
      </c>
      <c r="F100" s="1033">
        <v>3674</v>
      </c>
      <c r="G100" s="1004">
        <f t="shared" si="12"/>
        <v>0</v>
      </c>
      <c r="H100" s="1005">
        <f>G100+'[3]21'!H100</f>
        <v>0</v>
      </c>
      <c r="I100" s="1024"/>
      <c r="J100" s="1007">
        <f>H100/DAY(B2)</f>
        <v>0</v>
      </c>
      <c r="K100" s="1102"/>
      <c r="L100" s="982"/>
      <c r="N100" s="1170">
        <v>0</v>
      </c>
      <c r="O100" s="1009">
        <f t="shared" si="7"/>
        <v>0</v>
      </c>
    </row>
    <row r="101" spans="1:15">
      <c r="A101" s="1596" t="s">
        <v>227</v>
      </c>
      <c r="B101" s="1597"/>
      <c r="C101" s="1598"/>
      <c r="D101" s="1036"/>
      <c r="E101" s="1036"/>
      <c r="F101" s="1036"/>
      <c r="G101" s="1119">
        <f>SUM(G95:G100)</f>
        <v>166</v>
      </c>
      <c r="H101" s="1005">
        <f>G101+'[3]21'!H101</f>
        <v>3684</v>
      </c>
      <c r="I101" s="1120"/>
      <c r="J101" s="1007">
        <f>H101/DAY(B2)</f>
        <v>167.45454545454547</v>
      </c>
      <c r="K101" s="1102"/>
      <c r="L101" s="982"/>
      <c r="N101" s="1170">
        <v>87</v>
      </c>
      <c r="O101" s="1009">
        <f t="shared" si="7"/>
        <v>-79</v>
      </c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>
        <f t="shared" si="7"/>
        <v>0</v>
      </c>
    </row>
    <row r="103" spans="1:15" s="1054" customFormat="1">
      <c r="A103" s="1604" t="s">
        <v>229</v>
      </c>
      <c r="B103" s="160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>
        <f t="shared" si="7"/>
        <v>0</v>
      </c>
    </row>
    <row r="104" spans="1:15" s="1054" customFormat="1">
      <c r="A104" s="1577" t="s">
        <v>230</v>
      </c>
      <c r="B104" s="1578"/>
      <c r="C104" s="1135"/>
      <c r="D104" s="1131" t="s">
        <v>155</v>
      </c>
      <c r="E104" s="1132">
        <f>'[3]21'!F104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2.7272727272727271</v>
      </c>
      <c r="N104" s="1171">
        <v>0</v>
      </c>
      <c r="O104" s="1009">
        <f t="shared" si="7"/>
        <v>0</v>
      </c>
    </row>
    <row r="105" spans="1:15" s="1054" customFormat="1">
      <c r="A105" s="1577" t="s">
        <v>77</v>
      </c>
      <c r="B105" s="1578"/>
      <c r="C105" s="1135"/>
      <c r="D105" s="1131" t="s">
        <v>155</v>
      </c>
      <c r="E105" s="1132">
        <f>'[3]21'!F105</f>
        <v>34618</v>
      </c>
      <c r="F105" s="1136">
        <v>34618</v>
      </c>
      <c r="G105" s="1132">
        <f t="shared" ref="G105:G106" si="13">F105-E105</f>
        <v>0</v>
      </c>
      <c r="H105" s="1133">
        <f>SUM(G105+'[3]1'!G77)</f>
        <v>70</v>
      </c>
      <c r="I105" s="1132"/>
      <c r="J105" s="1134">
        <f>H105/DAY(B2)</f>
        <v>3.1818181818181817</v>
      </c>
      <c r="N105" s="1171">
        <v>12</v>
      </c>
      <c r="O105" s="1009">
        <f t="shared" si="7"/>
        <v>12</v>
      </c>
    </row>
    <row r="106" spans="1:15" s="1054" customFormat="1">
      <c r="A106" s="1577" t="s">
        <v>78</v>
      </c>
      <c r="B106" s="1606"/>
      <c r="C106" s="1578"/>
      <c r="D106" s="1131" t="s">
        <v>155</v>
      </c>
      <c r="E106" s="1132">
        <f>'[3]21'!F106</f>
        <v>18703</v>
      </c>
      <c r="F106" s="1132">
        <v>18703</v>
      </c>
      <c r="G106" s="1132">
        <f t="shared" si="13"/>
        <v>0</v>
      </c>
      <c r="H106" s="1133">
        <f>SUM(G106+'[3]1'!G78)</f>
        <v>329</v>
      </c>
      <c r="I106" s="1132"/>
      <c r="J106" s="1134">
        <f>H106/DAY(B2)</f>
        <v>14.954545454545455</v>
      </c>
      <c r="N106" s="1171">
        <v>4</v>
      </c>
      <c r="O106" s="1009">
        <f t="shared" si="7"/>
        <v>4</v>
      </c>
    </row>
    <row r="107" spans="1:15" s="1054" customFormat="1">
      <c r="A107" s="1579" t="s">
        <v>213</v>
      </c>
      <c r="B107" s="1580"/>
      <c r="C107" s="1135"/>
      <c r="D107" s="1131"/>
      <c r="E107" s="1132">
        <f>'[3]21'!F107</f>
        <v>0</v>
      </c>
      <c r="F107" s="1132"/>
      <c r="G107" s="1132">
        <f>SUM(G104:G106)</f>
        <v>0</v>
      </c>
      <c r="H107" s="1133">
        <f>SUM(G107+'[3]1'!G79)</f>
        <v>160</v>
      </c>
      <c r="I107" s="1132"/>
      <c r="J107" s="1134">
        <f>H107/DAY(B2)</f>
        <v>7.2727272727272725</v>
      </c>
      <c r="N107" s="1171">
        <v>16</v>
      </c>
      <c r="O107" s="1009">
        <f t="shared" si="7"/>
        <v>16</v>
      </c>
    </row>
    <row r="108" spans="1:15" s="1054" customFormat="1">
      <c r="A108" s="1585" t="s">
        <v>79</v>
      </c>
      <c r="B108" s="1586"/>
      <c r="C108" s="1135"/>
      <c r="D108" s="1131" t="s">
        <v>155</v>
      </c>
      <c r="E108" s="1132">
        <f>'[3]21'!F108</f>
        <v>0</v>
      </c>
      <c r="F108" s="1132"/>
      <c r="G108" s="1132"/>
      <c r="H108" s="1133"/>
      <c r="I108" s="1132"/>
      <c r="J108" s="1134"/>
      <c r="N108" s="1171"/>
      <c r="O108" s="1009">
        <f t="shared" si="7"/>
        <v>0</v>
      </c>
    </row>
    <row r="109" spans="1:15" s="1054" customFormat="1">
      <c r="A109" s="1577" t="s">
        <v>231</v>
      </c>
      <c r="B109" s="1578"/>
      <c r="C109" s="1135"/>
      <c r="D109" s="1131" t="s">
        <v>155</v>
      </c>
      <c r="E109" s="1132">
        <f>'[3]21'!F109</f>
        <v>50828</v>
      </c>
      <c r="F109" s="1132">
        <v>50867</v>
      </c>
      <c r="G109" s="1132">
        <f>F109-E109</f>
        <v>39</v>
      </c>
      <c r="H109" s="1133">
        <f>SUM(G109+'[3]1'!G81)</f>
        <v>121</v>
      </c>
      <c r="I109" s="1132"/>
      <c r="J109" s="1134">
        <f>H109/DAY(B2)</f>
        <v>5.5</v>
      </c>
      <c r="N109" s="1171">
        <v>39</v>
      </c>
      <c r="O109" s="1009">
        <f t="shared" si="7"/>
        <v>0</v>
      </c>
    </row>
    <row r="110" spans="1:15" s="1054" customFormat="1">
      <c r="A110" s="1577" t="s">
        <v>232</v>
      </c>
      <c r="B110" s="1578"/>
      <c r="C110" s="1135"/>
      <c r="D110" s="1131" t="s">
        <v>155</v>
      </c>
      <c r="E110" s="1132">
        <f>'[3]21'!F110</f>
        <v>24956</v>
      </c>
      <c r="F110" s="1132">
        <v>24992</v>
      </c>
      <c r="G110" s="1132">
        <f t="shared" ref="G110:G111" si="14">F110-E110</f>
        <v>36</v>
      </c>
      <c r="H110" s="1133">
        <f>SUM(G110+'[3]1'!G82)</f>
        <v>61.740000000005239</v>
      </c>
      <c r="I110" s="1132"/>
      <c r="J110" s="1134">
        <f>H110/DAY(B2)</f>
        <v>2.8063636363638746</v>
      </c>
      <c r="N110" s="1171">
        <v>8</v>
      </c>
      <c r="O110" s="1009">
        <f t="shared" si="7"/>
        <v>-28</v>
      </c>
    </row>
    <row r="111" spans="1:15" s="1054" customFormat="1">
      <c r="A111" s="1577" t="s">
        <v>233</v>
      </c>
      <c r="B111" s="1578"/>
      <c r="C111" s="1135"/>
      <c r="D111" s="1131" t="s">
        <v>155</v>
      </c>
      <c r="E111" s="1132">
        <f>'[3]21'!F111</f>
        <v>3321</v>
      </c>
      <c r="F111" s="1132">
        <v>3321</v>
      </c>
      <c r="G111" s="1132">
        <f t="shared" si="14"/>
        <v>0</v>
      </c>
      <c r="H111" s="1133">
        <f>SUM(G111+'[3]1'!G83)</f>
        <v>446</v>
      </c>
      <c r="I111" s="1132"/>
      <c r="J111" s="1134">
        <f>H111/DAY(B2)</f>
        <v>20.272727272727273</v>
      </c>
      <c r="N111" s="1171">
        <v>0</v>
      </c>
      <c r="O111" s="1009">
        <f t="shared" si="7"/>
        <v>0</v>
      </c>
    </row>
    <row r="112" spans="1:15" s="1054" customFormat="1">
      <c r="A112" s="1583" t="s">
        <v>121</v>
      </c>
      <c r="B112" s="1584"/>
      <c r="C112" s="1135"/>
      <c r="D112" s="1131"/>
      <c r="E112" s="1132">
        <f>'[3]21'!F112</f>
        <v>0</v>
      </c>
      <c r="F112" s="1132"/>
      <c r="G112" s="1132">
        <f>SUM(G109:G111)</f>
        <v>75</v>
      </c>
      <c r="H112" s="1133">
        <f>SUM(G112+'[3]1'!G84)</f>
        <v>671</v>
      </c>
      <c r="I112" s="1132"/>
      <c r="J112" s="1134">
        <f>H112/DAY(B2)</f>
        <v>30.5</v>
      </c>
      <c r="N112" s="1171">
        <v>47</v>
      </c>
      <c r="O112" s="1009">
        <f t="shared" si="7"/>
        <v>-28</v>
      </c>
    </row>
    <row r="113" spans="1:15" s="1054" customFormat="1">
      <c r="A113" s="1585" t="s">
        <v>234</v>
      </c>
      <c r="B113" s="1586"/>
      <c r="C113" s="1135"/>
      <c r="D113" s="1131"/>
      <c r="E113" s="1132">
        <f>'[3]21'!F113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>
        <f t="shared" si="7"/>
        <v>0</v>
      </c>
    </row>
    <row r="114" spans="1:15" s="1054" customFormat="1">
      <c r="A114" s="1577" t="s">
        <v>235</v>
      </c>
      <c r="B114" s="1578"/>
      <c r="C114" s="1137"/>
      <c r="D114" s="1131" t="s">
        <v>155</v>
      </c>
      <c r="E114" s="1132">
        <f>'[3]21'!F114</f>
        <v>8488</v>
      </c>
      <c r="F114" s="1136">
        <v>8501</v>
      </c>
      <c r="G114" s="1136">
        <f>F114-E114</f>
        <v>13</v>
      </c>
      <c r="H114" s="1133">
        <f>SUM(G114+'[3]1'!G91)</f>
        <v>13</v>
      </c>
      <c r="I114" s="1132"/>
      <c r="J114" s="1134">
        <f>H114/DAY(B2)</f>
        <v>0.59090909090909094</v>
      </c>
      <c r="N114" s="1171">
        <v>3</v>
      </c>
      <c r="O114" s="1009">
        <f t="shared" si="7"/>
        <v>-10</v>
      </c>
    </row>
    <row r="115" spans="1:15" s="1054" customFormat="1">
      <c r="A115" s="1577" t="s">
        <v>236</v>
      </c>
      <c r="B115" s="1578"/>
      <c r="C115" s="1137"/>
      <c r="D115" s="1131" t="s">
        <v>155</v>
      </c>
      <c r="E115" s="1132">
        <f>'[3]21'!F115</f>
        <v>6701</v>
      </c>
      <c r="F115" s="1136">
        <v>6710</v>
      </c>
      <c r="G115" s="1136">
        <f t="shared" ref="G115:G116" si="15">F115-E115</f>
        <v>9</v>
      </c>
      <c r="H115" s="1133">
        <f>SUM(G115+'[3]1'!G92)</f>
        <v>114</v>
      </c>
      <c r="I115" s="1132"/>
      <c r="J115" s="1134">
        <f>H115/DAY(B2)</f>
        <v>5.1818181818181817</v>
      </c>
      <c r="N115" s="1171">
        <v>4</v>
      </c>
      <c r="O115" s="1009">
        <f t="shared" si="7"/>
        <v>-5</v>
      </c>
    </row>
    <row r="116" spans="1:15" s="1054" customFormat="1">
      <c r="A116" s="1577" t="s">
        <v>237</v>
      </c>
      <c r="B116" s="1578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185</v>
      </c>
      <c r="I116" s="1132"/>
      <c r="J116" s="1134">
        <f>H116/DAY(B2)</f>
        <v>8.4090909090909083</v>
      </c>
      <c r="N116" s="1171">
        <v>0</v>
      </c>
      <c r="O116" s="1009">
        <f t="shared" si="7"/>
        <v>0</v>
      </c>
    </row>
    <row r="117" spans="1:15" s="1139" customFormat="1">
      <c r="A117" s="1579" t="s">
        <v>213</v>
      </c>
      <c r="B117" s="1580"/>
      <c r="C117" s="1137"/>
      <c r="D117" s="1138"/>
      <c r="E117" s="1136"/>
      <c r="F117" s="1136"/>
      <c r="G117" s="1136">
        <f>SUM(G114:G116)</f>
        <v>22</v>
      </c>
      <c r="H117" s="1133">
        <f>SUM(G117+'[3]1'!G95)</f>
        <v>70</v>
      </c>
      <c r="I117" s="1136"/>
      <c r="J117" s="1134">
        <f>H117/DAY(B2)</f>
        <v>3.1818181818181817</v>
      </c>
      <c r="N117" s="1176">
        <v>7</v>
      </c>
      <c r="O117" s="1009">
        <f t="shared" si="7"/>
        <v>-15</v>
      </c>
    </row>
    <row r="118" spans="1:15" s="927" customFormat="1">
      <c r="A118" s="1581" t="s">
        <v>238</v>
      </c>
      <c r="B118" s="1582"/>
      <c r="C118" s="1140"/>
      <c r="D118" s="1141" t="s">
        <v>155</v>
      </c>
      <c r="E118" s="1142"/>
      <c r="F118" s="1143">
        <f>SUM(G19+G92)</f>
        <v>125</v>
      </c>
      <c r="G118" s="1143">
        <f>SUM(G19+G92)</f>
        <v>125</v>
      </c>
      <c r="H118" s="1133">
        <f>SUM(G118+'[3]1'!G96)</f>
        <v>174</v>
      </c>
      <c r="I118" s="1142"/>
      <c r="J118" s="1144">
        <f>H118/DAY(B2)</f>
        <v>7.9090909090909092</v>
      </c>
      <c r="N118" s="1177">
        <v>82</v>
      </c>
      <c r="O118" s="1009">
        <f t="shared" si="7"/>
        <v>-43</v>
      </c>
    </row>
    <row r="119" spans="1:15" s="927" customFormat="1">
      <c r="A119" s="1581" t="s">
        <v>239</v>
      </c>
      <c r="B119" s="1582"/>
      <c r="C119" s="1140"/>
      <c r="D119" s="1141" t="s">
        <v>155</v>
      </c>
      <c r="E119" s="1142"/>
      <c r="F119" s="1143">
        <f>SUM(G95,G96,G97,G99,G100)</f>
        <v>111</v>
      </c>
      <c r="G119" s="1143">
        <f>SUM(G95,G96,G97,G99,G100)</f>
        <v>111</v>
      </c>
      <c r="H119" s="1133">
        <f>SUM(G119+'[3]1'!G98)</f>
        <v>143</v>
      </c>
      <c r="I119" s="1142"/>
      <c r="J119" s="1144">
        <f>H119/DAY(B2)</f>
        <v>6.5</v>
      </c>
      <c r="N119" s="1177">
        <v>71</v>
      </c>
      <c r="O119" s="1009">
        <f t="shared" si="7"/>
        <v>-40</v>
      </c>
    </row>
    <row r="120" spans="1:15" s="927" customFormat="1">
      <c r="A120" s="1581" t="s">
        <v>240</v>
      </c>
      <c r="B120" s="1582"/>
      <c r="C120" s="1140"/>
      <c r="D120" s="1141" t="s">
        <v>155</v>
      </c>
      <c r="E120" s="1142"/>
      <c r="F120" s="1136">
        <f>SUM(G112)</f>
        <v>75</v>
      </c>
      <c r="G120" s="1136">
        <f>SUM(G112)</f>
        <v>75</v>
      </c>
      <c r="H120" s="1133">
        <f>SUM(G120+'[3]1'!G100)</f>
        <v>75</v>
      </c>
      <c r="I120" s="1142"/>
      <c r="J120" s="1144">
        <f>H120/DAY(B2)</f>
        <v>3.4090909090909092</v>
      </c>
      <c r="N120" s="1177">
        <v>47</v>
      </c>
      <c r="O120" s="1009">
        <f t="shared" si="7"/>
        <v>-28</v>
      </c>
    </row>
    <row r="121" spans="1:15" s="1054" customFormat="1">
      <c r="A121" s="1575"/>
      <c r="B121" s="1576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>
        <f t="shared" si="7"/>
        <v>0</v>
      </c>
    </row>
    <row r="122" spans="1:15">
      <c r="A122" s="1599" t="s">
        <v>241</v>
      </c>
      <c r="B122" s="1600"/>
      <c r="C122" s="160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>
        <f t="shared" si="7"/>
        <v>0</v>
      </c>
    </row>
    <row r="123" spans="1:15">
      <c r="A123" s="1031" t="s">
        <v>242</v>
      </c>
      <c r="B123" s="1032"/>
      <c r="C123" s="1032"/>
      <c r="D123" s="1002" t="s">
        <v>152</v>
      </c>
      <c r="E123" s="1003">
        <f>'[3]21'!F123</f>
        <v>787030.41</v>
      </c>
      <c r="F123" s="1021">
        <v>787244.54</v>
      </c>
      <c r="G123" s="1004">
        <f t="shared" ref="G123:G127" si="16">F123-E123</f>
        <v>214.13000000000466</v>
      </c>
      <c r="H123" s="1005">
        <f>G123+'[3]21'!H123</f>
        <v>4319.6539999999804</v>
      </c>
      <c r="I123" s="1120"/>
      <c r="J123" s="1007">
        <f>H123/DAY(B2)</f>
        <v>196.34790909090819</v>
      </c>
      <c r="K123" s="1102"/>
      <c r="L123" s="982"/>
      <c r="N123" s="1170">
        <v>100.59000000008382</v>
      </c>
      <c r="O123" s="1009">
        <f t="shared" si="7"/>
        <v>-113.53999999992084</v>
      </c>
    </row>
    <row r="124" spans="1:15">
      <c r="A124" s="1031" t="s">
        <v>243</v>
      </c>
      <c r="B124" s="1032"/>
      <c r="C124" s="1032"/>
      <c r="D124" s="1002" t="s">
        <v>152</v>
      </c>
      <c r="E124" s="1003">
        <f>'[3]21'!F124</f>
        <v>73581.899999999994</v>
      </c>
      <c r="F124" s="1037">
        <v>73581.899999999994</v>
      </c>
      <c r="G124" s="1004">
        <f t="shared" si="16"/>
        <v>0</v>
      </c>
      <c r="H124" s="1005">
        <f>G124+'[3]21'!H124</f>
        <v>0.89999999999417923</v>
      </c>
      <c r="I124" s="1120"/>
      <c r="J124" s="1007">
        <f>H124/DAY(B2)</f>
        <v>4.0909090908826329E-2</v>
      </c>
      <c r="K124" s="1102"/>
      <c r="L124" s="982"/>
      <c r="N124" s="1170">
        <v>0</v>
      </c>
      <c r="O124" s="1009">
        <f t="shared" si="7"/>
        <v>0</v>
      </c>
    </row>
    <row r="125" spans="1:15">
      <c r="A125" s="1593" t="s">
        <v>244</v>
      </c>
      <c r="B125" s="1594"/>
      <c r="C125" s="1595"/>
      <c r="D125" s="1002" t="s">
        <v>152</v>
      </c>
      <c r="E125" s="1003">
        <f>'[3]21'!F125</f>
        <v>132415.70000000001</v>
      </c>
      <c r="F125" s="1021">
        <v>132469.23000000001</v>
      </c>
      <c r="G125" s="1004">
        <f t="shared" si="16"/>
        <v>53.529999999998836</v>
      </c>
      <c r="H125" s="1005">
        <f>G125+'[3]21'!H125</f>
        <v>1363.0100000000093</v>
      </c>
      <c r="I125" s="1120"/>
      <c r="J125" s="1007">
        <f>H125/DAY(B2)</f>
        <v>61.955000000000425</v>
      </c>
      <c r="K125" s="1102"/>
      <c r="L125" s="982"/>
      <c r="N125" s="1170">
        <v>62</v>
      </c>
      <c r="O125" s="1009">
        <f t="shared" si="7"/>
        <v>8.4700000000011642</v>
      </c>
    </row>
    <row r="126" spans="1:15">
      <c r="A126" s="1149" t="s">
        <v>245</v>
      </c>
      <c r="B126" s="1032"/>
      <c r="C126" s="1032"/>
      <c r="D126" s="1002" t="s">
        <v>152</v>
      </c>
      <c r="E126" s="1003">
        <f>'[3]21'!F126</f>
        <v>56119.9</v>
      </c>
      <c r="F126" s="1037">
        <v>56146.5</v>
      </c>
      <c r="G126" s="1004">
        <f t="shared" si="16"/>
        <v>26.599999999998545</v>
      </c>
      <c r="H126" s="1005">
        <f>G126+'[3]21'!H126</f>
        <v>560.69999999999709</v>
      </c>
      <c r="I126" s="1120"/>
      <c r="J126" s="1007">
        <f>H126/DAY(B2)</f>
        <v>25.486363636363503</v>
      </c>
      <c r="K126" s="1102"/>
      <c r="L126" s="982"/>
      <c r="N126" s="1170">
        <v>0</v>
      </c>
      <c r="O126" s="1009">
        <f t="shared" si="7"/>
        <v>-26.599999999998545</v>
      </c>
    </row>
    <row r="127" spans="1:15">
      <c r="A127" s="1149" t="s">
        <v>246</v>
      </c>
      <c r="B127" s="1032"/>
      <c r="C127" s="1032"/>
      <c r="D127" s="1002" t="s">
        <v>152</v>
      </c>
      <c r="E127" s="1003">
        <f>'[3]21'!F127</f>
        <v>8640</v>
      </c>
      <c r="F127" s="1037">
        <v>8640.1</v>
      </c>
      <c r="G127" s="1004">
        <f t="shared" si="16"/>
        <v>0.1000000000003638</v>
      </c>
      <c r="H127" s="1005">
        <f>G127+'[3]21'!H127</f>
        <v>1.1000000000003638</v>
      </c>
      <c r="I127" s="1024"/>
      <c r="J127" s="1007">
        <f>H127/DAY(B2)</f>
        <v>5.0000000000016538E-2</v>
      </c>
      <c r="K127" s="1102"/>
      <c r="L127" s="982"/>
      <c r="N127" s="1170">
        <v>0</v>
      </c>
      <c r="O127" s="1009">
        <f t="shared" si="7"/>
        <v>-0.1000000000003638</v>
      </c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91.639999999997599</v>
      </c>
      <c r="H128" s="1005">
        <f>G128+'[3]21'!H128</f>
        <v>1782.5650000000678</v>
      </c>
      <c r="I128" s="1024"/>
      <c r="J128" s="1007">
        <f>H128/DAY(B2)</f>
        <v>81.025681818184907</v>
      </c>
      <c r="K128" s="1102"/>
      <c r="L128" s="982"/>
      <c r="N128" s="1170">
        <v>336.61999999987893</v>
      </c>
      <c r="O128" s="1009">
        <f t="shared" si="7"/>
        <v>244.97999999988133</v>
      </c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>
        <f t="shared" si="7"/>
        <v>0</v>
      </c>
    </row>
    <row r="130" spans="1:15">
      <c r="A130" s="1031" t="s">
        <v>249</v>
      </c>
      <c r="B130" s="1032"/>
      <c r="C130" s="1032"/>
      <c r="D130" s="1002" t="s">
        <v>250</v>
      </c>
      <c r="E130" s="1003">
        <f>'[3]21'!F130</f>
        <v>0</v>
      </c>
      <c r="F130" s="1033">
        <v>0</v>
      </c>
      <c r="G130" s="1004">
        <f t="shared" ref="G130:G140" si="17">F130-E130</f>
        <v>0</v>
      </c>
      <c r="H130" s="1005">
        <f>G130+'[3]21'!H130</f>
        <v>0</v>
      </c>
      <c r="I130" s="1024"/>
      <c r="J130" s="1007">
        <f>H130/DAY(B2)</f>
        <v>0</v>
      </c>
      <c r="N130" s="1170">
        <v>0</v>
      </c>
      <c r="O130" s="1009">
        <f t="shared" si="7"/>
        <v>0</v>
      </c>
    </row>
    <row r="131" spans="1:15">
      <c r="A131" s="1031" t="s">
        <v>251</v>
      </c>
      <c r="B131" s="1032"/>
      <c r="C131" s="1032"/>
      <c r="D131" s="1002" t="s">
        <v>250</v>
      </c>
      <c r="E131" s="1003">
        <f>'[3]21'!F131</f>
        <v>0</v>
      </c>
      <c r="F131" s="1033">
        <v>0</v>
      </c>
      <c r="G131" s="1004">
        <f t="shared" si="17"/>
        <v>0</v>
      </c>
      <c r="H131" s="1005">
        <f>G131+'[3]21'!H131</f>
        <v>0</v>
      </c>
      <c r="I131" s="1024"/>
      <c r="J131" s="1007">
        <f>H131/DAY(B2)</f>
        <v>0</v>
      </c>
      <c r="N131" s="1170">
        <v>0</v>
      </c>
      <c r="O131" s="1009">
        <f t="shared" si="7"/>
        <v>0</v>
      </c>
    </row>
    <row r="132" spans="1:15">
      <c r="A132" s="1031" t="s">
        <v>252</v>
      </c>
      <c r="B132" s="1032"/>
      <c r="C132" s="1032"/>
      <c r="D132" s="1002" t="s">
        <v>250</v>
      </c>
      <c r="E132" s="1003">
        <f>'[3]21'!F132</f>
        <v>38877</v>
      </c>
      <c r="F132" s="1153">
        <v>38877</v>
      </c>
      <c r="G132" s="1004">
        <f t="shared" si="17"/>
        <v>0</v>
      </c>
      <c r="H132" s="1005">
        <f>G132+'[3]21'!H132</f>
        <v>0</v>
      </c>
      <c r="I132" s="1024"/>
      <c r="J132" s="1007">
        <f>H132/DAY(B2)</f>
        <v>0</v>
      </c>
      <c r="N132" s="1170">
        <v>0</v>
      </c>
      <c r="O132" s="1009">
        <f t="shared" si="7"/>
        <v>0</v>
      </c>
    </row>
    <row r="133" spans="1:15">
      <c r="A133" s="1031" t="s">
        <v>253</v>
      </c>
      <c r="B133" s="1032"/>
      <c r="C133" s="1032"/>
      <c r="D133" s="1002" t="s">
        <v>250</v>
      </c>
      <c r="E133" s="1003">
        <f>'[3]21'!F133</f>
        <v>34948</v>
      </c>
      <c r="F133" s="1153">
        <v>34948</v>
      </c>
      <c r="G133" s="1004">
        <f t="shared" si="17"/>
        <v>0</v>
      </c>
      <c r="H133" s="1005">
        <f>G133+'[3]21'!H133</f>
        <v>0</v>
      </c>
      <c r="I133" s="1024">
        <f>G130+G131+G132+G133</f>
        <v>0</v>
      </c>
      <c r="J133" s="1007">
        <f>H133/DAY(B2)</f>
        <v>0</v>
      </c>
      <c r="N133" s="1170">
        <v>24.040000000000873</v>
      </c>
      <c r="O133" s="1009">
        <f t="shared" si="7"/>
        <v>24.040000000000873</v>
      </c>
    </row>
    <row r="134" spans="1:15">
      <c r="A134" s="1031" t="s">
        <v>254</v>
      </c>
      <c r="B134" s="1032"/>
      <c r="C134" s="1032"/>
      <c r="D134" s="1002" t="s">
        <v>250</v>
      </c>
      <c r="E134" s="1003">
        <f>'[3]21'!F134</f>
        <v>39735</v>
      </c>
      <c r="F134" s="1153">
        <v>39735</v>
      </c>
      <c r="G134" s="1004">
        <f t="shared" si="17"/>
        <v>0</v>
      </c>
      <c r="H134" s="1005">
        <f>G134+'[3]21'!H134</f>
        <v>-1.2699999999967986</v>
      </c>
      <c r="I134" s="1024"/>
      <c r="J134" s="1007">
        <f>H134/DAY(B2)</f>
        <v>-5.7727272727127209E-2</v>
      </c>
      <c r="N134" s="1170">
        <v>0</v>
      </c>
      <c r="O134" s="1009">
        <f t="shared" si="7"/>
        <v>0</v>
      </c>
    </row>
    <row r="135" spans="1:15">
      <c r="A135" s="1031" t="s">
        <v>255</v>
      </c>
      <c r="B135" s="1032"/>
      <c r="C135" s="1032"/>
      <c r="D135" s="1002" t="s">
        <v>250</v>
      </c>
      <c r="E135" s="1003">
        <f>'[3]21'!F135</f>
        <v>31499.56</v>
      </c>
      <c r="F135" s="1153">
        <v>31523.599999999999</v>
      </c>
      <c r="G135" s="1004">
        <f t="shared" si="17"/>
        <v>24.039999999997235</v>
      </c>
      <c r="H135" s="1005">
        <f>G135+'[3]21'!H135</f>
        <v>527.57999999999811</v>
      </c>
      <c r="I135" s="1024"/>
      <c r="J135" s="1007">
        <f>H135/DAY(B2)</f>
        <v>23.980909090909005</v>
      </c>
      <c r="N135" s="1170">
        <v>0</v>
      </c>
      <c r="O135" s="1009">
        <f t="shared" si="7"/>
        <v>-24.039999999997235</v>
      </c>
    </row>
    <row r="136" spans="1:15">
      <c r="A136" s="1031" t="s">
        <v>256</v>
      </c>
      <c r="B136" s="1032"/>
      <c r="C136" s="1032"/>
      <c r="D136" s="1002" t="s">
        <v>250</v>
      </c>
      <c r="E136" s="1003">
        <f>'[3]21'!F136</f>
        <v>21636.59</v>
      </c>
      <c r="F136" s="1153">
        <v>21636.59</v>
      </c>
      <c r="G136" s="1004">
        <f t="shared" si="17"/>
        <v>0</v>
      </c>
      <c r="H136" s="1005">
        <f>G136+'[3]21'!H136</f>
        <v>38.56000000000131</v>
      </c>
      <c r="I136" s="1024">
        <f>G134+G135+G136</f>
        <v>24.039999999997235</v>
      </c>
      <c r="J136" s="1007">
        <f>H136/DAY(B2)</f>
        <v>1.7527272727273322</v>
      </c>
      <c r="N136" s="1170">
        <v>0</v>
      </c>
      <c r="O136" s="1009">
        <f t="shared" ref="O136:O154" si="18">N136-G136</f>
        <v>0</v>
      </c>
    </row>
    <row r="137" spans="1:15">
      <c r="A137" s="1031" t="s">
        <v>257</v>
      </c>
      <c r="B137" s="1032"/>
      <c r="C137" s="1032"/>
      <c r="D137" s="1002" t="s">
        <v>250</v>
      </c>
      <c r="E137" s="1003">
        <f>'[3]21'!F137</f>
        <v>24928.97</v>
      </c>
      <c r="F137" s="1153">
        <v>24928.97</v>
      </c>
      <c r="G137" s="1004">
        <f t="shared" si="17"/>
        <v>0</v>
      </c>
      <c r="H137" s="1005">
        <f>G137+'[3]21'!H137</f>
        <v>26.720000000001164</v>
      </c>
      <c r="I137" s="1024"/>
      <c r="J137" s="1007">
        <f>H137/DAY(B2)</f>
        <v>1.2145454545455074</v>
      </c>
      <c r="N137" s="1170">
        <v>7.2299999999995634</v>
      </c>
      <c r="O137" s="1009">
        <f t="shared" si="18"/>
        <v>7.2299999999995634</v>
      </c>
    </row>
    <row r="138" spans="1:15">
      <c r="A138" s="1031" t="s">
        <v>258</v>
      </c>
      <c r="B138" s="1032"/>
      <c r="C138" s="1032"/>
      <c r="D138" s="1002" t="s">
        <v>250</v>
      </c>
      <c r="E138" s="1003">
        <f>'[3]21'!F138</f>
        <v>69943.39</v>
      </c>
      <c r="F138" s="1153">
        <v>69943.39</v>
      </c>
      <c r="G138" s="1004">
        <f t="shared" si="17"/>
        <v>0</v>
      </c>
      <c r="H138" s="1005">
        <f>G138+'[3]21'!H138</f>
        <v>61.740000000005239</v>
      </c>
      <c r="I138" s="1024">
        <f>G137+G138</f>
        <v>0</v>
      </c>
      <c r="J138" s="1007">
        <f>H138/DAY(B2)</f>
        <v>2.8063636363638746</v>
      </c>
      <c r="N138" s="1170">
        <v>0</v>
      </c>
      <c r="O138" s="1009">
        <f t="shared" si="18"/>
        <v>0</v>
      </c>
    </row>
    <row r="139" spans="1:15">
      <c r="A139" s="1031" t="s">
        <v>259</v>
      </c>
      <c r="B139" s="1032"/>
      <c r="C139" s="1032"/>
      <c r="D139" s="1002" t="s">
        <v>250</v>
      </c>
      <c r="E139" s="1003">
        <f>'[3]21'!F139</f>
        <v>890.84</v>
      </c>
      <c r="F139" s="1033">
        <v>896.9</v>
      </c>
      <c r="G139" s="1004">
        <f t="shared" si="17"/>
        <v>6.0599999999999454</v>
      </c>
      <c r="H139" s="1005">
        <f>G139+'[3]21'!H139</f>
        <v>120.47000000000003</v>
      </c>
      <c r="I139" s="1154"/>
      <c r="J139" s="1007">
        <f>H139/DAY(B2)</f>
        <v>5.4759090909090924</v>
      </c>
      <c r="N139" s="1170">
        <v>0</v>
      </c>
      <c r="O139" s="1009">
        <f t="shared" si="18"/>
        <v>-6.0599999999999454</v>
      </c>
    </row>
    <row r="140" spans="1:15">
      <c r="A140" s="1031" t="s">
        <v>260</v>
      </c>
      <c r="B140" s="1032"/>
      <c r="C140" s="1032"/>
      <c r="D140" s="1002" t="s">
        <v>250</v>
      </c>
      <c r="E140" s="1003">
        <f>'[3]21'!F140</f>
        <v>4156.8999999999996</v>
      </c>
      <c r="F140" s="1033">
        <v>4156.8999999999996</v>
      </c>
      <c r="G140" s="1004">
        <f t="shared" si="17"/>
        <v>0</v>
      </c>
      <c r="H140" s="1005">
        <f>G140+'[3]21'!H140</f>
        <v>2.6299999999991996</v>
      </c>
      <c r="I140" s="1154"/>
      <c r="J140" s="1007">
        <f>H140/DAY(B2)</f>
        <v>0.11954545454541816</v>
      </c>
      <c r="N140" s="1170">
        <v>3.3299999999999272</v>
      </c>
      <c r="O140" s="1009">
        <f t="shared" si="18"/>
        <v>3.3299999999999272</v>
      </c>
    </row>
    <row r="141" spans="1:15">
      <c r="A141" s="1602" t="s">
        <v>261</v>
      </c>
      <c r="B141" s="160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>
        <f t="shared" si="18"/>
        <v>0</v>
      </c>
    </row>
    <row r="142" spans="1:15">
      <c r="A142" s="1587" t="s">
        <v>262</v>
      </c>
      <c r="B142" s="1588"/>
      <c r="C142" s="1589"/>
      <c r="D142" s="1002" t="s">
        <v>143</v>
      </c>
      <c r="E142" s="1002"/>
      <c r="F142" s="1002"/>
      <c r="G142" s="1005">
        <f>G35+G43+G49+G57</f>
        <v>5285.820000000087</v>
      </c>
      <c r="H142" s="1005">
        <f>G142+'[3]21'!H142</f>
        <v>106689.66900000008</v>
      </c>
      <c r="I142" s="1024"/>
      <c r="J142" s="1007">
        <f>H142/DAY(B2)</f>
        <v>4849.5304090909131</v>
      </c>
      <c r="K142" s="1102"/>
      <c r="L142" s="982"/>
      <c r="N142" s="1170">
        <v>3116.0800000000163</v>
      </c>
      <c r="O142" s="1009">
        <f t="shared" si="18"/>
        <v>-2169.7400000000707</v>
      </c>
    </row>
    <row r="143" spans="1:15">
      <c r="A143" s="1587" t="s">
        <v>263</v>
      </c>
      <c r="B143" s="1588"/>
      <c r="C143" s="1589"/>
      <c r="D143" s="1002" t="s">
        <v>24</v>
      </c>
      <c r="E143" s="989"/>
      <c r="F143" s="989"/>
      <c r="G143" s="1155">
        <f>G142/G7</f>
        <v>0.27357900729776341</v>
      </c>
      <c r="H143" s="1005">
        <f>G143+'[3]21'!H143</f>
        <v>5.278740609180721</v>
      </c>
      <c r="I143" s="1156"/>
      <c r="J143" s="1007">
        <f>H143/DAY(B2)</f>
        <v>0.23994275496276005</v>
      </c>
      <c r="K143" s="1102"/>
      <c r="L143" s="982"/>
      <c r="N143" s="1170">
        <v>0.24942607860401955</v>
      </c>
      <c r="O143" s="1009">
        <f t="shared" si="18"/>
        <v>-2.4152928693743858E-2</v>
      </c>
    </row>
    <row r="144" spans="1:15">
      <c r="A144" s="1587" t="s">
        <v>264</v>
      </c>
      <c r="B144" s="1588"/>
      <c r="C144" s="1589"/>
      <c r="D144" s="1002" t="s">
        <v>143</v>
      </c>
      <c r="E144" s="1003"/>
      <c r="F144" s="1003"/>
      <c r="G144" s="1005">
        <f>G41+G42+G55+G56</f>
        <v>4842.7600000000093</v>
      </c>
      <c r="H144" s="1005">
        <f>G144+'[3]21'!H144</f>
        <v>97292.430000000139</v>
      </c>
      <c r="I144" s="1024"/>
      <c r="J144" s="1007">
        <f>H144/DAY(B2)</f>
        <v>4422.3831818181879</v>
      </c>
      <c r="K144" s="1102"/>
      <c r="L144" s="982"/>
      <c r="N144" s="1170">
        <v>3271.0800000000127</v>
      </c>
      <c r="O144" s="1009">
        <f t="shared" si="18"/>
        <v>-1571.6799999999967</v>
      </c>
    </row>
    <row r="145" spans="1:15">
      <c r="A145" s="1587" t="s">
        <v>265</v>
      </c>
      <c r="B145" s="1588"/>
      <c r="C145" s="1589"/>
      <c r="D145" s="1002" t="s">
        <v>24</v>
      </c>
      <c r="E145" s="1003"/>
      <c r="F145" s="1003"/>
      <c r="G145" s="1155">
        <f>G144/G7</f>
        <v>0.25064748201438897</v>
      </c>
      <c r="H145" s="1005">
        <f>G145+'[3]21'!H145</f>
        <v>4.9890285236123448</v>
      </c>
      <c r="I145" s="1156"/>
      <c r="J145" s="1007">
        <f>H145/DAY(B2)</f>
        <v>0.22677402380056114</v>
      </c>
      <c r="K145" s="1102"/>
      <c r="L145" s="982"/>
      <c r="N145" s="1170">
        <v>0.26183302649483814</v>
      </c>
      <c r="O145" s="1009">
        <f t="shared" si="18"/>
        <v>1.1185544480449172E-2</v>
      </c>
    </row>
    <row r="146" spans="1:15">
      <c r="A146" s="1587" t="s">
        <v>266</v>
      </c>
      <c r="B146" s="1588"/>
      <c r="C146" s="1589"/>
      <c r="D146" s="1002" t="s">
        <v>143</v>
      </c>
      <c r="E146" s="1003"/>
      <c r="F146" s="1003"/>
      <c r="G146" s="1005">
        <f>G39+G53</f>
        <v>3993.62</v>
      </c>
      <c r="H146" s="1005">
        <f>G146+'[3]21'!H146</f>
        <v>63371.860000000044</v>
      </c>
      <c r="I146" s="1157"/>
      <c r="J146" s="1007">
        <f>H146/DAY(B2)</f>
        <v>2880.5390909090929</v>
      </c>
      <c r="K146" s="1102"/>
      <c r="L146" s="982"/>
      <c r="N146" s="1170">
        <v>2151.6400000000085</v>
      </c>
      <c r="O146" s="1009">
        <f t="shared" si="18"/>
        <v>-1841.9799999999914</v>
      </c>
    </row>
    <row r="147" spans="1:15">
      <c r="A147" s="1587" t="s">
        <v>267</v>
      </c>
      <c r="B147" s="1588"/>
      <c r="C147" s="1589"/>
      <c r="D147" s="1002" t="s">
        <v>24</v>
      </c>
      <c r="E147" s="1003"/>
      <c r="F147" s="1003"/>
      <c r="G147" s="1155">
        <f>G146/G7</f>
        <v>0.20669841105532841</v>
      </c>
      <c r="H147" s="1005">
        <f>G147+'[3]21'!H147</f>
        <v>3.1960418686373919</v>
      </c>
      <c r="I147" s="1157"/>
      <c r="J147" s="1007">
        <f>H147/DAY(B2)</f>
        <v>0.14527463039260871</v>
      </c>
      <c r="N147" s="1170">
        <v>0.17222764748259092</v>
      </c>
      <c r="O147" s="1009">
        <f t="shared" si="18"/>
        <v>-3.4470763572737484E-2</v>
      </c>
    </row>
    <row r="148" spans="1:15">
      <c r="A148" s="1587" t="s">
        <v>268</v>
      </c>
      <c r="B148" s="1588"/>
      <c r="C148" s="1589"/>
      <c r="D148" s="1002" t="s">
        <v>194</v>
      </c>
      <c r="E148" s="1003"/>
      <c r="F148" s="1003"/>
      <c r="G148" s="1005">
        <f>G38+G52</f>
        <v>1660.7200000000303</v>
      </c>
      <c r="H148" s="1005">
        <f>G148+'[3]21'!H148</f>
        <v>38220.760000000009</v>
      </c>
      <c r="I148" s="1024"/>
      <c r="J148" s="1007">
        <f>H148/DAY(B2)</f>
        <v>1737.3072727272731</v>
      </c>
      <c r="K148" s="1158"/>
      <c r="N148" s="1170">
        <v>1058.2600000000093</v>
      </c>
      <c r="O148" s="1009">
        <f t="shared" si="18"/>
        <v>-602.46000000002095</v>
      </c>
    </row>
    <row r="149" spans="1:15">
      <c r="A149" s="1587" t="s">
        <v>269</v>
      </c>
      <c r="B149" s="1588"/>
      <c r="C149" s="1589"/>
      <c r="D149" s="1002" t="s">
        <v>24</v>
      </c>
      <c r="E149" s="1003"/>
      <c r="F149" s="1003"/>
      <c r="G149" s="1155">
        <f>G148/G7</f>
        <v>8.5954143160293484E-2</v>
      </c>
      <c r="H149" s="1005">
        <f>G149+'[3]21'!H149</f>
        <v>1.9542775875403748</v>
      </c>
      <c r="I149" s="1157"/>
      <c r="J149" s="1007">
        <f>H149/DAY(B2)</f>
        <v>8.8830799433653407E-2</v>
      </c>
      <c r="N149" s="1170">
        <v>8.4708236612503748E-2</v>
      </c>
      <c r="O149" s="1009">
        <f t="shared" si="18"/>
        <v>-1.2459065477897352E-3</v>
      </c>
    </row>
    <row r="150" spans="1:15">
      <c r="A150" s="1587" t="s">
        <v>270</v>
      </c>
      <c r="B150" s="1588"/>
      <c r="C150" s="1589"/>
      <c r="D150" s="1002" t="s">
        <v>194</v>
      </c>
      <c r="E150" s="1003"/>
      <c r="F150" s="1003"/>
      <c r="G150" s="1005">
        <f>G36+G50</f>
        <v>1544.6199999999662</v>
      </c>
      <c r="H150" s="1005">
        <f>G150+'[3]21'!H150</f>
        <v>35265.959999999963</v>
      </c>
      <c r="I150" s="1157"/>
      <c r="J150" s="1007">
        <f>H150/DAY(B2)</f>
        <v>1602.9981818181802</v>
      </c>
      <c r="N150" s="1170">
        <v>1278.2299999999814</v>
      </c>
      <c r="O150" s="1009">
        <f t="shared" si="18"/>
        <v>-266.38999999998487</v>
      </c>
    </row>
    <row r="151" spans="1:15">
      <c r="A151" s="1587" t="s">
        <v>271</v>
      </c>
      <c r="B151" s="1588"/>
      <c r="C151" s="1589"/>
      <c r="D151" s="1002" t="s">
        <v>24</v>
      </c>
      <c r="E151" s="1003"/>
      <c r="F151" s="1003"/>
      <c r="G151" s="1155">
        <f>G150/G7</f>
        <v>7.9945137415245907E-2</v>
      </c>
      <c r="H151" s="1005">
        <f>G151+'[3]21'!H151</f>
        <v>1.8011570329386846</v>
      </c>
      <c r="I151" s="1024"/>
      <c r="J151" s="1007">
        <f>H151/DAY(B2)</f>
        <v>8.187077422448566E-2</v>
      </c>
      <c r="N151" s="1170">
        <v>0.10231569679020103</v>
      </c>
      <c r="O151" s="1009">
        <f t="shared" si="18"/>
        <v>2.2370559374955121E-2</v>
      </c>
    </row>
    <row r="152" spans="1:15">
      <c r="A152" s="1587" t="s">
        <v>272</v>
      </c>
      <c r="B152" s="1588"/>
      <c r="C152" s="1589"/>
      <c r="D152" s="1002" t="s">
        <v>194</v>
      </c>
      <c r="E152" s="1003"/>
      <c r="F152" s="1003"/>
      <c r="G152" s="1005">
        <f>G37+G51</f>
        <v>1433.8900000000003</v>
      </c>
      <c r="H152" s="1005">
        <f>G152+'[3]21'!H152</f>
        <v>31164.3619</v>
      </c>
      <c r="I152" s="1024"/>
      <c r="J152" s="1007">
        <f>H152/DAY(B2)</f>
        <v>1416.5619045454546</v>
      </c>
      <c r="N152" s="1170">
        <v>1215.359999999986</v>
      </c>
      <c r="O152" s="1009">
        <f t="shared" si="18"/>
        <v>-218.5300000000143</v>
      </c>
    </row>
    <row r="153" spans="1:15" ht="21" thickBot="1">
      <c r="A153" s="1590" t="s">
        <v>273</v>
      </c>
      <c r="B153" s="1591"/>
      <c r="C153" s="1592"/>
      <c r="D153" s="1159" t="s">
        <v>24</v>
      </c>
      <c r="E153" s="1160"/>
      <c r="F153" s="1160"/>
      <c r="G153" s="1161">
        <f>G152/G7</f>
        <v>7.4214067594845001E-2</v>
      </c>
      <c r="H153" s="1005">
        <f>G153+'[3]21'!H153</f>
        <v>1.5989931998175424</v>
      </c>
      <c r="I153" s="1162"/>
      <c r="J153" s="1163">
        <f>H153/DAY(B2)</f>
        <v>7.2681509082615559E-2</v>
      </c>
      <c r="N153" s="1170">
        <v>9.7283278636035059E-2</v>
      </c>
      <c r="O153" s="1009">
        <f t="shared" si="18"/>
        <v>2.3069211041190057E-2</v>
      </c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>
        <f t="shared" si="18"/>
        <v>0</v>
      </c>
    </row>
    <row r="160" spans="1:15">
      <c r="A160" s="1720" t="s">
        <v>274</v>
      </c>
      <c r="B160" s="1720"/>
      <c r="C160" s="1720"/>
      <c r="D160" s="1098" t="s">
        <v>198</v>
      </c>
      <c r="E160" s="1028">
        <f>'[3]21'!F160</f>
        <v>23185.11</v>
      </c>
      <c r="F160" s="1721">
        <v>23257.9</v>
      </c>
      <c r="G160" s="1004">
        <f t="shared" ref="G160:G171" si="19">F160-E160</f>
        <v>72.790000000000873</v>
      </c>
      <c r="H160" s="1168">
        <v>68.809999999999491</v>
      </c>
      <c r="N160" s="1170">
        <v>68.809999999999491</v>
      </c>
    </row>
    <row r="161" spans="1:14">
      <c r="A161" s="1720" t="s">
        <v>275</v>
      </c>
      <c r="B161" s="1720"/>
      <c r="C161" s="1720"/>
      <c r="D161" s="1098" t="s">
        <v>198</v>
      </c>
      <c r="E161" s="1028">
        <f>'[3]21'!F161</f>
        <v>4718.5</v>
      </c>
      <c r="F161" s="1721">
        <v>5325.98</v>
      </c>
      <c r="G161" s="1004">
        <f t="shared" si="19"/>
        <v>607.47999999999956</v>
      </c>
      <c r="H161" s="1168">
        <v>128.56999999999994</v>
      </c>
      <c r="N161" s="1170">
        <v>128.56999999999994</v>
      </c>
    </row>
    <row r="162" spans="1:14">
      <c r="A162" s="1720" t="s">
        <v>276</v>
      </c>
      <c r="B162" s="1720"/>
      <c r="C162" s="1720"/>
      <c r="D162" s="1098" t="s">
        <v>198</v>
      </c>
      <c r="E162" s="1028">
        <f>'[3]21'!F162</f>
        <v>506</v>
      </c>
      <c r="F162" s="1721">
        <v>827.39</v>
      </c>
      <c r="G162" s="1004">
        <f t="shared" si="19"/>
        <v>321.39</v>
      </c>
      <c r="H162" s="1168">
        <v>141.49</v>
      </c>
      <c r="N162" s="1170">
        <v>141.49</v>
      </c>
    </row>
    <row r="163" spans="1:14">
      <c r="A163" s="1720" t="s">
        <v>277</v>
      </c>
      <c r="B163" s="1720"/>
      <c r="C163" s="1720"/>
      <c r="D163" s="1098" t="s">
        <v>198</v>
      </c>
      <c r="E163" s="1028">
        <f>'[3]21'!F163</f>
        <v>3385.78</v>
      </c>
      <c r="F163" s="1721">
        <v>3395.97</v>
      </c>
      <c r="G163" s="1004">
        <f t="shared" si="19"/>
        <v>10.1899999999996</v>
      </c>
      <c r="H163" s="1168">
        <v>45.430000000000007</v>
      </c>
      <c r="N163" s="1170">
        <v>45.430000000000007</v>
      </c>
    </row>
    <row r="164" spans="1:14">
      <c r="A164" s="1722" t="s">
        <v>106</v>
      </c>
      <c r="B164" s="1722"/>
      <c r="C164" s="1722"/>
      <c r="D164" s="1098" t="s">
        <v>198</v>
      </c>
      <c r="E164" s="1085">
        <f>E62</f>
        <v>20419.2</v>
      </c>
      <c r="F164" s="1085">
        <f>F62</f>
        <v>20419.2</v>
      </c>
      <c r="G164" s="1004">
        <f t="shared" si="19"/>
        <v>0</v>
      </c>
      <c r="H164" s="1168">
        <v>0</v>
      </c>
      <c r="N164" s="1170">
        <v>0</v>
      </c>
    </row>
    <row r="165" spans="1:14">
      <c r="A165" s="1722" t="s">
        <v>199</v>
      </c>
      <c r="B165" s="1722"/>
      <c r="C165" s="1722"/>
      <c r="D165" s="1098" t="s">
        <v>198</v>
      </c>
      <c r="E165" s="1085">
        <f t="shared" ref="E165:F171" si="20">E63</f>
        <v>707.22</v>
      </c>
      <c r="F165" s="1085">
        <f t="shared" si="20"/>
        <v>725.2</v>
      </c>
      <c r="G165" s="1004">
        <f t="shared" si="19"/>
        <v>17.980000000000018</v>
      </c>
      <c r="H165" s="1168">
        <v>0</v>
      </c>
      <c r="N165" s="1170">
        <v>0</v>
      </c>
    </row>
    <row r="166" spans="1:14">
      <c r="A166" s="1723" t="s">
        <v>107</v>
      </c>
      <c r="B166" s="1723"/>
      <c r="C166" s="1723"/>
      <c r="D166" s="1036" t="s">
        <v>198</v>
      </c>
      <c r="E166" s="1085">
        <f t="shared" si="20"/>
        <v>83472.91</v>
      </c>
      <c r="F166" s="1085">
        <f t="shared" si="20"/>
        <v>83820.23</v>
      </c>
      <c r="G166" s="1004">
        <f t="shared" si="19"/>
        <v>347.31999999999243</v>
      </c>
      <c r="H166" s="1168">
        <v>178.5199999999968</v>
      </c>
      <c r="N166" s="1170">
        <v>178.5199999999968</v>
      </c>
    </row>
    <row r="167" spans="1:14">
      <c r="A167" s="1723" t="s">
        <v>108</v>
      </c>
      <c r="B167" s="1723"/>
      <c r="C167" s="1723"/>
      <c r="D167" s="1036" t="s">
        <v>198</v>
      </c>
      <c r="E167" s="1085">
        <f t="shared" si="20"/>
        <v>93154.87</v>
      </c>
      <c r="F167" s="1085">
        <f t="shared" si="20"/>
        <v>93532.53</v>
      </c>
      <c r="G167" s="1004">
        <f t="shared" si="19"/>
        <v>377.66000000000349</v>
      </c>
      <c r="H167" s="1168">
        <v>198.38999999999942</v>
      </c>
      <c r="N167" s="1170">
        <v>198.38999999999942</v>
      </c>
    </row>
    <row r="168" spans="1:14">
      <c r="A168" s="1723" t="s">
        <v>109</v>
      </c>
      <c r="B168" s="1723"/>
      <c r="C168" s="1723"/>
      <c r="D168" s="1036" t="s">
        <v>198</v>
      </c>
      <c r="E168" s="1085">
        <f t="shared" si="20"/>
        <v>86367.83</v>
      </c>
      <c r="F168" s="1085">
        <f t="shared" si="20"/>
        <v>86772.19</v>
      </c>
      <c r="G168" s="1004">
        <f t="shared" si="19"/>
        <v>404.36000000000058</v>
      </c>
      <c r="H168" s="1168">
        <v>226.35000000000582</v>
      </c>
      <c r="N168" s="1170">
        <v>226.35000000000582</v>
      </c>
    </row>
    <row r="169" spans="1:14">
      <c r="A169" s="1723" t="s">
        <v>110</v>
      </c>
      <c r="B169" s="1723"/>
      <c r="C169" s="1723"/>
      <c r="D169" s="1036" t="s">
        <v>198</v>
      </c>
      <c r="E169" s="1085">
        <f t="shared" si="20"/>
        <v>139625.19</v>
      </c>
      <c r="F169" s="1085">
        <f t="shared" si="20"/>
        <v>140286.53</v>
      </c>
      <c r="G169" s="1004">
        <f t="shared" si="19"/>
        <v>661.33999999999651</v>
      </c>
      <c r="H169" s="1168">
        <v>312.47000000000116</v>
      </c>
      <c r="N169" s="1170">
        <v>312.47000000000116</v>
      </c>
    </row>
    <row r="170" spans="1:14">
      <c r="A170" s="1723" t="s">
        <v>111</v>
      </c>
      <c r="B170" s="1723"/>
      <c r="C170" s="1723"/>
      <c r="D170" s="1036" t="s">
        <v>198</v>
      </c>
      <c r="E170" s="1085">
        <f t="shared" si="20"/>
        <v>40004.76</v>
      </c>
      <c r="F170" s="1085">
        <f t="shared" si="20"/>
        <v>40328.19</v>
      </c>
      <c r="G170" s="1004">
        <f t="shared" si="19"/>
        <v>323.43000000000029</v>
      </c>
      <c r="H170" s="1168">
        <v>142.1200000000008</v>
      </c>
      <c r="N170" s="1170">
        <v>142.1200000000008</v>
      </c>
    </row>
    <row r="171" spans="1:14">
      <c r="A171" s="1723" t="s">
        <v>112</v>
      </c>
      <c r="B171" s="1723"/>
      <c r="C171" s="1723"/>
      <c r="D171" s="1036" t="s">
        <v>198</v>
      </c>
      <c r="E171" s="1085">
        <f t="shared" si="20"/>
        <v>34964.14</v>
      </c>
      <c r="F171" s="1085">
        <f t="shared" si="20"/>
        <v>35250.980000000003</v>
      </c>
      <c r="G171" s="1004">
        <f t="shared" si="19"/>
        <v>286.84000000000378</v>
      </c>
      <c r="H171" s="1168">
        <v>12.869999999998981</v>
      </c>
      <c r="N171" s="1170">
        <v>12.869999999998981</v>
      </c>
    </row>
    <row r="172" spans="1:14">
      <c r="A172" s="1724"/>
      <c r="B172" s="1724"/>
      <c r="C172" s="1724"/>
      <c r="D172" s="1724"/>
      <c r="E172" s="1724"/>
      <c r="F172" s="1724"/>
      <c r="G172" s="1725">
        <f>SUM(G160:G171)</f>
        <v>3430.779999999997</v>
      </c>
      <c r="N172" s="1170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Normal="80" zoomScaleSheetLayoutView="70" workbookViewId="0">
      <selection sqref="A1:XFD1048576"/>
    </sheetView>
  </sheetViews>
  <sheetFormatPr defaultColWidth="22.33203125" defaultRowHeight="20.25"/>
  <cols>
    <col min="1" max="1" width="43.5546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32.109375" style="1167" customWidth="1"/>
    <col min="6" max="6" width="30" style="1167" customWidth="1"/>
    <col min="7" max="7" width="15.5546875" style="1167" bestFit="1" customWidth="1"/>
    <col min="8" max="8" width="39.21875" style="1168" customWidth="1"/>
    <col min="9" max="9" width="11.21875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16" t="s">
        <v>128</v>
      </c>
      <c r="B1" s="1617"/>
      <c r="C1" s="1617"/>
      <c r="D1" s="1617"/>
      <c r="E1" s="1617"/>
      <c r="F1" s="1617"/>
      <c r="G1" s="1617"/>
      <c r="H1" s="1617"/>
      <c r="I1" s="1617"/>
      <c r="J1" s="1618"/>
      <c r="K1" s="969">
        <v>10002.799999999999</v>
      </c>
    </row>
    <row r="2" spans="1:15">
      <c r="A2" s="970" t="s">
        <v>279</v>
      </c>
      <c r="B2" s="1242">
        <v>44158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30</v>
      </c>
      <c r="E3" s="1625" t="s">
        <v>132</v>
      </c>
      <c r="F3" s="162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0.76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19" t="s">
        <v>141</v>
      </c>
      <c r="B6" s="1620"/>
      <c r="C6" s="162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'[3]22'!F7</f>
        <v>2515200</v>
      </c>
      <c r="F7" s="1003">
        <v>2533052</v>
      </c>
      <c r="G7" s="1004">
        <f>F7-E7</f>
        <v>17852</v>
      </c>
      <c r="H7" s="1005">
        <f>G7+'[3]22'!H7</f>
        <v>428027</v>
      </c>
      <c r="I7" s="1006">
        <f>'[3]1'!I7</f>
        <v>12000</v>
      </c>
      <c r="J7" s="1007">
        <f>H7/DAY(B2)</f>
        <v>18609.869565217392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'[3]22'!F8</f>
        <v>2527758</v>
      </c>
      <c r="F8" s="1014">
        <v>2545933</v>
      </c>
      <c r="G8" s="1015">
        <f>F8-E8</f>
        <v>18175</v>
      </c>
      <c r="H8" s="1005">
        <f>G8+'[3]22'!H8</f>
        <v>430492</v>
      </c>
      <c r="I8" s="1016">
        <f>'[3]1'!I8</f>
        <v>12000</v>
      </c>
      <c r="J8" s="1007">
        <f>H8/DAY(B2)</f>
        <v>18717.043478260868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'[3]22'!F9</f>
        <v>2232535.9</v>
      </c>
      <c r="F9" s="1021">
        <v>2235351.5</v>
      </c>
      <c r="G9" s="1004">
        <f t="shared" ref="G9:G12" si="0">F9-E9</f>
        <v>2815.6000000000931</v>
      </c>
      <c r="H9" s="1005">
        <f>G9+'[3]22'!H9</f>
        <v>218346.19999999995</v>
      </c>
      <c r="I9" s="1022">
        <f>I8-J8</f>
        <v>-6717.0434782608681</v>
      </c>
      <c r="J9" s="1007">
        <f>H9/DAY(B2)</f>
        <v>9493.3130434782597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'[3]22'!F10</f>
        <v>179876.25</v>
      </c>
      <c r="F10" s="1021">
        <v>194244.53</v>
      </c>
      <c r="G10" s="1004">
        <f t="shared" si="0"/>
        <v>14368.279999999999</v>
      </c>
      <c r="H10" s="1005">
        <f>G10+'[3]22'!H10</f>
        <v>194244.74000000002</v>
      </c>
      <c r="I10" s="1024"/>
      <c r="J10" s="1007">
        <f>H10/DAY(B2)</f>
        <v>8445.423478260871</v>
      </c>
      <c r="K10" s="1023"/>
      <c r="L10" s="982"/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'[3]22'!F11</f>
        <v>35390</v>
      </c>
      <c r="F11" s="1003">
        <v>35390</v>
      </c>
      <c r="G11" s="1004">
        <f t="shared" si="0"/>
        <v>0</v>
      </c>
      <c r="H11" s="1005">
        <f>G11+'[3]22'!H11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'[3]22'!F12</f>
        <v>37630</v>
      </c>
      <c r="F12" s="1021">
        <v>37630</v>
      </c>
      <c r="G12" s="1004">
        <f t="shared" si="0"/>
        <v>0</v>
      </c>
      <c r="H12" s="1005">
        <f>G12+'[3]22'!H12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17183.880000000092</v>
      </c>
      <c r="H13" s="1005">
        <f>G13+'[3]22'!H13</f>
        <v>358327.14</v>
      </c>
      <c r="I13" s="1028">
        <f>G7-G13</f>
        <v>668.11999999990803</v>
      </c>
      <c r="J13" s="1007">
        <f>H13/DAY(B2)</f>
        <v>15579.440869565218</v>
      </c>
      <c r="K13" s="1023"/>
      <c r="L13" s="982"/>
      <c r="O13" s="1009"/>
    </row>
    <row r="14" spans="1:15">
      <c r="A14" s="1622" t="s">
        <v>150</v>
      </c>
      <c r="B14" s="1623"/>
      <c r="C14" s="1624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'[3]22'!F15</f>
        <v>1541852</v>
      </c>
      <c r="F15" s="1033">
        <v>1542547.03</v>
      </c>
      <c r="G15" s="1179">
        <f>(F15-E15)</f>
        <v>695.03000000002794</v>
      </c>
      <c r="H15" s="1005">
        <f>G15+'[3]22'!H15</f>
        <v>12431.836000000127</v>
      </c>
      <c r="I15" s="1006">
        <f>'[3]1'!I15</f>
        <v>800</v>
      </c>
      <c r="J15" s="1007">
        <f>H15/DAY(B2)</f>
        <v>540.51460869565767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259.48539130434233</v>
      </c>
      <c r="J16" s="1040"/>
      <c r="K16" s="1023"/>
      <c r="L16" s="982"/>
      <c r="O16" s="1009"/>
    </row>
    <row r="17" spans="1:15">
      <c r="A17" s="1622" t="s">
        <v>153</v>
      </c>
      <c r="B17" s="1623"/>
      <c r="C17" s="1624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587" t="s">
        <v>154</v>
      </c>
      <c r="B18" s="1588"/>
      <c r="C18" s="1589"/>
      <c r="D18" s="1002" t="s">
        <v>155</v>
      </c>
      <c r="E18" s="1003">
        <f>'[3]22'!F18</f>
        <v>12</v>
      </c>
      <c r="F18" s="1033">
        <v>10</v>
      </c>
      <c r="G18" s="1027">
        <f>F18*10</f>
        <v>100</v>
      </c>
      <c r="H18" s="1005">
        <f>G18+'[3]22'!H18</f>
        <v>2340</v>
      </c>
      <c r="I18" s="1006">
        <f>'[3]1'!I18</f>
        <v>65</v>
      </c>
      <c r="J18" s="1007">
        <f>H18/DAY(B2)</f>
        <v>101.73913043478261</v>
      </c>
      <c r="K18" s="1023"/>
      <c r="L18" s="982"/>
      <c r="O18" s="1009"/>
    </row>
    <row r="19" spans="1:15">
      <c r="A19" s="1587" t="s">
        <v>71</v>
      </c>
      <c r="B19" s="1588"/>
      <c r="C19" s="1589"/>
      <c r="D19" s="1002" t="s">
        <v>155</v>
      </c>
      <c r="E19" s="1003">
        <f>'[3]22'!F19</f>
        <v>129352</v>
      </c>
      <c r="F19" s="1033">
        <v>129407</v>
      </c>
      <c r="G19" s="1004">
        <f t="shared" ref="G19" si="1">F19-E19</f>
        <v>55</v>
      </c>
      <c r="H19" s="1005">
        <f>G19+'[3]22'!H19</f>
        <v>1212</v>
      </c>
      <c r="I19" s="1006">
        <f>'[3]1'!I19</f>
        <v>0</v>
      </c>
      <c r="J19" s="1007">
        <f>H19/DAY(B2)</f>
        <v>52.695652173913047</v>
      </c>
      <c r="K19" s="1023"/>
      <c r="L19" s="982"/>
      <c r="N19" s="1170">
        <v>126171</v>
      </c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155</v>
      </c>
      <c r="H20" s="1005">
        <f>G20+'[3]22'!H20</f>
        <v>3552</v>
      </c>
      <c r="I20" s="1045">
        <f>I18-J20</f>
        <v>-89.434782608695656</v>
      </c>
      <c r="J20" s="1007">
        <f>H20/DAY(B2)</f>
        <v>154.43478260869566</v>
      </c>
      <c r="K20" s="1023"/>
      <c r="L20" s="982"/>
      <c r="N20" s="1170">
        <f>N19-F19</f>
        <v>-3236</v>
      </c>
      <c r="O20" s="1009"/>
    </row>
    <row r="21" spans="1:15">
      <c r="A21" s="1622" t="s">
        <v>157</v>
      </c>
      <c r="B21" s="1623"/>
      <c r="C21" s="1624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03">
        <f>'[3]22'!F22</f>
        <v>2250</v>
      </c>
      <c r="F22" s="1033">
        <v>2250</v>
      </c>
      <c r="G22" s="1027">
        <f t="shared" ref="G22" si="2">(F22-E22)</f>
        <v>0</v>
      </c>
      <c r="H22" s="1005">
        <f>G22+'[3]22'!H22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03">
        <f>'[3]22'!F23</f>
        <v>1700</v>
      </c>
      <c r="F23" s="1033">
        <v>1700</v>
      </c>
      <c r="G23" s="1027">
        <v>0</v>
      </c>
      <c r="H23" s="1005">
        <f>G23+'[3]22'!H23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03">
        <f>'[3]22'!F24</f>
        <v>3310</v>
      </c>
      <c r="F24" s="1048">
        <v>3310</v>
      </c>
      <c r="G24" s="1027">
        <v>0</v>
      </c>
      <c r="H24" s="1005">
        <f>G24+'[3]22'!H24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19" t="s">
        <v>162</v>
      </c>
      <c r="B25" s="1620"/>
      <c r="C25" s="162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18175</v>
      </c>
      <c r="F27" s="641">
        <v>9.5</v>
      </c>
      <c r="G27" s="1064">
        <f>E27*F27</f>
        <v>172662.5</v>
      </c>
      <c r="H27" s="1005">
        <f>G27+'[3]22'!H27</f>
        <v>4089674</v>
      </c>
      <c r="I27" s="1065"/>
      <c r="J27" s="1007">
        <f>H27/DAY(B2)</f>
        <v>177811.91304347827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695.03000000002794</v>
      </c>
      <c r="F28" s="641">
        <v>36.5</v>
      </c>
      <c r="G28" s="1064">
        <f>E28*F28</f>
        <v>25368.59500000102</v>
      </c>
      <c r="H28" s="1005">
        <f>G28+'[3]22'!H28</f>
        <v>453762.01400000462</v>
      </c>
      <c r="I28" s="1066"/>
      <c r="J28" s="1007">
        <f>H28/DAY(B2)</f>
        <v>19728.783217391505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G29+'[3]22'!H29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G30+'[3]22'!H30</f>
        <v>175740</v>
      </c>
      <c r="I30" s="1066"/>
      <c r="J30" s="1007">
        <f>H30/DAY(B2)</f>
        <v>7640.869565217391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100</v>
      </c>
      <c r="F31" s="641">
        <v>80</v>
      </c>
      <c r="G31" s="1064">
        <f>E31*F31</f>
        <v>8000</v>
      </c>
      <c r="H31" s="1005">
        <f>G31+'[3]22'!H31</f>
        <v>187200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214006.09500000102</v>
      </c>
      <c r="H32" s="1005">
        <f>G32+'[3]22'!H32</f>
        <v>4906376.0140000042</v>
      </c>
      <c r="I32" s="1072"/>
      <c r="J32" s="1007">
        <f>H32/DAY(B2)</f>
        <v>213320.69626086974</v>
      </c>
      <c r="K32" s="1023"/>
      <c r="L32" s="1053"/>
      <c r="N32" s="1171"/>
      <c r="O32" s="1009"/>
    </row>
    <row r="33" spans="1:15" ht="18.75">
      <c r="A33" s="1627" t="s">
        <v>173</v>
      </c>
      <c r="B33" s="1628"/>
      <c r="C33" s="1628"/>
      <c r="D33" s="1628"/>
      <c r="E33" s="1628"/>
      <c r="F33" s="1628"/>
      <c r="G33" s="1628"/>
      <c r="H33" s="1628"/>
      <c r="I33" s="1628"/>
      <c r="J33" s="1629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'[3]22'!F35</f>
        <v>629027</v>
      </c>
      <c r="F35" s="1075">
        <v>629027</v>
      </c>
      <c r="G35" s="1004">
        <f t="shared" ref="G35:G46" si="3">F35-E35</f>
        <v>0</v>
      </c>
      <c r="H35" s="1005">
        <f>G35+'[3]22'!H35</f>
        <v>25857.530000000028</v>
      </c>
      <c r="I35" s="1003"/>
      <c r="J35" s="1007">
        <f>H35/DAY(B2)</f>
        <v>1124.24043478261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'[3]22'!F36</f>
        <v>224002.07</v>
      </c>
      <c r="F36" s="1075">
        <v>224568.29</v>
      </c>
      <c r="G36" s="1004">
        <f t="shared" si="3"/>
        <v>566.22000000000116</v>
      </c>
      <c r="H36" s="1005">
        <f>G36+'[3]22'!H36</f>
        <v>13208.339999999997</v>
      </c>
      <c r="I36" s="1003"/>
      <c r="J36" s="1007">
        <f>H36/DAY(B2)</f>
        <v>574.27565217391293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'[3]22'!F37</f>
        <v>415066</v>
      </c>
      <c r="F37" s="1075">
        <v>415066</v>
      </c>
      <c r="G37" s="1004">
        <f t="shared" si="3"/>
        <v>0</v>
      </c>
      <c r="H37" s="1005">
        <f>G37+'[3]22'!H37</f>
        <v>15221.809999999998</v>
      </c>
      <c r="I37" s="1003"/>
      <c r="J37" s="1007">
        <f>H37/DAY(B2)</f>
        <v>661.81782608695642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'[3]22'!F38</f>
        <v>150714.38</v>
      </c>
      <c r="F38" s="992">
        <v>150714.38</v>
      </c>
      <c r="G38" s="1004">
        <f t="shared" si="3"/>
        <v>0</v>
      </c>
      <c r="H38" s="1005">
        <f>G38+'[3]22'!H38</f>
        <v>0.38000000000465661</v>
      </c>
      <c r="I38" s="1003"/>
      <c r="J38" s="1007">
        <f>H38/DAY(B2)</f>
        <v>1.6521739130637245E-2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'[3]22'!F39</f>
        <v>912480</v>
      </c>
      <c r="F39" s="1075">
        <v>912480</v>
      </c>
      <c r="G39" s="1004">
        <f t="shared" si="3"/>
        <v>0</v>
      </c>
      <c r="H39" s="1005">
        <f>G39+'[3]22'!H39</f>
        <v>40355.290000000037</v>
      </c>
      <c r="I39" s="1003"/>
      <c r="J39" s="1007">
        <f>H39/DAY(B2)</f>
        <v>1754.5778260869581</v>
      </c>
      <c r="K39" s="1023"/>
      <c r="L39" s="982"/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'[3]22'!F40</f>
        <v>0</v>
      </c>
      <c r="F40" s="1075">
        <v>0</v>
      </c>
      <c r="G40" s="1004">
        <f t="shared" si="3"/>
        <v>0</v>
      </c>
      <c r="H40" s="1005">
        <f>G40+'[3]22'!H40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'[3]22'!F41</f>
        <v>300127.95</v>
      </c>
      <c r="F41" s="1075">
        <v>300127.95</v>
      </c>
      <c r="G41" s="1004">
        <f t="shared" si="3"/>
        <v>0</v>
      </c>
      <c r="H41" s="1005">
        <f>G41+'[3]22'!H41</f>
        <v>-1.9999999960418791E-2</v>
      </c>
      <c r="I41" s="1003"/>
      <c r="J41" s="1007">
        <f>H41/DAY(B2)</f>
        <v>-8.6956521567038215E-4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'[3]22'!F42</f>
        <v>396197.95</v>
      </c>
      <c r="F42" s="1075">
        <v>396197.95</v>
      </c>
      <c r="G42" s="1004">
        <f t="shared" si="3"/>
        <v>0</v>
      </c>
      <c r="H42" s="1005">
        <f>G42+'[3]22'!H42</f>
        <v>0.48000000003958121</v>
      </c>
      <c r="I42" s="1003"/>
      <c r="J42" s="1007">
        <f>H42/DAY(B2)</f>
        <v>2.0869565219112228E-2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'[3]22'!F43</f>
        <v>611188.67000000004</v>
      </c>
      <c r="F43" s="1075">
        <v>613565.27</v>
      </c>
      <c r="G43" s="1004">
        <f t="shared" si="3"/>
        <v>2376.5999999999767</v>
      </c>
      <c r="H43" s="1005">
        <f>G43+'[3]22'!H43</f>
        <v>55241.20000000007</v>
      </c>
      <c r="I43" s="1003"/>
      <c r="J43" s="1007">
        <f>H43/DAY(B2)</f>
        <v>2401.7913043478293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'[3]22'!F44</f>
        <v>0</v>
      </c>
      <c r="F44" s="1075">
        <v>0</v>
      </c>
      <c r="G44" s="1004">
        <f t="shared" si="3"/>
        <v>0</v>
      </c>
      <c r="H44" s="1005">
        <f>G44+'[3]22'!H44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'[3]22'!F45</f>
        <v>614</v>
      </c>
      <c r="F45" s="1075">
        <v>614</v>
      </c>
      <c r="G45" s="1004">
        <f t="shared" si="3"/>
        <v>0</v>
      </c>
      <c r="H45" s="1005">
        <f>G45+'[3]22'!H45</f>
        <v>-0.48000000000001819</v>
      </c>
      <c r="I45" s="1003"/>
      <c r="J45" s="1007">
        <f>H45/DAY(B2)</f>
        <v>-2.0869565217392094E-2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'[3]22'!F46</f>
        <v>187</v>
      </c>
      <c r="F46" s="1075">
        <v>187</v>
      </c>
      <c r="G46" s="1004">
        <f t="shared" si="3"/>
        <v>0</v>
      </c>
      <c r="H46" s="1005">
        <f>G46+'[3]22'!H46</f>
        <v>-0.49000000000000909</v>
      </c>
      <c r="I46" s="1003"/>
      <c r="J46" s="1007">
        <f>H46/DAY(B2)</f>
        <v>-2.1304347826087353E-2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2942.8199999999779</v>
      </c>
      <c r="H47" s="1005">
        <f>G47+'[3]22'!H47</f>
        <v>149884.04000000024</v>
      </c>
      <c r="I47" s="1003"/>
      <c r="J47" s="1007">
        <f>H47/DAY(B2)</f>
        <v>6516.6973913043585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'[3]22'!F49</f>
        <v>41352.32</v>
      </c>
      <c r="F49" s="1075">
        <v>43819.3</v>
      </c>
      <c r="G49" s="1004">
        <f t="shared" ref="G49:G58" si="4">F49-E49</f>
        <v>2466.9800000000032</v>
      </c>
      <c r="H49" s="1005">
        <f>G49+'[3]22'!H49</f>
        <v>32090.012000000002</v>
      </c>
      <c r="I49" s="1003"/>
      <c r="J49" s="1007">
        <f>H49/DAY(B2)</f>
        <v>1395.2179130434783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'[3]22'!F50</f>
        <v>286430.40999999997</v>
      </c>
      <c r="F50" s="1075">
        <v>287412.11</v>
      </c>
      <c r="G50" s="1004">
        <f t="shared" si="4"/>
        <v>981.70000000001164</v>
      </c>
      <c r="H50" s="1005">
        <f>G50+'[3]22'!H50</f>
        <v>21353.169999999984</v>
      </c>
      <c r="I50" s="1003"/>
      <c r="J50" s="1007">
        <f>H50/DAY(B2)</f>
        <v>928.39869565217316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'[3]22'!F51</f>
        <v>7967.5</v>
      </c>
      <c r="F51" s="1075">
        <v>9327.83</v>
      </c>
      <c r="G51" s="1004">
        <f t="shared" si="4"/>
        <v>1360.33</v>
      </c>
      <c r="H51" s="1005">
        <f>G51+'[3]22'!H51</f>
        <v>17302.8819</v>
      </c>
      <c r="I51" s="1003"/>
      <c r="J51" s="1007">
        <f>H51/DAY(B2)</f>
        <v>752.29921304347829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'[3]22'!F52</f>
        <v>356885.07</v>
      </c>
      <c r="F52" s="1075">
        <v>358655.91</v>
      </c>
      <c r="G52" s="1004">
        <f t="shared" si="4"/>
        <v>1770.8399999999674</v>
      </c>
      <c r="H52" s="1005">
        <f>G52+'[3]22'!H52</f>
        <v>36366.489999999991</v>
      </c>
      <c r="I52" s="1003"/>
      <c r="J52" s="1007">
        <f>H52/DAY(B2)</f>
        <v>1581.1517391304344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'[3]22'!F53</f>
        <v>12135.57</v>
      </c>
      <c r="F53" s="1075">
        <v>16194.78</v>
      </c>
      <c r="G53" s="1004">
        <f t="shared" si="4"/>
        <v>4059.2100000000009</v>
      </c>
      <c r="H53" s="1005">
        <f>G53+'[3]22'!H53</f>
        <v>27075.78</v>
      </c>
      <c r="I53" s="1003"/>
      <c r="J53" s="1007">
        <f>H53/DAY(B2)</f>
        <v>1177.2078260869564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'[3]22'!F54</f>
        <v>2666.1</v>
      </c>
      <c r="F54" s="1075">
        <v>2686.99</v>
      </c>
      <c r="G54" s="1004">
        <f t="shared" si="4"/>
        <v>20.889999999999873</v>
      </c>
      <c r="H54" s="1005">
        <f>G54+'[3]22'!H54</f>
        <v>1134.4292999999998</v>
      </c>
      <c r="I54" s="1003"/>
      <c r="J54" s="1007">
        <f>H54/DAY(B2)</f>
        <v>49.323013043478248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'[3]22'!F55</f>
        <v>158492.73000000001</v>
      </c>
      <c r="F55" s="1075">
        <v>158492.73000000001</v>
      </c>
      <c r="G55" s="1004">
        <f t="shared" si="4"/>
        <v>0</v>
      </c>
      <c r="H55" s="1005">
        <f>G55+'[3]22'!H55</f>
        <v>-0.26999999998952262</v>
      </c>
      <c r="I55" s="1003"/>
      <c r="J55" s="1007">
        <f>H55/DAY(B2)</f>
        <v>-1.1739130434327071E-2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'[3]22'!F56</f>
        <v>401282.03</v>
      </c>
      <c r="F56" s="1075">
        <v>404898.35</v>
      </c>
      <c r="G56" s="1004">
        <f t="shared" si="4"/>
        <v>3616.3199999999488</v>
      </c>
      <c r="H56" s="1005">
        <f>G56+'[3]22'!H56</f>
        <v>92853.87</v>
      </c>
      <c r="I56" s="1003"/>
      <c r="J56" s="1007">
        <f>H56/DAY(B2)</f>
        <v>4037.1247826086956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'[3]22'!F57</f>
        <v>0</v>
      </c>
      <c r="F57" s="1075">
        <v>0</v>
      </c>
      <c r="G57" s="1004">
        <f t="shared" si="4"/>
        <v>0</v>
      </c>
      <c r="H57" s="1005">
        <f>G57+'[3]22'!H57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'[3]22'!F58</f>
        <v>19306.349999999999</v>
      </c>
      <c r="F58" s="1075">
        <v>19454.22</v>
      </c>
      <c r="G58" s="1004">
        <f t="shared" si="4"/>
        <v>147.87000000000262</v>
      </c>
      <c r="H58" s="1005">
        <f>G58+'[3]22'!H58</f>
        <v>1684.9239999999991</v>
      </c>
      <c r="I58" s="1003"/>
      <c r="J58" s="1007">
        <f>H58/DAY(B2)</f>
        <v>73.25756521739126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14424.139999999934</v>
      </c>
      <c r="H59" s="1005">
        <f>G59+'[3]22'!H59</f>
        <v>229861.28719999999</v>
      </c>
      <c r="I59" s="1003">
        <f>G7-G60</f>
        <v>485.04000000008818</v>
      </c>
      <c r="J59" s="1007">
        <f>H59/DAY(B2)</f>
        <v>9993.9690086956525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17366.959999999912</v>
      </c>
      <c r="H60" s="1005">
        <f>G60+'[3]22'!H60</f>
        <v>394131.48790000012</v>
      </c>
      <c r="I60" s="1003">
        <f>G13-G60</f>
        <v>-183.07999999981985</v>
      </c>
      <c r="J60" s="1007">
        <f>H60/DAY(B2)</f>
        <v>17136.151647826093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'[3]22'!F62</f>
        <v>20419.2</v>
      </c>
      <c r="F62" s="1085">
        <v>20419</v>
      </c>
      <c r="G62" s="1004">
        <f t="shared" ref="G62:G69" si="5">F62-E62</f>
        <v>-0.2000000000007276</v>
      </c>
      <c r="H62" s="1005">
        <f>G62+'[3]22'!H62</f>
        <v>-0.3779999999969732</v>
      </c>
      <c r="I62" s="1086"/>
      <c r="J62" s="1007">
        <f>H62/DAY(B2)</f>
        <v>-1.6434782608564052E-2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'[3]22'!F63</f>
        <v>725.2</v>
      </c>
      <c r="F63" s="1085">
        <v>741.94</v>
      </c>
      <c r="G63" s="1004">
        <f t="shared" si="5"/>
        <v>16.740000000000009</v>
      </c>
      <c r="H63" s="1005">
        <f>G63+'[3]22'!H63</f>
        <v>443.48000000000008</v>
      </c>
      <c r="I63" s="1086"/>
      <c r="J63" s="1007">
        <f>H63/DAY(B2)</f>
        <v>19.281739130434786</v>
      </c>
      <c r="K63" s="1023"/>
      <c r="L63" s="982"/>
      <c r="O63" s="1009"/>
    </row>
    <row r="64" spans="1:15">
      <c r="A64" s="1593" t="s">
        <v>107</v>
      </c>
      <c r="B64" s="1594"/>
      <c r="C64" s="1595"/>
      <c r="D64" s="1002" t="s">
        <v>198</v>
      </c>
      <c r="E64" s="1003">
        <f>'[3]22'!F64</f>
        <v>83820.23</v>
      </c>
      <c r="F64" s="1033">
        <v>84180.47</v>
      </c>
      <c r="G64" s="1004">
        <f t="shared" si="5"/>
        <v>360.24000000000524</v>
      </c>
      <c r="H64" s="1005">
        <f>G64+'[3]22'!H64</f>
        <v>8117.3830000000016</v>
      </c>
      <c r="I64" s="1024"/>
      <c r="J64" s="1007">
        <f>H64/DAY(B2)</f>
        <v>352.92969565217396</v>
      </c>
      <c r="K64" s="1023"/>
      <c r="L64" s="982"/>
      <c r="O64" s="1009"/>
    </row>
    <row r="65" spans="1:15">
      <c r="A65" s="1593" t="s">
        <v>108</v>
      </c>
      <c r="B65" s="1594"/>
      <c r="C65" s="1595"/>
      <c r="D65" s="1002" t="s">
        <v>198</v>
      </c>
      <c r="E65" s="1003">
        <f>'[3]22'!F65</f>
        <v>93532.53</v>
      </c>
      <c r="F65" s="1033">
        <v>93930.01</v>
      </c>
      <c r="G65" s="1004">
        <f t="shared" si="5"/>
        <v>397.47999999999593</v>
      </c>
      <c r="H65" s="1005">
        <f>G65+'[3]22'!H65</f>
        <v>8770.7469999999885</v>
      </c>
      <c r="I65" s="1042"/>
      <c r="J65" s="1007">
        <f>H65/DAY(B2)</f>
        <v>381.33682608695602</v>
      </c>
      <c r="K65" s="1023"/>
      <c r="L65" s="982"/>
      <c r="O65" s="1009"/>
    </row>
    <row r="66" spans="1:15">
      <c r="A66" s="1593" t="s">
        <v>109</v>
      </c>
      <c r="B66" s="1594"/>
      <c r="C66" s="1595"/>
      <c r="D66" s="1002" t="s">
        <v>198</v>
      </c>
      <c r="E66" s="1003">
        <f>'[3]22'!F66</f>
        <v>86772.19</v>
      </c>
      <c r="F66" s="1033">
        <v>87184.03</v>
      </c>
      <c r="G66" s="1004">
        <f t="shared" si="5"/>
        <v>411.83999999999651</v>
      </c>
      <c r="H66" s="1005">
        <f>G66+'[3]22'!H66</f>
        <v>8996.0720000000001</v>
      </c>
      <c r="I66" s="1024"/>
      <c r="J66" s="1007">
        <f>H66/DAY(B2)</f>
        <v>391.13356521739132</v>
      </c>
      <c r="K66" s="1023"/>
      <c r="L66" s="982"/>
      <c r="O66" s="1009"/>
    </row>
    <row r="67" spans="1:15">
      <c r="A67" s="1593" t="s">
        <v>110</v>
      </c>
      <c r="B67" s="1594"/>
      <c r="C67" s="1595"/>
      <c r="D67" s="1002" t="s">
        <v>198</v>
      </c>
      <c r="E67" s="1003">
        <f>'[3]22'!F67</f>
        <v>140286.53</v>
      </c>
      <c r="F67" s="1033">
        <v>140946.51</v>
      </c>
      <c r="G67" s="1004">
        <f t="shared" si="5"/>
        <v>659.98000000001048</v>
      </c>
      <c r="H67" s="1005">
        <f>G67+'[3]22'!H67</f>
        <v>14890.010000000009</v>
      </c>
      <c r="I67" s="1042"/>
      <c r="J67" s="1007">
        <f>H67/DAY(B2)</f>
        <v>647.39173913043521</v>
      </c>
      <c r="K67" s="1030"/>
      <c r="L67" s="982"/>
      <c r="O67" s="1009"/>
    </row>
    <row r="68" spans="1:15">
      <c r="A68" s="1593" t="s">
        <v>111</v>
      </c>
      <c r="B68" s="1594"/>
      <c r="C68" s="1595"/>
      <c r="D68" s="1002" t="s">
        <v>198</v>
      </c>
      <c r="E68" s="1003">
        <f>'[3]22'!F68</f>
        <v>40328.19</v>
      </c>
      <c r="F68" s="1033">
        <v>40671.910000000003</v>
      </c>
      <c r="G68" s="1004">
        <f t="shared" si="5"/>
        <v>343.72000000000116</v>
      </c>
      <c r="H68" s="1005">
        <f>G68+'[3]22'!H68</f>
        <v>7272.0410000000047</v>
      </c>
      <c r="I68" s="1087"/>
      <c r="J68" s="1007">
        <f>H68/DAY(B2)</f>
        <v>316.17569565217411</v>
      </c>
      <c r="K68" s="1088"/>
      <c r="L68" s="982"/>
      <c r="O68" s="1009"/>
    </row>
    <row r="69" spans="1:15">
      <c r="A69" s="1593" t="s">
        <v>112</v>
      </c>
      <c r="B69" s="1594"/>
      <c r="C69" s="1595"/>
      <c r="D69" s="1002" t="s">
        <v>198</v>
      </c>
      <c r="E69" s="1003">
        <f>'[3]22'!F69</f>
        <v>35250.980000000003</v>
      </c>
      <c r="F69" s="1033">
        <v>35539.67</v>
      </c>
      <c r="G69" s="1004">
        <f t="shared" si="5"/>
        <v>288.68999999999505</v>
      </c>
      <c r="H69" s="1005">
        <f>G69+'[3]22'!H69</f>
        <v>6287.3049999999967</v>
      </c>
      <c r="I69" s="1087"/>
      <c r="J69" s="1007">
        <f>H69/DAY(B2)</f>
        <v>273.3610869565216</v>
      </c>
      <c r="K69" s="1089"/>
      <c r="L69" s="982"/>
      <c r="O69" s="1009"/>
    </row>
    <row r="70" spans="1:15">
      <c r="A70" s="1613" t="s">
        <v>200</v>
      </c>
      <c r="B70" s="1614"/>
      <c r="C70" s="1615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10" t="s">
        <v>201</v>
      </c>
      <c r="B71" s="1611"/>
      <c r="C71" s="1611"/>
      <c r="D71" s="1611"/>
      <c r="E71" s="1611"/>
      <c r="F71" s="1611"/>
      <c r="G71" s="1611"/>
      <c r="H71" s="1611"/>
      <c r="I71" s="1611"/>
      <c r="J71" s="1612"/>
      <c r="K71" s="1088"/>
      <c r="L71" s="982"/>
      <c r="O71" s="1009"/>
    </row>
    <row r="72" spans="1:15">
      <c r="A72" s="1593" t="s">
        <v>202</v>
      </c>
      <c r="B72" s="1594"/>
      <c r="C72" s="1595"/>
      <c r="D72" s="1002" t="s">
        <v>198</v>
      </c>
      <c r="E72" s="1003">
        <f>'[3]22'!F72</f>
        <v>844112</v>
      </c>
      <c r="F72" s="1093">
        <v>844120</v>
      </c>
      <c r="G72" s="1004">
        <f t="shared" ref="G72:G84" si="6">F72-E72</f>
        <v>8</v>
      </c>
      <c r="H72" s="1005">
        <f>G72+'[3]22'!H72</f>
        <v>178</v>
      </c>
      <c r="I72" s="1024"/>
      <c r="J72" s="1007">
        <f>H72/DAY(B2)</f>
        <v>7.7391304347826084</v>
      </c>
      <c r="K72" s="1089"/>
      <c r="L72" s="982"/>
      <c r="O72" s="1009"/>
    </row>
    <row r="73" spans="1:15">
      <c r="A73" s="1593" t="s">
        <v>203</v>
      </c>
      <c r="B73" s="1594"/>
      <c r="C73" s="1595"/>
      <c r="D73" s="1002" t="s">
        <v>198</v>
      </c>
      <c r="E73" s="1003">
        <f>'[3]22'!F73</f>
        <v>885298</v>
      </c>
      <c r="F73" s="1094">
        <v>885299</v>
      </c>
      <c r="G73" s="1004">
        <f t="shared" si="6"/>
        <v>1</v>
      </c>
      <c r="H73" s="1005">
        <f>G73+'[3]22'!H73</f>
        <v>171</v>
      </c>
      <c r="I73" s="1024"/>
      <c r="J73" s="1007">
        <f>H73/DAY(B2)</f>
        <v>7.4347826086956523</v>
      </c>
      <c r="K73" s="1088"/>
      <c r="L73" s="982"/>
      <c r="O73" s="1009"/>
    </row>
    <row r="74" spans="1:15">
      <c r="A74" s="1593" t="s">
        <v>204</v>
      </c>
      <c r="B74" s="1594"/>
      <c r="C74" s="1595"/>
      <c r="D74" s="1002" t="s">
        <v>198</v>
      </c>
      <c r="E74" s="1003">
        <f>'[3]22'!F74</f>
        <v>880052</v>
      </c>
      <c r="F74" s="1095">
        <v>880077</v>
      </c>
      <c r="G74" s="1004">
        <f t="shared" si="6"/>
        <v>25</v>
      </c>
      <c r="H74" s="1005">
        <f>G74+'[3]22'!H74</f>
        <v>441</v>
      </c>
      <c r="I74" s="1024"/>
      <c r="J74" s="1007">
        <f>H74/DAY(B2)</f>
        <v>19.173913043478262</v>
      </c>
      <c r="K74" s="1089"/>
      <c r="L74" s="982"/>
      <c r="O74" s="1009"/>
    </row>
    <row r="75" spans="1:15">
      <c r="A75" s="1607" t="s">
        <v>205</v>
      </c>
      <c r="B75" s="1608"/>
      <c r="C75" s="1609"/>
      <c r="D75" s="1002" t="s">
        <v>198</v>
      </c>
      <c r="E75" s="1003">
        <f>'[3]22'!F75</f>
        <v>724864</v>
      </c>
      <c r="F75" s="1095">
        <v>725022</v>
      </c>
      <c r="G75" s="1004">
        <f t="shared" si="6"/>
        <v>158</v>
      </c>
      <c r="H75" s="1005">
        <f>G75+'[3]22'!H75</f>
        <v>3656</v>
      </c>
      <c r="I75" s="1024"/>
      <c r="J75" s="1007">
        <f>H75/DAY(B2)</f>
        <v>158.95652173913044</v>
      </c>
      <c r="K75" s="1088"/>
      <c r="L75" s="982"/>
      <c r="O75" s="1009"/>
    </row>
    <row r="76" spans="1:15">
      <c r="A76" s="1607" t="s">
        <v>206</v>
      </c>
      <c r="B76" s="1608"/>
      <c r="C76" s="1609"/>
      <c r="D76" s="1002" t="s">
        <v>198</v>
      </c>
      <c r="E76" s="1003">
        <f>'[3]22'!F76</f>
        <v>681121</v>
      </c>
      <c r="F76" s="1094">
        <v>681189</v>
      </c>
      <c r="G76" s="1004">
        <f t="shared" si="6"/>
        <v>68</v>
      </c>
      <c r="H76" s="1005">
        <f>G76+'[3]22'!H76</f>
        <v>2719</v>
      </c>
      <c r="I76" s="1066"/>
      <c r="J76" s="1007">
        <f>H76/DAY(B2)</f>
        <v>118.21739130434783</v>
      </c>
      <c r="K76" s="1088"/>
      <c r="L76" s="982"/>
      <c r="O76" s="1009"/>
    </row>
    <row r="77" spans="1:15">
      <c r="A77" s="1593" t="s">
        <v>207</v>
      </c>
      <c r="B77" s="1594"/>
      <c r="C77" s="1595"/>
      <c r="D77" s="1002" t="s">
        <v>198</v>
      </c>
      <c r="E77" s="1003">
        <f>'[3]22'!F77</f>
        <v>693326</v>
      </c>
      <c r="F77" s="1094">
        <v>693374</v>
      </c>
      <c r="G77" s="1004">
        <f t="shared" si="6"/>
        <v>48</v>
      </c>
      <c r="H77" s="1005">
        <f>G77+'[3]22'!H77</f>
        <v>1067</v>
      </c>
      <c r="I77" s="1066"/>
      <c r="J77" s="1007">
        <f>H77/DAY(B2)</f>
        <v>46.391304347826086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'[3]22'!F78</f>
        <v>615113</v>
      </c>
      <c r="F78" s="1095">
        <v>615413</v>
      </c>
      <c r="G78" s="1004">
        <f t="shared" si="6"/>
        <v>300</v>
      </c>
      <c r="H78" s="1005">
        <f>G78+'[3]22'!H78</f>
        <v>7399</v>
      </c>
      <c r="I78" s="1066"/>
      <c r="J78" s="1007">
        <f>H78/DAY(B2)</f>
        <v>321.69565217391306</v>
      </c>
      <c r="K78" s="1088"/>
      <c r="L78" s="982"/>
      <c r="O78" s="1009"/>
    </row>
    <row r="79" spans="1:15">
      <c r="A79" s="1607" t="s">
        <v>97</v>
      </c>
      <c r="B79" s="1608"/>
      <c r="C79" s="1609"/>
      <c r="D79" s="1036" t="s">
        <v>198</v>
      </c>
      <c r="E79" s="1003">
        <f>'[3]22'!F79</f>
        <v>796444</v>
      </c>
      <c r="F79" s="1095">
        <v>796617</v>
      </c>
      <c r="G79" s="1004">
        <f t="shared" si="6"/>
        <v>173</v>
      </c>
      <c r="H79" s="1005">
        <f>G79+'[3]22'!H79</f>
        <v>5802</v>
      </c>
      <c r="I79" s="1066"/>
      <c r="J79" s="1007">
        <f>H79/DAY(B2)</f>
        <v>252.2608695652174</v>
      </c>
      <c r="K79" s="1088"/>
      <c r="L79" s="982"/>
      <c r="O79" s="1009"/>
    </row>
    <row r="80" spans="1:15">
      <c r="A80" s="1607" t="s">
        <v>209</v>
      </c>
      <c r="B80" s="1608"/>
      <c r="C80" s="1609"/>
      <c r="D80" s="1036" t="s">
        <v>198</v>
      </c>
      <c r="E80" s="1003">
        <f>'[3]22'!F80</f>
        <v>463107</v>
      </c>
      <c r="F80" s="1094">
        <v>463374</v>
      </c>
      <c r="G80" s="1004">
        <f t="shared" si="6"/>
        <v>267</v>
      </c>
      <c r="H80" s="1005">
        <f>G80+'[3]22'!H80</f>
        <v>4937.1199999999953</v>
      </c>
      <c r="I80" s="1066"/>
      <c r="J80" s="1007">
        <f>H80/DAY(B2)</f>
        <v>214.65739130434761</v>
      </c>
      <c r="K80" s="1088"/>
      <c r="L80" s="982"/>
      <c r="O80" s="1009"/>
    </row>
    <row r="81" spans="1:15">
      <c r="A81" s="1607" t="s">
        <v>210</v>
      </c>
      <c r="B81" s="1608"/>
      <c r="C81" s="1609"/>
      <c r="D81" s="1036" t="s">
        <v>198</v>
      </c>
      <c r="E81" s="1003">
        <f>'[3]22'!F81</f>
        <v>613334</v>
      </c>
      <c r="F81" s="1094">
        <v>613421</v>
      </c>
      <c r="G81" s="1004">
        <f t="shared" si="6"/>
        <v>87</v>
      </c>
      <c r="H81" s="1005">
        <f>G81+'[3]22'!H81</f>
        <v>2298.7199999999721</v>
      </c>
      <c r="I81" s="1066"/>
      <c r="J81" s="1007">
        <f>H81/DAY(B2)</f>
        <v>99.944347826085746</v>
      </c>
      <c r="K81" s="1088"/>
      <c r="L81" s="982"/>
      <c r="O81" s="1009"/>
    </row>
    <row r="82" spans="1:15">
      <c r="A82" s="1607" t="s">
        <v>100</v>
      </c>
      <c r="B82" s="1608"/>
      <c r="C82" s="1609"/>
      <c r="D82" s="1037" t="s">
        <v>143</v>
      </c>
      <c r="E82" s="1003">
        <f>'[3]22'!F82</f>
        <v>103379</v>
      </c>
      <c r="F82" s="1097">
        <v>103403</v>
      </c>
      <c r="G82" s="1004">
        <f t="shared" si="6"/>
        <v>24</v>
      </c>
      <c r="H82" s="1005">
        <f>G82+'[3]22'!H82</f>
        <v>373.05000000000291</v>
      </c>
      <c r="I82" s="1038"/>
      <c r="J82" s="1007">
        <f>H82/DAY(B2)</f>
        <v>16.21956521739143</v>
      </c>
      <c r="K82" s="1088"/>
      <c r="L82" s="982"/>
      <c r="O82" s="1009"/>
    </row>
    <row r="83" spans="1:15">
      <c r="A83" s="1607" t="s">
        <v>211</v>
      </c>
      <c r="B83" s="1608"/>
      <c r="C83" s="1609"/>
      <c r="D83" s="1098" t="s">
        <v>143</v>
      </c>
      <c r="E83" s="1003">
        <f>'[3]22'!F83</f>
        <v>959842</v>
      </c>
      <c r="F83" s="989">
        <v>960176</v>
      </c>
      <c r="G83" s="1004">
        <f t="shared" si="6"/>
        <v>334</v>
      </c>
      <c r="H83" s="1005">
        <f>G83+'[3]22'!H83</f>
        <v>7933</v>
      </c>
      <c r="I83" s="1027"/>
      <c r="J83" s="1007">
        <f>H83/DAY(B2)</f>
        <v>344.91304347826087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'[3]22'!F84</f>
        <v>377446</v>
      </c>
      <c r="F84" s="1101">
        <v>377922</v>
      </c>
      <c r="G84" s="1004">
        <f t="shared" si="6"/>
        <v>476</v>
      </c>
      <c r="H84" s="1005">
        <f>G84+'[3]22'!H84</f>
        <v>11489</v>
      </c>
      <c r="I84" s="1027"/>
      <c r="J84" s="1007">
        <f>H84/DAY(B2)</f>
        <v>499.52173913043481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1969</v>
      </c>
      <c r="H85" s="1005">
        <f>G85+'[3]22'!H85</f>
        <v>45137.989999999991</v>
      </c>
      <c r="I85" s="1027"/>
      <c r="J85" s="1007">
        <f>H85/DAY(B2)</f>
        <v>1962.5213043478257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'[3]22'!F86</f>
        <v>439289</v>
      </c>
      <c r="F86" s="1110">
        <v>439390</v>
      </c>
      <c r="G86" s="1111">
        <f t="shared" ref="G86:G90" si="7">F86-E86</f>
        <v>101</v>
      </c>
      <c r="H86" s="1111">
        <f t="shared" ref="H86:H88" si="8">G86</f>
        <v>101</v>
      </c>
      <c r="I86" s="1112"/>
      <c r="J86" s="1113">
        <f>H86/DAY(B2)</f>
        <v>4.3913043478260869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'[3]22'!F87</f>
        <v>76650</v>
      </c>
      <c r="F87" s="1110">
        <v>76694</v>
      </c>
      <c r="G87" s="1111">
        <f t="shared" si="7"/>
        <v>44</v>
      </c>
      <c r="H87" s="1111">
        <f t="shared" si="8"/>
        <v>44</v>
      </c>
      <c r="I87" s="1112"/>
      <c r="J87" s="1113">
        <f>H87/DAY(B2)</f>
        <v>1.9130434782608696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'[3]22'!F88</f>
        <v>141617</v>
      </c>
      <c r="F88" s="1110">
        <v>141766</v>
      </c>
      <c r="G88" s="1111">
        <f t="shared" si="7"/>
        <v>149</v>
      </c>
      <c r="H88" s="1111">
        <f t="shared" si="8"/>
        <v>149</v>
      </c>
      <c r="I88" s="1112"/>
      <c r="J88" s="1113">
        <f>H88/DAY(B2)</f>
        <v>6.4782608695652177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'[3]22'!F89</f>
        <v>55258</v>
      </c>
      <c r="F89" s="1110">
        <v>55307</v>
      </c>
      <c r="G89" s="1111">
        <f t="shared" si="7"/>
        <v>49</v>
      </c>
      <c r="H89" s="1111">
        <f>G89</f>
        <v>49</v>
      </c>
      <c r="I89" s="1112"/>
      <c r="J89" s="1113">
        <f>H89/DAY(B2)</f>
        <v>2.1304347826086958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'[3]22'!F90</f>
        <v>2854.4</v>
      </c>
      <c r="F90" s="1110">
        <v>2857</v>
      </c>
      <c r="G90" s="1111">
        <f t="shared" si="7"/>
        <v>2.5999999999999091</v>
      </c>
      <c r="H90" s="1111">
        <f>G90</f>
        <v>2.5999999999999091</v>
      </c>
      <c r="I90" s="1112"/>
      <c r="J90" s="1113">
        <f>H90/DAY(B2)</f>
        <v>0.11304347826086561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587" t="s">
        <v>217</v>
      </c>
      <c r="B92" s="1588"/>
      <c r="C92" s="1589"/>
      <c r="D92" s="1002" t="s">
        <v>155</v>
      </c>
      <c r="E92" s="1003">
        <f>'[3]22'!F92</f>
        <v>230312</v>
      </c>
      <c r="F92" s="1033">
        <v>230385</v>
      </c>
      <c r="G92" s="1004">
        <f t="shared" ref="G92:G93" si="9">F92-E92</f>
        <v>73</v>
      </c>
      <c r="H92" s="1005">
        <f>G92+'[3]22'!H92</f>
        <v>1790</v>
      </c>
      <c r="I92" s="1024"/>
      <c r="J92" s="1007">
        <f>H92/DAY(B2)</f>
        <v>77.826086956521735</v>
      </c>
      <c r="K92" s="1030"/>
      <c r="L92" s="982"/>
      <c r="O92" s="1009"/>
    </row>
    <row r="93" spans="1:15">
      <c r="A93" s="1587" t="s">
        <v>218</v>
      </c>
      <c r="B93" s="1588"/>
      <c r="C93" s="1589"/>
      <c r="D93" s="1002" t="s">
        <v>155</v>
      </c>
      <c r="E93" s="1003">
        <f>'[3]22'!F93</f>
        <v>161621</v>
      </c>
      <c r="F93" s="1033">
        <v>161738</v>
      </c>
      <c r="G93" s="1004">
        <f t="shared" si="9"/>
        <v>117</v>
      </c>
      <c r="H93" s="1005">
        <f>G93+'[3]22'!H93</f>
        <v>3215</v>
      </c>
      <c r="I93" s="1024"/>
      <c r="J93" s="1007">
        <f>H93/DAY(B2)</f>
        <v>139.78260869565219</v>
      </c>
      <c r="K93" s="1102"/>
      <c r="L93" s="982"/>
      <c r="O93" s="1009"/>
    </row>
    <row r="94" spans="1:15">
      <c r="A94" s="1596" t="s">
        <v>219</v>
      </c>
      <c r="B94" s="1597"/>
      <c r="C94" s="1598"/>
      <c r="D94" s="1002"/>
      <c r="E94" s="1003">
        <f>'[3]22'!F94</f>
        <v>0</v>
      </c>
      <c r="F94" s="1033"/>
      <c r="G94" s="1004">
        <f>G92+G93</f>
        <v>190</v>
      </c>
      <c r="H94" s="1005">
        <f>G94+'[3]22'!H94</f>
        <v>4715</v>
      </c>
      <c r="I94" s="1024"/>
      <c r="J94" s="1007">
        <f>H94/DAY(B2)</f>
        <v>205</v>
      </c>
      <c r="K94" s="1102"/>
      <c r="L94" s="982"/>
      <c r="O94" s="1009"/>
    </row>
    <row r="95" spans="1:15">
      <c r="A95" s="1587" t="s">
        <v>220</v>
      </c>
      <c r="B95" s="1588"/>
      <c r="C95" s="1589"/>
      <c r="D95" s="1002" t="s">
        <v>155</v>
      </c>
      <c r="E95" s="1003">
        <f>'[3]22'!F95</f>
        <v>401052</v>
      </c>
      <c r="F95" s="1033">
        <v>401114</v>
      </c>
      <c r="G95" s="1004">
        <f t="shared" ref="G95:G100" si="10">F95-E95</f>
        <v>62</v>
      </c>
      <c r="H95" s="1005">
        <f>G95+'[3]22'!H95</f>
        <v>1267</v>
      </c>
      <c r="I95" s="1024"/>
      <c r="J95" s="1007">
        <f>H95/DAY(B2)</f>
        <v>55.086956521739133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'[3]22'!F96</f>
        <v>98896</v>
      </c>
      <c r="F96" s="1033">
        <v>98923</v>
      </c>
      <c r="G96" s="1004">
        <f t="shared" si="10"/>
        <v>27</v>
      </c>
      <c r="H96" s="1005">
        <f>G96+'[3]22'!H96</f>
        <v>914</v>
      </c>
      <c r="I96" s="1024"/>
      <c r="J96" s="1007">
        <f>H96/DAY(B2)</f>
        <v>39.739130434782609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'[3]22'!F97</f>
        <v>94046</v>
      </c>
      <c r="F97" s="1033">
        <v>94073</v>
      </c>
      <c r="G97" s="1004">
        <f t="shared" si="10"/>
        <v>27</v>
      </c>
      <c r="H97" s="1005">
        <f>G97+'[3]22'!H97</f>
        <v>522</v>
      </c>
      <c r="I97" s="1024"/>
      <c r="J97" s="1007">
        <f>H97/DAY(B2)</f>
        <v>22.695652173913043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'[3]22'!F98</f>
        <v>141823</v>
      </c>
      <c r="F98" s="1033">
        <v>141848</v>
      </c>
      <c r="G98" s="1004">
        <f t="shared" si="10"/>
        <v>25</v>
      </c>
      <c r="H98" s="1005">
        <f>G98+'[3]22'!H98</f>
        <v>943</v>
      </c>
      <c r="I98" s="1024"/>
      <c r="J98" s="1007">
        <f>H98/DAY(B2)</f>
        <v>41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'[3]22'!F99</f>
        <v>4887</v>
      </c>
      <c r="F99" s="1033">
        <v>4893</v>
      </c>
      <c r="G99" s="1004">
        <f t="shared" si="10"/>
        <v>6</v>
      </c>
      <c r="H99" s="1005">
        <f>G99+'[3]22'!H99</f>
        <v>185</v>
      </c>
      <c r="I99" s="1024"/>
      <c r="J99" s="1007">
        <f>H99/DAY(B2)</f>
        <v>8.0434782608695645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'[3]22'!F100</f>
        <v>3674</v>
      </c>
      <c r="F100" s="1033">
        <v>3674</v>
      </c>
      <c r="G100" s="1004">
        <f t="shared" si="10"/>
        <v>0</v>
      </c>
      <c r="H100" s="1005">
        <f>G100+'[3]22'!H100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596" t="s">
        <v>227</v>
      </c>
      <c r="B101" s="1597"/>
      <c r="C101" s="1598"/>
      <c r="D101" s="1036"/>
      <c r="E101" s="1036"/>
      <c r="F101" s="1036"/>
      <c r="G101" s="1119">
        <f>SUM(G95:G100)</f>
        <v>147</v>
      </c>
      <c r="H101" s="1005">
        <f>G101+'[3]22'!H101</f>
        <v>3831</v>
      </c>
      <c r="I101" s="1120"/>
      <c r="J101" s="1007">
        <f>H101/DAY(B2)</f>
        <v>166.56521739130434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04" t="s">
        <v>229</v>
      </c>
      <c r="B103" s="160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577" t="s">
        <v>230</v>
      </c>
      <c r="B104" s="1578"/>
      <c r="C104" s="1135"/>
      <c r="D104" s="1131" t="s">
        <v>155</v>
      </c>
      <c r="E104" s="1132">
        <f>'[3]22'!F104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2.6086956521739131</v>
      </c>
      <c r="N104" s="1171"/>
      <c r="O104" s="1009"/>
    </row>
    <row r="105" spans="1:15" s="1054" customFormat="1">
      <c r="A105" s="1577" t="s">
        <v>77</v>
      </c>
      <c r="B105" s="1578"/>
      <c r="C105" s="1135"/>
      <c r="D105" s="1131" t="s">
        <v>155</v>
      </c>
      <c r="E105" s="1132">
        <f>'[3]22'!F105</f>
        <v>34618</v>
      </c>
      <c r="F105" s="1136">
        <v>34627</v>
      </c>
      <c r="G105" s="1132">
        <f t="shared" ref="G105:G106" si="11">F105-E105</f>
        <v>9</v>
      </c>
      <c r="H105" s="1133">
        <f>SUM(G105+'[3]1'!G77)</f>
        <v>79</v>
      </c>
      <c r="I105" s="1132"/>
      <c r="J105" s="1134">
        <f>H105/DAY(B2)</f>
        <v>3.4347826086956523</v>
      </c>
      <c r="N105" s="1171"/>
      <c r="O105" s="1009"/>
    </row>
    <row r="106" spans="1:15" s="1054" customFormat="1">
      <c r="A106" s="1577" t="s">
        <v>78</v>
      </c>
      <c r="B106" s="1606"/>
      <c r="C106" s="1578"/>
      <c r="D106" s="1131" t="s">
        <v>155</v>
      </c>
      <c r="E106" s="1132">
        <f>'[3]22'!F106</f>
        <v>18703</v>
      </c>
      <c r="F106" s="1132">
        <v>18710</v>
      </c>
      <c r="G106" s="1132">
        <f t="shared" si="11"/>
        <v>7</v>
      </c>
      <c r="H106" s="1133">
        <f>SUM(G106+'[3]1'!G78)</f>
        <v>336</v>
      </c>
      <c r="I106" s="1132"/>
      <c r="J106" s="1134">
        <f>H106/DAY(B2)</f>
        <v>14.608695652173912</v>
      </c>
      <c r="N106" s="1171"/>
      <c r="O106" s="1009"/>
    </row>
    <row r="107" spans="1:15" s="1054" customFormat="1">
      <c r="A107" s="1579" t="s">
        <v>213</v>
      </c>
      <c r="B107" s="1580"/>
      <c r="C107" s="1135"/>
      <c r="D107" s="1131"/>
      <c r="E107" s="1132">
        <f>'[3]22'!F107</f>
        <v>0</v>
      </c>
      <c r="F107" s="1132"/>
      <c r="G107" s="1132">
        <f>SUM(G104:G106)</f>
        <v>16</v>
      </c>
      <c r="H107" s="1133">
        <f>SUM(G107+'[3]1'!G79)</f>
        <v>176</v>
      </c>
      <c r="I107" s="1132"/>
      <c r="J107" s="1134">
        <f>H107/DAY(B2)</f>
        <v>7.6521739130434785</v>
      </c>
      <c r="N107" s="1171"/>
      <c r="O107" s="1009"/>
    </row>
    <row r="108" spans="1:15" s="1054" customFormat="1">
      <c r="A108" s="1585" t="s">
        <v>79</v>
      </c>
      <c r="B108" s="1586"/>
      <c r="C108" s="1135"/>
      <c r="D108" s="1131" t="s">
        <v>155</v>
      </c>
      <c r="E108" s="1132">
        <f>'[3]22'!F108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577" t="s">
        <v>231</v>
      </c>
      <c r="B109" s="1578"/>
      <c r="C109" s="1135"/>
      <c r="D109" s="1131" t="s">
        <v>155</v>
      </c>
      <c r="E109" s="1132">
        <f>'[3]22'!F109</f>
        <v>50867</v>
      </c>
      <c r="F109" s="1132">
        <v>50926</v>
      </c>
      <c r="G109" s="1132">
        <f>F109-E109</f>
        <v>59</v>
      </c>
      <c r="H109" s="1133">
        <f>SUM(G109+'[3]1'!G81)</f>
        <v>141</v>
      </c>
      <c r="I109" s="1132"/>
      <c r="J109" s="1134">
        <f>H109/DAY(B2)</f>
        <v>6.1304347826086953</v>
      </c>
      <c r="N109" s="1171"/>
      <c r="O109" s="1009"/>
    </row>
    <row r="110" spans="1:15" s="1054" customFormat="1">
      <c r="A110" s="1577" t="s">
        <v>232</v>
      </c>
      <c r="B110" s="1578"/>
      <c r="C110" s="1135"/>
      <c r="D110" s="1131" t="s">
        <v>155</v>
      </c>
      <c r="E110" s="1132">
        <f>'[3]22'!F110</f>
        <v>24992</v>
      </c>
      <c r="F110" s="1132">
        <v>25041</v>
      </c>
      <c r="G110" s="1132">
        <f t="shared" ref="G110:G111" si="12">F110-E110</f>
        <v>49</v>
      </c>
      <c r="H110" s="1133">
        <f>SUM(G110+'[3]1'!G82)</f>
        <v>74.740000000005239</v>
      </c>
      <c r="I110" s="1132"/>
      <c r="J110" s="1134">
        <f>H110/DAY(B2)</f>
        <v>3.2495652173915319</v>
      </c>
      <c r="N110" s="1171"/>
      <c r="O110" s="1009"/>
    </row>
    <row r="111" spans="1:15" s="1054" customFormat="1">
      <c r="A111" s="1577" t="s">
        <v>233</v>
      </c>
      <c r="B111" s="1578"/>
      <c r="C111" s="1135"/>
      <c r="D111" s="1131" t="s">
        <v>155</v>
      </c>
      <c r="E111" s="1132">
        <f>'[3]22'!F111</f>
        <v>3321</v>
      </c>
      <c r="F111" s="1132">
        <v>3330</v>
      </c>
      <c r="G111" s="1132">
        <f t="shared" si="12"/>
        <v>9</v>
      </c>
      <c r="H111" s="1133">
        <f>SUM(G111+'[3]1'!G83)</f>
        <v>455</v>
      </c>
      <c r="I111" s="1132"/>
      <c r="J111" s="1134">
        <f>H111/DAY(B2)</f>
        <v>19.782608695652176</v>
      </c>
      <c r="N111" s="1171"/>
      <c r="O111" s="1009"/>
    </row>
    <row r="112" spans="1:15" s="1054" customFormat="1">
      <c r="A112" s="1583" t="s">
        <v>121</v>
      </c>
      <c r="B112" s="1584"/>
      <c r="C112" s="1135"/>
      <c r="D112" s="1131"/>
      <c r="E112" s="1132">
        <f>'[3]22'!F112</f>
        <v>0</v>
      </c>
      <c r="F112" s="1132"/>
      <c r="G112" s="1132">
        <f>SUM(G109:G111)</f>
        <v>117</v>
      </c>
      <c r="H112" s="1133">
        <f>SUM(G112+'[3]1'!G84)</f>
        <v>713</v>
      </c>
      <c r="I112" s="1132"/>
      <c r="J112" s="1134">
        <f>H112/DAY(B2)</f>
        <v>31</v>
      </c>
      <c r="N112" s="1171"/>
      <c r="O112" s="1009"/>
    </row>
    <row r="113" spans="1:15" s="1054" customFormat="1">
      <c r="A113" s="1585" t="s">
        <v>234</v>
      </c>
      <c r="B113" s="1586"/>
      <c r="C113" s="1135"/>
      <c r="D113" s="1131"/>
      <c r="E113" s="1132">
        <f>'[3]22'!F113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577" t="s">
        <v>235</v>
      </c>
      <c r="B114" s="1578"/>
      <c r="C114" s="1137"/>
      <c r="D114" s="1131" t="s">
        <v>155</v>
      </c>
      <c r="E114" s="1132">
        <f>'[3]22'!F114</f>
        <v>8501</v>
      </c>
      <c r="F114" s="1136">
        <v>8509</v>
      </c>
      <c r="G114" s="1136">
        <f>F114-E114</f>
        <v>8</v>
      </c>
      <c r="H114" s="1133">
        <f>SUM(G114+'[3]1'!G91)</f>
        <v>8</v>
      </c>
      <c r="I114" s="1132"/>
      <c r="J114" s="1134">
        <f>H114/DAY(B2)</f>
        <v>0.34782608695652173</v>
      </c>
      <c r="N114" s="1171"/>
      <c r="O114" s="1009"/>
    </row>
    <row r="115" spans="1:15" s="1054" customFormat="1">
      <c r="A115" s="1577" t="s">
        <v>236</v>
      </c>
      <c r="B115" s="1578"/>
      <c r="C115" s="1137"/>
      <c r="D115" s="1131" t="s">
        <v>155</v>
      </c>
      <c r="E115" s="1132">
        <f>'[3]22'!F115</f>
        <v>6710</v>
      </c>
      <c r="F115" s="1136">
        <v>6723</v>
      </c>
      <c r="G115" s="1136">
        <f t="shared" ref="G115:G116" si="13">F115-E115</f>
        <v>13</v>
      </c>
      <c r="H115" s="1133">
        <f>SUM(G115+'[3]1'!G92)</f>
        <v>118</v>
      </c>
      <c r="I115" s="1132"/>
      <c r="J115" s="1134">
        <f>H115/DAY(B2)</f>
        <v>5.1304347826086953</v>
      </c>
      <c r="N115" s="1171"/>
      <c r="O115" s="1009"/>
    </row>
    <row r="116" spans="1:15" s="1054" customFormat="1">
      <c r="A116" s="1577" t="s">
        <v>237</v>
      </c>
      <c r="B116" s="1578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185</v>
      </c>
      <c r="I116" s="1132"/>
      <c r="J116" s="1134">
        <f>H116/DAY(B2)</f>
        <v>8.0434782608695645</v>
      </c>
      <c r="N116" s="1171"/>
      <c r="O116" s="1009"/>
    </row>
    <row r="117" spans="1:15" s="1139" customFormat="1">
      <c r="A117" s="1579" t="s">
        <v>213</v>
      </c>
      <c r="B117" s="1580"/>
      <c r="C117" s="1137"/>
      <c r="D117" s="1138"/>
      <c r="E117" s="1136"/>
      <c r="F117" s="1136"/>
      <c r="G117" s="1136">
        <f>SUM(G114:G116)</f>
        <v>21</v>
      </c>
      <c r="H117" s="1133">
        <f>SUM(G117+'[3]1'!G95)</f>
        <v>69</v>
      </c>
      <c r="I117" s="1136"/>
      <c r="J117" s="1134">
        <f>H117/DAY(B2)</f>
        <v>3</v>
      </c>
      <c r="N117" s="1176"/>
      <c r="O117" s="1009"/>
    </row>
    <row r="118" spans="1:15" s="927" customFormat="1">
      <c r="A118" s="1581" t="s">
        <v>238</v>
      </c>
      <c r="B118" s="1582"/>
      <c r="C118" s="1140"/>
      <c r="D118" s="1141" t="s">
        <v>155</v>
      </c>
      <c r="E118" s="1142"/>
      <c r="F118" s="1143">
        <f>SUM(G19+G92)</f>
        <v>128</v>
      </c>
      <c r="G118" s="1143">
        <f>SUM(G19+G92)</f>
        <v>128</v>
      </c>
      <c r="H118" s="1133">
        <f>SUM(G118+'[3]1'!G96)</f>
        <v>177</v>
      </c>
      <c r="I118" s="1142"/>
      <c r="J118" s="1144">
        <f>H118/DAY(B2)</f>
        <v>7.6956521739130439</v>
      </c>
      <c r="N118" s="1177" t="s">
        <v>226</v>
      </c>
      <c r="O118" s="1009"/>
    </row>
    <row r="119" spans="1:15" s="927" customFormat="1">
      <c r="A119" s="1581" t="s">
        <v>239</v>
      </c>
      <c r="B119" s="1582"/>
      <c r="C119" s="1140"/>
      <c r="D119" s="1141" t="s">
        <v>155</v>
      </c>
      <c r="E119" s="1142"/>
      <c r="F119" s="1143">
        <f>SUM(G95,G96,G97,G99,G100)</f>
        <v>122</v>
      </c>
      <c r="G119" s="1143">
        <f>SUM(G95,G96,G97,G99,G100)</f>
        <v>122</v>
      </c>
      <c r="H119" s="1133">
        <f>SUM(G119+'[3]1'!G98)</f>
        <v>154</v>
      </c>
      <c r="I119" s="1142"/>
      <c r="J119" s="1144">
        <f>H119/DAY(B2)</f>
        <v>6.6956521739130439</v>
      </c>
      <c r="N119" s="1177"/>
      <c r="O119" s="1009"/>
    </row>
    <row r="120" spans="1:15" s="927" customFormat="1">
      <c r="A120" s="1581" t="s">
        <v>240</v>
      </c>
      <c r="B120" s="1582"/>
      <c r="C120" s="1140"/>
      <c r="D120" s="1141" t="s">
        <v>155</v>
      </c>
      <c r="E120" s="1142"/>
      <c r="F120" s="1136">
        <f>SUM(G112)</f>
        <v>117</v>
      </c>
      <c r="G120" s="1136">
        <f>SUM(G112)</f>
        <v>117</v>
      </c>
      <c r="H120" s="1133">
        <f>SUM(G120+'[3]1'!G100)</f>
        <v>117</v>
      </c>
      <c r="I120" s="1142"/>
      <c r="J120" s="1144">
        <f>H120/DAY(B2)</f>
        <v>5.0869565217391308</v>
      </c>
      <c r="N120" s="1177"/>
      <c r="O120" s="1009"/>
    </row>
    <row r="121" spans="1:15" s="1054" customFormat="1">
      <c r="A121" s="1575"/>
      <c r="B121" s="1576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599" t="s">
        <v>241</v>
      </c>
      <c r="B122" s="1600"/>
      <c r="C122" s="160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'[3]22'!F123</f>
        <v>787244.54</v>
      </c>
      <c r="F123" s="1021">
        <v>787430.76</v>
      </c>
      <c r="G123" s="1004">
        <f>F123-E123</f>
        <v>186.21999999997206</v>
      </c>
      <c r="H123" s="1005">
        <f>G123+'[3]22'!H123</f>
        <v>4505.8739999999525</v>
      </c>
      <c r="I123" s="1120"/>
      <c r="J123" s="1007">
        <f>H123/DAY(B2)</f>
        <v>195.90756521738925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03">
        <f>'[3]22'!F124</f>
        <v>73581.899999999994</v>
      </c>
      <c r="F124" s="1148">
        <v>73581.899999999994</v>
      </c>
      <c r="G124" s="1004">
        <f t="shared" ref="G124:G127" si="14">F124-E124</f>
        <v>0</v>
      </c>
      <c r="H124" s="1005">
        <f>G124+'[3]22'!H124</f>
        <v>0.89999999999417923</v>
      </c>
      <c r="I124" s="1120"/>
      <c r="J124" s="1007">
        <f>H124/DAY(B2)</f>
        <v>3.9130434782355616E-2</v>
      </c>
      <c r="K124" s="1102"/>
      <c r="L124" s="982"/>
      <c r="O124" s="1009"/>
    </row>
    <row r="125" spans="1:15">
      <c r="A125" s="1593" t="s">
        <v>244</v>
      </c>
      <c r="B125" s="1594"/>
      <c r="C125" s="1595"/>
      <c r="D125" s="1002" t="s">
        <v>152</v>
      </c>
      <c r="E125" s="1003">
        <f>'[3]22'!F125</f>
        <v>132469.23000000001</v>
      </c>
      <c r="F125" s="1021">
        <v>132535.67999999999</v>
      </c>
      <c r="G125" s="1004">
        <f t="shared" si="14"/>
        <v>66.449999999982538</v>
      </c>
      <c r="H125" s="1005">
        <f>G125+'[3]22'!H125</f>
        <v>1429.4599999999919</v>
      </c>
      <c r="I125" s="1120"/>
      <c r="J125" s="1007">
        <f>H125/DAY(B2)</f>
        <v>62.150434782608343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'[3]22'!F126</f>
        <v>56146.5</v>
      </c>
      <c r="F126" s="1148">
        <v>56169.7</v>
      </c>
      <c r="G126" s="1004">
        <f t="shared" si="14"/>
        <v>23.19999999999709</v>
      </c>
      <c r="H126" s="1005">
        <f>G126+'[3]22'!H126</f>
        <v>583.89999999999418</v>
      </c>
      <c r="I126" s="1120"/>
      <c r="J126" s="1007">
        <f>H126/DAY(B2)</f>
        <v>25.386956521738878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03">
        <f>'[3]22'!F127</f>
        <v>8640.1</v>
      </c>
      <c r="F127" s="1148">
        <v>8640.1</v>
      </c>
      <c r="G127" s="1004">
        <f t="shared" si="14"/>
        <v>0</v>
      </c>
      <c r="H127" s="1005">
        <f>G127+'[3]22'!H127</f>
        <v>1.1000000000003638</v>
      </c>
      <c r="I127" s="1024"/>
      <c r="J127" s="1007">
        <f>H127/DAY(B2)</f>
        <v>4.7826086956537554E-2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419.16000000007625</v>
      </c>
      <c r="H128" s="1005">
        <f>G128+'[3]22'!H128</f>
        <v>2201.7250000001441</v>
      </c>
      <c r="I128" s="1024"/>
      <c r="J128" s="1007">
        <f>H128/DAY(B2)</f>
        <v>95.727173913049739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'[3]22'!F130</f>
        <v>0</v>
      </c>
      <c r="F130" s="1033">
        <v>0</v>
      </c>
      <c r="G130" s="1004">
        <f t="shared" ref="G130:G140" si="15">F130-E130</f>
        <v>0</v>
      </c>
      <c r="H130" s="1005">
        <f>G130+'[3]22'!H130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'[3]22'!F131</f>
        <v>0</v>
      </c>
      <c r="F131" s="1033">
        <v>0</v>
      </c>
      <c r="G131" s="1004">
        <f t="shared" si="15"/>
        <v>0</v>
      </c>
      <c r="H131" s="1005">
        <f>G131+'[3]22'!H131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'[3]22'!F132</f>
        <v>38877</v>
      </c>
      <c r="F132" s="1153">
        <v>38877</v>
      </c>
      <c r="G132" s="1004">
        <f t="shared" si="15"/>
        <v>0</v>
      </c>
      <c r="H132" s="1005">
        <f>G132+'[3]22'!H132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'[3]22'!F133</f>
        <v>34948</v>
      </c>
      <c r="F133" s="1153">
        <v>34948</v>
      </c>
      <c r="G133" s="1004">
        <f t="shared" si="15"/>
        <v>0</v>
      </c>
      <c r="H133" s="1005">
        <f>G133+'[3]22'!H133</f>
        <v>0</v>
      </c>
      <c r="I133" s="1024">
        <f>G132+G133+G134+G135</f>
        <v>24.430000000000291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'[3]22'!F134</f>
        <v>39735</v>
      </c>
      <c r="F134" s="1153">
        <v>39735</v>
      </c>
      <c r="G134" s="1004">
        <f t="shared" si="15"/>
        <v>0</v>
      </c>
      <c r="H134" s="1005">
        <v>24</v>
      </c>
      <c r="I134" s="1024"/>
      <c r="J134" s="1007">
        <f>H134/DAY(B2)</f>
        <v>1.0434782608695652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'[3]22'!F135</f>
        <v>31523.599999999999</v>
      </c>
      <c r="F135" s="1153">
        <v>31548.03</v>
      </c>
      <c r="G135" s="1004">
        <f t="shared" si="15"/>
        <v>24.430000000000291</v>
      </c>
      <c r="H135" s="1005">
        <v>13</v>
      </c>
      <c r="I135" s="1024"/>
      <c r="J135" s="1007">
        <f>H135/DAY(B2)</f>
        <v>0.56521739130434778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'[3]22'!F136</f>
        <v>21636.59</v>
      </c>
      <c r="F136" s="1153">
        <v>21644.06</v>
      </c>
      <c r="G136" s="1004">
        <f t="shared" si="15"/>
        <v>7.4700000000011642</v>
      </c>
      <c r="H136" s="1005">
        <f>G136+'[3]22'!H136</f>
        <v>46.030000000002474</v>
      </c>
      <c r="I136" s="1024">
        <f>G134+G135+G136</f>
        <v>31.900000000001455</v>
      </c>
      <c r="J136" s="1007">
        <f>H136/DAY(B2)</f>
        <v>2.0013043478261947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'[3]22'!F137</f>
        <v>24928.97</v>
      </c>
      <c r="F137" s="1153">
        <v>24928.97</v>
      </c>
      <c r="G137" s="1004">
        <f t="shared" si="15"/>
        <v>0</v>
      </c>
      <c r="H137" s="1005">
        <v>8</v>
      </c>
      <c r="I137" s="1024"/>
      <c r="J137" s="1007">
        <f>H137/DAY(B2)</f>
        <v>0.34782608695652173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'[3]22'!F138</f>
        <v>69943.39</v>
      </c>
      <c r="F138" s="1153">
        <v>69943.91</v>
      </c>
      <c r="G138" s="1004">
        <f t="shared" si="15"/>
        <v>0.52000000000407454</v>
      </c>
      <c r="H138" s="1005">
        <v>15</v>
      </c>
      <c r="I138" s="1024">
        <f>G137+G138</f>
        <v>0.52000000000407454</v>
      </c>
      <c r="J138" s="1007">
        <f>H138/DAY(B2)</f>
        <v>0.65217391304347827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'[3]22'!F139</f>
        <v>896.9</v>
      </c>
      <c r="F139" s="1033">
        <v>902.12</v>
      </c>
      <c r="G139" s="1004">
        <f t="shared" si="15"/>
        <v>5.2200000000000273</v>
      </c>
      <c r="H139" s="1005">
        <f>G139+'[3]22'!H139</f>
        <v>125.69000000000005</v>
      </c>
      <c r="I139" s="1154"/>
      <c r="J139" s="1007">
        <f>H139/DAY(B2)</f>
        <v>5.4647826086956544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'[3]22'!F140</f>
        <v>4156.8999999999996</v>
      </c>
      <c r="F140" s="1033">
        <v>4156.8999999999996</v>
      </c>
      <c r="G140" s="1004">
        <f t="shared" si="15"/>
        <v>0</v>
      </c>
      <c r="H140" s="1005">
        <f>G140+'[3]22'!H140</f>
        <v>2.6299999999991996</v>
      </c>
      <c r="I140" s="1154"/>
      <c r="J140" s="1007">
        <f>H140/DAY(B2)</f>
        <v>0.11434782608692172</v>
      </c>
      <c r="O140" s="1009"/>
    </row>
    <row r="141" spans="1:15">
      <c r="A141" s="1602" t="s">
        <v>261</v>
      </c>
      <c r="B141" s="160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587" t="s">
        <v>262</v>
      </c>
      <c r="B142" s="1588"/>
      <c r="C142" s="1589"/>
      <c r="D142" s="1002" t="s">
        <v>143</v>
      </c>
      <c r="E142" s="1002"/>
      <c r="F142" s="1002"/>
      <c r="G142" s="1005">
        <f>G35+G43+G49+G57</f>
        <v>4843.5799999999799</v>
      </c>
      <c r="H142" s="1005">
        <f>G142+'[3]22'!H142</f>
        <v>111533.24900000007</v>
      </c>
      <c r="I142" s="1024"/>
      <c r="J142" s="1007">
        <f>H142/DAY(B2)</f>
        <v>4849.2716956521772</v>
      </c>
      <c r="K142" s="1102"/>
      <c r="L142" s="982"/>
      <c r="O142" s="1009"/>
    </row>
    <row r="143" spans="1:15">
      <c r="A143" s="1587" t="s">
        <v>263</v>
      </c>
      <c r="B143" s="1588"/>
      <c r="C143" s="1589"/>
      <c r="D143" s="1002" t="s">
        <v>24</v>
      </c>
      <c r="E143" s="989"/>
      <c r="F143" s="989"/>
      <c r="G143" s="1155">
        <f>G142/G7</f>
        <v>0.2713186197624905</v>
      </c>
      <c r="H143" s="1005">
        <f>G143+'[3]22'!H143</f>
        <v>5.5500592289432111</v>
      </c>
      <c r="I143" s="1156"/>
      <c r="J143" s="1007">
        <f>H143/DAY(B2)</f>
        <v>0.24130692299753093</v>
      </c>
      <c r="K143" s="1102"/>
      <c r="L143" s="982"/>
      <c r="O143" s="1009"/>
    </row>
    <row r="144" spans="1:15">
      <c r="A144" s="1587" t="s">
        <v>264</v>
      </c>
      <c r="B144" s="1588"/>
      <c r="C144" s="1589"/>
      <c r="D144" s="1002" t="s">
        <v>143</v>
      </c>
      <c r="E144" s="1003"/>
      <c r="F144" s="1003"/>
      <c r="G144" s="1005">
        <f>G41+G42+G55+G56</f>
        <v>3616.3199999999488</v>
      </c>
      <c r="H144" s="1005">
        <f>G144+'[3]22'!H144</f>
        <v>100908.75000000009</v>
      </c>
      <c r="I144" s="1024"/>
      <c r="J144" s="1007">
        <f>H144/DAY(B2)</f>
        <v>4387.3369565217426</v>
      </c>
      <c r="K144" s="1102"/>
      <c r="L144" s="982"/>
      <c r="O144" s="1009"/>
    </row>
    <row r="145" spans="1:15">
      <c r="A145" s="1587" t="s">
        <v>265</v>
      </c>
      <c r="B145" s="1588"/>
      <c r="C145" s="1589"/>
      <c r="D145" s="1002" t="s">
        <v>24</v>
      </c>
      <c r="E145" s="1003"/>
      <c r="F145" s="1003"/>
      <c r="G145" s="1155">
        <f>G144/G7</f>
        <v>0.20257226081111074</v>
      </c>
      <c r="H145" s="1005">
        <f>G145+'[3]22'!H145</f>
        <v>5.1916007844234553</v>
      </c>
      <c r="I145" s="1156"/>
      <c r="J145" s="1007">
        <f>H145/DAY(B2)</f>
        <v>0.22572177323580239</v>
      </c>
      <c r="K145" s="1102"/>
      <c r="L145" s="982"/>
      <c r="O145" s="1009"/>
    </row>
    <row r="146" spans="1:15">
      <c r="A146" s="1587" t="s">
        <v>266</v>
      </c>
      <c r="B146" s="1588"/>
      <c r="C146" s="1589"/>
      <c r="D146" s="1002" t="s">
        <v>143</v>
      </c>
      <c r="E146" s="1003"/>
      <c r="F146" s="1003"/>
      <c r="G146" s="1005">
        <f>G39+G53</f>
        <v>4059.2100000000009</v>
      </c>
      <c r="H146" s="1005">
        <f>G146+'[3]22'!H146</f>
        <v>67431.070000000051</v>
      </c>
      <c r="I146" s="1157"/>
      <c r="J146" s="1007">
        <f>H146/DAY(B2)</f>
        <v>2931.7856521739154</v>
      </c>
      <c r="K146" s="1102"/>
      <c r="L146" s="982"/>
      <c r="O146" s="1009"/>
    </row>
    <row r="147" spans="1:15">
      <c r="A147" s="1587" t="s">
        <v>267</v>
      </c>
      <c r="B147" s="1588"/>
      <c r="C147" s="1589"/>
      <c r="D147" s="1002" t="s">
        <v>24</v>
      </c>
      <c r="E147" s="1003"/>
      <c r="F147" s="1003"/>
      <c r="G147" s="1155">
        <f>G146/G7</f>
        <v>0.2273812457987901</v>
      </c>
      <c r="H147" s="1005">
        <f>G147+'[3]22'!H147</f>
        <v>3.423423114436182</v>
      </c>
      <c r="I147" s="1157"/>
      <c r="J147" s="1007">
        <f>H147/DAY(B2)</f>
        <v>0.14884448323635574</v>
      </c>
      <c r="O147" s="1009"/>
    </row>
    <row r="148" spans="1:15">
      <c r="A148" s="1587" t="s">
        <v>268</v>
      </c>
      <c r="B148" s="1588"/>
      <c r="C148" s="1589"/>
      <c r="D148" s="1002" t="s">
        <v>194</v>
      </c>
      <c r="E148" s="1003"/>
      <c r="F148" s="1003"/>
      <c r="G148" s="1005">
        <f>G38+G52</f>
        <v>1770.8399999999674</v>
      </c>
      <c r="H148" s="1005">
        <f>G148+'[3]22'!H148</f>
        <v>39991.599999999977</v>
      </c>
      <c r="I148" s="1024"/>
      <c r="J148" s="1007">
        <f>H148/DAY(B2)</f>
        <v>1738.7652173913034</v>
      </c>
      <c r="K148" s="1158"/>
      <c r="O148" s="1009"/>
    </row>
    <row r="149" spans="1:15">
      <c r="A149" s="1587" t="s">
        <v>269</v>
      </c>
      <c r="B149" s="1588"/>
      <c r="C149" s="1589"/>
      <c r="D149" s="1002" t="s">
        <v>24</v>
      </c>
      <c r="E149" s="1003"/>
      <c r="F149" s="1003"/>
      <c r="G149" s="1155">
        <f>G148/G7</f>
        <v>9.9195608335198707E-2</v>
      </c>
      <c r="H149" s="1005">
        <f>G149+'[3]22'!H149</f>
        <v>2.0534731958755734</v>
      </c>
      <c r="I149" s="1157"/>
      <c r="J149" s="1007">
        <f>H149/DAY(B2)</f>
        <v>8.9281443298937974E-2</v>
      </c>
      <c r="O149" s="1009"/>
    </row>
    <row r="150" spans="1:15">
      <c r="A150" s="1587" t="s">
        <v>270</v>
      </c>
      <c r="B150" s="1588"/>
      <c r="C150" s="1589"/>
      <c r="D150" s="1002" t="s">
        <v>194</v>
      </c>
      <c r="E150" s="1003"/>
      <c r="F150" s="1003"/>
      <c r="G150" s="1005">
        <f>G36+G50</f>
        <v>1547.9200000000128</v>
      </c>
      <c r="H150" s="1005">
        <f>G150+'[3]22'!H150</f>
        <v>36813.879999999976</v>
      </c>
      <c r="I150" s="1157"/>
      <c r="J150" s="1007">
        <f>H150/DAY(B2)</f>
        <v>1600.6034782608685</v>
      </c>
      <c r="O150" s="1009"/>
    </row>
    <row r="151" spans="1:15">
      <c r="A151" s="1587" t="s">
        <v>271</v>
      </c>
      <c r="B151" s="1588"/>
      <c r="C151" s="1589"/>
      <c r="D151" s="1002" t="s">
        <v>24</v>
      </c>
      <c r="E151" s="1003"/>
      <c r="F151" s="1003"/>
      <c r="G151" s="1155">
        <f>G150/G7</f>
        <v>8.6708492045709878E-2</v>
      </c>
      <c r="H151" s="1005">
        <f>G151+'[3]22'!H151</f>
        <v>1.8878655249843945</v>
      </c>
      <c r="I151" s="1024"/>
      <c r="J151" s="1007">
        <f>H151/DAY(B2)</f>
        <v>8.20811097819302E-2</v>
      </c>
      <c r="O151" s="1009"/>
    </row>
    <row r="152" spans="1:15">
      <c r="A152" s="1587" t="s">
        <v>272</v>
      </c>
      <c r="B152" s="1588"/>
      <c r="C152" s="1589"/>
      <c r="D152" s="1002" t="s">
        <v>194</v>
      </c>
      <c r="E152" s="1003"/>
      <c r="F152" s="1003"/>
      <c r="G152" s="1005">
        <f>G37+G51</f>
        <v>1360.33</v>
      </c>
      <c r="H152" s="1005">
        <f>G152+'[3]22'!H152</f>
        <v>32524.691899999998</v>
      </c>
      <c r="I152" s="1024"/>
      <c r="J152" s="1007">
        <f>H152/DAY(B2)</f>
        <v>1414.1170391304347</v>
      </c>
      <c r="O152" s="1009"/>
    </row>
    <row r="153" spans="1:15" ht="21" thickBot="1">
      <c r="A153" s="1590" t="s">
        <v>273</v>
      </c>
      <c r="B153" s="1591"/>
      <c r="C153" s="1592"/>
      <c r="D153" s="1159" t="s">
        <v>24</v>
      </c>
      <c r="E153" s="1160"/>
      <c r="F153" s="1160"/>
      <c r="G153" s="1161">
        <f>G152/G7</f>
        <v>7.6200425722608101E-2</v>
      </c>
      <c r="H153" s="1005">
        <f>G153+'[3]22'!H153</f>
        <v>1.6751936255401505</v>
      </c>
      <c r="I153" s="1162"/>
      <c r="J153" s="1163">
        <f>H153/DAY(B2)</f>
        <v>7.2834505458267418E-2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'[3]22'!F160</f>
        <v>23257.9</v>
      </c>
      <c r="F160" s="1178">
        <v>23331.8</v>
      </c>
      <c r="G160" s="1004">
        <f t="shared" ref="G160:G171" si="16">F160-E160</f>
        <v>73.899999999997817</v>
      </c>
    </row>
    <row r="161" spans="1:10" ht="21.75" customHeight="1">
      <c r="A161" s="1154" t="s">
        <v>275</v>
      </c>
      <c r="B161" s="1154"/>
      <c r="C161" s="1154"/>
      <c r="D161" s="989" t="s">
        <v>198</v>
      </c>
      <c r="E161" s="1003">
        <f>'[3]22'!F161</f>
        <v>5325.98</v>
      </c>
      <c r="F161" s="1178">
        <v>5961.58</v>
      </c>
      <c r="G161" s="1004">
        <f t="shared" si="16"/>
        <v>635.60000000000036</v>
      </c>
    </row>
    <row r="162" spans="1:10" ht="21.75" customHeight="1">
      <c r="A162" s="1154" t="s">
        <v>276</v>
      </c>
      <c r="B162" s="1154"/>
      <c r="C162" s="1154"/>
      <c r="D162" s="989" t="s">
        <v>198</v>
      </c>
      <c r="E162" s="1003">
        <f>'[3]22'!F162</f>
        <v>827.39</v>
      </c>
      <c r="F162" s="1178">
        <v>1144.6099999999999</v>
      </c>
      <c r="G162" s="1004">
        <f t="shared" si="16"/>
        <v>317.21999999999991</v>
      </c>
    </row>
    <row r="163" spans="1:10" ht="21.75" customHeight="1">
      <c r="A163" s="1154" t="s">
        <v>277</v>
      </c>
      <c r="B163" s="1154"/>
      <c r="C163" s="1154"/>
      <c r="D163" s="989" t="s">
        <v>198</v>
      </c>
      <c r="E163" s="1003">
        <f>'[3]22'!F163</f>
        <v>3395.97</v>
      </c>
      <c r="F163" s="1178">
        <v>3406.63</v>
      </c>
      <c r="G163" s="1004">
        <f t="shared" si="16"/>
        <v>10.660000000000309</v>
      </c>
    </row>
    <row r="164" spans="1:10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20419.2</v>
      </c>
      <c r="F164" s="1085">
        <f>F62</f>
        <v>20419</v>
      </c>
      <c r="G164" s="1004">
        <f t="shared" si="16"/>
        <v>-0.2000000000007276</v>
      </c>
      <c r="J164" s="1238"/>
    </row>
    <row r="165" spans="1:10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725.2</v>
      </c>
      <c r="F165" s="1085">
        <f t="shared" si="17"/>
        <v>741.94</v>
      </c>
      <c r="G165" s="1004">
        <f t="shared" si="16"/>
        <v>16.740000000000009</v>
      </c>
    </row>
    <row r="166" spans="1:10" ht="21.75" customHeight="1">
      <c r="A166" s="1574" t="s">
        <v>107</v>
      </c>
      <c r="B166" s="1574"/>
      <c r="C166" s="1574"/>
      <c r="D166" s="1002" t="s">
        <v>198</v>
      </c>
      <c r="E166" s="1085">
        <f t="shared" si="17"/>
        <v>83820.23</v>
      </c>
      <c r="F166" s="1085">
        <f t="shared" si="17"/>
        <v>84180.47</v>
      </c>
      <c r="G166" s="1004">
        <f t="shared" si="16"/>
        <v>360.24000000000524</v>
      </c>
    </row>
    <row r="167" spans="1:10" ht="21.75" customHeight="1">
      <c r="A167" s="1574" t="s">
        <v>108</v>
      </c>
      <c r="B167" s="1574"/>
      <c r="C167" s="1574"/>
      <c r="D167" s="1002" t="s">
        <v>198</v>
      </c>
      <c r="E167" s="1085">
        <f t="shared" si="17"/>
        <v>93532.53</v>
      </c>
      <c r="F167" s="1085">
        <f t="shared" si="17"/>
        <v>93930.01</v>
      </c>
      <c r="G167" s="1004">
        <f t="shared" si="16"/>
        <v>397.47999999999593</v>
      </c>
    </row>
    <row r="168" spans="1:10" ht="21.75" customHeight="1">
      <c r="A168" s="1574" t="s">
        <v>109</v>
      </c>
      <c r="B168" s="1574"/>
      <c r="C168" s="1574"/>
      <c r="D168" s="1002" t="s">
        <v>198</v>
      </c>
      <c r="E168" s="1085">
        <f t="shared" si="17"/>
        <v>86772.19</v>
      </c>
      <c r="F168" s="1085">
        <f t="shared" si="17"/>
        <v>87184.03</v>
      </c>
      <c r="G168" s="1004">
        <f t="shared" si="16"/>
        <v>411.83999999999651</v>
      </c>
    </row>
    <row r="169" spans="1:10">
      <c r="A169" s="1574" t="s">
        <v>110</v>
      </c>
      <c r="B169" s="1574"/>
      <c r="C169" s="1574"/>
      <c r="D169" s="1002" t="s">
        <v>198</v>
      </c>
      <c r="E169" s="1085">
        <f t="shared" si="17"/>
        <v>140286.53</v>
      </c>
      <c r="F169" s="1085">
        <f t="shared" si="17"/>
        <v>140946.51</v>
      </c>
      <c r="G169" s="1004">
        <f t="shared" si="16"/>
        <v>659.98000000001048</v>
      </c>
    </row>
    <row r="170" spans="1:10" ht="24" customHeight="1">
      <c r="A170" s="1574" t="s">
        <v>111</v>
      </c>
      <c r="B170" s="1574"/>
      <c r="C170" s="1574"/>
      <c r="D170" s="1002" t="s">
        <v>198</v>
      </c>
      <c r="E170" s="1085">
        <f t="shared" si="17"/>
        <v>40328.19</v>
      </c>
      <c r="F170" s="1085">
        <f t="shared" si="17"/>
        <v>40671.910000000003</v>
      </c>
      <c r="G170" s="1004">
        <f t="shared" si="16"/>
        <v>343.72000000000116</v>
      </c>
      <c r="J170" s="1239"/>
    </row>
    <row r="171" spans="1:10">
      <c r="A171" s="1574" t="s">
        <v>112</v>
      </c>
      <c r="B171" s="1574"/>
      <c r="C171" s="1574"/>
      <c r="D171" s="1002" t="s">
        <v>198</v>
      </c>
      <c r="E171" s="1085">
        <f t="shared" si="17"/>
        <v>35250.980000000003</v>
      </c>
      <c r="F171" s="1085">
        <f t="shared" si="17"/>
        <v>35539.67</v>
      </c>
      <c r="G171" s="1004">
        <f t="shared" si="16"/>
        <v>288.68999999999505</v>
      </c>
    </row>
    <row r="172" spans="1:10">
      <c r="G172" s="1169">
        <f>SUM(G160:G171)</f>
        <v>3515.8700000000017</v>
      </c>
    </row>
    <row r="173" spans="1:10">
      <c r="J173" s="1240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68" zoomScaleNormal="44" zoomScaleSheetLayoutView="68" workbookViewId="0">
      <selection activeCell="A91"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6.33203125" style="1168" customWidth="1"/>
    <col min="9" max="9" width="14.44140625" style="1167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16" t="s">
        <v>128</v>
      </c>
      <c r="B1" s="1617"/>
      <c r="C1" s="1617"/>
      <c r="D1" s="1617"/>
      <c r="E1" s="1617"/>
      <c r="F1" s="1617"/>
      <c r="G1" s="1617"/>
      <c r="H1" s="1617"/>
      <c r="I1" s="1617"/>
      <c r="J1" s="1618"/>
    </row>
    <row r="2" spans="1:15">
      <c r="A2" s="970" t="s">
        <v>279</v>
      </c>
      <c r="B2" s="1242">
        <v>44159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30</v>
      </c>
      <c r="E3" s="1625" t="s">
        <v>132</v>
      </c>
      <c r="F3" s="162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0.82</v>
      </c>
      <c r="E4" s="985"/>
      <c r="F4" s="985"/>
      <c r="G4" s="985"/>
      <c r="H4" s="985"/>
      <c r="I4" s="986"/>
      <c r="J4" s="980" t="s">
        <v>290</v>
      </c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19" t="s">
        <v>141</v>
      </c>
      <c r="B6" s="1620"/>
      <c r="C6" s="162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'[3]23'!F7</f>
        <v>2533052</v>
      </c>
      <c r="F7" s="1003">
        <v>2550696</v>
      </c>
      <c r="G7" s="1004">
        <f>F7-E7</f>
        <v>17644</v>
      </c>
      <c r="H7" s="1005">
        <f>G7+'[3]23'!H7</f>
        <v>445671</v>
      </c>
      <c r="I7" s="1006">
        <f>'[3]1'!I7</f>
        <v>12000</v>
      </c>
      <c r="J7" s="1007">
        <f>H7/DAY(B2)</f>
        <v>18569.625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'[3]23'!F8</f>
        <v>2545933</v>
      </c>
      <c r="F8" s="1014">
        <v>2563900</v>
      </c>
      <c r="G8" s="1015">
        <f>F8-E8</f>
        <v>17967</v>
      </c>
      <c r="H8" s="1005">
        <f>G8+'[3]23'!H8</f>
        <v>448459</v>
      </c>
      <c r="I8" s="1016">
        <f>'[3]1'!I8</f>
        <v>12000</v>
      </c>
      <c r="J8" s="1007">
        <f>H8/DAY(B2)</f>
        <v>18685.791666666668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'[3]23'!F9</f>
        <v>2235351.5</v>
      </c>
      <c r="F9" s="1021">
        <v>2238125.5</v>
      </c>
      <c r="G9" s="1004">
        <f t="shared" ref="G9:G12" si="0">F9-E9</f>
        <v>2774</v>
      </c>
      <c r="H9" s="1005">
        <f>G9+'[3]23'!H9</f>
        <v>221120.19999999995</v>
      </c>
      <c r="I9" s="1022">
        <f>I8-J8</f>
        <v>-6685.7916666666679</v>
      </c>
      <c r="J9" s="1007">
        <f>H9/DAY(B2)</f>
        <v>9213.3416666666653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'[3]23'!F10</f>
        <v>194244.53</v>
      </c>
      <c r="F10" s="1021">
        <v>208445.77</v>
      </c>
      <c r="G10" s="1004">
        <f t="shared" si="0"/>
        <v>14201.239999999991</v>
      </c>
      <c r="H10" s="1005">
        <f>G10+'[3]23'!H10</f>
        <v>208445.98</v>
      </c>
      <c r="I10" s="1024"/>
      <c r="J10" s="1007">
        <f>H10/DAY(B2)</f>
        <v>8685.2491666666665</v>
      </c>
      <c r="K10" s="1023"/>
      <c r="L10" s="982"/>
      <c r="M10" s="969" t="s">
        <v>291</v>
      </c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'[3]23'!F11</f>
        <v>35390</v>
      </c>
      <c r="F11" s="1003">
        <v>35390</v>
      </c>
      <c r="G11" s="1004">
        <f t="shared" si="0"/>
        <v>0</v>
      </c>
      <c r="H11" s="1005">
        <f>G11+'[3]23'!H11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'[3]23'!F12</f>
        <v>37630</v>
      </c>
      <c r="F12" s="1021">
        <v>37630</v>
      </c>
      <c r="G12" s="1004">
        <f t="shared" si="0"/>
        <v>0</v>
      </c>
      <c r="H12" s="1005">
        <f>G12+'[3]23'!H12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16975.239999999991</v>
      </c>
      <c r="H13" s="1005">
        <f>G13+'[3]23'!H13</f>
        <v>375302.38</v>
      </c>
      <c r="I13" s="1028">
        <f>G7-G13</f>
        <v>668.76000000000931</v>
      </c>
      <c r="J13" s="1007">
        <f>H13/DAY(B2)</f>
        <v>15637.599166666667</v>
      </c>
      <c r="K13" s="1023"/>
      <c r="L13" s="982"/>
      <c r="O13" s="1009"/>
    </row>
    <row r="14" spans="1:15">
      <c r="A14" s="1622" t="s">
        <v>150</v>
      </c>
      <c r="B14" s="1623"/>
      <c r="C14" s="1624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'[3]23'!F15</f>
        <v>1542547.03</v>
      </c>
      <c r="F15" s="1033">
        <v>1543160.2</v>
      </c>
      <c r="G15" s="1179">
        <f>(F15-E15)</f>
        <v>613.16999999992549</v>
      </c>
      <c r="H15" s="1005">
        <f>G15+'[3]23'!H15</f>
        <v>13045.006000000052</v>
      </c>
      <c r="I15" s="1006">
        <f>'[3]1'!I15</f>
        <v>800</v>
      </c>
      <c r="J15" s="1007">
        <f>H15/DAY(B2)</f>
        <v>543.54191666666884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256.45808333333116</v>
      </c>
      <c r="J16" s="1040"/>
      <c r="K16" s="1023"/>
      <c r="L16" s="982"/>
      <c r="N16" s="1172"/>
      <c r="O16" s="1009"/>
    </row>
    <row r="17" spans="1:15">
      <c r="A17" s="1622" t="s">
        <v>153</v>
      </c>
      <c r="B17" s="1623"/>
      <c r="C17" s="1624"/>
      <c r="D17" s="997"/>
      <c r="E17" s="997"/>
      <c r="F17" s="997"/>
      <c r="G17" s="1041"/>
      <c r="H17" s="997">
        <f>G17+'[3]22'!H17</f>
        <v>0</v>
      </c>
      <c r="I17" s="997"/>
      <c r="J17" s="998"/>
      <c r="K17" s="1023"/>
      <c r="L17" s="982"/>
      <c r="O17" s="1009"/>
    </row>
    <row r="18" spans="1:15">
      <c r="A18" s="1587" t="s">
        <v>154</v>
      </c>
      <c r="B18" s="1588"/>
      <c r="C18" s="1589"/>
      <c r="D18" s="1002" t="s">
        <v>155</v>
      </c>
      <c r="E18" s="1003">
        <f>'[3]23'!F18</f>
        <v>10</v>
      </c>
      <c r="F18" s="1033">
        <v>12</v>
      </c>
      <c r="G18" s="1027">
        <f>F18*10</f>
        <v>120</v>
      </c>
      <c r="H18" s="1005">
        <f>G18+'[3]23'!H18</f>
        <v>2460</v>
      </c>
      <c r="I18" s="1006">
        <f>'[3]1'!I18</f>
        <v>65</v>
      </c>
      <c r="J18" s="1007">
        <f>H18/DAY(B2)</f>
        <v>102.5</v>
      </c>
      <c r="K18" s="1023"/>
      <c r="L18" s="982"/>
      <c r="O18" s="1009"/>
    </row>
    <row r="19" spans="1:15">
      <c r="A19" s="1587" t="s">
        <v>71</v>
      </c>
      <c r="B19" s="1588"/>
      <c r="C19" s="1589"/>
      <c r="D19" s="1002" t="s">
        <v>155</v>
      </c>
      <c r="E19" s="1003">
        <f>'[3]23'!F19</f>
        <v>129407</v>
      </c>
      <c r="F19" s="1033">
        <v>129461</v>
      </c>
      <c r="G19" s="1004">
        <f t="shared" ref="G19" si="1">F19-E19</f>
        <v>54</v>
      </c>
      <c r="H19" s="1005">
        <f>G19+'[3]23'!H19</f>
        <v>1266</v>
      </c>
      <c r="I19" s="1042"/>
      <c r="J19" s="1007">
        <f>H19/DAY(B2)</f>
        <v>52.75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174</v>
      </c>
      <c r="H20" s="1005">
        <f>G20+'[3]23'!H20</f>
        <v>3726</v>
      </c>
      <c r="I20" s="1045">
        <f>I18-J20</f>
        <v>-90.25</v>
      </c>
      <c r="J20" s="1007">
        <f>H20/DAY(B2)</f>
        <v>155.25</v>
      </c>
      <c r="K20" s="1023"/>
      <c r="L20" s="982"/>
      <c r="O20" s="1009"/>
    </row>
    <row r="21" spans="1:15">
      <c r="A21" s="1622" t="s">
        <v>157</v>
      </c>
      <c r="B21" s="1623"/>
      <c r="C21" s="1624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'[3]23'!F22</f>
        <v>2250</v>
      </c>
      <c r="F22" s="1033">
        <v>2250</v>
      </c>
      <c r="G22" s="1027">
        <f t="shared" ref="G22" si="2">(F22-E22)</f>
        <v>0</v>
      </c>
      <c r="H22" s="1005">
        <f>G22+'[3]23'!H22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'[3]23'!F23</f>
        <v>1700</v>
      </c>
      <c r="F23" s="1033">
        <v>1700</v>
      </c>
      <c r="G23" s="1027">
        <v>0</v>
      </c>
      <c r="H23" s="1005">
        <f>G23+'[3]23'!H23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'[3]23'!F24</f>
        <v>3310</v>
      </c>
      <c r="F24" s="1048">
        <v>3310</v>
      </c>
      <c r="G24" s="1027">
        <v>0</v>
      </c>
      <c r="H24" s="1005">
        <f>G24+'[3]23'!H24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19" t="s">
        <v>162</v>
      </c>
      <c r="B25" s="1620"/>
      <c r="C25" s="162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17967</v>
      </c>
      <c r="F27" s="641">
        <v>9.5</v>
      </c>
      <c r="G27" s="1064">
        <f>E27*F27</f>
        <v>170686.5</v>
      </c>
      <c r="H27" s="1005">
        <f>G27+'[3]23'!H27</f>
        <v>4260360.5</v>
      </c>
      <c r="I27" s="1065"/>
      <c r="J27" s="1007">
        <f>H27/DAY(B2)</f>
        <v>177515.02083333334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613.16999999992549</v>
      </c>
      <c r="F28" s="641">
        <v>36.5</v>
      </c>
      <c r="G28" s="1064">
        <f>E28*F28</f>
        <v>22380.704999997281</v>
      </c>
      <c r="H28" s="1005">
        <f>G28+'[3]23'!H28</f>
        <v>476142.7190000019</v>
      </c>
      <c r="I28" s="1066"/>
      <c r="J28" s="1007">
        <f>H28/DAY(B2)</f>
        <v>19839.279958333413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G29+'[3]23'!H29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54</v>
      </c>
      <c r="F30" s="641">
        <v>145</v>
      </c>
      <c r="G30" s="1064">
        <f>E30*F30</f>
        <v>7830</v>
      </c>
      <c r="H30" s="1005">
        <f>G30+'[3]23'!H30</f>
        <v>183570</v>
      </c>
      <c r="I30" s="1066"/>
      <c r="J30" s="1007">
        <f>H30/DAY(B2)</f>
        <v>7648.75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G31+'[3]23'!H31</f>
        <v>196800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210497.20499999728</v>
      </c>
      <c r="H32" s="1005">
        <f>G32+'[3]23'!H32</f>
        <v>5116873.2190000014</v>
      </c>
      <c r="I32" s="1072"/>
      <c r="J32" s="1007">
        <f>H32/DAY(B2)</f>
        <v>213203.05079166673</v>
      </c>
      <c r="K32" s="1023"/>
      <c r="L32" s="1053"/>
      <c r="N32" s="1171"/>
      <c r="O32" s="1009"/>
    </row>
    <row r="33" spans="1:15" ht="18.75">
      <c r="A33" s="1627" t="s">
        <v>173</v>
      </c>
      <c r="B33" s="1628"/>
      <c r="C33" s="1628"/>
      <c r="D33" s="1628"/>
      <c r="E33" s="1628"/>
      <c r="F33" s="1628"/>
      <c r="G33" s="1628"/>
      <c r="H33" s="1628"/>
      <c r="I33" s="1628"/>
      <c r="J33" s="1629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'[3]23'!F35</f>
        <v>629027</v>
      </c>
      <c r="F35" s="1075">
        <v>629027</v>
      </c>
      <c r="G35" s="1004">
        <f t="shared" ref="G35:G46" si="3">F35-E35</f>
        <v>0</v>
      </c>
      <c r="H35" s="1005">
        <f>G35+'[3]23'!H35</f>
        <v>25857.530000000028</v>
      </c>
      <c r="I35" s="1003"/>
      <c r="J35" s="1007">
        <f>H35/DAY(B2)</f>
        <v>1077.3970833333344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'[3]23'!F36</f>
        <v>224568.29</v>
      </c>
      <c r="F36" s="1075">
        <v>225111.93</v>
      </c>
      <c r="G36" s="1004">
        <f t="shared" si="3"/>
        <v>543.63999999998487</v>
      </c>
      <c r="H36" s="1005">
        <f>G36+'[3]23'!H36</f>
        <v>13751.979999999981</v>
      </c>
      <c r="I36" s="1003"/>
      <c r="J36" s="1007">
        <f>H36/DAY(B2)</f>
        <v>572.99916666666593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'[3]23'!F37</f>
        <v>415066</v>
      </c>
      <c r="F37" s="1075">
        <v>415066</v>
      </c>
      <c r="G37" s="1004">
        <f t="shared" si="3"/>
        <v>0</v>
      </c>
      <c r="H37" s="1005">
        <f>G37+'[3]23'!H37</f>
        <v>15221.809999999998</v>
      </c>
      <c r="I37" s="1003"/>
      <c r="J37" s="1007">
        <f>H37/DAY(B2)</f>
        <v>634.2420833333332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'[3]23'!F38</f>
        <v>150714.38</v>
      </c>
      <c r="F38" s="992">
        <v>150714.38</v>
      </c>
      <c r="G38" s="1004">
        <f t="shared" si="3"/>
        <v>0</v>
      </c>
      <c r="H38" s="1005">
        <f>G38+'[3]23'!H38</f>
        <v>0.38000000000465661</v>
      </c>
      <c r="I38" s="1003"/>
      <c r="J38" s="1007">
        <f>H38/DAY(B2)</f>
        <v>1.583333333352736E-2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'[3]23'!F39</f>
        <v>912480</v>
      </c>
      <c r="F39" s="1075">
        <v>912480</v>
      </c>
      <c r="G39" s="1004">
        <f t="shared" si="3"/>
        <v>0</v>
      </c>
      <c r="H39" s="1005">
        <f>G39+'[3]23'!H39</f>
        <v>40355.290000000037</v>
      </c>
      <c r="I39" s="1003"/>
      <c r="J39" s="1007">
        <f>H39/DAY(B2)</f>
        <v>1681.4704166666681</v>
      </c>
      <c r="K39" s="1023"/>
      <c r="L39" s="982"/>
      <c r="N39" s="1170">
        <f>20*38.64</f>
        <v>772.8</v>
      </c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'[3]23'!F40</f>
        <v>0</v>
      </c>
      <c r="F40" s="1075">
        <v>0</v>
      </c>
      <c r="G40" s="1004">
        <f t="shared" si="3"/>
        <v>0</v>
      </c>
      <c r="H40" s="1005">
        <f>G40+'[3]23'!H40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'[3]23'!F41</f>
        <v>300127.95</v>
      </c>
      <c r="F41" s="1075">
        <v>300127.95</v>
      </c>
      <c r="G41" s="1004">
        <f t="shared" si="3"/>
        <v>0</v>
      </c>
      <c r="H41" s="1005">
        <f>G41+'[3]23'!H41</f>
        <v>-1.9999999960418791E-2</v>
      </c>
      <c r="I41" s="1003"/>
      <c r="J41" s="1007">
        <f>H41/DAY(B2)</f>
        <v>-8.3333333168411627E-4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'[3]23'!F42</f>
        <v>396197.95</v>
      </c>
      <c r="F42" s="1075">
        <v>396197.95</v>
      </c>
      <c r="G42" s="1004">
        <f t="shared" si="3"/>
        <v>0</v>
      </c>
      <c r="H42" s="1005">
        <f>G42+'[3]23'!H42</f>
        <v>0.48000000003958121</v>
      </c>
      <c r="I42" s="1003"/>
      <c r="J42" s="1007">
        <f>H42/DAY(B2)</f>
        <v>2.0000000001649216E-2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'[3]23'!F43</f>
        <v>613565.27</v>
      </c>
      <c r="F43" s="1075">
        <v>615919.99</v>
      </c>
      <c r="G43" s="1004">
        <f t="shared" si="3"/>
        <v>2354.7199999999721</v>
      </c>
      <c r="H43" s="1005">
        <f>G43+'[3]23'!H43</f>
        <v>57595.920000000042</v>
      </c>
      <c r="I43" s="1003"/>
      <c r="J43" s="1007">
        <f>H43/DAY(B2)</f>
        <v>2399.8300000000017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'[3]23'!F44</f>
        <v>0</v>
      </c>
      <c r="F44" s="1075">
        <v>0</v>
      </c>
      <c r="G44" s="1004">
        <f t="shared" si="3"/>
        <v>0</v>
      </c>
      <c r="H44" s="1005">
        <f>G44+'[3]23'!H44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'[3]23'!F45</f>
        <v>614</v>
      </c>
      <c r="F45" s="1075">
        <v>614</v>
      </c>
      <c r="G45" s="1004">
        <f t="shared" si="3"/>
        <v>0</v>
      </c>
      <c r="H45" s="1005">
        <f>G45+'[3]23'!H45</f>
        <v>-0.48000000000001819</v>
      </c>
      <c r="I45" s="1003"/>
      <c r="J45" s="1007">
        <f>H45/DAY(B2)</f>
        <v>-2.0000000000000757E-2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'[3]23'!F46</f>
        <v>187</v>
      </c>
      <c r="F46" s="1075">
        <v>187</v>
      </c>
      <c r="G46" s="1004">
        <f t="shared" si="3"/>
        <v>0</v>
      </c>
      <c r="H46" s="1005">
        <f>G46+'[3]23'!H46</f>
        <v>-0.49000000000000909</v>
      </c>
      <c r="I46" s="1003"/>
      <c r="J46" s="1007">
        <f>H46/DAY(B2)</f>
        <v>-2.0416666666667044E-2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2898.3599999999569</v>
      </c>
      <c r="H47" s="1005">
        <f>G47+'[3]23'!H47</f>
        <v>152782.4000000002</v>
      </c>
      <c r="I47" s="1003"/>
      <c r="J47" s="1007">
        <f>H47/DAY(B2)</f>
        <v>6365.9333333333416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'[3]23'!F49</f>
        <v>43819.3</v>
      </c>
      <c r="F49" s="1075">
        <v>46188.17</v>
      </c>
      <c r="G49" s="1004">
        <f t="shared" ref="G49:G58" si="4">F49-E49</f>
        <v>2368.8699999999953</v>
      </c>
      <c r="H49" s="1005">
        <f>G49+'[3]23'!H49</f>
        <v>34458.881999999998</v>
      </c>
      <c r="I49" s="1003"/>
      <c r="J49" s="1007">
        <f>H49/DAY(B2)</f>
        <v>1435.78675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'[3]23'!F50</f>
        <v>287412.11</v>
      </c>
      <c r="F50" s="1075">
        <v>288392.15000000002</v>
      </c>
      <c r="G50" s="1004">
        <f t="shared" si="4"/>
        <v>980.04000000003725</v>
      </c>
      <c r="H50" s="1005">
        <f>G50+'[3]23'!H50</f>
        <v>22333.210000000021</v>
      </c>
      <c r="I50" s="1003"/>
      <c r="J50" s="1007">
        <f>H50/DAY(B2)</f>
        <v>930.5504166666675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'[3]23'!F51</f>
        <v>9327.83</v>
      </c>
      <c r="F51" s="1075">
        <v>10688.42</v>
      </c>
      <c r="G51" s="1004">
        <f t="shared" si="4"/>
        <v>1360.5900000000001</v>
      </c>
      <c r="H51" s="1005">
        <f>G51+'[3]23'!H51</f>
        <v>18663.4719</v>
      </c>
      <c r="I51" s="1003"/>
      <c r="J51" s="1007">
        <f>H51/DAY(B2)</f>
        <v>777.64466249999998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'[3]23'!F52</f>
        <v>358655.91</v>
      </c>
      <c r="F52" s="1075">
        <v>360436.47</v>
      </c>
      <c r="G52" s="1004">
        <f t="shared" si="4"/>
        <v>1780.5599999999977</v>
      </c>
      <c r="H52" s="1005">
        <f>G52+'[3]23'!H52</f>
        <v>38147.049999999988</v>
      </c>
      <c r="I52" s="1003"/>
      <c r="J52" s="1007">
        <f>H52/DAY(B2)</f>
        <v>1589.4604166666661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'[3]23'!F53</f>
        <v>16194.78</v>
      </c>
      <c r="F53" s="1075">
        <v>20288.14</v>
      </c>
      <c r="G53" s="1004">
        <f t="shared" si="4"/>
        <v>4093.3599999999988</v>
      </c>
      <c r="H53" s="1005">
        <f>G53+'[3]23'!H53</f>
        <v>31169.14</v>
      </c>
      <c r="I53" s="1003"/>
      <c r="J53" s="1007">
        <f>H53/DAY(B2)</f>
        <v>1298.7141666666666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'[3]23'!F54</f>
        <v>2686.99</v>
      </c>
      <c r="F54" s="1075">
        <v>2705.85</v>
      </c>
      <c r="G54" s="1004">
        <f t="shared" si="4"/>
        <v>18.860000000000127</v>
      </c>
      <c r="H54" s="1005">
        <f>G54+'[3]23'!H54</f>
        <v>1153.2892999999999</v>
      </c>
      <c r="I54" s="1003"/>
      <c r="J54" s="1007">
        <f>H54/DAY(B2)</f>
        <v>48.05372083333333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'[3]23'!F55</f>
        <v>158492.73000000001</v>
      </c>
      <c r="F55" s="1075">
        <v>158492.73000000001</v>
      </c>
      <c r="G55" s="1004">
        <f t="shared" si="4"/>
        <v>0</v>
      </c>
      <c r="H55" s="1005">
        <f>G55+'[3]23'!H55</f>
        <v>-0.26999999998952262</v>
      </c>
      <c r="I55" s="1003"/>
      <c r="J55" s="1007">
        <f>H55/DAY(B2)</f>
        <v>-1.1249999999563443E-2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'[3]23'!F56</f>
        <v>404898.35</v>
      </c>
      <c r="F56" s="1075">
        <v>408413.07</v>
      </c>
      <c r="G56" s="1004">
        <f t="shared" si="4"/>
        <v>3514.7200000000303</v>
      </c>
      <c r="H56" s="1005">
        <f>G56+'[3]23'!H56</f>
        <v>96368.590000000026</v>
      </c>
      <c r="I56" s="1003"/>
      <c r="J56" s="1007">
        <f>H56/DAY(B2)</f>
        <v>4015.3579166666677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'[3]23'!F57</f>
        <v>0</v>
      </c>
      <c r="F57" s="1075">
        <v>0</v>
      </c>
      <c r="G57" s="1004">
        <f t="shared" si="4"/>
        <v>0</v>
      </c>
      <c r="H57" s="1005">
        <f>G57+'[3]23'!H57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'[3]23'!F58</f>
        <v>19454.22</v>
      </c>
      <c r="F58" s="1075">
        <v>19604.740000000002</v>
      </c>
      <c r="G58" s="1004">
        <f t="shared" si="4"/>
        <v>150.52000000000044</v>
      </c>
      <c r="H58" s="1005">
        <f>G58+'[3]23'!H58</f>
        <v>1835.4439999999995</v>
      </c>
      <c r="I58" s="1003"/>
      <c r="J58" s="1007">
        <f>H58/DAY(B2)</f>
        <v>76.476833333333317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14267.52000000006</v>
      </c>
      <c r="H59" s="1005">
        <f>G59+'[3]23'!H59</f>
        <v>244128.80720000004</v>
      </c>
      <c r="I59" s="1003">
        <f>G7-G60</f>
        <v>478.11999999998079</v>
      </c>
      <c r="J59" s="1007">
        <f>H59/DAY(B2)</f>
        <v>10172.033633333334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17165.880000000019</v>
      </c>
      <c r="H60" s="1005">
        <f>G60+'[3]23'!H60</f>
        <v>411297.36790000013</v>
      </c>
      <c r="I60" s="1003">
        <f>G13-G60</f>
        <v>-190.64000000002852</v>
      </c>
      <c r="J60" s="1007">
        <f>H60/DAY(B2)</f>
        <v>17137.390329166672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'[3]23'!F62</f>
        <v>20419</v>
      </c>
      <c r="F62" s="1085">
        <v>20419.18</v>
      </c>
      <c r="G62" s="1004">
        <f t="shared" ref="G62:G69" si="5">F62-E62</f>
        <v>0.18000000000029104</v>
      </c>
      <c r="H62" s="1005">
        <f>G62+'[3]23'!H62</f>
        <v>-0.19799999999668216</v>
      </c>
      <c r="I62" s="1086"/>
      <c r="J62" s="1007">
        <f>H62/DAY(B2)</f>
        <v>-8.2499999998617568E-3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'[3]23'!F63</f>
        <v>741.94</v>
      </c>
      <c r="F63" s="1085">
        <v>758.38</v>
      </c>
      <c r="G63" s="1004">
        <f t="shared" si="5"/>
        <v>16.439999999999941</v>
      </c>
      <c r="H63" s="1005">
        <f>G63+'[3]23'!H63</f>
        <v>459.92</v>
      </c>
      <c r="I63" s="1086"/>
      <c r="J63" s="1007">
        <f>H63/DAY(B2)</f>
        <v>19.163333333333334</v>
      </c>
      <c r="K63" s="1023"/>
      <c r="L63" s="982"/>
      <c r="O63" s="1009"/>
    </row>
    <row r="64" spans="1:15">
      <c r="A64" s="1593" t="s">
        <v>107</v>
      </c>
      <c r="B64" s="1594"/>
      <c r="C64" s="1595"/>
      <c r="D64" s="1002" t="s">
        <v>198</v>
      </c>
      <c r="E64" s="1003">
        <f>'[3]23'!F64</f>
        <v>84180.47</v>
      </c>
      <c r="F64" s="1033">
        <v>84540.35</v>
      </c>
      <c r="G64" s="1004">
        <f t="shared" si="5"/>
        <v>359.88000000000466</v>
      </c>
      <c r="H64" s="1005">
        <f>G64+'[3]23'!H64</f>
        <v>8477.2630000000063</v>
      </c>
      <c r="I64" s="1024"/>
      <c r="J64" s="1007">
        <f>H64/DAY(B2)</f>
        <v>353.21929166666695</v>
      </c>
      <c r="K64" s="1023"/>
      <c r="L64" s="982"/>
      <c r="O64" s="1009"/>
    </row>
    <row r="65" spans="1:15">
      <c r="A65" s="1593" t="s">
        <v>108</v>
      </c>
      <c r="B65" s="1594"/>
      <c r="C65" s="1595"/>
      <c r="D65" s="1002" t="s">
        <v>198</v>
      </c>
      <c r="E65" s="1003">
        <f>'[3]23'!F65</f>
        <v>93930.01</v>
      </c>
      <c r="F65" s="1033">
        <v>94324.89</v>
      </c>
      <c r="G65" s="1004">
        <f t="shared" si="5"/>
        <v>394.88000000000466</v>
      </c>
      <c r="H65" s="1005">
        <f>G65+'[3]23'!H65</f>
        <v>9165.6269999999931</v>
      </c>
      <c r="I65" s="1042"/>
      <c r="J65" s="1007">
        <f>H65/DAY(B2)</f>
        <v>381.90112499999969</v>
      </c>
      <c r="K65" s="1023"/>
      <c r="L65" s="982"/>
      <c r="O65" s="1009"/>
    </row>
    <row r="66" spans="1:15">
      <c r="A66" s="1593" t="s">
        <v>109</v>
      </c>
      <c r="B66" s="1594"/>
      <c r="C66" s="1595"/>
      <c r="D66" s="1002" t="s">
        <v>198</v>
      </c>
      <c r="E66" s="1003">
        <f>'[3]23'!F66</f>
        <v>87184.03</v>
      </c>
      <c r="F66" s="1033">
        <v>87605.47</v>
      </c>
      <c r="G66" s="1004">
        <f t="shared" si="5"/>
        <v>421.44000000000233</v>
      </c>
      <c r="H66" s="1005">
        <f>G66+'[3]23'!H66</f>
        <v>9417.5120000000024</v>
      </c>
      <c r="I66" s="1024"/>
      <c r="J66" s="1007">
        <f>H66/DAY(B2)</f>
        <v>392.39633333333342</v>
      </c>
      <c r="K66" s="1023"/>
      <c r="L66" s="982"/>
      <c r="O66" s="1009"/>
    </row>
    <row r="67" spans="1:15">
      <c r="A67" s="1593" t="s">
        <v>110</v>
      </c>
      <c r="B67" s="1594"/>
      <c r="C67" s="1595"/>
      <c r="D67" s="1002" t="s">
        <v>198</v>
      </c>
      <c r="E67" s="1003">
        <f>'[3]23'!F67</f>
        <v>140946.51</v>
      </c>
      <c r="F67" s="1033">
        <v>141620.29999999999</v>
      </c>
      <c r="G67" s="1004">
        <f t="shared" si="5"/>
        <v>673.78999999997905</v>
      </c>
      <c r="H67" s="1005">
        <f>G67+'[3]23'!H67</f>
        <v>15563.799999999988</v>
      </c>
      <c r="I67" s="1042"/>
      <c r="J67" s="1007">
        <f>H67/DAY(B2)</f>
        <v>648.49166666666622</v>
      </c>
      <c r="K67" s="1030"/>
      <c r="L67" s="982"/>
      <c r="O67" s="1009"/>
    </row>
    <row r="68" spans="1:15">
      <c r="A68" s="1593" t="s">
        <v>111</v>
      </c>
      <c r="B68" s="1594"/>
      <c r="C68" s="1595"/>
      <c r="D68" s="1002" t="s">
        <v>198</v>
      </c>
      <c r="E68" s="1003">
        <f>'[3]23'!F68</f>
        <v>40671.910000000003</v>
      </c>
      <c r="F68" s="1033">
        <v>41031.15</v>
      </c>
      <c r="G68" s="1004">
        <f t="shared" si="5"/>
        <v>359.23999999999796</v>
      </c>
      <c r="H68" s="1005">
        <f>G68+'[3]23'!H68</f>
        <v>7631.2810000000027</v>
      </c>
      <c r="I68" s="1087"/>
      <c r="J68" s="1007">
        <f>H68/DAY(B2)</f>
        <v>317.97004166666676</v>
      </c>
      <c r="K68" s="1088"/>
      <c r="L68" s="982"/>
      <c r="O68" s="1009"/>
    </row>
    <row r="69" spans="1:15">
      <c r="A69" s="1593" t="s">
        <v>112</v>
      </c>
      <c r="B69" s="1594"/>
      <c r="C69" s="1595"/>
      <c r="D69" s="1002" t="s">
        <v>198</v>
      </c>
      <c r="E69" s="1003">
        <f>'[3]23'!F69</f>
        <v>35539.67</v>
      </c>
      <c r="F69" s="1033">
        <v>35830.19</v>
      </c>
      <c r="G69" s="1004">
        <f t="shared" si="5"/>
        <v>290.52000000000407</v>
      </c>
      <c r="H69" s="1005">
        <f>G69+'[3]23'!H69</f>
        <v>6577.8250000000007</v>
      </c>
      <c r="I69" s="1087"/>
      <c r="J69" s="1007">
        <f>H69/DAY(B2)</f>
        <v>274.0760416666667</v>
      </c>
      <c r="K69" s="1089"/>
      <c r="L69" s="982"/>
      <c r="O69" s="1009"/>
    </row>
    <row r="70" spans="1:15">
      <c r="A70" s="1613" t="s">
        <v>200</v>
      </c>
      <c r="B70" s="1614"/>
      <c r="C70" s="1615"/>
      <c r="D70" s="1002" t="s">
        <v>198</v>
      </c>
      <c r="E70" s="1090"/>
      <c r="F70" s="1091"/>
      <c r="G70" s="1091"/>
      <c r="H70" s="1005">
        <f>G70+'[3]23'!H70</f>
        <v>0</v>
      </c>
      <c r="I70" s="1091"/>
      <c r="J70" s="1092"/>
      <c r="K70" s="1089"/>
      <c r="L70" s="982"/>
      <c r="O70" s="1009"/>
    </row>
    <row r="71" spans="1:15" ht="22.5">
      <c r="A71" s="1610" t="s">
        <v>201</v>
      </c>
      <c r="B71" s="1611"/>
      <c r="C71" s="1611"/>
      <c r="D71" s="1611"/>
      <c r="E71" s="1611"/>
      <c r="F71" s="1611"/>
      <c r="G71" s="1611"/>
      <c r="H71" s="1611"/>
      <c r="I71" s="1611"/>
      <c r="J71" s="1612"/>
      <c r="K71" s="1088"/>
      <c r="L71" s="982"/>
      <c r="O71" s="1009"/>
    </row>
    <row r="72" spans="1:15">
      <c r="A72" s="1593" t="s">
        <v>202</v>
      </c>
      <c r="B72" s="1594"/>
      <c r="C72" s="1595"/>
      <c r="D72" s="1002" t="s">
        <v>198</v>
      </c>
      <c r="E72" s="1003">
        <f>'[3]23'!F72</f>
        <v>844120</v>
      </c>
      <c r="F72" s="1093">
        <v>844131</v>
      </c>
      <c r="G72" s="1004">
        <f t="shared" ref="G72:G90" si="6">F72-E72</f>
        <v>11</v>
      </c>
      <c r="H72" s="1005">
        <f>G72+'[3]23'!H72</f>
        <v>189</v>
      </c>
      <c r="I72" s="1024"/>
      <c r="J72" s="1007">
        <f>H72/DAY(B2)</f>
        <v>7.875</v>
      </c>
      <c r="K72" s="1089"/>
      <c r="L72" s="982"/>
      <c r="O72" s="1009"/>
    </row>
    <row r="73" spans="1:15">
      <c r="A73" s="1593" t="s">
        <v>203</v>
      </c>
      <c r="B73" s="1594"/>
      <c r="C73" s="1595"/>
      <c r="D73" s="1002" t="s">
        <v>198</v>
      </c>
      <c r="E73" s="1003">
        <f>'[3]23'!F73</f>
        <v>885299</v>
      </c>
      <c r="F73" s="1094">
        <v>885301</v>
      </c>
      <c r="G73" s="1004">
        <f t="shared" si="6"/>
        <v>2</v>
      </c>
      <c r="H73" s="1005">
        <f>G73+'[3]23'!H73</f>
        <v>173</v>
      </c>
      <c r="I73" s="1024"/>
      <c r="J73" s="1007">
        <f>H73/DAY(B2)</f>
        <v>7.208333333333333</v>
      </c>
      <c r="K73" s="1088"/>
      <c r="L73" s="982"/>
      <c r="O73" s="1009"/>
    </row>
    <row r="74" spans="1:15">
      <c r="A74" s="1593" t="s">
        <v>204</v>
      </c>
      <c r="B74" s="1594"/>
      <c r="C74" s="1595"/>
      <c r="D74" s="1002" t="s">
        <v>198</v>
      </c>
      <c r="E74" s="1003">
        <f>'[3]23'!F74</f>
        <v>880077</v>
      </c>
      <c r="F74" s="1095">
        <v>880107</v>
      </c>
      <c r="G74" s="1004">
        <f t="shared" si="6"/>
        <v>30</v>
      </c>
      <c r="H74" s="1005">
        <f>G74+'[3]23'!H74</f>
        <v>471</v>
      </c>
      <c r="I74" s="1024"/>
      <c r="J74" s="1007">
        <f>H74/DAY(B2)</f>
        <v>19.625</v>
      </c>
      <c r="K74" s="1089"/>
      <c r="L74" s="982"/>
      <c r="O74" s="1009"/>
    </row>
    <row r="75" spans="1:15">
      <c r="A75" s="1607" t="s">
        <v>205</v>
      </c>
      <c r="B75" s="1608"/>
      <c r="C75" s="1609"/>
      <c r="D75" s="1002" t="s">
        <v>198</v>
      </c>
      <c r="E75" s="1003">
        <f>'[3]23'!F75</f>
        <v>725022</v>
      </c>
      <c r="F75" s="1095">
        <v>725185</v>
      </c>
      <c r="G75" s="1004">
        <f t="shared" si="6"/>
        <v>163</v>
      </c>
      <c r="H75" s="1005">
        <f>G75+'[3]23'!H75</f>
        <v>3819</v>
      </c>
      <c r="I75" s="1024"/>
      <c r="J75" s="1007">
        <f>H75/DAY(B2)</f>
        <v>159.125</v>
      </c>
      <c r="K75" s="1088"/>
      <c r="L75" s="982"/>
      <c r="O75" s="1009"/>
    </row>
    <row r="76" spans="1:15">
      <c r="A76" s="1607" t="s">
        <v>206</v>
      </c>
      <c r="B76" s="1608"/>
      <c r="C76" s="1609"/>
      <c r="D76" s="1002" t="s">
        <v>198</v>
      </c>
      <c r="E76" s="1003">
        <f>'[3]23'!F76</f>
        <v>681189</v>
      </c>
      <c r="F76" s="1094">
        <v>681277</v>
      </c>
      <c r="G76" s="1004">
        <f t="shared" si="6"/>
        <v>88</v>
      </c>
      <c r="H76" s="1005">
        <f>G76+'[3]23'!H76</f>
        <v>2807</v>
      </c>
      <c r="I76" s="1066"/>
      <c r="J76" s="1007">
        <f>H76/DAY(B2)</f>
        <v>116.95833333333333</v>
      </c>
      <c r="K76" s="1088"/>
      <c r="L76" s="982"/>
      <c r="O76" s="1009"/>
    </row>
    <row r="77" spans="1:15">
      <c r="A77" s="1593" t="s">
        <v>207</v>
      </c>
      <c r="B77" s="1594"/>
      <c r="C77" s="1595"/>
      <c r="D77" s="1002" t="s">
        <v>198</v>
      </c>
      <c r="E77" s="1003">
        <f>'[3]23'!F77</f>
        <v>693374</v>
      </c>
      <c r="F77" s="1094">
        <v>693425</v>
      </c>
      <c r="G77" s="1004">
        <f t="shared" si="6"/>
        <v>51</v>
      </c>
      <c r="H77" s="1005">
        <f>G77+'[3]23'!H77</f>
        <v>1118</v>
      </c>
      <c r="I77" s="1066"/>
      <c r="J77" s="1007">
        <f>H77/DAY(B2)</f>
        <v>46.583333333333336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'[3]23'!F78</f>
        <v>615413</v>
      </c>
      <c r="F78" s="1095">
        <v>615753</v>
      </c>
      <c r="G78" s="1004">
        <f t="shared" si="6"/>
        <v>340</v>
      </c>
      <c r="H78" s="1005">
        <f>G78+'[3]23'!H78</f>
        <v>7739</v>
      </c>
      <c r="I78" s="1066"/>
      <c r="J78" s="1007">
        <f>H78/DAY(B2)</f>
        <v>322.45833333333331</v>
      </c>
      <c r="K78" s="1088"/>
      <c r="L78" s="982"/>
      <c r="O78" s="1009"/>
    </row>
    <row r="79" spans="1:15">
      <c r="A79" s="1607" t="s">
        <v>97</v>
      </c>
      <c r="B79" s="1608"/>
      <c r="C79" s="1609"/>
      <c r="D79" s="1036" t="s">
        <v>198</v>
      </c>
      <c r="E79" s="1003">
        <f>'[3]23'!F79</f>
        <v>796617</v>
      </c>
      <c r="F79" s="1095">
        <v>796793</v>
      </c>
      <c r="G79" s="1004">
        <f t="shared" si="6"/>
        <v>176</v>
      </c>
      <c r="H79" s="1005">
        <f>G79+'[3]23'!H79</f>
        <v>5978</v>
      </c>
      <c r="I79" s="1066"/>
      <c r="J79" s="1007">
        <f>H79/DAY(B2)</f>
        <v>249.08333333333334</v>
      </c>
      <c r="K79" s="1088"/>
      <c r="L79" s="982"/>
      <c r="O79" s="1009"/>
    </row>
    <row r="80" spans="1:15">
      <c r="A80" s="1607" t="s">
        <v>209</v>
      </c>
      <c r="B80" s="1608"/>
      <c r="C80" s="1609"/>
      <c r="D80" s="1036" t="s">
        <v>198</v>
      </c>
      <c r="E80" s="1003">
        <f>'[3]23'!F80</f>
        <v>463374</v>
      </c>
      <c r="F80" s="1094">
        <v>463656</v>
      </c>
      <c r="G80" s="1004">
        <f t="shared" si="6"/>
        <v>282</v>
      </c>
      <c r="H80" s="1005">
        <f>G80+'[3]23'!H80</f>
        <v>5219.1199999999953</v>
      </c>
      <c r="I80" s="1066"/>
      <c r="J80" s="1007">
        <f>H80/DAY(B2)</f>
        <v>217.46333333333314</v>
      </c>
      <c r="K80" s="1088"/>
      <c r="L80" s="982"/>
      <c r="O80" s="1009"/>
    </row>
    <row r="81" spans="1:15">
      <c r="A81" s="1607" t="s">
        <v>210</v>
      </c>
      <c r="B81" s="1608"/>
      <c r="C81" s="1609"/>
      <c r="D81" s="1036" t="s">
        <v>198</v>
      </c>
      <c r="E81" s="1003">
        <f>'[3]23'!F81</f>
        <v>613421</v>
      </c>
      <c r="F81" s="1094">
        <v>613500</v>
      </c>
      <c r="G81" s="1004">
        <f t="shared" si="6"/>
        <v>79</v>
      </c>
      <c r="H81" s="1005">
        <f>G81+'[3]23'!H81</f>
        <v>2377.7199999999721</v>
      </c>
      <c r="I81" s="1066"/>
      <c r="J81" s="1007">
        <f>H81/DAY(B2)</f>
        <v>99.071666666665507</v>
      </c>
      <c r="K81" s="1088"/>
      <c r="L81" s="982"/>
      <c r="O81" s="1009"/>
    </row>
    <row r="82" spans="1:15">
      <c r="A82" s="1607" t="s">
        <v>100</v>
      </c>
      <c r="B82" s="1608"/>
      <c r="C82" s="1609"/>
      <c r="D82" s="1037" t="s">
        <v>143</v>
      </c>
      <c r="E82" s="1003">
        <f>'[3]23'!F82</f>
        <v>103403</v>
      </c>
      <c r="F82" s="1097">
        <v>103416</v>
      </c>
      <c r="G82" s="1004">
        <f t="shared" si="6"/>
        <v>13</v>
      </c>
      <c r="H82" s="1005">
        <f>G82+'[3]23'!H82</f>
        <v>386.05000000000291</v>
      </c>
      <c r="I82" s="1038"/>
      <c r="J82" s="1007">
        <f>H82/DAY(B2)</f>
        <v>16.085416666666788</v>
      </c>
      <c r="K82" s="1088"/>
      <c r="L82" s="982"/>
      <c r="O82" s="1009"/>
    </row>
    <row r="83" spans="1:15">
      <c r="A83" s="1607" t="s">
        <v>211</v>
      </c>
      <c r="B83" s="1608"/>
      <c r="C83" s="1609"/>
      <c r="D83" s="1098" t="s">
        <v>143</v>
      </c>
      <c r="E83" s="1003">
        <f>'[3]23'!F83</f>
        <v>960176</v>
      </c>
      <c r="F83" s="989">
        <v>960516</v>
      </c>
      <c r="G83" s="1004">
        <f>F83-E83</f>
        <v>340</v>
      </c>
      <c r="H83" s="1005">
        <f>G83+'[3]23'!H83</f>
        <v>8273</v>
      </c>
      <c r="I83" s="1027"/>
      <c r="J83" s="1007">
        <f>H83/DAY(B2)</f>
        <v>344.70833333333331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'[3]23'!F84</f>
        <v>377922</v>
      </c>
      <c r="F84" s="1101">
        <v>378425</v>
      </c>
      <c r="G84" s="1004">
        <f t="shared" si="6"/>
        <v>503</v>
      </c>
      <c r="H84" s="1005">
        <f>G84+'[3]23'!H84</f>
        <v>11992</v>
      </c>
      <c r="I84" s="1027"/>
      <c r="J84" s="1007">
        <f>H84/DAY(B2)</f>
        <v>499.66666666666669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>
        <f>'[3]23'!F85</f>
        <v>0</v>
      </c>
      <c r="F85" s="1002"/>
      <c r="G85" s="1005">
        <f xml:space="preserve"> SUM(G72:G84)</f>
        <v>2078</v>
      </c>
      <c r="H85" s="1005">
        <f>G85+'[3]23'!H85</f>
        <v>47215.989999999991</v>
      </c>
      <c r="I85" s="1027"/>
      <c r="J85" s="1007">
        <f>H85/DAY(B2)</f>
        <v>1967.3329166666663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'[3]23'!F86</f>
        <v>439390</v>
      </c>
      <c r="F86" s="1110">
        <v>439560</v>
      </c>
      <c r="G86" s="1111">
        <f t="shared" si="6"/>
        <v>170</v>
      </c>
      <c r="H86" s="1111">
        <f t="shared" ref="H86:H88" si="7">G86</f>
        <v>170</v>
      </c>
      <c r="I86" s="1112"/>
      <c r="J86" s="1113">
        <f>H86/DAY(B2)</f>
        <v>7.083333333333333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'[3]23'!F87</f>
        <v>76694</v>
      </c>
      <c r="F87" s="1110">
        <v>76734</v>
      </c>
      <c r="G87" s="1111">
        <f t="shared" si="6"/>
        <v>40</v>
      </c>
      <c r="H87" s="1111">
        <f t="shared" si="7"/>
        <v>40</v>
      </c>
      <c r="I87" s="1112"/>
      <c r="J87" s="1113">
        <f>H87/DAY(B2)</f>
        <v>1.6666666666666667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'[3]23'!F88</f>
        <v>141766</v>
      </c>
      <c r="F88" s="1110">
        <v>141855</v>
      </c>
      <c r="G88" s="1111">
        <f t="shared" si="6"/>
        <v>89</v>
      </c>
      <c r="H88" s="1111">
        <f t="shared" si="7"/>
        <v>89</v>
      </c>
      <c r="I88" s="1112"/>
      <c r="J88" s="1113">
        <f>H88/DAY(B2)</f>
        <v>3.7083333333333335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'[3]23'!F89</f>
        <v>55307</v>
      </c>
      <c r="F89" s="1110">
        <v>55361</v>
      </c>
      <c r="G89" s="1111">
        <f t="shared" si="6"/>
        <v>54</v>
      </c>
      <c r="H89" s="1111">
        <f>G89</f>
        <v>54</v>
      </c>
      <c r="I89" s="1112"/>
      <c r="J89" s="1113">
        <f>H89/DAY(B2)</f>
        <v>2.25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'[3]23'!F90</f>
        <v>2857</v>
      </c>
      <c r="F90" s="1110">
        <v>2861</v>
      </c>
      <c r="G90" s="1111">
        <f t="shared" si="6"/>
        <v>4</v>
      </c>
      <c r="H90" s="1111">
        <f>G90</f>
        <v>4</v>
      </c>
      <c r="I90" s="1112"/>
      <c r="J90" s="1113">
        <f>H90/DAY(B2)</f>
        <v>0.16666666666666666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587" t="s">
        <v>217</v>
      </c>
      <c r="B92" s="1588"/>
      <c r="C92" s="1589"/>
      <c r="D92" s="1002" t="s">
        <v>155</v>
      </c>
      <c r="E92" s="1003">
        <f>'[3]23'!F92</f>
        <v>230385</v>
      </c>
      <c r="F92" s="1033">
        <v>230479</v>
      </c>
      <c r="G92" s="1004">
        <f t="shared" ref="G92:G93" si="8">F92-E92</f>
        <v>94</v>
      </c>
      <c r="H92" s="1005">
        <f>G92+'[3]23'!H92</f>
        <v>1884</v>
      </c>
      <c r="I92" s="1024"/>
      <c r="J92" s="1007">
        <f>H92/DAY(B2)</f>
        <v>78.5</v>
      </c>
      <c r="K92" s="1030"/>
      <c r="L92" s="982"/>
      <c r="O92" s="1009"/>
    </row>
    <row r="93" spans="1:15">
      <c r="A93" s="1587" t="s">
        <v>218</v>
      </c>
      <c r="B93" s="1588"/>
      <c r="C93" s="1589"/>
      <c r="D93" s="1002" t="s">
        <v>155</v>
      </c>
      <c r="E93" s="1003">
        <f>'[3]23'!F93</f>
        <v>161738</v>
      </c>
      <c r="F93" s="1033">
        <v>161864</v>
      </c>
      <c r="G93" s="1004">
        <f t="shared" si="8"/>
        <v>126</v>
      </c>
      <c r="H93" s="1005">
        <f>G93+'[3]23'!H93</f>
        <v>3341</v>
      </c>
      <c r="I93" s="1024"/>
      <c r="J93" s="1007">
        <f>H93/DAY(B2)</f>
        <v>139.20833333333334</v>
      </c>
      <c r="K93" s="1102"/>
      <c r="L93" s="982"/>
      <c r="O93" s="1009"/>
    </row>
    <row r="94" spans="1:15">
      <c r="A94" s="1596" t="s">
        <v>219</v>
      </c>
      <c r="B94" s="1597"/>
      <c r="C94" s="1598"/>
      <c r="D94" s="1002"/>
      <c r="E94" s="1003">
        <f>'[3]23'!F94</f>
        <v>0</v>
      </c>
      <c r="F94" s="1033"/>
      <c r="G94" s="1004">
        <f>G92+G93</f>
        <v>220</v>
      </c>
      <c r="H94" s="1005">
        <f>G94+'[3]23'!H94</f>
        <v>4935</v>
      </c>
      <c r="I94" s="1024"/>
      <c r="J94" s="1007">
        <f>H94/DAY(B2)</f>
        <v>205.625</v>
      </c>
      <c r="K94" s="1102"/>
      <c r="L94" s="982"/>
      <c r="O94" s="1009"/>
    </row>
    <row r="95" spans="1:15">
      <c r="A95" s="1587" t="s">
        <v>220</v>
      </c>
      <c r="B95" s="1588"/>
      <c r="C95" s="1589"/>
      <c r="D95" s="1002" t="s">
        <v>155</v>
      </c>
      <c r="E95" s="1003">
        <f>'[3]23'!F95</f>
        <v>401114</v>
      </c>
      <c r="F95" s="1033">
        <v>401187</v>
      </c>
      <c r="G95" s="1004">
        <f t="shared" ref="G95:G100" si="9">F95-E95</f>
        <v>73</v>
      </c>
      <c r="H95" s="1005">
        <f>G95+'[3]23'!H95</f>
        <v>1340</v>
      </c>
      <c r="I95" s="1024"/>
      <c r="J95" s="1007">
        <f>H95/DAY(B2)</f>
        <v>55.833333333333336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'[3]23'!F96</f>
        <v>98923</v>
      </c>
      <c r="F96" s="1033">
        <v>98944</v>
      </c>
      <c r="G96" s="1004">
        <f t="shared" si="9"/>
        <v>21</v>
      </c>
      <c r="H96" s="1005">
        <f>G96+'[3]23'!H96</f>
        <v>935</v>
      </c>
      <c r="I96" s="1024"/>
      <c r="J96" s="1007">
        <f>H96/DAY(B2)</f>
        <v>38.958333333333336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'[3]23'!F97</f>
        <v>94073</v>
      </c>
      <c r="F97" s="1033">
        <v>94092</v>
      </c>
      <c r="G97" s="1004">
        <f t="shared" si="9"/>
        <v>19</v>
      </c>
      <c r="H97" s="1005">
        <f>G97+'[3]23'!H97</f>
        <v>541</v>
      </c>
      <c r="I97" s="1024"/>
      <c r="J97" s="1007">
        <f>H97/DAY(B2)</f>
        <v>22.541666666666668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'[3]23'!F98</f>
        <v>141848</v>
      </c>
      <c r="F98" s="1033">
        <v>141895</v>
      </c>
      <c r="G98" s="1004">
        <f t="shared" si="9"/>
        <v>47</v>
      </c>
      <c r="H98" s="1005">
        <f>G98+'[3]23'!H98</f>
        <v>990</v>
      </c>
      <c r="I98" s="1024"/>
      <c r="J98" s="1007">
        <f>H98/DAY(B2)</f>
        <v>41.25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'[3]23'!F99</f>
        <v>4893</v>
      </c>
      <c r="F99" s="1033">
        <v>4901</v>
      </c>
      <c r="G99" s="1004">
        <f t="shared" si="9"/>
        <v>8</v>
      </c>
      <c r="H99" s="1005">
        <f>G99+'[3]23'!H99</f>
        <v>193</v>
      </c>
      <c r="I99" s="1024"/>
      <c r="J99" s="1007">
        <f>H99/DAY(B2)</f>
        <v>8.0416666666666661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'[3]23'!F100</f>
        <v>3674</v>
      </c>
      <c r="F100" s="1033">
        <v>3674</v>
      </c>
      <c r="G100" s="1004">
        <f t="shared" si="9"/>
        <v>0</v>
      </c>
      <c r="H100" s="1005">
        <f>G100+'[3]23'!H100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596" t="s">
        <v>227</v>
      </c>
      <c r="B101" s="1597"/>
      <c r="C101" s="1598"/>
      <c r="D101" s="1036"/>
      <c r="E101" s="1036"/>
      <c r="F101" s="1036"/>
      <c r="G101" s="1119">
        <f>SUM(G95:G100)</f>
        <v>168</v>
      </c>
      <c r="H101" s="1005">
        <f>G101+'[3]23'!H101</f>
        <v>3999</v>
      </c>
      <c r="I101" s="1120"/>
      <c r="J101" s="1007">
        <f>H101/DAY(B2)</f>
        <v>166.625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04" t="s">
        <v>229</v>
      </c>
      <c r="B103" s="160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577" t="s">
        <v>230</v>
      </c>
      <c r="B104" s="1578"/>
      <c r="C104" s="1135"/>
      <c r="D104" s="1131" t="s">
        <v>155</v>
      </c>
      <c r="E104" s="1132">
        <f>'[3]23'!F104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2.5</v>
      </c>
      <c r="N104" s="1171"/>
      <c r="O104" s="1009"/>
    </row>
    <row r="105" spans="1:15" s="1054" customFormat="1">
      <c r="A105" s="1577" t="s">
        <v>77</v>
      </c>
      <c r="B105" s="1578"/>
      <c r="C105" s="1135"/>
      <c r="D105" s="1131" t="s">
        <v>155</v>
      </c>
      <c r="E105" s="1132">
        <f>'[3]23'!F105</f>
        <v>34627</v>
      </c>
      <c r="F105" s="1136">
        <v>34637</v>
      </c>
      <c r="G105" s="1132">
        <f t="shared" ref="G105:G106" si="10">F105-E105</f>
        <v>10</v>
      </c>
      <c r="H105" s="1133">
        <f>SUM(G105+'[3]1'!G77)</f>
        <v>80</v>
      </c>
      <c r="I105" s="1132"/>
      <c r="J105" s="1134">
        <f>H105/DAY(B2)</f>
        <v>3.3333333333333335</v>
      </c>
      <c r="N105" s="1171"/>
      <c r="O105" s="1009"/>
    </row>
    <row r="106" spans="1:15" s="1054" customFormat="1">
      <c r="A106" s="1577" t="s">
        <v>78</v>
      </c>
      <c r="B106" s="1606"/>
      <c r="C106" s="1578"/>
      <c r="D106" s="1131" t="s">
        <v>155</v>
      </c>
      <c r="E106" s="1132">
        <f>'[3]23'!F106</f>
        <v>18710</v>
      </c>
      <c r="F106" s="1132">
        <v>18715</v>
      </c>
      <c r="G106" s="1132">
        <f t="shared" si="10"/>
        <v>5</v>
      </c>
      <c r="H106" s="1133">
        <f>SUM(G106+'[3]1'!G78)</f>
        <v>334</v>
      </c>
      <c r="I106" s="1132"/>
      <c r="J106" s="1134">
        <f>H106/DAY(B2)</f>
        <v>13.916666666666666</v>
      </c>
      <c r="N106" s="1171"/>
      <c r="O106" s="1009"/>
    </row>
    <row r="107" spans="1:15" s="1054" customFormat="1">
      <c r="A107" s="1579" t="s">
        <v>213</v>
      </c>
      <c r="B107" s="1580"/>
      <c r="C107" s="1135"/>
      <c r="D107" s="1131"/>
      <c r="E107" s="1132"/>
      <c r="F107" s="1132"/>
      <c r="G107" s="1132">
        <f>SUM(G104:G106)</f>
        <v>15</v>
      </c>
      <c r="H107" s="1133">
        <f>SUM(G107+'[3]1'!G79)</f>
        <v>175</v>
      </c>
      <c r="I107" s="1132"/>
      <c r="J107" s="1134">
        <f>H107/DAY(B2)</f>
        <v>7.291666666666667</v>
      </c>
      <c r="N107" s="1171"/>
      <c r="O107" s="1009"/>
    </row>
    <row r="108" spans="1:15" s="1054" customFormat="1">
      <c r="A108" s="1585" t="s">
        <v>79</v>
      </c>
      <c r="B108" s="1586"/>
      <c r="C108" s="1135"/>
      <c r="D108" s="1131" t="s">
        <v>155</v>
      </c>
      <c r="E108" s="1132">
        <f>'[3]23'!F108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577" t="s">
        <v>231</v>
      </c>
      <c r="B109" s="1578"/>
      <c r="C109" s="1135"/>
      <c r="D109" s="1131" t="s">
        <v>155</v>
      </c>
      <c r="E109" s="1132">
        <f>'[3]23'!F109</f>
        <v>50926</v>
      </c>
      <c r="F109" s="1132">
        <v>50971</v>
      </c>
      <c r="G109" s="1132">
        <f>F109-E109</f>
        <v>45</v>
      </c>
      <c r="H109" s="1133">
        <f>SUM(G109+'[3]1'!G81)</f>
        <v>127</v>
      </c>
      <c r="I109" s="1132"/>
      <c r="J109" s="1134">
        <f>H109/DAY(B2)</f>
        <v>5.291666666666667</v>
      </c>
      <c r="N109" s="1171"/>
      <c r="O109" s="1009"/>
    </row>
    <row r="110" spans="1:15" s="1054" customFormat="1">
      <c r="A110" s="1577" t="s">
        <v>232</v>
      </c>
      <c r="B110" s="1578"/>
      <c r="C110" s="1135"/>
      <c r="D110" s="1131" t="s">
        <v>155</v>
      </c>
      <c r="E110" s="1132">
        <f>'[3]23'!F110</f>
        <v>25041</v>
      </c>
      <c r="F110" s="1132">
        <v>25085</v>
      </c>
      <c r="G110" s="1132">
        <f t="shared" ref="G110:G111" si="11">F110-E110</f>
        <v>44</v>
      </c>
      <c r="H110" s="1133">
        <f>SUM(G110+'[3]1'!G82)</f>
        <v>69.740000000005239</v>
      </c>
      <c r="I110" s="1132"/>
      <c r="J110" s="1134">
        <f>H110/DAY(B2)</f>
        <v>2.9058333333335518</v>
      </c>
      <c r="N110" s="1171"/>
      <c r="O110" s="1009"/>
    </row>
    <row r="111" spans="1:15" s="1054" customFormat="1">
      <c r="A111" s="1577" t="s">
        <v>233</v>
      </c>
      <c r="B111" s="1578"/>
      <c r="C111" s="1135"/>
      <c r="D111" s="1131" t="s">
        <v>155</v>
      </c>
      <c r="E111" s="1132">
        <f>'[3]23'!F111</f>
        <v>3330</v>
      </c>
      <c r="F111" s="1132">
        <v>3337</v>
      </c>
      <c r="G111" s="1132">
        <f t="shared" si="11"/>
        <v>7</v>
      </c>
      <c r="H111" s="1133">
        <f>SUM(G111+'[3]1'!G83)</f>
        <v>453</v>
      </c>
      <c r="I111" s="1132"/>
      <c r="J111" s="1134">
        <f>H111/DAY(B2)</f>
        <v>18.875</v>
      </c>
      <c r="N111" s="1171"/>
      <c r="O111" s="1009"/>
    </row>
    <row r="112" spans="1:15" s="1054" customFormat="1">
      <c r="A112" s="1583" t="s">
        <v>121</v>
      </c>
      <c r="B112" s="1584"/>
      <c r="C112" s="1135"/>
      <c r="D112" s="1131"/>
      <c r="E112" s="1132">
        <f>'[3]23'!F112</f>
        <v>0</v>
      </c>
      <c r="F112" s="1132"/>
      <c r="G112" s="1132">
        <f>SUM(G109:G111)</f>
        <v>96</v>
      </c>
      <c r="H112" s="1133">
        <f>SUM(G112+'[3]1'!G84)</f>
        <v>692</v>
      </c>
      <c r="I112" s="1132"/>
      <c r="J112" s="1134">
        <f>H112/DAY(B2)</f>
        <v>28.833333333333332</v>
      </c>
      <c r="N112" s="1171"/>
      <c r="O112" s="1009"/>
    </row>
    <row r="113" spans="1:15" s="1054" customFormat="1">
      <c r="A113" s="1585" t="s">
        <v>234</v>
      </c>
      <c r="B113" s="1586"/>
      <c r="C113" s="1135"/>
      <c r="D113" s="1131"/>
      <c r="E113" s="1132"/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577" t="s">
        <v>235</v>
      </c>
      <c r="B114" s="1578"/>
      <c r="C114" s="1137"/>
      <c r="D114" s="1131" t="s">
        <v>155</v>
      </c>
      <c r="E114" s="1132">
        <f>'[3]23'!F114</f>
        <v>8509</v>
      </c>
      <c r="F114" s="1136">
        <v>8519</v>
      </c>
      <c r="G114" s="1136">
        <f>F114-E114</f>
        <v>10</v>
      </c>
      <c r="H114" s="1133">
        <f>SUM(G114+'[3]1'!G91)</f>
        <v>10</v>
      </c>
      <c r="I114" s="1132"/>
      <c r="J114" s="1134">
        <f>H114/DAY(B2)</f>
        <v>0.41666666666666669</v>
      </c>
      <c r="N114" s="1171"/>
      <c r="O114" s="1009"/>
    </row>
    <row r="115" spans="1:15" s="1054" customFormat="1">
      <c r="A115" s="1577" t="s">
        <v>236</v>
      </c>
      <c r="B115" s="1578"/>
      <c r="C115" s="1137"/>
      <c r="D115" s="1131" t="s">
        <v>155</v>
      </c>
      <c r="E115" s="1132">
        <f>'[3]23'!F115</f>
        <v>6723</v>
      </c>
      <c r="F115" s="1136">
        <v>6734</v>
      </c>
      <c r="G115" s="1136">
        <f t="shared" ref="G115:G116" si="12">F115-E115</f>
        <v>11</v>
      </c>
      <c r="H115" s="1133">
        <f>SUM(G115+'[3]1'!G92)</f>
        <v>116</v>
      </c>
      <c r="I115" s="1132"/>
      <c r="J115" s="1134">
        <f>H115/DAY(B2)</f>
        <v>4.833333333333333</v>
      </c>
      <c r="N115" s="1171"/>
      <c r="O115" s="1009"/>
    </row>
    <row r="116" spans="1:15" s="1054" customFormat="1">
      <c r="A116" s="1577" t="s">
        <v>237</v>
      </c>
      <c r="B116" s="1578"/>
      <c r="C116" s="1137"/>
      <c r="D116" s="1131" t="s">
        <v>155</v>
      </c>
      <c r="E116" s="1136"/>
      <c r="F116" s="1136"/>
      <c r="G116" s="1136">
        <f t="shared" si="12"/>
        <v>0</v>
      </c>
      <c r="H116" s="1133">
        <f>SUM(G116+'[3]1'!G93)</f>
        <v>185</v>
      </c>
      <c r="I116" s="1132"/>
      <c r="J116" s="1134">
        <f>H116/DAY(B2)</f>
        <v>7.708333333333333</v>
      </c>
      <c r="N116" s="1171"/>
      <c r="O116" s="1009"/>
    </row>
    <row r="117" spans="1:15" s="1139" customFormat="1">
      <c r="A117" s="1579" t="s">
        <v>213</v>
      </c>
      <c r="B117" s="1580"/>
      <c r="C117" s="1137"/>
      <c r="D117" s="1138"/>
      <c r="E117" s="1136"/>
      <c r="F117" s="1136"/>
      <c r="G117" s="1136">
        <f>SUM(G114:G116)</f>
        <v>21</v>
      </c>
      <c r="H117" s="1133">
        <f>SUM(G117+'[3]1'!G95)</f>
        <v>69</v>
      </c>
      <c r="I117" s="1136"/>
      <c r="J117" s="1134">
        <f>H117/DAY(B2)</f>
        <v>2.875</v>
      </c>
      <c r="N117" s="1176"/>
      <c r="O117" s="1009"/>
    </row>
    <row r="118" spans="1:15" s="927" customFormat="1">
      <c r="A118" s="1581" t="s">
        <v>238</v>
      </c>
      <c r="B118" s="1582"/>
      <c r="C118" s="1140"/>
      <c r="D118" s="1141" t="s">
        <v>155</v>
      </c>
      <c r="E118" s="1142"/>
      <c r="F118" s="1143">
        <f>SUM(G19+G92)</f>
        <v>148</v>
      </c>
      <c r="G118" s="1143">
        <f>SUM(G19+G92)</f>
        <v>148</v>
      </c>
      <c r="H118" s="1133">
        <f>SUM(G118+'[3]1'!G96)</f>
        <v>197</v>
      </c>
      <c r="I118" s="1142"/>
      <c r="J118" s="1144">
        <f>H118/DAY(B2)</f>
        <v>8.2083333333333339</v>
      </c>
      <c r="N118" s="1177"/>
      <c r="O118" s="1009"/>
    </row>
    <row r="119" spans="1:15" s="927" customFormat="1">
      <c r="A119" s="1581" t="s">
        <v>239</v>
      </c>
      <c r="B119" s="1582"/>
      <c r="C119" s="1140"/>
      <c r="D119" s="1141" t="s">
        <v>155</v>
      </c>
      <c r="E119" s="1142"/>
      <c r="F119" s="1143">
        <f>SUM(G95,G96,G97,G99,G100)</f>
        <v>121</v>
      </c>
      <c r="G119" s="1143">
        <f>SUM(G95,G96,G97,G99,G100)</f>
        <v>121</v>
      </c>
      <c r="H119" s="1133">
        <f>SUM(G119+'[3]1'!G98)</f>
        <v>153</v>
      </c>
      <c r="I119" s="1142"/>
      <c r="J119" s="1144">
        <f>H119/DAY(B2)</f>
        <v>6.375</v>
      </c>
      <c r="N119" s="1177"/>
      <c r="O119" s="1009"/>
    </row>
    <row r="120" spans="1:15" s="927" customFormat="1">
      <c r="A120" s="1581" t="s">
        <v>240</v>
      </c>
      <c r="B120" s="1582"/>
      <c r="C120" s="1140"/>
      <c r="D120" s="1141" t="s">
        <v>155</v>
      </c>
      <c r="E120" s="1142"/>
      <c r="F120" s="1136">
        <f>SUM(G112)</f>
        <v>96</v>
      </c>
      <c r="G120" s="1136">
        <f>SUM(G112)</f>
        <v>96</v>
      </c>
      <c r="H120" s="1133">
        <f>SUM(G120+'[3]1'!G100)</f>
        <v>96</v>
      </c>
      <c r="I120" s="1142"/>
      <c r="J120" s="1144">
        <f>H120/DAY(B2)</f>
        <v>4</v>
      </c>
      <c r="N120" s="1177"/>
      <c r="O120" s="1009"/>
    </row>
    <row r="121" spans="1:15" s="1054" customFormat="1">
      <c r="A121" s="1575"/>
      <c r="B121" s="1576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599" t="s">
        <v>241</v>
      </c>
      <c r="B122" s="1600"/>
      <c r="C122" s="160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'[3]23'!F123</f>
        <v>787430.76</v>
      </c>
      <c r="F123" s="1021">
        <v>787625</v>
      </c>
      <c r="G123" s="1004">
        <f t="shared" ref="G123:G127" si="13">F123-E123</f>
        <v>194.23999999999069</v>
      </c>
      <c r="H123" s="1005">
        <f>G123+'[3]23'!H123</f>
        <v>4700.1139999999432</v>
      </c>
      <c r="I123" s="1120"/>
      <c r="J123" s="1007">
        <f>H123/DAY(B2)</f>
        <v>195.83808333333096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'[3]23'!F124</f>
        <v>73581.899999999994</v>
      </c>
      <c r="F124" s="1148">
        <v>73581.899999999994</v>
      </c>
      <c r="G124" s="1004">
        <f t="shared" si="13"/>
        <v>0</v>
      </c>
      <c r="H124" s="1005">
        <f>G124+'[3]23'!H124</f>
        <v>0.89999999999417923</v>
      </c>
      <c r="I124" s="1120"/>
      <c r="J124" s="1007">
        <f>H124/DAY(B2)</f>
        <v>3.749999999975747E-2</v>
      </c>
      <c r="K124" s="1102"/>
      <c r="L124" s="982"/>
      <c r="O124" s="1009"/>
    </row>
    <row r="125" spans="1:15">
      <c r="A125" s="1593" t="s">
        <v>244</v>
      </c>
      <c r="B125" s="1594"/>
      <c r="C125" s="1595"/>
      <c r="D125" s="1002" t="s">
        <v>152</v>
      </c>
      <c r="E125" s="1003">
        <f>'[3]23'!F125</f>
        <v>132535.67999999999</v>
      </c>
      <c r="F125" s="1021">
        <v>132594.57</v>
      </c>
      <c r="G125" s="1004">
        <f t="shared" si="13"/>
        <v>58.89000000001397</v>
      </c>
      <c r="H125" s="1005">
        <f>G125+'[3]23'!H125</f>
        <v>1488.3500000000058</v>
      </c>
      <c r="I125" s="1120"/>
      <c r="J125" s="1007">
        <f>H125/DAY(B2)</f>
        <v>62.014583333333576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'[3]23'!F126</f>
        <v>56169.7</v>
      </c>
      <c r="F126" s="1037">
        <v>56191</v>
      </c>
      <c r="G126" s="1004">
        <f t="shared" si="13"/>
        <v>21.30000000000291</v>
      </c>
      <c r="H126" s="1005">
        <f>G126+'[3]23'!H126</f>
        <v>605.19999999999709</v>
      </c>
      <c r="I126" s="1120"/>
      <c r="J126" s="1007">
        <f>H126/DAY(B2)</f>
        <v>25.216666666666544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'[3]23'!F127</f>
        <v>8640.1</v>
      </c>
      <c r="F127" s="1148">
        <v>8640.1</v>
      </c>
      <c r="G127" s="1004">
        <f t="shared" si="13"/>
        <v>0</v>
      </c>
      <c r="H127" s="1005">
        <f>G127+'[3]23'!H127</f>
        <v>1.1000000000003638</v>
      </c>
      <c r="I127" s="1024"/>
      <c r="J127" s="1007">
        <f>H127/DAY(B2)</f>
        <v>4.5833333333348492E-2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338.73999999991793</v>
      </c>
      <c r="H128" s="1005">
        <f>G128+'[3]23'!H128</f>
        <v>2540.465000000062</v>
      </c>
      <c r="I128" s="1024"/>
      <c r="J128" s="1007">
        <f>H128/DAY(B2)</f>
        <v>105.85270833333591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'[3]23'!F130</f>
        <v>0</v>
      </c>
      <c r="F130" s="1033">
        <v>0</v>
      </c>
      <c r="G130" s="1004">
        <f t="shared" ref="G130:G140" si="14">F130-E130</f>
        <v>0</v>
      </c>
      <c r="H130" s="1005">
        <f>G130+'[3]23'!H130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'[3]23'!F131</f>
        <v>0</v>
      </c>
      <c r="F131" s="1033">
        <v>0</v>
      </c>
      <c r="G131" s="1004">
        <f t="shared" si="14"/>
        <v>0</v>
      </c>
      <c r="H131" s="1005">
        <f>G131+'[3]23'!H131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'[3]23'!F132</f>
        <v>38877</v>
      </c>
      <c r="F132" s="1153">
        <v>38877</v>
      </c>
      <c r="G132" s="1004">
        <f t="shared" si="14"/>
        <v>0</v>
      </c>
      <c r="H132" s="1005">
        <f>G132+'[3]23'!H132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'[3]23'!F133</f>
        <v>34948</v>
      </c>
      <c r="F133" s="1153">
        <v>34948</v>
      </c>
      <c r="G133" s="1004">
        <f t="shared" si="14"/>
        <v>0</v>
      </c>
      <c r="H133" s="1005">
        <f>G133+'[3]23'!H133</f>
        <v>0</v>
      </c>
      <c r="I133" s="1024">
        <f>G132+G133+G134+G135</f>
        <v>24.200000000000728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'[3]23'!F134</f>
        <v>39735</v>
      </c>
      <c r="F134" s="1153">
        <v>39735</v>
      </c>
      <c r="G134" s="1004">
        <f t="shared" si="14"/>
        <v>0</v>
      </c>
      <c r="H134" s="1005">
        <f>G134+'[3]23'!H134</f>
        <v>24</v>
      </c>
      <c r="I134" s="1024"/>
      <c r="J134" s="1007">
        <f>H134/DAY(B2)</f>
        <v>1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'[3]23'!F135</f>
        <v>31548.03</v>
      </c>
      <c r="F135" s="1153">
        <v>31572.23</v>
      </c>
      <c r="G135" s="1004">
        <f t="shared" si="14"/>
        <v>24.200000000000728</v>
      </c>
      <c r="H135" s="1005">
        <f>G135+'[3]23'!H135</f>
        <v>37.200000000000728</v>
      </c>
      <c r="I135" s="1024"/>
      <c r="J135" s="1007">
        <f>H135/DAY(B2)</f>
        <v>1.5500000000000302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'[3]23'!F136</f>
        <v>21644.06</v>
      </c>
      <c r="F136" s="1153">
        <v>21647.42</v>
      </c>
      <c r="G136" s="1004">
        <f t="shared" si="14"/>
        <v>3.3599999999969441</v>
      </c>
      <c r="H136" s="1005">
        <f>G136+'[3]23'!H136</f>
        <v>49.389999999999418</v>
      </c>
      <c r="I136" s="1024">
        <f>G134+G135+G136</f>
        <v>27.559999999997672</v>
      </c>
      <c r="J136" s="1007">
        <f>H136/DAY(B2)</f>
        <v>2.0579166666666424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'[3]23'!F137</f>
        <v>24928.97</v>
      </c>
      <c r="F137" s="1153">
        <v>24931.62</v>
      </c>
      <c r="G137" s="1004">
        <f t="shared" si="14"/>
        <v>2.6499999999978172</v>
      </c>
      <c r="H137" s="1005">
        <f>G137+'[3]23'!H137</f>
        <v>10.649999999997817</v>
      </c>
      <c r="I137" s="1024"/>
      <c r="J137" s="1007">
        <f>H137/DAY(B2)</f>
        <v>0.44374999999990905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'[3]23'!F138</f>
        <v>69943.91</v>
      </c>
      <c r="F138" s="1153">
        <v>69943.91</v>
      </c>
      <c r="G138" s="1004">
        <f t="shared" si="14"/>
        <v>0</v>
      </c>
      <c r="H138" s="1005">
        <f>G138+'[3]23'!H138</f>
        <v>15</v>
      </c>
      <c r="I138" s="1024">
        <f>G137+G138</f>
        <v>2.6499999999978172</v>
      </c>
      <c r="J138" s="1007">
        <f>H138/DAY(B2)</f>
        <v>0.625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'[3]23'!F139</f>
        <v>902.12</v>
      </c>
      <c r="F139" s="1033">
        <v>907.55</v>
      </c>
      <c r="G139" s="1004">
        <f t="shared" si="14"/>
        <v>5.42999999999995</v>
      </c>
      <c r="H139" s="1005">
        <f>G139+'[3]23'!H139</f>
        <v>131.12</v>
      </c>
      <c r="I139" s="1154"/>
      <c r="J139" s="1007">
        <f>H139/DAY(B2)</f>
        <v>5.4633333333333338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'[3]23'!F140</f>
        <v>4156.8999999999996</v>
      </c>
      <c r="F140" s="1033">
        <v>4156.8999999999996</v>
      </c>
      <c r="G140" s="1004">
        <f t="shared" si="14"/>
        <v>0</v>
      </c>
      <c r="H140" s="1005">
        <f>G140+'[3]23'!H140</f>
        <v>2.6299999999991996</v>
      </c>
      <c r="I140" s="1154"/>
      <c r="J140" s="1007">
        <f>H140/DAY(B2)</f>
        <v>0.10958333333329999</v>
      </c>
      <c r="O140" s="1009"/>
    </row>
    <row r="141" spans="1:15">
      <c r="A141" s="1602" t="s">
        <v>261</v>
      </c>
      <c r="B141" s="160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587" t="s">
        <v>262</v>
      </c>
      <c r="B142" s="1588"/>
      <c r="C142" s="1589"/>
      <c r="D142" s="1002" t="s">
        <v>143</v>
      </c>
      <c r="E142" s="1002"/>
      <c r="F142" s="1002"/>
      <c r="G142" s="1005">
        <f>G35+G43+G49+G57</f>
        <v>4723.5899999999674</v>
      </c>
      <c r="H142" s="1005">
        <f>G142+'[3]23'!H142</f>
        <v>116256.83900000004</v>
      </c>
      <c r="I142" s="1024"/>
      <c r="J142" s="1007">
        <f>H142/DAY(B2)</f>
        <v>4844.0349583333345</v>
      </c>
      <c r="K142" s="1102"/>
      <c r="L142" s="982"/>
      <c r="O142" s="1009"/>
    </row>
    <row r="143" spans="1:15">
      <c r="A143" s="1587" t="s">
        <v>263</v>
      </c>
      <c r="B143" s="1588"/>
      <c r="C143" s="1589"/>
      <c r="D143" s="1002" t="s">
        <v>24</v>
      </c>
      <c r="E143" s="989"/>
      <c r="F143" s="989"/>
      <c r="G143" s="1155">
        <f>G142/G7</f>
        <v>0.26771650419405846</v>
      </c>
      <c r="H143" s="1005">
        <f>G143+'[3]23'!H143</f>
        <v>5.8177757331372693</v>
      </c>
      <c r="I143" s="1156"/>
      <c r="J143" s="1007">
        <f>H143/DAY(B2)</f>
        <v>0.24240732221405289</v>
      </c>
      <c r="K143" s="1102"/>
      <c r="L143" s="982"/>
      <c r="O143" s="1009"/>
    </row>
    <row r="144" spans="1:15">
      <c r="A144" s="1587" t="s">
        <v>264</v>
      </c>
      <c r="B144" s="1588"/>
      <c r="C144" s="1589"/>
      <c r="D144" s="1002" t="s">
        <v>143</v>
      </c>
      <c r="E144" s="1003"/>
      <c r="F144" s="1003"/>
      <c r="G144" s="1005">
        <f>G41+G42+G55+G56</f>
        <v>3514.7200000000303</v>
      </c>
      <c r="H144" s="1005">
        <f>G144+'[3]23'!H144</f>
        <v>104423.47000000012</v>
      </c>
      <c r="I144" s="1024"/>
      <c r="J144" s="1007">
        <f>H144/DAY(B2)</f>
        <v>4350.9779166666713</v>
      </c>
      <c r="K144" s="1102"/>
      <c r="L144" s="982"/>
      <c r="O144" s="1009"/>
    </row>
    <row r="145" spans="1:15">
      <c r="A145" s="1587" t="s">
        <v>265</v>
      </c>
      <c r="B145" s="1588"/>
      <c r="C145" s="1589"/>
      <c r="D145" s="1002" t="s">
        <v>24</v>
      </c>
      <c r="E145" s="1003"/>
      <c r="F145" s="1003"/>
      <c r="G145" s="1155">
        <f>G144/G7</f>
        <v>0.19920199501247055</v>
      </c>
      <c r="H145" s="1005">
        <f>G145+'[3]23'!H145</f>
        <v>5.3908027794359255</v>
      </c>
      <c r="I145" s="1156"/>
      <c r="J145" s="1007">
        <f>H145/DAY(B2)</f>
        <v>0.22461678247649688</v>
      </c>
      <c r="K145" s="1102"/>
      <c r="L145" s="982"/>
      <c r="O145" s="1009"/>
    </row>
    <row r="146" spans="1:15">
      <c r="A146" s="1587" t="s">
        <v>266</v>
      </c>
      <c r="B146" s="1588"/>
      <c r="C146" s="1589"/>
      <c r="D146" s="1002" t="s">
        <v>143</v>
      </c>
      <c r="E146" s="1003"/>
      <c r="F146" s="1003"/>
      <c r="G146" s="1005">
        <f>G39+G53</f>
        <v>4093.3599999999988</v>
      </c>
      <c r="H146" s="1005">
        <f>G146+'[3]23'!H146</f>
        <v>71524.430000000051</v>
      </c>
      <c r="I146" s="1157"/>
      <c r="J146" s="1007">
        <f>H146/DAY(B2)</f>
        <v>2980.1845833333355</v>
      </c>
      <c r="K146" s="1102"/>
      <c r="L146" s="982"/>
      <c r="O146" s="1009"/>
    </row>
    <row r="147" spans="1:15">
      <c r="A147" s="1587" t="s">
        <v>267</v>
      </c>
      <c r="B147" s="1588"/>
      <c r="C147" s="1589"/>
      <c r="D147" s="1002" t="s">
        <v>24</v>
      </c>
      <c r="E147" s="1003"/>
      <c r="F147" s="1003"/>
      <c r="G147" s="1155">
        <f>G146/G7</f>
        <v>0.23199727952845153</v>
      </c>
      <c r="H147" s="1005">
        <f>G147+'[3]23'!H147</f>
        <v>3.6554203939646337</v>
      </c>
      <c r="I147" s="1157"/>
      <c r="J147" s="1007">
        <f>H147/DAY(B2)</f>
        <v>0.15230918308185973</v>
      </c>
      <c r="O147" s="1009"/>
    </row>
    <row r="148" spans="1:15">
      <c r="A148" s="1587" t="s">
        <v>268</v>
      </c>
      <c r="B148" s="1588"/>
      <c r="C148" s="1589"/>
      <c r="D148" s="1002" t="s">
        <v>194</v>
      </c>
      <c r="E148" s="1003"/>
      <c r="F148" s="1003"/>
      <c r="G148" s="1005">
        <f>G38+G52</f>
        <v>1780.5599999999977</v>
      </c>
      <c r="H148" s="1005">
        <f>G148+'[3]23'!H148</f>
        <v>41772.159999999974</v>
      </c>
      <c r="I148" s="1024"/>
      <c r="J148" s="1007">
        <f>H148/DAY(B2)</f>
        <v>1740.5066666666655</v>
      </c>
      <c r="K148" s="1158"/>
      <c r="O148" s="1009"/>
    </row>
    <row r="149" spans="1:15">
      <c r="A149" s="1587" t="s">
        <v>269</v>
      </c>
      <c r="B149" s="1588"/>
      <c r="C149" s="1589"/>
      <c r="D149" s="1002" t="s">
        <v>24</v>
      </c>
      <c r="E149" s="1003"/>
      <c r="F149" s="1003"/>
      <c r="G149" s="1155">
        <f>G148/G7</f>
        <v>0.10091589208796178</v>
      </c>
      <c r="H149" s="1005">
        <f>G149+'[3]23'!H149</f>
        <v>2.1543890879635352</v>
      </c>
      <c r="I149" s="1157"/>
      <c r="J149" s="1007">
        <f>H149/DAY(B2)</f>
        <v>8.976621199848063E-2</v>
      </c>
      <c r="O149" s="1009"/>
    </row>
    <row r="150" spans="1:15">
      <c r="A150" s="1587" t="s">
        <v>270</v>
      </c>
      <c r="B150" s="1588"/>
      <c r="C150" s="1589"/>
      <c r="D150" s="1002" t="s">
        <v>194</v>
      </c>
      <c r="E150" s="1003"/>
      <c r="F150" s="1003"/>
      <c r="G150" s="1005">
        <f>G36+G50</f>
        <v>1523.6800000000221</v>
      </c>
      <c r="H150" s="1005">
        <f>G150+'[3]23'!H150</f>
        <v>38337.56</v>
      </c>
      <c r="I150" s="1157"/>
      <c r="J150" s="1007">
        <f>H150/DAY(B2)</f>
        <v>1597.3983333333333</v>
      </c>
      <c r="O150" s="1009"/>
    </row>
    <row r="151" spans="1:15">
      <c r="A151" s="1587" t="s">
        <v>271</v>
      </c>
      <c r="B151" s="1588"/>
      <c r="C151" s="1589"/>
      <c r="D151" s="1002" t="s">
        <v>24</v>
      </c>
      <c r="E151" s="1003"/>
      <c r="F151" s="1003"/>
      <c r="G151" s="1155">
        <f>G150/G7</f>
        <v>8.6356835184766612E-2</v>
      </c>
      <c r="H151" s="1005">
        <f>G151+'[3]23'!H151</f>
        <v>1.9742223601691611</v>
      </c>
      <c r="I151" s="1024"/>
      <c r="J151" s="1007">
        <f>H151/DAY(B2)</f>
        <v>8.2259265007048374E-2</v>
      </c>
      <c r="O151" s="1009"/>
    </row>
    <row r="152" spans="1:15">
      <c r="A152" s="1587" t="s">
        <v>272</v>
      </c>
      <c r="B152" s="1588"/>
      <c r="C152" s="1589"/>
      <c r="D152" s="1002" t="s">
        <v>194</v>
      </c>
      <c r="E152" s="1003"/>
      <c r="F152" s="1003"/>
      <c r="G152" s="1005">
        <f>G37+G51</f>
        <v>1360.5900000000001</v>
      </c>
      <c r="H152" s="1005">
        <f>G152+'[3]23'!H152</f>
        <v>33885.281900000002</v>
      </c>
      <c r="I152" s="1024"/>
      <c r="J152" s="1007">
        <f>H152/DAY(B2)</f>
        <v>1411.8867458333334</v>
      </c>
      <c r="O152" s="1009"/>
    </row>
    <row r="153" spans="1:15" ht="21" thickBot="1">
      <c r="A153" s="1590" t="s">
        <v>273</v>
      </c>
      <c r="B153" s="1591"/>
      <c r="C153" s="1592"/>
      <c r="D153" s="1159" t="s">
        <v>24</v>
      </c>
      <c r="E153" s="1160"/>
      <c r="F153" s="1160"/>
      <c r="G153" s="1161">
        <f>G152/G7</f>
        <v>7.711346633416459E-2</v>
      </c>
      <c r="H153" s="1005">
        <f>G153+'[3]23'!H153</f>
        <v>1.7523070918743151</v>
      </c>
      <c r="I153" s="1162"/>
      <c r="J153" s="1163">
        <f>H153/DAY(B2)</f>
        <v>7.3012795494763125E-2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'[3]23'!F160</f>
        <v>23331.8</v>
      </c>
      <c r="F160" s="1178">
        <v>23404.49</v>
      </c>
      <c r="G160" s="1004">
        <f t="shared" ref="G160:G171" si="15">F160-E160</f>
        <v>72.690000000002328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'[3]23'!F161</f>
        <v>5961.58</v>
      </c>
      <c r="F161" s="1178">
        <v>6580.57</v>
      </c>
      <c r="G161" s="1004">
        <f t="shared" si="15"/>
        <v>618.98999999999978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'[3]23'!F162</f>
        <v>1144.6099999999999</v>
      </c>
      <c r="F162" s="1178">
        <v>1413</v>
      </c>
      <c r="G162" s="1004">
        <f t="shared" si="15"/>
        <v>268.3900000000001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'[3]23'!F163</f>
        <v>3406.63</v>
      </c>
      <c r="F163" s="1178">
        <v>3417.11</v>
      </c>
      <c r="G163" s="1004">
        <f t="shared" si="15"/>
        <v>10.480000000000018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</v>
      </c>
      <c r="F164" s="1085">
        <f>F62</f>
        <v>20419.18</v>
      </c>
      <c r="G164" s="1004">
        <f t="shared" si="15"/>
        <v>0.18000000000029104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6">E63</f>
        <v>741.94</v>
      </c>
      <c r="F165" s="1085">
        <f t="shared" si="16"/>
        <v>758.38</v>
      </c>
      <c r="G165" s="1004">
        <f t="shared" si="15"/>
        <v>16.439999999999941</v>
      </c>
    </row>
    <row r="166" spans="1:7" ht="21.75" customHeight="1">
      <c r="A166" s="1574" t="s">
        <v>107</v>
      </c>
      <c r="B166" s="1574"/>
      <c r="C166" s="1574"/>
      <c r="D166" s="1002" t="s">
        <v>198</v>
      </c>
      <c r="E166" s="1085">
        <f t="shared" si="16"/>
        <v>84180.47</v>
      </c>
      <c r="F166" s="1085">
        <f t="shared" si="16"/>
        <v>84540.35</v>
      </c>
      <c r="G166" s="1004">
        <f t="shared" si="15"/>
        <v>359.88000000000466</v>
      </c>
    </row>
    <row r="167" spans="1:7" ht="21.75" customHeight="1">
      <c r="A167" s="1574" t="s">
        <v>108</v>
      </c>
      <c r="B167" s="1574"/>
      <c r="C167" s="1574"/>
      <c r="D167" s="1002" t="s">
        <v>198</v>
      </c>
      <c r="E167" s="1085">
        <f t="shared" si="16"/>
        <v>93930.01</v>
      </c>
      <c r="F167" s="1085">
        <f t="shared" si="16"/>
        <v>94324.89</v>
      </c>
      <c r="G167" s="1004">
        <f t="shared" si="15"/>
        <v>394.88000000000466</v>
      </c>
    </row>
    <row r="168" spans="1:7" ht="21.75" customHeight="1">
      <c r="A168" s="1574" t="s">
        <v>109</v>
      </c>
      <c r="B168" s="1574"/>
      <c r="C168" s="1574"/>
      <c r="D168" s="1002" t="s">
        <v>198</v>
      </c>
      <c r="E168" s="1085">
        <f t="shared" si="16"/>
        <v>87184.03</v>
      </c>
      <c r="F168" s="1085">
        <f t="shared" si="16"/>
        <v>87605.47</v>
      </c>
      <c r="G168" s="1004">
        <f t="shared" si="15"/>
        <v>421.44000000000233</v>
      </c>
    </row>
    <row r="169" spans="1:7">
      <c r="A169" s="1574" t="s">
        <v>110</v>
      </c>
      <c r="B169" s="1574"/>
      <c r="C169" s="1574"/>
      <c r="D169" s="1002" t="s">
        <v>198</v>
      </c>
      <c r="E169" s="1085">
        <f t="shared" si="16"/>
        <v>140946.51</v>
      </c>
      <c r="F169" s="1085">
        <f t="shared" si="16"/>
        <v>141620.29999999999</v>
      </c>
      <c r="G169" s="1004">
        <f t="shared" si="15"/>
        <v>673.78999999997905</v>
      </c>
    </row>
    <row r="170" spans="1:7" ht="24" customHeight="1">
      <c r="A170" s="1574" t="s">
        <v>111</v>
      </c>
      <c r="B170" s="1574"/>
      <c r="C170" s="1574"/>
      <c r="D170" s="1002" t="s">
        <v>198</v>
      </c>
      <c r="E170" s="1085">
        <f t="shared" si="16"/>
        <v>40671.910000000003</v>
      </c>
      <c r="F170" s="1085">
        <f t="shared" si="16"/>
        <v>41031.15</v>
      </c>
      <c r="G170" s="1004">
        <f t="shared" si="15"/>
        <v>359.23999999999796</v>
      </c>
    </row>
    <row r="171" spans="1:7">
      <c r="A171" s="1574" t="s">
        <v>112</v>
      </c>
      <c r="B171" s="1574"/>
      <c r="C171" s="1574"/>
      <c r="D171" s="1002" t="s">
        <v>198</v>
      </c>
      <c r="E171" s="1085">
        <f t="shared" si="16"/>
        <v>35539.67</v>
      </c>
      <c r="F171" s="1085">
        <f t="shared" si="16"/>
        <v>35830.19</v>
      </c>
      <c r="G171" s="1004">
        <f t="shared" si="15"/>
        <v>290.52000000000407</v>
      </c>
    </row>
    <row r="172" spans="1:7">
      <c r="G172" s="1169">
        <f>SUM(G160:G171)</f>
        <v>3486.9199999999951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94" zoomScale="70" zoomScaleNormal="49" zoomScaleSheetLayoutView="70" workbookViewId="0">
      <selection activeCell="A94" sqref="A1:XFD1048576"/>
    </sheetView>
  </sheetViews>
  <sheetFormatPr defaultColWidth="22.33203125" defaultRowHeight="20.25"/>
  <cols>
    <col min="1" max="1" width="47.109375" style="1167" customWidth="1"/>
    <col min="2" max="2" width="24.88671875" style="1167" customWidth="1"/>
    <col min="3" max="3" width="12.44140625" style="1167" customWidth="1"/>
    <col min="4" max="4" width="12.10937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15.21875" style="1170" customWidth="1"/>
    <col min="15" max="15" width="10.77734375" style="969" customWidth="1"/>
    <col min="16" max="16384" width="22.33203125" style="969"/>
  </cols>
  <sheetData>
    <row r="1" spans="1:15" ht="22.5">
      <c r="A1" s="1616" t="s">
        <v>128</v>
      </c>
      <c r="B1" s="1617"/>
      <c r="C1" s="1617"/>
      <c r="D1" s="1617"/>
      <c r="E1" s="1617"/>
      <c r="F1" s="1617"/>
      <c r="G1" s="1617"/>
      <c r="H1" s="1617"/>
      <c r="I1" s="1617"/>
      <c r="J1" s="1618"/>
    </row>
    <row r="2" spans="1:15">
      <c r="A2" s="970" t="s">
        <v>279</v>
      </c>
      <c r="B2" s="1242">
        <v>44160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1">
        <v>31</v>
      </c>
      <c r="E3" s="1625" t="s">
        <v>132</v>
      </c>
      <c r="F3" s="1626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1183">
        <v>0.8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19" t="s">
        <v>141</v>
      </c>
      <c r="B6" s="1620"/>
      <c r="C6" s="162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'[3]24'!F7</f>
        <v>2550696</v>
      </c>
      <c r="F7" s="1003">
        <v>2569010</v>
      </c>
      <c r="G7" s="1004">
        <f>F7-E7</f>
        <v>18314</v>
      </c>
      <c r="H7" s="1005">
        <f>G7+'[3]24'!H7</f>
        <v>463985</v>
      </c>
      <c r="I7" s="1006">
        <f>'[3]1'!I7</f>
        <v>12000</v>
      </c>
      <c r="J7" s="1007">
        <f>H7/DAY(B2)</f>
        <v>18559.400000000001</v>
      </c>
      <c r="K7" s="1008"/>
      <c r="L7" s="982"/>
      <c r="N7" s="1181">
        <v>20884</v>
      </c>
      <c r="O7" s="1009">
        <f>G7-N7</f>
        <v>-2570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'[3]24'!F8</f>
        <v>2563900</v>
      </c>
      <c r="F8" s="1014">
        <v>2582527</v>
      </c>
      <c r="G8" s="1015">
        <f>F8-E8</f>
        <v>18627</v>
      </c>
      <c r="H8" s="1005">
        <f>G8+'[3]24'!H8</f>
        <v>467086</v>
      </c>
      <c r="I8" s="1016">
        <f>'[3]1'!I8</f>
        <v>12000</v>
      </c>
      <c r="J8" s="1007">
        <f>H8/DAY(B2)</f>
        <v>18683.439999999999</v>
      </c>
      <c r="K8" s="1008">
        <v>1375467</v>
      </c>
      <c r="L8" s="1017">
        <v>1667461</v>
      </c>
      <c r="M8" s="1018"/>
      <c r="N8" s="1170">
        <v>20954</v>
      </c>
      <c r="O8" s="1009">
        <f t="shared" ref="O8:O13" si="0">G8-N8</f>
        <v>-2327</v>
      </c>
    </row>
    <row r="9" spans="1:15">
      <c r="A9" s="1019" t="s">
        <v>145</v>
      </c>
      <c r="B9" s="1020"/>
      <c r="C9" s="1020"/>
      <c r="D9" s="1002" t="s">
        <v>143</v>
      </c>
      <c r="E9" s="1003">
        <f>'[3]24'!F9</f>
        <v>2238125.5</v>
      </c>
      <c r="F9" s="1021">
        <v>2240961.5</v>
      </c>
      <c r="G9" s="1004">
        <f t="shared" ref="G9:G12" si="1">F9-E9</f>
        <v>2836</v>
      </c>
      <c r="H9" s="1005">
        <f>G9+'[3]24'!H9</f>
        <v>223956.19999999995</v>
      </c>
      <c r="I9" s="1022">
        <f>I8-J8</f>
        <v>-6683.4399999999987</v>
      </c>
      <c r="J9" s="1007">
        <f>H9/DAY(B2)</f>
        <v>8958.2479999999978</v>
      </c>
      <c r="K9" s="1023"/>
      <c r="L9" s="982"/>
      <c r="N9" s="1170">
        <v>20166</v>
      </c>
      <c r="O9" s="1009">
        <f t="shared" si="0"/>
        <v>-17330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'[3]24'!F10</f>
        <v>208445.77</v>
      </c>
      <c r="F10" s="1021">
        <v>223240.95</v>
      </c>
      <c r="G10" s="1004">
        <f t="shared" si="1"/>
        <v>14795.180000000022</v>
      </c>
      <c r="H10" s="1005">
        <f>G10+'[3]24'!H10</f>
        <v>223241.16000000003</v>
      </c>
      <c r="I10" s="1024"/>
      <c r="J10" s="1007">
        <f>H10/DAY(B2)</f>
        <v>8929.6464000000014</v>
      </c>
      <c r="K10" s="1023"/>
      <c r="L10" s="982">
        <f>L8-K8</f>
        <v>291994</v>
      </c>
      <c r="N10" s="1170">
        <v>0</v>
      </c>
      <c r="O10" s="1009">
        <f t="shared" si="0"/>
        <v>14795.180000000022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'[3]24'!F11</f>
        <v>35390</v>
      </c>
      <c r="F11" s="1003">
        <v>35390</v>
      </c>
      <c r="G11" s="1004">
        <f t="shared" si="1"/>
        <v>0</v>
      </c>
      <c r="H11" s="1005">
        <f>G11+'[3]24'!H11</f>
        <v>0</v>
      </c>
      <c r="I11" s="1024"/>
      <c r="J11" s="1007">
        <f>H11/DAY(B2)</f>
        <v>0</v>
      </c>
      <c r="K11" s="1023"/>
      <c r="L11" s="982"/>
      <c r="N11" s="1182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'[3]24'!F12</f>
        <v>37630</v>
      </c>
      <c r="F12" s="1021">
        <v>37630</v>
      </c>
      <c r="G12" s="1004">
        <f t="shared" si="1"/>
        <v>0</v>
      </c>
      <c r="H12" s="1005">
        <f>G12+'[3]24'!H12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17631.180000000022</v>
      </c>
      <c r="H13" s="1005">
        <f>G13+'[3]24'!H13</f>
        <v>392933.56000000006</v>
      </c>
      <c r="I13" s="1028">
        <f>G7-G13</f>
        <v>682.81999999997788</v>
      </c>
      <c r="J13" s="1007">
        <f>H13/DAY(B2)</f>
        <v>15717.342400000001</v>
      </c>
      <c r="K13" s="1023"/>
      <c r="L13" s="982">
        <f>L10-H7</f>
        <v>-171991</v>
      </c>
      <c r="N13" s="1170">
        <v>20166</v>
      </c>
      <c r="O13" s="1009">
        <f t="shared" si="0"/>
        <v>-2534.8199999999779</v>
      </c>
    </row>
    <row r="14" spans="1:15">
      <c r="A14" s="1622" t="s">
        <v>150</v>
      </c>
      <c r="B14" s="1623"/>
      <c r="C14" s="1624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'[3]24'!F15</f>
        <v>1543160.2</v>
      </c>
      <c r="F15" s="1033">
        <v>1543677.08</v>
      </c>
      <c r="G15" s="1179">
        <f>(F15-E15)</f>
        <v>516.88000000012107</v>
      </c>
      <c r="H15" s="1005">
        <f>G15+'[3]24'!H15</f>
        <v>13561.886000000173</v>
      </c>
      <c r="I15" s="1006">
        <f>'[3]1'!I15</f>
        <v>800</v>
      </c>
      <c r="J15" s="1007">
        <f>H15/DAY(B2)</f>
        <v>542.47544000000698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257.52455999999302</v>
      </c>
      <c r="J16" s="1040"/>
      <c r="K16" s="1023"/>
      <c r="L16" s="982"/>
      <c r="O16" s="1009"/>
    </row>
    <row r="17" spans="1:15">
      <c r="A17" s="1622" t="s">
        <v>153</v>
      </c>
      <c r="B17" s="1623"/>
      <c r="C17" s="1624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587" t="s">
        <v>154</v>
      </c>
      <c r="B18" s="1588"/>
      <c r="C18" s="1589"/>
      <c r="D18" s="1002" t="s">
        <v>155</v>
      </c>
      <c r="E18" s="1003">
        <f>'[3]24'!F18</f>
        <v>12</v>
      </c>
      <c r="F18" s="1033">
        <v>10</v>
      </c>
      <c r="G18" s="1027">
        <f>F18*10</f>
        <v>100</v>
      </c>
      <c r="H18" s="1005">
        <f>G18+'[3]24'!H18</f>
        <v>2560</v>
      </c>
      <c r="I18" s="1006">
        <f>'[3]1'!I18</f>
        <v>65</v>
      </c>
      <c r="J18" s="1007">
        <f>H18/DAY(B2)</f>
        <v>102.4</v>
      </c>
      <c r="K18" s="1023"/>
      <c r="L18" s="982"/>
      <c r="O18" s="1009"/>
    </row>
    <row r="19" spans="1:15">
      <c r="A19" s="1587" t="s">
        <v>71</v>
      </c>
      <c r="B19" s="1588"/>
      <c r="C19" s="1589"/>
      <c r="D19" s="1002" t="s">
        <v>155</v>
      </c>
      <c r="E19" s="1003">
        <f>'[3]24'!F19</f>
        <v>129461</v>
      </c>
      <c r="F19" s="1033">
        <v>129516</v>
      </c>
      <c r="G19" s="1004">
        <f t="shared" ref="G19" si="2">F19-E19</f>
        <v>55</v>
      </c>
      <c r="H19" s="1005">
        <f>G19+'[3]24'!H19</f>
        <v>1321</v>
      </c>
      <c r="I19" s="1042"/>
      <c r="J19" s="1007">
        <f>H19/DAY(B2)</f>
        <v>52.84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155</v>
      </c>
      <c r="H20" s="1005">
        <f>G20+'[3]24'!H20</f>
        <v>3881</v>
      </c>
      <c r="I20" s="1045">
        <f>I18-J20</f>
        <v>-90.240000000000009</v>
      </c>
      <c r="J20" s="1007">
        <f>H20/DAY(B2)</f>
        <v>155.24</v>
      </c>
      <c r="K20" s="1023"/>
      <c r="L20" s="982"/>
      <c r="O20" s="1009"/>
    </row>
    <row r="21" spans="1:15">
      <c r="A21" s="1622" t="s">
        <v>157</v>
      </c>
      <c r="B21" s="1623"/>
      <c r="C21" s="1624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'[3]24'!F22</f>
        <v>2250</v>
      </c>
      <c r="F22" s="1033">
        <v>2250</v>
      </c>
      <c r="G22" s="1027">
        <f t="shared" ref="G22" si="3">(F22-E22)</f>
        <v>0</v>
      </c>
      <c r="H22" s="1005">
        <f>G22+'[3]24'!H22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'[3]24'!F23</f>
        <v>1700</v>
      </c>
      <c r="F23" s="1033">
        <v>1700</v>
      </c>
      <c r="G23" s="1027">
        <v>0</v>
      </c>
      <c r="H23" s="1005">
        <f>G23+'[3]24'!H23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'[3]24'!F24</f>
        <v>3310</v>
      </c>
      <c r="F24" s="1048">
        <v>3310</v>
      </c>
      <c r="G24" s="1027">
        <v>0</v>
      </c>
      <c r="H24" s="1005">
        <f>G24+'[3]24'!H24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19" t="s">
        <v>162</v>
      </c>
      <c r="B25" s="1620"/>
      <c r="C25" s="162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18627</v>
      </c>
      <c r="F27" s="641">
        <v>9.5</v>
      </c>
      <c r="G27" s="1064">
        <f>E27*F27</f>
        <v>176956.5</v>
      </c>
      <c r="H27" s="1005">
        <f>G27+'[3]24'!H27</f>
        <v>4437317</v>
      </c>
      <c r="I27" s="1065"/>
      <c r="J27" s="1007">
        <f>H27/DAY(B2)</f>
        <v>177492.68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516.88000000012107</v>
      </c>
      <c r="F28" s="641">
        <v>36.5</v>
      </c>
      <c r="G28" s="1064">
        <f>E28*F28</f>
        <v>18866.120000004419</v>
      </c>
      <c r="H28" s="1005">
        <f>G28+'[3]24'!H28</f>
        <v>495008.83900000632</v>
      </c>
      <c r="I28" s="1066"/>
      <c r="J28" s="1007">
        <f>H28/DAY(B2)</f>
        <v>19800.353560000254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G29+'[3]24'!H29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G30+'[3]24'!H30</f>
        <v>191545</v>
      </c>
      <c r="I30" s="1066"/>
      <c r="J30" s="1007">
        <f>H30/DAY(B2)</f>
        <v>7661.8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100</v>
      </c>
      <c r="F31" s="641">
        <v>80</v>
      </c>
      <c r="G31" s="1064">
        <f>E31*F31</f>
        <v>8000</v>
      </c>
      <c r="H31" s="1005">
        <f>G31+'[3]24'!H31</f>
        <v>204800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211797.62000000442</v>
      </c>
      <c r="H32" s="1005">
        <f>G32+'[3]24'!H32</f>
        <v>5328670.8390000062</v>
      </c>
      <c r="I32" s="1072"/>
      <c r="J32" s="1007">
        <f>H32/DAY(B2)</f>
        <v>213146.83356000026</v>
      </c>
      <c r="K32" s="1023"/>
      <c r="L32" s="1053"/>
      <c r="N32" s="1171"/>
      <c r="O32" s="1009"/>
    </row>
    <row r="33" spans="1:15" ht="18.75">
      <c r="A33" s="1627" t="s">
        <v>173</v>
      </c>
      <c r="B33" s="1628"/>
      <c r="C33" s="1628"/>
      <c r="D33" s="1628"/>
      <c r="E33" s="1628"/>
      <c r="F33" s="1628"/>
      <c r="G33" s="1628"/>
      <c r="H33" s="1628"/>
      <c r="I33" s="1628"/>
      <c r="J33" s="1629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'[3]24'!F35</f>
        <v>629027</v>
      </c>
      <c r="F35" s="1075">
        <v>629027</v>
      </c>
      <c r="G35" s="1004">
        <f t="shared" ref="G35:G46" si="4">F35-E35</f>
        <v>0</v>
      </c>
      <c r="H35" s="1005">
        <f>G35+'[3]24'!H35</f>
        <v>25857.530000000028</v>
      </c>
      <c r="I35" s="1003"/>
      <c r="J35" s="1007">
        <f>H35/DAY(B2)</f>
        <v>1034.301200000001</v>
      </c>
      <c r="K35" s="1023"/>
      <c r="L35" s="982"/>
      <c r="N35" s="1170">
        <v>2588.1600000000326</v>
      </c>
      <c r="O35" s="1009">
        <f>G35-N35</f>
        <v>-2588.1600000000326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'[3]24'!F36</f>
        <v>225111.93</v>
      </c>
      <c r="F36" s="1075">
        <v>225664.31</v>
      </c>
      <c r="G36" s="1004">
        <f t="shared" si="4"/>
        <v>552.38000000000466</v>
      </c>
      <c r="H36" s="1005">
        <f>G36+'[3]24'!H36</f>
        <v>14304.359999999986</v>
      </c>
      <c r="I36" s="1003"/>
      <c r="J36" s="1007">
        <f>H36/DAY(B2)</f>
        <v>572.17439999999942</v>
      </c>
      <c r="K36" s="1023"/>
      <c r="L36" s="982"/>
      <c r="N36" s="1170">
        <v>578.92000000001281</v>
      </c>
      <c r="O36" s="1009">
        <f t="shared" ref="O36:O60" si="5">G36-N36</f>
        <v>-26.540000000008149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'[3]24'!F37</f>
        <v>415066</v>
      </c>
      <c r="F37" s="1075">
        <v>415066</v>
      </c>
      <c r="G37" s="1004">
        <f t="shared" si="4"/>
        <v>0</v>
      </c>
      <c r="H37" s="1005">
        <f>G37+'[3]24'!H37</f>
        <v>15221.809999999998</v>
      </c>
      <c r="I37" s="1003"/>
      <c r="J37" s="1007">
        <f>H37/DAY(B2)</f>
        <v>608.87239999999986</v>
      </c>
      <c r="K37" s="1023"/>
      <c r="L37" s="982"/>
      <c r="N37" s="1170">
        <v>1568.320000000007</v>
      </c>
      <c r="O37" s="1009">
        <f t="shared" si="5"/>
        <v>-1568.320000000007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'[3]24'!F38</f>
        <v>150714.38</v>
      </c>
      <c r="F38" s="992">
        <v>150714.38</v>
      </c>
      <c r="G38" s="1004">
        <f t="shared" si="4"/>
        <v>0</v>
      </c>
      <c r="H38" s="1005">
        <f>G38+'[3]24'!H38</f>
        <v>0.38000000000465661</v>
      </c>
      <c r="I38" s="1003"/>
      <c r="J38" s="1007">
        <f>H38/DAY(B2)</f>
        <v>1.5200000000186264E-2</v>
      </c>
      <c r="K38" s="1023"/>
      <c r="L38" s="982"/>
      <c r="N38" s="1170">
        <v>0</v>
      </c>
      <c r="O38" s="1009">
        <f t="shared" si="5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'[3]24'!F39</f>
        <v>912480</v>
      </c>
      <c r="F39" s="1075">
        <v>912480</v>
      </c>
      <c r="G39" s="1004">
        <f t="shared" si="4"/>
        <v>0</v>
      </c>
      <c r="H39" s="1005">
        <f>G39+'[3]24'!H39</f>
        <v>40355.290000000037</v>
      </c>
      <c r="I39" s="1003"/>
      <c r="J39" s="1007">
        <f>H39/DAY(B2)</f>
        <v>1614.2116000000015</v>
      </c>
      <c r="K39" s="1023"/>
      <c r="L39" s="982"/>
      <c r="N39" s="1170">
        <v>3756</v>
      </c>
      <c r="O39" s="1009">
        <f t="shared" si="5"/>
        <v>-3756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'[3]24'!F40</f>
        <v>0</v>
      </c>
      <c r="F40" s="1075">
        <v>0</v>
      </c>
      <c r="G40" s="1004">
        <f t="shared" si="4"/>
        <v>0</v>
      </c>
      <c r="H40" s="1005">
        <f>G40+'[3]24'!H40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5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'[3]24'!F41</f>
        <v>300127.95</v>
      </c>
      <c r="F41" s="1075">
        <v>300127.95</v>
      </c>
      <c r="G41" s="1004">
        <f t="shared" si="4"/>
        <v>0</v>
      </c>
      <c r="H41" s="1005">
        <f>G41+'[3]24'!H41</f>
        <v>-1.9999999960418791E-2</v>
      </c>
      <c r="I41" s="1003"/>
      <c r="J41" s="1007">
        <f>H41/DAY(B2)</f>
        <v>-7.9999999841675164E-4</v>
      </c>
      <c r="K41" s="1023"/>
      <c r="L41" s="982"/>
      <c r="N41" s="1170">
        <v>0</v>
      </c>
      <c r="O41" s="1009">
        <f t="shared" si="5"/>
        <v>0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'[3]24'!F42</f>
        <v>396197.95</v>
      </c>
      <c r="F42" s="1075">
        <v>396197.95</v>
      </c>
      <c r="G42" s="1004">
        <f t="shared" si="4"/>
        <v>0</v>
      </c>
      <c r="H42" s="1005">
        <f>G42+'[3]24'!H42</f>
        <v>0.48000000003958121</v>
      </c>
      <c r="I42" s="1003"/>
      <c r="J42" s="1007">
        <f>H42/DAY(B2)</f>
        <v>1.9200000001583249E-2</v>
      </c>
      <c r="K42" s="1023"/>
      <c r="L42" s="982"/>
      <c r="N42" s="1170">
        <v>5814.7600000000093</v>
      </c>
      <c r="O42" s="1009">
        <f t="shared" si="5"/>
        <v>-5814.7600000000093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'[3]24'!F43</f>
        <v>615919.99</v>
      </c>
      <c r="F43" s="1075">
        <v>618333.51</v>
      </c>
      <c r="G43" s="1004">
        <f t="shared" si="4"/>
        <v>2413.5200000000186</v>
      </c>
      <c r="H43" s="1005">
        <f>G43+'[3]24'!H43</f>
        <v>60009.440000000061</v>
      </c>
      <c r="I43" s="1003"/>
      <c r="J43" s="1007">
        <f>H43/DAY(B2)</f>
        <v>2400.3776000000025</v>
      </c>
      <c r="K43" s="1023"/>
      <c r="L43" s="982"/>
      <c r="N43" s="1170">
        <v>2620.2800000000279</v>
      </c>
      <c r="O43" s="1009">
        <f t="shared" si="5"/>
        <v>-206.76000000000931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'[3]24'!F44</f>
        <v>0</v>
      </c>
      <c r="F44" s="1075">
        <v>0</v>
      </c>
      <c r="G44" s="1004">
        <f t="shared" si="4"/>
        <v>0</v>
      </c>
      <c r="H44" s="1005">
        <f>G44+'[3]24'!H44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5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'[3]24'!F45</f>
        <v>614</v>
      </c>
      <c r="F45" s="1075">
        <v>614</v>
      </c>
      <c r="G45" s="1004">
        <f t="shared" si="4"/>
        <v>0</v>
      </c>
      <c r="H45" s="1005">
        <f>G45+'[3]24'!H45</f>
        <v>-0.48000000000001819</v>
      </c>
      <c r="I45" s="1003"/>
      <c r="J45" s="1007">
        <f>H45/DAY(B2)</f>
        <v>-1.9200000000000727E-2</v>
      </c>
      <c r="K45" s="1023"/>
      <c r="L45" s="982"/>
      <c r="N45" s="1170">
        <v>0</v>
      </c>
      <c r="O45" s="1009">
        <f t="shared" si="5"/>
        <v>0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'[3]24'!F46</f>
        <v>187</v>
      </c>
      <c r="F46" s="1075">
        <v>187</v>
      </c>
      <c r="G46" s="1004">
        <f t="shared" si="4"/>
        <v>0</v>
      </c>
      <c r="H46" s="1005">
        <f>G46+'[3]24'!H46</f>
        <v>-0.49000000000000909</v>
      </c>
      <c r="I46" s="1003"/>
      <c r="J46" s="1007">
        <f>H46/DAY(B2)</f>
        <v>-1.9600000000000364E-2</v>
      </c>
      <c r="K46" s="1023"/>
      <c r="L46" s="982"/>
      <c r="N46" s="1170">
        <v>0</v>
      </c>
      <c r="O46" s="1009">
        <f t="shared" si="5"/>
        <v>0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2965.9000000000233</v>
      </c>
      <c r="H47" s="1005">
        <f>G47+'[3]24'!H47</f>
        <v>155748.30000000022</v>
      </c>
      <c r="I47" s="1003"/>
      <c r="J47" s="1007">
        <f>H47/DAY(B2)</f>
        <v>6229.9320000000089</v>
      </c>
      <c r="K47" s="1023"/>
      <c r="L47" s="982"/>
      <c r="N47" s="1172">
        <v>16926.44000000009</v>
      </c>
      <c r="O47" s="1009">
        <f t="shared" si="5"/>
        <v>-13960.540000000066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5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'[3]24'!F49</f>
        <v>46188.17</v>
      </c>
      <c r="F49" s="1075">
        <v>48600.28</v>
      </c>
      <c r="G49" s="1004">
        <f t="shared" ref="G49:G58" si="6">F49-E49</f>
        <v>2412.1100000000006</v>
      </c>
      <c r="H49" s="1005">
        <f>G49+'[3]24'!H49</f>
        <v>36870.991999999998</v>
      </c>
      <c r="I49" s="1003"/>
      <c r="J49" s="1007">
        <f>H49/DAY(B2)</f>
        <v>1474.83968</v>
      </c>
      <c r="K49" s="1023"/>
      <c r="L49" s="982"/>
      <c r="N49" s="1170">
        <v>0</v>
      </c>
      <c r="O49" s="1009">
        <f t="shared" si="5"/>
        <v>2412.1100000000006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'[3]24'!F50</f>
        <v>288392.15000000002</v>
      </c>
      <c r="F50" s="1075">
        <v>289351.01</v>
      </c>
      <c r="G50" s="1004">
        <f t="shared" si="6"/>
        <v>958.85999999998603</v>
      </c>
      <c r="H50" s="1005">
        <f>G50+'[3]24'!H50</f>
        <v>23292.070000000007</v>
      </c>
      <c r="I50" s="1003"/>
      <c r="J50" s="1007">
        <f>H50/DAY(B2)</f>
        <v>931.68280000000027</v>
      </c>
      <c r="K50" s="1023"/>
      <c r="L50" s="982"/>
      <c r="N50" s="1170">
        <v>1205.9199999999837</v>
      </c>
      <c r="O50" s="1009">
        <f t="shared" si="5"/>
        <v>-247.05999999999767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'[3]24'!F51</f>
        <v>10688.42</v>
      </c>
      <c r="F51" s="1075">
        <v>12044.67</v>
      </c>
      <c r="G51" s="1004">
        <f t="shared" si="6"/>
        <v>1356.25</v>
      </c>
      <c r="H51" s="1005">
        <f>G51+'[3]24'!H51</f>
        <v>20019.7219</v>
      </c>
      <c r="I51" s="1003"/>
      <c r="J51" s="1007">
        <f>H51/DAY(B2)</f>
        <v>800.78887600000007</v>
      </c>
      <c r="K51" s="1023"/>
      <c r="L51" s="982"/>
      <c r="N51" s="1170">
        <v>0</v>
      </c>
      <c r="O51" s="1009">
        <f t="shared" si="5"/>
        <v>1356.25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'[3]24'!F52</f>
        <v>360436.47</v>
      </c>
      <c r="F52" s="1075">
        <v>362128.87</v>
      </c>
      <c r="G52" s="1004">
        <f t="shared" si="6"/>
        <v>1692.4000000000233</v>
      </c>
      <c r="H52" s="1005">
        <f>G52+'[3]24'!H52</f>
        <v>39839.450000000012</v>
      </c>
      <c r="I52" s="1003"/>
      <c r="J52" s="1007">
        <f>H52/DAY(B2)</f>
        <v>1593.5780000000004</v>
      </c>
      <c r="K52" s="1023"/>
      <c r="L52" s="982"/>
      <c r="N52" s="1170">
        <v>1589.5200000000186</v>
      </c>
      <c r="O52" s="1009">
        <f t="shared" si="5"/>
        <v>102.88000000000466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'[3]24'!F53</f>
        <v>20288.14</v>
      </c>
      <c r="F53" s="1075">
        <v>24462.47</v>
      </c>
      <c r="G53" s="1004">
        <f t="shared" si="6"/>
        <v>4174.3300000000017</v>
      </c>
      <c r="H53" s="1005">
        <f>G53+'[3]24'!H53</f>
        <v>35343.47</v>
      </c>
      <c r="I53" s="1003"/>
      <c r="J53" s="1007">
        <f>H53/DAY(B2)</f>
        <v>1413.7388000000001</v>
      </c>
      <c r="K53" s="1023"/>
      <c r="L53" s="982"/>
      <c r="N53" s="1170">
        <v>0</v>
      </c>
      <c r="O53" s="1009">
        <f t="shared" si="5"/>
        <v>4174.3300000000017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'[3]24'!F54</f>
        <v>2705.85</v>
      </c>
      <c r="F54" s="1075">
        <v>2724.96</v>
      </c>
      <c r="G54" s="1004">
        <f t="shared" si="6"/>
        <v>19.110000000000127</v>
      </c>
      <c r="H54" s="1005">
        <f>G54+'[3]24'!H54</f>
        <v>1172.3993</v>
      </c>
      <c r="I54" s="1003"/>
      <c r="J54" s="1007">
        <f>H54/DAY(B2)</f>
        <v>46.895972</v>
      </c>
      <c r="K54" s="1023"/>
      <c r="L54" s="982"/>
      <c r="N54" s="1170">
        <v>68.139999999999986</v>
      </c>
      <c r="O54" s="1009">
        <f t="shared" si="5"/>
        <v>-49.029999999999859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'[3]24'!F55</f>
        <v>158492.73000000001</v>
      </c>
      <c r="F55" s="1075">
        <v>158492.73000000001</v>
      </c>
      <c r="G55" s="1004">
        <f t="shared" si="6"/>
        <v>0</v>
      </c>
      <c r="H55" s="1005">
        <f>G55+'[3]24'!H55</f>
        <v>-0.26999999998952262</v>
      </c>
      <c r="I55" s="1003"/>
      <c r="J55" s="1007">
        <f>H55/DAY(B2)</f>
        <v>-1.0799999999580905E-2</v>
      </c>
      <c r="K55" s="1023"/>
      <c r="L55" s="982"/>
      <c r="N55" s="1170">
        <v>0</v>
      </c>
      <c r="O55" s="1009">
        <f t="shared" si="5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'[3]24'!F56</f>
        <v>408413.07</v>
      </c>
      <c r="F56" s="1075">
        <v>412572.63</v>
      </c>
      <c r="G56" s="1004">
        <f t="shared" si="6"/>
        <v>4159.5599999999977</v>
      </c>
      <c r="H56" s="1005">
        <f>G56+'[3]24'!H56</f>
        <v>100528.15000000002</v>
      </c>
      <c r="I56" s="1003"/>
      <c r="J56" s="1007">
        <f>H56/DAY(B2)</f>
        <v>4021.1260000000011</v>
      </c>
      <c r="K56" s="999"/>
      <c r="L56" s="982"/>
      <c r="N56" s="1170">
        <v>363.97999999998137</v>
      </c>
      <c r="O56" s="1009">
        <f t="shared" si="5"/>
        <v>3795.5800000000163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'[3]24'!F57</f>
        <v>0</v>
      </c>
      <c r="F57" s="1075">
        <v>0</v>
      </c>
      <c r="G57" s="1004">
        <f t="shared" si="6"/>
        <v>0</v>
      </c>
      <c r="H57" s="1005">
        <f>G57+'[3]24'!H57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5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'[3]24'!F58</f>
        <v>19604.740000000002</v>
      </c>
      <c r="F58" s="1075">
        <v>19683.87</v>
      </c>
      <c r="G58" s="1004">
        <f t="shared" si="6"/>
        <v>79.129999999997381</v>
      </c>
      <c r="H58" s="1005">
        <f>G58+'[3]24'!H58</f>
        <v>1914.5739999999969</v>
      </c>
      <c r="I58" s="1003"/>
      <c r="J58" s="1007">
        <f>H58/DAY(B2)</f>
        <v>76.582959999999872</v>
      </c>
      <c r="K58" s="1023"/>
      <c r="L58" s="982"/>
      <c r="N58" s="1170">
        <v>204.34000000000015</v>
      </c>
      <c r="O58" s="1009">
        <f t="shared" si="5"/>
        <v>-125.21000000000276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14851.750000000007</v>
      </c>
      <c r="H59" s="1005">
        <f>G59+'[3]24'!H59</f>
        <v>258980.55720000004</v>
      </c>
      <c r="I59" s="1003">
        <f>G7-G60</f>
        <v>496.34999999996944</v>
      </c>
      <c r="J59" s="1007">
        <f>H59/DAY(B2)</f>
        <v>10359.222288000001</v>
      </c>
      <c r="K59" s="1023"/>
      <c r="L59" s="982"/>
      <c r="N59" s="1170">
        <v>3431.8999999999837</v>
      </c>
      <c r="O59" s="1009">
        <f t="shared" si="5"/>
        <v>11419.850000000024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17817.650000000031</v>
      </c>
      <c r="H60" s="1005">
        <f>G60+'[3]24'!H60</f>
        <v>429115.01790000015</v>
      </c>
      <c r="I60" s="1003">
        <f>G13-G60</f>
        <v>-186.47000000000844</v>
      </c>
      <c r="J60" s="1007">
        <f>H60/DAY(B2)</f>
        <v>17164.600716000004</v>
      </c>
      <c r="K60" s="1023"/>
      <c r="L60" s="982"/>
      <c r="N60" s="1170">
        <v>20358.340000000073</v>
      </c>
      <c r="O60" s="1009">
        <f t="shared" si="5"/>
        <v>-2540.6900000000423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>SUM(O35:O60)</f>
        <v>-7622.070000000127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'[3]24'!F62</f>
        <v>20419.18</v>
      </c>
      <c r="F62" s="1085">
        <v>20419.18</v>
      </c>
      <c r="G62" s="1004">
        <f t="shared" ref="G62:G69" si="7">F62-E62</f>
        <v>0</v>
      </c>
      <c r="H62" s="1005">
        <f>G62+'[3]24'!H62</f>
        <v>-0.19799999999668216</v>
      </c>
      <c r="I62" s="1086"/>
      <c r="J62" s="1007">
        <f>H62/DAY(B2)</f>
        <v>-7.9199999998672867E-3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'[3]24'!F63</f>
        <v>758.38</v>
      </c>
      <c r="F63" s="1085">
        <v>774.55</v>
      </c>
      <c r="G63" s="1004">
        <f t="shared" si="7"/>
        <v>16.169999999999959</v>
      </c>
      <c r="H63" s="1005">
        <f>G63+'[3]24'!H63</f>
        <v>476.09</v>
      </c>
      <c r="I63" s="1086"/>
      <c r="J63" s="1007">
        <f>H63/DAY(B2)</f>
        <v>19.043599999999998</v>
      </c>
      <c r="K63" s="1023"/>
      <c r="L63" s="982"/>
      <c r="O63" s="1009"/>
    </row>
    <row r="64" spans="1:15">
      <c r="A64" s="1593" t="s">
        <v>107</v>
      </c>
      <c r="B64" s="1594"/>
      <c r="C64" s="1595"/>
      <c r="D64" s="1002" t="s">
        <v>198</v>
      </c>
      <c r="E64" s="1003">
        <f>'[3]24'!F64</f>
        <v>84540.35</v>
      </c>
      <c r="F64" s="1033">
        <v>84897.47</v>
      </c>
      <c r="G64" s="1004">
        <f t="shared" si="7"/>
        <v>357.11999999999534</v>
      </c>
      <c r="H64" s="1005">
        <f>G64+'[3]24'!H64</f>
        <v>8834.3830000000016</v>
      </c>
      <c r="I64" s="1024"/>
      <c r="J64" s="1007">
        <f>H64/DAY(B2)</f>
        <v>353.37532000000004</v>
      </c>
      <c r="K64" s="1023"/>
      <c r="L64" s="982"/>
      <c r="O64" s="1009"/>
    </row>
    <row r="65" spans="1:15">
      <c r="A65" s="1593" t="s">
        <v>108</v>
      </c>
      <c r="B65" s="1594"/>
      <c r="C65" s="1595"/>
      <c r="D65" s="1002" t="s">
        <v>198</v>
      </c>
      <c r="E65" s="1003">
        <f>'[3]24'!F65</f>
        <v>94324.89</v>
      </c>
      <c r="F65" s="1033">
        <v>94711.360000000001</v>
      </c>
      <c r="G65" s="1004">
        <f t="shared" si="7"/>
        <v>386.47000000000116</v>
      </c>
      <c r="H65" s="1005">
        <f>G65+'[3]24'!H65</f>
        <v>9552.0969999999943</v>
      </c>
      <c r="I65" s="1042"/>
      <c r="J65" s="1007">
        <f>H65/DAY(B2)</f>
        <v>382.08387999999979</v>
      </c>
      <c r="K65" s="1023"/>
      <c r="L65" s="982"/>
      <c r="O65" s="1009"/>
    </row>
    <row r="66" spans="1:15">
      <c r="A66" s="1593" t="s">
        <v>109</v>
      </c>
      <c r="B66" s="1594"/>
      <c r="C66" s="1595"/>
      <c r="D66" s="1002" t="s">
        <v>198</v>
      </c>
      <c r="E66" s="1003">
        <f>'[3]24'!F66</f>
        <v>87605.47</v>
      </c>
      <c r="F66" s="1033">
        <v>88004.24</v>
      </c>
      <c r="G66" s="1004">
        <f t="shared" si="7"/>
        <v>398.77000000000407</v>
      </c>
      <c r="H66" s="1005">
        <f>G66+'[3]24'!H66</f>
        <v>9816.2820000000065</v>
      </c>
      <c r="I66" s="1024"/>
      <c r="J66" s="1007">
        <f>H66/DAY(B2)</f>
        <v>392.65128000000027</v>
      </c>
      <c r="K66" s="1023"/>
      <c r="L66" s="982"/>
      <c r="O66" s="1009"/>
    </row>
    <row r="67" spans="1:15">
      <c r="A67" s="1593" t="s">
        <v>110</v>
      </c>
      <c r="B67" s="1594"/>
      <c r="C67" s="1595"/>
      <c r="D67" s="1002" t="s">
        <v>198</v>
      </c>
      <c r="E67" s="1003">
        <f>'[3]24'!F67</f>
        <v>141620.29999999999</v>
      </c>
      <c r="F67" s="1033">
        <v>142352.78</v>
      </c>
      <c r="G67" s="1004">
        <f t="shared" si="7"/>
        <v>732.48000000001048</v>
      </c>
      <c r="H67" s="1005">
        <f>G67+'[3]24'!H67</f>
        <v>16296.279999999999</v>
      </c>
      <c r="I67" s="1042"/>
      <c r="J67" s="1007">
        <f>H67/DAY(B2)</f>
        <v>651.85119999999995</v>
      </c>
      <c r="K67" s="1030"/>
      <c r="L67" s="982"/>
      <c r="O67" s="1009"/>
    </row>
    <row r="68" spans="1:15">
      <c r="A68" s="1593" t="s">
        <v>111</v>
      </c>
      <c r="B68" s="1594"/>
      <c r="C68" s="1595"/>
      <c r="D68" s="1002" t="s">
        <v>198</v>
      </c>
      <c r="E68" s="1003">
        <f>'[3]24'!F68</f>
        <v>41031.15</v>
      </c>
      <c r="F68" s="1033">
        <v>41418.57</v>
      </c>
      <c r="G68" s="1004">
        <f t="shared" si="7"/>
        <v>387.41999999999825</v>
      </c>
      <c r="H68" s="1005">
        <f>G68+'[3]24'!H68</f>
        <v>8018.7010000000009</v>
      </c>
      <c r="I68" s="1087"/>
      <c r="J68" s="1007">
        <f>H68/DAY(B2)</f>
        <v>320.74804000000006</v>
      </c>
      <c r="K68" s="1088"/>
      <c r="L68" s="982"/>
      <c r="O68" s="1009"/>
    </row>
    <row r="69" spans="1:15">
      <c r="A69" s="1593" t="s">
        <v>112</v>
      </c>
      <c r="B69" s="1594"/>
      <c r="C69" s="1595"/>
      <c r="D69" s="1002" t="s">
        <v>198</v>
      </c>
      <c r="E69" s="1003">
        <f>'[3]24'!F69</f>
        <v>35830.19</v>
      </c>
      <c r="F69" s="1033">
        <v>36117.5</v>
      </c>
      <c r="G69" s="1004">
        <f t="shared" si="7"/>
        <v>287.30999999999767</v>
      </c>
      <c r="H69" s="1005">
        <f>G69+'[3]24'!H69</f>
        <v>6865.1349999999984</v>
      </c>
      <c r="I69" s="1087"/>
      <c r="J69" s="1007">
        <f>H69/DAY(B2)</f>
        <v>274.60539999999992</v>
      </c>
      <c r="K69" s="1089"/>
      <c r="L69" s="982"/>
      <c r="O69" s="1009"/>
    </row>
    <row r="70" spans="1:15">
      <c r="A70" s="1613" t="s">
        <v>200</v>
      </c>
      <c r="B70" s="1614"/>
      <c r="C70" s="1615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10" t="s">
        <v>201</v>
      </c>
      <c r="B71" s="1611"/>
      <c r="C71" s="1611"/>
      <c r="D71" s="1611"/>
      <c r="E71" s="1611"/>
      <c r="F71" s="1611"/>
      <c r="G71" s="1611"/>
      <c r="H71" s="1611"/>
      <c r="I71" s="1611"/>
      <c r="J71" s="1612"/>
      <c r="K71" s="1088"/>
      <c r="L71" s="982"/>
      <c r="O71" s="1009"/>
    </row>
    <row r="72" spans="1:15">
      <c r="A72" s="1593" t="s">
        <v>202</v>
      </c>
      <c r="B72" s="1594"/>
      <c r="C72" s="1595"/>
      <c r="D72" s="1002" t="s">
        <v>198</v>
      </c>
      <c r="E72" s="1003">
        <f>'[3]24'!F72</f>
        <v>844131</v>
      </c>
      <c r="F72" s="1093">
        <v>844139</v>
      </c>
      <c r="G72" s="1004">
        <f t="shared" ref="G72:G84" si="8">F72-E72</f>
        <v>8</v>
      </c>
      <c r="H72" s="1005">
        <f>G72+'[3]24'!H72</f>
        <v>197</v>
      </c>
      <c r="I72" s="1024"/>
      <c r="J72" s="1007">
        <f>H72/DAY(B2)</f>
        <v>7.88</v>
      </c>
      <c r="K72" s="1089"/>
      <c r="L72" s="982"/>
      <c r="O72" s="1009"/>
    </row>
    <row r="73" spans="1:15">
      <c r="A73" s="1593" t="s">
        <v>203</v>
      </c>
      <c r="B73" s="1594"/>
      <c r="C73" s="1595"/>
      <c r="D73" s="1002" t="s">
        <v>198</v>
      </c>
      <c r="E73" s="1003">
        <f>'[3]24'!F73</f>
        <v>885301</v>
      </c>
      <c r="F73" s="1094">
        <v>885302</v>
      </c>
      <c r="G73" s="1004">
        <f t="shared" si="8"/>
        <v>1</v>
      </c>
      <c r="H73" s="1005">
        <f>G73+'[3]24'!H73</f>
        <v>174</v>
      </c>
      <c r="I73" s="1024"/>
      <c r="J73" s="1007">
        <f>H73/DAY(B2)</f>
        <v>6.96</v>
      </c>
      <c r="K73" s="1088"/>
      <c r="L73" s="982"/>
      <c r="O73" s="1009"/>
    </row>
    <row r="74" spans="1:15">
      <c r="A74" s="1593" t="s">
        <v>204</v>
      </c>
      <c r="B74" s="1594"/>
      <c r="C74" s="1595"/>
      <c r="D74" s="1002" t="s">
        <v>198</v>
      </c>
      <c r="E74" s="1003">
        <f>'[3]24'!F74</f>
        <v>880107</v>
      </c>
      <c r="F74" s="1095">
        <v>880135</v>
      </c>
      <c r="G74" s="1004">
        <f t="shared" si="8"/>
        <v>28</v>
      </c>
      <c r="H74" s="1005">
        <f>G74+'[3]24'!H74</f>
        <v>499</v>
      </c>
      <c r="I74" s="1024"/>
      <c r="J74" s="1007">
        <f>H74/DAY(B2)</f>
        <v>19.96</v>
      </c>
      <c r="K74" s="1089"/>
      <c r="L74" s="982"/>
      <c r="O74" s="1009"/>
    </row>
    <row r="75" spans="1:15">
      <c r="A75" s="1607" t="s">
        <v>205</v>
      </c>
      <c r="B75" s="1608"/>
      <c r="C75" s="1609"/>
      <c r="D75" s="1002" t="s">
        <v>198</v>
      </c>
      <c r="E75" s="1003">
        <f>'[3]24'!F75</f>
        <v>725185</v>
      </c>
      <c r="F75" s="1095">
        <v>725342</v>
      </c>
      <c r="G75" s="1004">
        <f t="shared" si="8"/>
        <v>157</v>
      </c>
      <c r="H75" s="1005">
        <f>G75+'[3]24'!H75</f>
        <v>3976</v>
      </c>
      <c r="I75" s="1024"/>
      <c r="J75" s="1007">
        <f>H75/DAY(B2)</f>
        <v>159.04</v>
      </c>
      <c r="K75" s="1088"/>
      <c r="L75" s="982"/>
      <c r="O75" s="1009"/>
    </row>
    <row r="76" spans="1:15">
      <c r="A76" s="1607" t="s">
        <v>206</v>
      </c>
      <c r="B76" s="1608"/>
      <c r="C76" s="1609"/>
      <c r="D76" s="1002" t="s">
        <v>198</v>
      </c>
      <c r="E76" s="1003">
        <f>'[3]24'!F76</f>
        <v>681277</v>
      </c>
      <c r="F76" s="1094">
        <v>681353</v>
      </c>
      <c r="G76" s="1004">
        <f t="shared" si="8"/>
        <v>76</v>
      </c>
      <c r="H76" s="1005">
        <f>G76+'[3]24'!H76</f>
        <v>2883</v>
      </c>
      <c r="I76" s="1066"/>
      <c r="J76" s="1007">
        <f>H76/DAY(B2)</f>
        <v>115.32</v>
      </c>
      <c r="K76" s="1088"/>
      <c r="L76" s="982"/>
      <c r="O76" s="1009"/>
    </row>
    <row r="77" spans="1:15">
      <c r="A77" s="1593" t="s">
        <v>207</v>
      </c>
      <c r="B77" s="1594"/>
      <c r="C77" s="1595"/>
      <c r="D77" s="1002" t="s">
        <v>198</v>
      </c>
      <c r="E77" s="1003">
        <f>'[3]24'!F77</f>
        <v>693425</v>
      </c>
      <c r="F77" s="1094">
        <v>693473</v>
      </c>
      <c r="G77" s="1004">
        <f t="shared" si="8"/>
        <v>48</v>
      </c>
      <c r="H77" s="1005">
        <f>G77+'[3]24'!H77</f>
        <v>1166</v>
      </c>
      <c r="I77" s="1066"/>
      <c r="J77" s="1007">
        <f>H77/DAY(B2)</f>
        <v>46.64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'[3]24'!F78</f>
        <v>615753</v>
      </c>
      <c r="F78" s="1095">
        <v>616156</v>
      </c>
      <c r="G78" s="1004">
        <f t="shared" si="8"/>
        <v>403</v>
      </c>
      <c r="H78" s="1005">
        <f>G78+'[3]24'!H78</f>
        <v>8142</v>
      </c>
      <c r="I78" s="1066"/>
      <c r="J78" s="1007">
        <f>H78/DAY(B2)</f>
        <v>325.68</v>
      </c>
      <c r="K78" s="1088"/>
      <c r="L78" s="982"/>
      <c r="O78" s="1009"/>
    </row>
    <row r="79" spans="1:15">
      <c r="A79" s="1607" t="s">
        <v>97</v>
      </c>
      <c r="B79" s="1608"/>
      <c r="C79" s="1609"/>
      <c r="D79" s="1036" t="s">
        <v>198</v>
      </c>
      <c r="E79" s="1003">
        <f>'[3]24'!F79</f>
        <v>796793</v>
      </c>
      <c r="F79" s="1095">
        <v>796988</v>
      </c>
      <c r="G79" s="1004">
        <f t="shared" si="8"/>
        <v>195</v>
      </c>
      <c r="H79" s="1005">
        <f>G79+'[3]24'!H79</f>
        <v>6173</v>
      </c>
      <c r="I79" s="1066"/>
      <c r="J79" s="1007">
        <f>H79/DAY(B2)</f>
        <v>246.92</v>
      </c>
      <c r="K79" s="1088"/>
      <c r="L79" s="982"/>
      <c r="O79" s="1009"/>
    </row>
    <row r="80" spans="1:15">
      <c r="A80" s="1607" t="s">
        <v>209</v>
      </c>
      <c r="B80" s="1608"/>
      <c r="C80" s="1609"/>
      <c r="D80" s="1036" t="s">
        <v>198</v>
      </c>
      <c r="E80" s="1003">
        <f>'[3]24'!F80</f>
        <v>463656</v>
      </c>
      <c r="F80" s="1094">
        <v>463923</v>
      </c>
      <c r="G80" s="1004">
        <f t="shared" si="8"/>
        <v>267</v>
      </c>
      <c r="H80" s="1005">
        <f>G80+'[3]24'!H80</f>
        <v>5486.1199999999953</v>
      </c>
      <c r="I80" s="1066"/>
      <c r="J80" s="1007">
        <f>H80/DAY(B2)</f>
        <v>219.44479999999982</v>
      </c>
      <c r="K80" s="1088"/>
      <c r="L80" s="982"/>
      <c r="O80" s="1009"/>
    </row>
    <row r="81" spans="1:15">
      <c r="A81" s="1607" t="s">
        <v>210</v>
      </c>
      <c r="B81" s="1608"/>
      <c r="C81" s="1609"/>
      <c r="D81" s="1036" t="s">
        <v>198</v>
      </c>
      <c r="E81" s="1003">
        <f>'[3]24'!F81</f>
        <v>613500</v>
      </c>
      <c r="F81" s="1094">
        <v>613591</v>
      </c>
      <c r="G81" s="1004">
        <f t="shared" si="8"/>
        <v>91</v>
      </c>
      <c r="H81" s="1005">
        <f>G81+'[3]24'!H81</f>
        <v>2468.7199999999721</v>
      </c>
      <c r="I81" s="1066"/>
      <c r="J81" s="1007">
        <f>H81/DAY(B2)</f>
        <v>98.74879999999888</v>
      </c>
      <c r="K81" s="1088"/>
      <c r="L81" s="982"/>
      <c r="O81" s="1009"/>
    </row>
    <row r="82" spans="1:15">
      <c r="A82" s="1607" t="s">
        <v>100</v>
      </c>
      <c r="B82" s="1608"/>
      <c r="C82" s="1609"/>
      <c r="D82" s="1037" t="s">
        <v>143</v>
      </c>
      <c r="E82" s="1003">
        <f>'[3]24'!F82</f>
        <v>103416</v>
      </c>
      <c r="F82" s="1097">
        <v>103445</v>
      </c>
      <c r="G82" s="1004">
        <f t="shared" si="8"/>
        <v>29</v>
      </c>
      <c r="H82" s="1005">
        <f>G82+'[3]24'!H82</f>
        <v>415.05000000000291</v>
      </c>
      <c r="I82" s="1038"/>
      <c r="J82" s="1007">
        <f>H82/DAY(B2)</f>
        <v>16.602000000000118</v>
      </c>
      <c r="K82" s="1088"/>
      <c r="L82" s="982"/>
      <c r="N82" s="1170">
        <f>371*0.99</f>
        <v>367.29</v>
      </c>
      <c r="O82" s="1009"/>
    </row>
    <row r="83" spans="1:15">
      <c r="A83" s="1607" t="s">
        <v>211</v>
      </c>
      <c r="B83" s="1608"/>
      <c r="C83" s="1609"/>
      <c r="D83" s="1098" t="s">
        <v>143</v>
      </c>
      <c r="E83" s="1003">
        <f>'[3]24'!F83</f>
        <v>960516</v>
      </c>
      <c r="F83" s="989">
        <v>960826</v>
      </c>
      <c r="G83" s="1004">
        <f t="shared" si="8"/>
        <v>310</v>
      </c>
      <c r="H83" s="1005">
        <f>G83+'[3]24'!H83</f>
        <v>8583</v>
      </c>
      <c r="I83" s="1027"/>
      <c r="J83" s="1007">
        <f>H83/DAY(B2)</f>
        <v>343.32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'[3]24'!F84</f>
        <v>378425</v>
      </c>
      <c r="F84" s="1101">
        <v>378911</v>
      </c>
      <c r="G84" s="1004">
        <f t="shared" si="8"/>
        <v>486</v>
      </c>
      <c r="H84" s="1005">
        <f>G84+'[3]24'!H84</f>
        <v>12478</v>
      </c>
      <c r="I84" s="1027"/>
      <c r="J84" s="1007">
        <f>H84/DAY(B2)</f>
        <v>499.12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2099</v>
      </c>
      <c r="H85" s="1005">
        <f>G85+'[3]24'!H85</f>
        <v>49314.989999999991</v>
      </c>
      <c r="I85" s="1027"/>
      <c r="J85" s="1007">
        <f>H85/DAY(B2)</f>
        <v>1972.5995999999996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'[3]24'!F86</f>
        <v>439560</v>
      </c>
      <c r="F86" s="1110">
        <v>439683</v>
      </c>
      <c r="G86" s="1111">
        <f t="shared" ref="G86:G90" si="9">F86-E86</f>
        <v>123</v>
      </c>
      <c r="H86" s="1111">
        <f t="shared" ref="H86:H88" si="10">G86</f>
        <v>123</v>
      </c>
      <c r="I86" s="1112"/>
      <c r="J86" s="1113">
        <f>H86/DAY(B2)</f>
        <v>4.92</v>
      </c>
      <c r="K86" s="1114"/>
      <c r="L86" s="1115"/>
      <c r="N86" s="1174">
        <f>G86/0.995</f>
        <v>123.61809045226131</v>
      </c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'[3]24'!F87</f>
        <v>76734</v>
      </c>
      <c r="F87" s="1110">
        <v>76773</v>
      </c>
      <c r="G87" s="1111">
        <f t="shared" si="9"/>
        <v>39</v>
      </c>
      <c r="H87" s="1111">
        <f t="shared" si="10"/>
        <v>39</v>
      </c>
      <c r="I87" s="1112"/>
      <c r="J87" s="1113">
        <f>H87/DAY(B2)</f>
        <v>1.56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'[3]24'!F88</f>
        <v>141855</v>
      </c>
      <c r="F88" s="1110">
        <v>141988</v>
      </c>
      <c r="G88" s="1111">
        <f t="shared" si="9"/>
        <v>133</v>
      </c>
      <c r="H88" s="1111">
        <f t="shared" si="10"/>
        <v>133</v>
      </c>
      <c r="I88" s="1112"/>
      <c r="J88" s="1113">
        <f>H88/DAY(B2)</f>
        <v>5.32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'[3]24'!F89</f>
        <v>55361</v>
      </c>
      <c r="F89" s="1110">
        <v>55416</v>
      </c>
      <c r="G89" s="1111">
        <f t="shared" si="9"/>
        <v>55</v>
      </c>
      <c r="H89" s="1111">
        <f>G89</f>
        <v>55</v>
      </c>
      <c r="I89" s="1112"/>
      <c r="J89" s="1113">
        <f>H89/DAY(B2)</f>
        <v>2.2000000000000002</v>
      </c>
      <c r="K89" s="1114"/>
      <c r="L89" s="1115"/>
      <c r="N89" s="1180">
        <f>204/205</f>
        <v>0.99512195121951219</v>
      </c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'[3]24'!F90</f>
        <v>2861</v>
      </c>
      <c r="F90" s="1110">
        <v>2865</v>
      </c>
      <c r="G90" s="1111">
        <f t="shared" si="9"/>
        <v>4</v>
      </c>
      <c r="H90" s="1111">
        <f>G90</f>
        <v>4</v>
      </c>
      <c r="I90" s="1112"/>
      <c r="J90" s="1113">
        <f>H90/DAY(B2)</f>
        <v>0.16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587" t="s">
        <v>217</v>
      </c>
      <c r="B92" s="1588"/>
      <c r="C92" s="1589"/>
      <c r="D92" s="1002" t="s">
        <v>155</v>
      </c>
      <c r="E92" s="1003">
        <f>'[3]24'!F92</f>
        <v>230479</v>
      </c>
      <c r="F92" s="1033">
        <v>230530</v>
      </c>
      <c r="G92" s="1004">
        <f t="shared" ref="G92:G93" si="11">F92-E92</f>
        <v>51</v>
      </c>
      <c r="H92" s="1005">
        <f>G92+'[3]24'!H92</f>
        <v>1935</v>
      </c>
      <c r="I92" s="1024"/>
      <c r="J92" s="1007">
        <f>H92/DAY(B2)</f>
        <v>77.400000000000006</v>
      </c>
      <c r="K92" s="1030"/>
      <c r="L92" s="982"/>
      <c r="O92" s="1009"/>
    </row>
    <row r="93" spans="1:15">
      <c r="A93" s="1587" t="s">
        <v>218</v>
      </c>
      <c r="B93" s="1588"/>
      <c r="C93" s="1589"/>
      <c r="D93" s="1002" t="s">
        <v>155</v>
      </c>
      <c r="E93" s="1003">
        <f>'[3]24'!F93</f>
        <v>161864</v>
      </c>
      <c r="F93" s="1033">
        <v>161990</v>
      </c>
      <c r="G93" s="1004">
        <f t="shared" si="11"/>
        <v>126</v>
      </c>
      <c r="H93" s="1005">
        <f>G93+'[3]24'!H93</f>
        <v>3467</v>
      </c>
      <c r="I93" s="1024"/>
      <c r="J93" s="1007">
        <f>H93/DAY(B2)</f>
        <v>138.68</v>
      </c>
      <c r="K93" s="1102"/>
      <c r="L93" s="982"/>
      <c r="O93" s="1009"/>
    </row>
    <row r="94" spans="1:15">
      <c r="A94" s="1596" t="s">
        <v>219</v>
      </c>
      <c r="B94" s="1597"/>
      <c r="C94" s="1598"/>
      <c r="D94" s="1002"/>
      <c r="E94" s="1003">
        <f>'[3]24'!F94</f>
        <v>0</v>
      </c>
      <c r="F94" s="1033"/>
      <c r="G94" s="1004">
        <f>G92+G93</f>
        <v>177</v>
      </c>
      <c r="H94" s="1005">
        <f>G94+'[3]24'!H94</f>
        <v>5112</v>
      </c>
      <c r="I94" s="1024"/>
      <c r="J94" s="1007">
        <f>H94/DAY(B2)</f>
        <v>204.48</v>
      </c>
      <c r="K94" s="1102"/>
      <c r="L94" s="982"/>
      <c r="O94" s="1009"/>
    </row>
    <row r="95" spans="1:15">
      <c r="A95" s="1587" t="s">
        <v>220</v>
      </c>
      <c r="B95" s="1588"/>
      <c r="C95" s="1589"/>
      <c r="D95" s="1002" t="s">
        <v>155</v>
      </c>
      <c r="E95" s="1003">
        <f>'[3]24'!F95</f>
        <v>401187</v>
      </c>
      <c r="F95" s="1033">
        <v>401226</v>
      </c>
      <c r="G95" s="1004">
        <f t="shared" ref="G95:G100" si="12">F95-E95</f>
        <v>39</v>
      </c>
      <c r="H95" s="1005">
        <f>G95+'[3]24'!H95</f>
        <v>1379</v>
      </c>
      <c r="I95" s="1024"/>
      <c r="J95" s="1007">
        <f>H95/DAY(B2)</f>
        <v>55.16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'[3]24'!F96</f>
        <v>98944</v>
      </c>
      <c r="F96" s="1033">
        <v>98968</v>
      </c>
      <c r="G96" s="1004">
        <f t="shared" si="12"/>
        <v>24</v>
      </c>
      <c r="H96" s="1005">
        <f>G96+'[3]24'!H96</f>
        <v>959</v>
      </c>
      <c r="I96" s="1024"/>
      <c r="J96" s="1007">
        <f>H96/DAY(B2)</f>
        <v>38.36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'[3]24'!F97</f>
        <v>94092</v>
      </c>
      <c r="F97" s="1153">
        <v>94110</v>
      </c>
      <c r="G97" s="1004">
        <f t="shared" si="12"/>
        <v>18</v>
      </c>
      <c r="H97" s="1005">
        <f>G97+'[3]24'!H97</f>
        <v>559</v>
      </c>
      <c r="I97" s="1024"/>
      <c r="J97" s="1007">
        <f>H97/DAY(B2)</f>
        <v>22.36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'[3]24'!F98</f>
        <v>141895</v>
      </c>
      <c r="F98" s="1033">
        <v>141917</v>
      </c>
      <c r="G98" s="1004">
        <f t="shared" si="12"/>
        <v>22</v>
      </c>
      <c r="H98" s="1005">
        <f>G98+'[3]24'!H98</f>
        <v>1012</v>
      </c>
      <c r="I98" s="1024"/>
      <c r="J98" s="1007">
        <f>H98/DAY(B2)</f>
        <v>40.479999999999997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'[3]24'!F99</f>
        <v>4901</v>
      </c>
      <c r="F99" s="1033">
        <v>4909</v>
      </c>
      <c r="G99" s="1004">
        <f t="shared" si="12"/>
        <v>8</v>
      </c>
      <c r="H99" s="1005">
        <f>G99+'[3]24'!H99</f>
        <v>201</v>
      </c>
      <c r="I99" s="1024"/>
      <c r="J99" s="1007">
        <f>H99/DAY(B2)</f>
        <v>8.0399999999999991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'[3]24'!F100</f>
        <v>3674</v>
      </c>
      <c r="F100" s="1033">
        <v>3674</v>
      </c>
      <c r="G100" s="1004">
        <f t="shared" si="12"/>
        <v>0</v>
      </c>
      <c r="H100" s="1005">
        <f>G100+'[3]24'!H100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596" t="s">
        <v>227</v>
      </c>
      <c r="B101" s="1597"/>
      <c r="C101" s="1598"/>
      <c r="D101" s="1036"/>
      <c r="E101" s="1036"/>
      <c r="F101" s="1036"/>
      <c r="G101" s="1119">
        <f>SUM(G95:G100)</f>
        <v>111</v>
      </c>
      <c r="H101" s="1005">
        <f>G101+'[3]24'!H101</f>
        <v>4110</v>
      </c>
      <c r="I101" s="1120"/>
      <c r="J101" s="1007">
        <f>H101/DAY(B2)</f>
        <v>164.4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04" t="s">
        <v>229</v>
      </c>
      <c r="B103" s="160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577" t="s">
        <v>230</v>
      </c>
      <c r="B104" s="1578"/>
      <c r="C104" s="1135"/>
      <c r="D104" s="1131" t="s">
        <v>155</v>
      </c>
      <c r="E104" s="1132">
        <f>'[3]24'!F104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2.4</v>
      </c>
      <c r="N104" s="1171"/>
      <c r="O104" s="1009"/>
    </row>
    <row r="105" spans="1:15" s="1054" customFormat="1">
      <c r="A105" s="1577" t="s">
        <v>77</v>
      </c>
      <c r="B105" s="1578"/>
      <c r="C105" s="1135"/>
      <c r="D105" s="1131" t="s">
        <v>155</v>
      </c>
      <c r="E105" s="1132">
        <f>'[3]24'!F105</f>
        <v>34637</v>
      </c>
      <c r="F105" s="1136">
        <v>34637</v>
      </c>
      <c r="G105" s="1132">
        <f t="shared" ref="G105:G106" si="13">F105-E105</f>
        <v>0</v>
      </c>
      <c r="H105" s="1133">
        <f>SUM(G105+'[3]1'!G77)</f>
        <v>70</v>
      </c>
      <c r="I105" s="1132"/>
      <c r="J105" s="1134">
        <f>H105/DAY(B2)</f>
        <v>2.8</v>
      </c>
      <c r="N105" s="1171"/>
      <c r="O105" s="1009"/>
    </row>
    <row r="106" spans="1:15" s="1054" customFormat="1">
      <c r="A106" s="1577" t="s">
        <v>78</v>
      </c>
      <c r="B106" s="1606"/>
      <c r="C106" s="1578"/>
      <c r="D106" s="1131" t="s">
        <v>155</v>
      </c>
      <c r="E106" s="1132">
        <f>'[3]24'!F106</f>
        <v>18715</v>
      </c>
      <c r="F106" s="1132">
        <v>18718</v>
      </c>
      <c r="G106" s="1132">
        <f t="shared" si="13"/>
        <v>3</v>
      </c>
      <c r="H106" s="1133">
        <f>SUM(G106+'[3]1'!G78)</f>
        <v>332</v>
      </c>
      <c r="I106" s="1132"/>
      <c r="J106" s="1134">
        <f>H106/DAY(B2)</f>
        <v>13.28</v>
      </c>
      <c r="N106" s="1171"/>
      <c r="O106" s="1009"/>
    </row>
    <row r="107" spans="1:15" s="1054" customFormat="1">
      <c r="A107" s="1579" t="s">
        <v>213</v>
      </c>
      <c r="B107" s="1580"/>
      <c r="C107" s="1135"/>
      <c r="D107" s="1131"/>
      <c r="E107" s="1132">
        <f>'[3]24'!F107</f>
        <v>0</v>
      </c>
      <c r="F107" s="1132"/>
      <c r="G107" s="1132">
        <f>SUM(G104:G106)</f>
        <v>3</v>
      </c>
      <c r="H107" s="1133">
        <f>SUM(G107+'[3]1'!G79)</f>
        <v>163</v>
      </c>
      <c r="I107" s="1132"/>
      <c r="J107" s="1134">
        <f>H107/DAY(B2)</f>
        <v>6.52</v>
      </c>
      <c r="N107" s="1171"/>
      <c r="O107" s="1009"/>
    </row>
    <row r="108" spans="1:15" s="1054" customFormat="1">
      <c r="A108" s="1585" t="s">
        <v>79</v>
      </c>
      <c r="B108" s="1586"/>
      <c r="C108" s="1135"/>
      <c r="D108" s="1131" t="s">
        <v>155</v>
      </c>
      <c r="E108" s="1132">
        <f>'[3]24'!F108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577" t="s">
        <v>231</v>
      </c>
      <c r="B109" s="1578"/>
      <c r="C109" s="1135"/>
      <c r="D109" s="1131" t="s">
        <v>155</v>
      </c>
      <c r="E109" s="1132">
        <f>'[3]24'!F109</f>
        <v>50971</v>
      </c>
      <c r="F109" s="1132">
        <v>51010</v>
      </c>
      <c r="G109" s="1132">
        <f>F109-E109</f>
        <v>39</v>
      </c>
      <c r="H109" s="1133">
        <f>SUM(G109+'[3]1'!G81)</f>
        <v>121</v>
      </c>
      <c r="I109" s="1132"/>
      <c r="J109" s="1134">
        <f>H109/DAY(B2)</f>
        <v>4.84</v>
      </c>
      <c r="N109" s="1171"/>
      <c r="O109" s="1009"/>
    </row>
    <row r="110" spans="1:15" s="1054" customFormat="1">
      <c r="A110" s="1577" t="s">
        <v>232</v>
      </c>
      <c r="B110" s="1578"/>
      <c r="C110" s="1135"/>
      <c r="D110" s="1131" t="s">
        <v>155</v>
      </c>
      <c r="E110" s="1132">
        <f>'[3]24'!F110</f>
        <v>25085</v>
      </c>
      <c r="F110" s="1132">
        <v>25108</v>
      </c>
      <c r="G110" s="1132">
        <f t="shared" ref="G110:G111" si="14">F110-E110</f>
        <v>23</v>
      </c>
      <c r="H110" s="1133">
        <f>SUM(G110+'[3]1'!G82)</f>
        <v>48.740000000005239</v>
      </c>
      <c r="I110" s="1132"/>
      <c r="J110" s="1134">
        <f>H110/DAY(B2)</f>
        <v>1.9496000000002096</v>
      </c>
      <c r="N110" s="1171"/>
      <c r="O110" s="1009"/>
    </row>
    <row r="111" spans="1:15" s="1054" customFormat="1">
      <c r="A111" s="1577" t="s">
        <v>233</v>
      </c>
      <c r="B111" s="1578"/>
      <c r="C111" s="1135"/>
      <c r="D111" s="1131" t="s">
        <v>155</v>
      </c>
      <c r="E111" s="1132">
        <f>'[3]24'!F111</f>
        <v>3337</v>
      </c>
      <c r="F111" s="1132">
        <v>3347</v>
      </c>
      <c r="G111" s="1132">
        <f t="shared" si="14"/>
        <v>10</v>
      </c>
      <c r="H111" s="1133">
        <f>SUM(G111+'[3]1'!G83)</f>
        <v>456</v>
      </c>
      <c r="I111" s="1132"/>
      <c r="J111" s="1134">
        <f>H111/DAY(B2)</f>
        <v>18.239999999999998</v>
      </c>
      <c r="N111" s="1171"/>
      <c r="O111" s="1009"/>
    </row>
    <row r="112" spans="1:15" s="1054" customFormat="1">
      <c r="A112" s="1583" t="s">
        <v>121</v>
      </c>
      <c r="B112" s="1584"/>
      <c r="C112" s="1135"/>
      <c r="D112" s="1131"/>
      <c r="E112" s="1132">
        <f>'[3]24'!F112</f>
        <v>0</v>
      </c>
      <c r="F112" s="1132"/>
      <c r="G112" s="1132">
        <f>SUM(G109:G111)</f>
        <v>72</v>
      </c>
      <c r="H112" s="1133">
        <f>SUM(G112+'[3]1'!G84)</f>
        <v>668</v>
      </c>
      <c r="I112" s="1132"/>
      <c r="J112" s="1134">
        <f>H112/DAY(B2)</f>
        <v>26.72</v>
      </c>
      <c r="N112" s="1171"/>
      <c r="O112" s="1009"/>
    </row>
    <row r="113" spans="1:15" s="1054" customFormat="1">
      <c r="A113" s="1585" t="s">
        <v>234</v>
      </c>
      <c r="B113" s="1586"/>
      <c r="C113" s="1135"/>
      <c r="D113" s="1131"/>
      <c r="E113" s="1132">
        <f>'[3]24'!F113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577" t="s">
        <v>235</v>
      </c>
      <c r="B114" s="1578"/>
      <c r="C114" s="1137"/>
      <c r="D114" s="1131" t="s">
        <v>155</v>
      </c>
      <c r="E114" s="1132">
        <f>'[3]24'!F114</f>
        <v>8519</v>
      </c>
      <c r="F114" s="1136">
        <v>8530</v>
      </c>
      <c r="G114" s="1136">
        <f>F114-E114</f>
        <v>11</v>
      </c>
      <c r="H114" s="1133">
        <f>SUM(G114+'[3]1'!G91)</f>
        <v>11</v>
      </c>
      <c r="I114" s="1132"/>
      <c r="J114" s="1134">
        <f>H114/DAY(B2)</f>
        <v>0.44</v>
      </c>
      <c r="N114" s="1171"/>
      <c r="O114" s="1009"/>
    </row>
    <row r="115" spans="1:15" s="1054" customFormat="1">
      <c r="A115" s="1577" t="s">
        <v>236</v>
      </c>
      <c r="B115" s="1578"/>
      <c r="C115" s="1137"/>
      <c r="D115" s="1131" t="s">
        <v>155</v>
      </c>
      <c r="E115" s="1132">
        <f>'[3]24'!F115</f>
        <v>6734</v>
      </c>
      <c r="F115" s="1136">
        <v>6754</v>
      </c>
      <c r="G115" s="1136">
        <f t="shared" ref="G115:G116" si="15">F115-E115</f>
        <v>20</v>
      </c>
      <c r="H115" s="1133">
        <f>SUM(G115+'[3]1'!G92)</f>
        <v>125</v>
      </c>
      <c r="I115" s="1132"/>
      <c r="J115" s="1134">
        <f>H115/DAY(B2)</f>
        <v>5</v>
      </c>
      <c r="N115" s="1171"/>
      <c r="O115" s="1009"/>
    </row>
    <row r="116" spans="1:15" s="1054" customFormat="1">
      <c r="A116" s="1577" t="s">
        <v>237</v>
      </c>
      <c r="B116" s="1578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185</v>
      </c>
      <c r="I116" s="1132"/>
      <c r="J116" s="1134">
        <f>H116/DAY(B2)</f>
        <v>7.4</v>
      </c>
      <c r="N116" s="1171"/>
      <c r="O116" s="1009"/>
    </row>
    <row r="117" spans="1:15" s="1139" customFormat="1">
      <c r="A117" s="1579" t="s">
        <v>213</v>
      </c>
      <c r="B117" s="1580"/>
      <c r="C117" s="1137"/>
      <c r="D117" s="1138"/>
      <c r="E117" s="1136"/>
      <c r="F117" s="1136"/>
      <c r="G117" s="1136">
        <f>SUM(G114:G116)</f>
        <v>31</v>
      </c>
      <c r="H117" s="1133">
        <f>SUM(G117+'[3]1'!G95)</f>
        <v>79</v>
      </c>
      <c r="I117" s="1136"/>
      <c r="J117" s="1134">
        <f>H117/DAY(B2)</f>
        <v>3.16</v>
      </c>
      <c r="N117" s="1176"/>
      <c r="O117" s="1009"/>
    </row>
    <row r="118" spans="1:15" s="927" customFormat="1">
      <c r="A118" s="1581" t="s">
        <v>238</v>
      </c>
      <c r="B118" s="1582"/>
      <c r="C118" s="1140"/>
      <c r="D118" s="1141" t="s">
        <v>155</v>
      </c>
      <c r="E118" s="1142"/>
      <c r="F118" s="1143">
        <f>SUM(G19+G92)</f>
        <v>106</v>
      </c>
      <c r="G118" s="1143">
        <f>SUM(G19+G92)</f>
        <v>106</v>
      </c>
      <c r="H118" s="1133">
        <f>SUM(G118+'[3]1'!G96)</f>
        <v>155</v>
      </c>
      <c r="I118" s="1142"/>
      <c r="J118" s="1144">
        <f>H118/DAY(B2)</f>
        <v>6.2</v>
      </c>
      <c r="N118" s="1177"/>
      <c r="O118" s="1009"/>
    </row>
    <row r="119" spans="1:15" s="927" customFormat="1">
      <c r="A119" s="1581" t="s">
        <v>239</v>
      </c>
      <c r="B119" s="1582"/>
      <c r="C119" s="1140"/>
      <c r="D119" s="1141" t="s">
        <v>155</v>
      </c>
      <c r="E119" s="1142"/>
      <c r="F119" s="1143">
        <f>SUM(G95,G96,G97,G99,G100)</f>
        <v>89</v>
      </c>
      <c r="G119" s="1143">
        <f>SUM(G95,G96,G97,G99,G100)</f>
        <v>89</v>
      </c>
      <c r="H119" s="1133">
        <f>SUM(G119+'[3]1'!G98)</f>
        <v>121</v>
      </c>
      <c r="I119" s="1142"/>
      <c r="J119" s="1144">
        <f>H119/DAY(B2)</f>
        <v>4.84</v>
      </c>
      <c r="N119" s="1177"/>
      <c r="O119" s="1009"/>
    </row>
    <row r="120" spans="1:15" s="927" customFormat="1">
      <c r="A120" s="1581" t="s">
        <v>240</v>
      </c>
      <c r="B120" s="1582"/>
      <c r="C120" s="1140"/>
      <c r="D120" s="1141" t="s">
        <v>155</v>
      </c>
      <c r="E120" s="1142"/>
      <c r="F120" s="1136">
        <f>SUM(G112)</f>
        <v>72</v>
      </c>
      <c r="G120" s="1136">
        <f>SUM(G112)</f>
        <v>72</v>
      </c>
      <c r="H120" s="1133">
        <f>SUM(G120+'[3]1'!G100)</f>
        <v>72</v>
      </c>
      <c r="I120" s="1142"/>
      <c r="J120" s="1144">
        <f>H120/DAY(B2)</f>
        <v>2.88</v>
      </c>
      <c r="N120" s="1177"/>
      <c r="O120" s="1009"/>
    </row>
    <row r="121" spans="1:15" s="1054" customFormat="1">
      <c r="A121" s="1575"/>
      <c r="B121" s="1576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599" t="s">
        <v>241</v>
      </c>
      <c r="B122" s="1600"/>
      <c r="C122" s="160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'[3]24'!F123</f>
        <v>787625</v>
      </c>
      <c r="F123" s="1021">
        <v>787821.63</v>
      </c>
      <c r="G123" s="1004">
        <f t="shared" ref="G123:G127" si="16">F123-E123</f>
        <v>196.63000000000466</v>
      </c>
      <c r="H123" s="1005">
        <f>G123+'[3]24'!H123</f>
        <v>4896.7439999999478</v>
      </c>
      <c r="I123" s="1120"/>
      <c r="J123" s="1007">
        <f>H123/DAY(B2)</f>
        <v>195.86975999999791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'[3]24'!F124</f>
        <v>73581.899999999994</v>
      </c>
      <c r="F124" s="1148">
        <v>73581.899999999994</v>
      </c>
      <c r="G124" s="1004">
        <f t="shared" si="16"/>
        <v>0</v>
      </c>
      <c r="H124" s="1005">
        <f>G124+'[3]24'!H124</f>
        <v>0.89999999999417923</v>
      </c>
      <c r="I124" s="1120"/>
      <c r="J124" s="1007">
        <f>H124/DAY(B2)</f>
        <v>3.599999999976717E-2</v>
      </c>
      <c r="K124" s="1102"/>
      <c r="L124" s="982"/>
      <c r="O124" s="1009"/>
    </row>
    <row r="125" spans="1:15">
      <c r="A125" s="1593" t="s">
        <v>244</v>
      </c>
      <c r="B125" s="1594"/>
      <c r="C125" s="1595"/>
      <c r="D125" s="1002" t="s">
        <v>152</v>
      </c>
      <c r="E125" s="1003">
        <f>'[3]24'!F125</f>
        <v>132594.57</v>
      </c>
      <c r="F125" s="1037">
        <v>132663</v>
      </c>
      <c r="G125" s="1004">
        <f t="shared" si="16"/>
        <v>68.429999999993015</v>
      </c>
      <c r="H125" s="1005">
        <f>G125+'[3]24'!H125</f>
        <v>1556.7799999999988</v>
      </c>
      <c r="I125" s="1120"/>
      <c r="J125" s="1007">
        <f>H125/DAY(B2)</f>
        <v>62.271199999999951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'[3]24'!F126</f>
        <v>56191</v>
      </c>
      <c r="F126" s="1037">
        <v>56210</v>
      </c>
      <c r="G126" s="1004">
        <f t="shared" si="16"/>
        <v>19</v>
      </c>
      <c r="H126" s="1005">
        <f>G126+'[3]24'!H126</f>
        <v>624.19999999999709</v>
      </c>
      <c r="I126" s="1120"/>
      <c r="J126" s="1007">
        <f>H126/DAY(B2)</f>
        <v>24.967999999999883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'[3]24'!F127</f>
        <v>8640.1</v>
      </c>
      <c r="F127" s="1148">
        <v>8640</v>
      </c>
      <c r="G127" s="1004">
        <f t="shared" si="16"/>
        <v>-0.1000000000003638</v>
      </c>
      <c r="H127" s="1005">
        <f>G127+'[3]24'!H127</f>
        <v>1</v>
      </c>
      <c r="I127" s="1024"/>
      <c r="J127" s="1007">
        <f>H127/DAY(B2)</f>
        <v>0.04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232.92000000012376</v>
      </c>
      <c r="H128" s="1005">
        <f>G128+'[3]24'!H128</f>
        <v>2773.3850000001858</v>
      </c>
      <c r="I128" s="1024"/>
      <c r="J128" s="1007">
        <f>H128/DAY(B2)</f>
        <v>110.93540000000743</v>
      </c>
      <c r="K128" s="1102"/>
      <c r="L128" s="982"/>
      <c r="O128" s="1009"/>
    </row>
    <row r="129" spans="1:16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6">
      <c r="A130" s="1031" t="s">
        <v>249</v>
      </c>
      <c r="B130" s="1032"/>
      <c r="C130" s="1032"/>
      <c r="D130" s="1002" t="s">
        <v>250</v>
      </c>
      <c r="E130" s="1003">
        <f>'[3]24'!F130</f>
        <v>0</v>
      </c>
      <c r="F130" s="1033">
        <v>0</v>
      </c>
      <c r="G130" s="1004">
        <f t="shared" ref="G130:G140" si="17">F130-E130</f>
        <v>0</v>
      </c>
      <c r="H130" s="1005">
        <f>G130+'[3]24'!H130</f>
        <v>0</v>
      </c>
      <c r="I130" s="1024"/>
      <c r="J130" s="1007">
        <f>H130/DAY(B2)</f>
        <v>0</v>
      </c>
      <c r="O130" s="1009"/>
    </row>
    <row r="131" spans="1:16">
      <c r="A131" s="1031" t="s">
        <v>251</v>
      </c>
      <c r="B131" s="1032"/>
      <c r="C131" s="1032"/>
      <c r="D131" s="1002" t="s">
        <v>250</v>
      </c>
      <c r="E131" s="1003">
        <f>'[3]24'!F131</f>
        <v>0</v>
      </c>
      <c r="F131" s="1033">
        <v>0</v>
      </c>
      <c r="G131" s="1004">
        <f t="shared" si="17"/>
        <v>0</v>
      </c>
      <c r="H131" s="1005">
        <f>G131+'[3]24'!H131</f>
        <v>0</v>
      </c>
      <c r="I131" s="1024"/>
      <c r="J131" s="1007">
        <f>H131/DAY(B2)</f>
        <v>0</v>
      </c>
      <c r="O131" s="1009"/>
    </row>
    <row r="132" spans="1:16">
      <c r="A132" s="1031" t="s">
        <v>252</v>
      </c>
      <c r="B132" s="1032"/>
      <c r="C132" s="1032"/>
      <c r="D132" s="1002" t="s">
        <v>250</v>
      </c>
      <c r="E132" s="1003">
        <f>'[3]24'!F132</f>
        <v>38877</v>
      </c>
      <c r="F132" s="1153">
        <v>38877</v>
      </c>
      <c r="G132" s="1004">
        <f t="shared" si="17"/>
        <v>0</v>
      </c>
      <c r="H132" s="1005">
        <f>G132+'[3]24'!H132</f>
        <v>0</v>
      </c>
      <c r="I132" s="1024"/>
      <c r="J132" s="1007">
        <f>H132/DAY(B2)</f>
        <v>0</v>
      </c>
      <c r="O132" s="1009"/>
      <c r="P132" s="969">
        <f>49-24</f>
        <v>25</v>
      </c>
    </row>
    <row r="133" spans="1:16">
      <c r="A133" s="1031" t="s">
        <v>253</v>
      </c>
      <c r="B133" s="1032"/>
      <c r="C133" s="1032"/>
      <c r="D133" s="1002" t="s">
        <v>250</v>
      </c>
      <c r="E133" s="1003">
        <f>'[3]24'!F133</f>
        <v>34948</v>
      </c>
      <c r="F133" s="1153">
        <v>34948</v>
      </c>
      <c r="G133" s="1004">
        <f t="shared" si="17"/>
        <v>0</v>
      </c>
      <c r="H133" s="1005">
        <f>G133+'[3]24'!H133</f>
        <v>0</v>
      </c>
      <c r="I133" s="1024">
        <f>G132+G133+G134+G135</f>
        <v>24.06000000000131</v>
      </c>
      <c r="J133" s="1007">
        <f>H133/DAY(B2)</f>
        <v>0</v>
      </c>
      <c r="O133" s="1009"/>
    </row>
    <row r="134" spans="1:16">
      <c r="A134" s="1031" t="s">
        <v>254</v>
      </c>
      <c r="B134" s="1032"/>
      <c r="C134" s="1032"/>
      <c r="D134" s="1002" t="s">
        <v>250</v>
      </c>
      <c r="E134" s="1003">
        <f>'[3]24'!F134</f>
        <v>39735</v>
      </c>
      <c r="F134" s="1153">
        <v>39735</v>
      </c>
      <c r="G134" s="1004">
        <f t="shared" si="17"/>
        <v>0</v>
      </c>
      <c r="H134" s="1005">
        <f>G134+'[3]24'!H134</f>
        <v>24</v>
      </c>
      <c r="I134" s="1024"/>
      <c r="J134" s="1007">
        <f>H134/DAY(B2)</f>
        <v>0.96</v>
      </c>
      <c r="O134" s="1009"/>
    </row>
    <row r="135" spans="1:16">
      <c r="A135" s="1031" t="s">
        <v>255</v>
      </c>
      <c r="B135" s="1032"/>
      <c r="C135" s="1032"/>
      <c r="D135" s="1002" t="s">
        <v>250</v>
      </c>
      <c r="E135" s="1003">
        <f>'[3]24'!F135</f>
        <v>31572.23</v>
      </c>
      <c r="F135" s="1153">
        <v>31596.29</v>
      </c>
      <c r="G135" s="1004">
        <f t="shared" si="17"/>
        <v>24.06000000000131</v>
      </c>
      <c r="H135" s="1005">
        <f>G135+'[3]24'!H135</f>
        <v>61.260000000002037</v>
      </c>
      <c r="I135" s="1024"/>
      <c r="J135" s="1007">
        <f>H135/DAY(B2)</f>
        <v>2.4504000000000814</v>
      </c>
      <c r="O135" s="1009"/>
    </row>
    <row r="136" spans="1:16">
      <c r="A136" s="1031" t="s">
        <v>256</v>
      </c>
      <c r="B136" s="1032"/>
      <c r="C136" s="1032"/>
      <c r="D136" s="1002" t="s">
        <v>250</v>
      </c>
      <c r="E136" s="1003">
        <f>'[3]24'!F136</f>
        <v>21647.42</v>
      </c>
      <c r="F136" s="1153">
        <v>21647.62</v>
      </c>
      <c r="G136" s="1004">
        <f t="shared" si="17"/>
        <v>0.2000000000007276</v>
      </c>
      <c r="H136" s="1005">
        <f>G136+'[3]24'!H136</f>
        <v>49.590000000000146</v>
      </c>
      <c r="I136" s="1024">
        <f>G134+G135+G136</f>
        <v>24.260000000002037</v>
      </c>
      <c r="J136" s="1007">
        <f>H136/DAY(B2)</f>
        <v>1.9836000000000058</v>
      </c>
      <c r="O136" s="1009"/>
    </row>
    <row r="137" spans="1:16">
      <c r="A137" s="1031" t="s">
        <v>257</v>
      </c>
      <c r="B137" s="1032"/>
      <c r="C137" s="1032"/>
      <c r="D137" s="1002" t="s">
        <v>250</v>
      </c>
      <c r="E137" s="1003">
        <f>'[3]24'!F137</f>
        <v>24931.62</v>
      </c>
      <c r="F137" s="1153">
        <v>24931.65</v>
      </c>
      <c r="G137" s="1004">
        <f t="shared" si="17"/>
        <v>3.0000000002473826E-2</v>
      </c>
      <c r="H137" s="1005">
        <f>G137+'[3]24'!H137</f>
        <v>10.680000000000291</v>
      </c>
      <c r="I137" s="1024"/>
      <c r="J137" s="1007">
        <f>H137/DAY(B2)</f>
        <v>0.42720000000001163</v>
      </c>
      <c r="O137" s="1009"/>
    </row>
    <row r="138" spans="1:16">
      <c r="A138" s="1031" t="s">
        <v>258</v>
      </c>
      <c r="B138" s="1032"/>
      <c r="C138" s="1032"/>
      <c r="D138" s="1002" t="s">
        <v>250</v>
      </c>
      <c r="E138" s="1003">
        <f>'[3]24'!F138</f>
        <v>69943.91</v>
      </c>
      <c r="F138" s="1153">
        <v>69953.38</v>
      </c>
      <c r="G138" s="1004">
        <f t="shared" si="17"/>
        <v>9.4700000000011642</v>
      </c>
      <c r="H138" s="1005">
        <f>G138+'[3]24'!H138</f>
        <v>24.470000000001164</v>
      </c>
      <c r="I138" s="1024">
        <f>G137+G138</f>
        <v>9.500000000003638</v>
      </c>
      <c r="J138" s="1007">
        <f>H138/DAY(B2)</f>
        <v>0.97880000000004652</v>
      </c>
      <c r="O138" s="1009"/>
    </row>
    <row r="139" spans="1:16">
      <c r="A139" s="1031" t="s">
        <v>259</v>
      </c>
      <c r="B139" s="1032"/>
      <c r="C139" s="1032"/>
      <c r="D139" s="1002" t="s">
        <v>250</v>
      </c>
      <c r="E139" s="1003">
        <f>'[3]24'!F139</f>
        <v>907.55</v>
      </c>
      <c r="F139" s="1033">
        <v>913.08</v>
      </c>
      <c r="G139" s="1004">
        <f t="shared" si="17"/>
        <v>5.5300000000000864</v>
      </c>
      <c r="H139" s="1005">
        <f>G139+'[3]24'!H139</f>
        <v>136.65000000000009</v>
      </c>
      <c r="I139" s="1154"/>
      <c r="J139" s="1007">
        <f>H139/DAY(B2)</f>
        <v>5.4660000000000037</v>
      </c>
      <c r="O139" s="1009"/>
    </row>
    <row r="140" spans="1:16">
      <c r="A140" s="1031" t="s">
        <v>260</v>
      </c>
      <c r="B140" s="1032"/>
      <c r="C140" s="1032"/>
      <c r="D140" s="1002" t="s">
        <v>250</v>
      </c>
      <c r="E140" s="1003">
        <f>'[3]24'!F140</f>
        <v>4156.8999999999996</v>
      </c>
      <c r="F140" s="1033">
        <v>4156.8999999999996</v>
      </c>
      <c r="G140" s="1004">
        <f t="shared" si="17"/>
        <v>0</v>
      </c>
      <c r="H140" s="1005">
        <f>G140+'[3]24'!H140</f>
        <v>2.6299999999991996</v>
      </c>
      <c r="I140" s="1154"/>
      <c r="J140" s="1007">
        <f>H140/DAY(B2)</f>
        <v>0.10519999999996799</v>
      </c>
      <c r="O140" s="1009"/>
    </row>
    <row r="141" spans="1:16">
      <c r="A141" s="1602" t="s">
        <v>261</v>
      </c>
      <c r="B141" s="160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6">
      <c r="A142" s="1587" t="s">
        <v>262</v>
      </c>
      <c r="B142" s="1588"/>
      <c r="C142" s="1589"/>
      <c r="D142" s="1002" t="s">
        <v>143</v>
      </c>
      <c r="E142" s="1002"/>
      <c r="F142" s="1002"/>
      <c r="G142" s="1005">
        <f>G35+G43+G49+G57</f>
        <v>4825.6300000000192</v>
      </c>
      <c r="H142" s="1005">
        <f>G142+'[3]24'!H142</f>
        <v>121082.46900000006</v>
      </c>
      <c r="I142" s="1024"/>
      <c r="J142" s="1007">
        <f>H142/DAY(B2)</f>
        <v>4843.2987600000024</v>
      </c>
      <c r="K142" s="1102"/>
      <c r="L142" s="982"/>
      <c r="O142" s="1009"/>
    </row>
    <row r="143" spans="1:16">
      <c r="A143" s="1587" t="s">
        <v>263</v>
      </c>
      <c r="B143" s="1588"/>
      <c r="C143" s="1589"/>
      <c r="D143" s="1002" t="s">
        <v>24</v>
      </c>
      <c r="E143" s="989"/>
      <c r="F143" s="989"/>
      <c r="G143" s="1155">
        <f>G142/G7</f>
        <v>0.26349404826908479</v>
      </c>
      <c r="H143" s="1005">
        <f>G143+'[3]24'!H143</f>
        <v>6.0812697814063537</v>
      </c>
      <c r="I143" s="1156"/>
      <c r="J143" s="1007">
        <f>H143/DAY(B2)</f>
        <v>0.24325079125625415</v>
      </c>
      <c r="K143" s="1102"/>
      <c r="L143" s="982"/>
      <c r="O143" s="1009"/>
    </row>
    <row r="144" spans="1:16">
      <c r="A144" s="1587" t="s">
        <v>264</v>
      </c>
      <c r="B144" s="1588"/>
      <c r="C144" s="1589"/>
      <c r="D144" s="1002" t="s">
        <v>143</v>
      </c>
      <c r="E144" s="1003"/>
      <c r="F144" s="1003"/>
      <c r="G144" s="1005">
        <f>G41+G42+G55+G56</f>
        <v>4159.5599999999977</v>
      </c>
      <c r="H144" s="1005">
        <f>G144+'[3]24'!H144</f>
        <v>108583.03000000012</v>
      </c>
      <c r="I144" s="1024"/>
      <c r="J144" s="1007">
        <f>H144/DAY(B2)</f>
        <v>4343.3212000000049</v>
      </c>
      <c r="K144" s="1102"/>
      <c r="L144" s="982"/>
      <c r="O144" s="1009"/>
    </row>
    <row r="145" spans="1:15">
      <c r="A145" s="1587" t="s">
        <v>265</v>
      </c>
      <c r="B145" s="1588"/>
      <c r="C145" s="1589"/>
      <c r="D145" s="1002" t="s">
        <v>24</v>
      </c>
      <c r="E145" s="1003"/>
      <c r="F145" s="1003"/>
      <c r="G145" s="1155">
        <f>G144/G7</f>
        <v>0.22712460412798938</v>
      </c>
      <c r="H145" s="1005">
        <f>G145+'[3]24'!H145</f>
        <v>5.6179273835639147</v>
      </c>
      <c r="I145" s="1156"/>
      <c r="J145" s="1007">
        <f>H145/DAY(B2)</f>
        <v>0.2247170953425566</v>
      </c>
      <c r="K145" s="1102"/>
      <c r="L145" s="982"/>
      <c r="O145" s="1009"/>
    </row>
    <row r="146" spans="1:15">
      <c r="A146" s="1587" t="s">
        <v>266</v>
      </c>
      <c r="B146" s="1588"/>
      <c r="C146" s="1589"/>
      <c r="D146" s="1002" t="s">
        <v>143</v>
      </c>
      <c r="E146" s="1003"/>
      <c r="F146" s="1003"/>
      <c r="G146" s="1005">
        <f>G39+G53</f>
        <v>4174.3300000000017</v>
      </c>
      <c r="H146" s="1005">
        <f>G146+'[3]24'!H146</f>
        <v>75698.760000000053</v>
      </c>
      <c r="I146" s="1157"/>
      <c r="J146" s="1007">
        <f>H146/DAY(B2)</f>
        <v>3027.950400000002</v>
      </c>
      <c r="K146" s="1102"/>
      <c r="L146" s="982"/>
      <c r="O146" s="1009"/>
    </row>
    <row r="147" spans="1:15">
      <c r="A147" s="1587" t="s">
        <v>267</v>
      </c>
      <c r="B147" s="1588"/>
      <c r="C147" s="1589"/>
      <c r="D147" s="1002" t="s">
        <v>24</v>
      </c>
      <c r="E147" s="1003"/>
      <c r="F147" s="1003"/>
      <c r="G147" s="1155">
        <f>G146/G7</f>
        <v>0.22793109096865796</v>
      </c>
      <c r="H147" s="1005">
        <f>G147+'[3]24'!H147</f>
        <v>3.8833514849332915</v>
      </c>
      <c r="I147" s="1157"/>
      <c r="J147" s="1007">
        <f>H147/DAY(B2)</f>
        <v>0.15533405939733166</v>
      </c>
      <c r="O147" s="1009"/>
    </row>
    <row r="148" spans="1:15">
      <c r="A148" s="1587" t="s">
        <v>268</v>
      </c>
      <c r="B148" s="1588"/>
      <c r="C148" s="1589"/>
      <c r="D148" s="1002" t="s">
        <v>194</v>
      </c>
      <c r="E148" s="1003"/>
      <c r="F148" s="1003"/>
      <c r="G148" s="1005">
        <f>G38+G52</f>
        <v>1692.4000000000233</v>
      </c>
      <c r="H148" s="1005">
        <f>G148+'[3]24'!H148</f>
        <v>43464.56</v>
      </c>
      <c r="I148" s="1024"/>
      <c r="J148" s="1007">
        <f>H148/DAY(B2)</f>
        <v>1738.5824</v>
      </c>
      <c r="K148" s="1158"/>
      <c r="O148" s="1009"/>
    </row>
    <row r="149" spans="1:15">
      <c r="A149" s="1587" t="s">
        <v>269</v>
      </c>
      <c r="B149" s="1588"/>
      <c r="C149" s="1589"/>
      <c r="D149" s="1002" t="s">
        <v>24</v>
      </c>
      <c r="E149" s="1003"/>
      <c r="F149" s="1003"/>
      <c r="G149" s="1155">
        <f>G148/G7</f>
        <v>9.2410178005898402E-2</v>
      </c>
      <c r="H149" s="1005">
        <f>G149+'[3]24'!H149</f>
        <v>2.2467992659694338</v>
      </c>
      <c r="I149" s="1157"/>
      <c r="J149" s="1007">
        <f>H149/DAY(B2)</f>
        <v>8.9871970638777346E-2</v>
      </c>
      <c r="O149" s="1009"/>
    </row>
    <row r="150" spans="1:15">
      <c r="A150" s="1587" t="s">
        <v>270</v>
      </c>
      <c r="B150" s="1588"/>
      <c r="C150" s="1589"/>
      <c r="D150" s="1002" t="s">
        <v>194</v>
      </c>
      <c r="E150" s="1003"/>
      <c r="F150" s="1003"/>
      <c r="G150" s="1005">
        <f>G36+G50</f>
        <v>1511.2399999999907</v>
      </c>
      <c r="H150" s="1005">
        <f>G150+'[3]24'!H150</f>
        <v>39848.799999999988</v>
      </c>
      <c r="I150" s="1157"/>
      <c r="J150" s="1007">
        <f>H150/DAY(B2)</f>
        <v>1593.9519999999995</v>
      </c>
      <c r="O150" s="1009"/>
    </row>
    <row r="151" spans="1:15">
      <c r="A151" s="1587" t="s">
        <v>271</v>
      </c>
      <c r="B151" s="1588"/>
      <c r="C151" s="1589"/>
      <c r="D151" s="1002" t="s">
        <v>24</v>
      </c>
      <c r="E151" s="1003"/>
      <c r="F151" s="1003"/>
      <c r="G151" s="1155">
        <f>G150/G7</f>
        <v>8.2518292017035644E-2</v>
      </c>
      <c r="H151" s="1005">
        <f>G151+'[3]24'!H151</f>
        <v>2.0567406521861966</v>
      </c>
      <c r="I151" s="1024"/>
      <c r="J151" s="1007">
        <f>H151/DAY(B2)</f>
        <v>8.2269626087447867E-2</v>
      </c>
      <c r="O151" s="1009"/>
    </row>
    <row r="152" spans="1:15">
      <c r="A152" s="1587" t="s">
        <v>272</v>
      </c>
      <c r="B152" s="1588"/>
      <c r="C152" s="1589"/>
      <c r="D152" s="1002" t="s">
        <v>194</v>
      </c>
      <c r="E152" s="1003"/>
      <c r="F152" s="1003"/>
      <c r="G152" s="1005">
        <f>G37+G51</f>
        <v>1356.25</v>
      </c>
      <c r="H152" s="1005">
        <f>G152+'[3]24'!H152</f>
        <v>35241.531900000002</v>
      </c>
      <c r="I152" s="1024"/>
      <c r="J152" s="1007">
        <f>H152/DAY(B2)</f>
        <v>1409.661276</v>
      </c>
      <c r="O152" s="1009"/>
    </row>
    <row r="153" spans="1:15" ht="21" thickBot="1">
      <c r="A153" s="1590" t="s">
        <v>273</v>
      </c>
      <c r="B153" s="1591"/>
      <c r="C153" s="1592"/>
      <c r="D153" s="1159" t="s">
        <v>24</v>
      </c>
      <c r="E153" s="1160"/>
      <c r="F153" s="1160"/>
      <c r="G153" s="1161">
        <f>G152/G7</f>
        <v>7.4055367478431805E-2</v>
      </c>
      <c r="H153" s="1005">
        <f>G153+'[3]24'!H153</f>
        <v>1.826362459352747</v>
      </c>
      <c r="I153" s="1162"/>
      <c r="J153" s="1163">
        <f>H153/DAY(B2)</f>
        <v>7.3054498374109877E-2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'[3]24'!F160</f>
        <v>23404.49</v>
      </c>
      <c r="F160" s="1178">
        <v>23477.81</v>
      </c>
      <c r="G160" s="1004">
        <f t="shared" ref="G160:G171" si="18">F160-E160</f>
        <v>73.319999999999709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'[3]24'!F161</f>
        <v>6580.57</v>
      </c>
      <c r="F161" s="1178">
        <v>7213.1</v>
      </c>
      <c r="G161" s="1004">
        <f t="shared" si="18"/>
        <v>632.53000000000065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'[3]24'!F162</f>
        <v>1413</v>
      </c>
      <c r="F162" s="1178">
        <v>1671</v>
      </c>
      <c r="G162" s="1004">
        <f t="shared" si="18"/>
        <v>258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'[3]24'!F163</f>
        <v>3417.11</v>
      </c>
      <c r="F163" s="1178">
        <v>3434.66</v>
      </c>
      <c r="G163" s="1004">
        <f t="shared" si="18"/>
        <v>17.549999999999727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8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9">E63</f>
        <v>758.38</v>
      </c>
      <c r="F165" s="1085">
        <f t="shared" si="19"/>
        <v>774.55</v>
      </c>
      <c r="G165" s="1004">
        <f t="shared" si="18"/>
        <v>16.169999999999959</v>
      </c>
    </row>
    <row r="166" spans="1:7" ht="21.75" customHeight="1">
      <c r="A166" s="1574" t="s">
        <v>107</v>
      </c>
      <c r="B166" s="1574"/>
      <c r="C166" s="1574"/>
      <c r="D166" s="1002" t="s">
        <v>198</v>
      </c>
      <c r="E166" s="1085">
        <f t="shared" si="19"/>
        <v>84540.35</v>
      </c>
      <c r="F166" s="1085">
        <f t="shared" si="19"/>
        <v>84897.47</v>
      </c>
      <c r="G166" s="1004">
        <f t="shared" si="18"/>
        <v>357.11999999999534</v>
      </c>
    </row>
    <row r="167" spans="1:7" ht="21.75" customHeight="1">
      <c r="A167" s="1574" t="s">
        <v>108</v>
      </c>
      <c r="B167" s="1574"/>
      <c r="C167" s="1574"/>
      <c r="D167" s="1002" t="s">
        <v>198</v>
      </c>
      <c r="E167" s="1085">
        <f t="shared" si="19"/>
        <v>94324.89</v>
      </c>
      <c r="F167" s="1085">
        <f t="shared" si="19"/>
        <v>94711.360000000001</v>
      </c>
      <c r="G167" s="1004">
        <f t="shared" si="18"/>
        <v>386.47000000000116</v>
      </c>
    </row>
    <row r="168" spans="1:7" ht="21.75" customHeight="1">
      <c r="A168" s="1574" t="s">
        <v>109</v>
      </c>
      <c r="B168" s="1574"/>
      <c r="C168" s="1574"/>
      <c r="D168" s="1002" t="s">
        <v>198</v>
      </c>
      <c r="E168" s="1085">
        <f t="shared" si="19"/>
        <v>87605.47</v>
      </c>
      <c r="F168" s="1085">
        <f t="shared" si="19"/>
        <v>88004.24</v>
      </c>
      <c r="G168" s="1004">
        <f t="shared" si="18"/>
        <v>398.77000000000407</v>
      </c>
    </row>
    <row r="169" spans="1:7">
      <c r="A169" s="1574" t="s">
        <v>110</v>
      </c>
      <c r="B169" s="1574"/>
      <c r="C169" s="1574"/>
      <c r="D169" s="1002" t="s">
        <v>198</v>
      </c>
      <c r="E169" s="1085">
        <f t="shared" si="19"/>
        <v>141620.29999999999</v>
      </c>
      <c r="F169" s="1085">
        <f t="shared" si="19"/>
        <v>142352.78</v>
      </c>
      <c r="G169" s="1004">
        <f t="shared" si="18"/>
        <v>732.48000000001048</v>
      </c>
    </row>
    <row r="170" spans="1:7" ht="24" customHeight="1">
      <c r="A170" s="1574" t="s">
        <v>111</v>
      </c>
      <c r="B170" s="1574"/>
      <c r="C170" s="1574"/>
      <c r="D170" s="1002" t="s">
        <v>198</v>
      </c>
      <c r="E170" s="1085">
        <f t="shared" si="19"/>
        <v>41031.15</v>
      </c>
      <c r="F170" s="1085">
        <f t="shared" si="19"/>
        <v>41418.57</v>
      </c>
      <c r="G170" s="1004">
        <f t="shared" si="18"/>
        <v>387.41999999999825</v>
      </c>
    </row>
    <row r="171" spans="1:7">
      <c r="A171" s="1574" t="s">
        <v>112</v>
      </c>
      <c r="B171" s="1574"/>
      <c r="C171" s="1574"/>
      <c r="D171" s="1002" t="s">
        <v>198</v>
      </c>
      <c r="E171" s="1085">
        <f t="shared" si="19"/>
        <v>35830.19</v>
      </c>
      <c r="F171" s="1085">
        <f t="shared" si="19"/>
        <v>36117.5</v>
      </c>
      <c r="G171" s="1004">
        <f t="shared" si="18"/>
        <v>287.30999999999767</v>
      </c>
    </row>
    <row r="172" spans="1:7">
      <c r="G172" s="1169">
        <f>SUM(G160:G171)</f>
        <v>3547.1400000000071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SheetLayoutView="70" workbookViewId="0">
      <selection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0.100000000000001" customHeight="1">
      <c r="A1" s="1616" t="s">
        <v>128</v>
      </c>
      <c r="B1" s="1617"/>
      <c r="C1" s="1617"/>
      <c r="D1" s="1617"/>
      <c r="E1" s="1617"/>
      <c r="F1" s="1617"/>
      <c r="G1" s="1617"/>
      <c r="H1" s="1617"/>
      <c r="I1" s="1617"/>
      <c r="J1" s="1618"/>
    </row>
    <row r="2" spans="1:15" ht="30.75" customHeight="1">
      <c r="A2" s="970" t="s">
        <v>293</v>
      </c>
      <c r="B2" s="1242">
        <v>44161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 ht="20.100000000000001" customHeight="1">
      <c r="A3" s="975"/>
      <c r="B3" s="976"/>
      <c r="C3" s="971" t="s">
        <v>131</v>
      </c>
      <c r="D3" s="971">
        <v>28</v>
      </c>
      <c r="E3" s="1625" t="s">
        <v>132</v>
      </c>
      <c r="F3" s="1626"/>
      <c r="G3" s="978"/>
      <c r="H3" s="979"/>
      <c r="I3" s="979"/>
      <c r="J3" s="980"/>
      <c r="K3" s="981"/>
      <c r="L3" s="982"/>
    </row>
    <row r="4" spans="1:15" ht="20.100000000000001" customHeight="1">
      <c r="A4" s="983"/>
      <c r="B4" s="984"/>
      <c r="C4" s="971" t="s">
        <v>133</v>
      </c>
      <c r="D4" s="1183">
        <v>0.85</v>
      </c>
      <c r="E4" s="985"/>
      <c r="F4" s="985"/>
      <c r="G4" s="985"/>
      <c r="H4" s="985"/>
      <c r="I4" s="986"/>
      <c r="J4" s="980"/>
      <c r="K4" s="987"/>
      <c r="L4" s="982"/>
    </row>
    <row r="5" spans="1:15" ht="22.5" customHeight="1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 ht="20.100000000000001" customHeight="1">
      <c r="A6" s="1619" t="s">
        <v>141</v>
      </c>
      <c r="B6" s="1620"/>
      <c r="C6" s="1621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5.5" customHeight="1" thickBot="1">
      <c r="A7" s="1000" t="s">
        <v>142</v>
      </c>
      <c r="B7" s="1001"/>
      <c r="C7" s="1001"/>
      <c r="D7" s="1002" t="s">
        <v>143</v>
      </c>
      <c r="E7" s="1003">
        <f>'[3]25'!F7</f>
        <v>2569010</v>
      </c>
      <c r="F7" s="1003">
        <v>2587304</v>
      </c>
      <c r="G7" s="1004">
        <f>F7-E7</f>
        <v>18294</v>
      </c>
      <c r="H7" s="1005">
        <f>G7+'[3]25'!H7</f>
        <v>482279</v>
      </c>
      <c r="I7" s="1006">
        <f>'[3]1'!I7</f>
        <v>12000</v>
      </c>
      <c r="J7" s="1007">
        <f>H7/DAY(B2)</f>
        <v>18549.192307692309</v>
      </c>
      <c r="K7" s="1008"/>
      <c r="L7" s="982"/>
      <c r="N7" s="1181"/>
      <c r="O7" s="1009"/>
    </row>
    <row r="8" spans="1:15" ht="20.100000000000001" customHeight="1" thickBot="1">
      <c r="A8" s="1010" t="s">
        <v>144</v>
      </c>
      <c r="B8" s="1011"/>
      <c r="C8" s="1012"/>
      <c r="D8" s="1013" t="s">
        <v>25</v>
      </c>
      <c r="E8" s="1003">
        <f>'[3]25'!F8</f>
        <v>2582527</v>
      </c>
      <c r="F8" s="1014">
        <v>2601120</v>
      </c>
      <c r="G8" s="1015">
        <f>F8-E8</f>
        <v>18593</v>
      </c>
      <c r="H8" s="1005">
        <f>G8+'[3]25'!H8</f>
        <v>485679</v>
      </c>
      <c r="I8" s="1016">
        <f>'[3]1'!I8</f>
        <v>12000</v>
      </c>
      <c r="J8" s="1007">
        <f>H8/DAY(B2)</f>
        <v>18679.961538461539</v>
      </c>
      <c r="K8" s="1008"/>
      <c r="L8" s="1017"/>
      <c r="M8" s="1018"/>
      <c r="O8" s="1009"/>
    </row>
    <row r="9" spans="1:15" ht="20.100000000000001" customHeight="1">
      <c r="A9" s="1019" t="s">
        <v>145</v>
      </c>
      <c r="B9" s="1020"/>
      <c r="C9" s="1020"/>
      <c r="D9" s="1002" t="s">
        <v>143</v>
      </c>
      <c r="E9" s="1003">
        <f>'[3]25'!F9</f>
        <v>2240961.5</v>
      </c>
      <c r="F9" s="1021">
        <v>2243986.5</v>
      </c>
      <c r="G9" s="1004">
        <f>F9-E9</f>
        <v>3025</v>
      </c>
      <c r="H9" s="1005">
        <f>G9+'[3]25'!H9</f>
        <v>226981.19999999995</v>
      </c>
      <c r="I9" s="1022">
        <f>I8-J8</f>
        <v>-6679.961538461539</v>
      </c>
      <c r="J9" s="1007">
        <f>H9/DAY(B2)</f>
        <v>8730.0461538461514</v>
      </c>
      <c r="K9" s="1023"/>
      <c r="L9" s="982"/>
      <c r="O9" s="1009"/>
    </row>
    <row r="10" spans="1:15" ht="20.100000000000001" customHeight="1">
      <c r="A10" s="1000" t="s">
        <v>146</v>
      </c>
      <c r="B10" s="1001"/>
      <c r="C10" s="1001"/>
      <c r="D10" s="1002" t="s">
        <v>143</v>
      </c>
      <c r="E10" s="1003">
        <f>'[3]25'!F10</f>
        <v>223240.95</v>
      </c>
      <c r="F10" s="1021">
        <v>237837.57</v>
      </c>
      <c r="G10" s="1004">
        <f t="shared" ref="G10:G12" si="0">F10-E10</f>
        <v>14596.619999999995</v>
      </c>
      <c r="H10" s="1005">
        <f>G10+'[3]25'!H10</f>
        <v>237837.78000000003</v>
      </c>
      <c r="I10" s="1024"/>
      <c r="J10" s="1007">
        <f>H10/DAY(B2)</f>
        <v>9147.6069230769244</v>
      </c>
      <c r="K10" s="1023"/>
      <c r="L10" s="982"/>
      <c r="O10" s="1009"/>
    </row>
    <row r="11" spans="1:15" ht="20.100000000000001" customHeight="1">
      <c r="A11" s="1000" t="s">
        <v>147</v>
      </c>
      <c r="B11" s="1001"/>
      <c r="C11" s="1001"/>
      <c r="D11" s="1002" t="s">
        <v>143</v>
      </c>
      <c r="E11" s="1003">
        <f>'[3]25'!F11</f>
        <v>35390</v>
      </c>
      <c r="F11" s="1003">
        <v>35390</v>
      </c>
      <c r="G11" s="1004">
        <f t="shared" si="0"/>
        <v>0</v>
      </c>
      <c r="H11" s="1005">
        <f>G11+'[3]25'!H11</f>
        <v>0</v>
      </c>
      <c r="I11" s="1024"/>
      <c r="J11" s="1007">
        <f>H11/DAY(B2)</f>
        <v>0</v>
      </c>
      <c r="K11" s="1023"/>
      <c r="L11" s="982">
        <v>1375467</v>
      </c>
      <c r="N11" s="1182"/>
      <c r="O11" s="1009"/>
    </row>
    <row r="12" spans="1:15" ht="20.100000000000001" customHeight="1">
      <c r="A12" s="1000" t="s">
        <v>148</v>
      </c>
      <c r="B12" s="1001"/>
      <c r="C12" s="1001"/>
      <c r="D12" s="1002" t="s">
        <v>143</v>
      </c>
      <c r="E12" s="1003">
        <f>'[3]25'!F12</f>
        <v>37630</v>
      </c>
      <c r="F12" s="1021">
        <v>37630</v>
      </c>
      <c r="G12" s="1004">
        <f t="shared" si="0"/>
        <v>0</v>
      </c>
      <c r="H12" s="1005">
        <f>G12+'[3]25'!H12</f>
        <v>0</v>
      </c>
      <c r="I12" s="1024"/>
      <c r="J12" s="1007">
        <f>H12/DAY(B2)</f>
        <v>0</v>
      </c>
      <c r="K12" s="1023"/>
      <c r="L12" s="982"/>
      <c r="O12" s="1009"/>
    </row>
    <row r="13" spans="1:15" ht="20.100000000000001" customHeight="1">
      <c r="A13" s="1025" t="s">
        <v>149</v>
      </c>
      <c r="B13" s="1026"/>
      <c r="C13" s="1026"/>
      <c r="D13" s="1002"/>
      <c r="E13" s="1003"/>
      <c r="F13" s="1003"/>
      <c r="G13" s="1027">
        <f>G9+G10+G11+G12</f>
        <v>17621.619999999995</v>
      </c>
      <c r="H13" s="1005">
        <f>G13+'[3]25'!H13</f>
        <v>410555.18000000005</v>
      </c>
      <c r="I13" s="1028">
        <f>G7-G13</f>
        <v>672.38000000000466</v>
      </c>
      <c r="J13" s="1007">
        <f>H13/DAY(B2)</f>
        <v>15790.583846153848</v>
      </c>
      <c r="K13" s="1023"/>
      <c r="L13" s="982"/>
      <c r="O13" s="1009"/>
    </row>
    <row r="14" spans="1:15" ht="28.5" customHeight="1">
      <c r="A14" s="1622" t="s">
        <v>150</v>
      </c>
      <c r="B14" s="1623"/>
      <c r="C14" s="1624"/>
      <c r="D14" s="997"/>
      <c r="E14" s="997"/>
      <c r="F14" s="997"/>
      <c r="G14" s="1029"/>
      <c r="H14" s="997"/>
      <c r="I14" s="997"/>
      <c r="J14" s="998"/>
      <c r="K14" s="1030"/>
      <c r="L14" s="982">
        <v>1679344</v>
      </c>
      <c r="O14" s="1009"/>
    </row>
    <row r="15" spans="1:15" ht="30.75" customHeight="1">
      <c r="A15" s="1031" t="s">
        <v>151</v>
      </c>
      <c r="B15" s="1032"/>
      <c r="C15" s="1032"/>
      <c r="D15" s="1002" t="s">
        <v>152</v>
      </c>
      <c r="E15" s="1003">
        <f>'[3]25'!F15</f>
        <v>1543677.08</v>
      </c>
      <c r="F15" s="1033">
        <v>1544089.0049999999</v>
      </c>
      <c r="G15" s="1179">
        <f>(F15-E15)</f>
        <v>411.92499999981374</v>
      </c>
      <c r="H15" s="1005">
        <f>G15+'[3]25'!H15</f>
        <v>13973.810999999987</v>
      </c>
      <c r="I15" s="1006">
        <f>'[3]1'!I15</f>
        <v>800</v>
      </c>
      <c r="J15" s="1007">
        <f>H15/DAY(B2)</f>
        <v>537.45426923076877</v>
      </c>
      <c r="K15" s="1023"/>
      <c r="L15" s="982"/>
      <c r="O15" s="1009"/>
    </row>
    <row r="16" spans="1:15" ht="20.100000000000001" customHeight="1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262.54573076923123</v>
      </c>
      <c r="J16" s="1040"/>
      <c r="K16" s="1023"/>
      <c r="L16" s="982">
        <f>L14-L11</f>
        <v>303877</v>
      </c>
      <c r="O16" s="1009"/>
    </row>
    <row r="17" spans="1:15" ht="20.100000000000001" customHeight="1">
      <c r="A17" s="1622" t="s">
        <v>153</v>
      </c>
      <c r="B17" s="1623"/>
      <c r="C17" s="1624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 ht="20.100000000000001" customHeight="1">
      <c r="A18" s="1587" t="s">
        <v>154</v>
      </c>
      <c r="B18" s="1588"/>
      <c r="C18" s="1589"/>
      <c r="D18" s="1002" t="s">
        <v>155</v>
      </c>
      <c r="E18" s="1003">
        <f>'[3]25'!F18</f>
        <v>10</v>
      </c>
      <c r="F18" s="1033">
        <v>7</v>
      </c>
      <c r="G18" s="1027">
        <f>F18*10</f>
        <v>70</v>
      </c>
      <c r="H18" s="1005">
        <f>G18+'[3]25'!H18</f>
        <v>2630</v>
      </c>
      <c r="I18" s="1006">
        <f>'[3]1'!I18</f>
        <v>65</v>
      </c>
      <c r="J18" s="1007">
        <f>H18/DAY(B2)</f>
        <v>101.15384615384616</v>
      </c>
      <c r="K18" s="1023"/>
      <c r="L18" s="982"/>
      <c r="O18" s="1009"/>
    </row>
    <row r="19" spans="1:15" ht="20.100000000000001" customHeight="1">
      <c r="A19" s="1587" t="s">
        <v>71</v>
      </c>
      <c r="B19" s="1588"/>
      <c r="C19" s="1589"/>
      <c r="D19" s="1002" t="s">
        <v>155</v>
      </c>
      <c r="E19" s="1003">
        <f>'[3]25'!F19</f>
        <v>129516</v>
      </c>
      <c r="F19" s="1033">
        <v>129571</v>
      </c>
      <c r="G19" s="1004">
        <f t="shared" ref="G19" si="1">F19-E19</f>
        <v>55</v>
      </c>
      <c r="H19" s="1005">
        <f>G19+'[3]25'!H19</f>
        <v>1376</v>
      </c>
      <c r="I19" s="1042"/>
      <c r="J19" s="1007">
        <f>H19/DAY(B2)</f>
        <v>52.92307692307692</v>
      </c>
      <c r="K19" s="1023"/>
      <c r="L19" s="982">
        <f>L16/26</f>
        <v>11687.576923076924</v>
      </c>
      <c r="O19" s="1009"/>
    </row>
    <row r="20" spans="1:15" ht="20.100000000000001" customHeight="1">
      <c r="A20" s="1025" t="s">
        <v>156</v>
      </c>
      <c r="B20" s="1026"/>
      <c r="C20" s="1026"/>
      <c r="D20" s="1043"/>
      <c r="E20" s="1043"/>
      <c r="F20" s="1043"/>
      <c r="G20" s="1044">
        <f>G18+G19</f>
        <v>125</v>
      </c>
      <c r="H20" s="1005">
        <f>G20+'[3]25'!H20</f>
        <v>4006</v>
      </c>
      <c r="I20" s="1045">
        <f>I18-J20</f>
        <v>-89.076923076923066</v>
      </c>
      <c r="J20" s="1007">
        <f>H20/DAY(B2)</f>
        <v>154.07692307692307</v>
      </c>
      <c r="K20" s="1023"/>
      <c r="L20" s="982"/>
      <c r="O20" s="1009"/>
    </row>
    <row r="21" spans="1:15" ht="20.100000000000001" customHeight="1">
      <c r="A21" s="1622" t="s">
        <v>157</v>
      </c>
      <c r="B21" s="1623"/>
      <c r="C21" s="1624"/>
      <c r="D21" s="997"/>
      <c r="E21" s="997"/>
      <c r="F21" s="997"/>
      <c r="G21" s="1029"/>
      <c r="H21" s="997"/>
      <c r="I21" s="997"/>
      <c r="J21" s="998"/>
      <c r="K21" s="1023"/>
      <c r="L21" s="982" t="e">
        <f>#REF!/G11</f>
        <v>#REF!</v>
      </c>
      <c r="O21" s="1009"/>
    </row>
    <row r="22" spans="1:15" ht="20.100000000000001" customHeight="1">
      <c r="A22" s="1031" t="s">
        <v>158</v>
      </c>
      <c r="B22" s="1032"/>
      <c r="C22" s="1032"/>
      <c r="D22" s="1002" t="s">
        <v>159</v>
      </c>
      <c r="E22" s="1033">
        <f>'[3]25'!F22</f>
        <v>2250</v>
      </c>
      <c r="F22" s="1033">
        <v>1610</v>
      </c>
      <c r="G22" s="1027">
        <f t="shared" ref="G22:G23" si="2">E22-F22</f>
        <v>640</v>
      </c>
      <c r="H22" s="1005">
        <f>G22+'[3]25'!H22</f>
        <v>640</v>
      </c>
      <c r="I22" s="1024"/>
      <c r="J22" s="1007">
        <f>H22/DAY(B2)</f>
        <v>24.615384615384617</v>
      </c>
      <c r="K22" s="1023"/>
      <c r="L22" s="982"/>
      <c r="O22" s="1009"/>
    </row>
    <row r="23" spans="1:15" ht="20.100000000000001" customHeight="1">
      <c r="A23" s="1031" t="s">
        <v>160</v>
      </c>
      <c r="B23" s="1032"/>
      <c r="C23" s="1032"/>
      <c r="D23" s="1002" t="s">
        <v>159</v>
      </c>
      <c r="E23" s="1033">
        <f>'[3]25'!F23</f>
        <v>1700</v>
      </c>
      <c r="F23" s="1033">
        <v>1700</v>
      </c>
      <c r="G23" s="1027">
        <f t="shared" si="2"/>
        <v>0</v>
      </c>
      <c r="H23" s="1005">
        <f>G23+'[3]25'!H23</f>
        <v>0</v>
      </c>
      <c r="I23" s="1024"/>
      <c r="J23" s="1007">
        <f>H23/DAY(B2)</f>
        <v>0</v>
      </c>
      <c r="K23" s="1023"/>
      <c r="L23" s="982"/>
      <c r="O23" s="1009"/>
    </row>
    <row r="24" spans="1:15" ht="20.100000000000001" customHeight="1">
      <c r="A24" s="1046" t="s">
        <v>161</v>
      </c>
      <c r="B24" s="1047"/>
      <c r="C24" s="1047"/>
      <c r="D24" s="989" t="s">
        <v>159</v>
      </c>
      <c r="E24" s="1033">
        <f>'[3]25'!F24</f>
        <v>3310</v>
      </c>
      <c r="F24" s="1048">
        <v>3310</v>
      </c>
      <c r="G24" s="1027">
        <f>E24-F24</f>
        <v>0</v>
      </c>
      <c r="H24" s="1005">
        <f>G24+'[3]25'!H24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 ht="18.75" customHeight="1">
      <c r="A25" s="1619" t="s">
        <v>162</v>
      </c>
      <c r="B25" s="1620"/>
      <c r="C25" s="1621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 ht="18.75" customHeigh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18.75" customHeight="1">
      <c r="A27" s="1055" t="s">
        <v>6</v>
      </c>
      <c r="B27" s="1056"/>
      <c r="C27" s="1057"/>
      <c r="D27" s="1062" t="s">
        <v>25</v>
      </c>
      <c r="E27" s="1063">
        <f>G8</f>
        <v>18593</v>
      </c>
      <c r="F27" s="641">
        <v>9.5</v>
      </c>
      <c r="G27" s="1064">
        <f>E27*F27</f>
        <v>176633.5</v>
      </c>
      <c r="H27" s="1005">
        <f>G27+'[3]25'!H27</f>
        <v>4613950.5</v>
      </c>
      <c r="I27" s="1065"/>
      <c r="J27" s="1007">
        <f>H27/DAY(B2)</f>
        <v>177459.63461538462</v>
      </c>
      <c r="K27" s="1023"/>
      <c r="L27" s="1053"/>
      <c r="N27" s="1171"/>
      <c r="O27" s="1009"/>
    </row>
    <row r="28" spans="1:15" s="1054" customFormat="1" ht="18.75" customHeight="1">
      <c r="A28" s="1055" t="s">
        <v>165</v>
      </c>
      <c r="B28" s="1056"/>
      <c r="C28" s="1057"/>
      <c r="D28" s="1062" t="s">
        <v>166</v>
      </c>
      <c r="E28" s="1063">
        <f>G15</f>
        <v>411.92499999981374</v>
      </c>
      <c r="F28" s="641">
        <v>36.5</v>
      </c>
      <c r="G28" s="1064">
        <f>E28*F28</f>
        <v>15035.262499993201</v>
      </c>
      <c r="H28" s="1005">
        <f>G28+'[3]25'!H28</f>
        <v>510044.10149999952</v>
      </c>
      <c r="I28" s="1066"/>
      <c r="J28" s="1007">
        <f>H28/DAY(B2)</f>
        <v>19617.080826923058</v>
      </c>
      <c r="K28" s="1023"/>
      <c r="L28" s="1053"/>
      <c r="N28" s="1171"/>
      <c r="O28" s="1009"/>
    </row>
    <row r="29" spans="1:15" s="1054" customFormat="1" ht="18.75" customHeight="1">
      <c r="A29" s="1055" t="s">
        <v>167</v>
      </c>
      <c r="B29" s="1056"/>
      <c r="C29" s="1057"/>
      <c r="D29" s="1062" t="s">
        <v>168</v>
      </c>
      <c r="E29" s="1063">
        <f>G16</f>
        <v>0</v>
      </c>
      <c r="F29" s="641">
        <v>69</v>
      </c>
      <c r="G29" s="1064">
        <f>E29*F29</f>
        <v>0</v>
      </c>
      <c r="H29" s="1005">
        <f>G29+'[3]25'!H29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18.75" customHeight="1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G30+'[3]25'!H30</f>
        <v>199520</v>
      </c>
      <c r="I30" s="1066"/>
      <c r="J30" s="1007">
        <f>H30/DAY(B2)</f>
        <v>7673.8461538461543</v>
      </c>
      <c r="K30" s="1023"/>
      <c r="L30" s="1053"/>
      <c r="N30" s="1171"/>
      <c r="O30" s="1009"/>
    </row>
    <row r="31" spans="1:15" s="1054" customFormat="1" ht="18.75" customHeight="1">
      <c r="A31" s="1055" t="s">
        <v>171</v>
      </c>
      <c r="B31" s="1056"/>
      <c r="C31" s="1057"/>
      <c r="D31" s="1062" t="s">
        <v>155</v>
      </c>
      <c r="E31" s="1063">
        <f>G18</f>
        <v>70</v>
      </c>
      <c r="F31" s="641">
        <v>80</v>
      </c>
      <c r="G31" s="1064">
        <f>E31*F31</f>
        <v>5600</v>
      </c>
      <c r="H31" s="1005">
        <f>G31+'[3]25'!H31</f>
        <v>210400</v>
      </c>
      <c r="I31" s="1066"/>
      <c r="J31" s="1007"/>
      <c r="K31" s="1023"/>
      <c r="L31" s="1053"/>
      <c r="N31" s="1171"/>
      <c r="O31" s="1009"/>
    </row>
    <row r="32" spans="1:15" s="1054" customFormat="1" ht="18.75" customHeigh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205243.7624999932</v>
      </c>
      <c r="H32" s="1005">
        <f>G32+'[3]25'!H32</f>
        <v>5533914.6014999989</v>
      </c>
      <c r="I32" s="1072"/>
      <c r="J32" s="1007">
        <f>H32/DAY(B2)</f>
        <v>212842.86928846149</v>
      </c>
      <c r="K32" s="1023"/>
      <c r="L32" s="1053"/>
      <c r="N32" s="1171"/>
      <c r="O32" s="1009"/>
    </row>
    <row r="33" spans="1:15" ht="20.100000000000001" customHeight="1">
      <c r="A33" s="1627" t="s">
        <v>173</v>
      </c>
      <c r="B33" s="1628"/>
      <c r="C33" s="1628"/>
      <c r="D33" s="1628"/>
      <c r="E33" s="1628"/>
      <c r="F33" s="1628"/>
      <c r="G33" s="1628"/>
      <c r="H33" s="1628"/>
      <c r="I33" s="1628"/>
      <c r="J33" s="1629"/>
      <c r="K33" s="1023"/>
      <c r="L33" s="982"/>
      <c r="O33" s="1009"/>
    </row>
    <row r="34" spans="1:15" ht="20.100000000000001" customHeight="1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 ht="20.100000000000001" customHeight="1">
      <c r="A35" s="1000" t="s">
        <v>175</v>
      </c>
      <c r="B35" s="1001"/>
      <c r="C35" s="1001"/>
      <c r="D35" s="1002" t="s">
        <v>143</v>
      </c>
      <c r="E35" s="1003">
        <f>'[3]25'!F35</f>
        <v>629027</v>
      </c>
      <c r="F35" s="1075">
        <v>629027</v>
      </c>
      <c r="G35" s="1004">
        <f t="shared" ref="G35:G46" si="3">F35-E35</f>
        <v>0</v>
      </c>
      <c r="H35" s="1005">
        <f>G35+'[3]25'!H35</f>
        <v>25857.530000000028</v>
      </c>
      <c r="I35" s="1003"/>
      <c r="J35" s="1007">
        <f>H35/DAY(B2)</f>
        <v>994.52038461538564</v>
      </c>
      <c r="K35" s="1023"/>
      <c r="L35" s="982"/>
      <c r="O35" s="1009"/>
    </row>
    <row r="36" spans="1:15" ht="20.100000000000001" customHeight="1">
      <c r="A36" s="1000" t="s">
        <v>176</v>
      </c>
      <c r="B36" s="1001"/>
      <c r="C36" s="1001"/>
      <c r="D36" s="1002" t="s">
        <v>143</v>
      </c>
      <c r="E36" s="1003">
        <f>'[3]25'!F36</f>
        <v>225664.31</v>
      </c>
      <c r="F36" s="1075">
        <v>226298.55</v>
      </c>
      <c r="G36" s="1004">
        <f t="shared" si="3"/>
        <v>634.23999999999069</v>
      </c>
      <c r="H36" s="1005">
        <f>G36+'[3]25'!H36</f>
        <v>14938.599999999977</v>
      </c>
      <c r="I36" s="1003"/>
      <c r="J36" s="1007">
        <f>H36/DAY(B2)</f>
        <v>574.56153846153757</v>
      </c>
      <c r="K36" s="1023"/>
      <c r="L36" s="982"/>
      <c r="O36" s="1009"/>
    </row>
    <row r="37" spans="1:15" ht="20.100000000000001" customHeight="1">
      <c r="A37" s="1000" t="s">
        <v>177</v>
      </c>
      <c r="B37" s="1001"/>
      <c r="C37" s="1001"/>
      <c r="D37" s="1002" t="s">
        <v>143</v>
      </c>
      <c r="E37" s="1003">
        <f>'[3]25'!F37</f>
        <v>415066</v>
      </c>
      <c r="F37" s="1075">
        <v>415066</v>
      </c>
      <c r="G37" s="1004">
        <f t="shared" si="3"/>
        <v>0</v>
      </c>
      <c r="H37" s="1005">
        <f>G37+'[3]25'!H37</f>
        <v>15221.809999999998</v>
      </c>
      <c r="I37" s="1003"/>
      <c r="J37" s="1007">
        <f>H37/DAY(B2)</f>
        <v>585.45423076923066</v>
      </c>
      <c r="K37" s="1023"/>
      <c r="L37" s="982"/>
      <c r="O37" s="1009"/>
    </row>
    <row r="38" spans="1:15" ht="20.100000000000001" customHeight="1">
      <c r="A38" s="1000" t="s">
        <v>178</v>
      </c>
      <c r="B38" s="1001"/>
      <c r="C38" s="1001"/>
      <c r="D38" s="1002" t="s">
        <v>143</v>
      </c>
      <c r="E38" s="1003">
        <f>'[3]25'!F38</f>
        <v>150714.38</v>
      </c>
      <c r="F38" s="992">
        <v>150714</v>
      </c>
      <c r="G38" s="1004">
        <f t="shared" si="3"/>
        <v>-0.38000000000465661</v>
      </c>
      <c r="H38" s="1005">
        <f>G38+'[3]25'!H38</f>
        <v>0</v>
      </c>
      <c r="I38" s="1003"/>
      <c r="J38" s="1007">
        <f>H38/DAY(B2)</f>
        <v>0</v>
      </c>
      <c r="K38" s="1023"/>
      <c r="L38" s="982"/>
      <c r="O38" s="1009"/>
    </row>
    <row r="39" spans="1:15" ht="20.100000000000001" customHeight="1">
      <c r="A39" s="1000" t="s">
        <v>179</v>
      </c>
      <c r="B39" s="1001"/>
      <c r="C39" s="1001"/>
      <c r="D39" s="1002" t="s">
        <v>143</v>
      </c>
      <c r="E39" s="1003">
        <f>'[3]25'!F39</f>
        <v>912480</v>
      </c>
      <c r="F39" s="1075">
        <v>912480</v>
      </c>
      <c r="G39" s="1004">
        <f t="shared" si="3"/>
        <v>0</v>
      </c>
      <c r="H39" s="1005">
        <f>G39+'[3]25'!H39</f>
        <v>40355.290000000037</v>
      </c>
      <c r="I39" s="1003"/>
      <c r="J39" s="1007">
        <f>H39/DAY(B2)</f>
        <v>1552.1265384615399</v>
      </c>
      <c r="K39" s="1023"/>
      <c r="L39" s="982"/>
      <c r="O39" s="1009"/>
    </row>
    <row r="40" spans="1:15" ht="20.100000000000001" customHeight="1">
      <c r="A40" s="1076" t="s">
        <v>180</v>
      </c>
      <c r="B40" s="1077"/>
      <c r="C40" s="1077"/>
      <c r="D40" s="1002" t="s">
        <v>143</v>
      </c>
      <c r="E40" s="1003">
        <f>'[3]25'!F40</f>
        <v>0</v>
      </c>
      <c r="F40" s="1075">
        <v>0</v>
      </c>
      <c r="G40" s="1004">
        <f t="shared" si="3"/>
        <v>0</v>
      </c>
      <c r="H40" s="1005">
        <f>G40+'[3]25'!H40</f>
        <v>0</v>
      </c>
      <c r="I40" s="1003"/>
      <c r="J40" s="1007">
        <f>H40/DAY(B2)</f>
        <v>0</v>
      </c>
      <c r="K40" s="1030"/>
      <c r="L40" s="982"/>
      <c r="O40" s="1009"/>
    </row>
    <row r="41" spans="1:15" ht="20.100000000000001" customHeight="1">
      <c r="A41" s="1000" t="s">
        <v>181</v>
      </c>
      <c r="B41" s="1001"/>
      <c r="C41" s="1001"/>
      <c r="D41" s="1002" t="s">
        <v>143</v>
      </c>
      <c r="E41" s="1003">
        <f>'[3]25'!F41</f>
        <v>300127.95</v>
      </c>
      <c r="F41" s="1075">
        <v>300127.95</v>
      </c>
      <c r="G41" s="1004">
        <f t="shared" si="3"/>
        <v>0</v>
      </c>
      <c r="H41" s="1005">
        <f>G41+'[3]25'!H41</f>
        <v>-1.9999999960418791E-2</v>
      </c>
      <c r="I41" s="1003"/>
      <c r="J41" s="1007">
        <f>H41/DAY(B2)</f>
        <v>-7.6923076770841505E-4</v>
      </c>
      <c r="K41" s="1023"/>
      <c r="L41" s="982"/>
      <c r="O41" s="1009"/>
    </row>
    <row r="42" spans="1:15" ht="20.100000000000001" customHeight="1">
      <c r="A42" s="1000" t="s">
        <v>182</v>
      </c>
      <c r="B42" s="1001"/>
      <c r="C42" s="1001"/>
      <c r="D42" s="1002" t="s">
        <v>143</v>
      </c>
      <c r="E42" s="1003">
        <f>'[3]25'!F42</f>
        <v>396197.95</v>
      </c>
      <c r="F42" s="1075">
        <v>396197.95</v>
      </c>
      <c r="G42" s="1004">
        <f t="shared" si="3"/>
        <v>0</v>
      </c>
      <c r="H42" s="1005">
        <f>G42+'[3]25'!H42</f>
        <v>0.48000000003958121</v>
      </c>
      <c r="I42" s="1003"/>
      <c r="J42" s="1007">
        <f>H42/DAY(B2)</f>
        <v>1.8461538463060815E-2</v>
      </c>
      <c r="K42" s="1023"/>
      <c r="L42" s="982"/>
      <c r="N42" s="1172">
        <f>3450-G42</f>
        <v>3450</v>
      </c>
      <c r="O42" s="1009"/>
    </row>
    <row r="43" spans="1:15" ht="20.100000000000001" customHeight="1">
      <c r="A43" s="1000" t="s">
        <v>183</v>
      </c>
      <c r="B43" s="1001"/>
      <c r="C43" s="1001"/>
      <c r="D43" s="1002" t="s">
        <v>143</v>
      </c>
      <c r="E43" s="1003">
        <f>'[3]25'!F43</f>
        <v>618333.51</v>
      </c>
      <c r="F43" s="1075">
        <v>620857.11</v>
      </c>
      <c r="G43" s="1004">
        <f t="shared" si="3"/>
        <v>2523.5999999999767</v>
      </c>
      <c r="H43" s="1005">
        <f>G43+'[3]25'!H43</f>
        <v>62533.040000000037</v>
      </c>
      <c r="I43" s="1003"/>
      <c r="J43" s="1007">
        <f>H43/DAY(B2)</f>
        <v>2405.1169230769246</v>
      </c>
      <c r="K43" s="1023"/>
      <c r="L43" s="982"/>
      <c r="O43" s="1009"/>
    </row>
    <row r="44" spans="1:15" ht="20.100000000000001" customHeight="1">
      <c r="A44" s="1000" t="s">
        <v>184</v>
      </c>
      <c r="B44" s="1001"/>
      <c r="C44" s="1001"/>
      <c r="D44" s="1002" t="s">
        <v>143</v>
      </c>
      <c r="E44" s="1003">
        <f>'[3]25'!F44</f>
        <v>0</v>
      </c>
      <c r="F44" s="1075">
        <v>0</v>
      </c>
      <c r="G44" s="1004">
        <f t="shared" si="3"/>
        <v>0</v>
      </c>
      <c r="H44" s="1005">
        <f>G44+'[3]25'!H44</f>
        <v>0</v>
      </c>
      <c r="I44" s="1003"/>
      <c r="J44" s="1007">
        <f>H44/DAY(B2)</f>
        <v>0</v>
      </c>
      <c r="K44" s="1023"/>
      <c r="L44" s="982"/>
      <c r="O44" s="1009"/>
    </row>
    <row r="45" spans="1:15" ht="20.100000000000001" customHeight="1">
      <c r="A45" s="1000" t="s">
        <v>185</v>
      </c>
      <c r="B45" s="1001"/>
      <c r="C45" s="1001"/>
      <c r="D45" s="1002" t="s">
        <v>143</v>
      </c>
      <c r="E45" s="1003">
        <f>'[3]25'!F45</f>
        <v>614</v>
      </c>
      <c r="F45" s="1075">
        <v>614</v>
      </c>
      <c r="G45" s="1004">
        <f t="shared" si="3"/>
        <v>0</v>
      </c>
      <c r="H45" s="1005">
        <f>G45+'[3]25'!H45</f>
        <v>-0.48000000000001819</v>
      </c>
      <c r="I45" s="1003"/>
      <c r="J45" s="1007">
        <f>H45/DAY(B2)</f>
        <v>-1.8461538461539161E-2</v>
      </c>
      <c r="K45" s="1023"/>
      <c r="L45" s="982"/>
      <c r="O45" s="1009"/>
    </row>
    <row r="46" spans="1:15" ht="20.100000000000001" customHeight="1">
      <c r="A46" s="1000" t="s">
        <v>186</v>
      </c>
      <c r="B46" s="1001"/>
      <c r="C46" s="1001"/>
      <c r="D46" s="1002" t="s">
        <v>143</v>
      </c>
      <c r="E46" s="1003">
        <f>'[3]25'!F46</f>
        <v>187</v>
      </c>
      <c r="F46" s="1075">
        <v>187</v>
      </c>
      <c r="G46" s="1004">
        <f t="shared" si="3"/>
        <v>0</v>
      </c>
      <c r="H46" s="1005">
        <f>G46+'[3]25'!H46</f>
        <v>-0.49000000000000909</v>
      </c>
      <c r="I46" s="1003"/>
      <c r="J46" s="1007">
        <f>H46/DAY(B2)</f>
        <v>-1.8846153846154196E-2</v>
      </c>
      <c r="K46" s="1023"/>
      <c r="L46" s="982"/>
      <c r="O46" s="1009"/>
    </row>
    <row r="47" spans="1:15" ht="20.100000000000001" customHeight="1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3157.4599999999627</v>
      </c>
      <c r="H47" s="1005">
        <f>G47+'[3]25'!H47</f>
        <v>158905.76000000018</v>
      </c>
      <c r="I47" s="1003"/>
      <c r="J47" s="1007">
        <f>H47/DAY(B2)</f>
        <v>6111.7600000000075</v>
      </c>
      <c r="K47" s="1023"/>
      <c r="L47" s="982"/>
      <c r="N47" s="1172"/>
      <c r="O47" s="1009"/>
    </row>
    <row r="48" spans="1:15" ht="20.100000000000001" customHeight="1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 ht="20.100000000000001" customHeight="1">
      <c r="A49" s="1000" t="s">
        <v>175</v>
      </c>
      <c r="B49" s="1078"/>
      <c r="C49" s="1078"/>
      <c r="D49" s="1002" t="s">
        <v>143</v>
      </c>
      <c r="E49" s="1003">
        <f>'[3]25'!F49</f>
        <v>48600.28</v>
      </c>
      <c r="F49" s="1075">
        <v>51014.987000000001</v>
      </c>
      <c r="G49" s="1004">
        <f t="shared" ref="G49:G58" si="4">F49-E49</f>
        <v>2414.7070000000022</v>
      </c>
      <c r="H49" s="1005">
        <f>G49+'[3]25'!H49</f>
        <v>39285.699000000001</v>
      </c>
      <c r="I49" s="1003"/>
      <c r="J49" s="1007">
        <f>H49/DAY(B2)</f>
        <v>1510.988423076923</v>
      </c>
      <c r="K49" s="1023"/>
      <c r="L49" s="982"/>
      <c r="O49" s="1009"/>
    </row>
    <row r="50" spans="1:15" ht="20.100000000000001" customHeight="1">
      <c r="A50" s="1000" t="s">
        <v>189</v>
      </c>
      <c r="B50" s="1078"/>
      <c r="C50" s="1078"/>
      <c r="D50" s="1002" t="s">
        <v>143</v>
      </c>
      <c r="E50" s="1003">
        <f>'[3]25'!F50</f>
        <v>289351.01</v>
      </c>
      <c r="F50" s="1075">
        <v>290358.45</v>
      </c>
      <c r="G50" s="1004">
        <f t="shared" si="4"/>
        <v>1007.4400000000023</v>
      </c>
      <c r="H50" s="1005">
        <f>G50+'[3]25'!H50</f>
        <v>24299.510000000009</v>
      </c>
      <c r="I50" s="1003"/>
      <c r="J50" s="1007">
        <f>H50/DAY(B2)</f>
        <v>934.59653846153878</v>
      </c>
      <c r="K50" s="1023"/>
      <c r="L50" s="982"/>
      <c r="O50" s="1009"/>
    </row>
    <row r="51" spans="1:15" ht="20.100000000000001" customHeight="1">
      <c r="A51" s="1000" t="s">
        <v>177</v>
      </c>
      <c r="B51" s="1078"/>
      <c r="C51" s="1078"/>
      <c r="D51" s="1002" t="s">
        <v>143</v>
      </c>
      <c r="E51" s="1003">
        <f>'[3]25'!F51</f>
        <v>12044.67</v>
      </c>
      <c r="F51" s="1075">
        <v>13461.064</v>
      </c>
      <c r="G51" s="1004">
        <f t="shared" si="4"/>
        <v>1416.3940000000002</v>
      </c>
      <c r="H51" s="1005">
        <f>G51+'[3]25'!H51</f>
        <v>21436.115900000001</v>
      </c>
      <c r="I51" s="1003"/>
      <c r="J51" s="1007">
        <f>H51/DAY(B2)</f>
        <v>824.46599615384616</v>
      </c>
      <c r="K51" s="1023"/>
      <c r="L51" s="982"/>
      <c r="O51" s="1009"/>
    </row>
    <row r="52" spans="1:15" ht="20.100000000000001" customHeight="1">
      <c r="A52" s="1000" t="s">
        <v>190</v>
      </c>
      <c r="B52" s="1078"/>
      <c r="C52" s="1078"/>
      <c r="D52" s="1002" t="s">
        <v>143</v>
      </c>
      <c r="E52" s="1003">
        <f>'[3]25'!F52</f>
        <v>362128.87</v>
      </c>
      <c r="F52" s="1075">
        <v>363767.55</v>
      </c>
      <c r="G52" s="1004">
        <f t="shared" si="4"/>
        <v>1638.679999999993</v>
      </c>
      <c r="H52" s="1005">
        <f>G52+'[3]25'!H52</f>
        <v>41478.130000000005</v>
      </c>
      <c r="I52" s="1003"/>
      <c r="J52" s="1007">
        <f>H52/DAY(B2)</f>
        <v>1595.3126923076925</v>
      </c>
      <c r="K52" s="1023"/>
      <c r="L52" s="982"/>
      <c r="O52" s="1009"/>
    </row>
    <row r="53" spans="1:15" ht="20.100000000000001" customHeight="1">
      <c r="A53" s="1000" t="s">
        <v>179</v>
      </c>
      <c r="B53" s="1078"/>
      <c r="C53" s="1078"/>
      <c r="D53" s="1002" t="s">
        <v>143</v>
      </c>
      <c r="E53" s="1003">
        <f>'[3]25'!F53</f>
        <v>24462.47</v>
      </c>
      <c r="F53" s="1075">
        <v>28454.940999999999</v>
      </c>
      <c r="G53" s="1004">
        <f t="shared" si="4"/>
        <v>3992.4709999999977</v>
      </c>
      <c r="H53" s="1005">
        <f>G53+'[3]25'!H53</f>
        <v>39335.940999999999</v>
      </c>
      <c r="I53" s="1003"/>
      <c r="J53" s="1007">
        <f>H53/DAY(B2)</f>
        <v>1512.9208076923076</v>
      </c>
      <c r="K53" s="1023"/>
      <c r="L53" s="982"/>
      <c r="O53" s="1009"/>
    </row>
    <row r="54" spans="1:15" ht="20.100000000000001" customHeight="1">
      <c r="A54" s="1000" t="s">
        <v>191</v>
      </c>
      <c r="B54" s="1078"/>
      <c r="C54" s="1078"/>
      <c r="D54" s="1002" t="s">
        <v>143</v>
      </c>
      <c r="E54" s="1003">
        <f>'[3]25'!F54</f>
        <v>2724.96</v>
      </c>
      <c r="F54" s="1075">
        <v>2748.2892999999999</v>
      </c>
      <c r="G54" s="1004">
        <f t="shared" si="4"/>
        <v>23.329299999999876</v>
      </c>
      <c r="H54" s="1005">
        <f>G54+'[3]25'!H54</f>
        <v>1195.7285999999999</v>
      </c>
      <c r="I54" s="1003"/>
      <c r="J54" s="1007">
        <f>H54/DAY(B2)</f>
        <v>45.989561538461537</v>
      </c>
      <c r="K54" s="1023"/>
      <c r="L54" s="982"/>
      <c r="O54" s="1009"/>
    </row>
    <row r="55" spans="1:15" ht="20.100000000000001" customHeight="1">
      <c r="A55" s="1000" t="s">
        <v>192</v>
      </c>
      <c r="B55" s="1078"/>
      <c r="C55" s="1078"/>
      <c r="D55" s="1002" t="s">
        <v>143</v>
      </c>
      <c r="E55" s="1003">
        <f>'[3]25'!F55</f>
        <v>158492.73000000001</v>
      </c>
      <c r="F55" s="1075">
        <v>158492.73000000001</v>
      </c>
      <c r="G55" s="1004">
        <f t="shared" si="4"/>
        <v>0</v>
      </c>
      <c r="H55" s="1005">
        <f>G55+'[3]25'!H55</f>
        <v>-0.26999999998952262</v>
      </c>
      <c r="I55" s="1003"/>
      <c r="J55" s="1007">
        <f>H55/DAY(B2)</f>
        <v>-1.0384615384212408E-2</v>
      </c>
      <c r="K55" s="1023"/>
      <c r="L55" s="982"/>
      <c r="O55" s="1009"/>
    </row>
    <row r="56" spans="1:15" ht="20.100000000000001" customHeight="1">
      <c r="A56" s="1000" t="s">
        <v>193</v>
      </c>
      <c r="B56" s="1078"/>
      <c r="C56" s="1078"/>
      <c r="D56" s="1002" t="s">
        <v>194</v>
      </c>
      <c r="E56" s="1003">
        <f>'[3]25'!F56</f>
        <v>412572.63</v>
      </c>
      <c r="F56" s="1075">
        <v>416733.51</v>
      </c>
      <c r="G56" s="1004">
        <f t="shared" si="4"/>
        <v>4160.8800000000047</v>
      </c>
      <c r="H56" s="1005">
        <f>G56+'[3]25'!H56</f>
        <v>104689.03000000003</v>
      </c>
      <c r="I56" s="1003"/>
      <c r="J56" s="1007">
        <f>H56/DAY(B2)</f>
        <v>4026.5011538461549</v>
      </c>
      <c r="K56" s="999"/>
      <c r="L56" s="982"/>
      <c r="O56" s="1009"/>
    </row>
    <row r="57" spans="1:15" ht="20.100000000000001" customHeight="1">
      <c r="A57" s="1000" t="s">
        <v>183</v>
      </c>
      <c r="B57" s="1078"/>
      <c r="C57" s="1078"/>
      <c r="D57" s="1002" t="s">
        <v>143</v>
      </c>
      <c r="E57" s="1003">
        <f>'[3]25'!F57</f>
        <v>0</v>
      </c>
      <c r="F57" s="1075">
        <v>0</v>
      </c>
      <c r="G57" s="1004">
        <f t="shared" si="4"/>
        <v>0</v>
      </c>
      <c r="H57" s="1005">
        <f>G57+'[3]25'!H57</f>
        <v>0</v>
      </c>
      <c r="I57" s="1003"/>
      <c r="J57" s="1007">
        <f>H57/DAY(B2)</f>
        <v>0</v>
      </c>
      <c r="K57" s="1023"/>
      <c r="L57" s="982"/>
      <c r="O57" s="1009"/>
    </row>
    <row r="58" spans="1:15" ht="20.100000000000001" customHeight="1">
      <c r="A58" s="1000" t="s">
        <v>195</v>
      </c>
      <c r="B58" s="1078"/>
      <c r="C58" s="1078"/>
      <c r="D58" s="1002" t="s">
        <v>143</v>
      </c>
      <c r="E58" s="1003">
        <f>'[3]25'!F58</f>
        <v>19683.87</v>
      </c>
      <c r="F58" s="1075">
        <v>19683.875</v>
      </c>
      <c r="G58" s="1004">
        <f t="shared" si="4"/>
        <v>5.0000000010186341E-3</v>
      </c>
      <c r="H58" s="1005">
        <f>G58+'[3]25'!H58</f>
        <v>1914.5789999999979</v>
      </c>
      <c r="I58" s="1003"/>
      <c r="J58" s="1007">
        <f>H58/DAY(B2)</f>
        <v>73.637653846153768</v>
      </c>
      <c r="K58" s="1023"/>
      <c r="L58" s="982"/>
      <c r="O58" s="1009"/>
    </row>
    <row r="59" spans="1:15" ht="20.100000000000001" customHeight="1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14653.906300000001</v>
      </c>
      <c r="H59" s="1005">
        <f>G59+'[3]25'!H59</f>
        <v>273634.46350000001</v>
      </c>
      <c r="I59" s="1003">
        <f>G7-G60</f>
        <v>482.63370000003488</v>
      </c>
      <c r="J59" s="1007">
        <f>H59/DAY(B2)</f>
        <v>10524.402442307693</v>
      </c>
      <c r="K59" s="1023"/>
      <c r="L59" s="982"/>
      <c r="O59" s="1009"/>
    </row>
    <row r="60" spans="1:15" ht="20.100000000000001" customHeight="1">
      <c r="A60" s="1000"/>
      <c r="B60" s="1001"/>
      <c r="C60" s="1001"/>
      <c r="D60" s="989" t="s">
        <v>196</v>
      </c>
      <c r="E60" s="989"/>
      <c r="F60" s="989"/>
      <c r="G60" s="1027">
        <f>G47+G59</f>
        <v>17811.366299999965</v>
      </c>
      <c r="H60" s="1005">
        <f>G60+'[3]25'!H60</f>
        <v>446926.38420000009</v>
      </c>
      <c r="I60" s="1003">
        <f>G13-G60</f>
        <v>-189.74629999996978</v>
      </c>
      <c r="J60" s="1007">
        <f>H60/DAY(B2)</f>
        <v>17189.476315384618</v>
      </c>
      <c r="K60" s="1023"/>
      <c r="L60" s="982"/>
      <c r="O60" s="1009"/>
    </row>
    <row r="61" spans="1:15" ht="20.100000000000001" customHeight="1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 ht="20.100000000000001" customHeight="1">
      <c r="A62" s="1083" t="s">
        <v>106</v>
      </c>
      <c r="B62" s="1084"/>
      <c r="C62" s="1084"/>
      <c r="D62" s="989" t="s">
        <v>198</v>
      </c>
      <c r="E62" s="1003">
        <f>'[3]25'!F62</f>
        <v>20419.18</v>
      </c>
      <c r="F62" s="1085">
        <v>20419.18</v>
      </c>
      <c r="G62" s="1004">
        <f t="shared" ref="G62:G69" si="5">F62-E62</f>
        <v>0</v>
      </c>
      <c r="H62" s="1005">
        <f>G62+'[3]25'!H62</f>
        <v>-0.19799999999668216</v>
      </c>
      <c r="I62" s="1086"/>
      <c r="J62" s="1007">
        <f>H62/DAY(B2)</f>
        <v>-7.6153846152570061E-3</v>
      </c>
      <c r="K62" s="1023"/>
      <c r="L62" s="982"/>
      <c r="O62" s="1009"/>
    </row>
    <row r="63" spans="1:15" ht="20.100000000000001" customHeight="1">
      <c r="A63" s="1083" t="s">
        <v>199</v>
      </c>
      <c r="B63" s="1084"/>
      <c r="C63" s="1084"/>
      <c r="D63" s="989" t="s">
        <v>198</v>
      </c>
      <c r="E63" s="1003">
        <f>'[3]25'!F63</f>
        <v>774.55</v>
      </c>
      <c r="F63" s="1085">
        <v>790.78399999999999</v>
      </c>
      <c r="G63" s="1004">
        <f t="shared" si="5"/>
        <v>16.234000000000037</v>
      </c>
      <c r="H63" s="1005">
        <f>G63+'[3]25'!H63</f>
        <v>492.32400000000001</v>
      </c>
      <c r="I63" s="1086"/>
      <c r="J63" s="1007">
        <f>H63/DAY(B2)</f>
        <v>18.935538461538464</v>
      </c>
      <c r="K63" s="1023"/>
      <c r="L63" s="982"/>
      <c r="O63" s="1009"/>
    </row>
    <row r="64" spans="1:15" ht="20.100000000000001" customHeight="1">
      <c r="A64" s="1593" t="s">
        <v>107</v>
      </c>
      <c r="B64" s="1594"/>
      <c r="C64" s="1595"/>
      <c r="D64" s="1002" t="s">
        <v>198</v>
      </c>
      <c r="E64" s="1003">
        <f>'[3]25'!F64</f>
        <v>84897.47</v>
      </c>
      <c r="F64" s="1033">
        <v>85250.903000000006</v>
      </c>
      <c r="G64" s="1004">
        <f t="shared" si="5"/>
        <v>353.43300000000454</v>
      </c>
      <c r="H64" s="1005">
        <f>G64+'[3]25'!H64</f>
        <v>9187.8160000000062</v>
      </c>
      <c r="I64" s="1024"/>
      <c r="J64" s="1007">
        <f>H64/DAY(B2)</f>
        <v>353.37753846153868</v>
      </c>
      <c r="K64" s="1023"/>
      <c r="L64" s="982"/>
      <c r="O64" s="1009"/>
    </row>
    <row r="65" spans="1:15" ht="20.100000000000001" customHeight="1">
      <c r="A65" s="1593" t="s">
        <v>108</v>
      </c>
      <c r="B65" s="1594"/>
      <c r="C65" s="1595"/>
      <c r="D65" s="1002" t="s">
        <v>198</v>
      </c>
      <c r="E65" s="1003">
        <f>'[3]25'!F65</f>
        <v>94711.360000000001</v>
      </c>
      <c r="F65" s="1033">
        <v>95086.959000000003</v>
      </c>
      <c r="G65" s="1004">
        <f t="shared" si="5"/>
        <v>375.59900000000198</v>
      </c>
      <c r="H65" s="1005">
        <f>G65+'[3]25'!H65</f>
        <v>9927.6959999999963</v>
      </c>
      <c r="I65" s="1042"/>
      <c r="J65" s="1007">
        <f>H65/DAY(B2)</f>
        <v>381.83446153846137</v>
      </c>
      <c r="K65" s="1023"/>
      <c r="L65" s="982"/>
      <c r="O65" s="1009"/>
    </row>
    <row r="66" spans="1:15" ht="20.100000000000001" customHeight="1">
      <c r="A66" s="1593" t="s">
        <v>109</v>
      </c>
      <c r="B66" s="1594"/>
      <c r="C66" s="1595"/>
      <c r="D66" s="1002" t="s">
        <v>198</v>
      </c>
      <c r="E66" s="1003">
        <f>'[3]25'!F66</f>
        <v>88004.24</v>
      </c>
      <c r="F66" s="1033">
        <v>88383.582999999999</v>
      </c>
      <c r="G66" s="1004">
        <f t="shared" si="5"/>
        <v>379.34299999999348</v>
      </c>
      <c r="H66" s="1005">
        <f>G66+'[3]25'!H66</f>
        <v>10195.625</v>
      </c>
      <c r="I66" s="1024"/>
      <c r="J66" s="1007">
        <f>H66/DAY(B2)</f>
        <v>392.13942307692309</v>
      </c>
      <c r="K66" s="1023"/>
      <c r="L66" s="982"/>
      <c r="O66" s="1009"/>
    </row>
    <row r="67" spans="1:15" ht="20.100000000000001" customHeight="1">
      <c r="A67" s="1593" t="s">
        <v>110</v>
      </c>
      <c r="B67" s="1594"/>
      <c r="C67" s="1595"/>
      <c r="D67" s="1002" t="s">
        <v>198</v>
      </c>
      <c r="E67" s="1003">
        <f>'[3]25'!F67</f>
        <v>142352.78</v>
      </c>
      <c r="F67" s="1033">
        <v>143040.49</v>
      </c>
      <c r="G67" s="1004">
        <f t="shared" si="5"/>
        <v>687.70999999999185</v>
      </c>
      <c r="H67" s="1005">
        <f>G67+'[3]25'!H67</f>
        <v>16983.989999999991</v>
      </c>
      <c r="I67" s="1042"/>
      <c r="J67" s="1007">
        <f>H67/DAY(B2)</f>
        <v>653.23038461538431</v>
      </c>
      <c r="K67" s="1030"/>
      <c r="L67" s="982"/>
      <c r="O67" s="1009"/>
    </row>
    <row r="68" spans="1:15" ht="20.100000000000001" customHeight="1">
      <c r="A68" s="1593" t="s">
        <v>111</v>
      </c>
      <c r="B68" s="1594"/>
      <c r="C68" s="1595"/>
      <c r="D68" s="1002" t="s">
        <v>198</v>
      </c>
      <c r="E68" s="1003">
        <f>'[3]25'!F68</f>
        <v>41418.57</v>
      </c>
      <c r="F68" s="1033">
        <v>41758.786999999997</v>
      </c>
      <c r="G68" s="1004">
        <f t="shared" si="5"/>
        <v>340.21699999999691</v>
      </c>
      <c r="H68" s="1005">
        <f>G68+'[3]25'!H68</f>
        <v>8358.9179999999978</v>
      </c>
      <c r="I68" s="1087"/>
      <c r="J68" s="1007">
        <f>H68/DAY(B2)</f>
        <v>321.49684615384609</v>
      </c>
      <c r="K68" s="1088"/>
      <c r="L68" s="982"/>
      <c r="O68" s="1009"/>
    </row>
    <row r="69" spans="1:15" ht="20.100000000000001" customHeight="1">
      <c r="A69" s="1593" t="s">
        <v>112</v>
      </c>
      <c r="B69" s="1594"/>
      <c r="C69" s="1595"/>
      <c r="D69" s="1002" t="s">
        <v>198</v>
      </c>
      <c r="E69" s="1003">
        <f>'[3]25'!F69</f>
        <v>36117.5</v>
      </c>
      <c r="F69" s="1033">
        <v>36405.142999999996</v>
      </c>
      <c r="G69" s="1004">
        <f t="shared" si="5"/>
        <v>287.64299999999639</v>
      </c>
      <c r="H69" s="1005">
        <f>G69+'[3]25'!H69</f>
        <v>7152.7779999999948</v>
      </c>
      <c r="I69" s="1087"/>
      <c r="J69" s="1007">
        <f>H69/DAY(B2)</f>
        <v>275.10684615384594</v>
      </c>
      <c r="K69" s="1089"/>
      <c r="L69" s="982"/>
      <c r="O69" s="1009"/>
    </row>
    <row r="70" spans="1:15" ht="20.100000000000001" customHeight="1">
      <c r="A70" s="1613" t="s">
        <v>200</v>
      </c>
      <c r="B70" s="1614"/>
      <c r="C70" s="1615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0.100000000000001" customHeight="1">
      <c r="A71" s="1610" t="s">
        <v>201</v>
      </c>
      <c r="B71" s="1611"/>
      <c r="C71" s="1611"/>
      <c r="D71" s="1611"/>
      <c r="E71" s="1611"/>
      <c r="F71" s="1611"/>
      <c r="G71" s="1611"/>
      <c r="H71" s="1611"/>
      <c r="I71" s="1611"/>
      <c r="J71" s="1612"/>
      <c r="K71" s="1088"/>
      <c r="L71" s="982"/>
      <c r="O71" s="1009"/>
    </row>
    <row r="72" spans="1:15" ht="20.100000000000001" customHeight="1">
      <c r="A72" s="1593" t="s">
        <v>202</v>
      </c>
      <c r="B72" s="1594"/>
      <c r="C72" s="1595"/>
      <c r="D72" s="1002" t="s">
        <v>198</v>
      </c>
      <c r="E72" s="1003">
        <f>'[3]25'!F72</f>
        <v>844139</v>
      </c>
      <c r="F72" s="1093">
        <v>844147</v>
      </c>
      <c r="G72" s="1004">
        <f t="shared" ref="G72:G84" si="6">F72-E72</f>
        <v>8</v>
      </c>
      <c r="H72" s="1005">
        <f>G72+'[3]25'!H72</f>
        <v>205</v>
      </c>
      <c r="I72" s="1024"/>
      <c r="J72" s="1007">
        <f>H72/DAY(B2)</f>
        <v>7.884615384615385</v>
      </c>
      <c r="K72" s="1089"/>
      <c r="L72" s="982"/>
      <c r="O72" s="1009"/>
    </row>
    <row r="73" spans="1:15" ht="20.100000000000001" customHeight="1">
      <c r="A73" s="1593" t="s">
        <v>203</v>
      </c>
      <c r="B73" s="1594"/>
      <c r="C73" s="1595"/>
      <c r="D73" s="1002" t="s">
        <v>198</v>
      </c>
      <c r="E73" s="1003">
        <f>'[3]25'!F73</f>
        <v>885302</v>
      </c>
      <c r="F73" s="1094">
        <v>885304</v>
      </c>
      <c r="G73" s="1004">
        <f t="shared" si="6"/>
        <v>2</v>
      </c>
      <c r="H73" s="1005">
        <f>G73+'[3]25'!H73</f>
        <v>176</v>
      </c>
      <c r="I73" s="1024"/>
      <c r="J73" s="1007">
        <f>H73/DAY(B2)</f>
        <v>6.7692307692307692</v>
      </c>
      <c r="K73" s="1088"/>
      <c r="L73" s="982"/>
      <c r="O73" s="1009"/>
    </row>
    <row r="74" spans="1:15" ht="20.100000000000001" customHeight="1">
      <c r="A74" s="1593" t="s">
        <v>204</v>
      </c>
      <c r="B74" s="1594"/>
      <c r="C74" s="1595"/>
      <c r="D74" s="1002" t="s">
        <v>198</v>
      </c>
      <c r="E74" s="1003">
        <f>'[3]25'!F74</f>
        <v>880135</v>
      </c>
      <c r="F74" s="1095">
        <v>880153</v>
      </c>
      <c r="G74" s="1004">
        <f t="shared" si="6"/>
        <v>18</v>
      </c>
      <c r="H74" s="1005">
        <f>G74+'[3]25'!H74</f>
        <v>517</v>
      </c>
      <c r="I74" s="1024"/>
      <c r="J74" s="1007">
        <f>H74/DAY(B2)</f>
        <v>19.884615384615383</v>
      </c>
      <c r="K74" s="1089"/>
      <c r="L74" s="982"/>
      <c r="O74" s="1009"/>
    </row>
    <row r="75" spans="1:15" ht="20.100000000000001" customHeight="1">
      <c r="A75" s="1607" t="s">
        <v>205</v>
      </c>
      <c r="B75" s="1608"/>
      <c r="C75" s="1609"/>
      <c r="D75" s="1002" t="s">
        <v>198</v>
      </c>
      <c r="E75" s="1003">
        <f>'[3]25'!F75</f>
        <v>725342</v>
      </c>
      <c r="F75" s="1095">
        <v>725503</v>
      </c>
      <c r="G75" s="1004">
        <f t="shared" si="6"/>
        <v>161</v>
      </c>
      <c r="H75" s="1005">
        <f>G75+'[3]25'!H75</f>
        <v>4137</v>
      </c>
      <c r="I75" s="1024"/>
      <c r="J75" s="1007">
        <f>H75/DAY(B2)</f>
        <v>159.11538461538461</v>
      </c>
      <c r="K75" s="1088"/>
      <c r="L75" s="982"/>
      <c r="O75" s="1009"/>
    </row>
    <row r="76" spans="1:15" ht="20.100000000000001" customHeight="1">
      <c r="A76" s="1607" t="s">
        <v>206</v>
      </c>
      <c r="B76" s="1608"/>
      <c r="C76" s="1609"/>
      <c r="D76" s="1002" t="s">
        <v>198</v>
      </c>
      <c r="E76" s="1003">
        <f>'[3]25'!F76</f>
        <v>681353</v>
      </c>
      <c r="F76" s="1094">
        <v>681423</v>
      </c>
      <c r="G76" s="1004">
        <f t="shared" si="6"/>
        <v>70</v>
      </c>
      <c r="H76" s="1005">
        <f>G76+'[3]25'!H76</f>
        <v>2953</v>
      </c>
      <c r="I76" s="1066"/>
      <c r="J76" s="1007">
        <f>H76/DAY(B2)</f>
        <v>113.57692307692308</v>
      </c>
      <c r="K76" s="1088"/>
      <c r="L76" s="982"/>
      <c r="O76" s="1009"/>
    </row>
    <row r="77" spans="1:15" ht="20.100000000000001" customHeight="1">
      <c r="A77" s="1593" t="s">
        <v>207</v>
      </c>
      <c r="B77" s="1594"/>
      <c r="C77" s="1595"/>
      <c r="D77" s="1002" t="s">
        <v>198</v>
      </c>
      <c r="E77" s="1003">
        <f>'[3]25'!F77</f>
        <v>693473</v>
      </c>
      <c r="F77" s="1094">
        <v>693522</v>
      </c>
      <c r="G77" s="1004">
        <f t="shared" si="6"/>
        <v>49</v>
      </c>
      <c r="H77" s="1005">
        <f>G77+'[3]25'!H77</f>
        <v>1215</v>
      </c>
      <c r="I77" s="1066"/>
      <c r="J77" s="1007">
        <f>H77/DAY(B2)</f>
        <v>46.730769230769234</v>
      </c>
      <c r="K77" s="1088"/>
      <c r="L77" s="982"/>
      <c r="O77" s="1009"/>
    </row>
    <row r="78" spans="1:15" ht="18.75" customHeight="1">
      <c r="A78" s="1096" t="s">
        <v>208</v>
      </c>
      <c r="B78" s="1370"/>
      <c r="C78" s="1370"/>
      <c r="D78" s="1002" t="s">
        <v>198</v>
      </c>
      <c r="E78" s="1003">
        <f>'[3]25'!F78</f>
        <v>616156</v>
      </c>
      <c r="F78" s="1095">
        <v>616543</v>
      </c>
      <c r="G78" s="1004">
        <f t="shared" si="6"/>
        <v>387</v>
      </c>
      <c r="H78" s="1005">
        <f>G78+'[3]25'!H78</f>
        <v>8529</v>
      </c>
      <c r="I78" s="1066"/>
      <c r="J78" s="1007">
        <f>H78/DAY(B2)</f>
        <v>328.03846153846155</v>
      </c>
      <c r="K78" s="1088"/>
      <c r="L78" s="982"/>
      <c r="O78" s="1009"/>
    </row>
    <row r="79" spans="1:15" ht="20.100000000000001" customHeight="1">
      <c r="A79" s="1607" t="s">
        <v>97</v>
      </c>
      <c r="B79" s="1608"/>
      <c r="C79" s="1609"/>
      <c r="D79" s="1036" t="s">
        <v>198</v>
      </c>
      <c r="E79" s="1003">
        <f>'[3]25'!F79</f>
        <v>796988</v>
      </c>
      <c r="F79" s="1095">
        <v>797192</v>
      </c>
      <c r="G79" s="1004">
        <f t="shared" si="6"/>
        <v>204</v>
      </c>
      <c r="H79" s="1005">
        <f>G79+'[3]25'!H79</f>
        <v>6377</v>
      </c>
      <c r="I79" s="1066"/>
      <c r="J79" s="1007">
        <f>H79/DAY(B2)</f>
        <v>245.26923076923077</v>
      </c>
      <c r="K79" s="1088"/>
      <c r="L79" s="982"/>
      <c r="O79" s="1009"/>
    </row>
    <row r="80" spans="1:15" ht="20.100000000000001" customHeight="1">
      <c r="A80" s="1607" t="s">
        <v>209</v>
      </c>
      <c r="B80" s="1608"/>
      <c r="C80" s="1609"/>
      <c r="D80" s="1036" t="s">
        <v>198</v>
      </c>
      <c r="E80" s="1003">
        <f>'[3]25'!F80</f>
        <v>463923</v>
      </c>
      <c r="F80" s="1094">
        <v>464220.84</v>
      </c>
      <c r="G80" s="1004">
        <f t="shared" si="6"/>
        <v>297.84000000002561</v>
      </c>
      <c r="H80" s="1005">
        <f>G80+'[3]25'!H80</f>
        <v>5783.960000000021</v>
      </c>
      <c r="I80" s="1066"/>
      <c r="J80" s="1007">
        <f>H80/DAY(B2)</f>
        <v>222.4600000000008</v>
      </c>
      <c r="K80" s="1088"/>
      <c r="L80" s="982"/>
      <c r="O80" s="1009"/>
    </row>
    <row r="81" spans="1:15" ht="20.100000000000001" customHeight="1">
      <c r="A81" s="1607" t="s">
        <v>210</v>
      </c>
      <c r="B81" s="1608"/>
      <c r="C81" s="1609"/>
      <c r="D81" s="1036" t="s">
        <v>198</v>
      </c>
      <c r="E81" s="1003">
        <f>'[3]25'!F81</f>
        <v>613591</v>
      </c>
      <c r="F81" s="1094">
        <v>613741.16</v>
      </c>
      <c r="G81" s="1004">
        <f t="shared" si="6"/>
        <v>150.1600000000326</v>
      </c>
      <c r="H81" s="1005">
        <f>G81+'[3]25'!H81</f>
        <v>2618.8800000000047</v>
      </c>
      <c r="I81" s="1066"/>
      <c r="J81" s="1007">
        <f>H81/DAY(B2)</f>
        <v>100.72615384615402</v>
      </c>
      <c r="K81" s="1088"/>
      <c r="L81" s="982"/>
      <c r="O81" s="1009"/>
    </row>
    <row r="82" spans="1:15" ht="20.100000000000001" customHeight="1">
      <c r="A82" s="1607" t="s">
        <v>100</v>
      </c>
      <c r="B82" s="1608"/>
      <c r="C82" s="1609"/>
      <c r="D82" s="1037" t="s">
        <v>143</v>
      </c>
      <c r="E82" s="1003">
        <f>'[3]25'!F82</f>
        <v>103445</v>
      </c>
      <c r="F82" s="1097">
        <v>103451.34</v>
      </c>
      <c r="G82" s="1004">
        <f t="shared" si="6"/>
        <v>6.3399999999965075</v>
      </c>
      <c r="H82" s="1005">
        <f>G82+'[3]25'!H82</f>
        <v>421.38999999999942</v>
      </c>
      <c r="I82" s="1038"/>
      <c r="J82" s="1007">
        <f>H82/DAY(B2)</f>
        <v>16.207307692307669</v>
      </c>
      <c r="K82" s="1088"/>
      <c r="L82" s="982"/>
      <c r="O82" s="1009"/>
    </row>
    <row r="83" spans="1:15" ht="20.100000000000001" customHeight="1">
      <c r="A83" s="1607" t="s">
        <v>211</v>
      </c>
      <c r="B83" s="1608"/>
      <c r="C83" s="1609"/>
      <c r="D83" s="1098" t="s">
        <v>143</v>
      </c>
      <c r="E83" s="1003">
        <f>'[3]25'!F83</f>
        <v>960826</v>
      </c>
      <c r="F83" s="989">
        <v>961151</v>
      </c>
      <c r="G83" s="1004">
        <f t="shared" si="6"/>
        <v>325</v>
      </c>
      <c r="H83" s="1005">
        <f>G83+'[3]25'!H83</f>
        <v>8908</v>
      </c>
      <c r="I83" s="1027"/>
      <c r="J83" s="1007">
        <f>H83/DAY(B2)</f>
        <v>342.61538461538464</v>
      </c>
      <c r="K83" s="1030"/>
      <c r="L83" s="982"/>
      <c r="O83" s="1009"/>
    </row>
    <row r="84" spans="1:15" ht="20.100000000000001" customHeight="1">
      <c r="A84" s="1099" t="s">
        <v>212</v>
      </c>
      <c r="B84" s="1100"/>
      <c r="C84" s="1100"/>
      <c r="D84" s="1021" t="s">
        <v>143</v>
      </c>
      <c r="E84" s="1003">
        <f>'[3]25'!F84</f>
        <v>378911</v>
      </c>
      <c r="F84" s="1101">
        <v>379402</v>
      </c>
      <c r="G84" s="1004">
        <f t="shared" si="6"/>
        <v>491</v>
      </c>
      <c r="H84" s="1005">
        <f>G84+'[3]25'!H84</f>
        <v>12969</v>
      </c>
      <c r="I84" s="1027"/>
      <c r="J84" s="1007">
        <f>H84/DAY(B2)</f>
        <v>498.80769230769232</v>
      </c>
      <c r="K84" s="1102"/>
      <c r="L84" s="982"/>
      <c r="O84" s="1009"/>
    </row>
    <row r="85" spans="1:15" s="1106" customFormat="1" ht="20.100000000000001" customHeight="1">
      <c r="A85" s="1103" t="s">
        <v>213</v>
      </c>
      <c r="B85" s="1104"/>
      <c r="C85" s="1104"/>
      <c r="D85" s="1042"/>
      <c r="E85" s="1003">
        <f>'[3]25'!F85</f>
        <v>0</v>
      </c>
      <c r="F85" s="1002"/>
      <c r="G85" s="1005">
        <f xml:space="preserve"> SUM(G72:G84)</f>
        <v>2169.3400000000547</v>
      </c>
      <c r="H85" s="1005">
        <f>G85+'[3]25'!H85</f>
        <v>51484.330000000045</v>
      </c>
      <c r="I85" s="1027"/>
      <c r="J85" s="1007">
        <f>H85/DAY(B2)</f>
        <v>1980.1665384615403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'[3]25'!F86</f>
        <v>439683</v>
      </c>
      <c r="F86" s="1110">
        <v>439808.52</v>
      </c>
      <c r="G86" s="1111">
        <f t="shared" ref="G86:G90" si="7">F86-E86</f>
        <v>125.52000000001863</v>
      </c>
      <c r="H86" s="1111">
        <f t="shared" ref="H86:H88" si="8">G86</f>
        <v>125.52000000001863</v>
      </c>
      <c r="I86" s="1112"/>
      <c r="J86" s="1113">
        <f>H86/DAY(B2)</f>
        <v>4.8276923076930238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'[3]25'!F87</f>
        <v>76773</v>
      </c>
      <c r="F87" s="1110">
        <v>76806</v>
      </c>
      <c r="G87" s="1111">
        <f t="shared" si="7"/>
        <v>33</v>
      </c>
      <c r="H87" s="1111">
        <f t="shared" si="8"/>
        <v>33</v>
      </c>
      <c r="I87" s="1112"/>
      <c r="J87" s="1113">
        <f>H87/DAY(B2)</f>
        <v>1.2692307692307692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'[3]25'!F88</f>
        <v>141988</v>
      </c>
      <c r="F88" s="1110">
        <v>142074.29</v>
      </c>
      <c r="G88" s="1111">
        <f t="shared" si="7"/>
        <v>86.290000000008149</v>
      </c>
      <c r="H88" s="1111">
        <f t="shared" si="8"/>
        <v>86.290000000008149</v>
      </c>
      <c r="I88" s="1112"/>
      <c r="J88" s="1113">
        <f>H88/DAY(B2)</f>
        <v>3.3188461538464673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'[3]25'!F89</f>
        <v>55416</v>
      </c>
      <c r="F89" s="1110">
        <v>55468.5</v>
      </c>
      <c r="G89" s="1111">
        <f t="shared" si="7"/>
        <v>52.5</v>
      </c>
      <c r="H89" s="1111">
        <f>G89</f>
        <v>52.5</v>
      </c>
      <c r="I89" s="1112"/>
      <c r="J89" s="1113">
        <f>H89/DAY(B2)</f>
        <v>2.0192307692307692</v>
      </c>
      <c r="K89" s="1114"/>
      <c r="L89" s="1115"/>
      <c r="N89" s="1180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'[3]25'!F90</f>
        <v>2865</v>
      </c>
      <c r="F90" s="1110">
        <v>2867.9</v>
      </c>
      <c r="G90" s="1111">
        <f t="shared" si="7"/>
        <v>2.9000000000000909</v>
      </c>
      <c r="H90" s="1111">
        <f>G90</f>
        <v>2.9000000000000909</v>
      </c>
      <c r="I90" s="1112"/>
      <c r="J90" s="1113">
        <f>H90/DAY(B2)</f>
        <v>0.11153846153846504</v>
      </c>
      <c r="K90" s="1114"/>
      <c r="L90" s="1115"/>
      <c r="N90" s="1175"/>
      <c r="O90" s="1009"/>
    </row>
    <row r="91" spans="1:15" s="1106" customFormat="1" ht="20.100000000000001" customHeigh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 ht="20.100000000000001" customHeight="1">
      <c r="A92" s="1587" t="s">
        <v>217</v>
      </c>
      <c r="B92" s="1588"/>
      <c r="C92" s="1589"/>
      <c r="D92" s="1002" t="s">
        <v>155</v>
      </c>
      <c r="E92" s="1003">
        <f>'[3]25'!F92</f>
        <v>230530</v>
      </c>
      <c r="F92" s="1033">
        <v>230584</v>
      </c>
      <c r="G92" s="1004">
        <f t="shared" ref="G92:G93" si="9">F92-E92</f>
        <v>54</v>
      </c>
      <c r="H92" s="1005">
        <f>G92+'[3]25'!H92</f>
        <v>1989</v>
      </c>
      <c r="I92" s="1024"/>
      <c r="J92" s="1007">
        <f>H92/DAY(B2)</f>
        <v>76.5</v>
      </c>
      <c r="K92" s="1030"/>
      <c r="L92" s="982"/>
      <c r="O92" s="1009"/>
    </row>
    <row r="93" spans="1:15" ht="20.100000000000001" customHeight="1">
      <c r="A93" s="1587" t="s">
        <v>218</v>
      </c>
      <c r="B93" s="1588"/>
      <c r="C93" s="1589"/>
      <c r="D93" s="1002" t="s">
        <v>155</v>
      </c>
      <c r="E93" s="1003">
        <f>'[3]25'!F93</f>
        <v>161990</v>
      </c>
      <c r="F93" s="1033">
        <v>162104</v>
      </c>
      <c r="G93" s="1004">
        <f t="shared" si="9"/>
        <v>114</v>
      </c>
      <c r="H93" s="1005">
        <f>G93+'[3]25'!H93</f>
        <v>3581</v>
      </c>
      <c r="I93" s="1024"/>
      <c r="J93" s="1007">
        <f>H93/DAY(B2)</f>
        <v>137.73076923076923</v>
      </c>
      <c r="K93" s="1102"/>
      <c r="L93" s="982"/>
      <c r="O93" s="1009"/>
    </row>
    <row r="94" spans="1:15" ht="20.100000000000001" customHeight="1">
      <c r="A94" s="1596" t="s">
        <v>219</v>
      </c>
      <c r="B94" s="1597"/>
      <c r="C94" s="1598"/>
      <c r="D94" s="1002"/>
      <c r="E94" s="1003">
        <f>'[3]25'!F94</f>
        <v>0</v>
      </c>
      <c r="F94" s="1033"/>
      <c r="G94" s="1004">
        <f>G92+G93</f>
        <v>168</v>
      </c>
      <c r="H94" s="1005">
        <f>G94+'[3]25'!H94</f>
        <v>5280</v>
      </c>
      <c r="I94" s="1024"/>
      <c r="J94" s="1007">
        <f>H94/DAY(B2)</f>
        <v>203.07692307692307</v>
      </c>
      <c r="K94" s="1102"/>
      <c r="L94" s="982"/>
      <c r="O94" s="1009"/>
    </row>
    <row r="95" spans="1:15" ht="20.100000000000001" customHeight="1">
      <c r="A95" s="1587" t="s">
        <v>220</v>
      </c>
      <c r="B95" s="1588"/>
      <c r="C95" s="1589"/>
      <c r="D95" s="1002" t="s">
        <v>155</v>
      </c>
      <c r="E95" s="1003">
        <f>'[3]25'!F95</f>
        <v>401226</v>
      </c>
      <c r="F95" s="1033">
        <v>401267</v>
      </c>
      <c r="G95" s="1004">
        <f t="shared" ref="G95:G100" si="10">F95-E95</f>
        <v>41</v>
      </c>
      <c r="H95" s="1005">
        <f>G95+'[3]25'!H95</f>
        <v>1420</v>
      </c>
      <c r="I95" s="1024"/>
      <c r="J95" s="1007">
        <f>H95/DAY(B2)</f>
        <v>54.615384615384613</v>
      </c>
      <c r="K95" s="1102"/>
      <c r="L95" s="982"/>
      <c r="O95" s="1009"/>
    </row>
    <row r="96" spans="1:15" ht="20.100000000000001" customHeight="1">
      <c r="A96" s="1031" t="s">
        <v>221</v>
      </c>
      <c r="B96" s="1032"/>
      <c r="C96" s="1032"/>
      <c r="D96" s="1002" t="s">
        <v>155</v>
      </c>
      <c r="E96" s="1003">
        <f>'[3]25'!F96</f>
        <v>98968</v>
      </c>
      <c r="F96" s="1033">
        <v>98996</v>
      </c>
      <c r="G96" s="1004">
        <f t="shared" si="10"/>
        <v>28</v>
      </c>
      <c r="H96" s="1005">
        <f>G96+'[3]25'!H96</f>
        <v>987</v>
      </c>
      <c r="I96" s="1024"/>
      <c r="J96" s="1007">
        <f>H96/DAY(B2)</f>
        <v>37.96153846153846</v>
      </c>
      <c r="K96" s="999"/>
      <c r="L96" s="982"/>
      <c r="O96" s="1009"/>
    </row>
    <row r="97" spans="1:15" ht="20.100000000000001" customHeight="1">
      <c r="A97" s="1031" t="s">
        <v>222</v>
      </c>
      <c r="B97" s="1032"/>
      <c r="C97" s="1032"/>
      <c r="D97" s="1002" t="s">
        <v>155</v>
      </c>
      <c r="E97" s="1003">
        <f>'[3]25'!F97</f>
        <v>94110</v>
      </c>
      <c r="F97" s="1033">
        <v>94133</v>
      </c>
      <c r="G97" s="1004">
        <f t="shared" si="10"/>
        <v>23</v>
      </c>
      <c r="H97" s="1005">
        <f>G97+'[3]25'!H97</f>
        <v>582</v>
      </c>
      <c r="I97" s="1024"/>
      <c r="J97" s="1007">
        <f>H97/DAY(B2)</f>
        <v>22.384615384615383</v>
      </c>
      <c r="K97" s="1118"/>
      <c r="L97" s="982"/>
      <c r="O97" s="1009"/>
    </row>
    <row r="98" spans="1:15" ht="20.100000000000001" customHeight="1">
      <c r="A98" s="1031" t="s">
        <v>223</v>
      </c>
      <c r="B98" s="1032"/>
      <c r="C98" s="1032"/>
      <c r="D98" s="1002" t="s">
        <v>155</v>
      </c>
      <c r="E98" s="1003">
        <f>'[3]25'!F98</f>
        <v>141917</v>
      </c>
      <c r="F98" s="1033">
        <v>141961</v>
      </c>
      <c r="G98" s="1004">
        <f t="shared" si="10"/>
        <v>44</v>
      </c>
      <c r="H98" s="1005">
        <f>G98+'[3]25'!H98</f>
        <v>1056</v>
      </c>
      <c r="I98" s="1024"/>
      <c r="J98" s="1007">
        <f>H98/DAY(B2)</f>
        <v>40.615384615384613</v>
      </c>
      <c r="K98" s="1102"/>
      <c r="L98" s="982"/>
      <c r="O98" s="1009"/>
    </row>
    <row r="99" spans="1:15" ht="20.100000000000001" customHeight="1">
      <c r="A99" s="1031" t="s">
        <v>224</v>
      </c>
      <c r="B99" s="1032"/>
      <c r="C99" s="1032"/>
      <c r="D99" s="1002" t="s">
        <v>155</v>
      </c>
      <c r="E99" s="1003">
        <f>'[3]25'!F99</f>
        <v>4909</v>
      </c>
      <c r="F99" s="1033">
        <v>4918</v>
      </c>
      <c r="G99" s="1004">
        <f t="shared" si="10"/>
        <v>9</v>
      </c>
      <c r="H99" s="1005">
        <f>G99+'[3]25'!H99</f>
        <v>210</v>
      </c>
      <c r="I99" s="1024"/>
      <c r="J99" s="1007">
        <f>H99/DAY(B2)</f>
        <v>8.0769230769230766</v>
      </c>
      <c r="K99" s="1102"/>
      <c r="L99" s="982"/>
      <c r="O99" s="1009"/>
    </row>
    <row r="100" spans="1:15" ht="20.100000000000001" customHeight="1">
      <c r="A100" s="1031" t="s">
        <v>225</v>
      </c>
      <c r="B100" s="1032"/>
      <c r="C100" s="1032"/>
      <c r="D100" s="1002" t="s">
        <v>155</v>
      </c>
      <c r="E100" s="1003">
        <f>'[3]25'!F100</f>
        <v>3674</v>
      </c>
      <c r="F100" s="1033">
        <v>3674</v>
      </c>
      <c r="G100" s="1004">
        <f t="shared" si="10"/>
        <v>0</v>
      </c>
      <c r="H100" s="1005">
        <f>G100+'[3]25'!H100</f>
        <v>0</v>
      </c>
      <c r="I100" s="1024"/>
      <c r="J100" s="1007">
        <f>H100/DAY(B2)</f>
        <v>0</v>
      </c>
      <c r="K100" s="1102"/>
      <c r="L100" s="982"/>
      <c r="O100" s="1009"/>
    </row>
    <row r="101" spans="1:15" ht="20.100000000000001" customHeight="1">
      <c r="A101" s="1596" t="s">
        <v>227</v>
      </c>
      <c r="B101" s="1597"/>
      <c r="C101" s="1598"/>
      <c r="D101" s="1036"/>
      <c r="E101" s="1036"/>
      <c r="F101" s="1036"/>
      <c r="G101" s="1119">
        <f>SUM(G95:G100)</f>
        <v>145</v>
      </c>
      <c r="H101" s="1005">
        <f>G101+'[3]25'!H101</f>
        <v>4255</v>
      </c>
      <c r="I101" s="1120"/>
      <c r="J101" s="1007">
        <f>H101/DAY(B2)</f>
        <v>163.65384615384616</v>
      </c>
      <c r="K101" s="1102"/>
      <c r="L101" s="982"/>
      <c r="O101" s="1009"/>
    </row>
    <row r="102" spans="1:15" s="1054" customFormat="1" ht="25.5" customHeigh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 ht="21.75" customHeight="1">
      <c r="A103" s="1604" t="s">
        <v>229</v>
      </c>
      <c r="B103" s="1605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 ht="21.75" customHeight="1">
      <c r="A104" s="1577" t="s">
        <v>230</v>
      </c>
      <c r="B104" s="1578"/>
      <c r="C104" s="1135"/>
      <c r="D104" s="1131" t="s">
        <v>155</v>
      </c>
      <c r="E104" s="1132">
        <f>'[3]25'!F104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2.3076923076923075</v>
      </c>
      <c r="N104" s="1171"/>
      <c r="O104" s="1009"/>
    </row>
    <row r="105" spans="1:15" s="1054" customFormat="1" ht="21.75" customHeight="1">
      <c r="A105" s="1577" t="s">
        <v>77</v>
      </c>
      <c r="B105" s="1578"/>
      <c r="C105" s="1135"/>
      <c r="D105" s="1131" t="s">
        <v>155</v>
      </c>
      <c r="E105" s="1132">
        <f>'[3]25'!F105</f>
        <v>34637</v>
      </c>
      <c r="F105" s="1136">
        <v>34637</v>
      </c>
      <c r="G105" s="1132">
        <f t="shared" ref="G105:G106" si="11">F105-E105</f>
        <v>0</v>
      </c>
      <c r="H105" s="1133">
        <f>SUM(G105+'[3]1'!G77)</f>
        <v>70</v>
      </c>
      <c r="I105" s="1132"/>
      <c r="J105" s="1134">
        <f>H105/DAY(B2)</f>
        <v>2.6923076923076925</v>
      </c>
      <c r="N105" s="1171"/>
      <c r="O105" s="1009"/>
    </row>
    <row r="106" spans="1:15" s="1054" customFormat="1" ht="21.75" customHeight="1">
      <c r="A106" s="1577" t="s">
        <v>78</v>
      </c>
      <c r="B106" s="1606"/>
      <c r="C106" s="1578"/>
      <c r="D106" s="1131" t="s">
        <v>155</v>
      </c>
      <c r="E106" s="1132">
        <f>'[3]25'!F106</f>
        <v>18718</v>
      </c>
      <c r="F106" s="1132">
        <v>18719</v>
      </c>
      <c r="G106" s="1132">
        <f t="shared" si="11"/>
        <v>1</v>
      </c>
      <c r="H106" s="1133">
        <f>SUM(G106+'[3]1'!G78)</f>
        <v>330</v>
      </c>
      <c r="I106" s="1132"/>
      <c r="J106" s="1134">
        <f>H106/DAY(B2)</f>
        <v>12.692307692307692</v>
      </c>
      <c r="N106" s="1171"/>
      <c r="O106" s="1009"/>
    </row>
    <row r="107" spans="1:15" s="1054" customFormat="1" ht="21.75" customHeight="1">
      <c r="A107" s="1579" t="s">
        <v>213</v>
      </c>
      <c r="B107" s="1580"/>
      <c r="C107" s="1135"/>
      <c r="D107" s="1131"/>
      <c r="E107" s="1132">
        <f>'[3]25'!F107</f>
        <v>0</v>
      </c>
      <c r="F107" s="1132"/>
      <c r="G107" s="1132">
        <f>SUM(G104:G106)</f>
        <v>1</v>
      </c>
      <c r="H107" s="1133">
        <f>SUM(G107+'[3]1'!G79)</f>
        <v>161</v>
      </c>
      <c r="I107" s="1132"/>
      <c r="J107" s="1134">
        <f>H107/DAY(B2)</f>
        <v>6.1923076923076925</v>
      </c>
      <c r="N107" s="1171"/>
      <c r="O107" s="1009"/>
    </row>
    <row r="108" spans="1:15" s="1054" customFormat="1" ht="21.75" customHeight="1">
      <c r="A108" s="1585" t="s">
        <v>79</v>
      </c>
      <c r="B108" s="1586"/>
      <c r="C108" s="1135"/>
      <c r="D108" s="1131" t="s">
        <v>155</v>
      </c>
      <c r="E108" s="1132">
        <f>'[3]25'!F108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 ht="21.75" customHeight="1">
      <c r="A109" s="1577" t="s">
        <v>231</v>
      </c>
      <c r="B109" s="1578"/>
      <c r="C109" s="1135"/>
      <c r="D109" s="1131" t="s">
        <v>155</v>
      </c>
      <c r="E109" s="1132">
        <f>'[3]25'!F109</f>
        <v>51010</v>
      </c>
      <c r="F109" s="1132">
        <v>51069</v>
      </c>
      <c r="G109" s="1132">
        <f>F109-E109</f>
        <v>59</v>
      </c>
      <c r="H109" s="1133">
        <f>SUM(G109+'[3]1'!G81)</f>
        <v>141</v>
      </c>
      <c r="I109" s="1132"/>
      <c r="J109" s="1134">
        <f>H109/DAY(B2)</f>
        <v>5.4230769230769234</v>
      </c>
      <c r="N109" s="1171"/>
      <c r="O109" s="1009"/>
    </row>
    <row r="110" spans="1:15" s="1054" customFormat="1" ht="21.75" customHeight="1">
      <c r="A110" s="1577" t="s">
        <v>232</v>
      </c>
      <c r="B110" s="1578"/>
      <c r="C110" s="1135"/>
      <c r="D110" s="1131" t="s">
        <v>155</v>
      </c>
      <c r="E110" s="1132">
        <f>'[3]25'!F110</f>
        <v>25108</v>
      </c>
      <c r="F110" s="1132">
        <v>25149</v>
      </c>
      <c r="G110" s="1132">
        <f t="shared" ref="G110:G111" si="12">F110-E110</f>
        <v>41</v>
      </c>
      <c r="H110" s="1133">
        <f>SUM(G110+'[3]1'!G82)</f>
        <v>66.740000000005239</v>
      </c>
      <c r="I110" s="1132"/>
      <c r="J110" s="1134">
        <f>H110/DAY(B2)</f>
        <v>2.5669230769232785</v>
      </c>
      <c r="N110" s="1171"/>
      <c r="O110" s="1009"/>
    </row>
    <row r="111" spans="1:15" s="1054" customFormat="1" ht="21.75" customHeight="1">
      <c r="A111" s="1577" t="s">
        <v>233</v>
      </c>
      <c r="B111" s="1578"/>
      <c r="C111" s="1135"/>
      <c r="D111" s="1131" t="s">
        <v>155</v>
      </c>
      <c r="E111" s="1132">
        <f>'[3]25'!F111</f>
        <v>3347</v>
      </c>
      <c r="F111" s="1132">
        <v>3354</v>
      </c>
      <c r="G111" s="1132">
        <f t="shared" si="12"/>
        <v>7</v>
      </c>
      <c r="H111" s="1133">
        <f>SUM(G111+'[3]1'!G83)</f>
        <v>453</v>
      </c>
      <c r="I111" s="1132"/>
      <c r="J111" s="1134">
        <f>H111/DAY(B2)</f>
        <v>17.423076923076923</v>
      </c>
      <c r="N111" s="1171"/>
      <c r="O111" s="1009"/>
    </row>
    <row r="112" spans="1:15" s="1054" customFormat="1" ht="21.75" customHeight="1">
      <c r="A112" s="1583" t="s">
        <v>121</v>
      </c>
      <c r="B112" s="1584"/>
      <c r="C112" s="1135"/>
      <c r="D112" s="1131"/>
      <c r="E112" s="1132">
        <f>'[3]25'!F112</f>
        <v>0</v>
      </c>
      <c r="F112" s="1132"/>
      <c r="G112" s="1132">
        <f>SUM(G109:G111)</f>
        <v>107</v>
      </c>
      <c r="H112" s="1133">
        <f>SUM(G112+'[3]1'!G84)</f>
        <v>703</v>
      </c>
      <c r="I112" s="1132"/>
      <c r="J112" s="1134">
        <f>H112/DAY(B2)</f>
        <v>27.03846153846154</v>
      </c>
      <c r="N112" s="1171"/>
      <c r="O112" s="1009"/>
    </row>
    <row r="113" spans="1:15" s="1054" customFormat="1" ht="21.75" customHeight="1">
      <c r="A113" s="1585" t="s">
        <v>234</v>
      </c>
      <c r="B113" s="1586"/>
      <c r="C113" s="1135"/>
      <c r="D113" s="1131"/>
      <c r="E113" s="1132">
        <f>'[3]25'!F113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 ht="21.75" customHeight="1">
      <c r="A114" s="1577" t="s">
        <v>235</v>
      </c>
      <c r="B114" s="1578"/>
      <c r="C114" s="1137"/>
      <c r="D114" s="1131" t="s">
        <v>155</v>
      </c>
      <c r="E114" s="1132">
        <f>'[3]25'!F114</f>
        <v>8530</v>
      </c>
      <c r="F114" s="1136">
        <v>8541</v>
      </c>
      <c r="G114" s="1136">
        <f>F114-E114</f>
        <v>11</v>
      </c>
      <c r="H114" s="1133">
        <f>SUM(G114+'[3]1'!G91)</f>
        <v>11</v>
      </c>
      <c r="I114" s="1132"/>
      <c r="J114" s="1134">
        <f>H114/DAY(B2)</f>
        <v>0.42307692307692307</v>
      </c>
      <c r="N114" s="1171"/>
      <c r="O114" s="1009"/>
    </row>
    <row r="115" spans="1:15" s="1054" customFormat="1" ht="21.75" customHeight="1">
      <c r="A115" s="1577" t="s">
        <v>236</v>
      </c>
      <c r="B115" s="1578"/>
      <c r="C115" s="1137"/>
      <c r="D115" s="1131" t="s">
        <v>155</v>
      </c>
      <c r="E115" s="1132">
        <f>'[3]25'!F115</f>
        <v>6754</v>
      </c>
      <c r="F115" s="1136">
        <v>6775</v>
      </c>
      <c r="G115" s="1136">
        <f t="shared" ref="G115:G116" si="13">F115-E115</f>
        <v>21</v>
      </c>
      <c r="H115" s="1133">
        <f>SUM(G115+'[3]1'!G92)</f>
        <v>126</v>
      </c>
      <c r="I115" s="1132"/>
      <c r="J115" s="1134">
        <f>H115/DAY(B2)</f>
        <v>4.8461538461538458</v>
      </c>
      <c r="N115" s="1171"/>
      <c r="O115" s="1009"/>
    </row>
    <row r="116" spans="1:15" s="1054" customFormat="1" ht="21.75" customHeight="1">
      <c r="A116" s="1577" t="s">
        <v>237</v>
      </c>
      <c r="B116" s="1578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185</v>
      </c>
      <c r="I116" s="1132"/>
      <c r="J116" s="1134">
        <f>H116/DAY(B2)</f>
        <v>7.115384615384615</v>
      </c>
      <c r="N116" s="1171"/>
      <c r="O116" s="1009"/>
    </row>
    <row r="117" spans="1:15" s="1139" customFormat="1">
      <c r="A117" s="1579" t="s">
        <v>213</v>
      </c>
      <c r="B117" s="1580"/>
      <c r="C117" s="1137"/>
      <c r="D117" s="1138"/>
      <c r="E117" s="1136"/>
      <c r="F117" s="1136"/>
      <c r="G117" s="1136">
        <f>SUM(G114:G116)</f>
        <v>32</v>
      </c>
      <c r="H117" s="1133">
        <f>SUM(G117+'[3]1'!G95)</f>
        <v>80</v>
      </c>
      <c r="I117" s="1136"/>
      <c r="J117" s="1134">
        <f>H117/DAY(B2)</f>
        <v>3.0769230769230771</v>
      </c>
      <c r="N117" s="1176"/>
      <c r="O117" s="1009"/>
    </row>
    <row r="118" spans="1:15" s="927" customFormat="1">
      <c r="A118" s="1581" t="s">
        <v>238</v>
      </c>
      <c r="B118" s="1582"/>
      <c r="C118" s="1140"/>
      <c r="D118" s="1141" t="s">
        <v>155</v>
      </c>
      <c r="E118" s="1142"/>
      <c r="F118" s="1143">
        <f>SUM(G19+G92)</f>
        <v>109</v>
      </c>
      <c r="G118" s="1143">
        <f>SUM(G19+G92)</f>
        <v>109</v>
      </c>
      <c r="H118" s="1133">
        <f>SUM(G118+'[3]1'!G96)</f>
        <v>158</v>
      </c>
      <c r="I118" s="1142"/>
      <c r="J118" s="1144">
        <f>H118/DAY(B2)</f>
        <v>6.0769230769230766</v>
      </c>
      <c r="N118" s="1177"/>
      <c r="O118" s="1009"/>
    </row>
    <row r="119" spans="1:15" s="927" customFormat="1">
      <c r="A119" s="1581" t="s">
        <v>239</v>
      </c>
      <c r="B119" s="1582"/>
      <c r="C119" s="1140"/>
      <c r="D119" s="1141" t="s">
        <v>155</v>
      </c>
      <c r="E119" s="1142"/>
      <c r="F119" s="1143">
        <f>SUM(G95,G96,G97,G99,G100)</f>
        <v>101</v>
      </c>
      <c r="G119" s="1143">
        <f>SUM(G95,G96,G97,G99,G100)</f>
        <v>101</v>
      </c>
      <c r="H119" s="1133">
        <f>SUM(G119+'[3]1'!G98)</f>
        <v>133</v>
      </c>
      <c r="I119" s="1142"/>
      <c r="J119" s="1144">
        <f>H119/DAY(B2)</f>
        <v>5.115384615384615</v>
      </c>
      <c r="N119" s="1177"/>
      <c r="O119" s="1009"/>
    </row>
    <row r="120" spans="1:15" s="927" customFormat="1">
      <c r="A120" s="1581" t="s">
        <v>240</v>
      </c>
      <c r="B120" s="1582"/>
      <c r="C120" s="1140"/>
      <c r="D120" s="1141" t="s">
        <v>155</v>
      </c>
      <c r="E120" s="1142"/>
      <c r="F120" s="1136">
        <f>SUM(G112)</f>
        <v>107</v>
      </c>
      <c r="G120" s="1136">
        <f>SUM(G112)</f>
        <v>107</v>
      </c>
      <c r="H120" s="1133">
        <f>SUM(G120+'[3]1'!G100)</f>
        <v>107</v>
      </c>
      <c r="I120" s="1142"/>
      <c r="J120" s="1144">
        <f>H120/DAY(B2)</f>
        <v>4.115384615384615</v>
      </c>
      <c r="N120" s="1177"/>
      <c r="O120" s="1009"/>
    </row>
    <row r="121" spans="1:15" s="1054" customFormat="1" ht="18.75" customHeight="1">
      <c r="A121" s="1575"/>
      <c r="B121" s="1576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 ht="20.100000000000001" customHeight="1">
      <c r="A122" s="1599" t="s">
        <v>241</v>
      </c>
      <c r="B122" s="1600"/>
      <c r="C122" s="1601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 ht="22.5" customHeight="1">
      <c r="A123" s="1031" t="s">
        <v>242</v>
      </c>
      <c r="B123" s="1032"/>
      <c r="C123" s="1032"/>
      <c r="D123" s="1002" t="s">
        <v>152</v>
      </c>
      <c r="E123" s="1003">
        <f>'[3]25'!F123</f>
        <v>787821.63</v>
      </c>
      <c r="F123" s="1021">
        <v>788025.91099999996</v>
      </c>
      <c r="G123" s="1004">
        <f t="shared" ref="G123:G127" si="14">F123-E123</f>
        <v>204.28099999995902</v>
      </c>
      <c r="H123" s="1005">
        <f>G123+'[3]25'!H123</f>
        <v>5101.0249999999069</v>
      </c>
      <c r="I123" s="1120"/>
      <c r="J123" s="1007">
        <f>H123/DAY(B2)</f>
        <v>196.19326923076565</v>
      </c>
      <c r="K123" s="1102"/>
      <c r="L123" s="982"/>
      <c r="O123" s="1009"/>
    </row>
    <row r="124" spans="1:15" ht="22.5" customHeight="1">
      <c r="A124" s="1031" t="s">
        <v>243</v>
      </c>
      <c r="B124" s="1032"/>
      <c r="C124" s="1032"/>
      <c r="D124" s="1002" t="s">
        <v>152</v>
      </c>
      <c r="E124" s="1039">
        <f>'[3]25'!F124</f>
        <v>73581.899999999994</v>
      </c>
      <c r="F124" s="1148">
        <v>73581.899999999994</v>
      </c>
      <c r="G124" s="1004">
        <f t="shared" si="14"/>
        <v>0</v>
      </c>
      <c r="H124" s="1005">
        <f>G124+'[3]25'!H124</f>
        <v>0.89999999999417923</v>
      </c>
      <c r="I124" s="1120"/>
      <c r="J124" s="1007">
        <f>H124/DAY(B2)</f>
        <v>3.4615384615160741E-2</v>
      </c>
      <c r="K124" s="1102"/>
      <c r="L124" s="982"/>
      <c r="O124" s="1009"/>
    </row>
    <row r="125" spans="1:15" ht="22.5" customHeight="1">
      <c r="A125" s="1593" t="s">
        <v>244</v>
      </c>
      <c r="B125" s="1594"/>
      <c r="C125" s="1595"/>
      <c r="D125" s="1002" t="s">
        <v>152</v>
      </c>
      <c r="E125" s="1003">
        <f>'[3]25'!F125</f>
        <v>132663</v>
      </c>
      <c r="F125" s="1037">
        <v>132755.72</v>
      </c>
      <c r="G125" s="1004">
        <f t="shared" si="14"/>
        <v>92.720000000001164</v>
      </c>
      <c r="H125" s="1005">
        <f>G125+'[3]25'!H125</f>
        <v>1649.5</v>
      </c>
      <c r="I125" s="1120"/>
      <c r="J125" s="1007">
        <f>H125/DAY(B2)</f>
        <v>63.442307692307693</v>
      </c>
      <c r="K125" s="1102"/>
      <c r="L125" s="982"/>
      <c r="O125" s="1009"/>
    </row>
    <row r="126" spans="1:15" ht="20.100000000000001" customHeight="1">
      <c r="A126" s="1149" t="s">
        <v>245</v>
      </c>
      <c r="B126" s="1032"/>
      <c r="C126" s="1032"/>
      <c r="D126" s="1002" t="s">
        <v>152</v>
      </c>
      <c r="E126" s="1003">
        <f>'[3]25'!F126</f>
        <v>56210</v>
      </c>
      <c r="F126" s="1037">
        <v>56227.199999999997</v>
      </c>
      <c r="G126" s="1004">
        <f t="shared" si="14"/>
        <v>17.19999999999709</v>
      </c>
      <c r="H126" s="1005">
        <f>G126+'[3]25'!H126</f>
        <v>641.39999999999418</v>
      </c>
      <c r="I126" s="1120"/>
      <c r="J126" s="1007">
        <f>H126/DAY(B2)</f>
        <v>24.669230769230545</v>
      </c>
      <c r="K126" s="1102"/>
      <c r="L126" s="982"/>
      <c r="O126" s="1009"/>
    </row>
    <row r="127" spans="1:15" ht="20.100000000000001" customHeight="1">
      <c r="A127" s="1149" t="s">
        <v>246</v>
      </c>
      <c r="B127" s="1032"/>
      <c r="C127" s="1032"/>
      <c r="D127" s="1002" t="s">
        <v>152</v>
      </c>
      <c r="E127" s="1039">
        <f>'[3]25'!F127</f>
        <v>8640</v>
      </c>
      <c r="F127" s="1148">
        <v>8640.1</v>
      </c>
      <c r="G127" s="1004">
        <f t="shared" si="14"/>
        <v>0.1000000000003638</v>
      </c>
      <c r="H127" s="1005">
        <f>G127+'[3]25'!H127</f>
        <v>1.1000000000003638</v>
      </c>
      <c r="I127" s="1024"/>
      <c r="J127" s="1007">
        <f>H127/DAY(B2)</f>
        <v>4.2307692307706299E-2</v>
      </c>
      <c r="K127" s="1102"/>
      <c r="L127" s="982"/>
      <c r="O127" s="1009"/>
    </row>
    <row r="128" spans="1:15" ht="21.75" customHeight="1">
      <c r="A128" s="1149" t="s">
        <v>247</v>
      </c>
      <c r="B128" s="1032"/>
      <c r="C128" s="1032"/>
      <c r="D128" s="1002"/>
      <c r="E128" s="1003"/>
      <c r="F128" s="1037"/>
      <c r="G128" s="1004">
        <f>G15-SUM(G123:G127)</f>
        <v>97.623999999856096</v>
      </c>
      <c r="H128" s="1005">
        <f>G128+'[3]25'!H128</f>
        <v>2871.0090000000419</v>
      </c>
      <c r="I128" s="1024"/>
      <c r="J128" s="1007">
        <f>H128/DAY(B2)</f>
        <v>110.42342307692469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'[3]25'!F130</f>
        <v>0</v>
      </c>
      <c r="F130" s="1033">
        <v>0</v>
      </c>
      <c r="G130" s="1004">
        <f t="shared" ref="G130:G140" si="15">F130-E130</f>
        <v>0</v>
      </c>
      <c r="H130" s="1005">
        <f>G130+'[3]25'!H130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'[3]25'!F131</f>
        <v>0</v>
      </c>
      <c r="F131" s="1033">
        <v>0</v>
      </c>
      <c r="G131" s="1004">
        <f t="shared" si="15"/>
        <v>0</v>
      </c>
      <c r="H131" s="1005">
        <f>G131+'[3]25'!H131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'[3]25'!F132</f>
        <v>38877</v>
      </c>
      <c r="F132" s="1153">
        <v>38877</v>
      </c>
      <c r="G132" s="1004">
        <f t="shared" si="15"/>
        <v>0</v>
      </c>
      <c r="H132" s="1005">
        <f>G132+'[3]25'!H132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'[3]25'!F133</f>
        <v>34948</v>
      </c>
      <c r="F133" s="1153">
        <v>34948</v>
      </c>
      <c r="G133" s="1004">
        <f t="shared" si="15"/>
        <v>0</v>
      </c>
      <c r="H133" s="1005">
        <f>G133+'[3]25'!H133</f>
        <v>0</v>
      </c>
      <c r="I133" s="1024">
        <f>G130+G131+G132+G133</f>
        <v>0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'[3]25'!F134</f>
        <v>39735</v>
      </c>
      <c r="F134" s="1153">
        <v>39735</v>
      </c>
      <c r="G134" s="1004">
        <f t="shared" si="15"/>
        <v>0</v>
      </c>
      <c r="H134" s="1005">
        <f>G134+'[3]25'!H134</f>
        <v>24</v>
      </c>
      <c r="I134" s="1024"/>
      <c r="J134" s="1007">
        <f>H134/DAY(B2)</f>
        <v>0.92307692307692313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'[3]25'!F135</f>
        <v>31596.29</v>
      </c>
      <c r="F135" s="1153">
        <v>31620.1</v>
      </c>
      <c r="G135" s="1004">
        <f t="shared" si="15"/>
        <v>23.809999999997672</v>
      </c>
      <c r="H135" s="1005">
        <f>G135+'[3]25'!H135</f>
        <v>85.069999999999709</v>
      </c>
      <c r="I135" s="1024"/>
      <c r="J135" s="1007">
        <f>H135/DAY(B2)</f>
        <v>3.2719230769230658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'[3]25'!F136</f>
        <v>21647.62</v>
      </c>
      <c r="F136" s="1153">
        <v>21647.42</v>
      </c>
      <c r="G136" s="1004">
        <f t="shared" si="15"/>
        <v>-0.2000000000007276</v>
      </c>
      <c r="H136" s="1005">
        <f>G136+'[3]25'!H136</f>
        <v>49.389999999999418</v>
      </c>
      <c r="I136" s="1024">
        <f>G134+G135+G136</f>
        <v>23.609999999996944</v>
      </c>
      <c r="J136" s="1007">
        <f>H136/DAY(B2)</f>
        <v>1.8996153846153623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'[3]25'!F137</f>
        <v>24931.65</v>
      </c>
      <c r="F137" s="1153">
        <v>24931.65</v>
      </c>
      <c r="G137" s="1004">
        <f t="shared" si="15"/>
        <v>0</v>
      </c>
      <c r="H137" s="1005">
        <f>G137+'[3]25'!H137</f>
        <v>10.680000000000291</v>
      </c>
      <c r="I137" s="1024"/>
      <c r="J137" s="1007">
        <f>H137/DAY(B2)</f>
        <v>0.41076923076924199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'[3]25'!F138</f>
        <v>69953.38</v>
      </c>
      <c r="F138" s="1153">
        <v>69953.38</v>
      </c>
      <c r="G138" s="1004">
        <f t="shared" si="15"/>
        <v>0</v>
      </c>
      <c r="H138" s="1005">
        <f>G138+'[3]25'!H138</f>
        <v>24.470000000001164</v>
      </c>
      <c r="I138" s="1024">
        <f>G137+G138</f>
        <v>0</v>
      </c>
      <c r="J138" s="1007">
        <f>H138/DAY(B2)</f>
        <v>0.94115384615389097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'[3]25'!F139</f>
        <v>913.08</v>
      </c>
      <c r="F139" s="1033">
        <v>918.9</v>
      </c>
      <c r="G139" s="1004">
        <f t="shared" si="15"/>
        <v>5.8199999999999363</v>
      </c>
      <c r="H139" s="1005">
        <f>G139+'[3]25'!H139</f>
        <v>142.47000000000003</v>
      </c>
      <c r="I139" s="1154"/>
      <c r="J139" s="1007">
        <f>H139/DAY(B2)</f>
        <v>5.4796153846153857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'[3]25'!F140</f>
        <v>4156.8999999999996</v>
      </c>
      <c r="F140" s="1033">
        <v>4156.8999999999996</v>
      </c>
      <c r="G140" s="1004">
        <f t="shared" si="15"/>
        <v>0</v>
      </c>
      <c r="H140" s="1005">
        <f>G140+'[3]25'!H140</f>
        <v>2.6299999999991996</v>
      </c>
      <c r="I140" s="1154"/>
      <c r="J140" s="1007">
        <f>H140/DAY(B2)</f>
        <v>0.10115384615381537</v>
      </c>
      <c r="O140" s="1009"/>
    </row>
    <row r="141" spans="1:15">
      <c r="A141" s="1602" t="s">
        <v>261</v>
      </c>
      <c r="B141" s="1603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587" t="s">
        <v>262</v>
      </c>
      <c r="B142" s="1588"/>
      <c r="C142" s="1589"/>
      <c r="D142" s="1002" t="s">
        <v>143</v>
      </c>
      <c r="E142" s="1002"/>
      <c r="F142" s="1002"/>
      <c r="G142" s="1005">
        <f>G35+G43+G49+G57</f>
        <v>4938.3069999999789</v>
      </c>
      <c r="H142" s="1005">
        <f>G142+'[3]25'!H142</f>
        <v>126020.77600000004</v>
      </c>
      <c r="I142" s="1024"/>
      <c r="J142" s="1007">
        <f>H142/DAY(B2)</f>
        <v>4846.9529230769249</v>
      </c>
      <c r="K142" s="1102"/>
      <c r="L142" s="982"/>
      <c r="O142" s="1009"/>
    </row>
    <row r="143" spans="1:15">
      <c r="A143" s="1587" t="s">
        <v>263</v>
      </c>
      <c r="B143" s="1588"/>
      <c r="C143" s="1589"/>
      <c r="D143" s="1002" t="s">
        <v>24</v>
      </c>
      <c r="E143" s="989"/>
      <c r="F143" s="989"/>
      <c r="G143" s="1155">
        <f>G142/G7</f>
        <v>0.26994134688968946</v>
      </c>
      <c r="H143" s="1005">
        <f>G143+'[3]25'!H143</f>
        <v>6.3512111282960433</v>
      </c>
      <c r="I143" s="1156"/>
      <c r="J143" s="1007">
        <f>H143/DAY(B2)</f>
        <v>0.24427735108830936</v>
      </c>
      <c r="K143" s="1102"/>
      <c r="L143" s="982"/>
      <c r="O143" s="1009"/>
    </row>
    <row r="144" spans="1:15">
      <c r="A144" s="1587" t="s">
        <v>264</v>
      </c>
      <c r="B144" s="1588"/>
      <c r="C144" s="1589"/>
      <c r="D144" s="1002" t="s">
        <v>143</v>
      </c>
      <c r="E144" s="1003"/>
      <c r="F144" s="1003"/>
      <c r="G144" s="1005">
        <f>G41+G42+G55+G56</f>
        <v>4160.8800000000047</v>
      </c>
      <c r="H144" s="1005">
        <f>G144+'[3]25'!H144</f>
        <v>112743.91000000012</v>
      </c>
      <c r="I144" s="1024"/>
      <c r="J144" s="1007">
        <f>H144/DAY(B2)</f>
        <v>4336.3042307692358</v>
      </c>
      <c r="K144" s="1102"/>
      <c r="L144" s="982"/>
      <c r="O144" s="1009"/>
    </row>
    <row r="145" spans="1:15" ht="20.100000000000001" customHeight="1">
      <c r="A145" s="1587" t="s">
        <v>265</v>
      </c>
      <c r="B145" s="1588"/>
      <c r="C145" s="1589"/>
      <c r="D145" s="1002" t="s">
        <v>24</v>
      </c>
      <c r="E145" s="1003"/>
      <c r="F145" s="1003"/>
      <c r="G145" s="1155">
        <f>G144/G7</f>
        <v>0.22744506395539546</v>
      </c>
      <c r="H145" s="1005">
        <f>G145+'[3]25'!H145</f>
        <v>5.8453724475193098</v>
      </c>
      <c r="I145" s="1156"/>
      <c r="J145" s="1007">
        <f>H145/DAY(B2)</f>
        <v>0.22482201721228115</v>
      </c>
      <c r="K145" s="1102"/>
      <c r="L145" s="982"/>
      <c r="O145" s="1009"/>
    </row>
    <row r="146" spans="1:15" ht="20.100000000000001" customHeight="1">
      <c r="A146" s="1587" t="s">
        <v>266</v>
      </c>
      <c r="B146" s="1588"/>
      <c r="C146" s="1589"/>
      <c r="D146" s="1002" t="s">
        <v>143</v>
      </c>
      <c r="E146" s="1003"/>
      <c r="F146" s="1003"/>
      <c r="G146" s="1005">
        <f>G39+G53</f>
        <v>3992.4709999999977</v>
      </c>
      <c r="H146" s="1005">
        <f>G146+'[3]25'!H146</f>
        <v>79691.231000000058</v>
      </c>
      <c r="I146" s="1157"/>
      <c r="J146" s="1007">
        <f>H146/DAY(B2)</f>
        <v>3065.0473461538486</v>
      </c>
      <c r="K146" s="1102"/>
      <c r="L146" s="982"/>
      <c r="O146" s="1009"/>
    </row>
    <row r="147" spans="1:15" ht="20.100000000000001" customHeight="1">
      <c r="A147" s="1587" t="s">
        <v>267</v>
      </c>
      <c r="B147" s="1588"/>
      <c r="C147" s="1589"/>
      <c r="D147" s="1002" t="s">
        <v>24</v>
      </c>
      <c r="E147" s="1003"/>
      <c r="F147" s="1003"/>
      <c r="G147" s="1155">
        <f>G146/G7</f>
        <v>0.2182393680988301</v>
      </c>
      <c r="H147" s="1005">
        <f>G147+'[3]25'!H147</f>
        <v>4.1015908530321212</v>
      </c>
      <c r="I147" s="1157"/>
      <c r="J147" s="1007">
        <f>H147/DAY(B2)</f>
        <v>0.15775349434738928</v>
      </c>
      <c r="O147" s="1009"/>
    </row>
    <row r="148" spans="1:15" ht="20.100000000000001" customHeight="1">
      <c r="A148" s="1587" t="s">
        <v>268</v>
      </c>
      <c r="B148" s="1588"/>
      <c r="C148" s="1589"/>
      <c r="D148" s="1002" t="s">
        <v>194</v>
      </c>
      <c r="E148" s="1003"/>
      <c r="F148" s="1003"/>
      <c r="G148" s="1005">
        <f>G38+G52</f>
        <v>1638.2999999999884</v>
      </c>
      <c r="H148" s="1005">
        <f>G148+'[3]25'!H148</f>
        <v>45102.859999999986</v>
      </c>
      <c r="I148" s="1024"/>
      <c r="J148" s="1007">
        <f>H148/DAY(B2)</f>
        <v>1734.725384615384</v>
      </c>
      <c r="K148" s="1158"/>
      <c r="O148" s="1009"/>
    </row>
    <row r="149" spans="1:15" ht="20.100000000000001" customHeight="1">
      <c r="A149" s="1587" t="s">
        <v>269</v>
      </c>
      <c r="B149" s="1588"/>
      <c r="C149" s="1589"/>
      <c r="D149" s="1002" t="s">
        <v>24</v>
      </c>
      <c r="E149" s="1003"/>
      <c r="F149" s="1003"/>
      <c r="G149" s="1155">
        <f>G148/G7</f>
        <v>8.9553952115447047E-2</v>
      </c>
      <c r="H149" s="1005">
        <f>G149+'[3]25'!H149</f>
        <v>2.3363532180848807</v>
      </c>
      <c r="I149" s="1157"/>
      <c r="J149" s="1007">
        <f>H149/DAY(B2)</f>
        <v>8.9859739157110791E-2</v>
      </c>
      <c r="O149" s="1009"/>
    </row>
    <row r="150" spans="1:15" ht="20.100000000000001" customHeight="1">
      <c r="A150" s="1587" t="s">
        <v>270</v>
      </c>
      <c r="B150" s="1588"/>
      <c r="C150" s="1589"/>
      <c r="D150" s="1002" t="s">
        <v>194</v>
      </c>
      <c r="E150" s="1003"/>
      <c r="F150" s="1003"/>
      <c r="G150" s="1005">
        <f>G36+G50</f>
        <v>1641.679999999993</v>
      </c>
      <c r="H150" s="1005">
        <f>G150+'[3]25'!H150</f>
        <v>41490.479999999981</v>
      </c>
      <c r="I150" s="1157"/>
      <c r="J150" s="1007">
        <f>H150/DAY(B2)</f>
        <v>1595.7876923076915</v>
      </c>
      <c r="O150" s="1009"/>
    </row>
    <row r="151" spans="1:15" ht="20.100000000000001" customHeight="1">
      <c r="A151" s="1587" t="s">
        <v>271</v>
      </c>
      <c r="B151" s="1588"/>
      <c r="C151" s="1589"/>
      <c r="D151" s="1002" t="s">
        <v>24</v>
      </c>
      <c r="E151" s="1003"/>
      <c r="F151" s="1003"/>
      <c r="G151" s="1155">
        <f>G150/G7</f>
        <v>8.9738712146058441E-2</v>
      </c>
      <c r="H151" s="1005">
        <f>G151+'[3]25'!H151</f>
        <v>2.1464793643322553</v>
      </c>
      <c r="I151" s="1024"/>
      <c r="J151" s="1007">
        <f>H151/DAY(B2)</f>
        <v>8.2556898628163664E-2</v>
      </c>
      <c r="O151" s="1009"/>
    </row>
    <row r="152" spans="1:15" ht="20.100000000000001" customHeight="1">
      <c r="A152" s="1587" t="s">
        <v>272</v>
      </c>
      <c r="B152" s="1588"/>
      <c r="C152" s="1589"/>
      <c r="D152" s="1002" t="s">
        <v>194</v>
      </c>
      <c r="E152" s="1003"/>
      <c r="F152" s="1003"/>
      <c r="G152" s="1005">
        <f>G37+G51</f>
        <v>1416.3940000000002</v>
      </c>
      <c r="H152" s="1005">
        <f>G152+'[3]25'!H152</f>
        <v>36657.925900000002</v>
      </c>
      <c r="I152" s="1024"/>
      <c r="J152" s="1007">
        <f>H152/DAY(B2)</f>
        <v>1409.9202269230771</v>
      </c>
      <c r="O152" s="1009"/>
    </row>
    <row r="153" spans="1:15" ht="20.100000000000001" customHeight="1" thickBot="1">
      <c r="A153" s="1590" t="s">
        <v>273</v>
      </c>
      <c r="B153" s="1591"/>
      <c r="C153" s="1592"/>
      <c r="D153" s="1159" t="s">
        <v>24</v>
      </c>
      <c r="E153" s="1160"/>
      <c r="F153" s="1160"/>
      <c r="G153" s="1161">
        <f>G152/G7</f>
        <v>7.7423964141248511E-2</v>
      </c>
      <c r="H153" s="1005">
        <f>G153+'[3]25'!H153</f>
        <v>1.9037864234939954</v>
      </c>
      <c r="I153" s="1162"/>
      <c r="J153" s="1163">
        <f>H153/DAY(B2)</f>
        <v>7.3222554749769048E-2</v>
      </c>
      <c r="O153" s="1009"/>
    </row>
    <row r="154" spans="1:15" ht="44.25" customHeight="1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154" t="s">
        <v>274</v>
      </c>
      <c r="B160" s="1154"/>
      <c r="C160" s="1154"/>
      <c r="D160" s="989" t="s">
        <v>198</v>
      </c>
      <c r="E160" s="1003">
        <f>'[3]25'!F160</f>
        <v>23477.81</v>
      </c>
      <c r="F160" s="1178">
        <v>23550.949000000001</v>
      </c>
      <c r="G160" s="1004">
        <f t="shared" ref="G160:G171" si="16">F160-E160</f>
        <v>73.138999999999214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'[3]25'!F161</f>
        <v>7213.1</v>
      </c>
      <c r="F161" s="1178">
        <v>7838.2183000000005</v>
      </c>
      <c r="G161" s="1004">
        <f t="shared" si="16"/>
        <v>625.11830000000009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'[3]25'!F162</f>
        <v>1671</v>
      </c>
      <c r="F162" s="1178">
        <v>36291.525000000001</v>
      </c>
      <c r="G162" s="1004" t="s">
        <v>322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'[3]25'!F163</f>
        <v>3434.66</v>
      </c>
      <c r="F163" s="1178">
        <v>3445.08</v>
      </c>
      <c r="G163" s="1004">
        <f t="shared" si="16"/>
        <v>10.420000000000073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6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774.55</v>
      </c>
      <c r="F165" s="1085">
        <f t="shared" si="17"/>
        <v>790.78399999999999</v>
      </c>
      <c r="G165" s="1004">
        <f t="shared" si="16"/>
        <v>16.234000000000037</v>
      </c>
    </row>
    <row r="166" spans="1:7" ht="21.75" customHeight="1">
      <c r="A166" s="1574" t="s">
        <v>107</v>
      </c>
      <c r="B166" s="1574"/>
      <c r="C166" s="1574"/>
      <c r="D166" s="1002" t="s">
        <v>198</v>
      </c>
      <c r="E166" s="1085">
        <f t="shared" si="17"/>
        <v>84897.47</v>
      </c>
      <c r="F166" s="1085">
        <f t="shared" si="17"/>
        <v>85250.903000000006</v>
      </c>
      <c r="G166" s="1004">
        <f t="shared" si="16"/>
        <v>353.43300000000454</v>
      </c>
    </row>
    <row r="167" spans="1:7" ht="21.75" customHeight="1">
      <c r="A167" s="1574" t="s">
        <v>108</v>
      </c>
      <c r="B167" s="1574"/>
      <c r="C167" s="1574"/>
      <c r="D167" s="1002" t="s">
        <v>198</v>
      </c>
      <c r="E167" s="1085">
        <f t="shared" si="17"/>
        <v>94711.360000000001</v>
      </c>
      <c r="F167" s="1085">
        <f t="shared" si="17"/>
        <v>95086.959000000003</v>
      </c>
      <c r="G167" s="1004">
        <f t="shared" si="16"/>
        <v>375.59900000000198</v>
      </c>
    </row>
    <row r="168" spans="1:7" ht="21.75" customHeight="1">
      <c r="A168" s="1574" t="s">
        <v>109</v>
      </c>
      <c r="B168" s="1574"/>
      <c r="C168" s="1574"/>
      <c r="D168" s="1002" t="s">
        <v>198</v>
      </c>
      <c r="E168" s="1085">
        <f t="shared" si="17"/>
        <v>88004.24</v>
      </c>
      <c r="F168" s="1085">
        <f t="shared" si="17"/>
        <v>88383.582999999999</v>
      </c>
      <c r="G168" s="1004">
        <f t="shared" si="16"/>
        <v>379.34299999999348</v>
      </c>
    </row>
    <row r="169" spans="1:7" ht="12.75" customHeight="1">
      <c r="A169" s="1574" t="s">
        <v>110</v>
      </c>
      <c r="B169" s="1574"/>
      <c r="C169" s="1574"/>
      <c r="D169" s="1002" t="s">
        <v>198</v>
      </c>
      <c r="E169" s="1085">
        <f t="shared" si="17"/>
        <v>142352.78</v>
      </c>
      <c r="F169" s="1085">
        <f t="shared" si="17"/>
        <v>143040.49</v>
      </c>
      <c r="G169" s="1004">
        <f t="shared" si="16"/>
        <v>687.70999999999185</v>
      </c>
    </row>
    <row r="170" spans="1:7" ht="24" customHeight="1">
      <c r="A170" s="1574" t="s">
        <v>111</v>
      </c>
      <c r="B170" s="1574"/>
      <c r="C170" s="1574"/>
      <c r="D170" s="1002" t="s">
        <v>198</v>
      </c>
      <c r="E170" s="1085">
        <f t="shared" si="17"/>
        <v>41418.57</v>
      </c>
      <c r="F170" s="1085">
        <f t="shared" si="17"/>
        <v>41758.786999999997</v>
      </c>
      <c r="G170" s="1004">
        <f t="shared" si="16"/>
        <v>340.21699999999691</v>
      </c>
    </row>
    <row r="171" spans="1:7">
      <c r="A171" s="1574" t="s">
        <v>112</v>
      </c>
      <c r="B171" s="1574"/>
      <c r="C171" s="1574"/>
      <c r="D171" s="1002" t="s">
        <v>198</v>
      </c>
      <c r="E171" s="1085">
        <f t="shared" si="17"/>
        <v>36117.5</v>
      </c>
      <c r="F171" s="1085">
        <f t="shared" si="17"/>
        <v>36405.142999999996</v>
      </c>
      <c r="G171" s="1004">
        <f t="shared" si="16"/>
        <v>287.64299999999639</v>
      </c>
    </row>
    <row r="172" spans="1:7">
      <c r="G172" s="1169">
        <f>SUM(G160:G171)</f>
        <v>3148.8562999999845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B1" zoomScale="55" zoomScaleSheetLayoutView="55" workbookViewId="0">
      <selection activeCell="A106" sqref="A1:XFD1048576"/>
    </sheetView>
  </sheetViews>
  <sheetFormatPr defaultColWidth="22.33203125" defaultRowHeight="29.25"/>
  <cols>
    <col min="1" max="1" width="47" style="594" customWidth="1"/>
    <col min="2" max="2" width="29.55468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2" width="0" style="420" hidden="1" customWidth="1"/>
    <col min="13" max="13" width="4.44140625" style="420" customWidth="1"/>
    <col min="14" max="14" width="25.5546875" style="420" customWidth="1"/>
    <col min="15" max="16384" width="22.33203125" style="420"/>
  </cols>
  <sheetData>
    <row r="1" spans="1:14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4" s="292" customFormat="1" ht="27">
      <c r="A2" s="716" t="s">
        <v>293</v>
      </c>
      <c r="B2" s="1195">
        <v>44162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4" s="292" customFormat="1" ht="27">
      <c r="A3" s="711"/>
      <c r="B3" s="755"/>
      <c r="C3" s="1378" t="s">
        <v>131</v>
      </c>
      <c r="D3" s="753">
        <v>28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4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'[3]26'!F7</f>
        <v>2587304</v>
      </c>
      <c r="F7" s="595">
        <v>2606520</v>
      </c>
      <c r="G7" s="815">
        <f>F7-E7</f>
        <v>19216</v>
      </c>
      <c r="H7" s="816">
        <f>G7+'[3]26'!H7</f>
        <v>501495</v>
      </c>
      <c r="I7" s="817">
        <f>'[3]1'!I7</f>
        <v>12000</v>
      </c>
      <c r="J7" s="818">
        <f>H7/DAY(B2)</f>
        <v>18573.888888888891</v>
      </c>
      <c r="K7" s="690"/>
      <c r="L7" s="421">
        <v>1375467</v>
      </c>
      <c r="M7" s="420">
        <v>1691553</v>
      </c>
      <c r="N7" s="426">
        <f>M7-L7</f>
        <v>316086</v>
      </c>
    </row>
    <row r="8" spans="1:14" ht="27.75" thickBot="1">
      <c r="A8" s="819" t="s">
        <v>144</v>
      </c>
      <c r="B8" s="820"/>
      <c r="C8" s="821"/>
      <c r="D8" s="822" t="s">
        <v>25</v>
      </c>
      <c r="E8" s="774">
        <f>'[3]26'!F8</f>
        <v>2601120</v>
      </c>
      <c r="F8" s="615">
        <v>2620591</v>
      </c>
      <c r="G8" s="826">
        <f>F8-E8</f>
        <v>19471</v>
      </c>
      <c r="H8" s="816">
        <f>G8+'[3]26'!H8</f>
        <v>505150</v>
      </c>
      <c r="I8" s="823">
        <f>'[3]1'!I8</f>
        <v>12000</v>
      </c>
      <c r="J8" s="818">
        <f>H8/DAY(B2)</f>
        <v>18709.259259259259</v>
      </c>
      <c r="K8" s="690"/>
      <c r="L8" s="479"/>
      <c r="M8" s="542"/>
      <c r="N8" s="841"/>
    </row>
    <row r="9" spans="1:14">
      <c r="A9" s="824" t="s">
        <v>145</v>
      </c>
      <c r="B9" s="825"/>
      <c r="C9" s="825"/>
      <c r="D9" s="779" t="s">
        <v>143</v>
      </c>
      <c r="E9" s="776">
        <f>'[3]26'!F9</f>
        <v>2243986.5</v>
      </c>
      <c r="F9" s="618">
        <v>2247337.9</v>
      </c>
      <c r="G9" s="839">
        <f t="shared" ref="G9:G12" si="0">F9-E9</f>
        <v>3351.3999999999069</v>
      </c>
      <c r="H9" s="816">
        <f>G9+'[3]26'!H9</f>
        <v>230332.59999999986</v>
      </c>
      <c r="I9" s="827">
        <f>I8-J8</f>
        <v>-6709.2592592592591</v>
      </c>
      <c r="J9" s="818">
        <f>H9/DAY(B2)</f>
        <v>8530.8370370370321</v>
      </c>
      <c r="K9" s="527"/>
      <c r="L9" s="421"/>
      <c r="N9" s="426"/>
    </row>
    <row r="10" spans="1:14">
      <c r="A10" s="813" t="s">
        <v>146</v>
      </c>
      <c r="B10" s="814"/>
      <c r="C10" s="814"/>
      <c r="D10" s="779" t="s">
        <v>143</v>
      </c>
      <c r="E10" s="776">
        <f>'[3]26'!F10</f>
        <v>237837.57</v>
      </c>
      <c r="F10" s="618">
        <v>252998.07</v>
      </c>
      <c r="G10" s="826">
        <f t="shared" si="0"/>
        <v>15160.5</v>
      </c>
      <c r="H10" s="816">
        <f>G10+'[3]26'!H10</f>
        <v>252998.28000000003</v>
      </c>
      <c r="I10" s="828"/>
      <c r="J10" s="818">
        <f>H10/DAY(B2)</f>
        <v>9370.3066666666673</v>
      </c>
      <c r="K10" s="527"/>
      <c r="L10" s="421"/>
      <c r="N10" s="426"/>
    </row>
    <row r="11" spans="1:14">
      <c r="A11" s="813" t="s">
        <v>147</v>
      </c>
      <c r="B11" s="814"/>
      <c r="C11" s="814"/>
      <c r="D11" s="779" t="s">
        <v>143</v>
      </c>
      <c r="E11" s="774">
        <f>'[3]26'!F11</f>
        <v>35390</v>
      </c>
      <c r="F11" s="595">
        <v>35390</v>
      </c>
      <c r="G11" s="826">
        <f t="shared" si="0"/>
        <v>0</v>
      </c>
      <c r="H11" s="816">
        <f>G11+'[3]26'!H11</f>
        <v>0</v>
      </c>
      <c r="I11" s="828"/>
      <c r="J11" s="818">
        <f>H11/DAY(B2)</f>
        <v>0</v>
      </c>
      <c r="K11" s="527"/>
      <c r="L11" s="421"/>
      <c r="N11" s="426"/>
    </row>
    <row r="12" spans="1:14">
      <c r="A12" s="813" t="s">
        <v>148</v>
      </c>
      <c r="B12" s="814"/>
      <c r="C12" s="814"/>
      <c r="D12" s="779" t="s">
        <v>143</v>
      </c>
      <c r="E12" s="776">
        <f>'[3]26'!F12</f>
        <v>37630</v>
      </c>
      <c r="F12" s="618">
        <v>37630</v>
      </c>
      <c r="G12" s="826">
        <f t="shared" si="0"/>
        <v>0</v>
      </c>
      <c r="H12" s="816">
        <f>G12+'[3]26'!H12</f>
        <v>0</v>
      </c>
      <c r="I12" s="828"/>
      <c r="J12" s="818">
        <f>H12/DAY(B2)</f>
        <v>0</v>
      </c>
      <c r="K12" s="527"/>
      <c r="L12" s="421"/>
      <c r="N12" s="426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18511.899999999907</v>
      </c>
      <c r="H13" s="816">
        <f>G13+'[3]26'!H13</f>
        <v>429067.07999999996</v>
      </c>
      <c r="I13" s="832">
        <f>G7-G13</f>
        <v>704.10000000009313</v>
      </c>
      <c r="J13" s="818">
        <f>H13/DAY(B2)</f>
        <v>15891.373333333331</v>
      </c>
      <c r="K13" s="527"/>
      <c r="L13" s="421"/>
      <c r="N13" s="426"/>
    </row>
    <row r="14" spans="1:14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4">
      <c r="A15" s="802" t="s">
        <v>151</v>
      </c>
      <c r="B15" s="803"/>
      <c r="C15" s="803"/>
      <c r="D15" s="804" t="s">
        <v>152</v>
      </c>
      <c r="E15" s="805">
        <f>'[3]26'!F15</f>
        <v>1544089.0049999999</v>
      </c>
      <c r="F15" s="837">
        <v>1544621.689</v>
      </c>
      <c r="G15" s="801">
        <f>(F15-E15)</f>
        <v>532.6840000001248</v>
      </c>
      <c r="H15" s="807">
        <f>G15+'[3]26'!H15</f>
        <v>14506.495000000112</v>
      </c>
      <c r="I15" s="808">
        <v>800</v>
      </c>
      <c r="J15" s="809">
        <f>H15/DAY(B2)</f>
        <v>537.27759259259676</v>
      </c>
      <c r="K15" s="527"/>
      <c r="L15" s="421"/>
      <c r="N15" s="426"/>
    </row>
    <row r="16" spans="1:14">
      <c r="A16" s="810"/>
      <c r="B16" s="811"/>
      <c r="C16" s="811"/>
      <c r="D16" s="804"/>
      <c r="E16" s="805"/>
      <c r="F16" s="837"/>
      <c r="G16" s="806"/>
      <c r="H16" s="807"/>
      <c r="I16" s="812">
        <f>I15-J15</f>
        <v>262.72240740740324</v>
      </c>
      <c r="J16" s="809"/>
      <c r="K16" s="527"/>
      <c r="L16" s="421"/>
      <c r="N16" s="426"/>
    </row>
    <row r="17" spans="1:14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478" t="s">
        <v>154</v>
      </c>
      <c r="B18" s="1479"/>
      <c r="C18" s="1480"/>
      <c r="D18" s="779" t="s">
        <v>155</v>
      </c>
      <c r="E18" s="776">
        <f>'[3]26'!F18</f>
        <v>7</v>
      </c>
      <c r="F18" s="618">
        <v>8</v>
      </c>
      <c r="G18" s="831">
        <f>F18*10</f>
        <v>80</v>
      </c>
      <c r="H18" s="816">
        <f>G18+'[3]26'!H18</f>
        <v>2710</v>
      </c>
      <c r="I18" s="817">
        <f>'[3]1'!I18</f>
        <v>65</v>
      </c>
      <c r="J18" s="818">
        <f>H18/DAY(B2)</f>
        <v>100.37037037037037</v>
      </c>
      <c r="K18" s="527"/>
      <c r="L18" s="421"/>
      <c r="N18" s="426"/>
    </row>
    <row r="19" spans="1:14" ht="27.75">
      <c r="A19" s="1478" t="s">
        <v>71</v>
      </c>
      <c r="B19" s="1479"/>
      <c r="C19" s="1480"/>
      <c r="D19" s="779" t="s">
        <v>155</v>
      </c>
      <c r="E19" s="776">
        <f>'[3]26'!F19</f>
        <v>129571</v>
      </c>
      <c r="F19" s="618">
        <v>129628</v>
      </c>
      <c r="G19" s="826">
        <f t="shared" ref="G19" si="1">F19-E19</f>
        <v>57</v>
      </c>
      <c r="H19" s="816">
        <f>G19+'[3]26'!H19</f>
        <v>1433</v>
      </c>
      <c r="I19" s="833"/>
      <c r="J19" s="818">
        <f>H19/DAY(B2)</f>
        <v>53.074074074074076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137</v>
      </c>
      <c r="H20" s="816">
        <f>G20+'[3]26'!H20</f>
        <v>4143</v>
      </c>
      <c r="I20" s="835">
        <f>I18-J20</f>
        <v>-88.444444444444457</v>
      </c>
      <c r="J20" s="818">
        <f>H20/DAY(B2)</f>
        <v>153.44444444444446</v>
      </c>
      <c r="K20" s="527"/>
      <c r="L20" s="421"/>
      <c r="N20" s="426"/>
    </row>
    <row r="21" spans="1:14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'[3]26'!F22</f>
        <v>1610</v>
      </c>
      <c r="F22" s="618">
        <v>1610</v>
      </c>
      <c r="G22" s="621">
        <f t="shared" ref="G22" si="2">(F22-E22)</f>
        <v>0</v>
      </c>
      <c r="H22" s="600">
        <f>G22+'[3]26'!H22</f>
        <v>640</v>
      </c>
      <c r="I22" s="620"/>
      <c r="J22" s="693">
        <f>H22/DAY(B2)</f>
        <v>23.703703703703702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'[3]26'!F23</f>
        <v>1700</v>
      </c>
      <c r="F23" s="618">
        <v>1700</v>
      </c>
      <c r="G23" s="621">
        <v>0</v>
      </c>
      <c r="H23" s="600">
        <f>G23+'[3]26'!H23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'[3]26'!F24</f>
        <v>3310</v>
      </c>
      <c r="F24" s="625">
        <v>3310</v>
      </c>
      <c r="G24" s="621">
        <v>0</v>
      </c>
      <c r="H24" s="600">
        <f>G24+'[3]26'!H24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19471</v>
      </c>
      <c r="F27" s="641">
        <v>9.5</v>
      </c>
      <c r="G27" s="642">
        <f>E27*F27</f>
        <v>184974.5</v>
      </c>
      <c r="H27" s="600">
        <f>G27+'[3]26'!H27</f>
        <v>4798925</v>
      </c>
      <c r="I27" s="643"/>
      <c r="J27" s="693">
        <f>H27/DAY(B2)</f>
        <v>177737.96296296295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532.6840000001248</v>
      </c>
      <c r="F28" s="641">
        <v>36.5</v>
      </c>
      <c r="G28" s="642">
        <f>E28*F28</f>
        <v>19442.966000004555</v>
      </c>
      <c r="H28" s="600">
        <f>G28+'[3]26'!H28</f>
        <v>529487.06750000408</v>
      </c>
      <c r="I28" s="645"/>
      <c r="J28" s="693">
        <f>H28/DAY(B2)</f>
        <v>19610.632129629779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57</v>
      </c>
      <c r="F30" s="641">
        <v>145</v>
      </c>
      <c r="G30" s="642">
        <f>E30*F30</f>
        <v>8265</v>
      </c>
      <c r="H30" s="600">
        <f>G30+'[3]26'!H30</f>
        <v>207785</v>
      </c>
      <c r="I30" s="645"/>
      <c r="J30" s="693">
        <f>H30/DAY(B2)</f>
        <v>7695.7407407407409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G31+'[3]26'!H31</f>
        <v>216800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219082.46600000456</v>
      </c>
      <c r="H32" s="600">
        <f>G32+'[3]26'!H32</f>
        <v>5752997.0675000036</v>
      </c>
      <c r="I32" s="649"/>
      <c r="J32" s="693">
        <f>H32/DAY(B2)</f>
        <v>213073.9654629631</v>
      </c>
      <c r="K32" s="417"/>
      <c r="L32" s="547"/>
      <c r="N32" s="426"/>
    </row>
    <row r="33" spans="1:14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'[3]26'!F35</f>
        <v>629027</v>
      </c>
      <c r="F35" s="650">
        <v>629027.67000000004</v>
      </c>
      <c r="G35" s="613">
        <f t="shared" ref="G35:G46" si="3">F35-E35</f>
        <v>0.67000000004190952</v>
      </c>
      <c r="H35" s="600">
        <f>G35+'[3]26'!H35</f>
        <v>25858.20000000007</v>
      </c>
      <c r="I35" s="595"/>
      <c r="J35" s="693">
        <f>H35/DAY(B2)</f>
        <v>957.71111111111372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'[3]26'!F36</f>
        <v>226298.55</v>
      </c>
      <c r="F36" s="650">
        <v>227249.07</v>
      </c>
      <c r="G36" s="613">
        <f t="shared" si="3"/>
        <v>950.52000000001863</v>
      </c>
      <c r="H36" s="600">
        <f>G36+'[3]26'!H36</f>
        <v>15889.119999999995</v>
      </c>
      <c r="I36" s="595"/>
      <c r="J36" s="693">
        <f>H36/DAY(B2)</f>
        <v>588.4859259259257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'[3]26'!F37</f>
        <v>415066</v>
      </c>
      <c r="F37" s="650">
        <v>415066</v>
      </c>
      <c r="G37" s="613">
        <f t="shared" si="3"/>
        <v>0</v>
      </c>
      <c r="H37" s="600">
        <f>G37+'[3]26'!H37</f>
        <v>15221.809999999998</v>
      </c>
      <c r="I37" s="595"/>
      <c r="J37" s="693">
        <f>H37/DAY(B2)</f>
        <v>563.77074074074062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'[3]26'!F38</f>
        <v>150714</v>
      </c>
      <c r="F38" s="609">
        <v>150714</v>
      </c>
      <c r="G38" s="613">
        <f t="shared" si="3"/>
        <v>0</v>
      </c>
      <c r="H38" s="600">
        <f>G38+'[3]26'!H38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'[3]26'!F39</f>
        <v>912480</v>
      </c>
      <c r="F39" s="650">
        <v>912480</v>
      </c>
      <c r="G39" s="613">
        <f t="shared" si="3"/>
        <v>0</v>
      </c>
      <c r="H39" s="600">
        <f>G39+'[3]26'!H39</f>
        <v>40355.290000000037</v>
      </c>
      <c r="I39" s="595"/>
      <c r="J39" s="693">
        <f>H39/DAY(B2)</f>
        <v>1494.6403703703718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'[3]26'!F40</f>
        <v>0</v>
      </c>
      <c r="F40" s="650">
        <v>0</v>
      </c>
      <c r="G40" s="613">
        <f t="shared" si="3"/>
        <v>0</v>
      </c>
      <c r="H40" s="600">
        <f>G40+'[3]26'!H40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'[3]26'!F41</f>
        <v>300127.95</v>
      </c>
      <c r="F41" s="650">
        <v>300127.95</v>
      </c>
      <c r="G41" s="613">
        <f t="shared" si="3"/>
        <v>0</v>
      </c>
      <c r="H41" s="600">
        <f>G41+'[3]26'!H41</f>
        <v>-1.9999999960418791E-2</v>
      </c>
      <c r="I41" s="595"/>
      <c r="J41" s="693">
        <f>H41/DAY(B2)</f>
        <v>-7.4074073927477002E-4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'[3]26'!F42</f>
        <v>396197.95</v>
      </c>
      <c r="F42" s="650">
        <v>396197.95</v>
      </c>
      <c r="G42" s="613">
        <f t="shared" si="3"/>
        <v>0</v>
      </c>
      <c r="H42" s="600">
        <f>G42+'[3]26'!H42</f>
        <v>0.48000000003958121</v>
      </c>
      <c r="I42" s="595"/>
      <c r="J42" s="693">
        <f>H42/DAY(B2)</f>
        <v>1.7777777779243747E-2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'[3]26'!F43</f>
        <v>620857.11</v>
      </c>
      <c r="F43" s="650">
        <v>623375.87</v>
      </c>
      <c r="G43" s="613">
        <f t="shared" si="3"/>
        <v>2518.7600000000093</v>
      </c>
      <c r="H43" s="600">
        <f>G43+'[3]26'!H43</f>
        <v>65051.800000000047</v>
      </c>
      <c r="I43" s="595"/>
      <c r="J43" s="693">
        <f>H43/DAY(B2)</f>
        <v>2409.3259259259275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'[3]26'!F44</f>
        <v>0</v>
      </c>
      <c r="F44" s="650">
        <v>0</v>
      </c>
      <c r="G44" s="613">
        <f t="shared" si="3"/>
        <v>0</v>
      </c>
      <c r="H44" s="600">
        <f>G44+'[3]26'!H44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'[3]26'!F45</f>
        <v>614</v>
      </c>
      <c r="F45" s="650">
        <v>614</v>
      </c>
      <c r="G45" s="613">
        <f t="shared" si="3"/>
        <v>0</v>
      </c>
      <c r="H45" s="600">
        <f>G45+'[3]26'!H45</f>
        <v>-0.48000000000001819</v>
      </c>
      <c r="I45" s="595"/>
      <c r="J45" s="693">
        <f>H45/DAY(B2)</f>
        <v>-1.7777777777778451E-2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'[3]26'!F46</f>
        <v>187</v>
      </c>
      <c r="F46" s="650">
        <v>187</v>
      </c>
      <c r="G46" s="613">
        <f t="shared" si="3"/>
        <v>0</v>
      </c>
      <c r="H46" s="600">
        <f>G46+'[3]26'!H46</f>
        <v>-0.49000000000000909</v>
      </c>
      <c r="I46" s="595"/>
      <c r="J46" s="693">
        <f>H46/DAY(B2)</f>
        <v>-1.8148148148148486E-2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3469.9500000000698</v>
      </c>
      <c r="H47" s="600">
        <f>G47+'[3]26'!H47</f>
        <v>162375.71000000025</v>
      </c>
      <c r="I47" s="595"/>
      <c r="J47" s="693">
        <f>H47/DAY(B2)</f>
        <v>6013.9151851851948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'[3]26'!F49</f>
        <v>51014.987000000001</v>
      </c>
      <c r="F49" s="650">
        <v>52500.870999999999</v>
      </c>
      <c r="G49" s="613">
        <f t="shared" ref="G49:G58" si="4">F49-E49</f>
        <v>1485.8839999999982</v>
      </c>
      <c r="H49" s="600">
        <f>G49+'[3]26'!H49</f>
        <v>40771.582999999999</v>
      </c>
      <c r="I49" s="595"/>
      <c r="J49" s="693">
        <f>H49/DAY(B2)</f>
        <v>1510.0586296296296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'[3]26'!F50</f>
        <v>290358.45</v>
      </c>
      <c r="F50" s="650">
        <v>291785.40999999997</v>
      </c>
      <c r="G50" s="613">
        <f t="shared" si="4"/>
        <v>1426.9599999999627</v>
      </c>
      <c r="H50" s="600">
        <f>G50+'[3]26'!H50</f>
        <v>25726.469999999972</v>
      </c>
      <c r="I50" s="595"/>
      <c r="J50" s="693">
        <f>H50/DAY(B2)</f>
        <v>952.83222222222116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'[3]26'!F51</f>
        <v>13461.064</v>
      </c>
      <c r="F51" s="650">
        <v>14878.704</v>
      </c>
      <c r="G51" s="613">
        <f t="shared" si="4"/>
        <v>1417.6399999999994</v>
      </c>
      <c r="H51" s="600">
        <f>G51+'[3]26'!H51</f>
        <v>22853.7559</v>
      </c>
      <c r="I51" s="595"/>
      <c r="J51" s="693">
        <f>H51/DAY(B2)</f>
        <v>846.43540370370374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'[3]26'!F52</f>
        <v>363767.55</v>
      </c>
      <c r="F52" s="650">
        <v>365455.15</v>
      </c>
      <c r="G52" s="613">
        <f t="shared" si="4"/>
        <v>1687.6000000000349</v>
      </c>
      <c r="H52" s="600">
        <f>G52+'[3]26'!H52</f>
        <v>43165.73000000004</v>
      </c>
      <c r="I52" s="595"/>
      <c r="J52" s="693">
        <f>H52/DAY(B2)</f>
        <v>1598.7307407407422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'[3]26'!F53</f>
        <v>28454.940999999999</v>
      </c>
      <c r="F53" s="650">
        <v>32588.708999999999</v>
      </c>
      <c r="G53" s="613">
        <f t="shared" si="4"/>
        <v>4133.768</v>
      </c>
      <c r="H53" s="600">
        <f>G53+'[3]26'!H53</f>
        <v>43469.709000000003</v>
      </c>
      <c r="I53" s="595"/>
      <c r="J53" s="693">
        <f>H53/DAY(B2)</f>
        <v>1609.9892222222222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'[3]26'!F54</f>
        <v>2748.2892999999999</v>
      </c>
      <c r="F54" s="650">
        <v>2773.5970000000002</v>
      </c>
      <c r="G54" s="613">
        <f t="shared" si="4"/>
        <v>25.307700000000295</v>
      </c>
      <c r="H54" s="600">
        <f>G54+'[3]26'!H54</f>
        <v>1221.0363000000002</v>
      </c>
      <c r="I54" s="595"/>
      <c r="J54" s="693">
        <f>H54/DAY(B2)</f>
        <v>45.223566666666677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'[3]26'!F55</f>
        <v>158492.73000000001</v>
      </c>
      <c r="F55" s="790">
        <v>158492.73000000001</v>
      </c>
      <c r="G55" s="789">
        <f t="shared" si="4"/>
        <v>0</v>
      </c>
      <c r="H55" s="861">
        <f>G55+'[3]26'!H55</f>
        <v>-0.26999999998952262</v>
      </c>
      <c r="I55" s="862"/>
      <c r="J55" s="863">
        <f>H55/DAY(B2)</f>
        <v>-9.9999999996119495E-3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'[3]26'!F56</f>
        <v>416733.51</v>
      </c>
      <c r="F56" s="790">
        <v>420672.63</v>
      </c>
      <c r="G56" s="613">
        <f t="shared" si="4"/>
        <v>3939.1199999999953</v>
      </c>
      <c r="H56" s="600">
        <f>G56+'[3]26'!H56</f>
        <v>108628.15000000002</v>
      </c>
      <c r="I56" s="595"/>
      <c r="J56" s="693">
        <f>H56/DAY(B2)</f>
        <v>4023.2648148148155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'[3]26'!F57</f>
        <v>0</v>
      </c>
      <c r="F57" s="650">
        <v>0</v>
      </c>
      <c r="G57" s="613">
        <f t="shared" si="4"/>
        <v>0</v>
      </c>
      <c r="H57" s="600">
        <f>G57+'[3]26'!H57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'[3]26'!F58</f>
        <v>19683.875</v>
      </c>
      <c r="F58" s="790">
        <v>19783.521000000001</v>
      </c>
      <c r="G58" s="613">
        <f t="shared" si="4"/>
        <v>99.64600000000064</v>
      </c>
      <c r="H58" s="600">
        <f>G58+'[3]26'!H58</f>
        <v>2014.2249999999985</v>
      </c>
      <c r="I58" s="595"/>
      <c r="J58" s="693">
        <f>H58/DAY(B2)</f>
        <v>74.600925925925878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14215.925699999993</v>
      </c>
      <c r="H59" s="600">
        <f>G59+'[3]26'!H59</f>
        <v>287850.38919999998</v>
      </c>
      <c r="I59" s="595">
        <f>G7-G60</f>
        <v>1530.1242999999376</v>
      </c>
      <c r="J59" s="693">
        <f>H59/DAY(B2)</f>
        <v>10661.125525925925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17685.875700000062</v>
      </c>
      <c r="H60" s="600">
        <f>G60+'[3]26'!H60</f>
        <v>464612.25990000018</v>
      </c>
      <c r="I60" s="595">
        <f>G13-G60</f>
        <v>826.02429999984452</v>
      </c>
      <c r="J60" s="693">
        <f>H60/DAY(B2)</f>
        <v>17207.861477777784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'[3]26'!F62</f>
        <v>20419.18</v>
      </c>
      <c r="F62" s="654">
        <v>20419</v>
      </c>
      <c r="G62" s="613">
        <f t="shared" ref="G62:G69" si="5">F62-E62</f>
        <v>-0.18000000000029104</v>
      </c>
      <c r="H62" s="600">
        <f>G62+'[3]26'!H62</f>
        <v>-0.3779999999969732</v>
      </c>
      <c r="I62" s="655"/>
      <c r="J62" s="693">
        <f>H62/DAY(B2)</f>
        <v>-1.3999999999887896E-2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'[3]26'!F63</f>
        <v>790.78399999999999</v>
      </c>
      <c r="F63" s="654">
        <v>807.01</v>
      </c>
      <c r="G63" s="613">
        <f t="shared" si="5"/>
        <v>16.225999999999999</v>
      </c>
      <c r="H63" s="600">
        <f>G63+'[3]26'!H63</f>
        <v>508.55</v>
      </c>
      <c r="I63" s="655"/>
      <c r="J63" s="693">
        <f>H63/DAY(B2)</f>
        <v>18.835185185185185</v>
      </c>
      <c r="K63" s="527"/>
      <c r="L63" s="421"/>
      <c r="N63" s="426"/>
    </row>
    <row r="64" spans="1:14" ht="27.75">
      <c r="A64" s="1429" t="s">
        <v>107</v>
      </c>
      <c r="B64" s="1430"/>
      <c r="C64" s="1431"/>
      <c r="D64" s="663" t="s">
        <v>198</v>
      </c>
      <c r="E64" s="624">
        <f>'[3]26'!F64</f>
        <v>85250.903000000006</v>
      </c>
      <c r="F64" s="618">
        <v>85603.551000000007</v>
      </c>
      <c r="G64" s="613">
        <f t="shared" si="5"/>
        <v>352.64800000000105</v>
      </c>
      <c r="H64" s="600">
        <f>G64+'[3]26'!H64</f>
        <v>9540.4640000000072</v>
      </c>
      <c r="I64" s="620"/>
      <c r="J64" s="693">
        <f>H64/DAY(B2)</f>
        <v>353.35051851851881</v>
      </c>
      <c r="K64" s="527"/>
      <c r="L64" s="421"/>
      <c r="N64" s="426"/>
    </row>
    <row r="65" spans="1:14" ht="27.75">
      <c r="A65" s="1429" t="s">
        <v>108</v>
      </c>
      <c r="B65" s="1430"/>
      <c r="C65" s="1431"/>
      <c r="D65" s="663" t="s">
        <v>198</v>
      </c>
      <c r="E65" s="624">
        <f>'[3]26'!F65</f>
        <v>95086.959000000003</v>
      </c>
      <c r="F65" s="788">
        <v>95473.951000000001</v>
      </c>
      <c r="G65" s="613">
        <f t="shared" si="5"/>
        <v>386.99199999999837</v>
      </c>
      <c r="H65" s="600">
        <f>G65+'[3]26'!H65</f>
        <v>10314.687999999995</v>
      </c>
      <c r="I65" s="629"/>
      <c r="J65" s="693">
        <f>H65/DAY(B2)</f>
        <v>382.02548148148128</v>
      </c>
      <c r="K65" s="527"/>
      <c r="L65" s="421"/>
      <c r="N65" s="426"/>
    </row>
    <row r="66" spans="1:14" ht="27.75">
      <c r="A66" s="1429" t="s">
        <v>109</v>
      </c>
      <c r="B66" s="1430"/>
      <c r="C66" s="1431"/>
      <c r="D66" s="663" t="s">
        <v>198</v>
      </c>
      <c r="E66" s="624">
        <f>'[3]26'!F66</f>
        <v>88383.582999999999</v>
      </c>
      <c r="F66" s="618">
        <v>88765.175000000003</v>
      </c>
      <c r="G66" s="613">
        <f t="shared" si="5"/>
        <v>381.59200000000419</v>
      </c>
      <c r="H66" s="600">
        <f>G66+'[3]26'!H66</f>
        <v>10577.217000000004</v>
      </c>
      <c r="I66" s="620"/>
      <c r="J66" s="693">
        <f>H66/DAY(B2)</f>
        <v>391.74877777777795</v>
      </c>
      <c r="K66" s="527"/>
      <c r="L66" s="421"/>
      <c r="N66" s="426"/>
    </row>
    <row r="67" spans="1:14" ht="27.75">
      <c r="A67" s="1429" t="s">
        <v>110</v>
      </c>
      <c r="B67" s="1430"/>
      <c r="C67" s="1431"/>
      <c r="D67" s="663" t="s">
        <v>198</v>
      </c>
      <c r="E67" s="624">
        <f>'[3]26'!F67</f>
        <v>143040.49</v>
      </c>
      <c r="F67" s="618">
        <v>143735.82</v>
      </c>
      <c r="G67" s="613">
        <f t="shared" si="5"/>
        <v>695.3300000000163</v>
      </c>
      <c r="H67" s="600">
        <f>G67+'[3]26'!H67</f>
        <v>17679.320000000007</v>
      </c>
      <c r="I67" s="629"/>
      <c r="J67" s="693">
        <f>H67/DAY(B2)</f>
        <v>654.78962962962987</v>
      </c>
      <c r="K67" s="528"/>
      <c r="L67" s="421"/>
      <c r="N67" s="426"/>
    </row>
    <row r="68" spans="1:14" ht="27.75">
      <c r="A68" s="1429" t="s">
        <v>111</v>
      </c>
      <c r="B68" s="1430"/>
      <c r="C68" s="1431"/>
      <c r="D68" s="663" t="s">
        <v>198</v>
      </c>
      <c r="E68" s="624">
        <f>'[3]26'!F68</f>
        <v>41758.786999999997</v>
      </c>
      <c r="F68" s="618">
        <v>42077.839</v>
      </c>
      <c r="G68" s="613">
        <f t="shared" si="5"/>
        <v>319.05200000000332</v>
      </c>
      <c r="H68" s="600">
        <f>G68+'[3]26'!H68</f>
        <v>8677.9700000000012</v>
      </c>
      <c r="I68" s="656"/>
      <c r="J68" s="693">
        <f>H68/DAY(B2)</f>
        <v>321.40629629629632</v>
      </c>
      <c r="K68" s="529"/>
      <c r="L68" s="421"/>
      <c r="N68" s="426"/>
    </row>
    <row r="69" spans="1:14" ht="27.75">
      <c r="A69" s="1429" t="s">
        <v>112</v>
      </c>
      <c r="B69" s="1430"/>
      <c r="C69" s="1431"/>
      <c r="D69" s="663" t="s">
        <v>198</v>
      </c>
      <c r="E69" s="624">
        <f>'[3]26'!F69</f>
        <v>36405.142999999996</v>
      </c>
      <c r="F69" s="618">
        <v>36692.142999999996</v>
      </c>
      <c r="G69" s="613">
        <f t="shared" si="5"/>
        <v>287</v>
      </c>
      <c r="H69" s="600">
        <f>G69+'[3]26'!H69</f>
        <v>7439.7779999999948</v>
      </c>
      <c r="I69" s="656"/>
      <c r="J69" s="693">
        <f>H69/DAY(B2)</f>
        <v>275.54733333333314</v>
      </c>
      <c r="K69" s="530"/>
      <c r="L69" s="421"/>
      <c r="N69" s="426"/>
    </row>
    <row r="70" spans="1:14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</row>
    <row r="71" spans="1:14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426"/>
    </row>
    <row r="72" spans="1:14" ht="27.75">
      <c r="A72" s="1429" t="s">
        <v>202</v>
      </c>
      <c r="B72" s="1430"/>
      <c r="C72" s="1431"/>
      <c r="D72" s="663" t="s">
        <v>198</v>
      </c>
      <c r="E72" s="659">
        <f>'[3]26'!F72</f>
        <v>844147</v>
      </c>
      <c r="F72" s="791">
        <v>844154</v>
      </c>
      <c r="G72" s="613">
        <f t="shared" ref="G72:G84" si="6">F72-E72</f>
        <v>7</v>
      </c>
      <c r="H72" s="600">
        <f>G72+'[3]26'!H72</f>
        <v>212</v>
      </c>
      <c r="I72" s="620"/>
      <c r="J72" s="693">
        <f>H72/DAY(B2)</f>
        <v>7.8518518518518521</v>
      </c>
      <c r="K72" s="530"/>
      <c r="L72" s="421"/>
      <c r="N72" s="426"/>
    </row>
    <row r="73" spans="1:14" ht="27.75">
      <c r="A73" s="1429" t="s">
        <v>203</v>
      </c>
      <c r="B73" s="1430"/>
      <c r="C73" s="1431"/>
      <c r="D73" s="663" t="s">
        <v>198</v>
      </c>
      <c r="E73" s="660">
        <f>'[3]26'!F73</f>
        <v>885304</v>
      </c>
      <c r="F73" s="792">
        <v>885304</v>
      </c>
      <c r="G73" s="789">
        <f t="shared" si="6"/>
        <v>0</v>
      </c>
      <c r="H73" s="600">
        <f>G73+'[3]26'!H73</f>
        <v>176</v>
      </c>
      <c r="I73" s="620"/>
      <c r="J73" s="693">
        <f>H73/DAY(B2)</f>
        <v>6.5185185185185182</v>
      </c>
      <c r="K73" s="529"/>
      <c r="L73" s="421"/>
      <c r="N73" s="426"/>
    </row>
    <row r="74" spans="1:14" ht="27.75">
      <c r="A74" s="1429" t="s">
        <v>204</v>
      </c>
      <c r="B74" s="1430"/>
      <c r="C74" s="1431"/>
      <c r="D74" s="663" t="s">
        <v>198</v>
      </c>
      <c r="E74" s="661">
        <f>'[3]26'!F74</f>
        <v>880153</v>
      </c>
      <c r="F74" s="792">
        <v>880169</v>
      </c>
      <c r="G74" s="613">
        <f t="shared" si="6"/>
        <v>16</v>
      </c>
      <c r="H74" s="600">
        <f>G74+'[3]26'!H74</f>
        <v>533</v>
      </c>
      <c r="I74" s="620"/>
      <c r="J74" s="693">
        <f>H74/DAY(B2)</f>
        <v>19.74074074074074</v>
      </c>
      <c r="K74" s="530"/>
      <c r="L74" s="421"/>
      <c r="N74" s="426"/>
    </row>
    <row r="75" spans="1:14" ht="27.75">
      <c r="A75" s="1408" t="s">
        <v>205</v>
      </c>
      <c r="B75" s="1409"/>
      <c r="C75" s="1410"/>
      <c r="D75" s="663" t="s">
        <v>198</v>
      </c>
      <c r="E75" s="660">
        <f>'[3]26'!F75</f>
        <v>725503</v>
      </c>
      <c r="F75" s="791">
        <v>725662</v>
      </c>
      <c r="G75" s="613">
        <f t="shared" si="6"/>
        <v>159</v>
      </c>
      <c r="H75" s="600">
        <f>G75+'[3]26'!H75</f>
        <v>4296</v>
      </c>
      <c r="I75" s="620"/>
      <c r="J75" s="693">
        <f>H75/DAY(B2)</f>
        <v>159.11111111111111</v>
      </c>
      <c r="K75" s="529"/>
      <c r="L75" s="421"/>
      <c r="N75" s="426"/>
    </row>
    <row r="76" spans="1:14" ht="27.75">
      <c r="A76" s="1408" t="s">
        <v>206</v>
      </c>
      <c r="B76" s="1409"/>
      <c r="C76" s="1410"/>
      <c r="D76" s="663" t="s">
        <v>198</v>
      </c>
      <c r="E76" s="660">
        <f>'[3]26'!F76</f>
        <v>681423</v>
      </c>
      <c r="F76" s="792">
        <v>681491</v>
      </c>
      <c r="G76" s="613">
        <f t="shared" si="6"/>
        <v>68</v>
      </c>
      <c r="H76" s="600">
        <f>G76+'[3]26'!H76</f>
        <v>3021</v>
      </c>
      <c r="I76" s="645"/>
      <c r="J76" s="693">
        <f>H76/DAY(B2)</f>
        <v>111.88888888888889</v>
      </c>
      <c r="K76" s="529"/>
      <c r="L76" s="421"/>
      <c r="N76" s="426"/>
    </row>
    <row r="77" spans="1:14" ht="27.75">
      <c r="A77" s="1429" t="s">
        <v>207</v>
      </c>
      <c r="B77" s="1430"/>
      <c r="C77" s="1431"/>
      <c r="D77" s="663" t="s">
        <v>198</v>
      </c>
      <c r="E77" s="660">
        <f>'[3]26'!F77</f>
        <v>693522</v>
      </c>
      <c r="F77" s="792">
        <v>693571</v>
      </c>
      <c r="G77" s="789">
        <f t="shared" si="6"/>
        <v>49</v>
      </c>
      <c r="H77" s="600">
        <f>G77+'[3]26'!H77</f>
        <v>1264</v>
      </c>
      <c r="I77" s="645"/>
      <c r="J77" s="693">
        <f>H77/DAY(B2)</f>
        <v>46.814814814814817</v>
      </c>
      <c r="K77" s="529"/>
      <c r="L77" s="421"/>
      <c r="N77" s="426"/>
    </row>
    <row r="78" spans="1:14" s="543" customFormat="1" ht="27.75">
      <c r="A78" s="1386" t="s">
        <v>208</v>
      </c>
      <c r="B78" s="1387"/>
      <c r="C78" s="1387"/>
      <c r="D78" s="768" t="s">
        <v>198</v>
      </c>
      <c r="E78" s="660">
        <f>'[3]26'!F78</f>
        <v>616543</v>
      </c>
      <c r="F78" s="792">
        <v>616941</v>
      </c>
      <c r="G78" s="789">
        <f t="shared" si="6"/>
        <v>398</v>
      </c>
      <c r="H78" s="861">
        <f>G78+'[3]26'!H78</f>
        <v>8927</v>
      </c>
      <c r="I78" s="1385"/>
      <c r="J78" s="863">
        <f>H78/DAY(B2)</f>
        <v>330.62962962962962</v>
      </c>
      <c r="K78" s="1696"/>
      <c r="L78" s="1272"/>
      <c r="N78" s="869"/>
    </row>
    <row r="79" spans="1:14" ht="27.75">
      <c r="A79" s="1408" t="s">
        <v>97</v>
      </c>
      <c r="B79" s="1409"/>
      <c r="C79" s="1410"/>
      <c r="D79" s="664" t="s">
        <v>198</v>
      </c>
      <c r="E79" s="661">
        <f>'[3]26'!F79</f>
        <v>797192</v>
      </c>
      <c r="F79" s="791">
        <v>797387</v>
      </c>
      <c r="G79" s="613">
        <f t="shared" si="6"/>
        <v>195</v>
      </c>
      <c r="H79" s="600">
        <f>G79+'[3]26'!H79</f>
        <v>6572</v>
      </c>
      <c r="I79" s="645"/>
      <c r="J79" s="693">
        <f>H79/DAY(B2)</f>
        <v>243.40740740740742</v>
      </c>
      <c r="K79" s="529"/>
      <c r="L79" s="421"/>
      <c r="N79" s="426"/>
    </row>
    <row r="80" spans="1:14" ht="27.75">
      <c r="A80" s="1408" t="s">
        <v>209</v>
      </c>
      <c r="B80" s="1409"/>
      <c r="C80" s="1410"/>
      <c r="D80" s="664" t="s">
        <v>198</v>
      </c>
      <c r="E80" s="660">
        <f>'[3]26'!F80</f>
        <v>464220.84</v>
      </c>
      <c r="F80" s="792">
        <v>464513.4</v>
      </c>
      <c r="G80" s="613">
        <f t="shared" si="6"/>
        <v>292.55999999999767</v>
      </c>
      <c r="H80" s="600">
        <f>G80+'[3]26'!H80</f>
        <v>6076.5200000000186</v>
      </c>
      <c r="I80" s="645"/>
      <c r="J80" s="693">
        <f>H80/DAY(B2)</f>
        <v>225.05629629629698</v>
      </c>
      <c r="K80" s="529"/>
      <c r="L80" s="421"/>
      <c r="N80" s="426"/>
    </row>
    <row r="81" spans="1:15" ht="27.75">
      <c r="A81" s="1408" t="s">
        <v>210</v>
      </c>
      <c r="B81" s="1409"/>
      <c r="C81" s="1410"/>
      <c r="D81" s="664" t="s">
        <v>198</v>
      </c>
      <c r="E81" s="660">
        <f>'[3]26'!F81</f>
        <v>613741.16</v>
      </c>
      <c r="F81" s="792">
        <v>613901.93000000005</v>
      </c>
      <c r="G81" s="613">
        <f t="shared" si="6"/>
        <v>160.77000000001863</v>
      </c>
      <c r="H81" s="600">
        <f>G81+'[3]26'!H81</f>
        <v>2779.6500000000233</v>
      </c>
      <c r="I81" s="645"/>
      <c r="J81" s="693">
        <f>H81/DAY(B2)</f>
        <v>102.95000000000086</v>
      </c>
      <c r="K81" s="529"/>
      <c r="L81" s="421"/>
      <c r="N81" s="426"/>
    </row>
    <row r="82" spans="1:15" ht="27.75">
      <c r="A82" s="1408" t="s">
        <v>100</v>
      </c>
      <c r="B82" s="1409"/>
      <c r="C82" s="1410"/>
      <c r="D82" s="625" t="s">
        <v>143</v>
      </c>
      <c r="E82" s="662">
        <f>'[3]26'!F82</f>
        <v>103451.34</v>
      </c>
      <c r="F82" s="788">
        <v>103474.46</v>
      </c>
      <c r="G82" s="613">
        <f t="shared" si="6"/>
        <v>23.120000000009895</v>
      </c>
      <c r="H82" s="600">
        <f>G82+'[3]26'!H82</f>
        <v>444.51000000000931</v>
      </c>
      <c r="I82" s="626"/>
      <c r="J82" s="693">
        <f>H82/DAY(B2)</f>
        <v>16.463333333333679</v>
      </c>
      <c r="K82" s="529"/>
      <c r="L82" s="421"/>
      <c r="N82" s="426"/>
    </row>
    <row r="83" spans="1:15" ht="27.75">
      <c r="A83" s="1408" t="s">
        <v>211</v>
      </c>
      <c r="B83" s="1409"/>
      <c r="C83" s="1410"/>
      <c r="D83" s="761" t="s">
        <v>143</v>
      </c>
      <c r="E83" s="651">
        <f>'[3]26'!F83</f>
        <v>961151</v>
      </c>
      <c r="F83" s="761">
        <v>961473</v>
      </c>
      <c r="G83" s="613">
        <f t="shared" si="6"/>
        <v>322</v>
      </c>
      <c r="H83" s="600">
        <f>G83+'[3]26'!H83</f>
        <v>9230</v>
      </c>
      <c r="I83" s="621"/>
      <c r="J83" s="693">
        <f>H83/DAY(B2)</f>
        <v>341.85185185185185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'[3]26'!F84</f>
        <v>379402</v>
      </c>
      <c r="F84" s="664">
        <v>379892</v>
      </c>
      <c r="G84" s="613">
        <f t="shared" si="6"/>
        <v>490</v>
      </c>
      <c r="H84" s="600">
        <f>G84+'[3]26'!H84</f>
        <v>13459</v>
      </c>
      <c r="I84" s="621"/>
      <c r="J84" s="693">
        <f>H84/DAY(B2)</f>
        <v>498.48148148148147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768">
        <f>'[3]26'!F85</f>
        <v>0</v>
      </c>
      <c r="F85" s="663"/>
      <c r="G85" s="600">
        <f xml:space="preserve"> SUM(G72:G84)</f>
        <v>2180.4500000000262</v>
      </c>
      <c r="H85" s="600">
        <f>G85+'[3]26'!H85</f>
        <v>53664.780000000072</v>
      </c>
      <c r="I85" s="621"/>
      <c r="J85" s="693">
        <f>H85/DAY(B2)</f>
        <v>1987.5844444444472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'[3]26'!F86</f>
        <v>439808.52</v>
      </c>
      <c r="F86" s="784">
        <v>439965.04</v>
      </c>
      <c r="G86" s="861">
        <f>F86-E86</f>
        <v>156.51999999996042</v>
      </c>
      <c r="H86" s="861">
        <f t="shared" ref="H86:H88" si="7">G86</f>
        <v>156.51999999996042</v>
      </c>
      <c r="I86" s="789"/>
      <c r="J86" s="863">
        <f>H86/DAY(B2)</f>
        <v>5.7970370370355715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'[3]26'!F87</f>
        <v>76806</v>
      </c>
      <c r="F87" s="784">
        <v>76838.5</v>
      </c>
      <c r="G87" s="861">
        <f t="shared" ref="G87:G90" si="8">F87-E87</f>
        <v>32.5</v>
      </c>
      <c r="H87" s="861">
        <f t="shared" si="7"/>
        <v>32.5</v>
      </c>
      <c r="I87" s="789"/>
      <c r="J87" s="863">
        <f>H87/DAY(B2)</f>
        <v>1.2037037037037037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'[3]26'!F88</f>
        <v>142074.29</v>
      </c>
      <c r="F88" s="784">
        <v>142180.07</v>
      </c>
      <c r="G88" s="861">
        <f t="shared" si="8"/>
        <v>105.77999999999884</v>
      </c>
      <c r="H88" s="861">
        <f t="shared" si="7"/>
        <v>105.77999999999884</v>
      </c>
      <c r="I88" s="789"/>
      <c r="J88" s="863">
        <f>H88/DAY(B2)</f>
        <v>3.9177777777777347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'[3]26'!F89</f>
        <v>55468.5</v>
      </c>
      <c r="F89" s="784">
        <v>55521</v>
      </c>
      <c r="G89" s="861">
        <f t="shared" si="8"/>
        <v>52.5</v>
      </c>
      <c r="H89" s="861">
        <f>G89</f>
        <v>52.5</v>
      </c>
      <c r="I89" s="789"/>
      <c r="J89" s="863">
        <f>H89/DAY(B2)</f>
        <v>1.9444444444444444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'[3]26'!F90</f>
        <v>2867.9</v>
      </c>
      <c r="F90" s="784">
        <v>2869</v>
      </c>
      <c r="G90" s="861">
        <f t="shared" si="8"/>
        <v>1.0999999999999091</v>
      </c>
      <c r="H90" s="861">
        <f>G90</f>
        <v>1.0999999999999091</v>
      </c>
      <c r="I90" s="789"/>
      <c r="J90" s="863">
        <f>H90/DAY(B2)</f>
        <v>4.0740740740737372E-2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32" t="s">
        <v>217</v>
      </c>
      <c r="B92" s="1433"/>
      <c r="C92" s="1434"/>
      <c r="D92" s="663" t="s">
        <v>155</v>
      </c>
      <c r="E92" s="624">
        <f>'[3]26'!F92</f>
        <v>230584</v>
      </c>
      <c r="F92" s="618">
        <v>230648</v>
      </c>
      <c r="G92" s="613">
        <f t="shared" ref="G92:G93" si="9">F92-E92</f>
        <v>64</v>
      </c>
      <c r="H92" s="600">
        <f>G92+'[3]26'!H92</f>
        <v>2053</v>
      </c>
      <c r="I92" s="620"/>
      <c r="J92" s="693">
        <f>H92/DAY(B2)</f>
        <v>76.037037037037038</v>
      </c>
      <c r="K92" s="528"/>
      <c r="L92" s="421"/>
      <c r="N92" s="426"/>
    </row>
    <row r="93" spans="1:15" ht="27.75">
      <c r="A93" s="1432" t="s">
        <v>218</v>
      </c>
      <c r="B93" s="1433"/>
      <c r="C93" s="1434"/>
      <c r="D93" s="663" t="s">
        <v>155</v>
      </c>
      <c r="E93" s="624">
        <f>'[3]26'!F93</f>
        <v>162104</v>
      </c>
      <c r="F93" s="625">
        <v>162212</v>
      </c>
      <c r="G93" s="613">
        <f t="shared" si="9"/>
        <v>108</v>
      </c>
      <c r="H93" s="600">
        <f>G93+'[3]26'!H93</f>
        <v>3689</v>
      </c>
      <c r="I93" s="620"/>
      <c r="J93" s="693">
        <f>H93/DAY(B2)</f>
        <v>136.62962962962962</v>
      </c>
      <c r="K93" s="424"/>
      <c r="L93" s="421"/>
      <c r="N93" s="426"/>
    </row>
    <row r="94" spans="1:15">
      <c r="A94" s="1460" t="s">
        <v>219</v>
      </c>
      <c r="B94" s="1461"/>
      <c r="C94" s="1462"/>
      <c r="D94" s="663"/>
      <c r="E94" s="624">
        <f>'[3]26'!F94</f>
        <v>0</v>
      </c>
      <c r="F94" s="618"/>
      <c r="G94" s="613">
        <f>G92+G93</f>
        <v>172</v>
      </c>
      <c r="H94" s="600">
        <f>G94+'[3]26'!H94</f>
        <v>5452</v>
      </c>
      <c r="I94" s="620"/>
      <c r="J94" s="693">
        <f>H94/DAY(B2)</f>
        <v>201.92592592592592</v>
      </c>
      <c r="K94" s="424"/>
      <c r="L94" s="421"/>
      <c r="N94" s="426"/>
    </row>
    <row r="95" spans="1:15" ht="27.75">
      <c r="A95" s="1432" t="s">
        <v>220</v>
      </c>
      <c r="B95" s="1433"/>
      <c r="C95" s="1434"/>
      <c r="D95" s="663" t="s">
        <v>155</v>
      </c>
      <c r="E95" s="624">
        <f>'[3]26'!F95</f>
        <v>401267</v>
      </c>
      <c r="F95" s="618">
        <v>401333</v>
      </c>
      <c r="G95" s="613">
        <f t="shared" ref="G95:G100" si="10">F95-E95</f>
        <v>66</v>
      </c>
      <c r="H95" s="600">
        <f>G95+'[3]26'!H95</f>
        <v>1486</v>
      </c>
      <c r="I95" s="620"/>
      <c r="J95" s="693">
        <f>H95/DAY(B2)</f>
        <v>55.037037037037038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'[3]26'!F96</f>
        <v>98996</v>
      </c>
      <c r="F96" s="618">
        <v>99017</v>
      </c>
      <c r="G96" s="613">
        <f t="shared" si="10"/>
        <v>21</v>
      </c>
      <c r="H96" s="600">
        <f>G96+'[3]26'!H96</f>
        <v>1008</v>
      </c>
      <c r="I96" s="620"/>
      <c r="J96" s="693">
        <f>H96/DAY(B2)</f>
        <v>37.333333333333336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'[3]26'!F97</f>
        <v>94133</v>
      </c>
      <c r="F97" s="618">
        <v>94156</v>
      </c>
      <c r="G97" s="613">
        <f t="shared" si="10"/>
        <v>23</v>
      </c>
      <c r="H97" s="600">
        <f>G97+'[3]26'!H97</f>
        <v>605</v>
      </c>
      <c r="I97" s="620"/>
      <c r="J97" s="693">
        <f>H97/DAY(B2)</f>
        <v>22.407407407407408</v>
      </c>
      <c r="K97" s="531"/>
      <c r="L97" s="421"/>
      <c r="N97" s="968"/>
    </row>
    <row r="98" spans="1:14" ht="27.75">
      <c r="A98" s="1371" t="s">
        <v>223</v>
      </c>
      <c r="B98" s="1372"/>
      <c r="C98" s="1372"/>
      <c r="D98" s="663" t="s">
        <v>155</v>
      </c>
      <c r="E98" s="624">
        <f>'[3]26'!F98</f>
        <v>141961</v>
      </c>
      <c r="F98" s="618">
        <v>141983</v>
      </c>
      <c r="G98" s="613">
        <f t="shared" si="10"/>
        <v>22</v>
      </c>
      <c r="H98" s="600">
        <f>G98+'[3]26'!H98</f>
        <v>1078</v>
      </c>
      <c r="I98" s="620"/>
      <c r="J98" s="693">
        <f>H98/DAY(B2)</f>
        <v>39.925925925925924</v>
      </c>
      <c r="K98" s="424"/>
      <c r="L98" s="421"/>
      <c r="N98" s="1192"/>
    </row>
    <row r="99" spans="1:14" ht="27.75">
      <c r="A99" s="1371" t="s">
        <v>224</v>
      </c>
      <c r="B99" s="1372"/>
      <c r="C99" s="1372"/>
      <c r="D99" s="663" t="s">
        <v>155</v>
      </c>
      <c r="E99" s="624">
        <f>'[3]26'!F99</f>
        <v>4918</v>
      </c>
      <c r="F99" s="618">
        <v>4924</v>
      </c>
      <c r="G99" s="613">
        <f t="shared" si="10"/>
        <v>6</v>
      </c>
      <c r="H99" s="600">
        <f>G99+'[3]26'!H99</f>
        <v>216</v>
      </c>
      <c r="I99" s="620"/>
      <c r="J99" s="693">
        <f>H99/DAY(B2)</f>
        <v>8</v>
      </c>
      <c r="K99" s="424"/>
      <c r="L99" s="421"/>
      <c r="N99" s="968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'[3]26'!F100</f>
        <v>3674</v>
      </c>
      <c r="F100" s="618">
        <v>3674</v>
      </c>
      <c r="G100" s="613">
        <f t="shared" si="10"/>
        <v>0</v>
      </c>
      <c r="H100" s="600">
        <f>G100+'[3]26'!H100</f>
        <v>0</v>
      </c>
      <c r="I100" s="620"/>
      <c r="J100" s="693">
        <f>H100/DAY(B2)</f>
        <v>0</v>
      </c>
      <c r="K100" s="424"/>
      <c r="L100" s="421"/>
      <c r="N100" s="968"/>
    </row>
    <row r="101" spans="1:14">
      <c r="A101" s="1460" t="s">
        <v>227</v>
      </c>
      <c r="B101" s="1461"/>
      <c r="C101" s="1462"/>
      <c r="D101" s="664"/>
      <c r="E101" s="664"/>
      <c r="F101" s="664"/>
      <c r="G101" s="665">
        <f>SUM(G95:G100)</f>
        <v>138</v>
      </c>
      <c r="H101" s="600">
        <f>G101+'[3]26'!H101</f>
        <v>4393</v>
      </c>
      <c r="I101" s="666"/>
      <c r="J101" s="693">
        <f>H101/DAY(B2)</f>
        <v>162.7037037037037</v>
      </c>
      <c r="K101" s="424"/>
      <c r="L101" s="421"/>
      <c r="N101" s="968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463" t="s">
        <v>229</v>
      </c>
      <c r="B103" s="1464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21" t="s">
        <v>230</v>
      </c>
      <c r="B104" s="1422"/>
      <c r="C104" s="1376"/>
      <c r="D104" s="763" t="s">
        <v>155</v>
      </c>
      <c r="E104" s="672">
        <f>'[3]26'!F104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2.2222222222222223</v>
      </c>
      <c r="N104" s="426"/>
    </row>
    <row r="105" spans="1:14" s="544" customFormat="1" ht="27.75">
      <c r="A105" s="1421" t="s">
        <v>77</v>
      </c>
      <c r="B105" s="1422"/>
      <c r="C105" s="1376"/>
      <c r="D105" s="763" t="s">
        <v>155</v>
      </c>
      <c r="E105" s="672">
        <f>'[3]26'!F105</f>
        <v>34637</v>
      </c>
      <c r="F105" s="965">
        <v>34645</v>
      </c>
      <c r="G105" s="672">
        <f t="shared" ref="G105:G106" si="11">F105-E105</f>
        <v>8</v>
      </c>
      <c r="H105" s="673">
        <f>SUM(G105+'[3]1'!G77)</f>
        <v>78</v>
      </c>
      <c r="I105" s="672"/>
      <c r="J105" s="699">
        <f>H105/DAY(B2)</f>
        <v>2.8888888888888888</v>
      </c>
      <c r="N105" s="426"/>
    </row>
    <row r="106" spans="1:14" s="544" customFormat="1" ht="27.75">
      <c r="A106" s="1421" t="s">
        <v>78</v>
      </c>
      <c r="B106" s="1465"/>
      <c r="C106" s="1422"/>
      <c r="D106" s="763" t="s">
        <v>155</v>
      </c>
      <c r="E106" s="672">
        <f>'[3]26'!F106</f>
        <v>18719</v>
      </c>
      <c r="F106" s="796">
        <v>18725</v>
      </c>
      <c r="G106" s="672">
        <f t="shared" si="11"/>
        <v>6</v>
      </c>
      <c r="H106" s="673">
        <f>SUM(G106+'[3]1'!G78)</f>
        <v>335</v>
      </c>
      <c r="I106" s="672"/>
      <c r="J106" s="699">
        <f>H106/DAY(B2)</f>
        <v>12.407407407407407</v>
      </c>
      <c r="N106" s="426"/>
    </row>
    <row r="107" spans="1:14" s="544" customFormat="1" ht="27.75">
      <c r="A107" s="1423" t="s">
        <v>213</v>
      </c>
      <c r="B107" s="1424"/>
      <c r="C107" s="1376"/>
      <c r="D107" s="763"/>
      <c r="E107" s="672">
        <f>'[3]26'!F107</f>
        <v>0</v>
      </c>
      <c r="F107" s="796"/>
      <c r="G107" s="672">
        <f>SUM(G104:G106)</f>
        <v>14</v>
      </c>
      <c r="H107" s="673">
        <f>SUM(G107+'[3]1'!G79)</f>
        <v>174</v>
      </c>
      <c r="I107" s="672"/>
      <c r="J107" s="699">
        <f>H107/DAY(B2)</f>
        <v>6.4444444444444446</v>
      </c>
      <c r="N107" s="426"/>
    </row>
    <row r="108" spans="1:14" s="544" customFormat="1" ht="27.75">
      <c r="A108" s="1427" t="s">
        <v>79</v>
      </c>
      <c r="B108" s="1428"/>
      <c r="C108" s="1376"/>
      <c r="D108" s="763" t="s">
        <v>155</v>
      </c>
      <c r="E108" s="672">
        <f>'[3]26'!F108</f>
        <v>0</v>
      </c>
      <c r="F108" s="796"/>
      <c r="G108" s="672"/>
      <c r="H108" s="673"/>
      <c r="I108" s="672"/>
      <c r="J108" s="699"/>
      <c r="N108" s="426"/>
    </row>
    <row r="109" spans="1:14" s="544" customFormat="1" ht="27.75">
      <c r="A109" s="1421" t="s">
        <v>231</v>
      </c>
      <c r="B109" s="1422"/>
      <c r="C109" s="1376"/>
      <c r="D109" s="763" t="s">
        <v>155</v>
      </c>
      <c r="E109" s="672">
        <f>'[3]26'!F109</f>
        <v>51069</v>
      </c>
      <c r="F109" s="965">
        <v>51128</v>
      </c>
      <c r="G109" s="672">
        <f>F109-E109</f>
        <v>59</v>
      </c>
      <c r="H109" s="673">
        <f>SUM(G109+'[3]1'!G81)</f>
        <v>141</v>
      </c>
      <c r="I109" s="672"/>
      <c r="J109" s="699">
        <f>H109/DAY(B2)</f>
        <v>5.2222222222222223</v>
      </c>
      <c r="N109" s="426"/>
    </row>
    <row r="110" spans="1:14" s="544" customFormat="1" ht="27.75">
      <c r="A110" s="1421" t="s">
        <v>232</v>
      </c>
      <c r="B110" s="1422"/>
      <c r="C110" s="1376"/>
      <c r="D110" s="763" t="s">
        <v>155</v>
      </c>
      <c r="E110" s="672">
        <f>'[3]26'!F110</f>
        <v>25149</v>
      </c>
      <c r="F110" s="965">
        <v>25175</v>
      </c>
      <c r="G110" s="672">
        <f t="shared" ref="G110:G111" si="12">F110-E110</f>
        <v>26</v>
      </c>
      <c r="H110" s="673">
        <f>SUM(G110+'[3]1'!G82)</f>
        <v>51.740000000005239</v>
      </c>
      <c r="I110" s="672"/>
      <c r="J110" s="699">
        <f>H110/DAY(B2)</f>
        <v>1.9162962962964902</v>
      </c>
      <c r="N110" s="426"/>
    </row>
    <row r="111" spans="1:14" s="544" customFormat="1" ht="27.75">
      <c r="A111" s="1421" t="s">
        <v>233</v>
      </c>
      <c r="B111" s="1422"/>
      <c r="C111" s="1376"/>
      <c r="D111" s="763" t="s">
        <v>155</v>
      </c>
      <c r="E111" s="672">
        <f>'[3]26'!F111</f>
        <v>3354</v>
      </c>
      <c r="F111" s="796">
        <v>3354</v>
      </c>
      <c r="G111" s="674">
        <f t="shared" si="12"/>
        <v>0</v>
      </c>
      <c r="H111" s="673">
        <f>SUM(G111+'[3]1'!G83)</f>
        <v>446</v>
      </c>
      <c r="I111" s="672"/>
      <c r="J111" s="699">
        <f>H111/DAY(B2)</f>
        <v>16.518518518518519</v>
      </c>
      <c r="N111" s="426"/>
    </row>
    <row r="112" spans="1:14" s="544" customFormat="1" ht="27.75">
      <c r="A112" s="1423" t="s">
        <v>121</v>
      </c>
      <c r="B112" s="1424"/>
      <c r="C112" s="1376"/>
      <c r="D112" s="763"/>
      <c r="E112" s="672">
        <f>'[3]26'!F112</f>
        <v>0</v>
      </c>
      <c r="F112" s="796"/>
      <c r="G112" s="672">
        <f>SUM(G109:G111)</f>
        <v>85</v>
      </c>
      <c r="H112" s="673">
        <f>SUM(G112+'[3]1'!G84)</f>
        <v>681</v>
      </c>
      <c r="I112" s="672"/>
      <c r="J112" s="699">
        <f>H112/DAY(B2)</f>
        <v>25.222222222222221</v>
      </c>
      <c r="N112" s="426"/>
    </row>
    <row r="113" spans="1:14" s="544" customFormat="1" ht="27.75">
      <c r="A113" s="1427" t="s">
        <v>234</v>
      </c>
      <c r="B113" s="1428"/>
      <c r="C113" s="1376"/>
      <c r="D113" s="763"/>
      <c r="E113" s="672">
        <f>'[3]26'!F113</f>
        <v>0</v>
      </c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21" t="s">
        <v>235</v>
      </c>
      <c r="B114" s="1422"/>
      <c r="C114" s="715"/>
      <c r="D114" s="763" t="s">
        <v>155</v>
      </c>
      <c r="E114" s="672">
        <f>'[3]26'!F114</f>
        <v>8541</v>
      </c>
      <c r="F114" s="796">
        <v>8548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0.25925925925925924</v>
      </c>
      <c r="N114" s="426"/>
    </row>
    <row r="115" spans="1:14" s="544" customFormat="1" ht="27.75">
      <c r="A115" s="1421" t="s">
        <v>236</v>
      </c>
      <c r="B115" s="1422"/>
      <c r="C115" s="715"/>
      <c r="D115" s="763" t="s">
        <v>155</v>
      </c>
      <c r="E115" s="672">
        <f>'[3]26'!F115</f>
        <v>6775</v>
      </c>
      <c r="F115" s="796">
        <v>6780</v>
      </c>
      <c r="G115" s="674">
        <f t="shared" ref="G115:G116" si="13">F115-E115</f>
        <v>5</v>
      </c>
      <c r="H115" s="673">
        <f>SUM(G115+'[3]1'!G92)</f>
        <v>110</v>
      </c>
      <c r="I115" s="672"/>
      <c r="J115" s="699">
        <f>H115/DAY(B2)</f>
        <v>4.0740740740740744</v>
      </c>
      <c r="N115" s="426"/>
    </row>
    <row r="116" spans="1:14" s="544" customFormat="1" ht="27.75">
      <c r="A116" s="1421" t="s">
        <v>237</v>
      </c>
      <c r="B116" s="1422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6.8518518518518521</v>
      </c>
      <c r="N116" s="426"/>
    </row>
    <row r="117" spans="1:14" s="557" customFormat="1" ht="27.75">
      <c r="A117" s="1423" t="s">
        <v>213</v>
      </c>
      <c r="B117" s="1424"/>
      <c r="C117" s="715"/>
      <c r="D117" s="764"/>
      <c r="E117" s="674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2.2222222222222223</v>
      </c>
      <c r="N117" s="426"/>
    </row>
    <row r="118" spans="1:14" s="558" customFormat="1" ht="27.75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121</v>
      </c>
      <c r="G118" s="676">
        <f>SUM(G19+G92)</f>
        <v>121</v>
      </c>
      <c r="H118" s="673">
        <f>SUM(G118+'[3]1'!G96)</f>
        <v>170</v>
      </c>
      <c r="I118" s="675"/>
      <c r="J118" s="700">
        <f>H118/DAY(B2)</f>
        <v>6.2962962962962967</v>
      </c>
      <c r="N118" s="426"/>
    </row>
    <row r="119" spans="1:14" s="558" customFormat="1" ht="27.75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116</v>
      </c>
      <c r="G119" s="676">
        <f>SUM(G95,G96,G97,G99,G100)</f>
        <v>116</v>
      </c>
      <c r="H119" s="673">
        <f>SUM(G119+'[3]1'!G98)</f>
        <v>148</v>
      </c>
      <c r="I119" s="675"/>
      <c r="J119" s="700">
        <f>H119/DAY(B2)</f>
        <v>5.4814814814814818</v>
      </c>
      <c r="N119" s="426"/>
    </row>
    <row r="120" spans="1:14" s="558" customFormat="1" ht="27.75">
      <c r="A120" s="1417" t="s">
        <v>240</v>
      </c>
      <c r="B120" s="1418"/>
      <c r="C120" s="1379"/>
      <c r="D120" s="765" t="s">
        <v>155</v>
      </c>
      <c r="E120" s="674"/>
      <c r="F120" s="796">
        <f>SUM(G112)</f>
        <v>85</v>
      </c>
      <c r="G120" s="674">
        <f>SUM(G112)</f>
        <v>85</v>
      </c>
      <c r="H120" s="673">
        <f>SUM(G120+'[3]1'!G100)</f>
        <v>85</v>
      </c>
      <c r="I120" s="675"/>
      <c r="J120" s="700">
        <f>H120/DAY(B2)</f>
        <v>3.1481481481481484</v>
      </c>
      <c r="N120" s="426"/>
    </row>
    <row r="121" spans="1:14" s="544" customFormat="1" ht="27.75">
      <c r="A121" s="1419"/>
      <c r="B121" s="1420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'[3]26'!F123</f>
        <v>788025.91099999996</v>
      </c>
      <c r="F123" s="618">
        <v>788223.31</v>
      </c>
      <c r="G123" s="613">
        <f>F123-E123</f>
        <v>197.3990000000922</v>
      </c>
      <c r="H123" s="600">
        <f>G123+'[3]26'!H123</f>
        <v>5298.4239999999991</v>
      </c>
      <c r="I123" s="666">
        <f>G123/5</f>
        <v>39.479800000018443</v>
      </c>
      <c r="J123" s="693">
        <f>H123/DAY(B2)</f>
        <v>196.23792592592588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'[3]26'!F124</f>
        <v>73581.899999999994</v>
      </c>
      <c r="F124" s="767">
        <v>73581.899999999994</v>
      </c>
      <c r="G124" s="613">
        <f t="shared" ref="G124:G127" si="14">F124-E124</f>
        <v>0</v>
      </c>
      <c r="H124" s="600">
        <f>G124+'[3]26'!H124</f>
        <v>0.89999999999417923</v>
      </c>
      <c r="I124" s="666"/>
      <c r="J124" s="693">
        <f>H124/DAY(B2)</f>
        <v>3.3333333333117748E-2</v>
      </c>
      <c r="K124" s="424"/>
      <c r="L124" s="421"/>
      <c r="N124" s="426"/>
    </row>
    <row r="125" spans="1:14" ht="27.75">
      <c r="A125" s="1429" t="s">
        <v>244</v>
      </c>
      <c r="B125" s="1430"/>
      <c r="C125" s="1431"/>
      <c r="D125" s="663" t="s">
        <v>152</v>
      </c>
      <c r="E125" s="618">
        <f>'[3]26'!F125</f>
        <v>132755.72</v>
      </c>
      <c r="F125" s="625">
        <v>132842.51</v>
      </c>
      <c r="G125" s="613">
        <f t="shared" si="14"/>
        <v>86.790000000008149</v>
      </c>
      <c r="H125" s="600">
        <f>G125+'[3]26'!H125</f>
        <v>1736.2900000000081</v>
      </c>
      <c r="I125" s="666"/>
      <c r="J125" s="693">
        <f>H125/DAY(B2)</f>
        <v>64.307037037037333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'[3]26'!F126</f>
        <v>56227.199999999997</v>
      </c>
      <c r="F126" s="625">
        <v>56252.1</v>
      </c>
      <c r="G126" s="613">
        <f t="shared" si="14"/>
        <v>24.900000000001455</v>
      </c>
      <c r="H126" s="600">
        <f>G126+'[3]26'!H126</f>
        <v>666.29999999999563</v>
      </c>
      <c r="I126" s="666"/>
      <c r="J126" s="693">
        <f>H126/DAY(B2)</f>
        <v>24.677777777777617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'[3]26'!F127</f>
        <v>8640.1</v>
      </c>
      <c r="F127" s="767">
        <v>8640.1</v>
      </c>
      <c r="G127" s="613">
        <f t="shared" si="14"/>
        <v>0</v>
      </c>
      <c r="H127" s="600">
        <f>G127+'[3]26'!H127</f>
        <v>1.1000000000003638</v>
      </c>
      <c r="I127" s="620"/>
      <c r="J127" s="693">
        <f>H127/DAY(B2)</f>
        <v>4.0740740740754212E-2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223.59500000002299</v>
      </c>
      <c r="H128" s="600">
        <f>G128+'[3]26'!H128</f>
        <v>3094.6040000000648</v>
      </c>
      <c r="I128" s="620"/>
      <c r="J128" s="693">
        <f>H128/DAY(B2)</f>
        <v>114.61496296296536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'[3]26'!F130</f>
        <v>0</v>
      </c>
      <c r="F130" s="618">
        <v>0</v>
      </c>
      <c r="G130" s="613">
        <f t="shared" ref="G130:G140" si="15">F130-E130</f>
        <v>0</v>
      </c>
      <c r="H130" s="600">
        <f>G130+'[3]26'!H130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'[3]26'!F131</f>
        <v>0</v>
      </c>
      <c r="F131" s="618">
        <v>0</v>
      </c>
      <c r="G131" s="613">
        <f t="shared" si="15"/>
        <v>0</v>
      </c>
      <c r="H131" s="600">
        <f>G131+'[3]26'!H131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24">
        <f>'[3]26'!F132</f>
        <v>38877</v>
      </c>
      <c r="F132" s="625">
        <v>38877</v>
      </c>
      <c r="G132" s="613">
        <f t="shared" si="15"/>
        <v>0</v>
      </c>
      <c r="H132" s="600">
        <f>G132+'[3]26'!H132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'[3]26'!F133</f>
        <v>34948</v>
      </c>
      <c r="F133" s="788">
        <v>34948</v>
      </c>
      <c r="G133" s="613">
        <f t="shared" si="15"/>
        <v>0</v>
      </c>
      <c r="H133" s="600">
        <f>G133+'[3]26'!H133</f>
        <v>0</v>
      </c>
      <c r="I133" s="620">
        <f>G130+G131+G132+G133</f>
        <v>0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62">
        <f>'[3]26'!F134</f>
        <v>39735</v>
      </c>
      <c r="F134" s="625">
        <v>39735</v>
      </c>
      <c r="G134" s="613">
        <f t="shared" si="15"/>
        <v>0</v>
      </c>
      <c r="H134" s="600">
        <f>G134+'[3]26'!H134</f>
        <v>24</v>
      </c>
      <c r="I134" s="620"/>
      <c r="J134" s="693">
        <f>H134/DAY(B2)</f>
        <v>0.88888888888888884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62">
        <f>'[3]26'!F135</f>
        <v>31620.1</v>
      </c>
      <c r="F135" s="625">
        <v>31644.11</v>
      </c>
      <c r="G135" s="613">
        <f t="shared" si="15"/>
        <v>24.010000000002037</v>
      </c>
      <c r="H135" s="600">
        <f>G135+'[3]26'!H135</f>
        <v>109.08000000000175</v>
      </c>
      <c r="I135" s="620"/>
      <c r="J135" s="693">
        <f>H135/DAY(B2)</f>
        <v>4.0400000000000649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62">
        <f>'[3]26'!F136</f>
        <v>21647.42</v>
      </c>
      <c r="F136" s="625">
        <v>21651.73</v>
      </c>
      <c r="G136" s="613">
        <f t="shared" si="15"/>
        <v>4.3100000000013097</v>
      </c>
      <c r="H136" s="600">
        <f>G136+'[3]26'!H136</f>
        <v>53.700000000000728</v>
      </c>
      <c r="I136" s="620">
        <f>G134+G135+G136</f>
        <v>28.320000000003347</v>
      </c>
      <c r="J136" s="693">
        <f>H136/DAY(B2)</f>
        <v>1.9888888888889158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62">
        <f>'[3]26'!F137</f>
        <v>24931.65</v>
      </c>
      <c r="F137" s="788">
        <v>24932.51</v>
      </c>
      <c r="G137" s="613">
        <f t="shared" si="15"/>
        <v>0.8599999999969441</v>
      </c>
      <c r="H137" s="600">
        <f>G137+'[3]26'!H137</f>
        <v>11.539999999997235</v>
      </c>
      <c r="I137" s="620"/>
      <c r="J137" s="693">
        <f>H137/DAY(B2)</f>
        <v>0.42740740740730498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62">
        <f>'[3]26'!F138</f>
        <v>69953.38</v>
      </c>
      <c r="F138" s="625">
        <v>69955.210000000006</v>
      </c>
      <c r="G138" s="613">
        <f t="shared" si="15"/>
        <v>1.8300000000017462</v>
      </c>
      <c r="H138" s="600">
        <f>G138+'[3]26'!H138</f>
        <v>26.30000000000291</v>
      </c>
      <c r="I138" s="620">
        <f>G137+G138</f>
        <v>2.6899999999986903</v>
      </c>
      <c r="J138" s="693">
        <f>H138/DAY(B2)</f>
        <v>0.97407407407418189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'[3]26'!F139</f>
        <v>918.9</v>
      </c>
      <c r="F139" s="625">
        <v>924.45</v>
      </c>
      <c r="G139" s="613">
        <f t="shared" si="15"/>
        <v>5.5500000000000682</v>
      </c>
      <c r="H139" s="600">
        <f>G139+'[3]26'!H139</f>
        <v>148.0200000000001</v>
      </c>
      <c r="I139" s="683"/>
      <c r="J139" s="693">
        <f>H139/DAY(B2)</f>
        <v>5.4822222222222257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'[3]26'!F140</f>
        <v>4156.8999999999996</v>
      </c>
      <c r="F140" s="618">
        <v>4156.8999999999996</v>
      </c>
      <c r="G140" s="613">
        <f t="shared" si="15"/>
        <v>0</v>
      </c>
      <c r="H140" s="600">
        <f>G140+'[3]26'!H140</f>
        <v>2.6299999999991996</v>
      </c>
      <c r="I140" s="683"/>
      <c r="J140" s="693">
        <f>H140/DAY(B2)</f>
        <v>9.7407407407377758E-2</v>
      </c>
      <c r="N140" s="426"/>
    </row>
    <row r="141" spans="1:14">
      <c r="A141" s="1438" t="s">
        <v>261</v>
      </c>
      <c r="B141" s="1439"/>
      <c r="C141" s="1375"/>
      <c r="D141" s="612"/>
      <c r="E141" s="612"/>
      <c r="F141" s="612" t="s">
        <v>226</v>
      </c>
      <c r="G141" s="623"/>
      <c r="H141" s="623"/>
      <c r="I141" s="623"/>
      <c r="J141" s="704"/>
      <c r="K141" s="424"/>
      <c r="L141" s="421"/>
      <c r="N141" s="426"/>
    </row>
    <row r="142" spans="1:14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4005.3140000000494</v>
      </c>
      <c r="H142" s="600">
        <f>G142+'[3]26'!H142</f>
        <v>130026.09000000008</v>
      </c>
      <c r="I142" s="620"/>
      <c r="J142" s="693">
        <f>H142/DAY(B2)</f>
        <v>4815.7811111111141</v>
      </c>
      <c r="K142" s="424"/>
      <c r="L142" s="421"/>
      <c r="N142" s="426"/>
    </row>
    <row r="143" spans="1:14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0.208436407160702</v>
      </c>
      <c r="H143" s="600">
        <f>G143+'[3]26'!H143</f>
        <v>6.5596475354567456</v>
      </c>
      <c r="I143" s="685"/>
      <c r="J143" s="693">
        <f>H143/DAY(B2)</f>
        <v>0.24294990872062019</v>
      </c>
      <c r="K143" s="424"/>
      <c r="L143" s="421"/>
      <c r="N143" s="426"/>
    </row>
    <row r="144" spans="1:14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3939.1199999999953</v>
      </c>
      <c r="H144" s="600">
        <f>G144+'[3]26'!H144</f>
        <v>116683.03000000012</v>
      </c>
      <c r="I144" s="620"/>
      <c r="J144" s="693">
        <f>H144/DAY(B2)</f>
        <v>4321.5937037037083</v>
      </c>
      <c r="K144" s="424"/>
      <c r="L144" s="421"/>
      <c r="N144" s="426"/>
    </row>
    <row r="145" spans="1:14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0.20499167360532866</v>
      </c>
      <c r="H145" s="600">
        <f>G145+'[3]26'!H145</f>
        <v>6.0503641211246384</v>
      </c>
      <c r="I145" s="685"/>
      <c r="J145" s="693">
        <f>H145/DAY(B2)</f>
        <v>0.22408756004165328</v>
      </c>
      <c r="K145" s="424"/>
      <c r="L145" s="421"/>
      <c r="N145" s="426"/>
    </row>
    <row r="146" spans="1:14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4133.768</v>
      </c>
      <c r="H146" s="600">
        <f>G146+'[3]26'!H146</f>
        <v>83824.999000000054</v>
      </c>
      <c r="I146" s="686"/>
      <c r="J146" s="693">
        <f>H146/DAY(B2)</f>
        <v>3104.6295925925947</v>
      </c>
      <c r="K146" s="424"/>
      <c r="L146" s="421"/>
      <c r="N146" s="426"/>
    </row>
    <row r="147" spans="1:14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0.21512114904246463</v>
      </c>
      <c r="H147" s="600">
        <f>G147+'[3]26'!H147</f>
        <v>4.3167120020745857</v>
      </c>
      <c r="I147" s="686"/>
      <c r="J147" s="693">
        <f>H147/DAY(B2)</f>
        <v>0.15987822229905874</v>
      </c>
      <c r="N147" s="426"/>
    </row>
    <row r="148" spans="1:14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1687.6000000000349</v>
      </c>
      <c r="H148" s="600">
        <f>G148+'[3]26'!H148</f>
        <v>46790.460000000021</v>
      </c>
      <c r="I148" s="620"/>
      <c r="J148" s="693">
        <f>H148/DAY(B2)</f>
        <v>1732.9800000000007</v>
      </c>
      <c r="K148" s="425"/>
      <c r="N148" s="426"/>
    </row>
    <row r="149" spans="1:14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8.7822647793507236E-2</v>
      </c>
      <c r="H149" s="600">
        <f>G149+'[3]26'!H149</f>
        <v>2.4241758658783881</v>
      </c>
      <c r="I149" s="686"/>
      <c r="J149" s="693">
        <f>H149/DAY(B2)</f>
        <v>8.9784291328829188E-2</v>
      </c>
      <c r="N149" s="426"/>
    </row>
    <row r="150" spans="1:14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2377.4799999999814</v>
      </c>
      <c r="H150" s="600">
        <f>G150+'[3]26'!H150</f>
        <v>43867.959999999963</v>
      </c>
      <c r="I150" s="686"/>
      <c r="J150" s="693">
        <f>H150/DAY(B2)</f>
        <v>1624.7392592592578</v>
      </c>
      <c r="N150" s="426"/>
    </row>
    <row r="151" spans="1:14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0.12372398001665182</v>
      </c>
      <c r="H151" s="600">
        <f>G151+'[3]26'!H151</f>
        <v>2.2702033443489071</v>
      </c>
      <c r="I151" s="620"/>
      <c r="J151" s="693">
        <f>H151/DAY(B2)</f>
        <v>8.4081605346255819E-2</v>
      </c>
      <c r="N151" s="426"/>
    </row>
    <row r="152" spans="1:14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1417.6399999999994</v>
      </c>
      <c r="H152" s="600">
        <f>G152+'[3]26'!H152</f>
        <v>38075.565900000001</v>
      </c>
      <c r="I152" s="620"/>
      <c r="J152" s="693">
        <f>H152/DAY(B2)</f>
        <v>1410.2061444444446</v>
      </c>
      <c r="N152" s="426"/>
    </row>
    <row r="153" spans="1:14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7.3773938384679397E-2</v>
      </c>
      <c r="H153" s="600">
        <f>G153+'[3]26'!H153</f>
        <v>1.9775603618786748</v>
      </c>
      <c r="I153" s="709"/>
      <c r="J153" s="710">
        <f>H153/DAY(B2)</f>
        <v>7.3242976365876844E-2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60" spans="1:14">
      <c r="A160" s="946" t="s">
        <v>274</v>
      </c>
      <c r="B160" s="947"/>
      <c r="C160" s="947"/>
      <c r="D160" s="651" t="s">
        <v>198</v>
      </c>
      <c r="E160" s="682">
        <f>'[3]26'!F160</f>
        <v>23550.949000000001</v>
      </c>
      <c r="F160" s="795">
        <v>23623.643</v>
      </c>
      <c r="G160" s="613">
        <f t="shared" ref="G160:G171" si="16">F160-E160</f>
        <v>72.693999999999505</v>
      </c>
    </row>
    <row r="161" spans="1:7">
      <c r="A161" s="946" t="s">
        <v>275</v>
      </c>
      <c r="B161" s="947"/>
      <c r="C161" s="947"/>
      <c r="D161" s="651" t="s">
        <v>198</v>
      </c>
      <c r="E161" s="682">
        <f>'[3]26'!F161</f>
        <v>7838.2183000000005</v>
      </c>
      <c r="F161" s="795">
        <v>8496.59</v>
      </c>
      <c r="G161" s="613">
        <f t="shared" si="16"/>
        <v>658.37169999999969</v>
      </c>
    </row>
    <row r="162" spans="1:7">
      <c r="A162" s="946" t="s">
        <v>276</v>
      </c>
      <c r="B162" s="947"/>
      <c r="C162" s="947"/>
      <c r="D162" s="651" t="s">
        <v>198</v>
      </c>
      <c r="E162" s="682">
        <f>'[3]26'!F162</f>
        <v>36291.525000000001</v>
      </c>
      <c r="F162" s="795">
        <v>36629.599999999999</v>
      </c>
      <c r="G162" s="613">
        <f t="shared" si="16"/>
        <v>338.07499999999709</v>
      </c>
    </row>
    <row r="163" spans="1:7">
      <c r="A163" s="946" t="s">
        <v>277</v>
      </c>
      <c r="B163" s="947"/>
      <c r="C163" s="947"/>
      <c r="D163" s="651" t="s">
        <v>198</v>
      </c>
      <c r="E163" s="682">
        <f>'[3]26'!F163</f>
        <v>3445.08</v>
      </c>
      <c r="F163" s="795">
        <v>3455.48</v>
      </c>
      <c r="G163" s="613">
        <f t="shared" si="16"/>
        <v>10.400000000000091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</v>
      </c>
      <c r="G164" s="613">
        <f t="shared" si="16"/>
        <v>-0.18000000000029104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790.78399999999999</v>
      </c>
      <c r="F165" s="654">
        <f t="shared" si="17"/>
        <v>807.01</v>
      </c>
      <c r="G165" s="613">
        <f t="shared" si="16"/>
        <v>16.225999999999999</v>
      </c>
    </row>
    <row r="166" spans="1:7" ht="27.75">
      <c r="A166" s="1404" t="s">
        <v>107</v>
      </c>
      <c r="B166" s="1404"/>
      <c r="C166" s="1404"/>
      <c r="D166" s="663" t="s">
        <v>198</v>
      </c>
      <c r="E166" s="654">
        <f t="shared" si="17"/>
        <v>85250.903000000006</v>
      </c>
      <c r="F166" s="654">
        <f t="shared" si="17"/>
        <v>85603.551000000007</v>
      </c>
      <c r="G166" s="613">
        <f t="shared" si="16"/>
        <v>352.64800000000105</v>
      </c>
    </row>
    <row r="167" spans="1:7" ht="27.75">
      <c r="A167" s="1404" t="s">
        <v>108</v>
      </c>
      <c r="B167" s="1404"/>
      <c r="C167" s="1404"/>
      <c r="D167" s="663" t="s">
        <v>198</v>
      </c>
      <c r="E167" s="654">
        <f t="shared" si="17"/>
        <v>95086.959000000003</v>
      </c>
      <c r="F167" s="654">
        <f t="shared" si="17"/>
        <v>95473.951000000001</v>
      </c>
      <c r="G167" s="613">
        <f t="shared" si="16"/>
        <v>386.99199999999837</v>
      </c>
    </row>
    <row r="168" spans="1:7" ht="27.75">
      <c r="A168" s="1404" t="s">
        <v>109</v>
      </c>
      <c r="B168" s="1404"/>
      <c r="C168" s="1404"/>
      <c r="D168" s="663" t="s">
        <v>198</v>
      </c>
      <c r="E168" s="654">
        <f t="shared" si="17"/>
        <v>88383.582999999999</v>
      </c>
      <c r="F168" s="654">
        <f t="shared" si="17"/>
        <v>88765.175000000003</v>
      </c>
      <c r="G168" s="613">
        <f t="shared" si="16"/>
        <v>381.59200000000419</v>
      </c>
    </row>
    <row r="169" spans="1:7" ht="27.75">
      <c r="A169" s="1404" t="s">
        <v>110</v>
      </c>
      <c r="B169" s="1404"/>
      <c r="C169" s="1404"/>
      <c r="D169" s="663" t="s">
        <v>198</v>
      </c>
      <c r="E169" s="654">
        <f t="shared" si="17"/>
        <v>143040.49</v>
      </c>
      <c r="F169" s="654">
        <f t="shared" si="17"/>
        <v>143735.82</v>
      </c>
      <c r="G169" s="613">
        <f t="shared" si="16"/>
        <v>695.3300000000163</v>
      </c>
    </row>
    <row r="170" spans="1:7" ht="27.75">
      <c r="A170" s="1404" t="s">
        <v>111</v>
      </c>
      <c r="B170" s="1404"/>
      <c r="C170" s="1404"/>
      <c r="D170" s="663" t="s">
        <v>198</v>
      </c>
      <c r="E170" s="654">
        <f t="shared" si="17"/>
        <v>41758.786999999997</v>
      </c>
      <c r="F170" s="654">
        <f t="shared" si="17"/>
        <v>42077.839</v>
      </c>
      <c r="G170" s="613">
        <f t="shared" si="16"/>
        <v>319.05200000000332</v>
      </c>
    </row>
    <row r="171" spans="1:7" ht="27.75">
      <c r="A171" s="1404" t="s">
        <v>112</v>
      </c>
      <c r="B171" s="1404"/>
      <c r="C171" s="1404"/>
      <c r="D171" s="663" t="s">
        <v>198</v>
      </c>
      <c r="E171" s="654">
        <f t="shared" si="17"/>
        <v>36405.142999999996</v>
      </c>
      <c r="F171" s="654">
        <f t="shared" si="17"/>
        <v>36692.142999999996</v>
      </c>
      <c r="G171" s="613">
        <f t="shared" si="16"/>
        <v>287</v>
      </c>
    </row>
    <row r="172" spans="1:7">
      <c r="G172" s="680">
        <f>SUM(G160:G171)</f>
        <v>3518.2007000000194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A106" sqref="A1:XFD1048576"/>
    </sheetView>
  </sheetViews>
  <sheetFormatPr defaultColWidth="22.33203125" defaultRowHeight="29.25"/>
  <cols>
    <col min="1" max="1" width="44.5546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1267" customWidth="1"/>
    <col min="15" max="17" width="22.33203125" style="928"/>
    <col min="18" max="16384" width="22.33203125" style="420"/>
  </cols>
  <sheetData>
    <row r="1" spans="1:17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7" s="292" customFormat="1" ht="27">
      <c r="A2" s="716" t="s">
        <v>293</v>
      </c>
      <c r="B2" s="716">
        <v>44163</v>
      </c>
      <c r="C2" s="1378" t="s">
        <v>69</v>
      </c>
      <c r="D2" s="752">
        <v>0.3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1267"/>
      <c r="O2" s="928"/>
      <c r="P2" s="928"/>
      <c r="Q2" s="928"/>
    </row>
    <row r="3" spans="1:17" s="292" customFormat="1" ht="27">
      <c r="A3" s="711"/>
      <c r="B3" s="755"/>
      <c r="C3" s="1378" t="s">
        <v>131</v>
      </c>
      <c r="D3" s="753">
        <v>28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1267"/>
      <c r="O3" s="928"/>
      <c r="P3" s="928"/>
      <c r="Q3" s="928"/>
    </row>
    <row r="4" spans="1:17" s="292" customFormat="1" ht="27">
      <c r="A4" s="717"/>
      <c r="B4" s="757"/>
      <c r="C4" s="1378" t="s">
        <v>133</v>
      </c>
      <c r="D4" s="752">
        <v>0.82</v>
      </c>
      <c r="E4" s="603"/>
      <c r="F4" s="603"/>
      <c r="G4" s="604"/>
      <c r="H4" s="604"/>
      <c r="I4" s="605"/>
      <c r="J4" s="756"/>
      <c r="K4" s="416"/>
      <c r="L4" s="304"/>
      <c r="N4" s="1267"/>
      <c r="O4" s="928"/>
      <c r="P4" s="930"/>
      <c r="Q4" s="928"/>
    </row>
    <row r="5" spans="1:17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P5" s="930"/>
    </row>
    <row r="6" spans="1:17">
      <c r="A6" s="1443" t="s">
        <v>141</v>
      </c>
      <c r="B6" s="1444"/>
      <c r="C6" s="1445"/>
      <c r="D6" s="611"/>
      <c r="E6" s="635"/>
      <c r="F6" s="635"/>
      <c r="G6" s="611"/>
      <c r="H6" s="612"/>
      <c r="I6" s="612"/>
      <c r="J6" s="692"/>
      <c r="K6" s="526"/>
      <c r="L6" s="421"/>
      <c r="M6" s="420">
        <v>1691553</v>
      </c>
    </row>
    <row r="7" spans="1:17" ht="30" thickBot="1">
      <c r="A7" s="813" t="s">
        <v>142</v>
      </c>
      <c r="B7" s="814"/>
      <c r="C7" s="814"/>
      <c r="D7" s="779" t="s">
        <v>143</v>
      </c>
      <c r="E7" s="816">
        <f>'[3]27'!F7</f>
        <v>2606520</v>
      </c>
      <c r="F7" s="600">
        <v>2626077</v>
      </c>
      <c r="G7" s="815">
        <f>F7-E7</f>
        <v>19557</v>
      </c>
      <c r="H7" s="816">
        <f>G7+'[3]27'!H7</f>
        <v>521052</v>
      </c>
      <c r="I7" s="817">
        <f>'[3]1'!I7</f>
        <v>12000</v>
      </c>
      <c r="J7" s="818">
        <f>H7/DAY(B2)</f>
        <v>18609</v>
      </c>
      <c r="K7" s="690"/>
      <c r="L7" s="421"/>
      <c r="N7" s="1268">
        <f>F7-'[3]1'!E7</f>
        <v>521052</v>
      </c>
    </row>
    <row r="8" spans="1:17" ht="27.75" thickBot="1">
      <c r="A8" s="819" t="s">
        <v>144</v>
      </c>
      <c r="B8" s="820"/>
      <c r="C8" s="821"/>
      <c r="D8" s="822" t="s">
        <v>25</v>
      </c>
      <c r="E8" s="816">
        <f>'[3]27'!F8</f>
        <v>2620591</v>
      </c>
      <c r="F8" s="893">
        <v>2640363</v>
      </c>
      <c r="G8" s="826">
        <f>F8-E8</f>
        <v>19772</v>
      </c>
      <c r="H8" s="816">
        <f>G8+'[3]27'!H8</f>
        <v>524922</v>
      </c>
      <c r="I8" s="823">
        <f>'[3]1'!I8</f>
        <v>12000</v>
      </c>
      <c r="J8" s="818">
        <f>H8/DAY(B2)</f>
        <v>18747.214285714286</v>
      </c>
      <c r="K8" s="690"/>
      <c r="L8" s="479">
        <v>1375467</v>
      </c>
      <c r="M8" s="542">
        <v>1703438</v>
      </c>
      <c r="N8" s="1268">
        <f>F8-'[3]1'!E8</f>
        <v>524922</v>
      </c>
    </row>
    <row r="9" spans="1:17">
      <c r="A9" s="824" t="s">
        <v>145</v>
      </c>
      <c r="B9" s="825"/>
      <c r="C9" s="825"/>
      <c r="D9" s="779" t="s">
        <v>143</v>
      </c>
      <c r="E9" s="816">
        <f>'[3]27'!F9</f>
        <v>2247337.9</v>
      </c>
      <c r="F9" s="894">
        <v>2250651.9</v>
      </c>
      <c r="G9" s="839">
        <f t="shared" ref="G9:G12" si="0">F9-E9</f>
        <v>3314</v>
      </c>
      <c r="H9" s="816">
        <f>G9+'[3]27'!H9</f>
        <v>233646.59999999986</v>
      </c>
      <c r="I9" s="827">
        <f>I8-J8</f>
        <v>-6747.2142857142862</v>
      </c>
      <c r="J9" s="818">
        <f>H9/DAY(B2)</f>
        <v>8344.5214285714228</v>
      </c>
      <c r="K9" s="527"/>
      <c r="L9" s="421"/>
      <c r="N9" s="1268">
        <f>F9-'[3]1'!E9</f>
        <v>233646.59999999986</v>
      </c>
    </row>
    <row r="10" spans="1:17">
      <c r="A10" s="813" t="s">
        <v>146</v>
      </c>
      <c r="B10" s="814"/>
      <c r="C10" s="814"/>
      <c r="D10" s="779" t="s">
        <v>143</v>
      </c>
      <c r="E10" s="816">
        <f>'[3]27'!F10</f>
        <v>252998.07</v>
      </c>
      <c r="F10" s="894">
        <v>268517.67</v>
      </c>
      <c r="G10" s="826">
        <f t="shared" si="0"/>
        <v>15519.599999999977</v>
      </c>
      <c r="H10" s="816">
        <f>G10+'[3]27'!H10</f>
        <v>268517.88</v>
      </c>
      <c r="I10" s="828"/>
      <c r="J10" s="818">
        <f>H10/DAY(B2)</f>
        <v>9589.9242857142854</v>
      </c>
      <c r="K10" s="527"/>
      <c r="L10" s="421"/>
      <c r="M10" s="420">
        <f>170</f>
        <v>170</v>
      </c>
      <c r="N10" s="1268">
        <f>F10-'[3]1'!E10</f>
        <v>-186092.12</v>
      </c>
    </row>
    <row r="11" spans="1:17">
      <c r="A11" s="813" t="s">
        <v>147</v>
      </c>
      <c r="B11" s="814"/>
      <c r="C11" s="814"/>
      <c r="D11" s="779" t="s">
        <v>143</v>
      </c>
      <c r="E11" s="816">
        <f>'[3]27'!F11</f>
        <v>35390</v>
      </c>
      <c r="F11" s="600">
        <v>35390</v>
      </c>
      <c r="G11" s="826">
        <f t="shared" si="0"/>
        <v>0</v>
      </c>
      <c r="H11" s="816">
        <f>G11+'[3]27'!H11</f>
        <v>0</v>
      </c>
      <c r="I11" s="828"/>
      <c r="J11" s="818">
        <f>H11/DAY(B2)</f>
        <v>0</v>
      </c>
      <c r="K11" s="527"/>
      <c r="L11" s="421"/>
      <c r="N11" s="1268">
        <f>F11-'[3]1'!E11</f>
        <v>0</v>
      </c>
    </row>
    <row r="12" spans="1:17">
      <c r="A12" s="813" t="s">
        <v>148</v>
      </c>
      <c r="B12" s="814"/>
      <c r="C12" s="814"/>
      <c r="D12" s="779" t="s">
        <v>143</v>
      </c>
      <c r="E12" s="816">
        <f>'[3]27'!F12</f>
        <v>37630</v>
      </c>
      <c r="F12" s="894">
        <v>37630</v>
      </c>
      <c r="G12" s="826">
        <f t="shared" si="0"/>
        <v>0</v>
      </c>
      <c r="H12" s="816">
        <f>G12+'[3]27'!H12</f>
        <v>0</v>
      </c>
      <c r="I12" s="828"/>
      <c r="J12" s="818">
        <f>H12/DAY(B2)</f>
        <v>0</v>
      </c>
      <c r="K12" s="527"/>
      <c r="L12" s="421"/>
      <c r="N12" s="1268">
        <f>F12-'[3]1'!E12</f>
        <v>0</v>
      </c>
    </row>
    <row r="13" spans="1:17">
      <c r="A13" s="829" t="s">
        <v>149</v>
      </c>
      <c r="B13" s="830"/>
      <c r="C13" s="830"/>
      <c r="D13" s="779"/>
      <c r="E13" s="816"/>
      <c r="F13" s="600"/>
      <c r="G13" s="831">
        <f>G9+G10+G11+G12</f>
        <v>18833.599999999977</v>
      </c>
      <c r="H13" s="816">
        <f>G13+'[3]27'!H13</f>
        <v>447900.67999999993</v>
      </c>
      <c r="I13" s="832">
        <f>G7-G13</f>
        <v>723.40000000002328</v>
      </c>
      <c r="J13" s="818">
        <f>H13/DAY(B2)</f>
        <v>15996.452857142855</v>
      </c>
      <c r="K13" s="527"/>
      <c r="L13" s="421"/>
      <c r="N13" s="1268">
        <f>F13-'[3]1'!E13</f>
        <v>0</v>
      </c>
    </row>
    <row r="14" spans="1:17">
      <c r="A14" s="1446" t="s">
        <v>150</v>
      </c>
      <c r="B14" s="1447"/>
      <c r="C14" s="1448"/>
      <c r="D14" s="612"/>
      <c r="E14" s="895"/>
      <c r="F14" s="895"/>
      <c r="G14" s="623"/>
      <c r="H14" s="612"/>
      <c r="I14" s="612"/>
      <c r="J14" s="692"/>
      <c r="K14" s="528"/>
      <c r="L14" s="421"/>
      <c r="N14" s="1268">
        <f>F14-'[3]1'!E14</f>
        <v>0</v>
      </c>
    </row>
    <row r="15" spans="1:17">
      <c r="A15" s="802" t="s">
        <v>151</v>
      </c>
      <c r="B15" s="803"/>
      <c r="C15" s="803"/>
      <c r="D15" s="804" t="s">
        <v>152</v>
      </c>
      <c r="E15" s="913">
        <f>'[3]27'!F15</f>
        <v>1544621.689</v>
      </c>
      <c r="F15" s="896">
        <v>1545427.406</v>
      </c>
      <c r="G15" s="801">
        <f>(F15-E15)</f>
        <v>805.71699999994598</v>
      </c>
      <c r="H15" s="1253">
        <f>G15+'[3]27'!H15</f>
        <v>15312.212000000058</v>
      </c>
      <c r="I15" s="1254">
        <v>800</v>
      </c>
      <c r="J15" s="1255">
        <f>H15/DAY(B2)</f>
        <v>546.86471428571633</v>
      </c>
      <c r="K15" s="527"/>
      <c r="L15" s="421"/>
      <c r="N15" s="1268">
        <f>F15-'[3]1'!E15</f>
        <v>15312.212000000058</v>
      </c>
    </row>
    <row r="16" spans="1:17">
      <c r="A16" s="810"/>
      <c r="B16" s="811"/>
      <c r="C16" s="811"/>
      <c r="D16" s="804"/>
      <c r="E16" s="913"/>
      <c r="F16" s="896"/>
      <c r="G16" s="806"/>
      <c r="H16" s="1253"/>
      <c r="I16" s="1256">
        <f>I15-J15</f>
        <v>253.13528571428367</v>
      </c>
      <c r="J16" s="1255"/>
      <c r="K16" s="527"/>
      <c r="L16" s="421"/>
      <c r="N16" s="1268">
        <f>F16-'[3]1'!E16</f>
        <v>0</v>
      </c>
    </row>
    <row r="17" spans="1:17">
      <c r="A17" s="1446" t="s">
        <v>153</v>
      </c>
      <c r="B17" s="1447"/>
      <c r="C17" s="1448"/>
      <c r="D17" s="612"/>
      <c r="E17" s="895"/>
      <c r="F17" s="895"/>
      <c r="G17" s="628"/>
      <c r="H17" s="612"/>
      <c r="I17" s="612"/>
      <c r="J17" s="692"/>
      <c r="K17" s="527"/>
      <c r="L17" s="421"/>
      <c r="N17" s="1268">
        <f>F17-'[3]1'!E17</f>
        <v>0</v>
      </c>
    </row>
    <row r="18" spans="1:17" ht="27.75">
      <c r="A18" s="1478" t="s">
        <v>154</v>
      </c>
      <c r="B18" s="1479"/>
      <c r="C18" s="1480"/>
      <c r="D18" s="779" t="s">
        <v>155</v>
      </c>
      <c r="E18" s="914">
        <f>'[3]27'!F18</f>
        <v>8</v>
      </c>
      <c r="F18" s="894">
        <v>14</v>
      </c>
      <c r="G18" s="831">
        <f>F18*10</f>
        <v>140</v>
      </c>
      <c r="H18" s="816">
        <f>G18+'[3]27'!H18</f>
        <v>2850</v>
      </c>
      <c r="I18" s="817">
        <f>'[3]1'!I18</f>
        <v>65</v>
      </c>
      <c r="J18" s="818">
        <f>H18/DAY(B2)</f>
        <v>101.78571428571429</v>
      </c>
      <c r="K18" s="527"/>
      <c r="L18" s="421"/>
      <c r="N18" s="1268">
        <f>F18-'[3]1'!E18</f>
        <v>2</v>
      </c>
    </row>
    <row r="19" spans="1:17" ht="27.75">
      <c r="A19" s="1478" t="s">
        <v>71</v>
      </c>
      <c r="B19" s="1479"/>
      <c r="C19" s="1480"/>
      <c r="D19" s="779" t="s">
        <v>155</v>
      </c>
      <c r="E19" s="914">
        <f>'[3]27'!F19</f>
        <v>129628</v>
      </c>
      <c r="F19" s="894">
        <v>129683</v>
      </c>
      <c r="G19" s="826">
        <f t="shared" ref="G19" si="1">F19-E19</f>
        <v>55</v>
      </c>
      <c r="H19" s="816">
        <f>G19+'[3]27'!H19</f>
        <v>1488</v>
      </c>
      <c r="I19" s="833"/>
      <c r="J19" s="818">
        <f>H19/DAY(B2)</f>
        <v>53.142857142857146</v>
      </c>
      <c r="K19" s="527"/>
      <c r="L19" s="421"/>
      <c r="N19" s="1268">
        <f>F19-'[3]1'!E19</f>
        <v>1488</v>
      </c>
    </row>
    <row r="20" spans="1:17">
      <c r="A20" s="829" t="s">
        <v>156</v>
      </c>
      <c r="B20" s="830"/>
      <c r="C20" s="830"/>
      <c r="D20" s="779"/>
      <c r="E20" s="816"/>
      <c r="F20" s="600"/>
      <c r="G20" s="834">
        <f>G18+G19</f>
        <v>195</v>
      </c>
      <c r="H20" s="816">
        <f>G20+'[3]27'!H20</f>
        <v>4338</v>
      </c>
      <c r="I20" s="835">
        <f>I18-J20</f>
        <v>-89.928571428571416</v>
      </c>
      <c r="J20" s="818">
        <f>H20/DAY(B2)</f>
        <v>154.92857142857142</v>
      </c>
      <c r="K20" s="527"/>
      <c r="L20" s="421"/>
      <c r="N20" s="1268">
        <f>F20-'[3]1'!E20</f>
        <v>0</v>
      </c>
    </row>
    <row r="21" spans="1:17">
      <c r="A21" s="1446" t="s">
        <v>157</v>
      </c>
      <c r="B21" s="1447"/>
      <c r="C21" s="1448"/>
      <c r="D21" s="612"/>
      <c r="E21" s="895"/>
      <c r="F21" s="895"/>
      <c r="G21" s="623"/>
      <c r="H21" s="612"/>
      <c r="I21" s="612"/>
      <c r="J21" s="692"/>
      <c r="K21" s="527"/>
      <c r="L21" s="421"/>
      <c r="N21" s="1268">
        <f>F21-'[3]1'!E21</f>
        <v>0</v>
      </c>
    </row>
    <row r="22" spans="1:17">
      <c r="A22" s="1371" t="s">
        <v>158</v>
      </c>
      <c r="B22" s="730"/>
      <c r="C22" s="730"/>
      <c r="D22" s="663" t="s">
        <v>159</v>
      </c>
      <c r="E22" s="915">
        <f>'[3]27'!F22</f>
        <v>1610</v>
      </c>
      <c r="F22" s="894">
        <v>1610</v>
      </c>
      <c r="G22" s="621">
        <f t="shared" ref="G22" si="2">(F22-E22)</f>
        <v>0</v>
      </c>
      <c r="H22" s="600">
        <f>G22+'[3]27'!H22</f>
        <v>640</v>
      </c>
      <c r="I22" s="620"/>
      <c r="J22" s="693">
        <f>H22/DAY(B2)</f>
        <v>22.857142857142858</v>
      </c>
      <c r="K22" s="527"/>
      <c r="L22" s="421"/>
      <c r="N22" s="1268">
        <f>F22-'[3]1'!E22</f>
        <v>-640</v>
      </c>
    </row>
    <row r="23" spans="1:17">
      <c r="A23" s="1371" t="s">
        <v>160</v>
      </c>
      <c r="B23" s="730"/>
      <c r="C23" s="730"/>
      <c r="D23" s="663" t="s">
        <v>159</v>
      </c>
      <c r="E23" s="915">
        <f>'[3]27'!F23</f>
        <v>1700</v>
      </c>
      <c r="F23" s="894">
        <v>1700</v>
      </c>
      <c r="G23" s="621">
        <v>0</v>
      </c>
      <c r="H23" s="600">
        <f>G23+'[3]27'!H23</f>
        <v>0</v>
      </c>
      <c r="I23" s="620"/>
      <c r="J23" s="693">
        <f>H23/DAY(B2)</f>
        <v>0</v>
      </c>
      <c r="K23" s="527"/>
      <c r="L23" s="421"/>
      <c r="N23" s="1268">
        <f>F23-'[3]1'!E23</f>
        <v>-300</v>
      </c>
    </row>
    <row r="24" spans="1:17">
      <c r="A24" s="731" t="s">
        <v>161</v>
      </c>
      <c r="B24" s="732"/>
      <c r="C24" s="732"/>
      <c r="D24" s="651" t="s">
        <v>159</v>
      </c>
      <c r="E24" s="916">
        <f>'[3]27'!F24</f>
        <v>3310</v>
      </c>
      <c r="F24" s="897">
        <v>3310</v>
      </c>
      <c r="G24" s="621">
        <v>0</v>
      </c>
      <c r="H24" s="600">
        <f>G24+'[3]27'!H24</f>
        <v>0</v>
      </c>
      <c r="I24" s="620"/>
      <c r="J24" s="693">
        <f>H24/DAY(B2)</f>
        <v>0</v>
      </c>
      <c r="K24" s="527"/>
      <c r="L24" s="421"/>
      <c r="N24" s="1268">
        <f>F24-'[3]1'!E24</f>
        <v>-940</v>
      </c>
    </row>
    <row r="25" spans="1:17" s="544" customFormat="1" ht="27">
      <c r="A25" s="1451" t="s">
        <v>162</v>
      </c>
      <c r="B25" s="1452"/>
      <c r="C25" s="1453"/>
      <c r="D25" s="611"/>
      <c r="E25" s="635"/>
      <c r="F25" s="635"/>
      <c r="G25" s="634"/>
      <c r="H25" s="635"/>
      <c r="I25" s="636"/>
      <c r="J25" s="695"/>
      <c r="K25" s="417"/>
      <c r="L25" s="547"/>
      <c r="N25" s="1268">
        <f>F25-'[3]1'!E25</f>
        <v>0</v>
      </c>
      <c r="O25" s="928"/>
      <c r="P25" s="928"/>
      <c r="Q25" s="928"/>
    </row>
    <row r="26" spans="1:17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1268">
        <f>F26-'[3]1'!E26</f>
        <v>0</v>
      </c>
      <c r="O26" s="928"/>
      <c r="P26" s="928"/>
      <c r="Q26" s="928"/>
    </row>
    <row r="27" spans="1:17" s="544" customFormat="1" ht="27">
      <c r="A27" s="733" t="s">
        <v>6</v>
      </c>
      <c r="B27" s="734"/>
      <c r="C27" s="735"/>
      <c r="D27" s="760" t="s">
        <v>25</v>
      </c>
      <c r="E27" s="836">
        <f>G8</f>
        <v>19772</v>
      </c>
      <c r="F27" s="641">
        <v>9.5</v>
      </c>
      <c r="G27" s="642">
        <f>E27*F27</f>
        <v>187834</v>
      </c>
      <c r="H27" s="600">
        <f>G27+'[3]27'!H27</f>
        <v>4986759</v>
      </c>
      <c r="I27" s="643"/>
      <c r="J27" s="693">
        <f>H27/DAY(B2)</f>
        <v>178098.53571428571</v>
      </c>
      <c r="K27" s="417"/>
      <c r="L27" s="547"/>
      <c r="N27" s="1268">
        <f>F27-'[3]1'!E27</f>
        <v>-18621.5</v>
      </c>
      <c r="O27" s="928"/>
      <c r="P27" s="928"/>
      <c r="Q27" s="928"/>
    </row>
    <row r="28" spans="1:17" s="544" customFormat="1" ht="27">
      <c r="A28" s="733" t="s">
        <v>165</v>
      </c>
      <c r="B28" s="734"/>
      <c r="C28" s="735"/>
      <c r="D28" s="760" t="s">
        <v>166</v>
      </c>
      <c r="E28" s="836">
        <f>G15</f>
        <v>805.71699999994598</v>
      </c>
      <c r="F28" s="641">
        <v>36.5</v>
      </c>
      <c r="G28" s="642">
        <f>E28*F28</f>
        <v>29408.670499998028</v>
      </c>
      <c r="H28" s="600">
        <f>G28+'[3]27'!H28</f>
        <v>558895.73800000211</v>
      </c>
      <c r="I28" s="645"/>
      <c r="J28" s="693">
        <f>H28/DAY(B2)</f>
        <v>19960.562071428645</v>
      </c>
      <c r="K28" s="417"/>
      <c r="L28" s="547"/>
      <c r="N28" s="1268">
        <f>F28-'[3]1'!E28</f>
        <v>-461.03900000010617</v>
      </c>
      <c r="O28" s="928"/>
      <c r="P28" s="928"/>
      <c r="Q28" s="928"/>
    </row>
    <row r="29" spans="1:17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G29+'[3]27'!H29</f>
        <v>0</v>
      </c>
      <c r="I29" s="645"/>
      <c r="J29" s="693">
        <f>H29/DAY(B2)</f>
        <v>0</v>
      </c>
      <c r="K29" s="417"/>
      <c r="L29" s="547"/>
      <c r="N29" s="1268">
        <f>F29-'[3]1'!E29</f>
        <v>69</v>
      </c>
      <c r="O29" s="928"/>
      <c r="P29" s="928"/>
      <c r="Q29" s="928"/>
    </row>
    <row r="30" spans="1:17" s="544" customFormat="1" ht="27">
      <c r="A30" s="733" t="s">
        <v>169</v>
      </c>
      <c r="B30" s="734"/>
      <c r="C30" s="735"/>
      <c r="D30" s="760" t="s">
        <v>170</v>
      </c>
      <c r="E30" s="836">
        <f>G19</f>
        <v>55</v>
      </c>
      <c r="F30" s="641">
        <v>145</v>
      </c>
      <c r="G30" s="642">
        <f>E30*F30</f>
        <v>7975</v>
      </c>
      <c r="H30" s="600">
        <f>G30+'[3]27'!H30</f>
        <v>215760</v>
      </c>
      <c r="I30" s="645"/>
      <c r="J30" s="693">
        <f>H30/DAY(B2)</f>
        <v>7705.7142857142853</v>
      </c>
      <c r="K30" s="417"/>
      <c r="L30" s="547"/>
      <c r="N30" s="1268">
        <f>F30-'[3]1'!E30</f>
        <v>90</v>
      </c>
      <c r="O30" s="928"/>
      <c r="P30" s="928"/>
      <c r="Q30" s="928"/>
    </row>
    <row r="31" spans="1:17" s="544" customFormat="1" ht="27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G31+'[3]27'!H31</f>
        <v>228000</v>
      </c>
      <c r="I31" s="645"/>
      <c r="J31" s="693"/>
      <c r="K31" s="417"/>
      <c r="L31" s="547"/>
      <c r="N31" s="1268">
        <f>F31-'[3]1'!E31</f>
        <v>-60</v>
      </c>
      <c r="O31" s="928"/>
      <c r="P31" s="928"/>
      <c r="Q31" s="928"/>
    </row>
    <row r="32" spans="1:17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236417.67049999803</v>
      </c>
      <c r="H32" s="600">
        <f>G32+'[3]27'!H32</f>
        <v>5989414.7380000018</v>
      </c>
      <c r="I32" s="649"/>
      <c r="J32" s="693">
        <f>H32/DAY(B2)</f>
        <v>213907.66921428576</v>
      </c>
      <c r="K32" s="417"/>
      <c r="L32" s="547"/>
      <c r="N32" s="1268">
        <f>F32-'[3]1'!E32</f>
        <v>0</v>
      </c>
      <c r="O32" s="928"/>
      <c r="P32" s="928"/>
      <c r="Q32" s="928"/>
    </row>
    <row r="33" spans="1:14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1268">
        <f>F33-'[3]1'!E33</f>
        <v>0</v>
      </c>
    </row>
    <row r="34" spans="1:14">
      <c r="A34" s="739" t="s">
        <v>174</v>
      </c>
      <c r="B34" s="1373"/>
      <c r="C34" s="1373"/>
      <c r="D34" s="612"/>
      <c r="E34" s="635"/>
      <c r="F34" s="635"/>
      <c r="G34" s="612"/>
      <c r="H34" s="612"/>
      <c r="I34" s="612"/>
      <c r="J34" s="692"/>
      <c r="K34" s="527"/>
      <c r="L34" s="421"/>
      <c r="N34" s="1268">
        <f>F34-'[3]1'!E34</f>
        <v>0</v>
      </c>
    </row>
    <row r="35" spans="1:14">
      <c r="A35" s="719" t="s">
        <v>175</v>
      </c>
      <c r="B35" s="720"/>
      <c r="C35" s="720"/>
      <c r="D35" s="663" t="s">
        <v>143</v>
      </c>
      <c r="E35" s="898">
        <f>'[3]27'!F35</f>
        <v>629027.67000000004</v>
      </c>
      <c r="F35" s="898">
        <v>629027.67000000004</v>
      </c>
      <c r="G35" s="613">
        <f t="shared" ref="G35:G46" si="3">F35-E35</f>
        <v>0</v>
      </c>
      <c r="H35" s="600">
        <f>G35+'[3]27'!H35</f>
        <v>25858.20000000007</v>
      </c>
      <c r="I35" s="595"/>
      <c r="J35" s="693">
        <f>H35/DAY(B2)</f>
        <v>923.50714285714537</v>
      </c>
      <c r="K35" s="527"/>
      <c r="L35" s="421"/>
      <c r="N35" s="1268">
        <f>F35-'[3]1'!E35</f>
        <v>25684.20000000007</v>
      </c>
    </row>
    <row r="36" spans="1:14">
      <c r="A36" s="719" t="s">
        <v>176</v>
      </c>
      <c r="B36" s="720"/>
      <c r="C36" s="720"/>
      <c r="D36" s="663" t="s">
        <v>143</v>
      </c>
      <c r="E36" s="898">
        <f>'[3]27'!F36</f>
        <v>227249.07</v>
      </c>
      <c r="F36" s="898">
        <v>228152.63</v>
      </c>
      <c r="G36" s="613">
        <f t="shared" si="3"/>
        <v>903.55999999999767</v>
      </c>
      <c r="H36" s="600">
        <f>G36+'[3]27'!H36</f>
        <v>16792.679999999993</v>
      </c>
      <c r="I36" s="595"/>
      <c r="J36" s="693">
        <f>H36/DAY(B2)</f>
        <v>599.73857142857116</v>
      </c>
      <c r="K36" s="527"/>
      <c r="L36" s="421"/>
      <c r="N36" s="1268">
        <f>F36-'[3]1'!E36</f>
        <v>16792.679999999993</v>
      </c>
    </row>
    <row r="37" spans="1:14">
      <c r="A37" s="719" t="s">
        <v>177</v>
      </c>
      <c r="B37" s="720"/>
      <c r="C37" s="720"/>
      <c r="D37" s="663" t="s">
        <v>143</v>
      </c>
      <c r="E37" s="898">
        <f>'[3]27'!F37</f>
        <v>415066</v>
      </c>
      <c r="F37" s="898">
        <v>415066</v>
      </c>
      <c r="G37" s="613">
        <f t="shared" si="3"/>
        <v>0</v>
      </c>
      <c r="H37" s="600">
        <f>G37+'[3]27'!H37</f>
        <v>15221.809999999998</v>
      </c>
      <c r="I37" s="595"/>
      <c r="J37" s="693">
        <f>H37/DAY(B2)</f>
        <v>543.63607142857131</v>
      </c>
      <c r="K37" s="527"/>
      <c r="L37" s="421"/>
      <c r="N37" s="1268">
        <f>F37-'[3]1'!E37</f>
        <v>15221.809999999998</v>
      </c>
    </row>
    <row r="38" spans="1:14">
      <c r="A38" s="719" t="s">
        <v>178</v>
      </c>
      <c r="B38" s="720"/>
      <c r="C38" s="720"/>
      <c r="D38" s="663" t="s">
        <v>143</v>
      </c>
      <c r="E38" s="898">
        <f>'[3]27'!F38</f>
        <v>150714</v>
      </c>
      <c r="F38" s="610">
        <v>150714</v>
      </c>
      <c r="G38" s="613">
        <f t="shared" si="3"/>
        <v>0</v>
      </c>
      <c r="H38" s="600">
        <f>G38+'[3]27'!H38</f>
        <v>0</v>
      </c>
      <c r="I38" s="595"/>
      <c r="J38" s="693">
        <f>H38/DAY(B2)</f>
        <v>0</v>
      </c>
      <c r="K38" s="527"/>
      <c r="L38" s="421"/>
      <c r="N38" s="1268">
        <f>F38-'[3]1'!E38</f>
        <v>0</v>
      </c>
    </row>
    <row r="39" spans="1:14">
      <c r="A39" s="719" t="s">
        <v>179</v>
      </c>
      <c r="B39" s="720"/>
      <c r="C39" s="720"/>
      <c r="D39" s="663" t="s">
        <v>143</v>
      </c>
      <c r="E39" s="898">
        <f>'[3]27'!F39</f>
        <v>912480</v>
      </c>
      <c r="F39" s="898">
        <v>912480</v>
      </c>
      <c r="G39" s="613">
        <f>F39-E39</f>
        <v>0</v>
      </c>
      <c r="H39" s="600">
        <f>G39+'[3]27'!H39</f>
        <v>40355.290000000037</v>
      </c>
      <c r="I39" s="595"/>
      <c r="J39" s="693">
        <f>H39/DAY(B2)</f>
        <v>1441.2603571428585</v>
      </c>
      <c r="K39" s="527"/>
      <c r="L39" s="421"/>
      <c r="N39" s="1268">
        <f>F39-'[3]1'!E39</f>
        <v>40355.290000000037</v>
      </c>
    </row>
    <row r="40" spans="1:14">
      <c r="A40" s="740" t="s">
        <v>180</v>
      </c>
      <c r="B40" s="741"/>
      <c r="C40" s="741"/>
      <c r="D40" s="663" t="s">
        <v>143</v>
      </c>
      <c r="E40" s="898">
        <f>'[3]27'!F40</f>
        <v>0</v>
      </c>
      <c r="F40" s="898">
        <v>0</v>
      </c>
      <c r="G40" s="613">
        <f t="shared" si="3"/>
        <v>0</v>
      </c>
      <c r="H40" s="600">
        <f>G40+'[3]27'!H40</f>
        <v>0</v>
      </c>
      <c r="I40" s="595"/>
      <c r="J40" s="693">
        <f>H40/DAY(B2)</f>
        <v>0</v>
      </c>
      <c r="K40" s="528"/>
      <c r="L40" s="421"/>
      <c r="N40" s="1268">
        <f>F40-'[3]1'!E40</f>
        <v>0</v>
      </c>
    </row>
    <row r="41" spans="1:14">
      <c r="A41" s="719" t="s">
        <v>181</v>
      </c>
      <c r="B41" s="720"/>
      <c r="C41" s="720"/>
      <c r="D41" s="663" t="s">
        <v>143</v>
      </c>
      <c r="E41" s="898">
        <f>'[3]27'!F41</f>
        <v>300127.95</v>
      </c>
      <c r="F41" s="898">
        <v>300127.95</v>
      </c>
      <c r="G41" s="613">
        <f t="shared" si="3"/>
        <v>0</v>
      </c>
      <c r="H41" s="600">
        <f>G41+'[3]27'!H41</f>
        <v>-1.9999999960418791E-2</v>
      </c>
      <c r="I41" s="595"/>
      <c r="J41" s="693">
        <f>H41/DAY(B2)</f>
        <v>-7.1428571287209962E-4</v>
      </c>
      <c r="K41" s="527"/>
      <c r="L41" s="421"/>
      <c r="N41" s="1268">
        <f>F41-'[3]1'!E41</f>
        <v>-1.9999999960418791E-2</v>
      </c>
    </row>
    <row r="42" spans="1:14">
      <c r="A42" s="719" t="s">
        <v>182</v>
      </c>
      <c r="B42" s="720"/>
      <c r="C42" s="720"/>
      <c r="D42" s="663" t="s">
        <v>143</v>
      </c>
      <c r="E42" s="898">
        <f>'[3]27'!F42</f>
        <v>396197.95</v>
      </c>
      <c r="F42" s="898">
        <v>396198</v>
      </c>
      <c r="G42" s="613">
        <f t="shared" si="3"/>
        <v>4.9999999988358468E-2</v>
      </c>
      <c r="H42" s="600">
        <f>G42+'[3]27'!H42</f>
        <v>0.53000000002793968</v>
      </c>
      <c r="I42" s="595"/>
      <c r="J42" s="693">
        <f>H42/DAY(B2)</f>
        <v>1.8928571429569274E-2</v>
      </c>
      <c r="K42" s="527"/>
      <c r="L42" s="421"/>
      <c r="N42" s="1268">
        <f>F42-'[3]1'!E42</f>
        <v>0.53000000002793968</v>
      </c>
    </row>
    <row r="43" spans="1:14">
      <c r="A43" s="719" t="s">
        <v>183</v>
      </c>
      <c r="B43" s="720"/>
      <c r="C43" s="720"/>
      <c r="D43" s="663" t="s">
        <v>143</v>
      </c>
      <c r="E43" s="898">
        <f>'[3]27'!F43</f>
        <v>623375.87</v>
      </c>
      <c r="F43" s="898">
        <v>625918.15</v>
      </c>
      <c r="G43" s="613">
        <f t="shared" si="3"/>
        <v>2542.2800000000279</v>
      </c>
      <c r="H43" s="600">
        <f>G43+'[3]27'!H43</f>
        <v>67594.080000000075</v>
      </c>
      <c r="I43" s="595"/>
      <c r="J43" s="693">
        <f>H43/DAY(B2)</f>
        <v>2414.0742857142882</v>
      </c>
      <c r="K43" s="527"/>
      <c r="L43" s="421"/>
      <c r="N43" s="1268">
        <f>F43-'[3]1'!E43</f>
        <v>67594.080000000075</v>
      </c>
    </row>
    <row r="44" spans="1:14">
      <c r="A44" s="719" t="s">
        <v>184</v>
      </c>
      <c r="B44" s="720"/>
      <c r="C44" s="720"/>
      <c r="D44" s="663" t="s">
        <v>143</v>
      </c>
      <c r="E44" s="898">
        <f>'[3]27'!F44</f>
        <v>0</v>
      </c>
      <c r="F44" s="898">
        <v>0</v>
      </c>
      <c r="G44" s="613">
        <f t="shared" si="3"/>
        <v>0</v>
      </c>
      <c r="H44" s="600">
        <f>G44+'[3]27'!H44</f>
        <v>0</v>
      </c>
      <c r="I44" s="595"/>
      <c r="J44" s="693">
        <f>H44/DAY(B2)</f>
        <v>0</v>
      </c>
      <c r="K44" s="527"/>
      <c r="L44" s="421"/>
      <c r="N44" s="1268">
        <f>F44-'[3]1'!E44</f>
        <v>0</v>
      </c>
    </row>
    <row r="45" spans="1:14">
      <c r="A45" s="719" t="s">
        <v>185</v>
      </c>
      <c r="B45" s="720"/>
      <c r="C45" s="720"/>
      <c r="D45" s="663" t="s">
        <v>143</v>
      </c>
      <c r="E45" s="898">
        <f>'[3]27'!F45</f>
        <v>614</v>
      </c>
      <c r="F45" s="898">
        <v>614</v>
      </c>
      <c r="G45" s="613">
        <f t="shared" si="3"/>
        <v>0</v>
      </c>
      <c r="H45" s="600">
        <f>G45+'[3]27'!H45</f>
        <v>-0.48000000000001819</v>
      </c>
      <c r="I45" s="595"/>
      <c r="J45" s="693">
        <f>H45/DAY(B2)</f>
        <v>-1.7142857142857792E-2</v>
      </c>
      <c r="K45" s="527"/>
      <c r="L45" s="421"/>
      <c r="N45" s="1268">
        <f>F45-'[3]1'!E45</f>
        <v>-0.48000000000001819</v>
      </c>
    </row>
    <row r="46" spans="1:14">
      <c r="A46" s="719" t="s">
        <v>186</v>
      </c>
      <c r="B46" s="720"/>
      <c r="C46" s="720"/>
      <c r="D46" s="663" t="s">
        <v>143</v>
      </c>
      <c r="E46" s="898">
        <f>'[3]27'!F46</f>
        <v>187</v>
      </c>
      <c r="F46" s="898">
        <v>187</v>
      </c>
      <c r="G46" s="613">
        <f t="shared" si="3"/>
        <v>0</v>
      </c>
      <c r="H46" s="600">
        <f>G46+'[3]27'!H46</f>
        <v>-0.49000000000000909</v>
      </c>
      <c r="I46" s="595"/>
      <c r="J46" s="693">
        <f>H46/DAY(B2)</f>
        <v>-1.7500000000000324E-2</v>
      </c>
      <c r="K46" s="527"/>
      <c r="L46" s="421"/>
      <c r="N46" s="1268">
        <f>F46-'[3]1'!E46</f>
        <v>-0.49000000000000909</v>
      </c>
    </row>
    <row r="47" spans="1:14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3445.890000000014</v>
      </c>
      <c r="H47" s="600">
        <f>G47+'[3]27'!H47</f>
        <v>165821.60000000027</v>
      </c>
      <c r="I47" s="595"/>
      <c r="J47" s="693">
        <f>H47/DAY(B2)</f>
        <v>5922.2000000000098</v>
      </c>
      <c r="K47" s="527"/>
      <c r="L47" s="421"/>
      <c r="N47" s="1268">
        <f>F47-'[3]1'!E47</f>
        <v>0</v>
      </c>
    </row>
    <row r="48" spans="1:14">
      <c r="A48" s="739" t="s">
        <v>188</v>
      </c>
      <c r="B48" s="1373"/>
      <c r="C48" s="1373"/>
      <c r="D48" s="612"/>
      <c r="E48" s="635"/>
      <c r="F48" s="635"/>
      <c r="G48" s="612"/>
      <c r="H48" s="612"/>
      <c r="I48" s="612"/>
      <c r="J48" s="692"/>
      <c r="K48" s="527"/>
      <c r="L48" s="421"/>
      <c r="N48" s="1268">
        <f>F48-'[3]1'!E48</f>
        <v>0</v>
      </c>
    </row>
    <row r="49" spans="1:14">
      <c r="A49" s="719" t="s">
        <v>175</v>
      </c>
      <c r="B49" s="742"/>
      <c r="C49" s="742"/>
      <c r="D49" s="663" t="s">
        <v>143</v>
      </c>
      <c r="E49" s="898">
        <f>'[3]27'!F49</f>
        <v>52500.870999999999</v>
      </c>
      <c r="F49" s="898">
        <v>56167.167000000001</v>
      </c>
      <c r="G49" s="613">
        <f t="shared" ref="G49:G58" si="4">F49-E49</f>
        <v>3666.2960000000021</v>
      </c>
      <c r="H49" s="600">
        <f>G49+'[3]27'!H49</f>
        <v>44437.879000000001</v>
      </c>
      <c r="I49" s="595"/>
      <c r="J49" s="693">
        <f>H49/DAY(B2)</f>
        <v>1587.0671071428571</v>
      </c>
      <c r="K49" s="527"/>
      <c r="L49" s="421"/>
      <c r="N49" s="1268">
        <f>F49-'[3]1'!E49</f>
        <v>44438.328999999998</v>
      </c>
    </row>
    <row r="50" spans="1:14">
      <c r="A50" s="719" t="s">
        <v>189</v>
      </c>
      <c r="B50" s="742"/>
      <c r="C50" s="742"/>
      <c r="D50" s="663" t="s">
        <v>143</v>
      </c>
      <c r="E50" s="898">
        <f>'[3]27'!F50</f>
        <v>291785.40999999997</v>
      </c>
      <c r="F50" s="898">
        <v>292957.09000000003</v>
      </c>
      <c r="G50" s="613">
        <f t="shared" si="4"/>
        <v>1171.6800000000512</v>
      </c>
      <c r="H50" s="600">
        <f>G50+'[3]27'!H50</f>
        <v>26898.150000000023</v>
      </c>
      <c r="I50" s="595"/>
      <c r="J50" s="693">
        <f>H50/DAY(B2)</f>
        <v>960.64821428571508</v>
      </c>
      <c r="K50" s="527"/>
      <c r="L50" s="421"/>
      <c r="N50" s="1268">
        <f>F50-'[3]1'!E50</f>
        <v>29150.520000000019</v>
      </c>
    </row>
    <row r="51" spans="1:14">
      <c r="A51" s="719" t="s">
        <v>177</v>
      </c>
      <c r="B51" s="742"/>
      <c r="C51" s="742"/>
      <c r="D51" s="663" t="s">
        <v>143</v>
      </c>
      <c r="E51" s="898">
        <f>'[3]27'!F51</f>
        <v>14878.704</v>
      </c>
      <c r="F51" s="898">
        <v>16325.218999999999</v>
      </c>
      <c r="G51" s="613">
        <f t="shared" si="4"/>
        <v>1446.5149999999994</v>
      </c>
      <c r="H51" s="600">
        <f>G51+'[3]27'!H51</f>
        <v>24300.2709</v>
      </c>
      <c r="I51" s="595"/>
      <c r="J51" s="693">
        <f>H51/DAY(B2)</f>
        <v>867.86681785714279</v>
      </c>
      <c r="K51" s="527"/>
      <c r="L51" s="421"/>
      <c r="N51" s="1268">
        <f>F51-'[3]1'!E51</f>
        <v>16325.218999999999</v>
      </c>
    </row>
    <row r="52" spans="1:14">
      <c r="A52" s="719" t="s">
        <v>190</v>
      </c>
      <c r="B52" s="742"/>
      <c r="C52" s="742"/>
      <c r="D52" s="663" t="s">
        <v>143</v>
      </c>
      <c r="E52" s="898">
        <f>'[3]27'!F52</f>
        <v>365455.15</v>
      </c>
      <c r="F52" s="898">
        <v>367319.51</v>
      </c>
      <c r="G52" s="613">
        <f t="shared" si="4"/>
        <v>1864.359999999986</v>
      </c>
      <c r="H52" s="600">
        <f>G52+'[3]27'!H52</f>
        <v>45030.090000000026</v>
      </c>
      <c r="I52" s="595"/>
      <c r="J52" s="693">
        <f>H52/DAY(B2)</f>
        <v>1608.2175000000009</v>
      </c>
      <c r="K52" s="527"/>
      <c r="L52" s="421"/>
      <c r="N52" s="1268">
        <f>F52-'[3]1'!E52</f>
        <v>48654.820000000007</v>
      </c>
    </row>
    <row r="53" spans="1:14">
      <c r="A53" s="719" t="s">
        <v>179</v>
      </c>
      <c r="B53" s="742"/>
      <c r="C53" s="742"/>
      <c r="D53" s="663" t="s">
        <v>143</v>
      </c>
      <c r="E53" s="898">
        <f>'[3]27'!F53</f>
        <v>32588.708999999999</v>
      </c>
      <c r="F53" s="898">
        <v>36716.203000000001</v>
      </c>
      <c r="G53" s="613">
        <f t="shared" si="4"/>
        <v>4127.4940000000024</v>
      </c>
      <c r="H53" s="600">
        <f>G53+'[3]27'!H53</f>
        <v>47597.203000000009</v>
      </c>
      <c r="I53" s="595"/>
      <c r="J53" s="693">
        <f>H53/DAY(B2)</f>
        <v>1699.9001071428575</v>
      </c>
      <c r="K53" s="527"/>
      <c r="L53" s="421"/>
      <c r="N53" s="1268">
        <f>F53-'[3]1'!E53</f>
        <v>20645.203000000001</v>
      </c>
    </row>
    <row r="54" spans="1:14">
      <c r="A54" s="719" t="s">
        <v>191</v>
      </c>
      <c r="B54" s="742"/>
      <c r="C54" s="742"/>
      <c r="D54" s="663" t="s">
        <v>143</v>
      </c>
      <c r="E54" s="898">
        <f>'[3]27'!F54</f>
        <v>2773.5970000000002</v>
      </c>
      <c r="F54" s="898">
        <v>2778.1835000000001</v>
      </c>
      <c r="G54" s="613">
        <f t="shared" si="4"/>
        <v>4.5864999999998872</v>
      </c>
      <c r="H54" s="600">
        <f>G54+'[3]27'!H54</f>
        <v>1225.6228000000001</v>
      </c>
      <c r="I54" s="595"/>
      <c r="J54" s="693">
        <f>H54/DAY(B2)</f>
        <v>43.772242857142864</v>
      </c>
      <c r="K54" s="527"/>
      <c r="L54" s="421"/>
      <c r="N54" s="1268">
        <f>F54-'[3]1'!E54</f>
        <v>1374.5185000000001</v>
      </c>
    </row>
    <row r="55" spans="1:14">
      <c r="A55" s="719" t="s">
        <v>192</v>
      </c>
      <c r="B55" s="742"/>
      <c r="C55" s="742"/>
      <c r="D55" s="663" t="s">
        <v>143</v>
      </c>
      <c r="E55" s="898">
        <f>'[3]27'!F55</f>
        <v>158492.73000000001</v>
      </c>
      <c r="F55" s="899">
        <v>158493</v>
      </c>
      <c r="G55" s="789">
        <f t="shared" si="4"/>
        <v>0.26999999998952262</v>
      </c>
      <c r="H55" s="861">
        <f>G55+'[3]27'!H55</f>
        <v>0</v>
      </c>
      <c r="I55" s="862"/>
      <c r="J55" s="863">
        <f>H55/DAY(B2)</f>
        <v>0</v>
      </c>
      <c r="K55" s="527"/>
      <c r="L55" s="421"/>
      <c r="N55" s="1268">
        <f>F55-'[3]1'!E55</f>
        <v>0</v>
      </c>
    </row>
    <row r="56" spans="1:14">
      <c r="A56" s="719" t="s">
        <v>193</v>
      </c>
      <c r="B56" s="742"/>
      <c r="C56" s="742"/>
      <c r="D56" s="663" t="s">
        <v>194</v>
      </c>
      <c r="E56" s="898">
        <f>'[3]27'!F56</f>
        <v>420672.63</v>
      </c>
      <c r="F56" s="899">
        <v>424753.27</v>
      </c>
      <c r="G56" s="613">
        <f t="shared" si="4"/>
        <v>4080.640000000014</v>
      </c>
      <c r="H56" s="600">
        <f>G56+'[3]27'!H56</f>
        <v>112708.79000000004</v>
      </c>
      <c r="I56" s="595"/>
      <c r="J56" s="693">
        <f>H56/DAY(B2)</f>
        <v>4025.3139285714301</v>
      </c>
      <c r="K56" s="526"/>
      <c r="L56" s="421"/>
      <c r="N56" s="1268">
        <f>F56-'[3]1'!E56</f>
        <v>120763.48000000004</v>
      </c>
    </row>
    <row r="57" spans="1:14">
      <c r="A57" s="719" t="s">
        <v>183</v>
      </c>
      <c r="B57" s="742"/>
      <c r="C57" s="742"/>
      <c r="D57" s="663" t="s">
        <v>143</v>
      </c>
      <c r="E57" s="898">
        <f>'[3]27'!F57</f>
        <v>0</v>
      </c>
      <c r="F57" s="898">
        <v>0</v>
      </c>
      <c r="G57" s="613">
        <f t="shared" si="4"/>
        <v>0</v>
      </c>
      <c r="H57" s="600">
        <f>G57+'[3]27'!H57</f>
        <v>0</v>
      </c>
      <c r="I57" s="595"/>
      <c r="J57" s="693">
        <f>H57/DAY(B2)</f>
        <v>0</v>
      </c>
      <c r="K57" s="527"/>
      <c r="L57" s="421"/>
      <c r="N57" s="1268">
        <f>F57-'[3]1'!E57</f>
        <v>0</v>
      </c>
    </row>
    <row r="58" spans="1:14">
      <c r="A58" s="719" t="s">
        <v>195</v>
      </c>
      <c r="B58" s="742"/>
      <c r="C58" s="742"/>
      <c r="D58" s="663" t="s">
        <v>143</v>
      </c>
      <c r="E58" s="898">
        <f>'[3]27'!F58</f>
        <v>19783.521000000001</v>
      </c>
      <c r="F58" s="899">
        <v>19985.809000000001</v>
      </c>
      <c r="G58" s="613">
        <f t="shared" si="4"/>
        <v>202.28800000000047</v>
      </c>
      <c r="H58" s="600">
        <f>G58+'[3]27'!H58</f>
        <v>2216.512999999999</v>
      </c>
      <c r="I58" s="595"/>
      <c r="J58" s="693">
        <f>H58/DAY(B2)</f>
        <v>79.161178571428536</v>
      </c>
      <c r="K58" s="527"/>
      <c r="L58" s="421"/>
      <c r="N58" s="1268">
        <f>F58-'[3]1'!E58</f>
        <v>2521.5380000000005</v>
      </c>
    </row>
    <row r="59" spans="1:14">
      <c r="A59" s="726" t="s">
        <v>187</v>
      </c>
      <c r="B59" s="727"/>
      <c r="C59" s="727"/>
      <c r="D59" s="651"/>
      <c r="E59" s="610"/>
      <c r="F59" s="610"/>
      <c r="G59" s="621">
        <f>G49+G50+G51+G52+G53+G54+G55+G56+G57+G58</f>
        <v>16564.129500000046</v>
      </c>
      <c r="H59" s="600">
        <f>G59+'[3]27'!H59</f>
        <v>304414.51870000002</v>
      </c>
      <c r="I59" s="595">
        <f>G7-G60</f>
        <v>-453.01950000006036</v>
      </c>
      <c r="J59" s="693">
        <f>H59/DAY(B2)</f>
        <v>10871.947096428572</v>
      </c>
      <c r="K59" s="527"/>
      <c r="L59" s="421"/>
      <c r="N59" s="1268">
        <f>F59-'[3]1'!E59</f>
        <v>0</v>
      </c>
    </row>
    <row r="60" spans="1:14">
      <c r="A60" s="719"/>
      <c r="B60" s="720"/>
      <c r="C60" s="720"/>
      <c r="D60" s="651" t="s">
        <v>196</v>
      </c>
      <c r="E60" s="610"/>
      <c r="F60" s="610"/>
      <c r="G60" s="621">
        <f>G47+G59</f>
        <v>20010.01950000006</v>
      </c>
      <c r="H60" s="600">
        <f>G60+'[3]27'!H60</f>
        <v>484622.27940000023</v>
      </c>
      <c r="I60" s="595">
        <f>G13-G60</f>
        <v>-1176.4195000000836</v>
      </c>
      <c r="J60" s="693">
        <f>H60/DAY(B2)</f>
        <v>17307.93855000001</v>
      </c>
      <c r="K60" s="527"/>
      <c r="L60" s="421"/>
      <c r="N60" s="1268">
        <f>F60-'[3]1'!E60</f>
        <v>0</v>
      </c>
    </row>
    <row r="61" spans="1:14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  <c r="N61" s="1268">
        <f>F61-'[3]1'!E61</f>
        <v>0</v>
      </c>
    </row>
    <row r="62" spans="1:14">
      <c r="A62" s="744" t="s">
        <v>106</v>
      </c>
      <c r="B62" s="745"/>
      <c r="C62" s="745"/>
      <c r="D62" s="651" t="s">
        <v>198</v>
      </c>
      <c r="E62" s="654">
        <f>'[3]27'!F62</f>
        <v>20419</v>
      </c>
      <c r="F62" s="654">
        <v>20419.187000000002</v>
      </c>
      <c r="G62" s="613">
        <f t="shared" ref="G62:G69" si="5">F62-E62</f>
        <v>0.18700000000171713</v>
      </c>
      <c r="H62" s="600">
        <f>G62+'[3]27'!H62</f>
        <v>-0.19099999999525608</v>
      </c>
      <c r="I62" s="655"/>
      <c r="J62" s="693">
        <f>H62/DAY(B2)</f>
        <v>-6.8214285712591459E-3</v>
      </c>
      <c r="K62" s="527"/>
      <c r="L62" s="421"/>
      <c r="N62" s="1268">
        <f>F62-'[3]1'!E62</f>
        <v>-1.9999999967694748E-3</v>
      </c>
    </row>
    <row r="63" spans="1:14">
      <c r="A63" s="744" t="s">
        <v>199</v>
      </c>
      <c r="B63" s="745"/>
      <c r="C63" s="745"/>
      <c r="D63" s="651" t="s">
        <v>198</v>
      </c>
      <c r="E63" s="654">
        <f>'[3]27'!F63</f>
        <v>807.01</v>
      </c>
      <c r="F63" s="654">
        <v>823.46100000000001</v>
      </c>
      <c r="G63" s="613">
        <f t="shared" si="5"/>
        <v>16.451000000000022</v>
      </c>
      <c r="H63" s="600">
        <f>G63+'[3]27'!H63</f>
        <v>525.00099999999998</v>
      </c>
      <c r="I63" s="655"/>
      <c r="J63" s="693">
        <f>H63/DAY(B2)</f>
        <v>18.750035714285712</v>
      </c>
      <c r="K63" s="527"/>
      <c r="L63" s="421"/>
      <c r="N63" s="1268">
        <f>F63-'[3]1'!E63</f>
        <v>525.00099999999998</v>
      </c>
    </row>
    <row r="64" spans="1:14" ht="27.75">
      <c r="A64" s="1429" t="s">
        <v>107</v>
      </c>
      <c r="B64" s="1430"/>
      <c r="C64" s="1431"/>
      <c r="D64" s="663" t="s">
        <v>198</v>
      </c>
      <c r="E64" s="654">
        <f>'[3]27'!F64</f>
        <v>85603.551000000007</v>
      </c>
      <c r="F64" s="894">
        <v>85955.638999999996</v>
      </c>
      <c r="G64" s="613">
        <f t="shared" si="5"/>
        <v>352.08799999998882</v>
      </c>
      <c r="H64" s="600">
        <f>G64+'[3]27'!H64</f>
        <v>9892.551999999996</v>
      </c>
      <c r="I64" s="620"/>
      <c r="J64" s="693">
        <f>H64/DAY(B2)</f>
        <v>353.30542857142842</v>
      </c>
      <c r="K64" s="527"/>
      <c r="L64" s="421"/>
      <c r="N64" s="1268">
        <f>F64-'[3]1'!E64</f>
        <v>9892.551999999996</v>
      </c>
    </row>
    <row r="65" spans="1:14" ht="27.75">
      <c r="A65" s="1429" t="s">
        <v>108</v>
      </c>
      <c r="B65" s="1430"/>
      <c r="C65" s="1431"/>
      <c r="D65" s="663" t="s">
        <v>198</v>
      </c>
      <c r="E65" s="654">
        <f>'[3]27'!F65</f>
        <v>95473.951000000001</v>
      </c>
      <c r="F65" s="901">
        <v>95868.502999999997</v>
      </c>
      <c r="G65" s="613">
        <f t="shared" si="5"/>
        <v>394.55199999999604</v>
      </c>
      <c r="H65" s="600">
        <f>G65+'[3]27'!H65</f>
        <v>10709.239999999991</v>
      </c>
      <c r="I65" s="629"/>
      <c r="J65" s="693">
        <f>H65/DAY(B2)</f>
        <v>382.47285714285681</v>
      </c>
      <c r="K65" s="527"/>
      <c r="L65" s="421"/>
      <c r="N65" s="1268">
        <f>F65-'[3]1'!E65</f>
        <v>10709.239999999991</v>
      </c>
    </row>
    <row r="66" spans="1:14" ht="27.75">
      <c r="A66" s="1429" t="s">
        <v>109</v>
      </c>
      <c r="B66" s="1430"/>
      <c r="C66" s="1431"/>
      <c r="D66" s="663" t="s">
        <v>198</v>
      </c>
      <c r="E66" s="654">
        <f>'[3]27'!F66</f>
        <v>88765.175000000003</v>
      </c>
      <c r="F66" s="894">
        <v>89163.358999999997</v>
      </c>
      <c r="G66" s="613">
        <f t="shared" si="5"/>
        <v>398.18399999999383</v>
      </c>
      <c r="H66" s="600">
        <f>G66+'[3]27'!H66</f>
        <v>10975.400999999998</v>
      </c>
      <c r="I66" s="620"/>
      <c r="J66" s="693">
        <f>H66/DAY(B2)</f>
        <v>391.97860714285707</v>
      </c>
      <c r="K66" s="527"/>
      <c r="L66" s="421"/>
      <c r="N66" s="1268">
        <f>F66-'[3]1'!E66</f>
        <v>10975.400999999998</v>
      </c>
    </row>
    <row r="67" spans="1:14" ht="27.75">
      <c r="A67" s="1429" t="s">
        <v>110</v>
      </c>
      <c r="B67" s="1430"/>
      <c r="C67" s="1431"/>
      <c r="D67" s="663" t="s">
        <v>198</v>
      </c>
      <c r="E67" s="654">
        <f>'[3]27'!F67</f>
        <v>143735.82</v>
      </c>
      <c r="F67" s="894">
        <v>144458.26999999999</v>
      </c>
      <c r="G67" s="613">
        <f t="shared" si="5"/>
        <v>722.44999999998254</v>
      </c>
      <c r="H67" s="600">
        <f>G67+'[3]27'!H67</f>
        <v>18401.76999999999</v>
      </c>
      <c r="I67" s="629"/>
      <c r="J67" s="693">
        <f>H67/DAY(B2)</f>
        <v>657.20607142857102</v>
      </c>
      <c r="K67" s="528"/>
      <c r="L67" s="421"/>
      <c r="N67" s="1268">
        <f>F67-'[3]1'!E67</f>
        <v>18401.76999999999</v>
      </c>
    </row>
    <row r="68" spans="1:14" ht="27.75">
      <c r="A68" s="1429" t="s">
        <v>111</v>
      </c>
      <c r="B68" s="1430"/>
      <c r="C68" s="1431"/>
      <c r="D68" s="663" t="s">
        <v>198</v>
      </c>
      <c r="E68" s="654">
        <f>'[3]27'!F68</f>
        <v>42077.839</v>
      </c>
      <c r="F68" s="894">
        <v>42430.879000000001</v>
      </c>
      <c r="G68" s="613">
        <f t="shared" si="5"/>
        <v>353.04000000000087</v>
      </c>
      <c r="H68" s="600">
        <f>G68+'[3]27'!H68</f>
        <v>9031.010000000002</v>
      </c>
      <c r="I68" s="656"/>
      <c r="J68" s="693">
        <f>H68/DAY(B2)</f>
        <v>322.53607142857152</v>
      </c>
      <c r="K68" s="529"/>
      <c r="L68" s="421"/>
      <c r="N68" s="1268">
        <f>F68-'[3]1'!E68</f>
        <v>9031.010000000002</v>
      </c>
    </row>
    <row r="69" spans="1:14" ht="27.75">
      <c r="A69" s="1429" t="s">
        <v>112</v>
      </c>
      <c r="B69" s="1430"/>
      <c r="C69" s="1431"/>
      <c r="D69" s="663" t="s">
        <v>198</v>
      </c>
      <c r="E69" s="654">
        <f>'[3]27'!F69</f>
        <v>36692.142999999996</v>
      </c>
      <c r="F69" s="894">
        <v>36979.870999999999</v>
      </c>
      <c r="G69" s="613">
        <f t="shared" si="5"/>
        <v>287.72800000000279</v>
      </c>
      <c r="H69" s="600">
        <f>G69+'[3]27'!H69</f>
        <v>7727.5059999999976</v>
      </c>
      <c r="I69" s="656"/>
      <c r="J69" s="693">
        <f>H69/DAY(B2)</f>
        <v>275.98235714285704</v>
      </c>
      <c r="K69" s="530"/>
      <c r="L69" s="421"/>
      <c r="N69" s="1268">
        <f>F69-'[3]1'!E69</f>
        <v>7727.5059999999976</v>
      </c>
    </row>
    <row r="70" spans="1:14" ht="27.75">
      <c r="A70" s="1469" t="s">
        <v>200</v>
      </c>
      <c r="B70" s="1470"/>
      <c r="C70" s="1471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  <c r="N70" s="1268">
        <f>F70-'[3]1'!E70</f>
        <v>0</v>
      </c>
    </row>
    <row r="71" spans="1:14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1268">
        <f>F71-'[3]1'!E71</f>
        <v>0</v>
      </c>
    </row>
    <row r="72" spans="1:14" ht="27.75">
      <c r="A72" s="1429" t="s">
        <v>202</v>
      </c>
      <c r="B72" s="1430"/>
      <c r="C72" s="1431"/>
      <c r="D72" s="663" t="s">
        <v>198</v>
      </c>
      <c r="E72" s="919">
        <f>'[3]27'!F72</f>
        <v>844154</v>
      </c>
      <c r="F72" s="618">
        <v>844161</v>
      </c>
      <c r="G72" s="613">
        <f t="shared" ref="G72:G84" si="6">F72-E72</f>
        <v>7</v>
      </c>
      <c r="H72" s="600">
        <f>G72+'[3]27'!H72</f>
        <v>219</v>
      </c>
      <c r="I72" s="620"/>
      <c r="J72" s="693">
        <f>H72/DAY(B2)</f>
        <v>7.8214285714285712</v>
      </c>
      <c r="K72" s="530"/>
      <c r="L72" s="421"/>
      <c r="N72" s="1268">
        <f>F72-'[3]1'!E72</f>
        <v>228</v>
      </c>
    </row>
    <row r="73" spans="1:14" ht="27.75">
      <c r="A73" s="1429" t="s">
        <v>203</v>
      </c>
      <c r="B73" s="1430"/>
      <c r="C73" s="1431"/>
      <c r="D73" s="663" t="s">
        <v>198</v>
      </c>
      <c r="E73" s="920">
        <f>'[3]27'!F73</f>
        <v>885304</v>
      </c>
      <c r="F73" s="904">
        <v>885307</v>
      </c>
      <c r="G73" s="789">
        <f t="shared" si="6"/>
        <v>3</v>
      </c>
      <c r="H73" s="600">
        <f>G73+'[3]27'!H73</f>
        <v>179</v>
      </c>
      <c r="I73" s="620"/>
      <c r="J73" s="693">
        <f>H73/DAY(B2)</f>
        <v>6.3928571428571432</v>
      </c>
      <c r="K73" s="529"/>
      <c r="L73" s="421"/>
      <c r="N73" s="1268">
        <f>F73-'[3]1'!E73</f>
        <v>92</v>
      </c>
    </row>
    <row r="74" spans="1:14" ht="27.75">
      <c r="A74" s="1429" t="s">
        <v>204</v>
      </c>
      <c r="B74" s="1430"/>
      <c r="C74" s="1431"/>
      <c r="D74" s="663" t="s">
        <v>198</v>
      </c>
      <c r="E74" s="921">
        <f>'[3]27'!F74</f>
        <v>880169</v>
      </c>
      <c r="F74" s="904">
        <v>880185</v>
      </c>
      <c r="G74" s="613">
        <f t="shared" si="6"/>
        <v>16</v>
      </c>
      <c r="H74" s="600">
        <f>G74+'[3]27'!H74</f>
        <v>549</v>
      </c>
      <c r="I74" s="620"/>
      <c r="J74" s="693">
        <f>H74/DAY(B2)</f>
        <v>19.607142857142858</v>
      </c>
      <c r="K74" s="530"/>
      <c r="L74" s="421"/>
      <c r="N74" s="1268">
        <f>F74-'[3]1'!E74</f>
        <v>549</v>
      </c>
    </row>
    <row r="75" spans="1:14" ht="27.75">
      <c r="A75" s="1408" t="s">
        <v>205</v>
      </c>
      <c r="B75" s="1409"/>
      <c r="C75" s="1410"/>
      <c r="D75" s="663" t="s">
        <v>198</v>
      </c>
      <c r="E75" s="920">
        <f>'[3]27'!F75</f>
        <v>725662</v>
      </c>
      <c r="F75" s="904">
        <v>725831</v>
      </c>
      <c r="G75" s="613">
        <f t="shared" si="6"/>
        <v>169</v>
      </c>
      <c r="H75" s="600">
        <f>G75+'[3]27'!H75</f>
        <v>4465</v>
      </c>
      <c r="I75" s="620"/>
      <c r="J75" s="693">
        <f>H75/DAY(B2)</f>
        <v>159.46428571428572</v>
      </c>
      <c r="K75" s="529"/>
      <c r="L75" s="421"/>
      <c r="N75" s="1268">
        <f>F75-'[3]1'!E75</f>
        <v>4465</v>
      </c>
    </row>
    <row r="76" spans="1:14" ht="27.75">
      <c r="A76" s="1408" t="s">
        <v>206</v>
      </c>
      <c r="B76" s="1409"/>
      <c r="C76" s="1410"/>
      <c r="D76" s="663" t="s">
        <v>198</v>
      </c>
      <c r="E76" s="920">
        <f>'[3]27'!F76</f>
        <v>681491</v>
      </c>
      <c r="F76" s="904">
        <v>681553</v>
      </c>
      <c r="G76" s="613">
        <f t="shared" si="6"/>
        <v>62</v>
      </c>
      <c r="H76" s="600">
        <f>G76+'[3]27'!H76</f>
        <v>3083</v>
      </c>
      <c r="I76" s="645"/>
      <c r="J76" s="693">
        <f>H76/DAY(B2)</f>
        <v>110.10714285714286</v>
      </c>
      <c r="K76" s="529"/>
      <c r="L76" s="421"/>
      <c r="N76" s="1268">
        <f>F76-'[3]1'!E76</f>
        <v>1901</v>
      </c>
    </row>
    <row r="77" spans="1:14" ht="27.75">
      <c r="A77" s="1429" t="s">
        <v>207</v>
      </c>
      <c r="B77" s="1430"/>
      <c r="C77" s="1431"/>
      <c r="D77" s="663" t="s">
        <v>198</v>
      </c>
      <c r="E77" s="920">
        <f>'[3]27'!F77</f>
        <v>693571</v>
      </c>
      <c r="F77" s="904">
        <v>693619</v>
      </c>
      <c r="G77" s="789">
        <f t="shared" si="6"/>
        <v>48</v>
      </c>
      <c r="H77" s="600">
        <f>G77+'[3]27'!H77</f>
        <v>1312</v>
      </c>
      <c r="I77" s="645"/>
      <c r="J77" s="693">
        <f>H77/DAY(B2)</f>
        <v>46.857142857142854</v>
      </c>
      <c r="K77" s="529"/>
      <c r="L77" s="421"/>
      <c r="N77" s="1268">
        <f>F77-'[3]1'!E77</f>
        <v>1312</v>
      </c>
    </row>
    <row r="78" spans="1:14" ht="27.75">
      <c r="A78" s="1374" t="s">
        <v>208</v>
      </c>
      <c r="B78" s="1339"/>
      <c r="C78" s="1339"/>
      <c r="D78" s="663" t="s">
        <v>198</v>
      </c>
      <c r="E78" s="920">
        <f>'[3]27'!F78</f>
        <v>616941</v>
      </c>
      <c r="F78" s="904">
        <v>617329</v>
      </c>
      <c r="G78" s="789">
        <f t="shared" si="6"/>
        <v>388</v>
      </c>
      <c r="H78" s="600">
        <f>G78+'[3]27'!H78</f>
        <v>9315</v>
      </c>
      <c r="I78" s="645"/>
      <c r="J78" s="693">
        <f>H78/DAY(B2)</f>
        <v>332.67857142857144</v>
      </c>
      <c r="K78" s="529"/>
      <c r="L78" s="421"/>
      <c r="N78" s="1268">
        <f>F78-'[3]1'!E78</f>
        <v>9315</v>
      </c>
    </row>
    <row r="79" spans="1:14" ht="27.75">
      <c r="A79" s="1408" t="s">
        <v>97</v>
      </c>
      <c r="B79" s="1409"/>
      <c r="C79" s="1410"/>
      <c r="D79" s="664" t="s">
        <v>198</v>
      </c>
      <c r="E79" s="921">
        <f>'[3]27'!F79</f>
        <v>797387</v>
      </c>
      <c r="F79" s="905">
        <v>797586</v>
      </c>
      <c r="G79" s="613">
        <f t="shared" si="6"/>
        <v>199</v>
      </c>
      <c r="H79" s="600">
        <f>G79+'[3]27'!H79</f>
        <v>6771</v>
      </c>
      <c r="I79" s="645"/>
      <c r="J79" s="693">
        <f>H79/DAY(B2)</f>
        <v>241.82142857142858</v>
      </c>
      <c r="K79" s="529"/>
      <c r="L79" s="421"/>
      <c r="N79" s="1268">
        <f>F79-'[3]1'!E79</f>
        <v>4798</v>
      </c>
    </row>
    <row r="80" spans="1:14" ht="27.75">
      <c r="A80" s="1408" t="s">
        <v>209</v>
      </c>
      <c r="B80" s="1409"/>
      <c r="C80" s="1410"/>
      <c r="D80" s="664" t="s">
        <v>198</v>
      </c>
      <c r="E80" s="920">
        <f>'[3]27'!F80</f>
        <v>464513.4</v>
      </c>
      <c r="F80" s="904">
        <v>464840.04</v>
      </c>
      <c r="G80" s="613">
        <f t="shared" si="6"/>
        <v>326.63999999995576</v>
      </c>
      <c r="H80" s="600">
        <f>G80+'[3]27'!H80</f>
        <v>6403.1599999999744</v>
      </c>
      <c r="I80" s="645"/>
      <c r="J80" s="693">
        <f>H80/DAY(B2)</f>
        <v>228.68428571428481</v>
      </c>
      <c r="K80" s="529"/>
      <c r="L80" s="421"/>
      <c r="N80" s="1268">
        <f>F80-'[3]1'!E80</f>
        <v>7975</v>
      </c>
    </row>
    <row r="81" spans="1:17" ht="27.75">
      <c r="A81" s="1408" t="s">
        <v>210</v>
      </c>
      <c r="B81" s="1409"/>
      <c r="C81" s="1410"/>
      <c r="D81" s="664" t="s">
        <v>198</v>
      </c>
      <c r="E81" s="920">
        <f>'[3]27'!F81</f>
        <v>613901.93000000005</v>
      </c>
      <c r="F81" s="904">
        <v>614051.16</v>
      </c>
      <c r="G81" s="613">
        <f t="shared" si="6"/>
        <v>149.22999999998137</v>
      </c>
      <c r="H81" s="600">
        <f>G81+'[3]27'!H81</f>
        <v>2928.8800000000047</v>
      </c>
      <c r="I81" s="645"/>
      <c r="J81" s="693">
        <f>H81/DAY(B2)</f>
        <v>104.6028571428573</v>
      </c>
      <c r="K81" s="529"/>
      <c r="L81" s="421"/>
      <c r="N81" s="1268">
        <f>F81-'[3]1'!E81</f>
        <v>2928.8800000000047</v>
      </c>
    </row>
    <row r="82" spans="1:17" ht="27.75">
      <c r="A82" s="1408" t="s">
        <v>100</v>
      </c>
      <c r="B82" s="1409"/>
      <c r="C82" s="1410"/>
      <c r="D82" s="625" t="s">
        <v>143</v>
      </c>
      <c r="E82" s="922">
        <f>'[3]27'!F82</f>
        <v>103474.46</v>
      </c>
      <c r="F82" s="901">
        <v>103488.64</v>
      </c>
      <c r="G82" s="613">
        <f t="shared" si="6"/>
        <v>14.179999999993015</v>
      </c>
      <c r="H82" s="600">
        <f>G82+'[3]27'!H82</f>
        <v>458.69000000000233</v>
      </c>
      <c r="I82" s="626"/>
      <c r="J82" s="693">
        <f>H82/DAY(B2)</f>
        <v>16.381785714285797</v>
      </c>
      <c r="K82" s="529"/>
      <c r="L82" s="421"/>
      <c r="N82" s="1268">
        <f>F82-'[3]1'!E82</f>
        <v>458.69000000000233</v>
      </c>
    </row>
    <row r="83" spans="1:17" ht="27.75">
      <c r="A83" s="1408" t="s">
        <v>211</v>
      </c>
      <c r="B83" s="1409"/>
      <c r="C83" s="1410"/>
      <c r="D83" s="761" t="s">
        <v>143</v>
      </c>
      <c r="E83" s="610">
        <f>'[3]27'!F83</f>
        <v>961473</v>
      </c>
      <c r="F83" s="610">
        <v>961817</v>
      </c>
      <c r="G83" s="613">
        <f t="shared" si="6"/>
        <v>344</v>
      </c>
      <c r="H83" s="600">
        <f>G83+'[3]27'!H83</f>
        <v>9574</v>
      </c>
      <c r="I83" s="621"/>
      <c r="J83" s="693">
        <f>H83/DAY(B2)</f>
        <v>341.92857142857144</v>
      </c>
      <c r="K83" s="528"/>
      <c r="L83" s="421"/>
      <c r="N83" s="1268">
        <f>F83-'[3]1'!E83</f>
        <v>9574</v>
      </c>
    </row>
    <row r="84" spans="1:17">
      <c r="A84" s="1377" t="s">
        <v>212</v>
      </c>
      <c r="B84" s="712"/>
      <c r="C84" s="712"/>
      <c r="D84" s="618" t="s">
        <v>143</v>
      </c>
      <c r="E84" s="861">
        <f>'[3]27'!F84</f>
        <v>379892</v>
      </c>
      <c r="F84" s="861">
        <v>380335</v>
      </c>
      <c r="G84" s="613">
        <f t="shared" si="6"/>
        <v>443</v>
      </c>
      <c r="H84" s="600">
        <f>G84+'[3]27'!H84</f>
        <v>13902</v>
      </c>
      <c r="I84" s="621"/>
      <c r="J84" s="693">
        <f>H84/DAY(B2)</f>
        <v>496.5</v>
      </c>
      <c r="K84" s="424"/>
      <c r="L84" s="421"/>
      <c r="N84" s="1268">
        <f>F84-'[3]1'!E84</f>
        <v>13902</v>
      </c>
    </row>
    <row r="85" spans="1:17" s="423" customFormat="1">
      <c r="A85" s="746" t="s">
        <v>213</v>
      </c>
      <c r="B85" s="713"/>
      <c r="C85" s="713"/>
      <c r="D85" s="629"/>
      <c r="E85" s="861">
        <f>'[3]27'!F85</f>
        <v>0</v>
      </c>
      <c r="F85" s="600"/>
      <c r="G85" s="600">
        <f xml:space="preserve"> SUM(G72:G84)</f>
        <v>2169.0499999999302</v>
      </c>
      <c r="H85" s="600">
        <f>G85+'[3]27'!H85</f>
        <v>55833.83</v>
      </c>
      <c r="I85" s="621"/>
      <c r="J85" s="693">
        <f>H85/DAY(B2)</f>
        <v>1994.0653571428572</v>
      </c>
      <c r="K85" s="424"/>
      <c r="L85" s="422"/>
      <c r="N85" s="1268">
        <f>F85-'[3]1'!E85</f>
        <v>0</v>
      </c>
      <c r="O85" s="928"/>
      <c r="P85" s="928"/>
      <c r="Q85" s="928"/>
    </row>
    <row r="86" spans="1:17" s="891" customFormat="1">
      <c r="A86" s="886" t="s">
        <v>102</v>
      </c>
      <c r="B86" s="887"/>
      <c r="C86" s="887"/>
      <c r="D86" s="888" t="s">
        <v>194</v>
      </c>
      <c r="E86" s="861">
        <f>'[3]27'!F86</f>
        <v>439965.04</v>
      </c>
      <c r="F86" s="906">
        <v>440114.68</v>
      </c>
      <c r="G86" s="861">
        <f t="shared" ref="G86:G90" si="7">F86-E86</f>
        <v>149.64000000001397</v>
      </c>
      <c r="H86" s="861">
        <f t="shared" ref="H86:H90" si="8">G86</f>
        <v>149.64000000001397</v>
      </c>
      <c r="I86" s="789"/>
      <c r="J86" s="863">
        <f>H86/DAY(B2)</f>
        <v>5.3442857142862135</v>
      </c>
      <c r="K86" s="889"/>
      <c r="L86" s="890"/>
      <c r="N86" s="1268">
        <f>F86-'[3]1'!E86</f>
        <v>3088.179999999993</v>
      </c>
      <c r="O86" s="928"/>
      <c r="P86" s="928"/>
      <c r="Q86" s="929"/>
    </row>
    <row r="87" spans="1:17" s="891" customFormat="1">
      <c r="A87" s="886" t="s">
        <v>103</v>
      </c>
      <c r="B87" s="887"/>
      <c r="C87" s="887"/>
      <c r="D87" s="888" t="s">
        <v>194</v>
      </c>
      <c r="E87" s="861">
        <f>'[3]27'!F87</f>
        <v>76838.5</v>
      </c>
      <c r="F87" s="906">
        <v>76855.8</v>
      </c>
      <c r="G87" s="861">
        <f t="shared" si="7"/>
        <v>17.30000000000291</v>
      </c>
      <c r="H87" s="861">
        <f t="shared" si="8"/>
        <v>17.30000000000291</v>
      </c>
      <c r="I87" s="789"/>
      <c r="J87" s="863">
        <f>H87/DAY(B2)</f>
        <v>0.6178571428572468</v>
      </c>
      <c r="K87" s="889"/>
      <c r="L87" s="890"/>
      <c r="N87" s="1268">
        <f>F87-'[3]1'!E87</f>
        <v>755.80000000000291</v>
      </c>
      <c r="O87" s="928"/>
      <c r="P87" s="928"/>
      <c r="Q87" s="929"/>
    </row>
    <row r="88" spans="1:17" s="891" customFormat="1">
      <c r="A88" s="886" t="s">
        <v>104</v>
      </c>
      <c r="B88" s="887"/>
      <c r="C88" s="887"/>
      <c r="D88" s="888" t="s">
        <v>194</v>
      </c>
      <c r="E88" s="861">
        <f>'[3]27'!F88</f>
        <v>142180.07</v>
      </c>
      <c r="F88" s="906">
        <v>142274.91</v>
      </c>
      <c r="G88" s="861">
        <f t="shared" si="7"/>
        <v>94.839999999996508</v>
      </c>
      <c r="H88" s="861">
        <f t="shared" si="8"/>
        <v>94.839999999996508</v>
      </c>
      <c r="I88" s="789"/>
      <c r="J88" s="863">
        <f>H88/DAY(B2)</f>
        <v>3.3871428571427322</v>
      </c>
      <c r="K88" s="889"/>
      <c r="L88" s="890"/>
      <c r="N88" s="1268">
        <f>F88-'[3]1'!E88</f>
        <v>2146.4500000000116</v>
      </c>
      <c r="O88" s="928"/>
      <c r="P88" s="928"/>
      <c r="Q88" s="929"/>
    </row>
    <row r="89" spans="1:17" s="891" customFormat="1">
      <c r="A89" s="886" t="s">
        <v>215</v>
      </c>
      <c r="B89" s="887"/>
      <c r="C89" s="887"/>
      <c r="D89" s="888" t="s">
        <v>194</v>
      </c>
      <c r="E89" s="861">
        <f>'[3]27'!F89</f>
        <v>55521</v>
      </c>
      <c r="F89" s="906">
        <v>55572.2</v>
      </c>
      <c r="G89" s="861">
        <f t="shared" si="7"/>
        <v>51.19999999999709</v>
      </c>
      <c r="H89" s="861">
        <f t="shared" si="8"/>
        <v>51.19999999999709</v>
      </c>
      <c r="I89" s="789"/>
      <c r="J89" s="863">
        <f>H89/DAY(B2)</f>
        <v>1.8285714285713246</v>
      </c>
      <c r="K89" s="889"/>
      <c r="L89" s="890"/>
      <c r="N89" s="1268">
        <f>F89-'[3]1'!E89</f>
        <v>1476.3999999999942</v>
      </c>
      <c r="O89" s="426"/>
    </row>
    <row r="90" spans="1:17" s="891" customFormat="1">
      <c r="A90" s="886" t="s">
        <v>215</v>
      </c>
      <c r="B90" s="887"/>
      <c r="C90" s="887"/>
      <c r="D90" s="888" t="s">
        <v>194</v>
      </c>
      <c r="E90" s="861">
        <f>'[3]27'!F90</f>
        <v>2869</v>
      </c>
      <c r="F90" s="906">
        <v>2870</v>
      </c>
      <c r="G90" s="861">
        <f t="shared" si="7"/>
        <v>1</v>
      </c>
      <c r="H90" s="861">
        <f t="shared" si="8"/>
        <v>1</v>
      </c>
      <c r="I90" s="789"/>
      <c r="J90" s="863">
        <f>H90/DAY(B2)</f>
        <v>3.5714285714285712E-2</v>
      </c>
      <c r="K90" s="889"/>
      <c r="L90" s="890"/>
      <c r="N90" s="1268">
        <f>F90-'[3]1'!E90</f>
        <v>84.300000000000182</v>
      </c>
      <c r="O90" s="426"/>
    </row>
    <row r="91" spans="1:17" s="423" customFormat="1">
      <c r="A91" s="747" t="s">
        <v>216</v>
      </c>
      <c r="B91" s="1375"/>
      <c r="C91" s="1375"/>
      <c r="D91" s="612"/>
      <c r="E91" s="895"/>
      <c r="F91" s="895"/>
      <c r="G91" s="628"/>
      <c r="H91" s="612"/>
      <c r="I91" s="612"/>
      <c r="J91" s="692"/>
      <c r="K91" s="424"/>
      <c r="L91" s="422"/>
      <c r="N91" s="1268">
        <f>F91-'[3]1'!E91</f>
        <v>0</v>
      </c>
      <c r="O91" s="928"/>
      <c r="P91" s="928"/>
      <c r="Q91" s="928"/>
    </row>
    <row r="92" spans="1:17" ht="27.75">
      <c r="A92" s="1432" t="s">
        <v>217</v>
      </c>
      <c r="B92" s="1433"/>
      <c r="C92" s="1434"/>
      <c r="D92" s="663" t="s">
        <v>155</v>
      </c>
      <c r="E92" s="915">
        <f>'[3]27'!F92</f>
        <v>230648</v>
      </c>
      <c r="F92" s="894">
        <v>230752</v>
      </c>
      <c r="G92" s="613">
        <f t="shared" ref="G92:G93" si="9">F92-E92</f>
        <v>104</v>
      </c>
      <c r="H92" s="600">
        <f>G92+'[3]27'!H92</f>
        <v>2157</v>
      </c>
      <c r="I92" s="620"/>
      <c r="J92" s="693">
        <f>H92/DAY(B2)</f>
        <v>77.035714285714292</v>
      </c>
      <c r="K92" s="528"/>
      <c r="L92" s="421"/>
      <c r="N92" s="1268">
        <f>F92-'[3]1'!E92</f>
        <v>2102</v>
      </c>
    </row>
    <row r="93" spans="1:17" ht="27.75">
      <c r="A93" s="1432" t="s">
        <v>218</v>
      </c>
      <c r="B93" s="1433"/>
      <c r="C93" s="1434"/>
      <c r="D93" s="663" t="s">
        <v>155</v>
      </c>
      <c r="E93" s="915">
        <f>'[3]27'!F93</f>
        <v>162212</v>
      </c>
      <c r="F93" s="894">
        <v>162354</v>
      </c>
      <c r="G93" s="613">
        <f t="shared" si="9"/>
        <v>142</v>
      </c>
      <c r="H93" s="600">
        <f>G93+'[3]27'!H93</f>
        <v>3831</v>
      </c>
      <c r="I93" s="620"/>
      <c r="J93" s="693">
        <f>H93/DAY(B2)</f>
        <v>136.82142857142858</v>
      </c>
      <c r="K93" s="424"/>
      <c r="L93" s="421"/>
      <c r="N93" s="1268">
        <f>F93-'[3]1'!E93</f>
        <v>3647</v>
      </c>
    </row>
    <row r="94" spans="1:17">
      <c r="A94" s="1460" t="s">
        <v>219</v>
      </c>
      <c r="B94" s="1461"/>
      <c r="C94" s="1462"/>
      <c r="D94" s="663"/>
      <c r="E94" s="915">
        <f>'[3]27'!F94</f>
        <v>0</v>
      </c>
      <c r="F94" s="894"/>
      <c r="G94" s="613">
        <f>G92+G93</f>
        <v>246</v>
      </c>
      <c r="H94" s="600">
        <f>G94+'[3]27'!H94</f>
        <v>5698</v>
      </c>
      <c r="I94" s="620"/>
      <c r="J94" s="693">
        <f>H94/DAY(B2)</f>
        <v>203.5</v>
      </c>
      <c r="K94" s="424"/>
      <c r="L94" s="421"/>
      <c r="N94" s="1268">
        <f>F94-'[3]1'!E94</f>
        <v>0</v>
      </c>
    </row>
    <row r="95" spans="1:17" ht="27.75">
      <c r="A95" s="1432" t="s">
        <v>220</v>
      </c>
      <c r="B95" s="1433"/>
      <c r="C95" s="1434"/>
      <c r="D95" s="663" t="s">
        <v>155</v>
      </c>
      <c r="E95" s="915">
        <f>'[3]27'!F95</f>
        <v>401333</v>
      </c>
      <c r="F95" s="894">
        <v>401419</v>
      </c>
      <c r="G95" s="613">
        <f t="shared" ref="G95:G100" si="10">F95-E95</f>
        <v>86</v>
      </c>
      <c r="H95" s="600">
        <f>G95+'[3]27'!H95</f>
        <v>1572</v>
      </c>
      <c r="I95" s="620"/>
      <c r="J95" s="693">
        <f>H95/DAY(B2)</f>
        <v>56.142857142857146</v>
      </c>
      <c r="K95" s="424"/>
      <c r="L95" s="421"/>
      <c r="N95" s="1268">
        <f>F95-'[3]1'!E95</f>
        <v>1533</v>
      </c>
    </row>
    <row r="96" spans="1:17" ht="27.75">
      <c r="A96" s="1371" t="s">
        <v>221</v>
      </c>
      <c r="B96" s="1372"/>
      <c r="C96" s="1372"/>
      <c r="D96" s="663" t="s">
        <v>155</v>
      </c>
      <c r="E96" s="915">
        <f>'[3]27'!F96</f>
        <v>99017</v>
      </c>
      <c r="F96" s="894">
        <v>99047</v>
      </c>
      <c r="G96" s="613">
        <f t="shared" si="10"/>
        <v>30</v>
      </c>
      <c r="H96" s="600">
        <f>G96+'[3]27'!H96</f>
        <v>1038</v>
      </c>
      <c r="I96" s="620"/>
      <c r="J96" s="693">
        <f>H96/DAY(B2)</f>
        <v>37.071428571428569</v>
      </c>
      <c r="K96" s="526"/>
      <c r="L96" s="421"/>
      <c r="N96" s="1268">
        <f>F96-'[3]1'!E96</f>
        <v>996</v>
      </c>
    </row>
    <row r="97" spans="1:17" ht="27.75">
      <c r="A97" s="1371" t="s">
        <v>222</v>
      </c>
      <c r="B97" s="1372"/>
      <c r="C97" s="1372"/>
      <c r="D97" s="663" t="s">
        <v>155</v>
      </c>
      <c r="E97" s="915">
        <f>'[3]27'!F97</f>
        <v>94156</v>
      </c>
      <c r="F97" s="894">
        <v>94187</v>
      </c>
      <c r="G97" s="613">
        <f t="shared" si="10"/>
        <v>31</v>
      </c>
      <c r="H97" s="600">
        <f>G97+'[3]27'!H97</f>
        <v>636</v>
      </c>
      <c r="I97" s="620"/>
      <c r="J97" s="693">
        <f>H97/DAY(B2)</f>
        <v>22.714285714285715</v>
      </c>
      <c r="K97" s="531"/>
      <c r="L97" s="421"/>
      <c r="N97" s="1268">
        <f>F97-'[3]1'!E97</f>
        <v>622</v>
      </c>
    </row>
    <row r="98" spans="1:17" ht="27.75">
      <c r="A98" s="1371" t="s">
        <v>223</v>
      </c>
      <c r="B98" s="1372"/>
      <c r="C98" s="1372"/>
      <c r="D98" s="663" t="s">
        <v>155</v>
      </c>
      <c r="E98" s="915">
        <f>'[3]27'!F98</f>
        <v>141983</v>
      </c>
      <c r="F98" s="894">
        <v>142038</v>
      </c>
      <c r="G98" s="613">
        <f t="shared" si="10"/>
        <v>55</v>
      </c>
      <c r="H98" s="600">
        <f>G98+'[3]27'!H98</f>
        <v>1133</v>
      </c>
      <c r="I98" s="620"/>
      <c r="J98" s="693">
        <f>H98/DAY(B2)</f>
        <v>40.464285714285715</v>
      </c>
      <c r="K98" s="424"/>
      <c r="L98" s="421"/>
      <c r="N98" s="1268">
        <f>F98-'[3]1'!E98</f>
        <v>1110</v>
      </c>
    </row>
    <row r="99" spans="1:17" ht="27.75">
      <c r="A99" s="1371" t="s">
        <v>224</v>
      </c>
      <c r="B99" s="1372"/>
      <c r="C99" s="1372"/>
      <c r="D99" s="663" t="s">
        <v>155</v>
      </c>
      <c r="E99" s="915">
        <f>'[3]27'!F99</f>
        <v>4924</v>
      </c>
      <c r="F99" s="894">
        <v>4939</v>
      </c>
      <c r="G99" s="613">
        <f t="shared" si="10"/>
        <v>15</v>
      </c>
      <c r="H99" s="600">
        <f>G99+'[3]27'!H99</f>
        <v>231</v>
      </c>
      <c r="I99" s="620"/>
      <c r="J99" s="693">
        <f>H99/DAY(B2)</f>
        <v>8.25</v>
      </c>
      <c r="K99" s="424"/>
      <c r="L99" s="421"/>
      <c r="N99" s="1268">
        <f>F99-'[3]1'!E99</f>
        <v>223</v>
      </c>
    </row>
    <row r="100" spans="1:17" ht="27.75">
      <c r="A100" s="1371" t="s">
        <v>225</v>
      </c>
      <c r="B100" s="1372"/>
      <c r="C100" s="1372"/>
      <c r="D100" s="663" t="s">
        <v>155</v>
      </c>
      <c r="E100" s="915">
        <f>'[3]27'!F100</f>
        <v>3674</v>
      </c>
      <c r="F100" s="894">
        <v>3674</v>
      </c>
      <c r="G100" s="613">
        <f t="shared" si="10"/>
        <v>0</v>
      </c>
      <c r="H100" s="600">
        <f>G100+'[3]27'!H100</f>
        <v>0</v>
      </c>
      <c r="I100" s="620"/>
      <c r="J100" s="693">
        <f>H100/DAY(B2)</f>
        <v>0</v>
      </c>
      <c r="K100" s="424"/>
      <c r="L100" s="421"/>
      <c r="N100" s="1268">
        <f>F100-'[3]1'!E100</f>
        <v>0</v>
      </c>
    </row>
    <row r="101" spans="1:17">
      <c r="A101" s="1460" t="s">
        <v>227</v>
      </c>
      <c r="B101" s="1461"/>
      <c r="C101" s="1462"/>
      <c r="D101" s="664"/>
      <c r="E101" s="626"/>
      <c r="F101" s="626"/>
      <c r="G101" s="665">
        <f>SUM(G95:G100)</f>
        <v>217</v>
      </c>
      <c r="H101" s="600">
        <f>G101+'[3]27'!H101</f>
        <v>4610</v>
      </c>
      <c r="I101" s="666"/>
      <c r="J101" s="693">
        <f>H101/DAY(B2)</f>
        <v>164.64285714285714</v>
      </c>
      <c r="K101" s="424"/>
      <c r="L101" s="421"/>
      <c r="N101" s="1268">
        <f>F101-'[3]1'!E101</f>
        <v>0</v>
      </c>
    </row>
    <row r="102" spans="1:17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1268">
        <f>F102-'[3]1'!E102</f>
        <v>0</v>
      </c>
      <c r="O102" s="928"/>
      <c r="P102" s="928"/>
      <c r="Q102" s="928"/>
    </row>
    <row r="103" spans="1:17" s="544" customFormat="1" ht="27">
      <c r="A103" s="1463" t="s">
        <v>229</v>
      </c>
      <c r="B103" s="1464"/>
      <c r="C103" s="714"/>
      <c r="D103" s="763"/>
      <c r="E103" s="673"/>
      <c r="F103" s="908"/>
      <c r="G103" s="672"/>
      <c r="H103" s="673"/>
      <c r="I103" s="672"/>
      <c r="J103" s="699"/>
      <c r="N103" s="1268">
        <f>F103-'[3]1'!E103</f>
        <v>0</v>
      </c>
      <c r="O103" s="928"/>
      <c r="P103" s="928"/>
      <c r="Q103" s="928"/>
    </row>
    <row r="104" spans="1:17" s="544" customFormat="1" ht="27">
      <c r="A104" s="1421" t="s">
        <v>230</v>
      </c>
      <c r="B104" s="1422"/>
      <c r="C104" s="1376"/>
      <c r="D104" s="763" t="s">
        <v>155</v>
      </c>
      <c r="E104" s="673">
        <f>'[3]27'!F104</f>
        <v>7010</v>
      </c>
      <c r="F104" s="908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2.1428571428571428</v>
      </c>
      <c r="N104" s="1268">
        <f>F104-'[3]1'!E104</f>
        <v>0</v>
      </c>
      <c r="O104" s="928"/>
      <c r="P104" s="928"/>
      <c r="Q104" s="928"/>
    </row>
    <row r="105" spans="1:17" s="544" customFormat="1" ht="27">
      <c r="A105" s="1421" t="s">
        <v>77</v>
      </c>
      <c r="B105" s="1422"/>
      <c r="C105" s="1376"/>
      <c r="D105" s="763" t="s">
        <v>155</v>
      </c>
      <c r="E105" s="673">
        <f>'[3]27'!F105</f>
        <v>34645</v>
      </c>
      <c r="F105" s="797">
        <v>34660</v>
      </c>
      <c r="G105" s="672">
        <f t="shared" ref="G105" si="11">F105-E105</f>
        <v>15</v>
      </c>
      <c r="H105" s="673">
        <f>SUM(G105+'[3]1'!G77)</f>
        <v>85</v>
      </c>
      <c r="I105" s="672"/>
      <c r="J105" s="699">
        <f>H105/DAY(B2)</f>
        <v>3.0357142857142856</v>
      </c>
      <c r="N105" s="1268">
        <f>F105-'[3]1'!E105</f>
        <v>145</v>
      </c>
      <c r="O105" s="928"/>
      <c r="P105" s="928"/>
      <c r="Q105" s="928"/>
    </row>
    <row r="106" spans="1:17" s="544" customFormat="1" ht="27">
      <c r="A106" s="1421" t="s">
        <v>78</v>
      </c>
      <c r="B106" s="1465"/>
      <c r="C106" s="1422"/>
      <c r="D106" s="763" t="s">
        <v>155</v>
      </c>
      <c r="E106" s="673">
        <f>'[3]27'!F106</f>
        <v>18725</v>
      </c>
      <c r="F106" s="797">
        <v>18730</v>
      </c>
      <c r="G106" s="672">
        <f>F106-E106</f>
        <v>5</v>
      </c>
      <c r="H106" s="673">
        <f>SUM(G106+'[3]1'!G78)</f>
        <v>334</v>
      </c>
      <c r="I106" s="672"/>
      <c r="J106" s="699">
        <f>H106/DAY(B2)</f>
        <v>11.928571428571429</v>
      </c>
      <c r="N106" s="1268">
        <f>F106-'[3]1'!E106</f>
        <v>104</v>
      </c>
      <c r="O106" s="928"/>
      <c r="P106" s="928"/>
      <c r="Q106" s="928"/>
    </row>
    <row r="107" spans="1:17" s="544" customFormat="1" ht="27">
      <c r="A107" s="1423" t="s">
        <v>213</v>
      </c>
      <c r="B107" s="1424"/>
      <c r="C107" s="1376"/>
      <c r="D107" s="763"/>
      <c r="E107" s="673">
        <f>'[3]27'!F107</f>
        <v>0</v>
      </c>
      <c r="F107" s="797"/>
      <c r="G107" s="672">
        <f>SUM(G104:G106)</f>
        <v>20</v>
      </c>
      <c r="H107" s="673">
        <f>SUM(G107+'[3]1'!G79)</f>
        <v>180</v>
      </c>
      <c r="I107" s="672"/>
      <c r="J107" s="699">
        <f>H107/DAY(B2)</f>
        <v>6.4285714285714288</v>
      </c>
      <c r="N107" s="1268">
        <f>F107-'[3]1'!E107</f>
        <v>0</v>
      </c>
      <c r="O107" s="928"/>
      <c r="P107" s="928"/>
      <c r="Q107" s="928"/>
    </row>
    <row r="108" spans="1:17" s="544" customFormat="1" ht="27">
      <c r="A108" s="1427" t="s">
        <v>79</v>
      </c>
      <c r="B108" s="1428"/>
      <c r="C108" s="1376"/>
      <c r="D108" s="763" t="s">
        <v>155</v>
      </c>
      <c r="E108" s="673">
        <f>'[3]27'!F108</f>
        <v>0</v>
      </c>
      <c r="F108" s="797"/>
      <c r="G108" s="672"/>
      <c r="H108" s="673"/>
      <c r="I108" s="672"/>
      <c r="J108" s="699"/>
      <c r="N108" s="1268">
        <f>F108-'[3]1'!E108</f>
        <v>0</v>
      </c>
      <c r="O108" s="928"/>
      <c r="P108" s="928"/>
      <c r="Q108" s="928"/>
    </row>
    <row r="109" spans="1:17" s="544" customFormat="1" ht="27">
      <c r="A109" s="1421" t="s">
        <v>231</v>
      </c>
      <c r="B109" s="1422"/>
      <c r="C109" s="1376"/>
      <c r="D109" s="763" t="s">
        <v>155</v>
      </c>
      <c r="E109" s="673">
        <f>'[3]27'!F109</f>
        <v>51128</v>
      </c>
      <c r="F109" s="797">
        <v>51168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4.3571428571428568</v>
      </c>
      <c r="N109" s="1268">
        <f>F109-'[3]1'!E109</f>
        <v>1542</v>
      </c>
      <c r="O109" s="928"/>
      <c r="P109" s="928"/>
      <c r="Q109" s="928"/>
    </row>
    <row r="110" spans="1:17" s="544" customFormat="1" ht="27">
      <c r="A110" s="1421" t="s">
        <v>232</v>
      </c>
      <c r="B110" s="1422"/>
      <c r="C110" s="1376"/>
      <c r="D110" s="763" t="s">
        <v>155</v>
      </c>
      <c r="E110" s="673">
        <f>'[3]27'!F110</f>
        <v>25175</v>
      </c>
      <c r="F110" s="797">
        <v>25222</v>
      </c>
      <c r="G110" s="672">
        <f t="shared" ref="G110:G111" si="12">F110-E110</f>
        <v>47</v>
      </c>
      <c r="H110" s="673">
        <f>SUM(G110+'[3]1'!G82)</f>
        <v>72.740000000005239</v>
      </c>
      <c r="I110" s="672"/>
      <c r="J110" s="699">
        <f>H110/DAY(B2)</f>
        <v>2.5978571428573298</v>
      </c>
      <c r="N110" s="1268">
        <f>F110-'[3]1'!E110</f>
        <v>1116</v>
      </c>
      <c r="O110" s="928"/>
      <c r="P110" s="928"/>
      <c r="Q110" s="928"/>
    </row>
    <row r="111" spans="1:17" s="544" customFormat="1" ht="27">
      <c r="A111" s="1421" t="s">
        <v>233</v>
      </c>
      <c r="B111" s="1422"/>
      <c r="C111" s="1376"/>
      <c r="D111" s="763" t="s">
        <v>155</v>
      </c>
      <c r="E111" s="673">
        <f>'[3]27'!F111</f>
        <v>3354</v>
      </c>
      <c r="F111" s="797">
        <v>3370</v>
      </c>
      <c r="G111" s="674">
        <f t="shared" si="12"/>
        <v>16</v>
      </c>
      <c r="H111" s="673">
        <f>SUM(G111+'[3]1'!G83)</f>
        <v>462</v>
      </c>
      <c r="I111" s="672"/>
      <c r="J111" s="699">
        <f>H111/DAY(B2)</f>
        <v>16.5</v>
      </c>
      <c r="N111" s="1268">
        <f>F111-'[3]1'!E111</f>
        <v>169</v>
      </c>
      <c r="O111" s="928"/>
      <c r="P111" s="928"/>
      <c r="Q111" s="928"/>
    </row>
    <row r="112" spans="1:17" s="544" customFormat="1" ht="27">
      <c r="A112" s="1423" t="s">
        <v>121</v>
      </c>
      <c r="B112" s="1424"/>
      <c r="C112" s="1376"/>
      <c r="D112" s="763"/>
      <c r="E112" s="673">
        <f>'[3]27'!F112</f>
        <v>0</v>
      </c>
      <c r="F112" s="797"/>
      <c r="G112" s="672">
        <f>SUM(G109:G111)</f>
        <v>103</v>
      </c>
      <c r="H112" s="673">
        <f>SUM(G112+'[3]1'!G84)</f>
        <v>699</v>
      </c>
      <c r="I112" s="672"/>
      <c r="J112" s="699">
        <f>H112/DAY(B2)</f>
        <v>24.964285714285715</v>
      </c>
      <c r="N112" s="1268">
        <f>F112-'[3]1'!E112</f>
        <v>0</v>
      </c>
      <c r="O112" s="928"/>
      <c r="P112" s="928"/>
      <c r="Q112" s="928"/>
    </row>
    <row r="113" spans="1:17" s="544" customFormat="1" ht="27">
      <c r="A113" s="1427" t="s">
        <v>234</v>
      </c>
      <c r="B113" s="1428"/>
      <c r="C113" s="1376"/>
      <c r="D113" s="763"/>
      <c r="E113" s="673">
        <f>'[3]27'!F113</f>
        <v>0</v>
      </c>
      <c r="F113" s="797"/>
      <c r="G113" s="672"/>
      <c r="H113" s="673"/>
      <c r="I113" s="672"/>
      <c r="J113" s="699">
        <f>H113/DAY(B2)</f>
        <v>0</v>
      </c>
      <c r="N113" s="1268">
        <f>F113-'[3]1'!E113</f>
        <v>0</v>
      </c>
      <c r="O113" s="928"/>
      <c r="P113" s="928"/>
      <c r="Q113" s="928"/>
    </row>
    <row r="114" spans="1:17" s="544" customFormat="1" ht="27">
      <c r="A114" s="1421" t="s">
        <v>235</v>
      </c>
      <c r="B114" s="1422"/>
      <c r="C114" s="715"/>
      <c r="D114" s="763" t="s">
        <v>155</v>
      </c>
      <c r="E114" s="673">
        <f>'[3]27'!F114</f>
        <v>8548</v>
      </c>
      <c r="F114" s="797">
        <v>8567</v>
      </c>
      <c r="G114" s="674">
        <f>F114-E114</f>
        <v>19</v>
      </c>
      <c r="H114" s="673">
        <f>SUM(G114+'[3]1'!G91)</f>
        <v>19</v>
      </c>
      <c r="I114" s="672"/>
      <c r="J114" s="699">
        <f>H114/DAY(B2)</f>
        <v>0.6785714285714286</v>
      </c>
      <c r="N114" s="1268">
        <f>F114-'[3]1'!E114</f>
        <v>285</v>
      </c>
      <c r="O114" s="928"/>
      <c r="P114" s="928"/>
      <c r="Q114" s="928"/>
    </row>
    <row r="115" spans="1:17" s="544" customFormat="1" ht="27">
      <c r="A115" s="1421" t="s">
        <v>236</v>
      </c>
      <c r="B115" s="1422"/>
      <c r="C115" s="715"/>
      <c r="D115" s="763" t="s">
        <v>155</v>
      </c>
      <c r="E115" s="673">
        <f>'[3]27'!F115</f>
        <v>6780</v>
      </c>
      <c r="F115" s="797">
        <v>6797</v>
      </c>
      <c r="G115" s="674">
        <f t="shared" ref="G115:G116" si="13">F115-E115</f>
        <v>17</v>
      </c>
      <c r="H115" s="673">
        <f>SUM(G115+'[3]1'!G92)</f>
        <v>122</v>
      </c>
      <c r="I115" s="672"/>
      <c r="J115" s="699">
        <f>H115/DAY(B2)</f>
        <v>4.3571428571428568</v>
      </c>
      <c r="N115" s="1268">
        <f>F115-'[3]1'!E115</f>
        <v>253</v>
      </c>
      <c r="O115" s="928"/>
      <c r="P115" s="928"/>
      <c r="Q115" s="928"/>
    </row>
    <row r="116" spans="1:17" s="544" customFormat="1" ht="27">
      <c r="A116" s="1421" t="s">
        <v>237</v>
      </c>
      <c r="B116" s="1422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6.6071428571428568</v>
      </c>
      <c r="N116" s="1268">
        <f>F116-'[3]1'!E116</f>
        <v>0</v>
      </c>
      <c r="O116" s="928"/>
      <c r="P116" s="928"/>
      <c r="Q116" s="928"/>
    </row>
    <row r="117" spans="1:17" s="557" customFormat="1" ht="27">
      <c r="A117" s="1423" t="s">
        <v>213</v>
      </c>
      <c r="B117" s="1424"/>
      <c r="C117" s="715"/>
      <c r="D117" s="764"/>
      <c r="E117" s="676"/>
      <c r="F117" s="797"/>
      <c r="G117" s="674">
        <f>SUM(G114:G116)</f>
        <v>36</v>
      </c>
      <c r="H117" s="673">
        <f>SUM(G117+'[3]1'!G95)</f>
        <v>84</v>
      </c>
      <c r="I117" s="674"/>
      <c r="J117" s="699">
        <f>H117/DAY(B2)</f>
        <v>3</v>
      </c>
      <c r="N117" s="1268">
        <f>F117-'[3]1'!E117</f>
        <v>0</v>
      </c>
      <c r="O117" s="928"/>
      <c r="P117" s="928"/>
      <c r="Q117" s="929"/>
    </row>
    <row r="118" spans="1:17" s="558" customFormat="1" ht="27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159</v>
      </c>
      <c r="G118" s="676">
        <f>SUM(G19+G92)</f>
        <v>159</v>
      </c>
      <c r="H118" s="673">
        <f>SUM(G118+'[3]1'!G96)</f>
        <v>208</v>
      </c>
      <c r="I118" s="675"/>
      <c r="J118" s="700">
        <f>H118/DAY(B2)</f>
        <v>7.4285714285714288</v>
      </c>
      <c r="N118" s="1268">
        <f>F118-'[3]1'!E118</f>
        <v>-356846</v>
      </c>
      <c r="O118" s="928"/>
      <c r="P118" s="928"/>
      <c r="Q118" s="929"/>
    </row>
    <row r="119" spans="1:17" s="558" customFormat="1" ht="27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162</v>
      </c>
      <c r="G119" s="676">
        <f>SUM(G95,G96,G97,G99,G100)</f>
        <v>162</v>
      </c>
      <c r="H119" s="673">
        <f>SUM(G119+'[3]1'!G98)</f>
        <v>194</v>
      </c>
      <c r="I119" s="675"/>
      <c r="J119" s="700">
        <f>H119/DAY(B2)</f>
        <v>6.9285714285714288</v>
      </c>
      <c r="N119" s="1268">
        <f>F119-'[3]1'!E119</f>
        <v>-599858</v>
      </c>
      <c r="O119" s="928"/>
      <c r="P119" s="928"/>
      <c r="Q119" s="929"/>
    </row>
    <row r="120" spans="1:17" s="558" customFormat="1" ht="27">
      <c r="A120" s="1417" t="s">
        <v>240</v>
      </c>
      <c r="B120" s="1418"/>
      <c r="C120" s="1379"/>
      <c r="D120" s="765" t="s">
        <v>155</v>
      </c>
      <c r="E120" s="676"/>
      <c r="F120" s="797">
        <f>SUM(G112)</f>
        <v>103</v>
      </c>
      <c r="G120" s="674">
        <f>SUM(G112)</f>
        <v>103</v>
      </c>
      <c r="H120" s="673">
        <f>SUM(G120+'[3]1'!G100)</f>
        <v>103</v>
      </c>
      <c r="I120" s="675"/>
      <c r="J120" s="700">
        <f>H120/DAY(B2)</f>
        <v>3.6785714285714284</v>
      </c>
      <c r="N120" s="1268">
        <f>F120-'[3]1'!E120</f>
        <v>103</v>
      </c>
      <c r="O120" s="928"/>
      <c r="P120" s="928"/>
      <c r="Q120" s="929"/>
    </row>
    <row r="121" spans="1:17" s="544" customFormat="1" ht="27">
      <c r="A121" s="1419"/>
      <c r="B121" s="1420"/>
      <c r="C121" s="1380"/>
      <c r="D121" s="701"/>
      <c r="E121" s="924"/>
      <c r="F121" s="909" t="s">
        <v>226</v>
      </c>
      <c r="G121" s="701"/>
      <c r="H121" s="702"/>
      <c r="I121" s="701"/>
      <c r="J121" s="703"/>
      <c r="N121" s="1268" t="e">
        <f>F121-'[3]1'!E121</f>
        <v>#VALUE!</v>
      </c>
      <c r="O121" s="928"/>
      <c r="P121" s="928"/>
      <c r="Q121" s="928"/>
    </row>
    <row r="122" spans="1:17">
      <c r="A122" s="1457" t="s">
        <v>241</v>
      </c>
      <c r="B122" s="1458"/>
      <c r="C122" s="1459"/>
      <c r="D122" s="612"/>
      <c r="E122" s="895"/>
      <c r="F122" s="895"/>
      <c r="G122" s="623"/>
      <c r="H122" s="623"/>
      <c r="I122" s="623"/>
      <c r="J122" s="704"/>
      <c r="K122" s="424"/>
      <c r="L122" s="421"/>
      <c r="N122" s="1268">
        <f>F122-'[3]1'!E122</f>
        <v>0</v>
      </c>
    </row>
    <row r="123" spans="1:17" ht="27.75">
      <c r="A123" s="1371" t="s">
        <v>242</v>
      </c>
      <c r="B123" s="1372"/>
      <c r="C123" s="1372"/>
      <c r="D123" s="663" t="s">
        <v>152</v>
      </c>
      <c r="E123" s="894">
        <f>'[3]27'!F123</f>
        <v>788223.31</v>
      </c>
      <c r="F123" s="894">
        <v>788426.071</v>
      </c>
      <c r="G123" s="613">
        <f t="shared" ref="G123:G127" si="14">F123-E123</f>
        <v>202.7609999999404</v>
      </c>
      <c r="H123" s="600">
        <f>G123+'[3]27'!H123</f>
        <v>5501.1849999999395</v>
      </c>
      <c r="I123" s="666"/>
      <c r="J123" s="693">
        <f>H123/DAY(B2)</f>
        <v>196.47089285714068</v>
      </c>
      <c r="K123" s="424"/>
      <c r="L123" s="421"/>
      <c r="N123" s="1268">
        <f>F123-'[3]1'!E123</f>
        <v>5501.1849999999395</v>
      </c>
    </row>
    <row r="124" spans="1:17" ht="27.75">
      <c r="A124" s="1371" t="s">
        <v>243</v>
      </c>
      <c r="B124" s="1372"/>
      <c r="C124" s="1372"/>
      <c r="D124" s="663" t="s">
        <v>152</v>
      </c>
      <c r="E124" s="910">
        <f>'[3]27'!F124</f>
        <v>73581.899999999994</v>
      </c>
      <c r="F124" s="910">
        <v>73582</v>
      </c>
      <c r="G124" s="613">
        <f t="shared" si="14"/>
        <v>0.10000000000582077</v>
      </c>
      <c r="H124" s="600">
        <f>G124+'[3]27'!H124</f>
        <v>1</v>
      </c>
      <c r="I124" s="666"/>
      <c r="J124" s="693">
        <f>H124/DAY(B2)</f>
        <v>3.5714285714285712E-2</v>
      </c>
      <c r="K124" s="424"/>
      <c r="L124" s="421"/>
      <c r="N124" s="1268">
        <f>F124-'[3]1'!E124</f>
        <v>1</v>
      </c>
    </row>
    <row r="125" spans="1:17" ht="27.75">
      <c r="A125" s="1429" t="s">
        <v>244</v>
      </c>
      <c r="B125" s="1430"/>
      <c r="C125" s="1431"/>
      <c r="D125" s="663" t="s">
        <v>152</v>
      </c>
      <c r="E125" s="894">
        <f>'[3]27'!F125</f>
        <v>132842.51</v>
      </c>
      <c r="F125" s="894">
        <v>132932.31</v>
      </c>
      <c r="G125" s="613">
        <f t="shared" si="14"/>
        <v>89.799999999988358</v>
      </c>
      <c r="H125" s="600">
        <f>G125+'[3]27'!H125</f>
        <v>1826.0899999999965</v>
      </c>
      <c r="I125" s="666"/>
      <c r="J125" s="693">
        <f>H125/DAY(B2)</f>
        <v>65.217499999999873</v>
      </c>
      <c r="K125" s="424"/>
      <c r="L125" s="421"/>
      <c r="N125" s="1268">
        <f>F125-'[3]1'!E125</f>
        <v>1826.0899999999965</v>
      </c>
    </row>
    <row r="126" spans="1:17" ht="27.75">
      <c r="A126" s="750" t="s">
        <v>245</v>
      </c>
      <c r="B126" s="1372"/>
      <c r="C126" s="1372"/>
      <c r="D126" s="663" t="s">
        <v>152</v>
      </c>
      <c r="E126" s="897">
        <f>'[3]27'!F126</f>
        <v>56252.1</v>
      </c>
      <c r="F126" s="897">
        <v>56277.2</v>
      </c>
      <c r="G126" s="613">
        <f t="shared" si="14"/>
        <v>25.099999999998545</v>
      </c>
      <c r="H126" s="600">
        <f>G126+'[3]27'!H126</f>
        <v>691.39999999999418</v>
      </c>
      <c r="I126" s="666"/>
      <c r="J126" s="693">
        <f>H126/DAY(B2)</f>
        <v>24.692857142856933</v>
      </c>
      <c r="K126" s="424"/>
      <c r="L126" s="421"/>
      <c r="N126" s="1268">
        <f>F126-'[3]1'!E126</f>
        <v>691.39999999999418</v>
      </c>
    </row>
    <row r="127" spans="1:17" ht="27.75">
      <c r="A127" s="750" t="s">
        <v>246</v>
      </c>
      <c r="B127" s="1372"/>
      <c r="C127" s="1372"/>
      <c r="D127" s="663" t="s">
        <v>152</v>
      </c>
      <c r="E127" s="910">
        <f>'[3]27'!F127</f>
        <v>8640.1</v>
      </c>
      <c r="F127" s="910">
        <v>8640.1</v>
      </c>
      <c r="G127" s="613">
        <f t="shared" si="14"/>
        <v>0</v>
      </c>
      <c r="H127" s="600">
        <f>G127+'[3]27'!H127</f>
        <v>1.1000000000003638</v>
      </c>
      <c r="I127" s="620"/>
      <c r="J127" s="693">
        <f>H127/DAY(B2)</f>
        <v>3.9285714285727281E-2</v>
      </c>
      <c r="K127" s="424"/>
      <c r="L127" s="421"/>
      <c r="N127" s="1268">
        <f>F127-'[3]1'!E127</f>
        <v>1.1000000000003638</v>
      </c>
    </row>
    <row r="128" spans="1:17" s="292" customFormat="1" ht="27">
      <c r="A128" s="750" t="s">
        <v>247</v>
      </c>
      <c r="B128" s="1372"/>
      <c r="C128" s="1372"/>
      <c r="D128" s="663"/>
      <c r="E128" s="894"/>
      <c r="F128" s="894"/>
      <c r="G128" s="613">
        <f>G15-SUM(G123:G127)</f>
        <v>487.95600000001286</v>
      </c>
      <c r="H128" s="600"/>
      <c r="I128" s="620"/>
      <c r="J128" s="693"/>
      <c r="K128" s="402"/>
      <c r="L128" s="304"/>
      <c r="N128" s="1268">
        <f>F128-'[3]1'!E128</f>
        <v>0</v>
      </c>
      <c r="O128" s="928"/>
      <c r="P128" s="928"/>
      <c r="Q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71" t="s">
        <v>249</v>
      </c>
      <c r="B130" s="1372"/>
      <c r="C130" s="1372"/>
      <c r="D130" s="663" t="s">
        <v>250</v>
      </c>
      <c r="E130" s="915">
        <f>'[3]27'!F130</f>
        <v>0</v>
      </c>
      <c r="F130" s="894">
        <v>0</v>
      </c>
      <c r="G130" s="613">
        <f t="shared" ref="G130:G140" si="15">F130-E130</f>
        <v>0</v>
      </c>
      <c r="H130" s="600">
        <f>G130+'[3]27'!H130</f>
        <v>0</v>
      </c>
      <c r="I130" s="620"/>
      <c r="J130" s="693">
        <f>H130/DAY(B2)</f>
        <v>0</v>
      </c>
    </row>
    <row r="131" spans="1:12" ht="27.75">
      <c r="A131" s="1371" t="s">
        <v>251</v>
      </c>
      <c r="B131" s="1372"/>
      <c r="C131" s="1372"/>
      <c r="D131" s="663" t="s">
        <v>250</v>
      </c>
      <c r="E131" s="915">
        <f>'[3]27'!F131</f>
        <v>0</v>
      </c>
      <c r="F131" s="894">
        <v>0</v>
      </c>
      <c r="G131" s="613">
        <f t="shared" si="15"/>
        <v>0</v>
      </c>
      <c r="H131" s="600">
        <f>G131+'[3]27'!H131</f>
        <v>0</v>
      </c>
      <c r="I131" s="620"/>
      <c r="J131" s="693">
        <f>H131/DAY(B2)</f>
        <v>0</v>
      </c>
    </row>
    <row r="132" spans="1:12" ht="27.75">
      <c r="A132" s="1371" t="s">
        <v>252</v>
      </c>
      <c r="B132" s="1372"/>
      <c r="C132" s="1372"/>
      <c r="D132" s="663" t="s">
        <v>250</v>
      </c>
      <c r="E132" s="926">
        <f>'[3]27'!F132</f>
        <v>38877</v>
      </c>
      <c r="F132" s="910">
        <v>38877</v>
      </c>
      <c r="G132" s="613">
        <f t="shared" si="15"/>
        <v>0</v>
      </c>
      <c r="H132" s="600">
        <f>G132+'[3]27'!H132</f>
        <v>0</v>
      </c>
      <c r="I132" s="620"/>
      <c r="J132" s="693">
        <f>H132/DAY(B2)</f>
        <v>0</v>
      </c>
    </row>
    <row r="133" spans="1:12" ht="27.75">
      <c r="A133" s="1371" t="s">
        <v>253</v>
      </c>
      <c r="B133" s="1372"/>
      <c r="C133" s="1372"/>
      <c r="D133" s="663" t="s">
        <v>250</v>
      </c>
      <c r="E133" s="922">
        <f>'[3]27'!F133</f>
        <v>34948</v>
      </c>
      <c r="F133" s="897">
        <v>34948</v>
      </c>
      <c r="G133" s="613">
        <f t="shared" si="15"/>
        <v>0</v>
      </c>
      <c r="H133" s="600">
        <f>G133+'[3]27'!H133</f>
        <v>0</v>
      </c>
      <c r="I133" s="620">
        <f>G130+G131+G132+G133</f>
        <v>0</v>
      </c>
      <c r="J133" s="693">
        <f>H133/DAY(B2)</f>
        <v>0</v>
      </c>
    </row>
    <row r="134" spans="1:12" ht="27.75">
      <c r="A134" s="1371" t="s">
        <v>254</v>
      </c>
      <c r="B134" s="1372"/>
      <c r="C134" s="1372"/>
      <c r="D134" s="663" t="s">
        <v>250</v>
      </c>
      <c r="E134" s="926">
        <f>'[3]27'!F134</f>
        <v>39735</v>
      </c>
      <c r="F134" s="910">
        <v>39735</v>
      </c>
      <c r="G134" s="613">
        <f t="shared" si="15"/>
        <v>0</v>
      </c>
      <c r="H134" s="600">
        <f>G134+'[3]27'!H134</f>
        <v>24</v>
      </c>
      <c r="I134" s="620"/>
      <c r="J134" s="693">
        <f>H134/DAY(B2)</f>
        <v>0.8571428571428571</v>
      </c>
    </row>
    <row r="135" spans="1:12" ht="27.75">
      <c r="A135" s="1371" t="s">
        <v>255</v>
      </c>
      <c r="B135" s="1372"/>
      <c r="C135" s="1372"/>
      <c r="D135" s="663" t="s">
        <v>250</v>
      </c>
      <c r="E135" s="926">
        <f>'[3]27'!F135</f>
        <v>31644.11</v>
      </c>
      <c r="F135" s="910">
        <v>31668.22</v>
      </c>
      <c r="G135" s="613">
        <f t="shared" si="15"/>
        <v>24.110000000000582</v>
      </c>
      <c r="H135" s="600">
        <f>G135+'[3]27'!H135</f>
        <v>133.19000000000233</v>
      </c>
      <c r="I135" s="620"/>
      <c r="J135" s="693">
        <f>H135/DAY(B2)</f>
        <v>4.7567857142857974</v>
      </c>
    </row>
    <row r="136" spans="1:12" ht="27.75">
      <c r="A136" s="1371" t="s">
        <v>256</v>
      </c>
      <c r="B136" s="1372"/>
      <c r="C136" s="1372"/>
      <c r="D136" s="663" t="s">
        <v>250</v>
      </c>
      <c r="E136" s="925">
        <f>'[3]27'!F136</f>
        <v>21651.73</v>
      </c>
      <c r="F136" s="901">
        <v>21660.74</v>
      </c>
      <c r="G136" s="613">
        <f t="shared" si="15"/>
        <v>9.0100000000020373</v>
      </c>
      <c r="H136" s="600">
        <f>G136+'[3]27'!H136</f>
        <v>62.710000000002765</v>
      </c>
      <c r="I136" s="620">
        <f>G134+G135+G136</f>
        <v>33.120000000002619</v>
      </c>
      <c r="J136" s="693">
        <f>H136/DAY(B2)</f>
        <v>2.2396428571429561</v>
      </c>
    </row>
    <row r="137" spans="1:12" ht="27.75">
      <c r="A137" s="1371" t="s">
        <v>257</v>
      </c>
      <c r="B137" s="1372"/>
      <c r="C137" s="1372"/>
      <c r="D137" s="663" t="s">
        <v>250</v>
      </c>
      <c r="E137" s="925">
        <f>'[3]27'!F137</f>
        <v>24932.51</v>
      </c>
      <c r="F137" s="901">
        <v>24932.51</v>
      </c>
      <c r="G137" s="613">
        <f t="shared" si="15"/>
        <v>0</v>
      </c>
      <c r="H137" s="600">
        <f>G137+'[3]27'!H137</f>
        <v>11.539999999997235</v>
      </c>
      <c r="I137" s="620"/>
      <c r="J137" s="693">
        <f>H137/DAY(B2)</f>
        <v>0.41214285714275839</v>
      </c>
    </row>
    <row r="138" spans="1:12" ht="27.75">
      <c r="A138" s="1371" t="s">
        <v>258</v>
      </c>
      <c r="B138" s="1372"/>
      <c r="C138" s="1372"/>
      <c r="D138" s="663" t="s">
        <v>250</v>
      </c>
      <c r="E138" s="925">
        <f>'[3]27'!F138</f>
        <v>69955.210000000006</v>
      </c>
      <c r="F138" s="901">
        <v>69955.210000000006</v>
      </c>
      <c r="G138" s="613">
        <f t="shared" si="15"/>
        <v>0</v>
      </c>
      <c r="H138" s="600">
        <f>G138+'[3]27'!H138</f>
        <v>26.30000000000291</v>
      </c>
      <c r="I138" s="620">
        <f>G137+G138</f>
        <v>0</v>
      </c>
      <c r="J138" s="693">
        <f>H138/DAY(B2)</f>
        <v>0.9392857142858182</v>
      </c>
    </row>
    <row r="139" spans="1:12" ht="27.75">
      <c r="A139" s="1371" t="s">
        <v>259</v>
      </c>
      <c r="B139" s="1372"/>
      <c r="C139" s="1372"/>
      <c r="D139" s="663" t="s">
        <v>250</v>
      </c>
      <c r="E139" s="922">
        <f>'[3]27'!F139</f>
        <v>924.45</v>
      </c>
      <c r="F139" s="897">
        <v>930.12</v>
      </c>
      <c r="G139" s="613">
        <f t="shared" si="15"/>
        <v>5.6699999999999591</v>
      </c>
      <c r="H139" s="600">
        <f>G139+'[3]27'!H139</f>
        <v>153.69000000000005</v>
      </c>
      <c r="I139" s="683"/>
      <c r="J139" s="693">
        <f>H139/DAY(B2)</f>
        <v>5.4889285714285734</v>
      </c>
    </row>
    <row r="140" spans="1:12" ht="27.75">
      <c r="A140" s="1371" t="s">
        <v>260</v>
      </c>
      <c r="B140" s="1372"/>
      <c r="C140" s="1372"/>
      <c r="D140" s="663" t="s">
        <v>250</v>
      </c>
      <c r="E140" s="926">
        <f>'[3]27'!F140</f>
        <v>4156.8999999999996</v>
      </c>
      <c r="F140" s="910">
        <v>4156.8999999999996</v>
      </c>
      <c r="G140" s="613">
        <f t="shared" si="15"/>
        <v>0</v>
      </c>
      <c r="H140" s="600">
        <f>G140+'[3]27'!H140</f>
        <v>2.6299999999991996</v>
      </c>
      <c r="I140" s="683"/>
      <c r="J140" s="693">
        <f>H140/DAY(B2)</f>
        <v>9.3928571428542842E-2</v>
      </c>
    </row>
    <row r="141" spans="1:12">
      <c r="A141" s="1438" t="s">
        <v>261</v>
      </c>
      <c r="B141" s="1439"/>
      <c r="C141" s="137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32" t="s">
        <v>262</v>
      </c>
      <c r="B142" s="1433"/>
      <c r="C142" s="1434"/>
      <c r="D142" s="663" t="s">
        <v>143</v>
      </c>
      <c r="E142" s="600"/>
      <c r="F142" s="600"/>
      <c r="G142" s="600">
        <f>G35+G43+G49+G57</f>
        <v>6208.57600000003</v>
      </c>
      <c r="H142" s="600">
        <f>G142+'[3]27'!H142</f>
        <v>136234.66600000011</v>
      </c>
      <c r="I142" s="620"/>
      <c r="J142" s="693">
        <f>H142/DAY(B2)</f>
        <v>4865.5237857142902</v>
      </c>
      <c r="K142" s="424"/>
      <c r="L142" s="421"/>
    </row>
    <row r="143" spans="1:12" ht="27.75">
      <c r="A143" s="1432" t="s">
        <v>263</v>
      </c>
      <c r="B143" s="1433"/>
      <c r="C143" s="1434"/>
      <c r="D143" s="663" t="s">
        <v>24</v>
      </c>
      <c r="E143" s="610"/>
      <c r="F143" s="610"/>
      <c r="G143" s="684">
        <f>G142/G7</f>
        <v>0.31746055120928723</v>
      </c>
      <c r="H143" s="600">
        <f>G143+'[3]27'!H143</f>
        <v>6.8771080866660332</v>
      </c>
      <c r="I143" s="685"/>
      <c r="J143" s="693">
        <f>H143/DAY(B2)</f>
        <v>0.24561100309521547</v>
      </c>
      <c r="K143" s="424"/>
      <c r="L143" s="421"/>
    </row>
    <row r="144" spans="1:12" ht="27.75">
      <c r="A144" s="1432" t="s">
        <v>264</v>
      </c>
      <c r="B144" s="1433"/>
      <c r="C144" s="1434"/>
      <c r="D144" s="663" t="s">
        <v>143</v>
      </c>
      <c r="E144" s="600"/>
      <c r="F144" s="600"/>
      <c r="G144" s="600">
        <f>G41+G42+G55+G56</f>
        <v>4080.9599999999919</v>
      </c>
      <c r="H144" s="600">
        <f>G144+'[3]27'!H144</f>
        <v>120763.99000000011</v>
      </c>
      <c r="I144" s="620"/>
      <c r="J144" s="693">
        <f>H144/DAY(B2)</f>
        <v>4312.9996428571467</v>
      </c>
      <c r="K144" s="424"/>
      <c r="L144" s="421"/>
    </row>
    <row r="145" spans="1:12" ht="27.75">
      <c r="A145" s="1432" t="s">
        <v>265</v>
      </c>
      <c r="B145" s="1433"/>
      <c r="C145" s="1434"/>
      <c r="D145" s="663" t="s">
        <v>24</v>
      </c>
      <c r="E145" s="600"/>
      <c r="F145" s="600"/>
      <c r="G145" s="684">
        <f>G144/G7</f>
        <v>0.2086700414173949</v>
      </c>
      <c r="H145" s="600">
        <f>G145+'[3]27'!H145</f>
        <v>6.2590341625420329</v>
      </c>
      <c r="I145" s="685"/>
      <c r="J145" s="693">
        <f>H145/DAY(B2)</f>
        <v>0.22353693437650118</v>
      </c>
      <c r="K145" s="424"/>
      <c r="L145" s="421"/>
    </row>
    <row r="146" spans="1:12" ht="27.75">
      <c r="A146" s="1432" t="s">
        <v>266</v>
      </c>
      <c r="B146" s="1433"/>
      <c r="C146" s="1434"/>
      <c r="D146" s="663" t="s">
        <v>143</v>
      </c>
      <c r="E146" s="600"/>
      <c r="F146" s="600"/>
      <c r="G146" s="600">
        <f>G39+G53</f>
        <v>4127.4940000000024</v>
      </c>
      <c r="H146" s="600">
        <f>G146+'[3]27'!H146</f>
        <v>87952.49300000006</v>
      </c>
      <c r="I146" s="686"/>
      <c r="J146" s="693">
        <f>H146/DAY(B2)</f>
        <v>3141.1604642857164</v>
      </c>
      <c r="K146" s="424"/>
      <c r="L146" s="421"/>
    </row>
    <row r="147" spans="1:12" ht="27.75">
      <c r="A147" s="1432" t="s">
        <v>267</v>
      </c>
      <c r="B147" s="1433"/>
      <c r="C147" s="1434"/>
      <c r="D147" s="663" t="s">
        <v>24</v>
      </c>
      <c r="E147" s="600"/>
      <c r="F147" s="600"/>
      <c r="G147" s="684">
        <f>G146/G7</f>
        <v>0.21104944521143337</v>
      </c>
      <c r="H147" s="600">
        <f>G147+'[3]27'!H147</f>
        <v>4.5277614472860188</v>
      </c>
      <c r="I147" s="686"/>
      <c r="J147" s="693">
        <f>H147/DAY(B2)</f>
        <v>0.16170576597450068</v>
      </c>
    </row>
    <row r="148" spans="1:12" ht="27.75">
      <c r="A148" s="1432" t="s">
        <v>268</v>
      </c>
      <c r="B148" s="1433"/>
      <c r="C148" s="1434"/>
      <c r="D148" s="663" t="s">
        <v>194</v>
      </c>
      <c r="E148" s="600"/>
      <c r="F148" s="600"/>
      <c r="G148" s="600">
        <f>G38+G52</f>
        <v>1864.359999999986</v>
      </c>
      <c r="H148" s="600">
        <f>G148+'[3]27'!H148</f>
        <v>48654.820000000007</v>
      </c>
      <c r="I148" s="620"/>
      <c r="J148" s="693">
        <f>H148/DAY(B2)</f>
        <v>1737.6721428571432</v>
      </c>
      <c r="K148" s="425"/>
    </row>
    <row r="149" spans="1:12" ht="27.75">
      <c r="A149" s="1432" t="s">
        <v>269</v>
      </c>
      <c r="B149" s="1433"/>
      <c r="C149" s="1434"/>
      <c r="D149" s="663" t="s">
        <v>24</v>
      </c>
      <c r="E149" s="600"/>
      <c r="F149" s="600"/>
      <c r="G149" s="684">
        <f>G148/G7</f>
        <v>9.5329549521909598E-2</v>
      </c>
      <c r="H149" s="600">
        <f>G149+'[3]27'!H149</f>
        <v>2.5195054154002978</v>
      </c>
      <c r="I149" s="686"/>
      <c r="J149" s="693">
        <f>H149/DAY(B2)</f>
        <v>8.9982336264296345E-2</v>
      </c>
    </row>
    <row r="150" spans="1:12" ht="27.75">
      <c r="A150" s="1432" t="s">
        <v>270</v>
      </c>
      <c r="B150" s="1433"/>
      <c r="C150" s="1434"/>
      <c r="D150" s="663" t="s">
        <v>194</v>
      </c>
      <c r="E150" s="600"/>
      <c r="F150" s="600"/>
      <c r="G150" s="600">
        <f>G36+G50</f>
        <v>2075.2400000000489</v>
      </c>
      <c r="H150" s="600">
        <f>G150+'[3]27'!H150</f>
        <v>45943.200000000012</v>
      </c>
      <c r="I150" s="686"/>
      <c r="J150" s="693">
        <f>H150/DAY(B2)</f>
        <v>1640.8285714285719</v>
      </c>
    </row>
    <row r="151" spans="1:12" ht="27.75">
      <c r="A151" s="1432" t="s">
        <v>271</v>
      </c>
      <c r="B151" s="1433"/>
      <c r="C151" s="1434"/>
      <c r="D151" s="663" t="s">
        <v>24</v>
      </c>
      <c r="E151" s="600"/>
      <c r="F151" s="600"/>
      <c r="G151" s="684">
        <f>G150/G7</f>
        <v>0.10611238942578355</v>
      </c>
      <c r="H151" s="600">
        <f>G151+'[3]27'!H151</f>
        <v>2.3763157337746907</v>
      </c>
      <c r="I151" s="620"/>
      <c r="J151" s="693">
        <f>H151/DAY(B2)</f>
        <v>8.4868419063381814E-2</v>
      </c>
    </row>
    <row r="152" spans="1:12" ht="27.75">
      <c r="A152" s="1432" t="s">
        <v>272</v>
      </c>
      <c r="B152" s="1433"/>
      <c r="C152" s="1434"/>
      <c r="D152" s="663" t="s">
        <v>194</v>
      </c>
      <c r="E152" s="600"/>
      <c r="F152" s="600"/>
      <c r="G152" s="600">
        <f>G37+G51</f>
        <v>1446.5149999999994</v>
      </c>
      <c r="H152" s="600">
        <f>G152+'[3]27'!H152</f>
        <v>39522.080900000001</v>
      </c>
      <c r="I152" s="620"/>
      <c r="J152" s="693">
        <f>H152/DAY(B2)</f>
        <v>1411.5028892857142</v>
      </c>
    </row>
    <row r="153" spans="1:12" ht="28.5" thickBot="1">
      <c r="A153" s="1435" t="s">
        <v>273</v>
      </c>
      <c r="B153" s="1436"/>
      <c r="C153" s="1437"/>
      <c r="D153" s="766" t="s">
        <v>24</v>
      </c>
      <c r="E153" s="708"/>
      <c r="F153" s="708"/>
      <c r="G153" s="707">
        <f>G152/G7</f>
        <v>7.3964053791481285E-2</v>
      </c>
      <c r="H153" s="600">
        <f>G153+'[3]27'!H153</f>
        <v>2.0515244156701562</v>
      </c>
      <c r="I153" s="709"/>
      <c r="J153" s="710">
        <f>H153/DAY(B2)</f>
        <v>7.3268729131077001E-2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46" t="s">
        <v>274</v>
      </c>
      <c r="B160" s="947"/>
      <c r="C160" s="947"/>
      <c r="D160" s="651" t="s">
        <v>198</v>
      </c>
      <c r="E160" s="925">
        <f>'[3]27'!F160</f>
        <v>23623.643</v>
      </c>
      <c r="F160" s="795">
        <v>23695.402999999998</v>
      </c>
      <c r="G160" s="613">
        <f t="shared" ref="G160:G171" si="16">F160-E160</f>
        <v>71.759999999998399</v>
      </c>
    </row>
    <row r="161" spans="1:7">
      <c r="A161" s="946" t="s">
        <v>275</v>
      </c>
      <c r="B161" s="947"/>
      <c r="C161" s="947"/>
      <c r="D161" s="651" t="s">
        <v>198</v>
      </c>
      <c r="E161" s="925">
        <f>'[3]27'!F161</f>
        <v>8496.59</v>
      </c>
      <c r="F161" s="795">
        <v>9137.2518999999993</v>
      </c>
      <c r="G161" s="613">
        <f t="shared" si="16"/>
        <v>640.66189999999915</v>
      </c>
    </row>
    <row r="162" spans="1:7">
      <c r="A162" s="946" t="s">
        <v>276</v>
      </c>
      <c r="B162" s="947"/>
      <c r="C162" s="947"/>
      <c r="D162" s="651" t="s">
        <v>198</v>
      </c>
      <c r="E162" s="925">
        <f>'[3]27'!F162</f>
        <v>36629.599999999999</v>
      </c>
      <c r="F162" s="795">
        <v>36849.767</v>
      </c>
      <c r="G162" s="613">
        <f t="shared" si="16"/>
        <v>220.16700000000128</v>
      </c>
    </row>
    <row r="163" spans="1:7">
      <c r="A163" s="946" t="s">
        <v>277</v>
      </c>
      <c r="B163" s="947"/>
      <c r="C163" s="947"/>
      <c r="D163" s="651" t="s">
        <v>198</v>
      </c>
      <c r="E163" s="925">
        <f>'[3]27'!F163</f>
        <v>3455.48</v>
      </c>
      <c r="F163" s="795">
        <v>3460.25</v>
      </c>
      <c r="G163" s="613">
        <f t="shared" si="16"/>
        <v>4.7699999999999818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20419.187000000002</v>
      </c>
      <c r="G164" s="613">
        <f t="shared" si="16"/>
        <v>0.18700000000171713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807.01</v>
      </c>
      <c r="F165" s="654">
        <f t="shared" si="17"/>
        <v>823.46100000000001</v>
      </c>
      <c r="G165" s="613">
        <f t="shared" si="16"/>
        <v>16.451000000000022</v>
      </c>
    </row>
    <row r="166" spans="1:7" ht="27.75">
      <c r="A166" s="1404" t="s">
        <v>107</v>
      </c>
      <c r="B166" s="1404"/>
      <c r="C166" s="1404"/>
      <c r="D166" s="663" t="s">
        <v>198</v>
      </c>
      <c r="E166" s="654">
        <f t="shared" si="17"/>
        <v>85603.551000000007</v>
      </c>
      <c r="F166" s="654">
        <f t="shared" si="17"/>
        <v>85955.638999999996</v>
      </c>
      <c r="G166" s="613">
        <f t="shared" si="16"/>
        <v>352.08799999998882</v>
      </c>
    </row>
    <row r="167" spans="1:7" ht="27.75">
      <c r="A167" s="1404" t="s">
        <v>108</v>
      </c>
      <c r="B167" s="1404"/>
      <c r="C167" s="1404"/>
      <c r="D167" s="663" t="s">
        <v>198</v>
      </c>
      <c r="E167" s="654">
        <f t="shared" si="17"/>
        <v>95473.951000000001</v>
      </c>
      <c r="F167" s="654">
        <f t="shared" si="17"/>
        <v>95868.502999999997</v>
      </c>
      <c r="G167" s="613">
        <f t="shared" si="16"/>
        <v>394.55199999999604</v>
      </c>
    </row>
    <row r="168" spans="1:7" ht="27.75">
      <c r="A168" s="1404" t="s">
        <v>109</v>
      </c>
      <c r="B168" s="1404"/>
      <c r="C168" s="1404"/>
      <c r="D168" s="663" t="s">
        <v>198</v>
      </c>
      <c r="E168" s="654">
        <f t="shared" si="17"/>
        <v>88765.175000000003</v>
      </c>
      <c r="F168" s="654">
        <f t="shared" si="17"/>
        <v>89163.358999999997</v>
      </c>
      <c r="G168" s="613">
        <f t="shared" si="16"/>
        <v>398.18399999999383</v>
      </c>
    </row>
    <row r="169" spans="1:7" ht="27.75">
      <c r="A169" s="1404" t="s">
        <v>110</v>
      </c>
      <c r="B169" s="1404"/>
      <c r="C169" s="1404"/>
      <c r="D169" s="663" t="s">
        <v>198</v>
      </c>
      <c r="E169" s="654">
        <f t="shared" si="17"/>
        <v>143735.82</v>
      </c>
      <c r="F169" s="654">
        <f t="shared" si="17"/>
        <v>144458.26999999999</v>
      </c>
      <c r="G169" s="613">
        <f t="shared" si="16"/>
        <v>722.44999999998254</v>
      </c>
    </row>
    <row r="170" spans="1:7" ht="27.75">
      <c r="A170" s="1404" t="s">
        <v>111</v>
      </c>
      <c r="B170" s="1404"/>
      <c r="C170" s="1404"/>
      <c r="D170" s="663" t="s">
        <v>198</v>
      </c>
      <c r="E170" s="654">
        <f t="shared" si="17"/>
        <v>42077.839</v>
      </c>
      <c r="F170" s="654">
        <f t="shared" si="17"/>
        <v>42430.879000000001</v>
      </c>
      <c r="G170" s="613">
        <f t="shared" si="16"/>
        <v>353.04000000000087</v>
      </c>
    </row>
    <row r="171" spans="1:7" ht="27.75">
      <c r="A171" s="1404" t="s">
        <v>112</v>
      </c>
      <c r="B171" s="1404"/>
      <c r="C171" s="1404"/>
      <c r="D171" s="663" t="s">
        <v>198</v>
      </c>
      <c r="E171" s="654">
        <f t="shared" si="17"/>
        <v>36692.142999999996</v>
      </c>
      <c r="F171" s="654">
        <f t="shared" si="17"/>
        <v>36979.870999999999</v>
      </c>
      <c r="G171" s="613">
        <f t="shared" si="16"/>
        <v>287.72800000000279</v>
      </c>
    </row>
    <row r="172" spans="1:7">
      <c r="G172" s="680">
        <f>SUM(G160:G171)</f>
        <v>3462.0388999999655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A109" sqref="A1:XFD1048576"/>
    </sheetView>
  </sheetViews>
  <sheetFormatPr defaultColWidth="22.33203125" defaultRowHeight="29.25"/>
  <cols>
    <col min="1" max="1" width="47.33203125" style="594" customWidth="1"/>
    <col min="2" max="2" width="26.10937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5" width="22.33203125" style="928"/>
    <col min="16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293</v>
      </c>
      <c r="B2" s="1195">
        <v>44164</v>
      </c>
      <c r="C2" s="1378" t="s">
        <v>69</v>
      </c>
      <c r="D2" s="752">
        <v>0.3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928"/>
      <c r="O2" s="928"/>
    </row>
    <row r="3" spans="1:15" s="292" customFormat="1" ht="27">
      <c r="A3" s="711"/>
      <c r="B3" s="755"/>
      <c r="C3" s="1378" t="s">
        <v>131</v>
      </c>
      <c r="D3" s="753">
        <v>30</v>
      </c>
      <c r="E3" s="1449" t="s">
        <v>132</v>
      </c>
      <c r="F3" s="1450"/>
      <c r="G3" s="602"/>
      <c r="H3" s="603"/>
      <c r="I3" s="603"/>
      <c r="J3" s="756"/>
      <c r="K3" s="415"/>
      <c r="L3" s="304"/>
      <c r="N3" s="928"/>
      <c r="O3" s="928"/>
    </row>
    <row r="4" spans="1:15" s="292" customFormat="1" ht="27">
      <c r="A4" s="717"/>
      <c r="B4" s="757"/>
      <c r="C4" s="1378" t="s">
        <v>133</v>
      </c>
      <c r="D4" s="752">
        <v>0.8</v>
      </c>
      <c r="E4" s="603"/>
      <c r="F4" s="603"/>
      <c r="G4" s="604"/>
      <c r="H4" s="604"/>
      <c r="I4" s="605"/>
      <c r="J4" s="756"/>
      <c r="K4" s="416"/>
      <c r="L4" s="304"/>
      <c r="N4" s="930"/>
      <c r="O4" s="928"/>
    </row>
    <row r="5" spans="1:15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930"/>
    </row>
    <row r="6" spans="1:15">
      <c r="A6" s="1443" t="s">
        <v>141</v>
      </c>
      <c r="B6" s="1444"/>
      <c r="C6" s="1445"/>
      <c r="D6" s="611"/>
      <c r="E6" s="635"/>
      <c r="F6" s="635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816">
        <f>'[3]28'!F7</f>
        <v>2626077</v>
      </c>
      <c r="F7" s="600">
        <v>2647221</v>
      </c>
      <c r="G7" s="815">
        <f>F7-E7</f>
        <v>21144</v>
      </c>
      <c r="H7" s="816">
        <f>G7+'[3]28'!H7</f>
        <v>542196</v>
      </c>
      <c r="I7" s="817">
        <f>'[3]1'!I7</f>
        <v>12000</v>
      </c>
      <c r="J7" s="818">
        <f>H7/DAY(B2)</f>
        <v>18696.413793103449</v>
      </c>
      <c r="K7" s="690">
        <v>1703438</v>
      </c>
      <c r="L7" s="421">
        <v>1715917</v>
      </c>
      <c r="O7" s="931"/>
    </row>
    <row r="8" spans="1:15" ht="27.75" thickBot="1">
      <c r="A8" s="819" t="s">
        <v>144</v>
      </c>
      <c r="B8" s="820"/>
      <c r="C8" s="821"/>
      <c r="D8" s="822" t="s">
        <v>25</v>
      </c>
      <c r="E8" s="816">
        <f>'[3]28'!F8</f>
        <v>2640363</v>
      </c>
      <c r="F8" s="893">
        <v>2661649</v>
      </c>
      <c r="G8" s="826">
        <f>F8-E8</f>
        <v>21286</v>
      </c>
      <c r="H8" s="816">
        <f>G8+'[3]28'!H8</f>
        <v>546208</v>
      </c>
      <c r="I8" s="823"/>
      <c r="J8" s="818">
        <f>H8/DAY(B2)</f>
        <v>18834.758620689656</v>
      </c>
      <c r="K8" s="690">
        <v>1375467</v>
      </c>
      <c r="L8" s="479"/>
      <c r="M8" s="542"/>
      <c r="O8" s="931"/>
    </row>
    <row r="9" spans="1:15">
      <c r="A9" s="824" t="s">
        <v>145</v>
      </c>
      <c r="B9" s="825"/>
      <c r="C9" s="825"/>
      <c r="D9" s="779" t="s">
        <v>143</v>
      </c>
      <c r="E9" s="816">
        <f>'[3]28'!F9</f>
        <v>2250651.9</v>
      </c>
      <c r="F9" s="894">
        <v>2253967.7000000002</v>
      </c>
      <c r="G9" s="839">
        <f t="shared" ref="G9:G12" si="0">F9-E9</f>
        <v>3315.8000000002794</v>
      </c>
      <c r="H9" s="816">
        <f>G9+'[3]28'!H9</f>
        <v>236962.40000000014</v>
      </c>
      <c r="I9" s="827">
        <f>I7-J7</f>
        <v>-6696.4137931034493</v>
      </c>
      <c r="J9" s="818">
        <f>H9/DAY(B2)</f>
        <v>8171.1172413793156</v>
      </c>
      <c r="K9" s="527"/>
      <c r="L9" s="421"/>
      <c r="O9" s="931"/>
    </row>
    <row r="10" spans="1:15">
      <c r="A10" s="813" t="s">
        <v>146</v>
      </c>
      <c r="B10" s="814"/>
      <c r="C10" s="814"/>
      <c r="D10" s="779" t="s">
        <v>143</v>
      </c>
      <c r="E10" s="816">
        <f>'[3]28'!F10</f>
        <v>268517.67</v>
      </c>
      <c r="F10" s="894">
        <v>285589.84999999998</v>
      </c>
      <c r="G10" s="826">
        <f t="shared" si="0"/>
        <v>17072.179999999993</v>
      </c>
      <c r="H10" s="816">
        <f>G10+'[3]28'!H10</f>
        <v>285590.06</v>
      </c>
      <c r="I10" s="828"/>
      <c r="J10" s="818">
        <f>H10/DAY(B2)</f>
        <v>9847.9331034482766</v>
      </c>
      <c r="K10" s="527"/>
      <c r="L10" s="421"/>
    </row>
    <row r="11" spans="1:15">
      <c r="A11" s="813" t="s">
        <v>147</v>
      </c>
      <c r="B11" s="814"/>
      <c r="C11" s="814"/>
      <c r="D11" s="779" t="s">
        <v>143</v>
      </c>
      <c r="E11" s="816">
        <f>'[3]28'!F11</f>
        <v>35390</v>
      </c>
      <c r="F11" s="600">
        <v>35390</v>
      </c>
      <c r="G11" s="826">
        <f t="shared" si="0"/>
        <v>0</v>
      </c>
      <c r="H11" s="816">
        <f>G11+'[3]28'!H11</f>
        <v>0</v>
      </c>
      <c r="I11" s="828"/>
      <c r="J11" s="818">
        <f>H11/DAY(B2)</f>
        <v>0</v>
      </c>
      <c r="K11" s="527"/>
      <c r="L11" s="421"/>
    </row>
    <row r="12" spans="1:15">
      <c r="A12" s="813" t="s">
        <v>148</v>
      </c>
      <c r="B12" s="814"/>
      <c r="C12" s="814"/>
      <c r="D12" s="1263" t="s">
        <v>143</v>
      </c>
      <c r="E12" s="1257">
        <f>'[3]28'!F12</f>
        <v>37630</v>
      </c>
      <c r="F12" s="894">
        <v>37630</v>
      </c>
      <c r="G12" s="826">
        <f t="shared" si="0"/>
        <v>0</v>
      </c>
      <c r="H12" s="816">
        <f>G12+'[3]28'!H12</f>
        <v>0</v>
      </c>
      <c r="I12" s="828"/>
      <c r="J12" s="818">
        <f>H12/DAY(B2)</f>
        <v>0</v>
      </c>
      <c r="K12" s="527"/>
      <c r="L12" s="421"/>
    </row>
    <row r="13" spans="1:15">
      <c r="A13" s="829" t="s">
        <v>149</v>
      </c>
      <c r="B13" s="830"/>
      <c r="C13" s="830"/>
      <c r="D13" s="1263"/>
      <c r="E13" s="1257"/>
      <c r="F13" s="600"/>
      <c r="G13" s="831">
        <f>G9+G10+G11+G12</f>
        <v>20387.980000000272</v>
      </c>
      <c r="H13" s="1257">
        <f>G13+'[3]28'!H13</f>
        <v>468288.66000000021</v>
      </c>
      <c r="I13" s="1258">
        <f>G7-G13</f>
        <v>756.01999999972759</v>
      </c>
      <c r="J13" s="1259">
        <f>H13/DAY(B2)</f>
        <v>16147.884827586215</v>
      </c>
      <c r="K13" s="527"/>
      <c r="L13" s="421"/>
    </row>
    <row r="14" spans="1:15">
      <c r="A14" s="1446" t="s">
        <v>150</v>
      </c>
      <c r="B14" s="1447"/>
      <c r="C14" s="1448"/>
      <c r="D14" s="1260"/>
      <c r="E14" s="1264"/>
      <c r="F14" s="895"/>
      <c r="G14" s="623"/>
      <c r="H14" s="1260"/>
      <c r="I14" s="1260"/>
      <c r="J14" s="1261"/>
      <c r="K14" s="528"/>
      <c r="L14" s="421"/>
    </row>
    <row r="15" spans="1:15">
      <c r="A15" s="802" t="s">
        <v>151</v>
      </c>
      <c r="B15" s="803"/>
      <c r="C15" s="803"/>
      <c r="D15" s="1265" t="s">
        <v>152</v>
      </c>
      <c r="E15" s="1266">
        <f>'[3]28'!F15</f>
        <v>1545427.406</v>
      </c>
      <c r="F15" s="896">
        <v>1546222.4140000001</v>
      </c>
      <c r="G15" s="801">
        <f>(F15-E15)</f>
        <v>795.00800000014715</v>
      </c>
      <c r="H15" s="1253">
        <f>G15+'[3]28'!H15</f>
        <v>16107.220000000205</v>
      </c>
      <c r="I15" s="1254">
        <f>'[3]1'!I15</f>
        <v>800</v>
      </c>
      <c r="J15" s="1255">
        <f>H15/DAY(B2)</f>
        <v>555.42137931035188</v>
      </c>
      <c r="K15" s="527"/>
      <c r="L15" s="421"/>
    </row>
    <row r="16" spans="1:15">
      <c r="A16" s="810"/>
      <c r="B16" s="811"/>
      <c r="C16" s="811"/>
      <c r="D16" s="1265"/>
      <c r="E16" s="1266"/>
      <c r="F16" s="896"/>
      <c r="G16" s="806"/>
      <c r="H16" s="1253"/>
      <c r="I16" s="1256">
        <f>I15-J15</f>
        <v>244.57862068964812</v>
      </c>
      <c r="J16" s="1255"/>
      <c r="K16" s="527"/>
      <c r="L16" s="421"/>
    </row>
    <row r="17" spans="1:15">
      <c r="A17" s="1446" t="s">
        <v>153</v>
      </c>
      <c r="B17" s="1447"/>
      <c r="C17" s="1448"/>
      <c r="D17" s="1260"/>
      <c r="E17" s="1264"/>
      <c r="F17" s="895"/>
      <c r="G17" s="628"/>
      <c r="H17" s="1260"/>
      <c r="I17" s="1260"/>
      <c r="J17" s="1261"/>
      <c r="K17" s="527"/>
      <c r="L17" s="421"/>
    </row>
    <row r="18" spans="1:15" ht="27.75">
      <c r="A18" s="1478" t="s">
        <v>154</v>
      </c>
      <c r="B18" s="1479"/>
      <c r="C18" s="1480"/>
      <c r="D18" s="779" t="s">
        <v>155</v>
      </c>
      <c r="E18" s="914">
        <f>'[3]28'!F18</f>
        <v>14</v>
      </c>
      <c r="F18" s="894">
        <v>14</v>
      </c>
      <c r="G18" s="831">
        <f>F18*10</f>
        <v>140</v>
      </c>
      <c r="H18" s="1257">
        <f>G18+'[3]28'!H18</f>
        <v>2990</v>
      </c>
      <c r="I18" s="1262">
        <f>'[3]1'!I18</f>
        <v>65</v>
      </c>
      <c r="J18" s="1259">
        <f>H18/DAY(B2)</f>
        <v>103.10344827586206</v>
      </c>
      <c r="K18" s="527"/>
      <c r="L18" s="421"/>
    </row>
    <row r="19" spans="1:15" ht="27.75">
      <c r="A19" s="1478" t="s">
        <v>71</v>
      </c>
      <c r="B19" s="1479"/>
      <c r="C19" s="1480"/>
      <c r="D19" s="779" t="s">
        <v>155</v>
      </c>
      <c r="E19" s="914">
        <f>'[3]28'!F19</f>
        <v>129683</v>
      </c>
      <c r="F19" s="894">
        <v>129744</v>
      </c>
      <c r="G19" s="826">
        <f t="shared" ref="G19" si="1">F19-E19</f>
        <v>61</v>
      </c>
      <c r="H19" s="816">
        <f>G19+'[3]28'!H19</f>
        <v>1549</v>
      </c>
      <c r="I19" s="833"/>
      <c r="J19" s="818">
        <f>H19/DAY(B2)</f>
        <v>53.413793103448278</v>
      </c>
      <c r="K19" s="527"/>
      <c r="L19" s="421"/>
    </row>
    <row r="20" spans="1:15">
      <c r="A20" s="829" t="s">
        <v>156</v>
      </c>
      <c r="B20" s="830"/>
      <c r="C20" s="830"/>
      <c r="D20" s="779"/>
      <c r="E20" s="816"/>
      <c r="F20" s="600"/>
      <c r="G20" s="834">
        <f>G18+G19</f>
        <v>201</v>
      </c>
      <c r="H20" s="816">
        <f>G20+'[3]28'!H20</f>
        <v>4539</v>
      </c>
      <c r="I20" s="835">
        <f>I18-J20</f>
        <v>-91.517241379310349</v>
      </c>
      <c r="J20" s="818">
        <f>H20/DAY(B2)</f>
        <v>156.51724137931035</v>
      </c>
      <c r="K20" s="527"/>
      <c r="L20" s="421"/>
    </row>
    <row r="21" spans="1:15">
      <c r="A21" s="1446" t="s">
        <v>157</v>
      </c>
      <c r="B21" s="1447"/>
      <c r="C21" s="1448"/>
      <c r="D21" s="612"/>
      <c r="E21" s="895"/>
      <c r="F21" s="895"/>
      <c r="G21" s="623"/>
      <c r="H21" s="612"/>
      <c r="I21" s="612"/>
      <c r="J21" s="692"/>
      <c r="K21" s="527"/>
      <c r="L21" s="421"/>
    </row>
    <row r="22" spans="1:15">
      <c r="A22" s="1371" t="s">
        <v>158</v>
      </c>
      <c r="B22" s="730"/>
      <c r="C22" s="730"/>
      <c r="D22" s="663" t="s">
        <v>159</v>
      </c>
      <c r="E22" s="915">
        <f>'[3]28'!F22</f>
        <v>1610</v>
      </c>
      <c r="F22" s="894">
        <v>1610</v>
      </c>
      <c r="G22" s="621">
        <f t="shared" ref="G22" si="2">(F22-E22)</f>
        <v>0</v>
      </c>
      <c r="H22" s="600">
        <f>G22+'[3]28'!H22</f>
        <v>640</v>
      </c>
      <c r="I22" s="620"/>
      <c r="J22" s="693">
        <f>H22/DAY(B2)</f>
        <v>22.068965517241381</v>
      </c>
      <c r="K22" s="527"/>
      <c r="L22" s="421"/>
    </row>
    <row r="23" spans="1:15">
      <c r="A23" s="1371" t="s">
        <v>160</v>
      </c>
      <c r="B23" s="730"/>
      <c r="C23" s="730"/>
      <c r="D23" s="663" t="s">
        <v>159</v>
      </c>
      <c r="E23" s="915">
        <f>'[3]28'!F23</f>
        <v>1700</v>
      </c>
      <c r="F23" s="894">
        <v>1700</v>
      </c>
      <c r="G23" s="621">
        <v>0</v>
      </c>
      <c r="H23" s="600">
        <f>G23+'[3]28'!H23</f>
        <v>0</v>
      </c>
      <c r="I23" s="620"/>
      <c r="J23" s="693">
        <f>H23/DAY(B2)</f>
        <v>0</v>
      </c>
      <c r="K23" s="527"/>
      <c r="L23" s="421"/>
    </row>
    <row r="24" spans="1:15">
      <c r="A24" s="731" t="s">
        <v>161</v>
      </c>
      <c r="B24" s="732"/>
      <c r="C24" s="732"/>
      <c r="D24" s="651" t="s">
        <v>159</v>
      </c>
      <c r="E24" s="916">
        <f>'[3]28'!F24</f>
        <v>3310</v>
      </c>
      <c r="F24" s="897">
        <v>3310</v>
      </c>
      <c r="G24" s="621">
        <v>0</v>
      </c>
      <c r="H24" s="600">
        <f>G24+'[3]28'!H24</f>
        <v>0</v>
      </c>
      <c r="I24" s="620"/>
      <c r="J24" s="693">
        <f>H24/DAY(B2)</f>
        <v>0</v>
      </c>
      <c r="K24" s="527"/>
      <c r="L24" s="421"/>
    </row>
    <row r="25" spans="1:15" s="544" customFormat="1" ht="27">
      <c r="A25" s="1451" t="s">
        <v>162</v>
      </c>
      <c r="B25" s="1452"/>
      <c r="C25" s="1453"/>
      <c r="D25" s="611"/>
      <c r="E25" s="635"/>
      <c r="F25" s="635"/>
      <c r="G25" s="634"/>
      <c r="H25" s="635"/>
      <c r="I25" s="636"/>
      <c r="J25" s="695"/>
      <c r="K25" s="417"/>
      <c r="L25" s="547"/>
      <c r="N25" s="928"/>
      <c r="O25" s="928"/>
    </row>
    <row r="26" spans="1:15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928"/>
      <c r="O26" s="928"/>
    </row>
    <row r="27" spans="1:15" s="544" customFormat="1" ht="27">
      <c r="A27" s="733" t="s">
        <v>6</v>
      </c>
      <c r="B27" s="734"/>
      <c r="C27" s="735"/>
      <c r="D27" s="760" t="s">
        <v>25</v>
      </c>
      <c r="E27" s="836">
        <f>G8</f>
        <v>21286</v>
      </c>
      <c r="F27" s="641">
        <v>9.5</v>
      </c>
      <c r="G27" s="642">
        <f>E27*F27</f>
        <v>202217</v>
      </c>
      <c r="H27" s="600">
        <f>G27+'[3]28'!H27</f>
        <v>5188976</v>
      </c>
      <c r="I27" s="643"/>
      <c r="J27" s="693">
        <f>H27/DAY(B2)</f>
        <v>178930.20689655171</v>
      </c>
      <c r="K27" s="417"/>
      <c r="L27" s="547"/>
      <c r="N27" s="928"/>
      <c r="O27" s="928"/>
    </row>
    <row r="28" spans="1:15" s="544" customFormat="1" ht="27">
      <c r="A28" s="733" t="s">
        <v>165</v>
      </c>
      <c r="B28" s="734"/>
      <c r="C28" s="735"/>
      <c r="D28" s="760" t="s">
        <v>166</v>
      </c>
      <c r="E28" s="836">
        <f>G15</f>
        <v>795.00800000014715</v>
      </c>
      <c r="F28" s="641">
        <v>36.5</v>
      </c>
      <c r="G28" s="642">
        <f>E28*F28</f>
        <v>29017.792000005371</v>
      </c>
      <c r="H28" s="600">
        <f>G28+'[3]28'!H28</f>
        <v>587913.53000000748</v>
      </c>
      <c r="I28" s="645"/>
      <c r="J28" s="693">
        <f>H28/DAY(B2)</f>
        <v>20272.880344827845</v>
      </c>
      <c r="K28" s="417"/>
      <c r="L28" s="547"/>
      <c r="N28" s="928"/>
      <c r="O28" s="928"/>
    </row>
    <row r="29" spans="1:15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G29+'[3]28'!H29</f>
        <v>0</v>
      </c>
      <c r="I29" s="645"/>
      <c r="J29" s="693">
        <f>H29/DAY(B2)</f>
        <v>0</v>
      </c>
      <c r="K29" s="417"/>
      <c r="L29" s="547"/>
      <c r="N29" s="928"/>
      <c r="O29" s="928"/>
    </row>
    <row r="30" spans="1:15" s="544" customFormat="1" ht="27">
      <c r="A30" s="733" t="s">
        <v>169</v>
      </c>
      <c r="B30" s="734"/>
      <c r="C30" s="735"/>
      <c r="D30" s="760" t="s">
        <v>170</v>
      </c>
      <c r="E30" s="836">
        <f>G19</f>
        <v>61</v>
      </c>
      <c r="F30" s="641">
        <v>145</v>
      </c>
      <c r="G30" s="642">
        <f>E30*F30</f>
        <v>8845</v>
      </c>
      <c r="H30" s="600">
        <f>G30+'[3]28'!H30</f>
        <v>224605</v>
      </c>
      <c r="I30" s="645"/>
      <c r="J30" s="693">
        <f>H30/DAY(B2)</f>
        <v>7745</v>
      </c>
      <c r="K30" s="417"/>
      <c r="L30" s="547"/>
      <c r="N30" s="928"/>
      <c r="O30" s="928"/>
    </row>
    <row r="31" spans="1:15" s="544" customFormat="1" ht="27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G31+'[3]28'!H31</f>
        <v>239200</v>
      </c>
      <c r="I31" s="645"/>
      <c r="J31" s="693"/>
      <c r="K31" s="417"/>
      <c r="L31" s="547"/>
      <c r="N31" s="928"/>
      <c r="O31" s="928"/>
    </row>
    <row r="32" spans="1:15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251279.79200000537</v>
      </c>
      <c r="H32" s="600">
        <f>G32+'[3]28'!H32</f>
        <v>6240694.5300000068</v>
      </c>
      <c r="I32" s="649"/>
      <c r="J32" s="693">
        <f>H32/DAY(B2)</f>
        <v>215196.3631034485</v>
      </c>
      <c r="K32" s="417"/>
      <c r="L32" s="547"/>
      <c r="N32" s="928"/>
      <c r="O32" s="928"/>
    </row>
    <row r="33" spans="1:15" ht="25.5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</row>
    <row r="34" spans="1:15">
      <c r="A34" s="739" t="s">
        <v>174</v>
      </c>
      <c r="B34" s="1373"/>
      <c r="C34" s="1373"/>
      <c r="D34" s="612"/>
      <c r="E34" s="635"/>
      <c r="F34" s="635"/>
      <c r="G34" s="612"/>
      <c r="H34" s="612"/>
      <c r="I34" s="612"/>
      <c r="J34" s="692"/>
      <c r="K34" s="527"/>
      <c r="L34" s="421"/>
    </row>
    <row r="35" spans="1:15">
      <c r="A35" s="719" t="s">
        <v>175</v>
      </c>
      <c r="B35" s="720"/>
      <c r="C35" s="720"/>
      <c r="D35" s="663" t="s">
        <v>143</v>
      </c>
      <c r="E35" s="898">
        <f>'[3]28'!F35</f>
        <v>629027.67000000004</v>
      </c>
      <c r="F35" s="898">
        <v>629027.67000000004</v>
      </c>
      <c r="G35" s="613">
        <f t="shared" ref="G35:G46" si="3">F35-E35</f>
        <v>0</v>
      </c>
      <c r="H35" s="600">
        <f>G35+'[3]28'!H35</f>
        <v>25858.20000000007</v>
      </c>
      <c r="I35" s="595"/>
      <c r="J35" s="693">
        <f>H35/DAY(B2)</f>
        <v>891.66206896551967</v>
      </c>
      <c r="K35" s="527"/>
      <c r="L35" s="421"/>
    </row>
    <row r="36" spans="1:15">
      <c r="A36" s="719" t="s">
        <v>176</v>
      </c>
      <c r="B36" s="720"/>
      <c r="C36" s="720"/>
      <c r="D36" s="663" t="s">
        <v>143</v>
      </c>
      <c r="E36" s="898">
        <f>'[3]28'!F36</f>
        <v>228152.63</v>
      </c>
      <c r="F36" s="898">
        <v>229085.73</v>
      </c>
      <c r="G36" s="613">
        <f t="shared" si="3"/>
        <v>933.10000000000582</v>
      </c>
      <c r="H36" s="600">
        <f>G36+'[3]28'!H36</f>
        <v>17725.78</v>
      </c>
      <c r="I36" s="595"/>
      <c r="J36" s="693">
        <f>H36/DAY(B2)</f>
        <v>611.23379310344819</v>
      </c>
      <c r="K36" s="527"/>
      <c r="L36" s="421"/>
    </row>
    <row r="37" spans="1:15" s="543" customFormat="1">
      <c r="A37" s="1269" t="s">
        <v>177</v>
      </c>
      <c r="B37" s="1273"/>
      <c r="C37" s="1273"/>
      <c r="D37" s="768" t="s">
        <v>143</v>
      </c>
      <c r="E37" s="899">
        <f>'[3]28'!F37</f>
        <v>415066</v>
      </c>
      <c r="F37" s="899">
        <v>415066</v>
      </c>
      <c r="G37" s="789">
        <f t="shared" si="3"/>
        <v>0</v>
      </c>
      <c r="H37" s="861">
        <f>G37+'[3]28'!H37</f>
        <v>15221.809999999998</v>
      </c>
      <c r="I37" s="862"/>
      <c r="J37" s="863">
        <f>H37/DAY(B2)</f>
        <v>524.88999999999987</v>
      </c>
      <c r="K37" s="1271"/>
      <c r="L37" s="1272"/>
      <c r="N37" s="929"/>
      <c r="O37" s="929"/>
    </row>
    <row r="38" spans="1:15" s="543" customFormat="1">
      <c r="A38" s="1269" t="s">
        <v>178</v>
      </c>
      <c r="B38" s="1273"/>
      <c r="C38" s="1273"/>
      <c r="D38" s="768" t="s">
        <v>143</v>
      </c>
      <c r="E38" s="899">
        <f>'[3]28'!F38</f>
        <v>150714</v>
      </c>
      <c r="F38" s="1274">
        <v>150714</v>
      </c>
      <c r="G38" s="789">
        <f t="shared" si="3"/>
        <v>0</v>
      </c>
      <c r="H38" s="861">
        <f>G38+'[3]28'!H38</f>
        <v>0</v>
      </c>
      <c r="I38" s="862"/>
      <c r="J38" s="863">
        <f>H38/DAY(B2)</f>
        <v>0</v>
      </c>
      <c r="K38" s="1271"/>
      <c r="L38" s="1272"/>
      <c r="N38" s="929"/>
      <c r="O38" s="929"/>
    </row>
    <row r="39" spans="1:15" s="543" customFormat="1">
      <c r="A39" s="1269" t="s">
        <v>179</v>
      </c>
      <c r="B39" s="1273"/>
      <c r="C39" s="1273"/>
      <c r="D39" s="768" t="s">
        <v>143</v>
      </c>
      <c r="E39" s="899">
        <f>'[3]28'!F39</f>
        <v>912480</v>
      </c>
      <c r="F39" s="899">
        <v>912480</v>
      </c>
      <c r="G39" s="789">
        <f t="shared" si="3"/>
        <v>0</v>
      </c>
      <c r="H39" s="861">
        <f>G39+'[3]28'!H39</f>
        <v>40355.290000000037</v>
      </c>
      <c r="I39" s="862"/>
      <c r="J39" s="863">
        <f>H39/DAY(B2)</f>
        <v>1391.5617241379323</v>
      </c>
      <c r="K39" s="1271"/>
      <c r="L39" s="1272"/>
      <c r="N39" s="929"/>
      <c r="O39" s="929"/>
    </row>
    <row r="40" spans="1:15" s="543" customFormat="1">
      <c r="A40" s="1275" t="s">
        <v>180</v>
      </c>
      <c r="B40" s="1276"/>
      <c r="C40" s="1276"/>
      <c r="D40" s="768" t="s">
        <v>143</v>
      </c>
      <c r="E40" s="899">
        <f>'[3]28'!F40</f>
        <v>0</v>
      </c>
      <c r="F40" s="899">
        <v>0</v>
      </c>
      <c r="G40" s="789">
        <f t="shared" si="3"/>
        <v>0</v>
      </c>
      <c r="H40" s="861">
        <f>G40+'[3]28'!H40</f>
        <v>0</v>
      </c>
      <c r="I40" s="862"/>
      <c r="J40" s="863">
        <f>H40/DAY(B2)</f>
        <v>0</v>
      </c>
      <c r="K40" s="1277"/>
      <c r="L40" s="1272"/>
      <c r="N40" s="929"/>
      <c r="O40" s="929"/>
    </row>
    <row r="41" spans="1:15" s="543" customFormat="1">
      <c r="A41" s="1269" t="s">
        <v>181</v>
      </c>
      <c r="B41" s="1273"/>
      <c r="C41" s="1273"/>
      <c r="D41" s="768" t="s">
        <v>143</v>
      </c>
      <c r="E41" s="899">
        <f>'[3]28'!F41</f>
        <v>300127.95</v>
      </c>
      <c r="F41" s="899">
        <v>300127.95</v>
      </c>
      <c r="G41" s="789">
        <f>F41-E41</f>
        <v>0</v>
      </c>
      <c r="H41" s="861">
        <f>G41+'[3]28'!H41</f>
        <v>-1.9999999960418791E-2</v>
      </c>
      <c r="I41" s="862"/>
      <c r="J41" s="863">
        <f>H41/DAY(B2)</f>
        <v>-6.8965517104892379E-4</v>
      </c>
      <c r="K41" s="1271"/>
      <c r="L41" s="1272"/>
      <c r="N41" s="929"/>
      <c r="O41" s="929"/>
    </row>
    <row r="42" spans="1:15">
      <c r="A42" s="719" t="s">
        <v>182</v>
      </c>
      <c r="B42" s="720"/>
      <c r="C42" s="720"/>
      <c r="D42" s="663" t="s">
        <v>143</v>
      </c>
      <c r="E42" s="898">
        <f>'[3]28'!F42</f>
        <v>396198</v>
      </c>
      <c r="F42" s="898">
        <v>396198</v>
      </c>
      <c r="G42" s="613">
        <f t="shared" si="3"/>
        <v>0</v>
      </c>
      <c r="H42" s="600">
        <f>G42+'[3]28'!H42</f>
        <v>0.53000000002793968</v>
      </c>
      <c r="I42" s="595"/>
      <c r="J42" s="693">
        <f>H42/DAY(B2)</f>
        <v>1.8275862069928955E-2</v>
      </c>
      <c r="K42" s="527"/>
      <c r="L42" s="421"/>
    </row>
    <row r="43" spans="1:15">
      <c r="A43" s="719" t="s">
        <v>183</v>
      </c>
      <c r="B43" s="720"/>
      <c r="C43" s="720"/>
      <c r="D43" s="663" t="s">
        <v>143</v>
      </c>
      <c r="E43" s="898">
        <f>'[3]28'!F43</f>
        <v>625918.15</v>
      </c>
      <c r="F43" s="898">
        <v>628430.15</v>
      </c>
      <c r="G43" s="613">
        <f t="shared" si="3"/>
        <v>2512</v>
      </c>
      <c r="H43" s="600">
        <f>G43+'[3]28'!H43</f>
        <v>70106.080000000075</v>
      </c>
      <c r="I43" s="595"/>
      <c r="J43" s="693">
        <f>H43/DAY(B2)</f>
        <v>2417.4510344827613</v>
      </c>
      <c r="K43" s="527"/>
      <c r="L43" s="421"/>
    </row>
    <row r="44" spans="1:15">
      <c r="A44" s="719" t="s">
        <v>184</v>
      </c>
      <c r="B44" s="720"/>
      <c r="C44" s="720"/>
      <c r="D44" s="663" t="s">
        <v>143</v>
      </c>
      <c r="E44" s="898">
        <f>'[3]28'!F44</f>
        <v>0</v>
      </c>
      <c r="F44" s="898">
        <v>0</v>
      </c>
      <c r="G44" s="613">
        <f t="shared" si="3"/>
        <v>0</v>
      </c>
      <c r="H44" s="600">
        <f>G44+'[3]28'!H44</f>
        <v>0</v>
      </c>
      <c r="I44" s="595"/>
      <c r="J44" s="693">
        <f>H44/DAY(B2)</f>
        <v>0</v>
      </c>
      <c r="K44" s="527"/>
      <c r="L44" s="421"/>
    </row>
    <row r="45" spans="1:15">
      <c r="A45" s="719" t="s">
        <v>185</v>
      </c>
      <c r="B45" s="720"/>
      <c r="C45" s="720"/>
      <c r="D45" s="663" t="s">
        <v>143</v>
      </c>
      <c r="E45" s="898">
        <f>'[3]28'!F45</f>
        <v>614</v>
      </c>
      <c r="F45" s="898">
        <v>614.48</v>
      </c>
      <c r="G45" s="613">
        <f t="shared" si="3"/>
        <v>0.48000000000001819</v>
      </c>
      <c r="H45" s="600">
        <f>G45+'[3]28'!H45</f>
        <v>0</v>
      </c>
      <c r="I45" s="595"/>
      <c r="J45" s="693">
        <f>H45/DAY(B2)</f>
        <v>0</v>
      </c>
      <c r="K45" s="527"/>
      <c r="L45" s="421"/>
    </row>
    <row r="46" spans="1:15">
      <c r="A46" s="719" t="s">
        <v>186</v>
      </c>
      <c r="B46" s="720"/>
      <c r="C46" s="720"/>
      <c r="D46" s="663" t="s">
        <v>143</v>
      </c>
      <c r="E46" s="898">
        <f>'[3]28'!F46</f>
        <v>187</v>
      </c>
      <c r="F46" s="898">
        <v>187.49</v>
      </c>
      <c r="G46" s="613">
        <f t="shared" si="3"/>
        <v>0.49000000000000909</v>
      </c>
      <c r="H46" s="600">
        <f>G46+'[3]28'!H46</f>
        <v>0</v>
      </c>
      <c r="I46" s="595"/>
      <c r="J46" s="693">
        <f>H46/DAY(B2)</f>
        <v>0</v>
      </c>
      <c r="K46" s="527"/>
      <c r="L46" s="421"/>
    </row>
    <row r="47" spans="1:15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3446.0700000000061</v>
      </c>
      <c r="H47" s="600">
        <f>G47+'[3]28'!H47</f>
        <v>169267.67000000027</v>
      </c>
      <c r="I47" s="595"/>
      <c r="J47" s="693">
        <f>H47/DAY(B2)</f>
        <v>5836.8162068965612</v>
      </c>
      <c r="K47" s="527"/>
      <c r="L47" s="421"/>
    </row>
    <row r="48" spans="1:15">
      <c r="A48" s="739" t="s">
        <v>188</v>
      </c>
      <c r="B48" s="1373"/>
      <c r="C48" s="1373"/>
      <c r="D48" s="612"/>
      <c r="E48" s="635"/>
      <c r="F48" s="635"/>
      <c r="G48" s="612"/>
      <c r="H48" s="612"/>
      <c r="I48" s="612"/>
      <c r="J48" s="692"/>
      <c r="K48" s="527"/>
      <c r="L48" s="421"/>
    </row>
    <row r="49" spans="1:15" s="543" customFormat="1">
      <c r="A49" s="1269" t="s">
        <v>175</v>
      </c>
      <c r="B49" s="1270"/>
      <c r="C49" s="1270"/>
      <c r="D49" s="768" t="s">
        <v>143</v>
      </c>
      <c r="E49" s="899">
        <f>'[3]28'!F49</f>
        <v>56167.167000000001</v>
      </c>
      <c r="F49" s="899">
        <v>58900.663</v>
      </c>
      <c r="G49" s="789">
        <f t="shared" ref="G49:G58" si="4">F49-E49</f>
        <v>2733.4959999999992</v>
      </c>
      <c r="H49" s="861">
        <f>G49+'[3]28'!H49</f>
        <v>47171.375</v>
      </c>
      <c r="I49" s="862"/>
      <c r="J49" s="863">
        <f>H49/DAY(B2)</f>
        <v>1626.5991379310344</v>
      </c>
      <c r="K49" s="1271"/>
      <c r="L49" s="1272"/>
      <c r="N49" s="929"/>
      <c r="O49" s="929"/>
    </row>
    <row r="50" spans="1:15" s="543" customFormat="1">
      <c r="A50" s="1269" t="s">
        <v>189</v>
      </c>
      <c r="B50" s="1270" t="s">
        <v>292</v>
      </c>
      <c r="C50" s="1270"/>
      <c r="D50" s="768" t="s">
        <v>143</v>
      </c>
      <c r="E50" s="899">
        <f>'[3]28'!F50</f>
        <v>292957.09000000003</v>
      </c>
      <c r="F50" s="899">
        <v>294446.21000000002</v>
      </c>
      <c r="G50" s="789">
        <f t="shared" si="4"/>
        <v>1489.1199999999953</v>
      </c>
      <c r="H50" s="861">
        <f>G50+'[3]28'!H50</f>
        <v>28387.270000000019</v>
      </c>
      <c r="I50" s="862"/>
      <c r="J50" s="863">
        <f>H50/DAY(B2)</f>
        <v>978.87137931034545</v>
      </c>
      <c r="K50" s="1271"/>
      <c r="L50" s="1272"/>
      <c r="N50" s="929"/>
      <c r="O50" s="929"/>
    </row>
    <row r="51" spans="1:15" s="543" customFormat="1">
      <c r="A51" s="1269" t="s">
        <v>177</v>
      </c>
      <c r="B51" s="1270"/>
      <c r="C51" s="1270"/>
      <c r="D51" s="768" t="s">
        <v>143</v>
      </c>
      <c r="E51" s="899">
        <f>'[3]28'!F51</f>
        <v>16325.218999999999</v>
      </c>
      <c r="F51" s="899">
        <v>17807.510999999999</v>
      </c>
      <c r="G51" s="789">
        <f t="shared" si="4"/>
        <v>1482.2919999999995</v>
      </c>
      <c r="H51" s="861">
        <f>G51+'[3]28'!H51</f>
        <v>25782.562899999997</v>
      </c>
      <c r="I51" s="862"/>
      <c r="J51" s="863">
        <f>H51/DAY(B2)</f>
        <v>889.05389310344822</v>
      </c>
      <c r="K51" s="1271"/>
      <c r="L51" s="1272"/>
      <c r="N51" s="929"/>
      <c r="O51" s="929"/>
    </row>
    <row r="52" spans="1:15" s="543" customFormat="1">
      <c r="A52" s="1269" t="s">
        <v>190</v>
      </c>
      <c r="B52" s="1270"/>
      <c r="C52" s="1270"/>
      <c r="D52" s="768" t="s">
        <v>143</v>
      </c>
      <c r="E52" s="899">
        <f>'[3]28'!F52</f>
        <v>367319.51</v>
      </c>
      <c r="F52" s="899">
        <v>369176.07</v>
      </c>
      <c r="G52" s="789">
        <f t="shared" si="4"/>
        <v>1856.5599999999977</v>
      </c>
      <c r="H52" s="861">
        <f>G52+'[3]28'!H52</f>
        <v>46886.650000000023</v>
      </c>
      <c r="I52" s="862"/>
      <c r="J52" s="863">
        <f>H52/DAY(B2)</f>
        <v>1616.7810344827594</v>
      </c>
      <c r="K52" s="1271"/>
      <c r="L52" s="1272"/>
      <c r="N52" s="929"/>
      <c r="O52" s="929"/>
    </row>
    <row r="53" spans="1:15" s="543" customFormat="1">
      <c r="A53" s="1269" t="s">
        <v>179</v>
      </c>
      <c r="B53" s="1270"/>
      <c r="C53" s="1270"/>
      <c r="D53" s="768" t="s">
        <v>143</v>
      </c>
      <c r="E53" s="899">
        <f>'[3]28'!F53</f>
        <v>36716.203000000001</v>
      </c>
      <c r="F53" s="899">
        <v>40870.178999999996</v>
      </c>
      <c r="G53" s="789">
        <f t="shared" si="4"/>
        <v>4153.9759999999951</v>
      </c>
      <c r="H53" s="861">
        <f>G53+'[3]28'!H53</f>
        <v>51751.179000000004</v>
      </c>
      <c r="I53" s="862"/>
      <c r="J53" s="863">
        <f>H53/DAY(B2)</f>
        <v>1784.5234137931036</v>
      </c>
      <c r="K53" s="1271"/>
      <c r="L53" s="1272"/>
      <c r="N53" s="929"/>
      <c r="O53" s="929"/>
    </row>
    <row r="54" spans="1:15">
      <c r="A54" s="719" t="s">
        <v>191</v>
      </c>
      <c r="B54" s="742"/>
      <c r="C54" s="742"/>
      <c r="D54" s="663" t="s">
        <v>143</v>
      </c>
      <c r="E54" s="898">
        <f>'[3]28'!F54</f>
        <v>2778.1835000000001</v>
      </c>
      <c r="F54" s="898">
        <v>2781.1007</v>
      </c>
      <c r="G54" s="613">
        <f t="shared" si="4"/>
        <v>2.9171999999998661</v>
      </c>
      <c r="H54" s="600">
        <f>G54+'[3]28'!H54</f>
        <v>1228.54</v>
      </c>
      <c r="I54" s="595"/>
      <c r="J54" s="693">
        <f>H54/DAY(B2)</f>
        <v>42.363448275862069</v>
      </c>
      <c r="K54" s="527"/>
      <c r="L54" s="421"/>
    </row>
    <row r="55" spans="1:15">
      <c r="A55" s="719" t="s">
        <v>192</v>
      </c>
      <c r="B55" s="742"/>
      <c r="C55" s="742"/>
      <c r="D55" s="663" t="s">
        <v>143</v>
      </c>
      <c r="E55" s="898">
        <f>'[3]28'!F55</f>
        <v>158493</v>
      </c>
      <c r="F55" s="899">
        <v>158492.73000000001</v>
      </c>
      <c r="G55" s="789">
        <f t="shared" si="4"/>
        <v>-0.26999999998952262</v>
      </c>
      <c r="H55" s="861">
        <f>G55+'[3]28'!H55</f>
        <v>-0.26999999998952262</v>
      </c>
      <c r="I55" s="862"/>
      <c r="J55" s="863">
        <f>H55/DAY(B2)</f>
        <v>-9.3103448272249187E-3</v>
      </c>
      <c r="K55" s="527"/>
      <c r="L55" s="421"/>
    </row>
    <row r="56" spans="1:15">
      <c r="A56" s="719" t="s">
        <v>193</v>
      </c>
      <c r="B56" s="742"/>
      <c r="C56" s="742"/>
      <c r="D56" s="663" t="s">
        <v>194</v>
      </c>
      <c r="E56" s="898">
        <f>'[3]28'!F56</f>
        <v>424753.27</v>
      </c>
      <c r="F56" s="899">
        <v>430011.47</v>
      </c>
      <c r="G56" s="613">
        <f t="shared" si="4"/>
        <v>5258.1999999999534</v>
      </c>
      <c r="H56" s="600">
        <f>G56+'[3]28'!H56</f>
        <v>117966.98999999999</v>
      </c>
      <c r="I56" s="595"/>
      <c r="J56" s="693">
        <f>H56/DAY(B2)</f>
        <v>4067.8272413793102</v>
      </c>
      <c r="K56" s="526"/>
      <c r="L56" s="421"/>
    </row>
    <row r="57" spans="1:15">
      <c r="A57" s="719" t="s">
        <v>183</v>
      </c>
      <c r="B57" s="742"/>
      <c r="C57" s="742"/>
      <c r="D57" s="663" t="s">
        <v>143</v>
      </c>
      <c r="E57" s="898">
        <f>'[3]28'!F57</f>
        <v>0</v>
      </c>
      <c r="F57" s="898">
        <v>0</v>
      </c>
      <c r="G57" s="613">
        <f t="shared" si="4"/>
        <v>0</v>
      </c>
      <c r="H57" s="600">
        <f>G57+'[3]28'!H57</f>
        <v>0</v>
      </c>
      <c r="I57" s="595"/>
      <c r="J57" s="693">
        <f>H57/DAY(B2)</f>
        <v>0</v>
      </c>
      <c r="K57" s="527"/>
      <c r="L57" s="421"/>
    </row>
    <row r="58" spans="1:15">
      <c r="A58" s="719" t="s">
        <v>195</v>
      </c>
      <c r="B58" s="742"/>
      <c r="C58" s="742"/>
      <c r="D58" s="663" t="s">
        <v>143</v>
      </c>
      <c r="E58" s="898">
        <f>'[3]28'!F58</f>
        <v>19985.809000000001</v>
      </c>
      <c r="F58" s="899">
        <v>20116.107</v>
      </c>
      <c r="G58" s="613">
        <f t="shared" si="4"/>
        <v>130.29799999999886</v>
      </c>
      <c r="H58" s="600">
        <f>G58+'[3]28'!H58</f>
        <v>2346.8109999999979</v>
      </c>
      <c r="I58" s="595"/>
      <c r="J58" s="693">
        <f>H58/DAY(B2)</f>
        <v>80.924517241379235</v>
      </c>
      <c r="K58" s="527"/>
      <c r="L58" s="421"/>
    </row>
    <row r="59" spans="1:15">
      <c r="A59" s="726">
        <v>1</v>
      </c>
      <c r="B59" s="727"/>
      <c r="C59" s="727"/>
      <c r="D59" s="651"/>
      <c r="E59" s="610"/>
      <c r="F59" s="610"/>
      <c r="G59" s="621">
        <f>G49+G50+G51+G52+G53+G54+G55+G56+G57+G58</f>
        <v>17106.589199999948</v>
      </c>
      <c r="H59" s="600">
        <f>G59+'[3]28'!H59</f>
        <v>321521.10789999994</v>
      </c>
      <c r="I59" s="595">
        <f>G7-G60</f>
        <v>591.34080000004542</v>
      </c>
      <c r="J59" s="693">
        <f>H59/DAY(B2)</f>
        <v>11086.934755172411</v>
      </c>
      <c r="K59" s="527"/>
      <c r="L59" s="421"/>
      <c r="O59" s="928">
        <f>159+122+341+154</f>
        <v>776</v>
      </c>
    </row>
    <row r="60" spans="1:15">
      <c r="A60" s="719"/>
      <c r="B60" s="720"/>
      <c r="C60" s="720"/>
      <c r="D60" s="651" t="s">
        <v>196</v>
      </c>
      <c r="E60" s="610"/>
      <c r="F60" s="610"/>
      <c r="G60" s="621">
        <f>G47+G59</f>
        <v>20552.659199999955</v>
      </c>
      <c r="H60" s="600">
        <f>G60+'[3]28'!H60</f>
        <v>505174.93860000017</v>
      </c>
      <c r="I60" s="595">
        <f>G13-G60</f>
        <v>-164.67919999968217</v>
      </c>
      <c r="J60" s="693">
        <f>H60/DAY(B2)</f>
        <v>17419.825468965522</v>
      </c>
      <c r="K60" s="527"/>
      <c r="L60" s="421"/>
    </row>
    <row r="61" spans="1:15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</row>
    <row r="62" spans="1:15">
      <c r="A62" s="744" t="s">
        <v>106</v>
      </c>
      <c r="B62" s="745"/>
      <c r="C62" s="745"/>
      <c r="D62" s="651" t="s">
        <v>198</v>
      </c>
      <c r="E62" s="654">
        <f>'[3]28'!F62</f>
        <v>20419.187000000002</v>
      </c>
      <c r="F62" s="654">
        <v>20419.18</v>
      </c>
      <c r="G62" s="613">
        <f t="shared" ref="G62:G69" si="5">F62-E62</f>
        <v>-7.0000000014260877E-3</v>
      </c>
      <c r="H62" s="600">
        <f>G62+'[3]28'!H62</f>
        <v>-0.19799999999668216</v>
      </c>
      <c r="I62" s="655"/>
      <c r="J62" s="693">
        <f>H62/DAY(B2)</f>
        <v>-6.8275862067821436E-3</v>
      </c>
      <c r="K62" s="527"/>
      <c r="L62" s="421"/>
    </row>
    <row r="63" spans="1:15">
      <c r="A63" s="744" t="s">
        <v>199</v>
      </c>
      <c r="B63" s="745"/>
      <c r="C63" s="745"/>
      <c r="D63" s="651" t="s">
        <v>198</v>
      </c>
      <c r="E63" s="654">
        <f>'[3]28'!F63</f>
        <v>823.46100000000001</v>
      </c>
      <c r="F63" s="654">
        <v>839.9</v>
      </c>
      <c r="G63" s="613">
        <f t="shared" si="5"/>
        <v>16.438999999999965</v>
      </c>
      <c r="H63" s="600">
        <f>G63+'[3]28'!H63</f>
        <v>541.43999999999994</v>
      </c>
      <c r="I63" s="655"/>
      <c r="J63" s="693">
        <f>H63/DAY(B2)</f>
        <v>18.670344827586206</v>
      </c>
      <c r="K63" s="527"/>
      <c r="L63" s="421"/>
    </row>
    <row r="64" spans="1:15" ht="27.75">
      <c r="A64" s="1429" t="s">
        <v>107</v>
      </c>
      <c r="B64" s="1430"/>
      <c r="C64" s="1431"/>
      <c r="D64" s="663" t="s">
        <v>198</v>
      </c>
      <c r="E64" s="654">
        <f>'[3]28'!F64</f>
        <v>85955.638999999996</v>
      </c>
      <c r="F64" s="894">
        <v>86315.471000000005</v>
      </c>
      <c r="G64" s="613">
        <f t="shared" si="5"/>
        <v>359.83200000000943</v>
      </c>
      <c r="H64" s="600">
        <f>G64+'[3]28'!H64</f>
        <v>10252.384000000005</v>
      </c>
      <c r="I64" s="620"/>
      <c r="J64" s="693">
        <f>H64/DAY(B2)</f>
        <v>353.53048275862091</v>
      </c>
      <c r="K64" s="527"/>
      <c r="L64" s="421"/>
    </row>
    <row r="65" spans="1:12" ht="27.75">
      <c r="A65" s="1429" t="s">
        <v>108</v>
      </c>
      <c r="B65" s="1430"/>
      <c r="C65" s="1431"/>
      <c r="D65" s="663" t="s">
        <v>198</v>
      </c>
      <c r="E65" s="654">
        <f>'[3]28'!F65</f>
        <v>95868.502999999997</v>
      </c>
      <c r="F65" s="901">
        <v>96243.510999999999</v>
      </c>
      <c r="G65" s="613">
        <f t="shared" si="5"/>
        <v>375.00800000000163</v>
      </c>
      <c r="H65" s="600">
        <f>G65+'[3]28'!H65</f>
        <v>11084.247999999992</v>
      </c>
      <c r="I65" s="629"/>
      <c r="J65" s="693">
        <f>H65/DAY(B2)</f>
        <v>382.21544827586183</v>
      </c>
      <c r="K65" s="527"/>
      <c r="L65" s="421"/>
    </row>
    <row r="66" spans="1:12" ht="27.75">
      <c r="A66" s="1429" t="s">
        <v>109</v>
      </c>
      <c r="B66" s="1430"/>
      <c r="C66" s="1431"/>
      <c r="D66" s="663" t="s">
        <v>198</v>
      </c>
      <c r="E66" s="654">
        <f>'[3]28'!F66</f>
        <v>89163.358999999997</v>
      </c>
      <c r="F66" s="894">
        <v>89574.047000000006</v>
      </c>
      <c r="G66" s="613">
        <f t="shared" si="5"/>
        <v>410.6880000000092</v>
      </c>
      <c r="H66" s="600">
        <f>G66+'[3]28'!H66</f>
        <v>11386.089000000007</v>
      </c>
      <c r="I66" s="620"/>
      <c r="J66" s="693">
        <f>H66/DAY(B2)</f>
        <v>392.6237586206899</v>
      </c>
      <c r="K66" s="527"/>
      <c r="L66" s="421"/>
    </row>
    <row r="67" spans="1:12" ht="27.75">
      <c r="A67" s="1429" t="s">
        <v>110</v>
      </c>
      <c r="B67" s="1430"/>
      <c r="C67" s="1431"/>
      <c r="D67" s="663" t="s">
        <v>198</v>
      </c>
      <c r="E67" s="654">
        <f>'[3]28'!F67</f>
        <v>144458.26999999999</v>
      </c>
      <c r="F67" s="894">
        <v>145211.41</v>
      </c>
      <c r="G67" s="613">
        <f t="shared" si="5"/>
        <v>753.14000000001397</v>
      </c>
      <c r="H67" s="600">
        <f>G67+'[3]28'!H67</f>
        <v>19154.910000000003</v>
      </c>
      <c r="I67" s="629"/>
      <c r="J67" s="693">
        <f>H67/DAY(B2)</f>
        <v>660.51413793103461</v>
      </c>
      <c r="K67" s="528"/>
      <c r="L67" s="421"/>
    </row>
    <row r="68" spans="1:12" ht="27.75">
      <c r="A68" s="1429" t="s">
        <v>111</v>
      </c>
      <c r="B68" s="1430"/>
      <c r="C68" s="1431"/>
      <c r="D68" s="663" t="s">
        <v>198</v>
      </c>
      <c r="E68" s="654">
        <f>'[3]28'!F68</f>
        <v>42430.879000000001</v>
      </c>
      <c r="F68" s="894">
        <v>42788.182999999997</v>
      </c>
      <c r="G68" s="613">
        <f t="shared" si="5"/>
        <v>357.30399999999645</v>
      </c>
      <c r="H68" s="600">
        <f>G68+'[3]28'!H68</f>
        <v>9388.3139999999985</v>
      </c>
      <c r="I68" s="656"/>
      <c r="J68" s="693">
        <f>H68/DAY(B2)</f>
        <v>323.73496551724133</v>
      </c>
      <c r="K68" s="529"/>
      <c r="L68" s="421"/>
    </row>
    <row r="69" spans="1:12" ht="27.75">
      <c r="A69" s="1429" t="s">
        <v>112</v>
      </c>
      <c r="B69" s="1430"/>
      <c r="C69" s="1431"/>
      <c r="D69" s="663" t="s">
        <v>198</v>
      </c>
      <c r="E69" s="654">
        <f>'[3]28'!F69</f>
        <v>36979.870999999999</v>
      </c>
      <c r="F69" s="894">
        <v>37262.686999999998</v>
      </c>
      <c r="G69" s="613">
        <f t="shared" si="5"/>
        <v>282.81599999999889</v>
      </c>
      <c r="H69" s="600">
        <f>G69+'[3]28'!H69</f>
        <v>8010.3219999999965</v>
      </c>
      <c r="I69" s="656"/>
      <c r="J69" s="693">
        <f>H69/DAY(B2)</f>
        <v>276.2179999999999</v>
      </c>
      <c r="K69" s="530"/>
      <c r="L69" s="421"/>
    </row>
    <row r="70" spans="1:12" ht="27.75">
      <c r="A70" s="1469" t="s">
        <v>200</v>
      </c>
      <c r="B70" s="1470"/>
      <c r="C70" s="1471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</row>
    <row r="71" spans="1:12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</row>
    <row r="72" spans="1:12" ht="27.75">
      <c r="A72" s="1429" t="s">
        <v>202</v>
      </c>
      <c r="B72" s="1430"/>
      <c r="C72" s="1431"/>
      <c r="D72" s="663" t="s">
        <v>198</v>
      </c>
      <c r="E72" s="919">
        <f>'[3]28'!F72</f>
        <v>844161</v>
      </c>
      <c r="F72" s="903">
        <v>844169</v>
      </c>
      <c r="G72" s="613">
        <f t="shared" ref="G72:G84" si="6">F72-E72</f>
        <v>8</v>
      </c>
      <c r="H72" s="600">
        <f>G72+'[3]28'!H72</f>
        <v>227</v>
      </c>
      <c r="I72" s="620"/>
      <c r="J72" s="693">
        <f>H72/DAY(B2)</f>
        <v>7.8275862068965516</v>
      </c>
      <c r="K72" s="530"/>
      <c r="L72" s="421"/>
    </row>
    <row r="73" spans="1:12" ht="27.75">
      <c r="A73" s="1429" t="s">
        <v>203</v>
      </c>
      <c r="B73" s="1430"/>
      <c r="C73" s="1431"/>
      <c r="D73" s="663" t="s">
        <v>198</v>
      </c>
      <c r="E73" s="920">
        <f>'[3]28'!F73</f>
        <v>885307</v>
      </c>
      <c r="F73" s="904">
        <v>885308</v>
      </c>
      <c r="G73" s="789">
        <f>F73-E73</f>
        <v>1</v>
      </c>
      <c r="H73" s="600">
        <f>G73+'[3]28'!H73</f>
        <v>180</v>
      </c>
      <c r="I73" s="620"/>
      <c r="J73" s="693">
        <f>H73/DAY(B2)</f>
        <v>6.2068965517241379</v>
      </c>
      <c r="K73" s="529"/>
      <c r="L73" s="421"/>
    </row>
    <row r="74" spans="1:12" ht="27.75">
      <c r="A74" s="1429" t="s">
        <v>204</v>
      </c>
      <c r="B74" s="1430"/>
      <c r="C74" s="1431"/>
      <c r="D74" s="663" t="s">
        <v>198</v>
      </c>
      <c r="E74" s="921">
        <f>'[3]28'!F74</f>
        <v>880185</v>
      </c>
      <c r="F74" s="904">
        <v>880204</v>
      </c>
      <c r="G74" s="613">
        <f t="shared" si="6"/>
        <v>19</v>
      </c>
      <c r="H74" s="600">
        <f>G74+'[3]28'!H74</f>
        <v>568</v>
      </c>
      <c r="I74" s="620"/>
      <c r="J74" s="693">
        <f>H74/DAY(B2)</f>
        <v>19.586206896551722</v>
      </c>
      <c r="K74" s="530"/>
      <c r="L74" s="421"/>
    </row>
    <row r="75" spans="1:12" ht="27.75">
      <c r="A75" s="1408" t="s">
        <v>205</v>
      </c>
      <c r="B75" s="1409"/>
      <c r="C75" s="1410"/>
      <c r="D75" s="663" t="s">
        <v>198</v>
      </c>
      <c r="E75" s="920">
        <f>'[3]28'!F75</f>
        <v>725831</v>
      </c>
      <c r="F75" s="904">
        <v>726012</v>
      </c>
      <c r="G75" s="613">
        <f t="shared" si="6"/>
        <v>181</v>
      </c>
      <c r="H75" s="600">
        <f>G75+'[3]28'!H75</f>
        <v>4646</v>
      </c>
      <c r="I75" s="620"/>
      <c r="J75" s="693">
        <f>H75/DAY(B2)</f>
        <v>160.20689655172413</v>
      </c>
      <c r="K75" s="529"/>
      <c r="L75" s="421"/>
    </row>
    <row r="76" spans="1:12" ht="27.75">
      <c r="A76" s="1408" t="s">
        <v>206</v>
      </c>
      <c r="B76" s="1409"/>
      <c r="C76" s="1410"/>
      <c r="D76" s="663" t="s">
        <v>198</v>
      </c>
      <c r="E76" s="920">
        <f>'[3]28'!F76</f>
        <v>681553</v>
      </c>
      <c r="F76" s="904">
        <v>681619</v>
      </c>
      <c r="G76" s="613">
        <f t="shared" si="6"/>
        <v>66</v>
      </c>
      <c r="H76" s="600">
        <f>G76+'[3]28'!H76</f>
        <v>3149</v>
      </c>
      <c r="I76" s="645"/>
      <c r="J76" s="693">
        <f>H76/DAY(B2)</f>
        <v>108.58620689655173</v>
      </c>
      <c r="K76" s="529"/>
      <c r="L76" s="421"/>
    </row>
    <row r="77" spans="1:12" ht="27.75">
      <c r="A77" s="1429" t="s">
        <v>207</v>
      </c>
      <c r="B77" s="1430"/>
      <c r="C77" s="1431"/>
      <c r="D77" s="663" t="s">
        <v>198</v>
      </c>
      <c r="E77" s="920">
        <f>'[3]28'!F77</f>
        <v>693619</v>
      </c>
      <c r="F77" s="904">
        <v>693669</v>
      </c>
      <c r="G77" s="789">
        <f t="shared" si="6"/>
        <v>50</v>
      </c>
      <c r="H77" s="600">
        <f>G77+'[3]28'!H77</f>
        <v>1362</v>
      </c>
      <c r="I77" s="645"/>
      <c r="J77" s="693">
        <f>H77/DAY(B2)</f>
        <v>46.96551724137931</v>
      </c>
      <c r="K77" s="529"/>
      <c r="L77" s="421"/>
    </row>
    <row r="78" spans="1:12" ht="27.75">
      <c r="A78" s="1374" t="s">
        <v>208</v>
      </c>
      <c r="B78" s="1339"/>
      <c r="C78" s="1339"/>
      <c r="D78" s="663" t="s">
        <v>198</v>
      </c>
      <c r="E78" s="920">
        <f>'[3]28'!F78</f>
        <v>617329</v>
      </c>
      <c r="F78" s="904">
        <v>617771</v>
      </c>
      <c r="G78" s="789">
        <f t="shared" si="6"/>
        <v>442</v>
      </c>
      <c r="H78" s="600">
        <f>G78+'[3]28'!H78</f>
        <v>9757</v>
      </c>
      <c r="I78" s="645"/>
      <c r="J78" s="693">
        <f>H78/DAY(B2)</f>
        <v>336.44827586206895</v>
      </c>
      <c r="K78" s="529"/>
      <c r="L78" s="421"/>
    </row>
    <row r="79" spans="1:12" ht="27.75">
      <c r="A79" s="1408" t="s">
        <v>97</v>
      </c>
      <c r="B79" s="1409"/>
      <c r="C79" s="1410"/>
      <c r="D79" s="664" t="s">
        <v>198</v>
      </c>
      <c r="E79" s="921">
        <f>'[3]28'!F79</f>
        <v>797586</v>
      </c>
      <c r="F79" s="905">
        <v>797787</v>
      </c>
      <c r="G79" s="613">
        <f t="shared" si="6"/>
        <v>201</v>
      </c>
      <c r="H79" s="600">
        <f>G79+'[3]28'!H79</f>
        <v>6972</v>
      </c>
      <c r="I79" s="645"/>
      <c r="J79" s="693">
        <f>H79/DAY(B2)</f>
        <v>240.41379310344828</v>
      </c>
      <c r="K79" s="529"/>
      <c r="L79" s="421"/>
    </row>
    <row r="80" spans="1:12" ht="27.75">
      <c r="A80" s="1408" t="s">
        <v>209</v>
      </c>
      <c r="B80" s="1409"/>
      <c r="C80" s="1410"/>
      <c r="D80" s="664" t="s">
        <v>198</v>
      </c>
      <c r="E80" s="920">
        <f>'[3]28'!F80</f>
        <v>464840.04</v>
      </c>
      <c r="F80" s="904">
        <v>465176.24</v>
      </c>
      <c r="G80" s="613">
        <f t="shared" si="6"/>
        <v>336.20000000001164</v>
      </c>
      <c r="H80" s="600">
        <f>G80+'[3]28'!H80</f>
        <v>6739.359999999986</v>
      </c>
      <c r="I80" s="645"/>
      <c r="J80" s="693">
        <f>H80/DAY(B2)</f>
        <v>232.39172413793057</v>
      </c>
      <c r="K80" s="529"/>
      <c r="L80" s="421"/>
    </row>
    <row r="81" spans="1:15" ht="27.75">
      <c r="A81" s="1408" t="s">
        <v>210</v>
      </c>
      <c r="B81" s="1409"/>
      <c r="C81" s="1410"/>
      <c r="D81" s="664" t="s">
        <v>198</v>
      </c>
      <c r="E81" s="920">
        <f>'[3]28'!F81</f>
        <v>614051.16</v>
      </c>
      <c r="F81" s="904">
        <v>614214</v>
      </c>
      <c r="G81" s="613">
        <f t="shared" si="6"/>
        <v>162.8399999999674</v>
      </c>
      <c r="H81" s="600">
        <f>G81+'[3]28'!H81</f>
        <v>3091.7199999999721</v>
      </c>
      <c r="I81" s="645"/>
      <c r="J81" s="693">
        <f>H81/DAY(B2)</f>
        <v>106.61103448275766</v>
      </c>
      <c r="K81" s="529"/>
      <c r="L81" s="421"/>
    </row>
    <row r="82" spans="1:15" ht="27.75">
      <c r="A82" s="1408" t="s">
        <v>100</v>
      </c>
      <c r="B82" s="1409"/>
      <c r="C82" s="1410"/>
      <c r="D82" s="625" t="s">
        <v>143</v>
      </c>
      <c r="E82" s="922">
        <f>'[3]28'!F82</f>
        <v>103488.64</v>
      </c>
      <c r="F82" s="901">
        <v>103509.03</v>
      </c>
      <c r="G82" s="613">
        <f t="shared" si="6"/>
        <v>20.389999999999418</v>
      </c>
      <c r="H82" s="600">
        <f>G82+'[3]28'!H82</f>
        <v>479.08000000000175</v>
      </c>
      <c r="I82" s="626"/>
      <c r="J82" s="693">
        <f>H82/DAY(B2)</f>
        <v>16.52000000000006</v>
      </c>
      <c r="K82" s="529"/>
      <c r="L82" s="421"/>
    </row>
    <row r="83" spans="1:15" ht="27.75">
      <c r="A83" s="1408" t="s">
        <v>211</v>
      </c>
      <c r="B83" s="1409"/>
      <c r="C83" s="1410"/>
      <c r="D83" s="761" t="s">
        <v>143</v>
      </c>
      <c r="E83" s="610">
        <f>'[3]28'!F83</f>
        <v>961817</v>
      </c>
      <c r="F83" s="610">
        <v>962161</v>
      </c>
      <c r="G83" s="613">
        <f t="shared" si="6"/>
        <v>344</v>
      </c>
      <c r="H83" s="600">
        <f>G83+'[3]28'!H83</f>
        <v>9918</v>
      </c>
      <c r="I83" s="621"/>
      <c r="J83" s="693">
        <f>H83/DAY(B2)</f>
        <v>342</v>
      </c>
      <c r="K83" s="528"/>
      <c r="L83" s="421"/>
    </row>
    <row r="84" spans="1:15">
      <c r="A84" s="1377" t="s">
        <v>212</v>
      </c>
      <c r="B84" s="712"/>
      <c r="C84" s="712"/>
      <c r="D84" s="618" t="s">
        <v>143</v>
      </c>
      <c r="E84" s="861">
        <f>'[3]28'!F84</f>
        <v>380335</v>
      </c>
      <c r="F84" s="861">
        <v>380833</v>
      </c>
      <c r="G84" s="613">
        <f t="shared" si="6"/>
        <v>498</v>
      </c>
      <c r="H84" s="600">
        <f>G84+'[3]28'!H84</f>
        <v>14400</v>
      </c>
      <c r="I84" s="621"/>
      <c r="J84" s="693">
        <f>H84/DAY(B2)</f>
        <v>496.55172413793105</v>
      </c>
      <c r="K84" s="424"/>
      <c r="L84" s="421"/>
    </row>
    <row r="85" spans="1:15" s="423" customFormat="1">
      <c r="A85" s="746" t="s">
        <v>213</v>
      </c>
      <c r="B85" s="713"/>
      <c r="C85" s="713"/>
      <c r="D85" s="629"/>
      <c r="E85" s="861">
        <f>'[3]28'!F85</f>
        <v>0</v>
      </c>
      <c r="F85" s="600"/>
      <c r="G85" s="600">
        <f xml:space="preserve"> SUM(G72:G84)</f>
        <v>2329.4299999999785</v>
      </c>
      <c r="H85" s="600">
        <f>G85+'[3]28'!H85</f>
        <v>58163.25999999998</v>
      </c>
      <c r="I85" s="621"/>
      <c r="J85" s="693">
        <f>H85/DAY(B2)</f>
        <v>2005.6296551724131</v>
      </c>
      <c r="K85" s="424"/>
      <c r="L85" s="422"/>
      <c r="N85" s="928"/>
      <c r="O85" s="928"/>
    </row>
    <row r="86" spans="1:15" s="891" customFormat="1">
      <c r="A86" s="886" t="s">
        <v>102</v>
      </c>
      <c r="B86" s="887"/>
      <c r="C86" s="887"/>
      <c r="D86" s="888" t="s">
        <v>194</v>
      </c>
      <c r="E86" s="861">
        <f>'[3]28'!F86</f>
        <v>440114.68</v>
      </c>
      <c r="F86" s="906">
        <v>440234.52</v>
      </c>
      <c r="G86" s="861">
        <f t="shared" ref="G86:G90" si="7">F86-E86</f>
        <v>119.84000000002561</v>
      </c>
      <c r="H86" s="861">
        <f t="shared" ref="H86:H88" si="8">G86</f>
        <v>119.84000000002561</v>
      </c>
      <c r="I86" s="789"/>
      <c r="J86" s="863">
        <f>H86/DAY(B2)</f>
        <v>4.1324137931043312</v>
      </c>
      <c r="K86" s="889"/>
      <c r="L86" s="890"/>
      <c r="N86" s="929"/>
      <c r="O86" s="929"/>
    </row>
    <row r="87" spans="1:15" s="891" customFormat="1">
      <c r="A87" s="886" t="s">
        <v>103</v>
      </c>
      <c r="B87" s="887"/>
      <c r="C87" s="887"/>
      <c r="D87" s="888" t="s">
        <v>194</v>
      </c>
      <c r="E87" s="861">
        <f>'[3]28'!F87</f>
        <v>76855.8</v>
      </c>
      <c r="F87" s="906">
        <v>76866.8</v>
      </c>
      <c r="G87" s="861">
        <f t="shared" si="7"/>
        <v>11</v>
      </c>
      <c r="H87" s="861">
        <f t="shared" si="8"/>
        <v>11</v>
      </c>
      <c r="I87" s="789"/>
      <c r="J87" s="863">
        <f>H87/DAY(B2)</f>
        <v>0.37931034482758619</v>
      </c>
      <c r="K87" s="889"/>
      <c r="L87" s="890"/>
      <c r="N87" s="929"/>
      <c r="O87" s="929"/>
    </row>
    <row r="88" spans="1:15" s="891" customFormat="1">
      <c r="A88" s="886" t="s">
        <v>104</v>
      </c>
      <c r="B88" s="887"/>
      <c r="C88" s="887"/>
      <c r="D88" s="888" t="s">
        <v>194</v>
      </c>
      <c r="E88" s="861">
        <f>'[3]28'!F88</f>
        <v>142274.91</v>
      </c>
      <c r="F88" s="906">
        <v>142347.5</v>
      </c>
      <c r="G88" s="861">
        <f t="shared" si="7"/>
        <v>72.589999999996508</v>
      </c>
      <c r="H88" s="861">
        <f t="shared" si="8"/>
        <v>72.589999999996508</v>
      </c>
      <c r="I88" s="789"/>
      <c r="J88" s="863">
        <f>H88/DAY(B2)</f>
        <v>2.5031034482757417</v>
      </c>
      <c r="K88" s="889"/>
      <c r="L88" s="890"/>
      <c r="N88" s="929">
        <f>122+359</f>
        <v>481</v>
      </c>
      <c r="O88" s="929"/>
    </row>
    <row r="89" spans="1:15" s="891" customFormat="1">
      <c r="A89" s="886" t="s">
        <v>215</v>
      </c>
      <c r="B89" s="887"/>
      <c r="C89" s="887"/>
      <c r="D89" s="888" t="s">
        <v>194</v>
      </c>
      <c r="E89" s="861">
        <f>'[3]28'!F89</f>
        <v>55572.2</v>
      </c>
      <c r="F89" s="784">
        <v>55622.7</v>
      </c>
      <c r="G89" s="861">
        <f t="shared" si="7"/>
        <v>50.5</v>
      </c>
      <c r="H89" s="861">
        <f>G89</f>
        <v>50.5</v>
      </c>
      <c r="I89" s="789"/>
      <c r="J89" s="863">
        <f>H89/DAY(B2)</f>
        <v>1.7413793103448276</v>
      </c>
      <c r="K89" s="889"/>
      <c r="L89" s="890"/>
    </row>
    <row r="90" spans="1:15" s="891" customFormat="1">
      <c r="A90" s="886" t="s">
        <v>215</v>
      </c>
      <c r="B90" s="887"/>
      <c r="C90" s="887"/>
      <c r="D90" s="888" t="s">
        <v>194</v>
      </c>
      <c r="E90" s="861">
        <f>'[3]28'!F90</f>
        <v>2870</v>
      </c>
      <c r="F90" s="784">
        <v>2881.2</v>
      </c>
      <c r="G90" s="861">
        <f t="shared" si="7"/>
        <v>11.199999999999818</v>
      </c>
      <c r="H90" s="861">
        <f>G90</f>
        <v>11.199999999999818</v>
      </c>
      <c r="I90" s="789"/>
      <c r="J90" s="863">
        <f>H90/DAY(B2)</f>
        <v>0.38620689655171786</v>
      </c>
      <c r="K90" s="889"/>
      <c r="L90" s="890"/>
    </row>
    <row r="91" spans="1:15" s="423" customFormat="1">
      <c r="A91" s="747" t="s">
        <v>216</v>
      </c>
      <c r="B91" s="1375"/>
      <c r="C91" s="1375"/>
      <c r="D91" s="612"/>
      <c r="E91" s="895"/>
      <c r="F91" s="895"/>
      <c r="G91" s="628"/>
      <c r="H91" s="612"/>
      <c r="I91" s="612"/>
      <c r="J91" s="692"/>
      <c r="K91" s="424"/>
      <c r="L91" s="422"/>
      <c r="N91" s="928"/>
      <c r="O91" s="928"/>
    </row>
    <row r="92" spans="1:15" ht="27.75">
      <c r="A92" s="1432" t="s">
        <v>217</v>
      </c>
      <c r="B92" s="1433"/>
      <c r="C92" s="1434"/>
      <c r="D92" s="663" t="s">
        <v>155</v>
      </c>
      <c r="E92" s="915">
        <f>'[3]28'!F92</f>
        <v>230752</v>
      </c>
      <c r="F92" s="894">
        <v>230856</v>
      </c>
      <c r="G92" s="613">
        <f t="shared" ref="G92:G93" si="9">F92-E92</f>
        <v>104</v>
      </c>
      <c r="H92" s="600">
        <f>G92+'[3]28'!H92</f>
        <v>2261</v>
      </c>
      <c r="I92" s="620"/>
      <c r="J92" s="693">
        <f>H92/DAY(B2)</f>
        <v>77.965517241379317</v>
      </c>
      <c r="K92" s="528"/>
      <c r="L92" s="421"/>
    </row>
    <row r="93" spans="1:15" ht="27.75">
      <c r="A93" s="1432" t="s">
        <v>218</v>
      </c>
      <c r="B93" s="1433"/>
      <c r="C93" s="1434"/>
      <c r="D93" s="663" t="s">
        <v>155</v>
      </c>
      <c r="E93" s="915">
        <f>'[3]28'!F93</f>
        <v>162354</v>
      </c>
      <c r="F93" s="894">
        <v>162491</v>
      </c>
      <c r="G93" s="613">
        <f t="shared" si="9"/>
        <v>137</v>
      </c>
      <c r="H93" s="600">
        <f>G93+'[3]28'!H93</f>
        <v>3968</v>
      </c>
      <c r="I93" s="620"/>
      <c r="J93" s="693">
        <f>H93/DAY(B2)</f>
        <v>136.82758620689654</v>
      </c>
      <c r="K93" s="424"/>
      <c r="L93" s="421"/>
    </row>
    <row r="94" spans="1:15">
      <c r="A94" s="1460" t="s">
        <v>219</v>
      </c>
      <c r="B94" s="1461"/>
      <c r="C94" s="1462"/>
      <c r="D94" s="663"/>
      <c r="E94" s="915"/>
      <c r="F94" s="894"/>
      <c r="G94" s="613">
        <f>G92+G93</f>
        <v>241</v>
      </c>
      <c r="H94" s="600">
        <f>G94+'[3]28'!H94</f>
        <v>5939</v>
      </c>
      <c r="I94" s="620"/>
      <c r="J94" s="693">
        <f>H94/DAY(B2)</f>
        <v>204.79310344827587</v>
      </c>
      <c r="K94" s="424"/>
      <c r="L94" s="421"/>
    </row>
    <row r="95" spans="1:15" ht="27.75">
      <c r="A95" s="1432" t="s">
        <v>220</v>
      </c>
      <c r="B95" s="1433"/>
      <c r="C95" s="1434"/>
      <c r="D95" s="663" t="s">
        <v>155</v>
      </c>
      <c r="E95" s="915">
        <f>'[3]28'!F95</f>
        <v>401419</v>
      </c>
      <c r="F95" s="894">
        <v>401491</v>
      </c>
      <c r="G95" s="613">
        <f t="shared" ref="G95:G100" si="10">F95-E95</f>
        <v>72</v>
      </c>
      <c r="H95" s="600">
        <f>G95+'[3]28'!H95</f>
        <v>1644</v>
      </c>
      <c r="I95" s="620"/>
      <c r="J95" s="693">
        <f>H95/DAY(B2)</f>
        <v>56.689655172413794</v>
      </c>
      <c r="K95" s="424"/>
      <c r="L95" s="421"/>
    </row>
    <row r="96" spans="1:15" ht="27.75">
      <c r="A96" s="1371" t="s">
        <v>221</v>
      </c>
      <c r="B96" s="1372"/>
      <c r="C96" s="1372"/>
      <c r="D96" s="663" t="s">
        <v>155</v>
      </c>
      <c r="E96" s="915">
        <f>'[3]28'!F96</f>
        <v>99047</v>
      </c>
      <c r="F96" s="894">
        <v>99079</v>
      </c>
      <c r="G96" s="613">
        <f t="shared" si="10"/>
        <v>32</v>
      </c>
      <c r="H96" s="600">
        <f>G96+'[3]28'!H96</f>
        <v>1070</v>
      </c>
      <c r="I96" s="620"/>
      <c r="J96" s="693">
        <f>H96/DAY(B2)</f>
        <v>36.896551724137929</v>
      </c>
      <c r="K96" s="526"/>
      <c r="L96" s="421"/>
    </row>
    <row r="97" spans="1:15" ht="27.75">
      <c r="A97" s="1371" t="s">
        <v>222</v>
      </c>
      <c r="B97" s="1372"/>
      <c r="C97" s="1372"/>
      <c r="D97" s="663" t="s">
        <v>155</v>
      </c>
      <c r="E97" s="915">
        <f>'[3]28'!F97</f>
        <v>94187</v>
      </c>
      <c r="F97" s="894">
        <v>94222</v>
      </c>
      <c r="G97" s="613">
        <f t="shared" si="10"/>
        <v>35</v>
      </c>
      <c r="H97" s="600">
        <f>G97+'[3]28'!H97</f>
        <v>671</v>
      </c>
      <c r="I97" s="620"/>
      <c r="J97" s="693">
        <f>H97/DAY(B2)</f>
        <v>23.137931034482758</v>
      </c>
      <c r="K97" s="531"/>
      <c r="L97" s="421"/>
    </row>
    <row r="98" spans="1:15" ht="27.75">
      <c r="A98" s="1371" t="s">
        <v>223</v>
      </c>
      <c r="B98" s="1372"/>
      <c r="C98" s="1372"/>
      <c r="D98" s="663" t="s">
        <v>155</v>
      </c>
      <c r="E98" s="915">
        <f>'[3]28'!F98</f>
        <v>142038</v>
      </c>
      <c r="F98" s="894">
        <v>142080</v>
      </c>
      <c r="G98" s="613">
        <f t="shared" si="10"/>
        <v>42</v>
      </c>
      <c r="H98" s="600">
        <f>G98+'[3]28'!H98</f>
        <v>1175</v>
      </c>
      <c r="I98" s="620"/>
      <c r="J98" s="693">
        <f>H98/DAY(B2)</f>
        <v>40.517241379310342</v>
      </c>
      <c r="K98" s="424"/>
      <c r="L98" s="421"/>
    </row>
    <row r="99" spans="1:15" ht="27.75">
      <c r="A99" s="1371" t="s">
        <v>224</v>
      </c>
      <c r="B99" s="1372"/>
      <c r="C99" s="1372"/>
      <c r="D99" s="663" t="s">
        <v>155</v>
      </c>
      <c r="E99" s="915">
        <f>'[3]28'!F99</f>
        <v>4939</v>
      </c>
      <c r="F99" s="894">
        <v>4951</v>
      </c>
      <c r="G99" s="613">
        <f t="shared" si="10"/>
        <v>12</v>
      </c>
      <c r="H99" s="600">
        <f>G99+'[3]28'!H99</f>
        <v>243</v>
      </c>
      <c r="I99" s="620"/>
      <c r="J99" s="693">
        <f>H99/DAY(B2)</f>
        <v>8.3793103448275854</v>
      </c>
      <c r="K99" s="424"/>
      <c r="L99" s="421"/>
    </row>
    <row r="100" spans="1:15" ht="27.75">
      <c r="A100" s="1371" t="s">
        <v>225</v>
      </c>
      <c r="B100" s="1372"/>
      <c r="C100" s="1372"/>
      <c r="D100" s="663" t="s">
        <v>155</v>
      </c>
      <c r="E100" s="915">
        <f>'[3]28'!F100</f>
        <v>3674</v>
      </c>
      <c r="F100" s="894">
        <v>3674</v>
      </c>
      <c r="G100" s="613">
        <f t="shared" si="10"/>
        <v>0</v>
      </c>
      <c r="H100" s="600">
        <f>G100+'[3]28'!H100</f>
        <v>0</v>
      </c>
      <c r="I100" s="620"/>
      <c r="J100" s="693">
        <f>H100/DAY(B2)</f>
        <v>0</v>
      </c>
      <c r="K100" s="424"/>
      <c r="L100" s="421"/>
    </row>
    <row r="101" spans="1:15">
      <c r="A101" s="1460" t="s">
        <v>227</v>
      </c>
      <c r="B101" s="1461"/>
      <c r="C101" s="1462"/>
      <c r="D101" s="664"/>
      <c r="E101" s="626"/>
      <c r="F101" s="626"/>
      <c r="G101" s="665">
        <f>SUM(G95:G100)</f>
        <v>193</v>
      </c>
      <c r="H101" s="600">
        <f>G101+'[3]28'!H101</f>
        <v>4803</v>
      </c>
      <c r="I101" s="666"/>
      <c r="J101" s="693">
        <f>H101/DAY(B2)</f>
        <v>165.62068965517241</v>
      </c>
      <c r="K101" s="424"/>
      <c r="L101" s="421"/>
    </row>
    <row r="102" spans="1:15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928"/>
      <c r="O102" s="928"/>
    </row>
    <row r="103" spans="1:15" s="544" customFormat="1" ht="27">
      <c r="A103" s="1463" t="s">
        <v>229</v>
      </c>
      <c r="B103" s="1464"/>
      <c r="C103" s="714"/>
      <c r="D103" s="763"/>
      <c r="E103" s="673"/>
      <c r="F103" s="908"/>
      <c r="G103" s="672"/>
      <c r="H103" s="673"/>
      <c r="I103" s="672"/>
      <c r="J103" s="699"/>
      <c r="N103" s="928"/>
      <c r="O103" s="928"/>
    </row>
    <row r="104" spans="1:15" s="544" customFormat="1" ht="27">
      <c r="A104" s="1421" t="s">
        <v>230</v>
      </c>
      <c r="B104" s="1422"/>
      <c r="C104" s="1376"/>
      <c r="D104" s="763" t="s">
        <v>155</v>
      </c>
      <c r="E104" s="673">
        <f>'[3]28'!F104</f>
        <v>7010</v>
      </c>
      <c r="F104" s="908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2.0689655172413794</v>
      </c>
      <c r="N104" s="928"/>
      <c r="O104" s="928"/>
    </row>
    <row r="105" spans="1:15" s="544" customFormat="1" ht="27">
      <c r="A105" s="1421" t="s">
        <v>77</v>
      </c>
      <c r="B105" s="1422"/>
      <c r="C105" s="1376"/>
      <c r="D105" s="763" t="s">
        <v>155</v>
      </c>
      <c r="E105" s="673">
        <f>'[3]28'!F105</f>
        <v>34660</v>
      </c>
      <c r="F105" s="797">
        <v>34665</v>
      </c>
      <c r="G105" s="672">
        <f t="shared" ref="G105:G106" si="11">F105-E105</f>
        <v>5</v>
      </c>
      <c r="H105" s="673">
        <f>SUM(G105+'[3]1'!G77)</f>
        <v>75</v>
      </c>
      <c r="I105" s="672"/>
      <c r="J105" s="699">
        <f>H105/DAY(B2)</f>
        <v>2.5862068965517242</v>
      </c>
      <c r="N105" s="928"/>
      <c r="O105" s="928"/>
    </row>
    <row r="106" spans="1:15" s="544" customFormat="1" ht="27">
      <c r="A106" s="1421" t="s">
        <v>78</v>
      </c>
      <c r="B106" s="1465"/>
      <c r="C106" s="1422"/>
      <c r="D106" s="763" t="s">
        <v>155</v>
      </c>
      <c r="E106" s="673">
        <f>'[3]28'!F106</f>
        <v>18730</v>
      </c>
      <c r="F106" s="797">
        <v>18735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11.517241379310345</v>
      </c>
      <c r="N106" s="928"/>
      <c r="O106" s="928"/>
    </row>
    <row r="107" spans="1:15" s="544" customFormat="1" ht="27">
      <c r="A107" s="1423" t="s">
        <v>213</v>
      </c>
      <c r="B107" s="1424"/>
      <c r="C107" s="1376"/>
      <c r="D107" s="763"/>
      <c r="E107" s="673">
        <f>'[3]28'!F107</f>
        <v>0</v>
      </c>
      <c r="F107" s="797"/>
      <c r="G107" s="672">
        <f>SUM(G104:G106)</f>
        <v>10</v>
      </c>
      <c r="H107" s="673">
        <f>SUM(G107+'[3]1'!G79)</f>
        <v>170</v>
      </c>
      <c r="I107" s="672"/>
      <c r="J107" s="699">
        <f>H107/DAY(B2)</f>
        <v>5.8620689655172411</v>
      </c>
      <c r="N107" s="928"/>
      <c r="O107" s="928"/>
    </row>
    <row r="108" spans="1:15" s="544" customFormat="1" ht="27">
      <c r="A108" s="1427" t="s">
        <v>79</v>
      </c>
      <c r="B108" s="1428"/>
      <c r="C108" s="1376"/>
      <c r="D108" s="763" t="s">
        <v>155</v>
      </c>
      <c r="E108" s="673">
        <f>'[3]28'!F108</f>
        <v>0</v>
      </c>
      <c r="F108" s="797"/>
      <c r="G108" s="672"/>
      <c r="H108" s="673"/>
      <c r="I108" s="672"/>
      <c r="J108" s="699"/>
      <c r="N108" s="928"/>
      <c r="O108" s="928"/>
    </row>
    <row r="109" spans="1:15" s="544" customFormat="1" ht="27">
      <c r="A109" s="1421" t="s">
        <v>231</v>
      </c>
      <c r="B109" s="1422"/>
      <c r="C109" s="1376"/>
      <c r="D109" s="763" t="s">
        <v>155</v>
      </c>
      <c r="E109" s="673">
        <f>'[3]28'!F109</f>
        <v>51168</v>
      </c>
      <c r="F109" s="797">
        <v>51223</v>
      </c>
      <c r="G109" s="672">
        <f>F109-E109</f>
        <v>55</v>
      </c>
      <c r="H109" s="673">
        <f>SUM(G109+'[3]1'!G81)</f>
        <v>137</v>
      </c>
      <c r="I109" s="672"/>
      <c r="J109" s="699">
        <f>H109/DAY(B2)</f>
        <v>4.7241379310344831</v>
      </c>
      <c r="N109" s="928"/>
      <c r="O109" s="928"/>
    </row>
    <row r="110" spans="1:15" s="544" customFormat="1" ht="27">
      <c r="A110" s="1421" t="s">
        <v>232</v>
      </c>
      <c r="B110" s="1422"/>
      <c r="C110" s="1376"/>
      <c r="D110" s="763" t="s">
        <v>155</v>
      </c>
      <c r="E110" s="673">
        <f>'[3]28'!F110</f>
        <v>25222</v>
      </c>
      <c r="F110" s="797">
        <v>25265</v>
      </c>
      <c r="G110" s="672">
        <f t="shared" ref="G110:G111" si="12">F110-E110</f>
        <v>43</v>
      </c>
      <c r="H110" s="673">
        <f>SUM(G110+'[3]1'!G82)</f>
        <v>68.740000000005239</v>
      </c>
      <c r="I110" s="672"/>
      <c r="J110" s="699">
        <f>H110/DAY(B2)</f>
        <v>2.3703448275863876</v>
      </c>
      <c r="N110" s="928"/>
      <c r="O110" s="928"/>
    </row>
    <row r="111" spans="1:15" s="544" customFormat="1" ht="27">
      <c r="A111" s="1421" t="s">
        <v>233</v>
      </c>
      <c r="B111" s="1422"/>
      <c r="C111" s="1376"/>
      <c r="D111" s="763" t="s">
        <v>155</v>
      </c>
      <c r="E111" s="673">
        <f>'[3]28'!F111</f>
        <v>3370</v>
      </c>
      <c r="F111" s="797">
        <v>3373</v>
      </c>
      <c r="G111" s="674">
        <f t="shared" si="12"/>
        <v>3</v>
      </c>
      <c r="H111" s="673">
        <f>SUM(G111+'[3]1'!G83)</f>
        <v>449</v>
      </c>
      <c r="I111" s="672"/>
      <c r="J111" s="699">
        <f>H111/DAY(B2)</f>
        <v>15.482758620689655</v>
      </c>
      <c r="N111" s="928"/>
      <c r="O111" s="928"/>
    </row>
    <row r="112" spans="1:15" s="544" customFormat="1" ht="27">
      <c r="A112" s="1423" t="s">
        <v>121</v>
      </c>
      <c r="B112" s="1424"/>
      <c r="C112" s="1376"/>
      <c r="D112" s="763"/>
      <c r="E112" s="673">
        <f>'[3]28'!F112</f>
        <v>0</v>
      </c>
      <c r="F112" s="797"/>
      <c r="G112" s="672">
        <f>SUM(G109:G111)</f>
        <v>101</v>
      </c>
      <c r="H112" s="673">
        <f>SUM(G112+'[3]1'!G84)</f>
        <v>697</v>
      </c>
      <c r="I112" s="672"/>
      <c r="J112" s="699">
        <f>H112/DAY(B2)</f>
        <v>24.03448275862069</v>
      </c>
      <c r="N112" s="928"/>
      <c r="O112" s="928"/>
    </row>
    <row r="113" spans="1:15" s="544" customFormat="1" ht="27">
      <c r="A113" s="1427" t="s">
        <v>234</v>
      </c>
      <c r="B113" s="1428"/>
      <c r="C113" s="1376"/>
      <c r="D113" s="763"/>
      <c r="E113" s="673">
        <f>'[3]28'!F113</f>
        <v>0</v>
      </c>
      <c r="F113" s="797"/>
      <c r="G113" s="672"/>
      <c r="H113" s="673"/>
      <c r="I113" s="672"/>
      <c r="J113" s="699">
        <f>H113/DAY(B2)</f>
        <v>0</v>
      </c>
      <c r="N113" s="928"/>
      <c r="O113" s="928"/>
    </row>
    <row r="114" spans="1:15" s="544" customFormat="1" ht="27">
      <c r="A114" s="1421" t="s">
        <v>235</v>
      </c>
      <c r="B114" s="1422"/>
      <c r="C114" s="715"/>
      <c r="D114" s="763" t="s">
        <v>155</v>
      </c>
      <c r="E114" s="673">
        <f>'[3]28'!F114</f>
        <v>8567</v>
      </c>
      <c r="F114" s="797">
        <v>8581</v>
      </c>
      <c r="G114" s="674">
        <f>F114-E114</f>
        <v>14</v>
      </c>
      <c r="H114" s="673">
        <f>SUM(G114+'[3]1'!G91)</f>
        <v>14</v>
      </c>
      <c r="I114" s="672"/>
      <c r="J114" s="699">
        <f>H114/DAY(B2)</f>
        <v>0.48275862068965519</v>
      </c>
      <c r="N114" s="928"/>
      <c r="O114" s="928"/>
    </row>
    <row r="115" spans="1:15" s="544" customFormat="1" ht="27">
      <c r="A115" s="1421" t="s">
        <v>236</v>
      </c>
      <c r="B115" s="1422"/>
      <c r="C115" s="715"/>
      <c r="D115" s="763" t="s">
        <v>155</v>
      </c>
      <c r="E115" s="673">
        <f>'[3]28'!F115</f>
        <v>6797</v>
      </c>
      <c r="F115" s="797">
        <v>6811</v>
      </c>
      <c r="G115" s="674">
        <f t="shared" ref="G115:G116" si="13">F115-E115</f>
        <v>14</v>
      </c>
      <c r="H115" s="673">
        <f>SUM(G115+'[3]1'!G92)</f>
        <v>119</v>
      </c>
      <c r="I115" s="672"/>
      <c r="J115" s="699">
        <f>H115/DAY(B2)</f>
        <v>4.1034482758620694</v>
      </c>
      <c r="N115" s="928"/>
      <c r="O115" s="928"/>
    </row>
    <row r="116" spans="1:15" s="544" customFormat="1" ht="27">
      <c r="A116" s="1421" t="s">
        <v>237</v>
      </c>
      <c r="B116" s="1422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6.3793103448275863</v>
      </c>
      <c r="N116" s="928"/>
      <c r="O116" s="928"/>
    </row>
    <row r="117" spans="1:15" s="557" customFormat="1" ht="27">
      <c r="A117" s="1423" t="s">
        <v>213</v>
      </c>
      <c r="B117" s="1424"/>
      <c r="C117" s="715"/>
      <c r="D117" s="764"/>
      <c r="E117" s="676"/>
      <c r="F117" s="797"/>
      <c r="G117" s="674">
        <f>SUM(G114:G116)</f>
        <v>28</v>
      </c>
      <c r="H117" s="673">
        <f>SUM(G117+'[3]1'!G95)</f>
        <v>76</v>
      </c>
      <c r="I117" s="674"/>
      <c r="J117" s="699">
        <f>H117/DAY(B2)</f>
        <v>2.6206896551724137</v>
      </c>
      <c r="N117" s="928"/>
      <c r="O117" s="929"/>
    </row>
    <row r="118" spans="1:15" s="558" customFormat="1" ht="27">
      <c r="A118" s="1417" t="s">
        <v>238</v>
      </c>
      <c r="B118" s="1418"/>
      <c r="C118" s="1379"/>
      <c r="D118" s="765" t="s">
        <v>155</v>
      </c>
      <c r="E118" s="676"/>
      <c r="F118" s="797">
        <f>SUM(G19+G92)</f>
        <v>165</v>
      </c>
      <c r="G118" s="676">
        <f>SUM(G19+G92)</f>
        <v>165</v>
      </c>
      <c r="H118" s="673">
        <f>SUM(G118+'[3]1'!G96)</f>
        <v>214</v>
      </c>
      <c r="I118" s="675"/>
      <c r="J118" s="700">
        <f>H118/DAY(B2)</f>
        <v>7.3793103448275863</v>
      </c>
      <c r="N118" s="928"/>
      <c r="O118" s="929"/>
    </row>
    <row r="119" spans="1:15" s="558" customFormat="1" ht="27">
      <c r="A119" s="1417" t="s">
        <v>239</v>
      </c>
      <c r="B119" s="1418"/>
      <c r="C119" s="1379"/>
      <c r="D119" s="765" t="s">
        <v>155</v>
      </c>
      <c r="E119" s="676"/>
      <c r="F119" s="797">
        <f>SUM(G95,G96,G97,G99,G100)</f>
        <v>151</v>
      </c>
      <c r="G119" s="676">
        <f>SUM(G95,G96,G97,G99,G100)</f>
        <v>151</v>
      </c>
      <c r="H119" s="673">
        <f>SUM(G119+'[3]1'!G98)</f>
        <v>183</v>
      </c>
      <c r="I119" s="675"/>
      <c r="J119" s="700">
        <f>H119/DAY(B2)</f>
        <v>6.3103448275862073</v>
      </c>
      <c r="N119" s="928"/>
      <c r="O119" s="929"/>
    </row>
    <row r="120" spans="1:15" s="558" customFormat="1" ht="27">
      <c r="A120" s="1417" t="s">
        <v>240</v>
      </c>
      <c r="B120" s="1418"/>
      <c r="C120" s="1379"/>
      <c r="D120" s="765" t="s">
        <v>155</v>
      </c>
      <c r="E120" s="676"/>
      <c r="F120" s="797">
        <f>SUM(G112)</f>
        <v>101</v>
      </c>
      <c r="G120" s="674">
        <f>SUM(G112)</f>
        <v>101</v>
      </c>
      <c r="H120" s="673">
        <f>SUM(G120+'[3]1'!G100)</f>
        <v>101</v>
      </c>
      <c r="I120" s="675"/>
      <c r="J120" s="700">
        <f>H120/DAY(B2)</f>
        <v>3.4827586206896552</v>
      </c>
      <c r="N120" s="928"/>
      <c r="O120" s="929"/>
    </row>
    <row r="121" spans="1:15" s="544" customFormat="1" ht="27">
      <c r="A121" s="1419"/>
      <c r="B121" s="1420"/>
      <c r="C121" s="1380"/>
      <c r="D121" s="701"/>
      <c r="E121" s="924"/>
      <c r="F121" s="909" t="s">
        <v>226</v>
      </c>
      <c r="G121" s="701"/>
      <c r="H121" s="702"/>
      <c r="I121" s="701"/>
      <c r="J121" s="703"/>
      <c r="N121" s="928"/>
      <c r="O121" s="928"/>
    </row>
    <row r="122" spans="1:15">
      <c r="A122" s="1457" t="s">
        <v>241</v>
      </c>
      <c r="B122" s="1458"/>
      <c r="C122" s="1459"/>
      <c r="D122" s="612"/>
      <c r="E122" s="895"/>
      <c r="F122" s="895"/>
      <c r="G122" s="623"/>
      <c r="H122" s="623"/>
      <c r="I122" s="623"/>
      <c r="J122" s="704"/>
      <c r="K122" s="424"/>
      <c r="L122" s="421"/>
    </row>
    <row r="123" spans="1:15" ht="27.75">
      <c r="A123" s="1371" t="s">
        <v>242</v>
      </c>
      <c r="B123" s="1372"/>
      <c r="C123" s="1372"/>
      <c r="D123" s="663" t="s">
        <v>152</v>
      </c>
      <c r="E123" s="894">
        <f>'[3]28'!F123</f>
        <v>788426.071</v>
      </c>
      <c r="F123" s="894">
        <v>788636.28300000005</v>
      </c>
      <c r="G123" s="613">
        <f t="shared" ref="G123:G127" si="14">F123-E123</f>
        <v>210.21200000005774</v>
      </c>
      <c r="H123" s="600">
        <f>G123+'[3]28'!H123</f>
        <v>5711.3969999999972</v>
      </c>
      <c r="I123" s="666"/>
      <c r="J123" s="693">
        <f>H123/DAY(B2)</f>
        <v>196.94472413793093</v>
      </c>
      <c r="K123" s="424"/>
      <c r="L123" s="421"/>
    </row>
    <row r="124" spans="1:15" ht="27.75">
      <c r="A124" s="1371" t="s">
        <v>243</v>
      </c>
      <c r="B124" s="1372"/>
      <c r="C124" s="1372"/>
      <c r="D124" s="663" t="s">
        <v>152</v>
      </c>
      <c r="E124" s="910">
        <f>'[3]28'!F124</f>
        <v>73582</v>
      </c>
      <c r="F124" s="910">
        <v>73582.2</v>
      </c>
      <c r="G124" s="613">
        <f t="shared" si="14"/>
        <v>0.19999999999708962</v>
      </c>
      <c r="H124" s="600">
        <f>G124+'[3]28'!H124</f>
        <v>1.1999999999970896</v>
      </c>
      <c r="I124" s="666"/>
      <c r="J124" s="693">
        <f>H124/DAY(B2)</f>
        <v>4.1379310344727228E-2</v>
      </c>
      <c r="K124" s="424"/>
      <c r="L124" s="421"/>
    </row>
    <row r="125" spans="1:15" ht="27.75">
      <c r="A125" s="1429" t="s">
        <v>244</v>
      </c>
      <c r="B125" s="1430"/>
      <c r="C125" s="1431"/>
      <c r="D125" s="663" t="s">
        <v>152</v>
      </c>
      <c r="E125" s="894">
        <f>'[3]28'!F125</f>
        <v>132932.31</v>
      </c>
      <c r="F125" s="894">
        <v>133031.54999999999</v>
      </c>
      <c r="G125" s="613">
        <f t="shared" si="14"/>
        <v>99.239999999990687</v>
      </c>
      <c r="H125" s="600">
        <f>G125+'[3]28'!H125</f>
        <v>1925.3299999999872</v>
      </c>
      <c r="I125" s="666"/>
      <c r="J125" s="693">
        <f>H125/DAY(B2)</f>
        <v>66.390689655171968</v>
      </c>
      <c r="K125" s="424"/>
      <c r="L125" s="421"/>
    </row>
    <row r="126" spans="1:15" ht="27.75">
      <c r="A126" s="750" t="s">
        <v>245</v>
      </c>
      <c r="B126" s="1372"/>
      <c r="C126" s="1372"/>
      <c r="D126" s="663" t="s">
        <v>152</v>
      </c>
      <c r="E126" s="897">
        <f>'[3]28'!F126</f>
        <v>56277.2</v>
      </c>
      <c r="F126" s="897">
        <v>56319.8</v>
      </c>
      <c r="G126" s="613">
        <f t="shared" si="14"/>
        <v>42.600000000005821</v>
      </c>
      <c r="H126" s="600">
        <f>G126+'[3]28'!H126</f>
        <v>734</v>
      </c>
      <c r="I126" s="666"/>
      <c r="J126" s="693">
        <f>H126/DAY(B2)</f>
        <v>25.310344827586206</v>
      </c>
      <c r="K126" s="424"/>
      <c r="L126" s="421"/>
    </row>
    <row r="127" spans="1:15" ht="27.75">
      <c r="A127" s="750" t="s">
        <v>246</v>
      </c>
      <c r="B127" s="1372"/>
      <c r="C127" s="1372"/>
      <c r="D127" s="663" t="s">
        <v>152</v>
      </c>
      <c r="E127" s="910">
        <f>'[3]28'!F127</f>
        <v>8640.1</v>
      </c>
      <c r="F127" s="910">
        <v>8640.1</v>
      </c>
      <c r="G127" s="613">
        <f t="shared" si="14"/>
        <v>0</v>
      </c>
      <c r="H127" s="600">
        <f>G127+'[3]28'!H127</f>
        <v>1.1000000000003638</v>
      </c>
      <c r="I127" s="620"/>
      <c r="J127" s="693">
        <f>H127/DAY(B2)</f>
        <v>3.7931034482771166E-2</v>
      </c>
      <c r="K127" s="424"/>
      <c r="L127" s="421"/>
    </row>
    <row r="128" spans="1:15" s="292" customFormat="1" ht="27">
      <c r="A128" s="750" t="s">
        <v>247</v>
      </c>
      <c r="B128" s="1372"/>
      <c r="C128" s="1372"/>
      <c r="D128" s="663"/>
      <c r="E128" s="894"/>
      <c r="F128" s="894"/>
      <c r="G128" s="613">
        <f>G15-SUM(G123:G127)</f>
        <v>442.75600000009581</v>
      </c>
      <c r="H128" s="600"/>
      <c r="I128" s="620"/>
      <c r="J128" s="693"/>
      <c r="K128" s="402"/>
      <c r="L128" s="304"/>
      <c r="N128" s="928"/>
      <c r="O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71" t="s">
        <v>249</v>
      </c>
      <c r="B130" s="1372"/>
      <c r="C130" s="1372"/>
      <c r="D130" s="663" t="s">
        <v>250</v>
      </c>
      <c r="E130" s="915">
        <f>'[3]28'!F130</f>
        <v>0</v>
      </c>
      <c r="F130" s="894">
        <v>0</v>
      </c>
      <c r="G130" s="613">
        <f t="shared" ref="G130:G140" si="15">F130-E130</f>
        <v>0</v>
      </c>
      <c r="H130" s="600">
        <f>G130+'[3]28'!H130</f>
        <v>0</v>
      </c>
      <c r="I130" s="620"/>
      <c r="J130" s="693">
        <f>H130/DAY(B2)</f>
        <v>0</v>
      </c>
    </row>
    <row r="131" spans="1:12" ht="27.75">
      <c r="A131" s="1371" t="s">
        <v>251</v>
      </c>
      <c r="B131" s="1372"/>
      <c r="C131" s="1372"/>
      <c r="D131" s="663" t="s">
        <v>250</v>
      </c>
      <c r="E131" s="915">
        <f>'[3]28'!F131</f>
        <v>0</v>
      </c>
      <c r="F131" s="894">
        <v>0</v>
      </c>
      <c r="G131" s="613">
        <f t="shared" si="15"/>
        <v>0</v>
      </c>
      <c r="H131" s="600">
        <f>G131+'[3]28'!H131</f>
        <v>0</v>
      </c>
      <c r="I131" s="620"/>
      <c r="J131" s="693">
        <f>H131/DAY(B2)</f>
        <v>0</v>
      </c>
    </row>
    <row r="132" spans="1:12" ht="27.75">
      <c r="A132" s="1371" t="s">
        <v>252</v>
      </c>
      <c r="B132" s="1372"/>
      <c r="C132" s="1372"/>
      <c r="D132" s="663" t="s">
        <v>250</v>
      </c>
      <c r="E132" s="926">
        <f>'[3]28'!F132</f>
        <v>38877</v>
      </c>
      <c r="F132" s="910">
        <v>38877</v>
      </c>
      <c r="G132" s="613">
        <f t="shared" si="15"/>
        <v>0</v>
      </c>
      <c r="H132" s="600">
        <f>G132+'[3]28'!H132</f>
        <v>0</v>
      </c>
      <c r="I132" s="620"/>
      <c r="J132" s="693">
        <f>H132/DAY(B2)</f>
        <v>0</v>
      </c>
    </row>
    <row r="133" spans="1:12" ht="27.75">
      <c r="A133" s="1371" t="s">
        <v>253</v>
      </c>
      <c r="B133" s="1372"/>
      <c r="C133" s="1372"/>
      <c r="D133" s="663" t="s">
        <v>250</v>
      </c>
      <c r="E133" s="922">
        <f>'[3]28'!F133</f>
        <v>34948</v>
      </c>
      <c r="F133" s="897">
        <v>34948</v>
      </c>
      <c r="G133" s="613">
        <f t="shared" si="15"/>
        <v>0</v>
      </c>
      <c r="H133" s="600">
        <f>G133+'[3]28'!H133</f>
        <v>0</v>
      </c>
      <c r="I133" s="620">
        <f>G130+G131+G132+G133</f>
        <v>0</v>
      </c>
      <c r="J133" s="693">
        <f>H133/DAY(B2)</f>
        <v>0</v>
      </c>
    </row>
    <row r="134" spans="1:12" ht="27.75">
      <c r="A134" s="1371" t="s">
        <v>254</v>
      </c>
      <c r="B134" s="1372"/>
      <c r="C134" s="1372"/>
      <c r="D134" s="663" t="s">
        <v>250</v>
      </c>
      <c r="E134" s="926">
        <f>'[3]28'!F134</f>
        <v>39735</v>
      </c>
      <c r="F134" s="910">
        <v>39735</v>
      </c>
      <c r="G134" s="613">
        <f t="shared" si="15"/>
        <v>0</v>
      </c>
      <c r="H134" s="600">
        <f>G134+'[3]28'!H134</f>
        <v>24</v>
      </c>
      <c r="I134" s="620"/>
      <c r="J134" s="693">
        <f>H134/DAY(B2)</f>
        <v>0.82758620689655171</v>
      </c>
    </row>
    <row r="135" spans="1:12" ht="27.75">
      <c r="A135" s="1371" t="s">
        <v>255</v>
      </c>
      <c r="B135" s="1372"/>
      <c r="C135" s="1372"/>
      <c r="D135" s="663" t="s">
        <v>250</v>
      </c>
      <c r="E135" s="926">
        <f>'[3]28'!F135</f>
        <v>31668.22</v>
      </c>
      <c r="F135" s="910">
        <v>31692.25</v>
      </c>
      <c r="G135" s="613">
        <f t="shared" si="15"/>
        <v>24.029999999998836</v>
      </c>
      <c r="H135" s="600">
        <f>G135+'[3]28'!H135</f>
        <v>157.22000000000116</v>
      </c>
      <c r="I135" s="620"/>
      <c r="J135" s="693">
        <f>H135/DAY(B2)</f>
        <v>5.421379310344868</v>
      </c>
    </row>
    <row r="136" spans="1:12" ht="27.75">
      <c r="A136" s="1371" t="s">
        <v>256</v>
      </c>
      <c r="B136" s="1372"/>
      <c r="C136" s="1372"/>
      <c r="D136" s="663" t="s">
        <v>250</v>
      </c>
      <c r="E136" s="925">
        <f>'[3]28'!F136</f>
        <v>21660.74</v>
      </c>
      <c r="F136" s="901">
        <v>21668.45</v>
      </c>
      <c r="G136" s="613">
        <f t="shared" si="15"/>
        <v>7.7099999999991269</v>
      </c>
      <c r="H136" s="600">
        <f>G136+'[3]28'!H136</f>
        <v>70.420000000001892</v>
      </c>
      <c r="I136" s="620">
        <f>G134+G135+G136</f>
        <v>31.739999999997963</v>
      </c>
      <c r="J136" s="693">
        <f>H136/DAY(B2)</f>
        <v>2.4282758620690306</v>
      </c>
    </row>
    <row r="137" spans="1:12" ht="27.75">
      <c r="A137" s="1371" t="s">
        <v>257</v>
      </c>
      <c r="B137" s="1372"/>
      <c r="C137" s="1372"/>
      <c r="D137" s="663" t="s">
        <v>250</v>
      </c>
      <c r="E137" s="925">
        <f>'[3]28'!F137</f>
        <v>24932.51</v>
      </c>
      <c r="F137" s="901">
        <v>24932.51</v>
      </c>
      <c r="G137" s="613">
        <f t="shared" si="15"/>
        <v>0</v>
      </c>
      <c r="H137" s="600">
        <f>G137+'[3]28'!H137</f>
        <v>11.539999999997235</v>
      </c>
      <c r="I137" s="620"/>
      <c r="J137" s="693">
        <f>H137/DAY(B2)</f>
        <v>0.39793103448266326</v>
      </c>
    </row>
    <row r="138" spans="1:12" ht="27.75">
      <c r="A138" s="1371" t="s">
        <v>258</v>
      </c>
      <c r="B138" s="1372"/>
      <c r="C138" s="1372"/>
      <c r="D138" s="663" t="s">
        <v>250</v>
      </c>
      <c r="E138" s="925">
        <f>'[3]28'!F138</f>
        <v>69955.210000000006</v>
      </c>
      <c r="F138" s="901">
        <v>69955.210000000006</v>
      </c>
      <c r="G138" s="613">
        <f t="shared" si="15"/>
        <v>0</v>
      </c>
      <c r="H138" s="600">
        <f>G138+'[3]28'!H138</f>
        <v>26.30000000000291</v>
      </c>
      <c r="I138" s="620">
        <f>G137+G138</f>
        <v>0</v>
      </c>
      <c r="J138" s="693">
        <f>H138/DAY(B2)</f>
        <v>0.90689655172423833</v>
      </c>
    </row>
    <row r="139" spans="1:12" ht="27.75">
      <c r="A139" s="1371" t="s">
        <v>259</v>
      </c>
      <c r="B139" s="1372"/>
      <c r="C139" s="1372"/>
      <c r="D139" s="663" t="s">
        <v>250</v>
      </c>
      <c r="E139" s="922">
        <f>'[3]28'!F139</f>
        <v>930.12</v>
      </c>
      <c r="F139" s="1726">
        <v>935.98</v>
      </c>
      <c r="G139" s="613">
        <f t="shared" si="15"/>
        <v>5.8600000000000136</v>
      </c>
      <c r="H139" s="600">
        <f>G139+'[3]28'!H139</f>
        <v>159.55000000000007</v>
      </c>
      <c r="I139" s="683"/>
      <c r="J139" s="693">
        <f>H139/DAY(B2)</f>
        <v>5.5017241379310367</v>
      </c>
    </row>
    <row r="140" spans="1:12" ht="27.75">
      <c r="A140" s="1371" t="s">
        <v>260</v>
      </c>
      <c r="B140" s="1372"/>
      <c r="C140" s="1372"/>
      <c r="D140" s="663" t="s">
        <v>250</v>
      </c>
      <c r="E140" s="926">
        <f>'[3]28'!F140</f>
        <v>4156.8999999999996</v>
      </c>
      <c r="F140" s="910">
        <v>4156.8999999999996</v>
      </c>
      <c r="G140" s="613">
        <f t="shared" si="15"/>
        <v>0</v>
      </c>
      <c r="H140" s="600">
        <f>G140+'[3]28'!H140</f>
        <v>2.6299999999991996</v>
      </c>
      <c r="I140" s="683"/>
      <c r="J140" s="693">
        <f>H140/DAY(B2)</f>
        <v>9.0689655172386197E-2</v>
      </c>
    </row>
    <row r="141" spans="1:12">
      <c r="A141" s="1438" t="s">
        <v>261</v>
      </c>
      <c r="B141" s="1439"/>
      <c r="C141" s="137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32" t="s">
        <v>262</v>
      </c>
      <c r="B142" s="1433"/>
      <c r="C142" s="1434"/>
      <c r="D142" s="663" t="s">
        <v>143</v>
      </c>
      <c r="E142" s="600"/>
      <c r="F142" s="600"/>
      <c r="G142" s="600">
        <f>G35+G43+G49+G57</f>
        <v>5245.4959999999992</v>
      </c>
      <c r="H142" s="600">
        <f>G142+'[3]28'!H142</f>
        <v>141480.16200000013</v>
      </c>
      <c r="I142" s="620"/>
      <c r="J142" s="693">
        <f>H142/DAY(B2)</f>
        <v>4878.6262758620733</v>
      </c>
      <c r="K142" s="424"/>
      <c r="L142" s="421"/>
    </row>
    <row r="143" spans="1:12" ht="27.75">
      <c r="A143" s="1432" t="s">
        <v>263</v>
      </c>
      <c r="B143" s="1433"/>
      <c r="C143" s="1434"/>
      <c r="D143" s="663" t="s">
        <v>24</v>
      </c>
      <c r="E143" s="610"/>
      <c r="F143" s="610"/>
      <c r="G143" s="684">
        <f>G142/G7</f>
        <v>0.24808437381763143</v>
      </c>
      <c r="H143" s="600">
        <f>G143+'[3]28'!H143</f>
        <v>7.1251924604836647</v>
      </c>
      <c r="I143" s="685"/>
      <c r="J143" s="693">
        <f>H143/DAY(B2)</f>
        <v>0.24569629174081603</v>
      </c>
      <c r="K143" s="424"/>
      <c r="L143" s="421"/>
    </row>
    <row r="144" spans="1:12" ht="27.75">
      <c r="A144" s="1432" t="s">
        <v>264</v>
      </c>
      <c r="B144" s="1433"/>
      <c r="C144" s="1434"/>
      <c r="D144" s="663" t="s">
        <v>143</v>
      </c>
      <c r="E144" s="600"/>
      <c r="F144" s="600"/>
      <c r="G144" s="600">
        <f>G41+G42+G55+G56</f>
        <v>5257.9299999999639</v>
      </c>
      <c r="H144" s="600">
        <f>G144+'[3]28'!H144</f>
        <v>126021.92000000007</v>
      </c>
      <c r="I144" s="620"/>
      <c r="J144" s="693">
        <f>H144/DAY(B2)</f>
        <v>4345.5834482758646</v>
      </c>
      <c r="K144" s="424"/>
      <c r="L144" s="421"/>
    </row>
    <row r="145" spans="1:12" ht="27.75">
      <c r="A145" s="1432" t="s">
        <v>265</v>
      </c>
      <c r="B145" s="1433"/>
      <c r="C145" s="1434"/>
      <c r="D145" s="663" t="s">
        <v>24</v>
      </c>
      <c r="E145" s="600"/>
      <c r="F145" s="600"/>
      <c r="G145" s="684">
        <f>G144/G7</f>
        <v>0.2486724366250456</v>
      </c>
      <c r="H145" s="600">
        <f>G145+'[3]28'!H145</f>
        <v>6.5077065991670784</v>
      </c>
      <c r="I145" s="685"/>
      <c r="J145" s="693">
        <f>H145/DAY(B2)</f>
        <v>0.22440367583334753</v>
      </c>
      <c r="K145" s="424"/>
      <c r="L145" s="421"/>
    </row>
    <row r="146" spans="1:12" ht="27.75">
      <c r="A146" s="1432" t="s">
        <v>266</v>
      </c>
      <c r="B146" s="1433"/>
      <c r="C146" s="1434"/>
      <c r="D146" s="663" t="s">
        <v>143</v>
      </c>
      <c r="E146" s="600"/>
      <c r="F146" s="600"/>
      <c r="G146" s="600">
        <f>G39+G53</f>
        <v>4153.9759999999951</v>
      </c>
      <c r="H146" s="600">
        <f>G146+'[3]28'!H146</f>
        <v>92106.469000000056</v>
      </c>
      <c r="I146" s="686"/>
      <c r="J146" s="693">
        <f>H146/DAY(B2)</f>
        <v>3176.0851379310366</v>
      </c>
      <c r="K146" s="424"/>
      <c r="L146" s="421"/>
    </row>
    <row r="147" spans="1:12" ht="27.75">
      <c r="A147" s="1432" t="s">
        <v>267</v>
      </c>
      <c r="B147" s="1433"/>
      <c r="C147" s="1434"/>
      <c r="D147" s="663" t="s">
        <v>24</v>
      </c>
      <c r="E147" s="600"/>
      <c r="F147" s="600"/>
      <c r="G147" s="684">
        <f>G146/G7</f>
        <v>0.19646121831252342</v>
      </c>
      <c r="H147" s="600">
        <f>G147+'[3]28'!H147</f>
        <v>4.7242226655985426</v>
      </c>
      <c r="I147" s="686"/>
      <c r="J147" s="693">
        <f>H147/DAY(B2)</f>
        <v>0.16290422984822561</v>
      </c>
    </row>
    <row r="148" spans="1:12" ht="27.75">
      <c r="A148" s="1432" t="s">
        <v>268</v>
      </c>
      <c r="B148" s="1433"/>
      <c r="C148" s="1434"/>
      <c r="D148" s="663" t="s">
        <v>194</v>
      </c>
      <c r="E148" s="600"/>
      <c r="F148" s="600"/>
      <c r="G148" s="600">
        <f>G38+G52</f>
        <v>1856.5599999999977</v>
      </c>
      <c r="H148" s="600">
        <f>G148+'[3]28'!H148</f>
        <v>50511.380000000005</v>
      </c>
      <c r="I148" s="620"/>
      <c r="J148" s="693">
        <f>H148/DAY(B2)</f>
        <v>1741.7717241379312</v>
      </c>
      <c r="K148" s="425"/>
    </row>
    <row r="149" spans="1:12" ht="27.75">
      <c r="A149" s="1432" t="s">
        <v>269</v>
      </c>
      <c r="B149" s="1433"/>
      <c r="C149" s="1434"/>
      <c r="D149" s="663" t="s">
        <v>24</v>
      </c>
      <c r="E149" s="600"/>
      <c r="F149" s="600"/>
      <c r="G149" s="684">
        <f>G148/G7</f>
        <v>8.7805524025728235E-2</v>
      </c>
      <c r="H149" s="600">
        <f>G149+'[3]28'!H149</f>
        <v>2.6073109394260259</v>
      </c>
      <c r="I149" s="686"/>
      <c r="J149" s="693">
        <f>H149/DAY(B2)</f>
        <v>8.990727377331123E-2</v>
      </c>
    </row>
    <row r="150" spans="1:12" ht="27.75">
      <c r="A150" s="1432" t="s">
        <v>270</v>
      </c>
      <c r="B150" s="1433"/>
      <c r="C150" s="1434"/>
      <c r="D150" s="663" t="s">
        <v>194</v>
      </c>
      <c r="E150" s="600"/>
      <c r="F150" s="600"/>
      <c r="G150" s="600">
        <f>G36+G50</f>
        <v>2422.2200000000012</v>
      </c>
      <c r="H150" s="600">
        <f>G150+'[3]28'!H150</f>
        <v>48365.420000000013</v>
      </c>
      <c r="I150" s="686"/>
      <c r="J150" s="693">
        <f>H150/DAY(B2)</f>
        <v>1667.7731034482763</v>
      </c>
    </row>
    <row r="151" spans="1:12" ht="27.75">
      <c r="A151" s="1432" t="s">
        <v>271</v>
      </c>
      <c r="B151" s="1433"/>
      <c r="C151" s="1434"/>
      <c r="D151" s="663" t="s">
        <v>24</v>
      </c>
      <c r="E151" s="600"/>
      <c r="F151" s="600"/>
      <c r="G151" s="684">
        <f>G150/G7</f>
        <v>0.11455826712069624</v>
      </c>
      <c r="H151" s="600">
        <f>G151+'[3]28'!H151</f>
        <v>2.4908740008953871</v>
      </c>
      <c r="I151" s="620"/>
      <c r="J151" s="693">
        <f>H151/DAY(B2)</f>
        <v>8.5892206927427148E-2</v>
      </c>
    </row>
    <row r="152" spans="1:12" ht="27.75">
      <c r="A152" s="1432" t="s">
        <v>272</v>
      </c>
      <c r="B152" s="1433"/>
      <c r="C152" s="1434"/>
      <c r="D152" s="663" t="s">
        <v>194</v>
      </c>
      <c r="E152" s="600"/>
      <c r="F152" s="600"/>
      <c r="G152" s="600">
        <f>G37+G51</f>
        <v>1482.2919999999995</v>
      </c>
      <c r="H152" s="600">
        <f>G152+'[3]28'!H152</f>
        <v>41004.372900000002</v>
      </c>
      <c r="I152" s="620"/>
      <c r="J152" s="693">
        <f>H152/DAY(B2)</f>
        <v>1413.9438931034483</v>
      </c>
    </row>
    <row r="153" spans="1:12" ht="28.5" thickBot="1">
      <c r="A153" s="1435" t="s">
        <v>273</v>
      </c>
      <c r="B153" s="1436"/>
      <c r="C153" s="1437"/>
      <c r="D153" s="766" t="s">
        <v>24</v>
      </c>
      <c r="E153" s="708"/>
      <c r="F153" s="708"/>
      <c r="G153" s="707">
        <f>G152/G7</f>
        <v>7.0104615966704475E-2</v>
      </c>
      <c r="H153" s="600">
        <f>G153+'[3]28'!H153</f>
        <v>2.1216290316368607</v>
      </c>
      <c r="I153" s="709"/>
      <c r="J153" s="710">
        <f>H153/DAY(B2)</f>
        <v>7.3159621780581399E-2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56" t="s">
        <v>274</v>
      </c>
      <c r="B160" s="957"/>
      <c r="C160" s="957"/>
      <c r="D160" s="761" t="s">
        <v>198</v>
      </c>
      <c r="E160" s="922">
        <f>'[3]28'!F160</f>
        <v>23695.402999999998</v>
      </c>
      <c r="F160" s="965">
        <v>23767.341</v>
      </c>
      <c r="G160" s="613">
        <f t="shared" ref="G160:G171" si="16">F160-E160</f>
        <v>71.938000000001921</v>
      </c>
    </row>
    <row r="161" spans="1:7">
      <c r="A161" s="956" t="s">
        <v>275</v>
      </c>
      <c r="B161" s="957"/>
      <c r="C161" s="957"/>
      <c r="D161" s="761" t="s">
        <v>198</v>
      </c>
      <c r="E161" s="922">
        <f>'[3]28'!F161</f>
        <v>9137.2518999999993</v>
      </c>
      <c r="F161" s="965">
        <v>9779.2900000000009</v>
      </c>
      <c r="G161" s="613">
        <f t="shared" si="16"/>
        <v>642.03810000000158</v>
      </c>
    </row>
    <row r="162" spans="1:7">
      <c r="A162" s="956" t="s">
        <v>276</v>
      </c>
      <c r="B162" s="957"/>
      <c r="C162" s="957"/>
      <c r="D162" s="761" t="s">
        <v>198</v>
      </c>
      <c r="E162" s="922">
        <f>'[3]28'!F162</f>
        <v>36849.767</v>
      </c>
      <c r="F162" s="965">
        <v>37069.108999999997</v>
      </c>
      <c r="G162" s="613">
        <f t="shared" si="16"/>
        <v>219.34199999999691</v>
      </c>
    </row>
    <row r="163" spans="1:7">
      <c r="A163" s="956" t="s">
        <v>277</v>
      </c>
      <c r="B163" s="957"/>
      <c r="C163" s="957"/>
      <c r="D163" s="761" t="s">
        <v>198</v>
      </c>
      <c r="E163" s="922">
        <f>'[3]28'!F163</f>
        <v>3460.25</v>
      </c>
      <c r="F163" s="965">
        <v>3474.99</v>
      </c>
      <c r="G163" s="613">
        <f t="shared" si="16"/>
        <v>14.739999999999782</v>
      </c>
    </row>
    <row r="164" spans="1:7">
      <c r="A164" s="958" t="s">
        <v>106</v>
      </c>
      <c r="B164" s="959"/>
      <c r="C164" s="959"/>
      <c r="D164" s="761" t="s">
        <v>198</v>
      </c>
      <c r="E164" s="654">
        <f>E62</f>
        <v>20419.187000000002</v>
      </c>
      <c r="F164" s="654">
        <f>F62</f>
        <v>20419.18</v>
      </c>
      <c r="G164" s="613">
        <f t="shared" si="16"/>
        <v>-7.0000000014260877E-3</v>
      </c>
    </row>
    <row r="165" spans="1:7">
      <c r="A165" s="958" t="s">
        <v>199</v>
      </c>
      <c r="B165" s="959"/>
      <c r="C165" s="959"/>
      <c r="D165" s="761" t="s">
        <v>198</v>
      </c>
      <c r="E165" s="654">
        <f t="shared" ref="E165:F171" si="17">E63</f>
        <v>823.46100000000001</v>
      </c>
      <c r="F165" s="654">
        <f t="shared" si="17"/>
        <v>839.9</v>
      </c>
      <c r="G165" s="613">
        <f t="shared" si="16"/>
        <v>16.438999999999965</v>
      </c>
    </row>
    <row r="166" spans="1:7" ht="27.75">
      <c r="A166" s="1481" t="s">
        <v>107</v>
      </c>
      <c r="B166" s="1481"/>
      <c r="C166" s="1481"/>
      <c r="D166" s="664" t="s">
        <v>198</v>
      </c>
      <c r="E166" s="654">
        <f t="shared" si="17"/>
        <v>85955.638999999996</v>
      </c>
      <c r="F166" s="654">
        <f t="shared" si="17"/>
        <v>86315.471000000005</v>
      </c>
      <c r="G166" s="613">
        <f t="shared" si="16"/>
        <v>359.83200000000943</v>
      </c>
    </row>
    <row r="167" spans="1:7" ht="27.75">
      <c r="A167" s="1481" t="s">
        <v>108</v>
      </c>
      <c r="B167" s="1481"/>
      <c r="C167" s="1481"/>
      <c r="D167" s="664" t="s">
        <v>198</v>
      </c>
      <c r="E167" s="654">
        <f t="shared" si="17"/>
        <v>95868.502999999997</v>
      </c>
      <c r="F167" s="654">
        <f t="shared" si="17"/>
        <v>96243.510999999999</v>
      </c>
      <c r="G167" s="613">
        <f t="shared" si="16"/>
        <v>375.00800000000163</v>
      </c>
    </row>
    <row r="168" spans="1:7" ht="27.75">
      <c r="A168" s="1481" t="s">
        <v>109</v>
      </c>
      <c r="B168" s="1481"/>
      <c r="C168" s="1481"/>
      <c r="D168" s="664" t="s">
        <v>198</v>
      </c>
      <c r="E168" s="654">
        <f t="shared" si="17"/>
        <v>89163.358999999997</v>
      </c>
      <c r="F168" s="654">
        <f t="shared" si="17"/>
        <v>89574.047000000006</v>
      </c>
      <c r="G168" s="613">
        <f t="shared" si="16"/>
        <v>410.6880000000092</v>
      </c>
    </row>
    <row r="169" spans="1:7" ht="27.75">
      <c r="A169" s="1481" t="s">
        <v>110</v>
      </c>
      <c r="B169" s="1481"/>
      <c r="C169" s="1481"/>
      <c r="D169" s="664" t="s">
        <v>198</v>
      </c>
      <c r="E169" s="654">
        <f t="shared" si="17"/>
        <v>144458.26999999999</v>
      </c>
      <c r="F169" s="654">
        <f t="shared" si="17"/>
        <v>145211.41</v>
      </c>
      <c r="G169" s="613">
        <f t="shared" si="16"/>
        <v>753.14000000001397</v>
      </c>
    </row>
    <row r="170" spans="1:7" ht="27.75">
      <c r="A170" s="1481" t="s">
        <v>111</v>
      </c>
      <c r="B170" s="1481"/>
      <c r="C170" s="1481"/>
      <c r="D170" s="664" t="s">
        <v>198</v>
      </c>
      <c r="E170" s="654">
        <f t="shared" si="17"/>
        <v>42430.879000000001</v>
      </c>
      <c r="F170" s="654">
        <f t="shared" si="17"/>
        <v>42788.182999999997</v>
      </c>
      <c r="G170" s="613">
        <f t="shared" si="16"/>
        <v>357.30399999999645</v>
      </c>
    </row>
    <row r="171" spans="1:7" ht="27.75">
      <c r="A171" s="1481" t="s">
        <v>112</v>
      </c>
      <c r="B171" s="1481"/>
      <c r="C171" s="1481"/>
      <c r="D171" s="664" t="s">
        <v>198</v>
      </c>
      <c r="E171" s="654">
        <f t="shared" si="17"/>
        <v>36979.870999999999</v>
      </c>
      <c r="F171" s="654">
        <f t="shared" si="17"/>
        <v>37262.686999999998</v>
      </c>
      <c r="G171" s="613">
        <f t="shared" si="16"/>
        <v>282.81599999999889</v>
      </c>
    </row>
    <row r="172" spans="1:7">
      <c r="A172" s="960"/>
      <c r="B172" s="961"/>
      <c r="C172" s="961"/>
      <c r="D172" s="962"/>
      <c r="E172" s="964"/>
      <c r="F172" s="1193"/>
      <c r="G172" s="964">
        <f>SUM(G160:G171)</f>
        <v>3503.2781000000282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sqref="A1:XFD1048576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5" width="26.33203125" style="678" customWidth="1"/>
    <col min="6" max="6" width="21.88671875" style="678" customWidth="1"/>
    <col min="7" max="7" width="23.33203125" style="678" customWidth="1"/>
    <col min="8" max="8" width="29.44140625" style="679" customWidth="1"/>
    <col min="9" max="9" width="20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2.33203125" style="420"/>
    <col min="15" max="15" width="22.33203125" style="421"/>
    <col min="16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293</v>
      </c>
      <c r="B2" s="1278">
        <v>44165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O2" s="304"/>
    </row>
    <row r="3" spans="1:15" s="292" customFormat="1" ht="27">
      <c r="A3" s="711"/>
      <c r="B3" s="755"/>
      <c r="C3" s="1378" t="s">
        <v>131</v>
      </c>
      <c r="D3" s="753">
        <v>30</v>
      </c>
      <c r="E3" s="1644" t="s">
        <v>132</v>
      </c>
      <c r="F3" s="1644"/>
      <c r="G3" s="602"/>
      <c r="H3" s="603"/>
      <c r="I3" s="603"/>
      <c r="J3" s="756"/>
      <c r="K3" s="415"/>
      <c r="L3" s="304"/>
      <c r="O3" s="1185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O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645" t="s">
        <v>141</v>
      </c>
      <c r="B6" s="1646"/>
      <c r="C6" s="1646"/>
      <c r="D6" s="611"/>
      <c r="E6" s="611"/>
      <c r="F6" s="611"/>
      <c r="G6" s="611"/>
      <c r="H6" s="612"/>
      <c r="I6" s="612"/>
      <c r="J6" s="692"/>
      <c r="K6" s="526"/>
      <c r="L6" s="421"/>
      <c r="O6" s="1186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'[3]29'!F7</f>
        <v>2647221</v>
      </c>
      <c r="F7" s="595">
        <v>2668445</v>
      </c>
      <c r="G7" s="932">
        <f>F7-E7</f>
        <v>21224</v>
      </c>
      <c r="H7" s="600">
        <f>G7+'[3]29'!H7</f>
        <v>563420</v>
      </c>
      <c r="I7" s="614">
        <f>'[3]1'!I7</f>
        <v>12000</v>
      </c>
      <c r="J7" s="693">
        <f>H7/DAY(B2)</f>
        <v>18780.666666666668</v>
      </c>
      <c r="K7" s="690">
        <v>1375467</v>
      </c>
      <c r="L7" s="421"/>
      <c r="N7" s="542">
        <f>F7-'[3]1'!E7</f>
        <v>563420</v>
      </c>
      <c r="O7" s="968"/>
    </row>
    <row r="8" spans="1:15" ht="21.95" customHeight="1" thickBot="1">
      <c r="A8" s="721" t="s">
        <v>144</v>
      </c>
      <c r="B8" s="722"/>
      <c r="C8" s="723"/>
      <c r="D8" s="758" t="s">
        <v>25</v>
      </c>
      <c r="E8" s="615">
        <f>'[3]29'!F8</f>
        <v>2661649</v>
      </c>
      <c r="F8" s="615">
        <v>2683039</v>
      </c>
      <c r="G8" s="616">
        <f>F8-E8</f>
        <v>21390</v>
      </c>
      <c r="H8" s="600">
        <f>G8+'[3]29'!H8</f>
        <v>567598</v>
      </c>
      <c r="I8" s="617"/>
      <c r="J8" s="693">
        <f>H8/DAY(B2)</f>
        <v>18919.933333333334</v>
      </c>
      <c r="K8" s="690">
        <v>1715917</v>
      </c>
      <c r="L8" s="479">
        <v>1728480</v>
      </c>
      <c r="M8" s="542">
        <f>L8-K8</f>
        <v>12563</v>
      </c>
      <c r="N8" s="542">
        <f>F8-'[3]1'!E8</f>
        <v>567598</v>
      </c>
      <c r="O8" s="968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'[3]29'!F9</f>
        <v>2253967.7000000002</v>
      </c>
      <c r="F9" s="618">
        <v>2257036.5</v>
      </c>
      <c r="G9" s="613">
        <f t="shared" ref="G9:G12" si="0">F9-E9</f>
        <v>3068.7999999998137</v>
      </c>
      <c r="H9" s="600">
        <f>G9+'[3]29'!H9</f>
        <v>240031.19999999995</v>
      </c>
      <c r="I9" s="619">
        <f>I7-J7</f>
        <v>-6780.6666666666679</v>
      </c>
      <c r="J9" s="693">
        <f>H9/DAY(B2)</f>
        <v>8001.0399999999981</v>
      </c>
      <c r="K9" s="527">
        <f>K8-100</f>
        <v>1715817</v>
      </c>
      <c r="L9" s="421"/>
      <c r="N9" s="542">
        <f>F9-'[3]1'!E9</f>
        <v>240031.19999999995</v>
      </c>
      <c r="O9" s="968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'[3]29'!F10</f>
        <v>285589.84999999998</v>
      </c>
      <c r="F10" s="618">
        <v>302950.28999999998</v>
      </c>
      <c r="G10" s="613">
        <f t="shared" si="0"/>
        <v>17360.440000000002</v>
      </c>
      <c r="H10" s="600">
        <f>G10+'[3]29'!H10</f>
        <v>302950.5</v>
      </c>
      <c r="I10" s="620"/>
      <c r="J10" s="693">
        <f>H10/DAY(B2)</f>
        <v>10098.35</v>
      </c>
      <c r="K10" s="527"/>
      <c r="L10" s="421"/>
      <c r="N10" s="542">
        <f>F10-'[3]1'!E10</f>
        <v>-151659.5</v>
      </c>
      <c r="O10" s="968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'[3]29'!F11</f>
        <v>35390</v>
      </c>
      <c r="F11" s="595">
        <v>35390</v>
      </c>
      <c r="G11" s="613">
        <f t="shared" si="0"/>
        <v>0</v>
      </c>
      <c r="H11" s="600">
        <f>G11+'[3]29'!H11</f>
        <v>0</v>
      </c>
      <c r="I11" s="620"/>
      <c r="J11" s="693">
        <f>H11/DAY(B2)</f>
        <v>0</v>
      </c>
      <c r="K11" s="527"/>
      <c r="L11" s="421"/>
      <c r="N11" s="542">
        <f>F11-'[3]1'!E11</f>
        <v>0</v>
      </c>
      <c r="O11" s="968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'[3]29'!F12</f>
        <v>37630</v>
      </c>
      <c r="F12" s="618">
        <v>37630</v>
      </c>
      <c r="G12" s="613">
        <f t="shared" si="0"/>
        <v>0</v>
      </c>
      <c r="H12" s="600">
        <f>G12+'[3]29'!H12</f>
        <v>0</v>
      </c>
      <c r="I12" s="620"/>
      <c r="J12" s="693">
        <f>H12/DAY(B2)</f>
        <v>0</v>
      </c>
      <c r="K12" s="527"/>
      <c r="L12" s="421"/>
      <c r="N12" s="542">
        <f>F12-'[3]1'!E12</f>
        <v>0</v>
      </c>
      <c r="O12" s="968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20429.239999999816</v>
      </c>
      <c r="H13" s="600">
        <f>G13+'[3]29'!H13</f>
        <v>488717.9</v>
      </c>
      <c r="I13" s="622">
        <f>G7-G13</f>
        <v>794.76000000018394</v>
      </c>
      <c r="J13" s="693">
        <f>H13/DAY(B2)</f>
        <v>16290.596666666668</v>
      </c>
      <c r="K13" s="527"/>
      <c r="L13" s="421"/>
      <c r="N13" s="542">
        <f>F13-'[3]1'!E13</f>
        <v>0</v>
      </c>
      <c r="O13" s="968"/>
    </row>
    <row r="14" spans="1:15" ht="29.25">
      <c r="A14" s="1647" t="s">
        <v>150</v>
      </c>
      <c r="B14" s="1648"/>
      <c r="C14" s="1648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F14-'[3]1'!E14</f>
        <v>0</v>
      </c>
      <c r="O14" s="968"/>
    </row>
    <row r="15" spans="1:15" ht="21.95" customHeight="1">
      <c r="A15" s="1371" t="s">
        <v>151</v>
      </c>
      <c r="B15" s="730"/>
      <c r="C15" s="730"/>
      <c r="D15" s="663" t="s">
        <v>152</v>
      </c>
      <c r="E15" s="595">
        <f>'[3]29'!F15</f>
        <v>1546222.4140000001</v>
      </c>
      <c r="F15" s="624">
        <v>1546897.601</v>
      </c>
      <c r="G15" s="932">
        <f>(F15-E15)</f>
        <v>675.18699999991804</v>
      </c>
      <c r="H15" s="600">
        <f>G15+'[3]29'!H15</f>
        <v>16782.407000000123</v>
      </c>
      <c r="I15" s="614">
        <f>'[3]1'!I15</f>
        <v>800</v>
      </c>
      <c r="J15" s="693">
        <f>H15/DAY(B2)</f>
        <v>559.41356666667082</v>
      </c>
      <c r="K15" s="527"/>
      <c r="L15" s="421"/>
      <c r="N15" s="542">
        <f>F15-'[3]1'!E15</f>
        <v>16782.407000000123</v>
      </c>
      <c r="O15" s="968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240.58643333332918</v>
      </c>
      <c r="J16" s="694"/>
      <c r="K16" s="527"/>
      <c r="L16" s="421"/>
      <c r="N16" s="542">
        <f>F16-'[3]1'!E16</f>
        <v>0</v>
      </c>
      <c r="O16" s="968"/>
    </row>
    <row r="17" spans="1:15" ht="29.25">
      <c r="A17" s="1647" t="s">
        <v>153</v>
      </c>
      <c r="B17" s="1648"/>
      <c r="C17" s="1648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F17-'[3]1'!E17</f>
        <v>0</v>
      </c>
      <c r="O17" s="968"/>
    </row>
    <row r="18" spans="1:15" ht="27.75">
      <c r="A18" s="1642" t="s">
        <v>154</v>
      </c>
      <c r="B18" s="1643"/>
      <c r="C18" s="1643"/>
      <c r="D18" s="663" t="s">
        <v>155</v>
      </c>
      <c r="E18" s="595">
        <f>'[3]29'!F18</f>
        <v>14</v>
      </c>
      <c r="F18" s="624">
        <v>14</v>
      </c>
      <c r="G18" s="621">
        <f>F18*10</f>
        <v>140</v>
      </c>
      <c r="H18" s="600">
        <f>G18+'[3]29'!H18</f>
        <v>3130</v>
      </c>
      <c r="I18" s="614">
        <f>'[3]1'!I18</f>
        <v>65</v>
      </c>
      <c r="J18" s="693">
        <f>H18/DAY(B2)</f>
        <v>104.33333333333333</v>
      </c>
      <c r="K18" s="527"/>
      <c r="L18" s="421"/>
      <c r="N18" s="542">
        <f>F18-'[3]1'!E18</f>
        <v>2</v>
      </c>
      <c r="O18" s="968"/>
    </row>
    <row r="19" spans="1:15" ht="27.75">
      <c r="A19" s="1642" t="s">
        <v>71</v>
      </c>
      <c r="B19" s="1643"/>
      <c r="C19" s="1643"/>
      <c r="D19" s="663" t="s">
        <v>155</v>
      </c>
      <c r="E19" s="595">
        <f>'[3]29'!F19</f>
        <v>129744</v>
      </c>
      <c r="F19" s="624">
        <v>129801</v>
      </c>
      <c r="G19" s="613">
        <f t="shared" ref="G19" si="1">F19-E19</f>
        <v>57</v>
      </c>
      <c r="H19" s="600">
        <f>G19+'[3]29'!H19</f>
        <v>1606</v>
      </c>
      <c r="I19" s="629"/>
      <c r="J19" s="693">
        <f>H19/DAY(B2)</f>
        <v>53.533333333333331</v>
      </c>
      <c r="K19" s="527"/>
      <c r="L19" s="421"/>
      <c r="N19" s="542">
        <f>F19-'[3]1'!E19</f>
        <v>1606</v>
      </c>
      <c r="O19" s="968"/>
    </row>
    <row r="20" spans="1:15" ht="21.95" customHeight="1">
      <c r="A20" s="726" t="s">
        <v>156</v>
      </c>
      <c r="B20" s="727"/>
      <c r="C20" s="727"/>
      <c r="D20" s="630"/>
      <c r="E20" s="630"/>
      <c r="F20" s="630"/>
      <c r="G20" s="1184">
        <f>G18+G19</f>
        <v>197</v>
      </c>
      <c r="H20" s="600">
        <f>G20+'[3]29'!H20</f>
        <v>4736</v>
      </c>
      <c r="I20" s="632">
        <f>I18-J20</f>
        <v>-92.866666666666674</v>
      </c>
      <c r="J20" s="693">
        <f>H20/DAY(B2)</f>
        <v>157.86666666666667</v>
      </c>
      <c r="K20" s="527"/>
      <c r="L20" s="421"/>
      <c r="N20" s="542">
        <f>F20-'[3]1'!E20</f>
        <v>0</v>
      </c>
      <c r="O20" s="968"/>
    </row>
    <row r="21" spans="1:15" ht="29.25">
      <c r="A21" s="1647" t="s">
        <v>157</v>
      </c>
      <c r="B21" s="1648"/>
      <c r="C21" s="1648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F21-'[3]1'!E21</f>
        <v>0</v>
      </c>
      <c r="O21" s="968"/>
    </row>
    <row r="22" spans="1:15" ht="21.95" customHeight="1">
      <c r="A22" s="1371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2">(F22-E22)</f>
        <v>0</v>
      </c>
      <c r="H22" s="600">
        <f>G22+'[3]29'!H22</f>
        <v>640</v>
      </c>
      <c r="I22" s="620"/>
      <c r="J22" s="693">
        <f>H22/DAY(B2)</f>
        <v>21.333333333333332</v>
      </c>
      <c r="K22" s="527"/>
      <c r="L22" s="421"/>
      <c r="N22" s="542">
        <f>F22-'[3]1'!E22</f>
        <v>0</v>
      </c>
      <c r="O22" s="968"/>
    </row>
    <row r="23" spans="1:15" ht="21.95" customHeight="1">
      <c r="A23" s="1371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>G23+'[3]29'!H23</f>
        <v>0</v>
      </c>
      <c r="I23" s="620"/>
      <c r="J23" s="693">
        <f>H23/DAY(B2)</f>
        <v>0</v>
      </c>
      <c r="K23" s="527"/>
      <c r="L23" s="421"/>
      <c r="N23" s="542">
        <f>F23-'[3]1'!E23</f>
        <v>0</v>
      </c>
      <c r="O23" s="968"/>
    </row>
    <row r="24" spans="1:15" ht="21.95" customHeight="1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v>0</v>
      </c>
      <c r="H24" s="600">
        <f>G24+'[3]29'!H24</f>
        <v>0</v>
      </c>
      <c r="I24" s="620"/>
      <c r="J24" s="693">
        <f>H24/DAY(B2)</f>
        <v>0</v>
      </c>
      <c r="K24" s="527"/>
      <c r="L24" s="421"/>
      <c r="N24" s="542">
        <f>F24-'[3]1'!E24</f>
        <v>0</v>
      </c>
      <c r="O24" s="968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F25-'[3]1'!E25</f>
        <v>0</v>
      </c>
      <c r="O25" s="968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F26-'[3]1'!E26</f>
        <v>0</v>
      </c>
      <c r="O26" s="968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21390</v>
      </c>
      <c r="F27" s="641">
        <v>9.5</v>
      </c>
      <c r="G27" s="1187">
        <f>E27*F27</f>
        <v>203205</v>
      </c>
      <c r="H27" s="600">
        <f>G27+'[3]29'!H27</f>
        <v>5392181</v>
      </c>
      <c r="I27" s="643"/>
      <c r="J27" s="693">
        <f>H27/DAY(B2)</f>
        <v>179739.36666666667</v>
      </c>
      <c r="K27" s="417"/>
      <c r="L27" s="547"/>
      <c r="N27" s="542"/>
      <c r="O27" s="968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675.18699999991804</v>
      </c>
      <c r="F28" s="641">
        <v>36.5</v>
      </c>
      <c r="G28" s="1187">
        <f>E28*F28</f>
        <v>24644.325499997009</v>
      </c>
      <c r="H28" s="600">
        <f>G28+'[3]29'!H28</f>
        <v>612557.85550000449</v>
      </c>
      <c r="I28" s="645"/>
      <c r="J28" s="693">
        <f>H28/DAY(B2)</f>
        <v>20418.595183333484</v>
      </c>
      <c r="K28" s="417"/>
      <c r="L28" s="547"/>
      <c r="N28" s="542"/>
      <c r="O28" s="968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1187">
        <f>E29*F29</f>
        <v>0</v>
      </c>
      <c r="H29" s="600">
        <f>G29+'[3]29'!H29</f>
        <v>0</v>
      </c>
      <c r="I29" s="645"/>
      <c r="J29" s="693">
        <f>H29/DAY(B2)</f>
        <v>0</v>
      </c>
      <c r="K29" s="417"/>
      <c r="L29" s="547"/>
      <c r="N29" s="542"/>
      <c r="O29" s="968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57</v>
      </c>
      <c r="F30" s="641">
        <v>145</v>
      </c>
      <c r="G30" s="1187">
        <f>E30*F30</f>
        <v>8265</v>
      </c>
      <c r="H30" s="600">
        <f>G30+'[3]29'!H30</f>
        <v>232870</v>
      </c>
      <c r="I30" s="645"/>
      <c r="J30" s="693">
        <f>H30/DAY(B2)</f>
        <v>7762.333333333333</v>
      </c>
      <c r="K30" s="417"/>
      <c r="L30" s="547"/>
      <c r="N30" s="542"/>
      <c r="O30" s="968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140</v>
      </c>
      <c r="F31" s="641">
        <v>80</v>
      </c>
      <c r="G31" s="1187">
        <f>E31*F31</f>
        <v>11200</v>
      </c>
      <c r="H31" s="600">
        <f>G31+'[3]29'!H31</f>
        <v>250400</v>
      </c>
      <c r="I31" s="645"/>
      <c r="J31" s="693"/>
      <c r="K31" s="417"/>
      <c r="L31" s="547"/>
      <c r="N31" s="542"/>
      <c r="O31" s="968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247314.32549999701</v>
      </c>
      <c r="H32" s="600">
        <f>G32+'[3]29'!H32</f>
        <v>6488008.8555000033</v>
      </c>
      <c r="I32" s="649"/>
      <c r="J32" s="693">
        <f>H32/DAY(B2)</f>
        <v>216266.96185000011</v>
      </c>
      <c r="K32" s="417"/>
      <c r="L32" s="547"/>
      <c r="N32" s="542"/>
      <c r="O32" s="968"/>
    </row>
    <row r="33" spans="1:15" ht="25.5">
      <c r="A33" s="1652" t="s">
        <v>173</v>
      </c>
      <c r="B33" s="1653"/>
      <c r="C33" s="1653"/>
      <c r="D33" s="1653"/>
      <c r="E33" s="1653"/>
      <c r="F33" s="1653"/>
      <c r="G33" s="1653"/>
      <c r="H33" s="1653"/>
      <c r="I33" s="1653"/>
      <c r="J33" s="1654"/>
      <c r="K33" s="527"/>
      <c r="L33" s="421"/>
      <c r="N33" s="542"/>
      <c r="O33" s="968"/>
    </row>
    <row r="34" spans="1:15" ht="21.95" customHeight="1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542"/>
      <c r="O34" s="968"/>
    </row>
    <row r="35" spans="1:15" ht="21.95" customHeight="1">
      <c r="A35" s="719" t="s">
        <v>175</v>
      </c>
      <c r="B35" s="720"/>
      <c r="C35" s="720"/>
      <c r="D35" s="663" t="s">
        <v>143</v>
      </c>
      <c r="E35" s="595">
        <f>'[3]29'!F35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G35+'[3]29'!H35</f>
        <v>25858.20000000007</v>
      </c>
      <c r="I35" s="595"/>
      <c r="J35" s="693">
        <f>H35/DAY(B2)</f>
        <v>861.94000000000233</v>
      </c>
      <c r="K35" s="527"/>
      <c r="L35" s="421"/>
      <c r="N35" s="542">
        <f>F35-'[3]1'!E35</f>
        <v>25684.20000000007</v>
      </c>
      <c r="O35" s="968"/>
    </row>
    <row r="36" spans="1:15" ht="21.95" customHeight="1">
      <c r="A36" s="719" t="s">
        <v>176</v>
      </c>
      <c r="B36" s="720"/>
      <c r="C36" s="720"/>
      <c r="D36" s="663" t="s">
        <v>143</v>
      </c>
      <c r="E36" s="595">
        <f>'[3]29'!F36</f>
        <v>229085.73</v>
      </c>
      <c r="F36" s="650">
        <v>229085.73</v>
      </c>
      <c r="G36" s="613">
        <f t="shared" si="3"/>
        <v>0</v>
      </c>
      <c r="H36" s="600">
        <f>G36+'[3]29'!H36</f>
        <v>17725.78</v>
      </c>
      <c r="I36" s="595"/>
      <c r="J36" s="693">
        <f>H36/DAY(B2)</f>
        <v>590.85933333333332</v>
      </c>
      <c r="K36" s="527"/>
      <c r="L36" s="421"/>
      <c r="N36" s="542">
        <f>F36-'[3]1'!E36</f>
        <v>17725.78</v>
      </c>
      <c r="O36" s="968"/>
    </row>
    <row r="37" spans="1:15" ht="21.95" customHeight="1">
      <c r="A37" s="719" t="s">
        <v>177</v>
      </c>
      <c r="B37" s="720"/>
      <c r="C37" s="720"/>
      <c r="D37" s="663" t="s">
        <v>143</v>
      </c>
      <c r="E37" s="595">
        <f>'[3]29'!F37</f>
        <v>415066</v>
      </c>
      <c r="F37" s="650">
        <v>415066</v>
      </c>
      <c r="G37" s="613">
        <f t="shared" si="3"/>
        <v>0</v>
      </c>
      <c r="H37" s="600">
        <f>G37+'[3]29'!H37</f>
        <v>15221.809999999998</v>
      </c>
      <c r="I37" s="595"/>
      <c r="J37" s="693">
        <f>H37/DAY(B2)</f>
        <v>507.3936666666666</v>
      </c>
      <c r="K37" s="527"/>
      <c r="L37" s="421"/>
      <c r="N37" s="542">
        <f>F37-'[3]1'!E37</f>
        <v>15221.809999999998</v>
      </c>
      <c r="O37" s="968"/>
    </row>
    <row r="38" spans="1:15" ht="21.95" customHeight="1">
      <c r="A38" s="719" t="s">
        <v>178</v>
      </c>
      <c r="B38" s="720"/>
      <c r="C38" s="720"/>
      <c r="D38" s="663" t="s">
        <v>143</v>
      </c>
      <c r="E38" s="595">
        <f>'[3]29'!F38</f>
        <v>150714</v>
      </c>
      <c r="F38" s="609">
        <v>150714</v>
      </c>
      <c r="G38" s="613">
        <f t="shared" si="3"/>
        <v>0</v>
      </c>
      <c r="H38" s="600">
        <f>G38+'[3]29'!H38</f>
        <v>0</v>
      </c>
      <c r="I38" s="595"/>
      <c r="J38" s="693">
        <f>H38/DAY(B2)</f>
        <v>0</v>
      </c>
      <c r="K38" s="527"/>
      <c r="L38" s="421"/>
      <c r="N38" s="542"/>
      <c r="O38" s="968"/>
    </row>
    <row r="39" spans="1:15" ht="21.95" customHeight="1">
      <c r="A39" s="719" t="s">
        <v>179</v>
      </c>
      <c r="B39" s="720"/>
      <c r="C39" s="720"/>
      <c r="D39" s="663" t="s">
        <v>143</v>
      </c>
      <c r="E39" s="595">
        <f>'[3]29'!F39</f>
        <v>912480</v>
      </c>
      <c r="F39" s="650">
        <v>912480</v>
      </c>
      <c r="G39" s="613">
        <f t="shared" si="3"/>
        <v>0</v>
      </c>
      <c r="H39" s="600">
        <f>G39+'[3]29'!H39</f>
        <v>40355.290000000037</v>
      </c>
      <c r="I39" s="595"/>
      <c r="J39" s="693">
        <f>H39/DAY(B2)</f>
        <v>1345.1763333333345</v>
      </c>
      <c r="K39" s="527"/>
      <c r="L39" s="421"/>
      <c r="N39" s="542">
        <f>F39-'[3]1'!E39</f>
        <v>40355.290000000037</v>
      </c>
      <c r="O39" s="968"/>
    </row>
    <row r="40" spans="1:15" ht="21.95" customHeight="1">
      <c r="A40" s="740" t="s">
        <v>180</v>
      </c>
      <c r="B40" s="741"/>
      <c r="C40" s="741"/>
      <c r="D40" s="663" t="s">
        <v>143</v>
      </c>
      <c r="E40" s="595">
        <f>'[3]29'!F40</f>
        <v>0</v>
      </c>
      <c r="F40" s="650">
        <v>0</v>
      </c>
      <c r="G40" s="613">
        <f t="shared" si="3"/>
        <v>0</v>
      </c>
      <c r="H40" s="600">
        <f>G40+'[3]29'!H40</f>
        <v>0</v>
      </c>
      <c r="I40" s="595"/>
      <c r="J40" s="693">
        <f>H40/DAY(B2)</f>
        <v>0</v>
      </c>
      <c r="K40" s="528"/>
      <c r="L40" s="421"/>
      <c r="N40" s="542">
        <f>F40-'[3]1'!E40</f>
        <v>0</v>
      </c>
      <c r="O40" s="968"/>
    </row>
    <row r="41" spans="1:15" ht="21.95" customHeight="1">
      <c r="A41" s="719" t="s">
        <v>181</v>
      </c>
      <c r="B41" s="720"/>
      <c r="C41" s="720"/>
      <c r="D41" s="663" t="s">
        <v>143</v>
      </c>
      <c r="E41" s="595">
        <f>'[3]29'!F41</f>
        <v>300127.95</v>
      </c>
      <c r="F41" s="650">
        <v>300127.95</v>
      </c>
      <c r="G41" s="613">
        <f t="shared" si="3"/>
        <v>0</v>
      </c>
      <c r="H41" s="600">
        <f>G41+'[3]29'!H41</f>
        <v>-1.9999999960418791E-2</v>
      </c>
      <c r="I41" s="595"/>
      <c r="J41" s="693">
        <f>H41/DAY(B2)</f>
        <v>-6.66666665347293E-4</v>
      </c>
      <c r="K41" s="527"/>
      <c r="L41" s="421"/>
      <c r="N41" s="542">
        <f>F41-'[3]1'!E41</f>
        <v>-1.9999999960418791E-2</v>
      </c>
      <c r="O41" s="968"/>
    </row>
    <row r="42" spans="1:15" ht="21.95" customHeight="1">
      <c r="A42" s="719" t="s">
        <v>182</v>
      </c>
      <c r="B42" s="720"/>
      <c r="C42" s="720"/>
      <c r="D42" s="663" t="s">
        <v>143</v>
      </c>
      <c r="E42" s="595">
        <f>'[3]29'!F42</f>
        <v>396198</v>
      </c>
      <c r="F42" s="650">
        <v>396198</v>
      </c>
      <c r="G42" s="613">
        <f t="shared" si="3"/>
        <v>0</v>
      </c>
      <c r="H42" s="600">
        <f>G42+'[3]29'!H42</f>
        <v>0.53000000002793968</v>
      </c>
      <c r="I42" s="595"/>
      <c r="J42" s="693">
        <f>H42/DAY(B2)</f>
        <v>1.7666666667597988E-2</v>
      </c>
      <c r="K42" s="527"/>
      <c r="L42" s="421"/>
      <c r="N42" s="542">
        <f>F42-'[3]1'!E42</f>
        <v>0.53000000002793968</v>
      </c>
      <c r="O42" s="968"/>
    </row>
    <row r="43" spans="1:15" ht="21.95" customHeight="1">
      <c r="A43" s="719" t="s">
        <v>183</v>
      </c>
      <c r="B43" s="720"/>
      <c r="C43" s="720"/>
      <c r="D43" s="663" t="s">
        <v>143</v>
      </c>
      <c r="E43" s="595">
        <f>'[3]29'!F43</f>
        <v>628430.15</v>
      </c>
      <c r="F43" s="650">
        <v>630749.31000000006</v>
      </c>
      <c r="G43" s="613">
        <f t="shared" si="3"/>
        <v>2319.1600000000326</v>
      </c>
      <c r="H43" s="600">
        <f>G43+'[3]29'!H43</f>
        <v>72425.240000000107</v>
      </c>
      <c r="I43" s="595"/>
      <c r="J43" s="693">
        <f>H43/DAY(B2)</f>
        <v>2414.1746666666704</v>
      </c>
      <c r="K43" s="527"/>
      <c r="L43" s="421"/>
      <c r="N43" s="542">
        <f>F43-'[3]1'!E43</f>
        <v>72425.240000000107</v>
      </c>
      <c r="O43" s="968"/>
    </row>
    <row r="44" spans="1:15" ht="21.95" customHeight="1">
      <c r="A44" s="719" t="s">
        <v>184</v>
      </c>
      <c r="B44" s="720"/>
      <c r="C44" s="720"/>
      <c r="D44" s="663" t="s">
        <v>143</v>
      </c>
      <c r="E44" s="595">
        <f>'[3]29'!F44</f>
        <v>0</v>
      </c>
      <c r="F44" s="650">
        <v>0</v>
      </c>
      <c r="G44" s="613">
        <f t="shared" si="3"/>
        <v>0</v>
      </c>
      <c r="H44" s="600">
        <f>G44+'[3]29'!H44</f>
        <v>0</v>
      </c>
      <c r="I44" s="595"/>
      <c r="J44" s="693">
        <f>H44/DAY(B2)</f>
        <v>0</v>
      </c>
      <c r="K44" s="527"/>
      <c r="L44" s="421"/>
      <c r="N44" s="542">
        <f>F44-'[3]1'!E44</f>
        <v>0</v>
      </c>
      <c r="O44" s="968"/>
    </row>
    <row r="45" spans="1:15" ht="21.95" customHeight="1">
      <c r="A45" s="719" t="s">
        <v>185</v>
      </c>
      <c r="B45" s="720"/>
      <c r="C45" s="720"/>
      <c r="D45" s="663" t="s">
        <v>143</v>
      </c>
      <c r="E45" s="595">
        <f>'[3]29'!F45</f>
        <v>614.48</v>
      </c>
      <c r="F45" s="650">
        <v>614.48</v>
      </c>
      <c r="G45" s="613">
        <f t="shared" si="3"/>
        <v>0</v>
      </c>
      <c r="H45" s="600">
        <f>G45+'[3]29'!H45</f>
        <v>0</v>
      </c>
      <c r="I45" s="595"/>
      <c r="J45" s="693">
        <f>H45/DAY(B2)</f>
        <v>0</v>
      </c>
      <c r="K45" s="527"/>
      <c r="L45" s="421"/>
      <c r="N45" s="542">
        <f>F45-'[3]1'!E45</f>
        <v>0</v>
      </c>
      <c r="O45" s="968"/>
    </row>
    <row r="46" spans="1:15" ht="21.95" customHeight="1">
      <c r="A46" s="719" t="s">
        <v>186</v>
      </c>
      <c r="B46" s="720"/>
      <c r="C46" s="720"/>
      <c r="D46" s="663" t="s">
        <v>143</v>
      </c>
      <c r="E46" s="595">
        <f>'[3]29'!F46</f>
        <v>187.49</v>
      </c>
      <c r="F46" s="650">
        <v>187.49</v>
      </c>
      <c r="G46" s="613">
        <f t="shared" si="3"/>
        <v>0</v>
      </c>
      <c r="H46" s="600">
        <f>G46+'[3]29'!H46</f>
        <v>0</v>
      </c>
      <c r="I46" s="595"/>
      <c r="J46" s="693">
        <f>H46/DAY(B2)</f>
        <v>0</v>
      </c>
      <c r="K46" s="527"/>
      <c r="L46" s="421"/>
      <c r="N46" s="542">
        <f>F46-'[3]1'!E46</f>
        <v>0</v>
      </c>
      <c r="O46" s="968"/>
    </row>
    <row r="47" spans="1:15" ht="21.95" customHeight="1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2319.1600000000326</v>
      </c>
      <c r="H47" s="600">
        <f>G47+'[3]29'!H47</f>
        <v>171586.83000000031</v>
      </c>
      <c r="I47" s="595"/>
      <c r="J47" s="693">
        <f>H47/DAY(B2)</f>
        <v>5719.5610000000106</v>
      </c>
      <c r="K47" s="527"/>
      <c r="L47" s="421"/>
      <c r="N47" s="542">
        <f>F47-'[3]1'!E47</f>
        <v>0</v>
      </c>
      <c r="O47" s="968"/>
    </row>
    <row r="48" spans="1:15" ht="29.2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O48" s="968"/>
    </row>
    <row r="49" spans="1:15" ht="29.25">
      <c r="A49" s="719" t="s">
        <v>175</v>
      </c>
      <c r="B49" s="742"/>
      <c r="C49" s="742"/>
      <c r="D49" s="663" t="s">
        <v>143</v>
      </c>
      <c r="E49" s="595">
        <f>'[3]29'!F49</f>
        <v>58900.663</v>
      </c>
      <c r="F49" s="650">
        <v>61513.267</v>
      </c>
      <c r="G49" s="613">
        <f t="shared" ref="G49:G58" si="4">F49-E49</f>
        <v>2612.6039999999994</v>
      </c>
      <c r="H49" s="600">
        <f>G49+'[3]29'!H49</f>
        <v>49783.978999999999</v>
      </c>
      <c r="I49" s="595"/>
      <c r="J49" s="693">
        <f>H49/DAY(B2)</f>
        <v>1659.4659666666666</v>
      </c>
      <c r="K49" s="527"/>
      <c r="L49" s="421"/>
      <c r="O49" s="968"/>
    </row>
    <row r="50" spans="1:15" ht="29.25">
      <c r="A50" s="719" t="s">
        <v>189</v>
      </c>
      <c r="B50" s="742"/>
      <c r="C50" s="742"/>
      <c r="D50" s="663" t="s">
        <v>143</v>
      </c>
      <c r="E50" s="595">
        <f>'[3]29'!F50</f>
        <v>294446.21000000002</v>
      </c>
      <c r="F50" s="650">
        <v>295969.09000000003</v>
      </c>
      <c r="G50" s="613">
        <f t="shared" si="4"/>
        <v>1522.8800000000047</v>
      </c>
      <c r="H50" s="600">
        <f>G50+'[3]29'!H50</f>
        <v>29910.150000000023</v>
      </c>
      <c r="I50" s="595"/>
      <c r="J50" s="693">
        <f>H50/DAY(B2)</f>
        <v>997.00500000000079</v>
      </c>
      <c r="K50" s="527"/>
      <c r="L50" s="421"/>
      <c r="O50" s="968"/>
    </row>
    <row r="51" spans="1:15" ht="29.25">
      <c r="A51" s="719" t="s">
        <v>177</v>
      </c>
      <c r="B51" s="742"/>
      <c r="C51" s="742"/>
      <c r="D51" s="663" t="s">
        <v>143</v>
      </c>
      <c r="E51" s="595">
        <f>'[3]29'!F51</f>
        <v>17807.510999999999</v>
      </c>
      <c r="F51" s="650">
        <v>19320.487000000001</v>
      </c>
      <c r="G51" s="613">
        <f t="shared" si="4"/>
        <v>1512.9760000000024</v>
      </c>
      <c r="H51" s="600">
        <f>G51+'[3]29'!H51</f>
        <v>27295.5389</v>
      </c>
      <c r="I51" s="595"/>
      <c r="J51" s="693">
        <f>H51/DAY(B2)</f>
        <v>909.8512966666666</v>
      </c>
      <c r="K51" s="527"/>
      <c r="L51" s="421"/>
      <c r="O51" s="968"/>
    </row>
    <row r="52" spans="1:15" ht="29.25">
      <c r="A52" s="719" t="s">
        <v>190</v>
      </c>
      <c r="B52" s="742"/>
      <c r="C52" s="742"/>
      <c r="D52" s="663" t="s">
        <v>143</v>
      </c>
      <c r="E52" s="595">
        <f>'[3]29'!F52</f>
        <v>369176.07</v>
      </c>
      <c r="F52" s="650">
        <v>371122.43</v>
      </c>
      <c r="G52" s="613">
        <f t="shared" si="4"/>
        <v>1946.359999999986</v>
      </c>
      <c r="H52" s="600">
        <f>G52+'[3]29'!H52</f>
        <v>48833.010000000009</v>
      </c>
      <c r="I52" s="595"/>
      <c r="J52" s="693">
        <f>H52/DAY(B2)</f>
        <v>1627.7670000000003</v>
      </c>
      <c r="K52" s="527"/>
      <c r="L52" s="421"/>
      <c r="O52" s="968"/>
    </row>
    <row r="53" spans="1:15" ht="29.25">
      <c r="A53" s="719" t="s">
        <v>179</v>
      </c>
      <c r="B53" s="742"/>
      <c r="C53" s="742"/>
      <c r="D53" s="663" t="s">
        <v>143</v>
      </c>
      <c r="E53" s="595">
        <f>'[3]29'!F53</f>
        <v>40870.178999999996</v>
      </c>
      <c r="F53" s="650">
        <v>45416.006999999998</v>
      </c>
      <c r="G53" s="613">
        <f t="shared" si="4"/>
        <v>4545.8280000000013</v>
      </c>
      <c r="H53" s="600">
        <f>G53+'[3]29'!H53</f>
        <v>56297.007000000005</v>
      </c>
      <c r="I53" s="595"/>
      <c r="J53" s="693">
        <f>H53/DAY(B2)</f>
        <v>1876.5669000000003</v>
      </c>
      <c r="K53" s="527"/>
      <c r="L53" s="421"/>
      <c r="O53" s="968"/>
    </row>
    <row r="54" spans="1:15" ht="29.25">
      <c r="A54" s="719" t="s">
        <v>191</v>
      </c>
      <c r="B54" s="742"/>
      <c r="C54" s="742"/>
      <c r="D54" s="663" t="s">
        <v>143</v>
      </c>
      <c r="E54" s="595">
        <f>'[3]29'!F54</f>
        <v>2781.1007</v>
      </c>
      <c r="F54" s="650">
        <v>2833</v>
      </c>
      <c r="G54" s="613">
        <f t="shared" si="4"/>
        <v>51.899300000000039</v>
      </c>
      <c r="H54" s="600">
        <f>G54+'[3]29'!H54</f>
        <v>1280.4393</v>
      </c>
      <c r="I54" s="595"/>
      <c r="J54" s="693">
        <f>H54/DAY(B2)</f>
        <v>42.681310000000003</v>
      </c>
      <c r="K54" s="527"/>
      <c r="L54" s="421"/>
      <c r="O54" s="968"/>
    </row>
    <row r="55" spans="1:15" ht="29.25">
      <c r="A55" s="719" t="s">
        <v>192</v>
      </c>
      <c r="B55" s="742"/>
      <c r="C55" s="742"/>
      <c r="D55" s="663" t="s">
        <v>143</v>
      </c>
      <c r="E55" s="595">
        <f>'[3]29'!F55</f>
        <v>158492.73000000001</v>
      </c>
      <c r="F55" s="650">
        <v>158493</v>
      </c>
      <c r="G55" s="613">
        <f t="shared" si="4"/>
        <v>0.26999999998952262</v>
      </c>
      <c r="H55" s="600">
        <f>G55+'[3]29'!H55</f>
        <v>0</v>
      </c>
      <c r="I55" s="595"/>
      <c r="J55" s="693">
        <f>H55/DAY(B2)</f>
        <v>0</v>
      </c>
      <c r="K55" s="527"/>
      <c r="L55" s="421"/>
      <c r="O55" s="968"/>
    </row>
    <row r="56" spans="1:15" ht="29.25">
      <c r="A56" s="719" t="s">
        <v>193</v>
      </c>
      <c r="B56" s="742"/>
      <c r="C56" s="742"/>
      <c r="D56" s="663" t="s">
        <v>194</v>
      </c>
      <c r="E56" s="595">
        <f>'[3]29'!F56</f>
        <v>430011.47</v>
      </c>
      <c r="F56" s="650">
        <v>435147.59</v>
      </c>
      <c r="G56" s="613">
        <f t="shared" si="4"/>
        <v>5136.1200000000536</v>
      </c>
      <c r="H56" s="600">
        <f>G56+'[3]29'!H56</f>
        <v>123103.11000000004</v>
      </c>
      <c r="I56" s="595"/>
      <c r="J56" s="693">
        <f>H56/DAY(B2)</f>
        <v>4103.4370000000017</v>
      </c>
      <c r="K56" s="526"/>
      <c r="L56" s="421"/>
      <c r="O56" s="968"/>
    </row>
    <row r="57" spans="1:15" ht="29.25">
      <c r="A57" s="719" t="s">
        <v>183</v>
      </c>
      <c r="B57" s="742"/>
      <c r="C57" s="742"/>
      <c r="D57" s="663" t="s">
        <v>143</v>
      </c>
      <c r="E57" s="595">
        <f>'[3]29'!F57</f>
        <v>0</v>
      </c>
      <c r="F57" s="650">
        <v>0</v>
      </c>
      <c r="G57" s="613">
        <f t="shared" si="4"/>
        <v>0</v>
      </c>
      <c r="H57" s="600">
        <f>G57+'[3]29'!H57</f>
        <v>0</v>
      </c>
      <c r="I57" s="595"/>
      <c r="J57" s="693">
        <f>H57/DAY(B2)</f>
        <v>0</v>
      </c>
      <c r="K57" s="527"/>
      <c r="L57" s="421"/>
      <c r="O57" s="968"/>
    </row>
    <row r="58" spans="1:15" ht="29.25">
      <c r="A58" s="719" t="s">
        <v>195</v>
      </c>
      <c r="B58" s="742"/>
      <c r="C58" s="742"/>
      <c r="D58" s="663" t="s">
        <v>143</v>
      </c>
      <c r="E58" s="595">
        <f>'[3]29'!F58</f>
        <v>20116.107</v>
      </c>
      <c r="F58" s="650">
        <v>20231.043000000001</v>
      </c>
      <c r="G58" s="613">
        <f t="shared" si="4"/>
        <v>114.93600000000151</v>
      </c>
      <c r="H58" s="600">
        <f>G58+'[3]29'!H58</f>
        <v>2461.7469999999994</v>
      </c>
      <c r="I58" s="595"/>
      <c r="J58" s="693">
        <f>H58/DAY(B2)</f>
        <v>82.05823333333332</v>
      </c>
      <c r="K58" s="527"/>
      <c r="L58" s="421"/>
      <c r="O58" s="968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17443.873300000039</v>
      </c>
      <c r="H59" s="600">
        <f>G59+'[3]29'!H59</f>
        <v>338964.98119999998</v>
      </c>
      <c r="I59" s="595">
        <f>G7-G60</f>
        <v>1460.9666999999281</v>
      </c>
      <c r="J59" s="693">
        <f>H59/DAY(B2)</f>
        <v>11298.832706666666</v>
      </c>
      <c r="K59" s="527"/>
      <c r="L59" s="421"/>
      <c r="O59" s="968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19763.033300000072</v>
      </c>
      <c r="H60" s="600">
        <f>G60+'[3]29'!H60</f>
        <v>524937.97190000024</v>
      </c>
      <c r="I60" s="595">
        <f>G13-G60</f>
        <v>666.20669999974416</v>
      </c>
      <c r="J60" s="693">
        <f>H60/DAY(B2)</f>
        <v>17497.932396666674</v>
      </c>
      <c r="K60" s="527"/>
      <c r="L60" s="421"/>
      <c r="O60" s="968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968"/>
    </row>
    <row r="62" spans="1:15" ht="29.25">
      <c r="A62" s="744" t="s">
        <v>106</v>
      </c>
      <c r="B62" s="745"/>
      <c r="C62" s="745"/>
      <c r="D62" s="651" t="s">
        <v>198</v>
      </c>
      <c r="E62" s="595">
        <f>'[3]29'!F62</f>
        <v>20419.18</v>
      </c>
      <c r="F62" s="654">
        <v>20419.18</v>
      </c>
      <c r="G62" s="613">
        <f t="shared" ref="G62:G69" si="5">F62-E62</f>
        <v>0</v>
      </c>
      <c r="H62" s="600">
        <f>G62+'[3]29'!H62</f>
        <v>-0.19799999999668216</v>
      </c>
      <c r="I62" s="655"/>
      <c r="J62" s="693">
        <f>H62/DAY(B2)</f>
        <v>-6.5999999998894053E-3</v>
      </c>
      <c r="K62" s="527"/>
      <c r="L62" s="421"/>
      <c r="O62" s="968"/>
    </row>
    <row r="63" spans="1:15" ht="29.25">
      <c r="A63" s="744" t="s">
        <v>199</v>
      </c>
      <c r="B63" s="745"/>
      <c r="C63" s="745"/>
      <c r="D63" s="651" t="s">
        <v>198</v>
      </c>
      <c r="E63" s="595">
        <f>'[3]29'!F63</f>
        <v>839.9</v>
      </c>
      <c r="F63" s="654">
        <v>856.37</v>
      </c>
      <c r="G63" s="613">
        <f t="shared" si="5"/>
        <v>16.470000000000027</v>
      </c>
      <c r="H63" s="600">
        <f>G63+'[3]29'!H63</f>
        <v>557.91</v>
      </c>
      <c r="I63" s="655"/>
      <c r="J63" s="693">
        <f>H63/DAY(B2)</f>
        <v>18.596999999999998</v>
      </c>
      <c r="K63" s="527"/>
      <c r="L63" s="421"/>
      <c r="O63" s="968"/>
    </row>
    <row r="64" spans="1:15" ht="27.75">
      <c r="A64" s="1655" t="s">
        <v>107</v>
      </c>
      <c r="B64" s="1404"/>
      <c r="C64" s="1404"/>
      <c r="D64" s="663" t="s">
        <v>198</v>
      </c>
      <c r="E64" s="595">
        <f>'[3]29'!F64</f>
        <v>86315.471000000005</v>
      </c>
      <c r="F64" s="624">
        <v>86739.095000000001</v>
      </c>
      <c r="G64" s="613">
        <f t="shared" si="5"/>
        <v>423.62399999999616</v>
      </c>
      <c r="H64" s="600">
        <f>G64+'[3]29'!H64</f>
        <v>10676.008000000002</v>
      </c>
      <c r="I64" s="620"/>
      <c r="J64" s="693">
        <f>H64/DAY(B2)</f>
        <v>355.86693333333341</v>
      </c>
      <c r="K64" s="527"/>
      <c r="L64" s="421"/>
      <c r="O64" s="968"/>
    </row>
    <row r="65" spans="1:15" ht="27.75">
      <c r="A65" s="1655" t="s">
        <v>108</v>
      </c>
      <c r="B65" s="1404"/>
      <c r="C65" s="1404"/>
      <c r="D65" s="663" t="s">
        <v>198</v>
      </c>
      <c r="E65" s="595">
        <f>'[3]29'!F65</f>
        <v>96243.510999999999</v>
      </c>
      <c r="F65" s="624">
        <v>96635.982999999993</v>
      </c>
      <c r="G65" s="613">
        <f t="shared" si="5"/>
        <v>392.4719999999943</v>
      </c>
      <c r="H65" s="600">
        <f>G65+'[3]29'!H65</f>
        <v>11476.719999999987</v>
      </c>
      <c r="I65" s="629"/>
      <c r="J65" s="693">
        <f>H65/DAY(B2)</f>
        <v>382.55733333333291</v>
      </c>
      <c r="K65" s="527"/>
      <c r="L65" s="421"/>
      <c r="O65" s="968"/>
    </row>
    <row r="66" spans="1:15" ht="27.75">
      <c r="A66" s="1655" t="s">
        <v>109</v>
      </c>
      <c r="B66" s="1404"/>
      <c r="C66" s="1404"/>
      <c r="D66" s="663" t="s">
        <v>198</v>
      </c>
      <c r="E66" s="595">
        <f>'[3]29'!F66</f>
        <v>89574.047000000006</v>
      </c>
      <c r="F66" s="624">
        <v>90004.846999999994</v>
      </c>
      <c r="G66" s="613">
        <f t="shared" si="5"/>
        <v>430.79999999998836</v>
      </c>
      <c r="H66" s="600">
        <f>G66+'[3]29'!H66</f>
        <v>11816.888999999996</v>
      </c>
      <c r="I66" s="620"/>
      <c r="J66" s="693">
        <f>H66/DAY(B2)</f>
        <v>393.89629999999983</v>
      </c>
      <c r="K66" s="527"/>
      <c r="L66" s="421"/>
      <c r="O66" s="968"/>
    </row>
    <row r="67" spans="1:15" ht="27.75">
      <c r="A67" s="1655" t="s">
        <v>110</v>
      </c>
      <c r="B67" s="1404"/>
      <c r="C67" s="1404"/>
      <c r="D67" s="663" t="s">
        <v>198</v>
      </c>
      <c r="E67" s="595">
        <f>'[3]29'!F67</f>
        <v>145211.41</v>
      </c>
      <c r="F67" s="624">
        <v>146042.04999999999</v>
      </c>
      <c r="G67" s="613">
        <f t="shared" si="5"/>
        <v>830.63999999998487</v>
      </c>
      <c r="H67" s="600">
        <f>G67+'[3]29'!H67</f>
        <v>19985.549999999988</v>
      </c>
      <c r="I67" s="629"/>
      <c r="J67" s="693">
        <f>H67/DAY(B2)</f>
        <v>666.1849999999996</v>
      </c>
      <c r="K67" s="528"/>
      <c r="L67" s="421"/>
      <c r="O67" s="968"/>
    </row>
    <row r="68" spans="1:15" ht="27.75">
      <c r="A68" s="1655" t="s">
        <v>111</v>
      </c>
      <c r="B68" s="1404"/>
      <c r="C68" s="1404"/>
      <c r="D68" s="663" t="s">
        <v>198</v>
      </c>
      <c r="E68" s="595">
        <f>'[3]29'!F68</f>
        <v>42788.182999999997</v>
      </c>
      <c r="F68" s="624">
        <v>43175.078999999998</v>
      </c>
      <c r="G68" s="613">
        <f t="shared" si="5"/>
        <v>386.89600000000064</v>
      </c>
      <c r="H68" s="600">
        <f>G68+'[3]29'!H68</f>
        <v>9775.2099999999991</v>
      </c>
      <c r="I68" s="656"/>
      <c r="J68" s="693">
        <f>H68/DAY(B2)</f>
        <v>325.84033333333332</v>
      </c>
      <c r="K68" s="529"/>
      <c r="L68" s="421"/>
      <c r="O68" s="968"/>
    </row>
    <row r="69" spans="1:15" ht="27.75">
      <c r="A69" s="1655" t="s">
        <v>112</v>
      </c>
      <c r="B69" s="1404"/>
      <c r="C69" s="1404"/>
      <c r="D69" s="663" t="s">
        <v>198</v>
      </c>
      <c r="E69" s="595">
        <f>'[3]29'!F69</f>
        <v>37262.686999999998</v>
      </c>
      <c r="F69" s="624">
        <v>37555.567000000003</v>
      </c>
      <c r="G69" s="613">
        <f t="shared" si="5"/>
        <v>292.88000000000466</v>
      </c>
      <c r="H69" s="600">
        <f>G69+'[3]29'!H69</f>
        <v>8303.2020000000011</v>
      </c>
      <c r="I69" s="656"/>
      <c r="J69" s="693">
        <f>H69/DAY(B2)</f>
        <v>276.77340000000004</v>
      </c>
      <c r="K69" s="530"/>
      <c r="L69" s="421"/>
      <c r="O69" s="968"/>
    </row>
    <row r="70" spans="1:15" ht="27.75">
      <c r="A70" s="1656" t="s">
        <v>200</v>
      </c>
      <c r="B70" s="1481"/>
      <c r="C70" s="1481"/>
      <c r="D70" s="663" t="s">
        <v>198</v>
      </c>
      <c r="E70" s="657"/>
      <c r="F70" s="658"/>
      <c r="G70" s="658"/>
      <c r="H70" s="600">
        <f>G70+'[3]29'!H70</f>
        <v>0</v>
      </c>
      <c r="I70" s="658"/>
      <c r="J70" s="697"/>
      <c r="K70" s="530"/>
      <c r="L70" s="421"/>
      <c r="O70" s="968"/>
    </row>
    <row r="71" spans="1:15" ht="31.5">
      <c r="A71" s="1649" t="s">
        <v>201</v>
      </c>
      <c r="B71" s="1650"/>
      <c r="C71" s="1650"/>
      <c r="D71" s="1650"/>
      <c r="E71" s="1650"/>
      <c r="F71" s="1650"/>
      <c r="G71" s="1650"/>
      <c r="H71" s="1650"/>
      <c r="I71" s="1650"/>
      <c r="J71" s="1651"/>
      <c r="K71" s="529"/>
      <c r="L71" s="421"/>
      <c r="O71" s="968"/>
    </row>
    <row r="72" spans="1:15" ht="27.75">
      <c r="A72" s="1655" t="s">
        <v>202</v>
      </c>
      <c r="B72" s="1404"/>
      <c r="C72" s="1404"/>
      <c r="D72" s="663" t="s">
        <v>198</v>
      </c>
      <c r="E72" s="595">
        <f>'[3]29'!F72</f>
        <v>844169</v>
      </c>
      <c r="F72" s="659">
        <v>844177</v>
      </c>
      <c r="G72" s="613">
        <f t="shared" ref="G72:G84" si="6">F72-E72</f>
        <v>8</v>
      </c>
      <c r="H72" s="600">
        <f>G72+'[3]29'!H72</f>
        <v>235</v>
      </c>
      <c r="I72" s="620"/>
      <c r="J72" s="693">
        <f>H72/DAY(B2)</f>
        <v>7.833333333333333</v>
      </c>
      <c r="K72" s="530"/>
      <c r="L72" s="421"/>
      <c r="O72" s="968"/>
    </row>
    <row r="73" spans="1:15" ht="27.75">
      <c r="A73" s="1655" t="s">
        <v>203</v>
      </c>
      <c r="B73" s="1404"/>
      <c r="C73" s="1404"/>
      <c r="D73" s="663" t="s">
        <v>198</v>
      </c>
      <c r="E73" s="595">
        <f>'[3]29'!F73</f>
        <v>885308</v>
      </c>
      <c r="F73" s="660">
        <v>885310</v>
      </c>
      <c r="G73" s="613">
        <f t="shared" si="6"/>
        <v>2</v>
      </c>
      <c r="H73" s="600">
        <f>G73+'[3]29'!H73</f>
        <v>182</v>
      </c>
      <c r="I73" s="620"/>
      <c r="J73" s="693">
        <f>H73/DAY(B2)</f>
        <v>6.0666666666666664</v>
      </c>
      <c r="K73" s="529"/>
      <c r="L73" s="421"/>
      <c r="O73" s="968"/>
    </row>
    <row r="74" spans="1:15" ht="27.75">
      <c r="A74" s="1655" t="s">
        <v>204</v>
      </c>
      <c r="B74" s="1404"/>
      <c r="C74" s="1404"/>
      <c r="D74" s="663" t="s">
        <v>198</v>
      </c>
      <c r="E74" s="595">
        <f>'[3]29'!F74</f>
        <v>880204</v>
      </c>
      <c r="F74" s="661">
        <v>880227</v>
      </c>
      <c r="G74" s="613">
        <f t="shared" si="6"/>
        <v>23</v>
      </c>
      <c r="H74" s="600">
        <f>G74+'[3]29'!H74</f>
        <v>591</v>
      </c>
      <c r="I74" s="620"/>
      <c r="J74" s="693">
        <f>H74/DAY(B2)</f>
        <v>19.7</v>
      </c>
      <c r="K74" s="530"/>
      <c r="L74" s="421"/>
      <c r="O74" s="968"/>
    </row>
    <row r="75" spans="1:15" ht="27.75">
      <c r="A75" s="1657" t="s">
        <v>205</v>
      </c>
      <c r="B75" s="1658"/>
      <c r="C75" s="1658"/>
      <c r="D75" s="663" t="s">
        <v>198</v>
      </c>
      <c r="E75" s="595">
        <f>'[3]29'!F75</f>
        <v>726012</v>
      </c>
      <c r="F75" s="660">
        <v>726180</v>
      </c>
      <c r="G75" s="613">
        <f t="shared" si="6"/>
        <v>168</v>
      </c>
      <c r="H75" s="600">
        <f>G75+'[3]29'!H75</f>
        <v>4814</v>
      </c>
      <c r="I75" s="620"/>
      <c r="J75" s="693">
        <f>H75/DAY(B2)</f>
        <v>160.46666666666667</v>
      </c>
      <c r="K75" s="529"/>
      <c r="L75" s="421"/>
      <c r="O75" s="968"/>
    </row>
    <row r="76" spans="1:15" ht="27.75">
      <c r="A76" s="1657" t="s">
        <v>206</v>
      </c>
      <c r="B76" s="1658"/>
      <c r="C76" s="1658"/>
      <c r="D76" s="663" t="s">
        <v>198</v>
      </c>
      <c r="E76" s="595">
        <f>'[3]29'!F76</f>
        <v>681619</v>
      </c>
      <c r="F76" s="660">
        <v>681676</v>
      </c>
      <c r="G76" s="613">
        <f t="shared" si="6"/>
        <v>57</v>
      </c>
      <c r="H76" s="600">
        <f>G76+'[3]29'!H76</f>
        <v>3206</v>
      </c>
      <c r="I76" s="645"/>
      <c r="J76" s="693">
        <f>H76/DAY(B2)</f>
        <v>106.86666666666666</v>
      </c>
      <c r="K76" s="529"/>
      <c r="L76" s="421"/>
      <c r="O76" s="968"/>
    </row>
    <row r="77" spans="1:15" ht="27.75">
      <c r="A77" s="1655" t="s">
        <v>207</v>
      </c>
      <c r="B77" s="1404"/>
      <c r="C77" s="1404"/>
      <c r="D77" s="663" t="s">
        <v>198</v>
      </c>
      <c r="E77" s="595">
        <f>'[3]29'!F77</f>
        <v>693669</v>
      </c>
      <c r="F77" s="661">
        <v>693720</v>
      </c>
      <c r="G77" s="613">
        <f t="shared" si="6"/>
        <v>51</v>
      </c>
      <c r="H77" s="600">
        <f>G77+'[3]29'!H77</f>
        <v>1413</v>
      </c>
      <c r="I77" s="645"/>
      <c r="J77" s="693">
        <f>H77/DAY(B2)</f>
        <v>47.1</v>
      </c>
      <c r="K77" s="529"/>
      <c r="L77" s="421"/>
      <c r="O77" s="968"/>
    </row>
    <row r="78" spans="1:15" ht="27.75">
      <c r="A78" s="1374" t="s">
        <v>208</v>
      </c>
      <c r="B78" s="1339"/>
      <c r="C78" s="1339"/>
      <c r="D78" s="663" t="s">
        <v>198</v>
      </c>
      <c r="E78" s="595">
        <f>'[3]29'!F78</f>
        <v>617771</v>
      </c>
      <c r="F78" s="661">
        <v>618253</v>
      </c>
      <c r="G78" s="613">
        <f t="shared" si="6"/>
        <v>482</v>
      </c>
      <c r="H78" s="600">
        <f>G78+'[3]29'!H78</f>
        <v>10239</v>
      </c>
      <c r="I78" s="645"/>
      <c r="J78" s="693">
        <f>H78/DAY(B2)</f>
        <v>341.3</v>
      </c>
      <c r="K78" s="529"/>
      <c r="L78" s="421"/>
      <c r="O78" s="968"/>
    </row>
    <row r="79" spans="1:15" ht="27.75">
      <c r="A79" s="1657" t="s">
        <v>97</v>
      </c>
      <c r="B79" s="1658"/>
      <c r="C79" s="1658"/>
      <c r="D79" s="664" t="s">
        <v>198</v>
      </c>
      <c r="E79" s="595">
        <f>'[3]29'!F79</f>
        <v>797787</v>
      </c>
      <c r="F79" s="660">
        <v>797986</v>
      </c>
      <c r="G79" s="613">
        <f t="shared" si="6"/>
        <v>199</v>
      </c>
      <c r="H79" s="600">
        <f>G79+'[3]29'!H79</f>
        <v>7171</v>
      </c>
      <c r="I79" s="645"/>
      <c r="J79" s="693">
        <f>H79/DAY(B2)</f>
        <v>239.03333333333333</v>
      </c>
      <c r="K79" s="529"/>
      <c r="L79" s="421"/>
      <c r="O79" s="968"/>
    </row>
    <row r="80" spans="1:15" ht="27.75">
      <c r="A80" s="1657" t="s">
        <v>209</v>
      </c>
      <c r="B80" s="1658"/>
      <c r="C80" s="1658"/>
      <c r="D80" s="664" t="s">
        <v>198</v>
      </c>
      <c r="E80" s="595">
        <f>'[3]29'!F80</f>
        <v>465176.24</v>
      </c>
      <c r="F80" s="660">
        <v>465497.88</v>
      </c>
      <c r="G80" s="613">
        <f t="shared" si="6"/>
        <v>321.64000000001397</v>
      </c>
      <c r="H80" s="600">
        <f>G80+'[3]29'!H80</f>
        <v>7061</v>
      </c>
      <c r="I80" s="645"/>
      <c r="J80" s="693">
        <f>H80/DAY(B2)</f>
        <v>235.36666666666667</v>
      </c>
      <c r="K80" s="529"/>
      <c r="L80" s="421"/>
      <c r="O80" s="968"/>
    </row>
    <row r="81" spans="1:15" ht="27.75">
      <c r="A81" s="1657" t="s">
        <v>210</v>
      </c>
      <c r="B81" s="1658"/>
      <c r="C81" s="1658"/>
      <c r="D81" s="664" t="s">
        <v>198</v>
      </c>
      <c r="E81" s="595">
        <f>'[3]29'!F81</f>
        <v>614214</v>
      </c>
      <c r="F81" s="660">
        <v>614388.52</v>
      </c>
      <c r="G81" s="613">
        <f t="shared" si="6"/>
        <v>174.52000000001863</v>
      </c>
      <c r="H81" s="600">
        <f>G81+'[3]29'!H81</f>
        <v>3266.2399999999907</v>
      </c>
      <c r="I81" s="645"/>
      <c r="J81" s="693">
        <f>H81/DAY(B2)</f>
        <v>108.87466666666636</v>
      </c>
      <c r="K81" s="529"/>
      <c r="L81" s="421"/>
      <c r="O81" s="968"/>
    </row>
    <row r="82" spans="1:15" ht="27.75">
      <c r="A82" s="1657" t="s">
        <v>100</v>
      </c>
      <c r="B82" s="1658"/>
      <c r="C82" s="1658"/>
      <c r="D82" s="625" t="s">
        <v>143</v>
      </c>
      <c r="E82" s="595">
        <f>'[3]29'!F82</f>
        <v>103509.03</v>
      </c>
      <c r="F82" s="662">
        <v>103529.65</v>
      </c>
      <c r="G82" s="613">
        <f t="shared" si="6"/>
        <v>20.619999999995343</v>
      </c>
      <c r="H82" s="600">
        <f>G82+'[3]29'!H82</f>
        <v>499.69999999999709</v>
      </c>
      <c r="I82" s="626"/>
      <c r="J82" s="693">
        <f>H82/DAY(B2)</f>
        <v>16.65666666666657</v>
      </c>
      <c r="K82" s="529"/>
      <c r="L82" s="421"/>
      <c r="O82" s="968"/>
    </row>
    <row r="83" spans="1:15" ht="27.75">
      <c r="A83" s="1657" t="s">
        <v>211</v>
      </c>
      <c r="B83" s="1658"/>
      <c r="C83" s="1658"/>
      <c r="D83" s="761" t="s">
        <v>143</v>
      </c>
      <c r="E83" s="595">
        <f>'[3]29'!F83</f>
        <v>962161</v>
      </c>
      <c r="F83" s="1727">
        <v>962525</v>
      </c>
      <c r="G83" s="613">
        <f t="shared" si="6"/>
        <v>364</v>
      </c>
      <c r="H83" s="600">
        <f>G83+'[3]29'!H83</f>
        <v>10282</v>
      </c>
      <c r="I83" s="621"/>
      <c r="J83" s="693">
        <f>H83/DAY(B2)</f>
        <v>342.73333333333335</v>
      </c>
      <c r="K83" s="528"/>
      <c r="L83" s="421"/>
      <c r="O83" s="968"/>
    </row>
    <row r="84" spans="1:15" ht="29.25">
      <c r="A84" s="1377" t="s">
        <v>212</v>
      </c>
      <c r="B84" s="712"/>
      <c r="C84" s="712"/>
      <c r="D84" s="618" t="s">
        <v>143</v>
      </c>
      <c r="E84" s="595">
        <f>'[3]29'!F84</f>
        <v>380833</v>
      </c>
      <c r="F84" s="663">
        <v>381356</v>
      </c>
      <c r="G84" s="613">
        <f t="shared" si="6"/>
        <v>523</v>
      </c>
      <c r="H84" s="600">
        <f>G84+'[3]29'!H84</f>
        <v>14923</v>
      </c>
      <c r="I84" s="621"/>
      <c r="J84" s="693">
        <f>H84/DAY(B2)</f>
        <v>497.43333333333334</v>
      </c>
      <c r="K84" s="424"/>
      <c r="L84" s="421"/>
      <c r="O84" s="968"/>
    </row>
    <row r="85" spans="1:15" s="423" customFormat="1" ht="21.95" customHeight="1">
      <c r="A85" s="746" t="s">
        <v>213</v>
      </c>
      <c r="B85" s="713"/>
      <c r="C85" s="713"/>
      <c r="D85" s="629"/>
      <c r="E85" s="595">
        <f>'[3]29'!F85</f>
        <v>0</v>
      </c>
      <c r="F85" s="663"/>
      <c r="G85" s="600">
        <f xml:space="preserve"> SUM(G72:G84)</f>
        <v>2393.7800000000279</v>
      </c>
      <c r="H85" s="600">
        <f>G85+'[3]29'!H85</f>
        <v>60557.040000000008</v>
      </c>
      <c r="I85" s="621"/>
      <c r="J85" s="693">
        <f>H85/DAY(B2)</f>
        <v>2018.5680000000002</v>
      </c>
      <c r="K85" s="424"/>
      <c r="L85" s="422"/>
      <c r="O85" s="96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'[3]29'!F86</f>
        <v>440234.52</v>
      </c>
      <c r="F86" s="784">
        <v>440412.24</v>
      </c>
      <c r="G86" s="861">
        <f t="shared" ref="G86:G90" si="7">F86-E86</f>
        <v>177.71999999997206</v>
      </c>
      <c r="H86" s="861">
        <f t="shared" ref="H86:H88" si="8">G86</f>
        <v>177.71999999997206</v>
      </c>
      <c r="I86" s="789"/>
      <c r="J86" s="863">
        <f>H86/DAY(B2)</f>
        <v>5.9239999999990687</v>
      </c>
      <c r="K86" s="889"/>
      <c r="L86" s="890"/>
      <c r="O86" s="968"/>
    </row>
    <row r="87" spans="1:15" s="891" customFormat="1" ht="27.75" customHeight="1">
      <c r="A87" s="886" t="s">
        <v>103</v>
      </c>
      <c r="B87" s="887"/>
      <c r="C87" s="887"/>
      <c r="D87" s="888" t="s">
        <v>194</v>
      </c>
      <c r="E87" s="595">
        <f>'[3]29'!F87</f>
        <v>76866.8</v>
      </c>
      <c r="F87" s="784">
        <v>76901.3</v>
      </c>
      <c r="G87" s="861">
        <f t="shared" si="7"/>
        <v>34.5</v>
      </c>
      <c r="H87" s="861">
        <f t="shared" si="8"/>
        <v>34.5</v>
      </c>
      <c r="I87" s="789"/>
      <c r="J87" s="863">
        <f>H87/DAY(B2)</f>
        <v>1.1499999999999999</v>
      </c>
      <c r="K87" s="889"/>
      <c r="L87" s="890"/>
      <c r="O87" s="968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'[3]29'!F88</f>
        <v>142347.5</v>
      </c>
      <c r="F88" s="784">
        <v>142472.49</v>
      </c>
      <c r="G88" s="861">
        <f t="shared" si="7"/>
        <v>124.98999999999069</v>
      </c>
      <c r="H88" s="861">
        <f t="shared" si="8"/>
        <v>124.98999999999069</v>
      </c>
      <c r="I88" s="789"/>
      <c r="J88" s="863">
        <f>H88/DAY(B2)</f>
        <v>4.1663333333330232</v>
      </c>
      <c r="K88" s="889"/>
      <c r="L88" s="890"/>
      <c r="O88" s="968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'[3]29'!F89</f>
        <v>55622.7</v>
      </c>
      <c r="F89" s="784">
        <v>55725.1</v>
      </c>
      <c r="G89" s="861">
        <f t="shared" si="7"/>
        <v>102.40000000000146</v>
      </c>
      <c r="H89" s="861">
        <f>G89</f>
        <v>102.40000000000146</v>
      </c>
      <c r="I89" s="789"/>
      <c r="J89" s="863">
        <f>H89/DAY(B2)</f>
        <v>3.413333333333382</v>
      </c>
      <c r="K89" s="889"/>
      <c r="L89" s="890"/>
      <c r="N89" s="939"/>
      <c r="O89" s="968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'[3]29'!F90</f>
        <v>2881.2</v>
      </c>
      <c r="F90" s="784">
        <v>2888</v>
      </c>
      <c r="G90" s="861">
        <f t="shared" si="7"/>
        <v>6.8000000000001819</v>
      </c>
      <c r="H90" s="861">
        <f>G90</f>
        <v>6.8000000000001819</v>
      </c>
      <c r="I90" s="789"/>
      <c r="J90" s="863">
        <f>H90/DAY(B2)</f>
        <v>0.22666666666667273</v>
      </c>
      <c r="K90" s="889"/>
      <c r="L90" s="890"/>
      <c r="N90" s="939"/>
      <c r="O90" s="968"/>
    </row>
    <row r="91" spans="1:15" s="423" customFormat="1" ht="29.25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O91" s="968"/>
    </row>
    <row r="92" spans="1:15" ht="27.75">
      <c r="A92" s="1642" t="s">
        <v>217</v>
      </c>
      <c r="B92" s="1643"/>
      <c r="C92" s="1643"/>
      <c r="D92" s="663" t="s">
        <v>155</v>
      </c>
      <c r="E92" s="595">
        <f>'[3]29'!F92</f>
        <v>230856</v>
      </c>
      <c r="F92" s="624">
        <v>230975</v>
      </c>
      <c r="G92" s="613">
        <f t="shared" ref="G92:G93" si="9">F92-E92</f>
        <v>119</v>
      </c>
      <c r="H92" s="600">
        <f>G92+'[3]29'!H92</f>
        <v>2380</v>
      </c>
      <c r="I92" s="620"/>
      <c r="J92" s="693">
        <f>H92/DAY(B2)</f>
        <v>79.333333333333329</v>
      </c>
      <c r="K92" s="528"/>
      <c r="L92" s="421"/>
      <c r="O92" s="968"/>
    </row>
    <row r="93" spans="1:15" ht="27.75">
      <c r="A93" s="1642" t="s">
        <v>218</v>
      </c>
      <c r="B93" s="1643"/>
      <c r="C93" s="1643"/>
      <c r="D93" s="663" t="s">
        <v>155</v>
      </c>
      <c r="E93" s="595">
        <f>'[3]29'!F93</f>
        <v>162491</v>
      </c>
      <c r="F93" s="682">
        <v>162642</v>
      </c>
      <c r="G93" s="613">
        <f t="shared" si="9"/>
        <v>151</v>
      </c>
      <c r="H93" s="600">
        <f>G93+'[3]29'!H93</f>
        <v>4119</v>
      </c>
      <c r="I93" s="620"/>
      <c r="J93" s="693">
        <f>H93/DAY(B2)</f>
        <v>137.30000000000001</v>
      </c>
      <c r="K93" s="424"/>
      <c r="L93" s="421"/>
      <c r="O93" s="968"/>
    </row>
    <row r="94" spans="1:15" ht="29.25">
      <c r="A94" s="1659" t="s">
        <v>219</v>
      </c>
      <c r="B94" s="1660"/>
      <c r="C94" s="1660"/>
      <c r="D94" s="663"/>
      <c r="E94" s="595"/>
      <c r="F94" s="624"/>
      <c r="G94" s="613">
        <f>G92+G93</f>
        <v>270</v>
      </c>
      <c r="H94" s="600">
        <f>G94+'[3]29'!H94</f>
        <v>6209</v>
      </c>
      <c r="I94" s="620"/>
      <c r="J94" s="693">
        <f>H94/DAY(B2)</f>
        <v>206.96666666666667</v>
      </c>
      <c r="K94" s="424"/>
      <c r="L94" s="421"/>
      <c r="O94" s="968"/>
    </row>
    <row r="95" spans="1:15" ht="27.75">
      <c r="A95" s="1642" t="s">
        <v>220</v>
      </c>
      <c r="B95" s="1643"/>
      <c r="C95" s="1643"/>
      <c r="D95" s="663" t="s">
        <v>155</v>
      </c>
      <c r="E95" s="595">
        <f>'[3]29'!F95</f>
        <v>401491</v>
      </c>
      <c r="F95" s="624">
        <v>401565</v>
      </c>
      <c r="G95" s="613">
        <f t="shared" ref="G95:G99" si="10">F95-E95</f>
        <v>74</v>
      </c>
      <c r="H95" s="600">
        <f>G95+'[3]29'!H95</f>
        <v>1718</v>
      </c>
      <c r="I95" s="620"/>
      <c r="J95" s="693">
        <f>H95/DAY(B2)</f>
        <v>57.266666666666666</v>
      </c>
      <c r="K95" s="424"/>
      <c r="L95" s="421"/>
      <c r="O95" s="968"/>
    </row>
    <row r="96" spans="1:15" ht="27.75">
      <c r="A96" s="1371" t="s">
        <v>221</v>
      </c>
      <c r="B96" s="1372"/>
      <c r="C96" s="1372"/>
      <c r="D96" s="663" t="s">
        <v>155</v>
      </c>
      <c r="E96" s="595">
        <f>'[3]29'!F96</f>
        <v>99079</v>
      </c>
      <c r="F96" s="624">
        <v>99111</v>
      </c>
      <c r="G96" s="613">
        <f t="shared" si="10"/>
        <v>32</v>
      </c>
      <c r="H96" s="600">
        <f>G96+'[3]29'!H96</f>
        <v>1102</v>
      </c>
      <c r="I96" s="620"/>
      <c r="J96" s="693">
        <f>H96/DAY(B2)</f>
        <v>36.733333333333334</v>
      </c>
      <c r="K96" s="526"/>
      <c r="L96" s="421"/>
      <c r="O96" s="968"/>
    </row>
    <row r="97" spans="1:15" ht="27.75">
      <c r="A97" s="1371" t="s">
        <v>222</v>
      </c>
      <c r="B97" s="1372"/>
      <c r="C97" s="1372"/>
      <c r="D97" s="663" t="s">
        <v>155</v>
      </c>
      <c r="E97" s="595">
        <f>'[3]29'!F97</f>
        <v>94222</v>
      </c>
      <c r="F97" s="624">
        <v>94272</v>
      </c>
      <c r="G97" s="613">
        <f t="shared" si="10"/>
        <v>50</v>
      </c>
      <c r="H97" s="600">
        <f>G97+'[3]29'!H97</f>
        <v>721</v>
      </c>
      <c r="I97" s="620"/>
      <c r="J97" s="693">
        <f>H97/DAY(B2)</f>
        <v>24.033333333333335</v>
      </c>
      <c r="K97" s="531"/>
      <c r="L97" s="421"/>
      <c r="O97" s="968"/>
    </row>
    <row r="98" spans="1:15" ht="27.75">
      <c r="A98" s="1371" t="s">
        <v>223</v>
      </c>
      <c r="B98" s="1372"/>
      <c r="C98" s="1372"/>
      <c r="D98" s="663" t="s">
        <v>155</v>
      </c>
      <c r="E98" s="595">
        <f>'[3]29'!F98</f>
        <v>142080</v>
      </c>
      <c r="F98" s="624">
        <v>142146</v>
      </c>
      <c r="G98" s="613">
        <f t="shared" si="10"/>
        <v>66</v>
      </c>
      <c r="H98" s="600">
        <f>G98+'[3]29'!H98</f>
        <v>1241</v>
      </c>
      <c r="I98" s="620"/>
      <c r="J98" s="693">
        <f>H98/DAY(B2)</f>
        <v>41.366666666666667</v>
      </c>
      <c r="K98" s="424"/>
      <c r="L98" s="421"/>
      <c r="O98" s="968"/>
    </row>
    <row r="99" spans="1:15" ht="27.75">
      <c r="A99" s="1371" t="s">
        <v>224</v>
      </c>
      <c r="B99" s="1372"/>
      <c r="C99" s="1372"/>
      <c r="D99" s="663" t="s">
        <v>155</v>
      </c>
      <c r="E99" s="595">
        <f>'[3]29'!F99</f>
        <v>4951</v>
      </c>
      <c r="F99" s="624">
        <v>4968</v>
      </c>
      <c r="G99" s="613">
        <f t="shared" si="10"/>
        <v>17</v>
      </c>
      <c r="H99" s="600">
        <f>G99+'[3]29'!H99</f>
        <v>260</v>
      </c>
      <c r="I99" s="620"/>
      <c r="J99" s="693">
        <f>H99/DAY(B2)</f>
        <v>8.6666666666666661</v>
      </c>
      <c r="K99" s="424"/>
      <c r="L99" s="421"/>
      <c r="O99" s="968"/>
    </row>
    <row r="100" spans="1:15" ht="27.75">
      <c r="A100" s="1371" t="s">
        <v>225</v>
      </c>
      <c r="B100" s="1372"/>
      <c r="C100" s="1372"/>
      <c r="D100" s="663" t="s">
        <v>155</v>
      </c>
      <c r="E100" s="595">
        <f>'[3]29'!F100</f>
        <v>3674</v>
      </c>
      <c r="F100" s="624">
        <v>3674</v>
      </c>
      <c r="G100" s="613">
        <f>F100-E100</f>
        <v>0</v>
      </c>
      <c r="H100" s="600">
        <f>G100+'[3]29'!H100</f>
        <v>0</v>
      </c>
      <c r="I100" s="620"/>
      <c r="J100" s="693">
        <f>H100/DAY(B2)</f>
        <v>0</v>
      </c>
      <c r="K100" s="424"/>
      <c r="L100" s="421"/>
      <c r="O100" s="968"/>
    </row>
    <row r="101" spans="1:15" ht="29.25">
      <c r="A101" s="1659" t="s">
        <v>227</v>
      </c>
      <c r="B101" s="1660"/>
      <c r="C101" s="1660"/>
      <c r="D101" s="664"/>
      <c r="E101" s="664"/>
      <c r="F101" s="664"/>
      <c r="G101" s="665">
        <f>SUM(G95:G100)</f>
        <v>239</v>
      </c>
      <c r="H101" s="600">
        <f>G101+'[3]29'!H101</f>
        <v>5042</v>
      </c>
      <c r="I101" s="666"/>
      <c r="J101" s="693">
        <f>H101/DAY(B2)</f>
        <v>168.06666666666666</v>
      </c>
      <c r="K101" s="424"/>
      <c r="L101" s="421"/>
      <c r="O101" s="968"/>
    </row>
    <row r="102" spans="1:15" s="544" customFormat="1" ht="27">
      <c r="A102" s="748" t="s">
        <v>228</v>
      </c>
      <c r="B102" s="749"/>
      <c r="C102" s="749"/>
      <c r="D102" s="762"/>
      <c r="E102" s="667"/>
      <c r="F102" s="668"/>
      <c r="G102" s="669"/>
      <c r="H102" s="670"/>
      <c r="I102" s="671"/>
      <c r="J102" s="698"/>
      <c r="O102" s="968"/>
    </row>
    <row r="103" spans="1:15" s="544" customFormat="1" ht="27.75">
      <c r="A103" s="1665" t="s">
        <v>229</v>
      </c>
      <c r="B103" s="1666"/>
      <c r="C103" s="714"/>
      <c r="D103" s="763"/>
      <c r="E103" s="672"/>
      <c r="F103" s="672"/>
      <c r="G103" s="672"/>
      <c r="H103" s="673"/>
      <c r="I103" s="672"/>
      <c r="J103" s="699"/>
      <c r="O103" s="968"/>
    </row>
    <row r="104" spans="1:15" s="544" customFormat="1" ht="27.75">
      <c r="A104" s="1640" t="s">
        <v>230</v>
      </c>
      <c r="B104" s="1641"/>
      <c r="C104" s="1380"/>
      <c r="D104" s="763" t="s">
        <v>155</v>
      </c>
      <c r="E104" s="672">
        <f>'[3]29'!F104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</v>
      </c>
      <c r="O104" s="968"/>
    </row>
    <row r="105" spans="1:15" s="544" customFormat="1" ht="27.75">
      <c r="A105" s="1640" t="s">
        <v>77</v>
      </c>
      <c r="B105" s="1641"/>
      <c r="C105" s="1380"/>
      <c r="D105" s="763" t="s">
        <v>155</v>
      </c>
      <c r="E105" s="672">
        <f>'[3]29'!F105</f>
        <v>34665</v>
      </c>
      <c r="F105" s="674">
        <v>34676</v>
      </c>
      <c r="G105" s="672">
        <f t="shared" ref="G105:G106" si="11">F105-E105</f>
        <v>11</v>
      </c>
      <c r="H105" s="673">
        <f>SUM(G105+'[3]1'!G77)</f>
        <v>81</v>
      </c>
      <c r="I105" s="672"/>
      <c r="J105" s="699">
        <f>H105/DAY(B2)</f>
        <v>2.7</v>
      </c>
      <c r="O105" s="968"/>
    </row>
    <row r="106" spans="1:15" s="544" customFormat="1" ht="27.75">
      <c r="A106" s="1640" t="s">
        <v>78</v>
      </c>
      <c r="B106" s="1641"/>
      <c r="C106" s="1641"/>
      <c r="D106" s="763" t="s">
        <v>155</v>
      </c>
      <c r="E106" s="672">
        <f>'[3]29'!F106</f>
        <v>18735</v>
      </c>
      <c r="F106" s="672">
        <v>18740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11.133333333333333</v>
      </c>
      <c r="O106" s="968"/>
    </row>
    <row r="107" spans="1:15" s="544" customFormat="1" ht="27.75">
      <c r="A107" s="1630" t="s">
        <v>213</v>
      </c>
      <c r="B107" s="1631"/>
      <c r="C107" s="1380"/>
      <c r="D107" s="763"/>
      <c r="E107" s="672">
        <f>'[3]29'!F107</f>
        <v>0</v>
      </c>
      <c r="F107" s="672"/>
      <c r="G107" s="672">
        <f>SUM(G104:G106)</f>
        <v>16</v>
      </c>
      <c r="H107" s="673">
        <f>SUM(G107+'[3]1'!G79)</f>
        <v>176</v>
      </c>
      <c r="I107" s="672"/>
      <c r="J107" s="699">
        <f>H107/DAY(B2)</f>
        <v>5.8666666666666663</v>
      </c>
      <c r="O107" s="968"/>
    </row>
    <row r="108" spans="1:15" s="544" customFormat="1" ht="27.75">
      <c r="A108" s="1638" t="s">
        <v>79</v>
      </c>
      <c r="B108" s="1639"/>
      <c r="C108" s="1380"/>
      <c r="D108" s="763" t="s">
        <v>155</v>
      </c>
      <c r="E108" s="672">
        <f>'[3]29'!F108</f>
        <v>0</v>
      </c>
      <c r="F108" s="672"/>
      <c r="G108" s="672"/>
      <c r="H108" s="673"/>
      <c r="I108" s="672"/>
      <c r="J108" s="699"/>
      <c r="O108" s="968"/>
    </row>
    <row r="109" spans="1:15" s="544" customFormat="1" ht="27.75">
      <c r="A109" s="1640" t="s">
        <v>231</v>
      </c>
      <c r="B109" s="1641"/>
      <c r="C109" s="1380"/>
      <c r="D109" s="763" t="s">
        <v>155</v>
      </c>
      <c r="E109" s="672">
        <f>'[3]29'!F109</f>
        <v>51223</v>
      </c>
      <c r="F109" s="672">
        <v>51282</v>
      </c>
      <c r="G109" s="672">
        <f>F109-E109</f>
        <v>59</v>
      </c>
      <c r="H109" s="673">
        <f>SUM(G109+'[3]1'!G81)</f>
        <v>141</v>
      </c>
      <c r="I109" s="672"/>
      <c r="J109" s="699">
        <f>H109/DAY(B2)</f>
        <v>4.7</v>
      </c>
      <c r="O109" s="968"/>
    </row>
    <row r="110" spans="1:15" s="544" customFormat="1" ht="27.75">
      <c r="A110" s="1640" t="s">
        <v>232</v>
      </c>
      <c r="B110" s="1641"/>
      <c r="C110" s="1380"/>
      <c r="D110" s="763" t="s">
        <v>155</v>
      </c>
      <c r="E110" s="672">
        <f>'[3]29'!F110</f>
        <v>25265</v>
      </c>
      <c r="F110" s="674">
        <v>25329</v>
      </c>
      <c r="G110" s="672">
        <f t="shared" ref="G110:G111" si="12">F110-E110</f>
        <v>64</v>
      </c>
      <c r="H110" s="673">
        <f>SUM(G110+'[3]1'!G82)</f>
        <v>89.740000000005239</v>
      </c>
      <c r="I110" s="672"/>
      <c r="J110" s="699">
        <f>H110/DAY(B2)</f>
        <v>2.9913333333335079</v>
      </c>
      <c r="O110" s="968"/>
    </row>
    <row r="111" spans="1:15" s="544" customFormat="1" ht="27.75">
      <c r="A111" s="1640" t="s">
        <v>233</v>
      </c>
      <c r="B111" s="1641"/>
      <c r="C111" s="1380"/>
      <c r="D111" s="763" t="s">
        <v>155</v>
      </c>
      <c r="E111" s="672">
        <f>'[3]29'!F111</f>
        <v>3373</v>
      </c>
      <c r="F111" s="674">
        <v>3385</v>
      </c>
      <c r="G111" s="672">
        <f t="shared" si="12"/>
        <v>12</v>
      </c>
      <c r="H111" s="673">
        <f>SUM(G111+'[3]1'!G83)</f>
        <v>458</v>
      </c>
      <c r="I111" s="672"/>
      <c r="J111" s="699">
        <f>H111/DAY(B2)</f>
        <v>15.266666666666667</v>
      </c>
      <c r="O111" s="968"/>
    </row>
    <row r="112" spans="1:15" s="544" customFormat="1" ht="27.75">
      <c r="A112" s="1636" t="s">
        <v>121</v>
      </c>
      <c r="B112" s="1637"/>
      <c r="C112" s="1380"/>
      <c r="D112" s="763"/>
      <c r="E112" s="672">
        <f>'[3]29'!F112</f>
        <v>0</v>
      </c>
      <c r="F112" s="672"/>
      <c r="G112" s="672">
        <f>SUM(G109:G111)</f>
        <v>135</v>
      </c>
      <c r="H112" s="673">
        <f>SUM(G112+'[3]1'!G84)</f>
        <v>731</v>
      </c>
      <c r="I112" s="672"/>
      <c r="J112" s="699">
        <f>H112/DAY(B2)</f>
        <v>24.366666666666667</v>
      </c>
      <c r="O112" s="968"/>
    </row>
    <row r="113" spans="1:15" s="544" customFormat="1" ht="27.75">
      <c r="A113" s="1638" t="s">
        <v>234</v>
      </c>
      <c r="B113" s="1639"/>
      <c r="C113" s="1380"/>
      <c r="D113" s="763"/>
      <c r="E113" s="672">
        <f>'[3]29'!F113</f>
        <v>0</v>
      </c>
      <c r="F113" s="672"/>
      <c r="G113" s="672"/>
      <c r="H113" s="673"/>
      <c r="I113" s="672"/>
      <c r="J113" s="699">
        <f>H113/DAY(B2)</f>
        <v>0</v>
      </c>
      <c r="O113" s="968"/>
    </row>
    <row r="114" spans="1:15" s="544" customFormat="1" ht="27.75">
      <c r="A114" s="1640" t="s">
        <v>235</v>
      </c>
      <c r="B114" s="1641"/>
      <c r="C114" s="715"/>
      <c r="D114" s="763" t="s">
        <v>155</v>
      </c>
      <c r="E114" s="672">
        <f>'[3]29'!F114</f>
        <v>8581</v>
      </c>
      <c r="F114" s="674">
        <v>8601</v>
      </c>
      <c r="G114" s="674">
        <f>F114-E114</f>
        <v>20</v>
      </c>
      <c r="H114" s="674">
        <f>SUM(G114+'[3]1'!G91)</f>
        <v>20</v>
      </c>
      <c r="I114" s="672"/>
      <c r="J114" s="699">
        <f>H114/DAY(B2)</f>
        <v>0.66666666666666663</v>
      </c>
      <c r="O114" s="968"/>
    </row>
    <row r="115" spans="1:15" s="544" customFormat="1" ht="27.75">
      <c r="A115" s="1640" t="s">
        <v>236</v>
      </c>
      <c r="B115" s="1641"/>
      <c r="C115" s="715"/>
      <c r="D115" s="763" t="s">
        <v>155</v>
      </c>
      <c r="E115" s="672">
        <f>'[3]29'!F115</f>
        <v>6811</v>
      </c>
      <c r="F115" s="674">
        <v>6817</v>
      </c>
      <c r="G115" s="674">
        <f t="shared" ref="G115:G116" si="13">F115-E115</f>
        <v>6</v>
      </c>
      <c r="H115" s="674">
        <f>SUM(G115+'[3]1'!G92)</f>
        <v>111</v>
      </c>
      <c r="I115" s="672"/>
      <c r="J115" s="699">
        <f>H115/DAY(B2)</f>
        <v>3.7</v>
      </c>
      <c r="O115" s="968"/>
    </row>
    <row r="116" spans="1:15" s="544" customFormat="1" ht="27.75">
      <c r="A116" s="1640" t="s">
        <v>237</v>
      </c>
      <c r="B116" s="1641"/>
      <c r="C116" s="715"/>
      <c r="D116" s="763" t="s">
        <v>155</v>
      </c>
      <c r="E116" s="674"/>
      <c r="F116" s="674"/>
      <c r="G116" s="674">
        <f t="shared" si="13"/>
        <v>0</v>
      </c>
      <c r="H116" s="674">
        <f>SUM(G116+'[3]1'!G93)</f>
        <v>185</v>
      </c>
      <c r="I116" s="672"/>
      <c r="J116" s="699">
        <f>H116/DAY(B2)</f>
        <v>6.166666666666667</v>
      </c>
      <c r="O116" s="968"/>
    </row>
    <row r="117" spans="1:15" s="557" customFormat="1" ht="27.75">
      <c r="A117" s="1630" t="s">
        <v>213</v>
      </c>
      <c r="B117" s="1631"/>
      <c r="C117" s="715"/>
      <c r="D117" s="764"/>
      <c r="E117" s="674"/>
      <c r="F117" s="674"/>
      <c r="G117" s="674">
        <f>SUM(G114:G116)</f>
        <v>26</v>
      </c>
      <c r="H117" s="674">
        <f>SUM(G117+'[3]1'!G95)</f>
        <v>74</v>
      </c>
      <c r="I117" s="674"/>
      <c r="J117" s="699">
        <f>H117/DAY(B2)</f>
        <v>2.4666666666666668</v>
      </c>
      <c r="O117" s="968"/>
    </row>
    <row r="118" spans="1:15" s="558" customFormat="1" ht="27.75">
      <c r="A118" s="1632" t="s">
        <v>238</v>
      </c>
      <c r="B118" s="1633"/>
      <c r="C118" s="1379"/>
      <c r="D118" s="765" t="s">
        <v>155</v>
      </c>
      <c r="E118" s="675"/>
      <c r="F118" s="676">
        <f>SUM(G19+G92)</f>
        <v>176</v>
      </c>
      <c r="G118" s="676">
        <f>SUM(G19+G92)</f>
        <v>176</v>
      </c>
      <c r="H118" s="677">
        <f>SUM(G118+'[3]1'!G96)</f>
        <v>225</v>
      </c>
      <c r="I118" s="675"/>
      <c r="J118" s="700">
        <f>H118/DAY(B2)</f>
        <v>7.5</v>
      </c>
      <c r="O118" s="968"/>
    </row>
    <row r="119" spans="1:15" s="558" customFormat="1" ht="27.75">
      <c r="A119" s="1632" t="s">
        <v>239</v>
      </c>
      <c r="B119" s="1633"/>
      <c r="C119" s="1379"/>
      <c r="D119" s="765" t="s">
        <v>155</v>
      </c>
      <c r="E119" s="675"/>
      <c r="F119" s="676">
        <f>SUM(G95,G96,G97,G99,G100)</f>
        <v>173</v>
      </c>
      <c r="G119" s="676">
        <f>SUM(G95,G96,G97,G99,G100)</f>
        <v>173</v>
      </c>
      <c r="H119" s="677">
        <f>SUM(G119+'[3]1'!G98)</f>
        <v>205</v>
      </c>
      <c r="I119" s="675"/>
      <c r="J119" s="700">
        <f>H119/DAY(B2)</f>
        <v>6.833333333333333</v>
      </c>
      <c r="O119" s="968"/>
    </row>
    <row r="120" spans="1:15" s="558" customFormat="1" ht="27.75">
      <c r="A120" s="1632" t="s">
        <v>240</v>
      </c>
      <c r="B120" s="1633"/>
      <c r="C120" s="1379"/>
      <c r="D120" s="765" t="s">
        <v>155</v>
      </c>
      <c r="E120" s="675"/>
      <c r="F120" s="674">
        <f>SUM(G112)</f>
        <v>135</v>
      </c>
      <c r="G120" s="674">
        <f>SUM(G112)</f>
        <v>135</v>
      </c>
      <c r="H120" s="677">
        <f>SUM(G120+'[3]1'!G100)</f>
        <v>135</v>
      </c>
      <c r="I120" s="675"/>
      <c r="J120" s="700">
        <f>H120/DAY(B2)</f>
        <v>4.5</v>
      </c>
      <c r="O120" s="968"/>
    </row>
    <row r="121" spans="1:15" s="544" customFormat="1" ht="27.75">
      <c r="A121" s="1634"/>
      <c r="B121" s="1635"/>
      <c r="C121" s="1380"/>
      <c r="D121" s="701"/>
      <c r="E121" s="701"/>
      <c r="F121" s="701" t="s">
        <v>226</v>
      </c>
      <c r="G121" s="701"/>
      <c r="H121" s="702"/>
      <c r="I121" s="701"/>
      <c r="J121" s="703"/>
      <c r="O121" s="968"/>
    </row>
    <row r="122" spans="1:15" ht="29.25">
      <c r="A122" s="1661" t="s">
        <v>241</v>
      </c>
      <c r="B122" s="1662"/>
      <c r="C122" s="1662"/>
      <c r="D122" s="612"/>
      <c r="E122" s="612"/>
      <c r="F122" s="612"/>
      <c r="G122" s="623"/>
      <c r="H122" s="623"/>
      <c r="I122" s="623"/>
      <c r="J122" s="704"/>
      <c r="K122" s="424"/>
      <c r="L122" s="421"/>
      <c r="O122" s="968"/>
    </row>
    <row r="123" spans="1:15" ht="21.95" customHeight="1">
      <c r="A123" s="1371" t="s">
        <v>242</v>
      </c>
      <c r="B123" s="1372"/>
      <c r="C123" s="1372"/>
      <c r="D123" s="663" t="s">
        <v>152</v>
      </c>
      <c r="E123" s="595">
        <f>'[3]29'!F123</f>
        <v>788636.28300000005</v>
      </c>
      <c r="F123" s="618">
        <v>788831.07</v>
      </c>
      <c r="G123" s="613">
        <f t="shared" ref="G123:G127" si="14">F123-E123</f>
        <v>194.78699999989476</v>
      </c>
      <c r="H123" s="600">
        <f>G123+'[3]29'!H123</f>
        <v>5906.183999999892</v>
      </c>
      <c r="I123" s="666"/>
      <c r="J123" s="693">
        <f>H123/DAY(B2)</f>
        <v>196.8727999999964</v>
      </c>
      <c r="K123" s="424"/>
      <c r="L123" s="421"/>
      <c r="O123" s="968"/>
    </row>
    <row r="124" spans="1:15" ht="21.95" customHeight="1">
      <c r="A124" s="1371" t="s">
        <v>243</v>
      </c>
      <c r="B124" s="1372"/>
      <c r="C124" s="1372"/>
      <c r="D124" s="663" t="s">
        <v>152</v>
      </c>
      <c r="E124" s="595">
        <f>'[3]29'!F124</f>
        <v>73582.2</v>
      </c>
      <c r="F124" s="618">
        <v>73582.2</v>
      </c>
      <c r="G124" s="613">
        <f t="shared" si="14"/>
        <v>0</v>
      </c>
      <c r="H124" s="600">
        <f>G124+'[3]29'!H124</f>
        <v>1.1999999999970896</v>
      </c>
      <c r="I124" s="666"/>
      <c r="J124" s="693">
        <f>H124/DAY(B2)</f>
        <v>3.9999999999902988E-2</v>
      </c>
      <c r="K124" s="424"/>
      <c r="L124" s="421"/>
      <c r="O124" s="968"/>
    </row>
    <row r="125" spans="1:15" ht="21.95" customHeight="1">
      <c r="A125" s="1655" t="s">
        <v>244</v>
      </c>
      <c r="B125" s="1404"/>
      <c r="C125" s="1404"/>
      <c r="D125" s="663" t="s">
        <v>152</v>
      </c>
      <c r="E125" s="595">
        <f>'[3]29'!F125</f>
        <v>133031.54999999999</v>
      </c>
      <c r="F125" s="788">
        <v>133122.88</v>
      </c>
      <c r="G125" s="613">
        <f t="shared" si="14"/>
        <v>91.330000000016298</v>
      </c>
      <c r="H125" s="600">
        <f>G125+'[3]29'!H125</f>
        <v>2016.6600000000035</v>
      </c>
      <c r="I125" s="666"/>
      <c r="J125" s="693">
        <f>H125/DAY(B2)</f>
        <v>67.222000000000122</v>
      </c>
      <c r="K125" s="424"/>
      <c r="L125" s="421"/>
      <c r="O125" s="968"/>
    </row>
    <row r="126" spans="1:15" ht="21.95" customHeight="1">
      <c r="A126" s="750" t="s">
        <v>245</v>
      </c>
      <c r="B126" s="1372"/>
      <c r="C126" s="1372"/>
      <c r="D126" s="663" t="s">
        <v>152</v>
      </c>
      <c r="E126" s="595">
        <f>'[3]29'!F126</f>
        <v>56319.8</v>
      </c>
      <c r="F126" s="618">
        <v>56348.2</v>
      </c>
      <c r="G126" s="613">
        <f t="shared" si="14"/>
        <v>28.399999999994179</v>
      </c>
      <c r="H126" s="600">
        <f>G126+'[3]29'!H126</f>
        <v>762.39999999999418</v>
      </c>
      <c r="I126" s="666"/>
      <c r="J126" s="693">
        <f>H126/DAY(B2)</f>
        <v>25.413333333333139</v>
      </c>
      <c r="K126" s="424"/>
      <c r="L126" s="421"/>
      <c r="O126" s="968"/>
    </row>
    <row r="127" spans="1:15" ht="21.95" customHeight="1">
      <c r="A127" s="750" t="s">
        <v>246</v>
      </c>
      <c r="B127" s="1372"/>
      <c r="C127" s="1372"/>
      <c r="D127" s="663" t="s">
        <v>152</v>
      </c>
      <c r="E127" s="595">
        <f>'[3]29'!F127</f>
        <v>8640.1</v>
      </c>
      <c r="F127" s="618">
        <v>8640.1</v>
      </c>
      <c r="G127" s="613">
        <f t="shared" si="14"/>
        <v>0</v>
      </c>
      <c r="H127" s="600">
        <f>G127+'[3]29'!H127</f>
        <v>1.1000000000003638</v>
      </c>
      <c r="I127" s="620"/>
      <c r="J127" s="693">
        <f>H127/DAY(B2)</f>
        <v>3.6666666666678796E-2</v>
      </c>
      <c r="K127" s="424"/>
      <c r="L127" s="421"/>
      <c r="O127" s="968"/>
    </row>
    <row r="128" spans="1:15" s="292" customFormat="1" ht="21.75" customHeight="1">
      <c r="A128" s="750" t="s">
        <v>247</v>
      </c>
      <c r="B128" s="1372"/>
      <c r="C128" s="1372"/>
      <c r="D128" s="663"/>
      <c r="E128" s="595"/>
      <c r="F128" s="618"/>
      <c r="G128" s="613">
        <f>G15-SUM(G123:G127)</f>
        <v>360.67000000001281</v>
      </c>
      <c r="H128" s="600"/>
      <c r="I128" s="620"/>
      <c r="J128" s="693"/>
      <c r="K128" s="402"/>
      <c r="L128" s="304"/>
      <c r="O128" s="968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968"/>
    </row>
    <row r="130" spans="1:15" ht="27.75">
      <c r="A130" s="1371" t="s">
        <v>249</v>
      </c>
      <c r="B130" s="1372"/>
      <c r="C130" s="1372"/>
      <c r="D130" s="663" t="s">
        <v>250</v>
      </c>
      <c r="E130" s="595">
        <f>'[3]29'!F130</f>
        <v>0</v>
      </c>
      <c r="F130" s="624">
        <v>0</v>
      </c>
      <c r="G130" s="613">
        <f t="shared" ref="G130:G140" si="15">F130-E130</f>
        <v>0</v>
      </c>
      <c r="H130" s="600">
        <f>G130+'[3]29'!H130</f>
        <v>0</v>
      </c>
      <c r="I130" s="620"/>
      <c r="J130" s="693">
        <f>H130/DAY(B2)</f>
        <v>0</v>
      </c>
      <c r="O130" s="968"/>
    </row>
    <row r="131" spans="1:15" ht="27.75">
      <c r="A131" s="1371" t="s">
        <v>251</v>
      </c>
      <c r="B131" s="1372"/>
      <c r="C131" s="1372"/>
      <c r="D131" s="663" t="s">
        <v>250</v>
      </c>
      <c r="E131" s="595">
        <f>'[3]29'!F131</f>
        <v>0</v>
      </c>
      <c r="F131" s="624">
        <v>0</v>
      </c>
      <c r="G131" s="613">
        <f t="shared" si="15"/>
        <v>0</v>
      </c>
      <c r="H131" s="600">
        <f>G131+'[3]29'!H131</f>
        <v>0</v>
      </c>
      <c r="I131" s="620"/>
      <c r="J131" s="693">
        <f>H131/DAY(B2)</f>
        <v>0</v>
      </c>
      <c r="O131" s="968"/>
    </row>
    <row r="132" spans="1:15" ht="27.75">
      <c r="A132" s="1371" t="s">
        <v>252</v>
      </c>
      <c r="B132" s="1372"/>
      <c r="C132" s="1372"/>
      <c r="D132" s="663" t="s">
        <v>250</v>
      </c>
      <c r="E132" s="595">
        <f>'[3]29'!F132</f>
        <v>38877</v>
      </c>
      <c r="F132" s="682">
        <v>38877</v>
      </c>
      <c r="G132" s="613">
        <f t="shared" si="15"/>
        <v>0</v>
      </c>
      <c r="H132" s="600">
        <f>G132+'[3]29'!H132</f>
        <v>0</v>
      </c>
      <c r="I132" s="620"/>
      <c r="J132" s="693">
        <f>H132/DAY(B2)</f>
        <v>0</v>
      </c>
      <c r="O132" s="968"/>
    </row>
    <row r="133" spans="1:15" ht="27.75">
      <c r="A133" s="1371" t="s">
        <v>253</v>
      </c>
      <c r="B133" s="1372"/>
      <c r="C133" s="1372"/>
      <c r="D133" s="663" t="s">
        <v>250</v>
      </c>
      <c r="E133" s="595">
        <f>'[3]29'!F133</f>
        <v>34948</v>
      </c>
      <c r="F133" s="682">
        <v>34948</v>
      </c>
      <c r="G133" s="613">
        <f t="shared" si="15"/>
        <v>0</v>
      </c>
      <c r="H133" s="600">
        <f>G133+'[3]29'!H133</f>
        <v>0</v>
      </c>
      <c r="I133" s="620">
        <f>G130+G131+G132+G133</f>
        <v>0</v>
      </c>
      <c r="J133" s="693">
        <f>H133/DAY(B2)</f>
        <v>0</v>
      </c>
      <c r="O133" s="968"/>
    </row>
    <row r="134" spans="1:15" ht="27.75">
      <c r="A134" s="1371" t="s">
        <v>254</v>
      </c>
      <c r="B134" s="1372"/>
      <c r="C134" s="1372"/>
      <c r="D134" s="663" t="s">
        <v>250</v>
      </c>
      <c r="E134" s="595">
        <f>'[3]29'!F134</f>
        <v>39735</v>
      </c>
      <c r="F134" s="682">
        <v>39735</v>
      </c>
      <c r="G134" s="613">
        <f t="shared" si="15"/>
        <v>0</v>
      </c>
      <c r="H134" s="600">
        <f>G134+'[3]29'!H134</f>
        <v>24</v>
      </c>
      <c r="I134" s="620"/>
      <c r="J134" s="693">
        <f>H134/DAY(B2)</f>
        <v>0.8</v>
      </c>
      <c r="O134" s="968"/>
    </row>
    <row r="135" spans="1:15" ht="27.75">
      <c r="A135" s="1371" t="s">
        <v>255</v>
      </c>
      <c r="B135" s="1372"/>
      <c r="C135" s="1372"/>
      <c r="D135" s="663" t="s">
        <v>250</v>
      </c>
      <c r="E135" s="595">
        <f>'[3]29'!F135</f>
        <v>31692.25</v>
      </c>
      <c r="F135" s="682">
        <v>31716.43</v>
      </c>
      <c r="G135" s="613">
        <f t="shared" si="15"/>
        <v>24.180000000000291</v>
      </c>
      <c r="H135" s="600">
        <f>G135+'[3]29'!H135</f>
        <v>181.40000000000146</v>
      </c>
      <c r="I135" s="620"/>
      <c r="J135" s="693">
        <f>H135/DAY(B2)</f>
        <v>6.0466666666667148</v>
      </c>
      <c r="O135" s="968"/>
    </row>
    <row r="136" spans="1:15" ht="27.75">
      <c r="A136" s="1371" t="s">
        <v>256</v>
      </c>
      <c r="B136" s="1372"/>
      <c r="C136" s="1372"/>
      <c r="D136" s="663" t="s">
        <v>250</v>
      </c>
      <c r="E136" s="595">
        <f>'[3]29'!F136</f>
        <v>21668.45</v>
      </c>
      <c r="F136" s="682">
        <v>21674.720000000001</v>
      </c>
      <c r="G136" s="613">
        <f t="shared" si="15"/>
        <v>6.2700000000004366</v>
      </c>
      <c r="H136" s="600">
        <f>G136+'[3]29'!H136</f>
        <v>76.690000000002328</v>
      </c>
      <c r="I136" s="620">
        <f>G134+G135+G136</f>
        <v>30.450000000000728</v>
      </c>
      <c r="J136" s="693">
        <f>H136/DAY(B2)</f>
        <v>2.5563333333334111</v>
      </c>
      <c r="O136" s="968"/>
    </row>
    <row r="137" spans="1:15" ht="27.75">
      <c r="A137" s="1371" t="s">
        <v>257</v>
      </c>
      <c r="B137" s="1372"/>
      <c r="C137" s="1372"/>
      <c r="D137" s="663" t="s">
        <v>250</v>
      </c>
      <c r="E137" s="595">
        <f>'[3]29'!F137</f>
        <v>24932.51</v>
      </c>
      <c r="F137" s="682">
        <v>24932.51</v>
      </c>
      <c r="G137" s="613">
        <f t="shared" si="15"/>
        <v>0</v>
      </c>
      <c r="H137" s="600">
        <f>G137+'[3]29'!H137</f>
        <v>11.539999999997235</v>
      </c>
      <c r="I137" s="620"/>
      <c r="J137" s="693">
        <f>H137/DAY(B2)</f>
        <v>0.38466666666657451</v>
      </c>
      <c r="O137" s="968"/>
    </row>
    <row r="138" spans="1:15" ht="27.75">
      <c r="A138" s="1371" t="s">
        <v>258</v>
      </c>
      <c r="B138" s="1372"/>
      <c r="C138" s="1372"/>
      <c r="D138" s="663" t="s">
        <v>250</v>
      </c>
      <c r="E138" s="595">
        <f>'[3]29'!F138</f>
        <v>69955.210000000006</v>
      </c>
      <c r="F138" s="682">
        <v>69955.210000000006</v>
      </c>
      <c r="G138" s="613">
        <f t="shared" si="15"/>
        <v>0</v>
      </c>
      <c r="H138" s="600">
        <f>G138+'[3]29'!H138</f>
        <v>26.30000000000291</v>
      </c>
      <c r="I138" s="620">
        <f>G137+G138</f>
        <v>0</v>
      </c>
      <c r="J138" s="693">
        <f>H138/DAY(B2)</f>
        <v>0.87666666666676363</v>
      </c>
      <c r="O138" s="968"/>
    </row>
    <row r="139" spans="1:15" ht="27.75">
      <c r="A139" s="1371" t="s">
        <v>259</v>
      </c>
      <c r="B139" s="1372"/>
      <c r="C139" s="1372"/>
      <c r="D139" s="663" t="s">
        <v>250</v>
      </c>
      <c r="E139" s="595">
        <f>'[3]29'!F139</f>
        <v>935.98</v>
      </c>
      <c r="F139" s="624">
        <v>941.53</v>
      </c>
      <c r="G139" s="613">
        <f t="shared" si="15"/>
        <v>5.5499999999999545</v>
      </c>
      <c r="H139" s="600">
        <f>G139+'[3]29'!H139</f>
        <v>165.10000000000002</v>
      </c>
      <c r="I139" s="683"/>
      <c r="J139" s="693">
        <f>H139/DAY(B2)</f>
        <v>5.5033333333333339</v>
      </c>
      <c r="O139" s="968"/>
    </row>
    <row r="140" spans="1:15" ht="27.75">
      <c r="A140" s="1371" t="s">
        <v>260</v>
      </c>
      <c r="B140" s="1372"/>
      <c r="C140" s="1372"/>
      <c r="D140" s="663" t="s">
        <v>250</v>
      </c>
      <c r="E140" s="627">
        <f>'[3]29'!F140</f>
        <v>4156.8999999999996</v>
      </c>
      <c r="F140" s="838">
        <v>4156.8999999999996</v>
      </c>
      <c r="G140" s="613">
        <f t="shared" si="15"/>
        <v>0</v>
      </c>
      <c r="H140" s="600">
        <f>G140+'[3]29'!H140</f>
        <v>2.6299999999991996</v>
      </c>
      <c r="I140" s="683"/>
      <c r="J140" s="693">
        <f>H140/DAY(B2)</f>
        <v>8.7666666666639984E-2</v>
      </c>
      <c r="O140" s="968"/>
    </row>
    <row r="141" spans="1:15" ht="21.95" customHeight="1">
      <c r="A141" s="1663" t="s">
        <v>261</v>
      </c>
      <c r="B141" s="1664"/>
      <c r="C141" s="1375"/>
      <c r="D141" s="612"/>
      <c r="E141" s="865"/>
      <c r="F141" s="865"/>
      <c r="G141" s="623"/>
      <c r="H141" s="623"/>
      <c r="I141" s="623"/>
      <c r="J141" s="704"/>
      <c r="K141" s="424"/>
      <c r="L141" s="421"/>
      <c r="O141" s="968"/>
    </row>
    <row r="142" spans="1:15" ht="21.95" customHeight="1">
      <c r="A142" s="1642" t="s">
        <v>262</v>
      </c>
      <c r="B142" s="1643"/>
      <c r="C142" s="1643"/>
      <c r="D142" s="663" t="s">
        <v>143</v>
      </c>
      <c r="E142" s="663"/>
      <c r="F142" s="663"/>
      <c r="G142" s="600">
        <f>G35+G43+G49+G57</f>
        <v>4931.764000000032</v>
      </c>
      <c r="H142" s="600">
        <f>G142+'[3]29'!H142</f>
        <v>146411.92600000015</v>
      </c>
      <c r="I142" s="620"/>
      <c r="J142" s="693">
        <f>H142/DAY(B2)</f>
        <v>4880.3975333333383</v>
      </c>
      <c r="K142" s="424"/>
      <c r="L142" s="421"/>
      <c r="O142" s="968"/>
    </row>
    <row r="143" spans="1:15" ht="21.95" customHeight="1">
      <c r="A143" s="1642" t="s">
        <v>263</v>
      </c>
      <c r="B143" s="1643"/>
      <c r="C143" s="1643"/>
      <c r="D143" s="663" t="s">
        <v>24</v>
      </c>
      <c r="E143" s="651"/>
      <c r="F143" s="651"/>
      <c r="G143" s="684">
        <f>G142/G7</f>
        <v>0.23236732001507879</v>
      </c>
      <c r="H143" s="600">
        <f>G143+'[3]29'!H143</f>
        <v>7.3575597804987432</v>
      </c>
      <c r="I143" s="685"/>
      <c r="J143" s="693">
        <f>H143/DAY(B2)</f>
        <v>0.24525199268329143</v>
      </c>
      <c r="K143" s="424"/>
      <c r="L143" s="421"/>
      <c r="O143" s="968"/>
    </row>
    <row r="144" spans="1:15" ht="21.95" customHeight="1">
      <c r="A144" s="1642" t="s">
        <v>264</v>
      </c>
      <c r="B144" s="1643"/>
      <c r="C144" s="1643"/>
      <c r="D144" s="663" t="s">
        <v>143</v>
      </c>
      <c r="E144" s="595"/>
      <c r="F144" s="595"/>
      <c r="G144" s="600">
        <f>G41+G42+G55+G56</f>
        <v>5136.3900000000431</v>
      </c>
      <c r="H144" s="600">
        <f>G144+'[3]29'!H144</f>
        <v>131158.31000000011</v>
      </c>
      <c r="I144" s="620"/>
      <c r="J144" s="693">
        <f>H144/DAY(B2)</f>
        <v>4371.9436666666707</v>
      </c>
      <c r="K144" s="424"/>
      <c r="L144" s="421"/>
      <c r="O144" s="968"/>
    </row>
    <row r="145" spans="1:15" ht="21.95" customHeight="1">
      <c r="A145" s="1642" t="s">
        <v>265</v>
      </c>
      <c r="B145" s="1643"/>
      <c r="C145" s="1643"/>
      <c r="D145" s="663" t="s">
        <v>24</v>
      </c>
      <c r="E145" s="595"/>
      <c r="F145" s="595"/>
      <c r="G145" s="684">
        <f>G144/G7</f>
        <v>0.24200857519789121</v>
      </c>
      <c r="H145" s="600">
        <f>G145+'[3]29'!H145</f>
        <v>6.7497151743649697</v>
      </c>
      <c r="I145" s="685"/>
      <c r="J145" s="693">
        <f>H145/DAY(B2)</f>
        <v>0.22499050581216565</v>
      </c>
      <c r="K145" s="424"/>
      <c r="L145" s="421"/>
      <c r="O145" s="968"/>
    </row>
    <row r="146" spans="1:15" ht="21.95" customHeight="1">
      <c r="A146" s="1642" t="s">
        <v>266</v>
      </c>
      <c r="B146" s="1643"/>
      <c r="C146" s="1643"/>
      <c r="D146" s="663" t="s">
        <v>143</v>
      </c>
      <c r="E146" s="595"/>
      <c r="F146" s="595"/>
      <c r="G146" s="600">
        <f>G39+G53</f>
        <v>4545.8280000000013</v>
      </c>
      <c r="H146" s="600">
        <f>G146+'[3]29'!H146</f>
        <v>96652.29700000005</v>
      </c>
      <c r="I146" s="686"/>
      <c r="J146" s="693">
        <f>H146/DAY(B2)</f>
        <v>3221.743233333335</v>
      </c>
      <c r="K146" s="424"/>
      <c r="L146" s="421"/>
      <c r="O146" s="968"/>
    </row>
    <row r="147" spans="1:15" ht="21.95" customHeight="1">
      <c r="A147" s="1642" t="s">
        <v>267</v>
      </c>
      <c r="B147" s="1643"/>
      <c r="C147" s="1643"/>
      <c r="D147" s="663" t="s">
        <v>24</v>
      </c>
      <c r="E147" s="595"/>
      <c r="F147" s="595"/>
      <c r="G147" s="684">
        <f>G146/G7</f>
        <v>0.21418337730870718</v>
      </c>
      <c r="H147" s="600">
        <f>G147+'[3]29'!H147</f>
        <v>4.9384060429072498</v>
      </c>
      <c r="I147" s="686"/>
      <c r="J147" s="693">
        <f>H147/DAY(B2)</f>
        <v>0.16461353476357499</v>
      </c>
      <c r="O147" s="968"/>
    </row>
    <row r="148" spans="1:15" ht="21.95" customHeight="1">
      <c r="A148" s="1642" t="s">
        <v>268</v>
      </c>
      <c r="B148" s="1643"/>
      <c r="C148" s="1643"/>
      <c r="D148" s="663" t="s">
        <v>194</v>
      </c>
      <c r="E148" s="595"/>
      <c r="F148" s="595"/>
      <c r="G148" s="600">
        <f>G38+G52</f>
        <v>1946.359999999986</v>
      </c>
      <c r="H148" s="600">
        <f>G148+'[3]29'!H148</f>
        <v>52457.739999999991</v>
      </c>
      <c r="I148" s="620"/>
      <c r="J148" s="693">
        <f>H148/DAY(B2)</f>
        <v>1748.5913333333331</v>
      </c>
      <c r="K148" s="425"/>
      <c r="O148" s="968"/>
    </row>
    <row r="149" spans="1:15" ht="21.95" customHeight="1">
      <c r="A149" s="1642" t="s">
        <v>269</v>
      </c>
      <c r="B149" s="1643"/>
      <c r="C149" s="1643"/>
      <c r="D149" s="663" t="s">
        <v>24</v>
      </c>
      <c r="E149" s="595"/>
      <c r="F149" s="595"/>
      <c r="G149" s="684">
        <f>G148/G7</f>
        <v>9.1705616283452043E-2</v>
      </c>
      <c r="H149" s="600">
        <f>G149+'[3]29'!H149</f>
        <v>2.6990165557094778</v>
      </c>
      <c r="I149" s="686"/>
      <c r="J149" s="693">
        <f>H149/DAY(B2)</f>
        <v>8.9967218523649264E-2</v>
      </c>
      <c r="O149" s="968"/>
    </row>
    <row r="150" spans="1:15" ht="21.95" customHeight="1">
      <c r="A150" s="1642" t="s">
        <v>270</v>
      </c>
      <c r="B150" s="1643"/>
      <c r="C150" s="1643"/>
      <c r="D150" s="663" t="s">
        <v>194</v>
      </c>
      <c r="E150" s="595"/>
      <c r="F150" s="595"/>
      <c r="G150" s="600">
        <f>G36+G50</f>
        <v>1522.8800000000047</v>
      </c>
      <c r="H150" s="600">
        <f>G150+'[3]29'!H150</f>
        <v>49888.300000000017</v>
      </c>
      <c r="I150" s="686"/>
      <c r="J150" s="693">
        <f>H150/DAY(B2)</f>
        <v>1662.9433333333338</v>
      </c>
      <c r="O150" s="968"/>
    </row>
    <row r="151" spans="1:15" ht="21.95" customHeight="1">
      <c r="A151" s="1642" t="s">
        <v>271</v>
      </c>
      <c r="B151" s="1643"/>
      <c r="C151" s="1643"/>
      <c r="D151" s="663" t="s">
        <v>24</v>
      </c>
      <c r="E151" s="595"/>
      <c r="F151" s="595"/>
      <c r="G151" s="684">
        <f>G150/G7</f>
        <v>7.1752732755371501E-2</v>
      </c>
      <c r="H151" s="600">
        <f>G151+'[3]29'!H151</f>
        <v>2.5626267336507587</v>
      </c>
      <c r="I151" s="620"/>
      <c r="J151" s="693">
        <f>H151/DAY(B2)</f>
        <v>8.5420891121691961E-2</v>
      </c>
      <c r="O151" s="968"/>
    </row>
    <row r="152" spans="1:15" ht="27.75">
      <c r="A152" s="1642" t="s">
        <v>272</v>
      </c>
      <c r="B152" s="1643"/>
      <c r="C152" s="1643"/>
      <c r="D152" s="663" t="s">
        <v>194</v>
      </c>
      <c r="E152" s="595"/>
      <c r="F152" s="595"/>
      <c r="G152" s="600">
        <f>G37+G51</f>
        <v>1512.9760000000024</v>
      </c>
      <c r="H152" s="600">
        <f>G152+'[3]29'!H152</f>
        <v>42517.348900000005</v>
      </c>
      <c r="I152" s="620"/>
      <c r="J152" s="693">
        <f>H152/DAY(B2)</f>
        <v>1417.2449633333335</v>
      </c>
      <c r="O152" s="968"/>
    </row>
    <row r="153" spans="1:15" ht="28.5" thickBot="1">
      <c r="A153" s="1667" t="s">
        <v>273</v>
      </c>
      <c r="B153" s="1668"/>
      <c r="C153" s="1668"/>
      <c r="D153" s="766" t="s">
        <v>24</v>
      </c>
      <c r="E153" s="706"/>
      <c r="F153" s="706"/>
      <c r="G153" s="707">
        <f>G152/G7</f>
        <v>7.1286091217489744E-2</v>
      </c>
      <c r="H153" s="708">
        <f>G153+'[3]29'!H153</f>
        <v>2.1929151228543504</v>
      </c>
      <c r="I153" s="709"/>
      <c r="J153" s="710">
        <f>H153/DAY(B2)</f>
        <v>7.3097170761811686E-2</v>
      </c>
      <c r="O153" s="968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</row>
    <row r="160" spans="1:15" ht="21.95" customHeight="1">
      <c r="A160" s="946" t="s">
        <v>274</v>
      </c>
      <c r="B160" s="947"/>
      <c r="C160" s="947"/>
      <c r="D160" s="651" t="s">
        <v>198</v>
      </c>
      <c r="E160" s="595">
        <f>'[3]29'!F160</f>
        <v>23767.341</v>
      </c>
      <c r="F160" s="795">
        <v>23840.938999999998</v>
      </c>
      <c r="G160" s="613">
        <f t="shared" ref="G160:G171" si="16">F160-E160</f>
        <v>73.597999999998137</v>
      </c>
    </row>
    <row r="161" spans="1:7" ht="21.95" customHeight="1">
      <c r="A161" s="946" t="s">
        <v>275</v>
      </c>
      <c r="B161" s="947"/>
      <c r="C161" s="947"/>
      <c r="D161" s="651" t="s">
        <v>198</v>
      </c>
      <c r="E161" s="595">
        <f>'[3]29'!F161</f>
        <v>9779.2900000000009</v>
      </c>
      <c r="F161" s="795">
        <v>10456.816999999999</v>
      </c>
      <c r="G161" s="613">
        <f t="shared" si="16"/>
        <v>677.52699999999822</v>
      </c>
    </row>
    <row r="162" spans="1:7" ht="21.95" customHeight="1">
      <c r="A162" s="946" t="s">
        <v>276</v>
      </c>
      <c r="B162" s="947"/>
      <c r="C162" s="947"/>
      <c r="D162" s="651" t="s">
        <v>198</v>
      </c>
      <c r="E162" s="595">
        <f>'[3]29'!F162</f>
        <v>37069.108999999997</v>
      </c>
      <c r="F162" s="795">
        <v>37377.730000000003</v>
      </c>
      <c r="G162" s="613">
        <f t="shared" si="16"/>
        <v>308.62100000000646</v>
      </c>
    </row>
    <row r="163" spans="1:7" ht="21.95" customHeight="1">
      <c r="A163" s="946" t="s">
        <v>277</v>
      </c>
      <c r="B163" s="947"/>
      <c r="C163" s="947"/>
      <c r="D163" s="651" t="s">
        <v>198</v>
      </c>
      <c r="E163" s="595">
        <f>'[3]29'!F163</f>
        <v>3474.99</v>
      </c>
      <c r="F163" s="795">
        <v>3495.39</v>
      </c>
      <c r="G163" s="613">
        <f t="shared" si="16"/>
        <v>20.400000000000091</v>
      </c>
    </row>
    <row r="164" spans="1:7" ht="21.9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</row>
    <row r="165" spans="1:7" ht="21.95" customHeight="1">
      <c r="A165" s="948" t="s">
        <v>199</v>
      </c>
      <c r="B165" s="745"/>
      <c r="C165" s="745"/>
      <c r="D165" s="651" t="s">
        <v>198</v>
      </c>
      <c r="E165" s="654">
        <f t="shared" ref="E165:F171" si="17">E63</f>
        <v>839.9</v>
      </c>
      <c r="F165" s="654">
        <f t="shared" si="17"/>
        <v>856.37</v>
      </c>
      <c r="G165" s="613">
        <f t="shared" si="16"/>
        <v>16.470000000000027</v>
      </c>
    </row>
    <row r="166" spans="1:7" ht="21.95" customHeight="1">
      <c r="A166" s="1404" t="s">
        <v>107</v>
      </c>
      <c r="B166" s="1404"/>
      <c r="C166" s="1404"/>
      <c r="D166" s="663" t="s">
        <v>198</v>
      </c>
      <c r="E166" s="654">
        <f t="shared" si="17"/>
        <v>86315.471000000005</v>
      </c>
      <c r="F166" s="654">
        <f t="shared" si="17"/>
        <v>86739.095000000001</v>
      </c>
      <c r="G166" s="613">
        <f t="shared" si="16"/>
        <v>423.62399999999616</v>
      </c>
    </row>
    <row r="167" spans="1:7" ht="21.95" customHeight="1">
      <c r="A167" s="1404" t="s">
        <v>108</v>
      </c>
      <c r="B167" s="1404"/>
      <c r="C167" s="1404"/>
      <c r="D167" s="663" t="s">
        <v>198</v>
      </c>
      <c r="E167" s="654">
        <f t="shared" si="17"/>
        <v>96243.510999999999</v>
      </c>
      <c r="F167" s="654">
        <f t="shared" si="17"/>
        <v>96635.982999999993</v>
      </c>
      <c r="G167" s="613">
        <f t="shared" si="16"/>
        <v>392.4719999999943</v>
      </c>
    </row>
    <row r="168" spans="1:7" ht="21.95" customHeight="1">
      <c r="A168" s="1404" t="s">
        <v>109</v>
      </c>
      <c r="B168" s="1404"/>
      <c r="C168" s="1404"/>
      <c r="D168" s="663" t="s">
        <v>198</v>
      </c>
      <c r="E168" s="654">
        <f t="shared" si="17"/>
        <v>89574.047000000006</v>
      </c>
      <c r="F168" s="654">
        <f t="shared" si="17"/>
        <v>90004.846999999994</v>
      </c>
      <c r="G168" s="613">
        <f t="shared" si="16"/>
        <v>430.79999999998836</v>
      </c>
    </row>
    <row r="169" spans="1:7" ht="21.95" customHeight="1">
      <c r="A169" s="1404" t="s">
        <v>110</v>
      </c>
      <c r="B169" s="1404"/>
      <c r="C169" s="1404"/>
      <c r="D169" s="663" t="s">
        <v>198</v>
      </c>
      <c r="E169" s="654">
        <f t="shared" si="17"/>
        <v>145211.41</v>
      </c>
      <c r="F169" s="654">
        <f t="shared" si="17"/>
        <v>146042.04999999999</v>
      </c>
      <c r="G169" s="613">
        <f t="shared" si="16"/>
        <v>830.63999999998487</v>
      </c>
    </row>
    <row r="170" spans="1:7" ht="21.95" customHeight="1">
      <c r="A170" s="1404" t="s">
        <v>111</v>
      </c>
      <c r="B170" s="1404"/>
      <c r="C170" s="1404"/>
      <c r="D170" s="663" t="s">
        <v>198</v>
      </c>
      <c r="E170" s="654">
        <f t="shared" si="17"/>
        <v>42788.182999999997</v>
      </c>
      <c r="F170" s="654">
        <f t="shared" si="17"/>
        <v>43175.078999999998</v>
      </c>
      <c r="G170" s="613">
        <f t="shared" si="16"/>
        <v>386.89600000000064</v>
      </c>
    </row>
    <row r="171" spans="1:7" ht="21.95" customHeight="1">
      <c r="A171" s="1404" t="s">
        <v>112</v>
      </c>
      <c r="B171" s="1404"/>
      <c r="C171" s="1404"/>
      <c r="D171" s="663" t="s">
        <v>198</v>
      </c>
      <c r="E171" s="654">
        <f t="shared" si="17"/>
        <v>37262.686999999998</v>
      </c>
      <c r="F171" s="654">
        <f t="shared" si="17"/>
        <v>37555.567000000003</v>
      </c>
      <c r="G171" s="613">
        <f t="shared" si="16"/>
        <v>292.88000000000466</v>
      </c>
    </row>
    <row r="172" spans="1:7" ht="21.95" customHeight="1">
      <c r="G172" s="680">
        <f>SUM(G160:G171)</f>
        <v>3853.9279999999717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4" fitToHeight="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40" t="s">
        <v>128</v>
      </c>
      <c r="B1" s="1441"/>
      <c r="C1" s="1441"/>
      <c r="D1" s="1441"/>
      <c r="E1" s="1441"/>
      <c r="F1" s="1441"/>
      <c r="G1" s="1441"/>
      <c r="H1" s="1441"/>
      <c r="I1" s="1441"/>
      <c r="J1" s="1442"/>
    </row>
    <row r="2" spans="1:15" s="292" customFormat="1" ht="27">
      <c r="A2" s="716" t="s">
        <v>279</v>
      </c>
      <c r="B2" s="1196">
        <v>44075</v>
      </c>
      <c r="C2" s="1306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06" t="s">
        <v>131</v>
      </c>
      <c r="D3" s="753">
        <v>30</v>
      </c>
      <c r="E3" s="1449" t="s">
        <v>132</v>
      </c>
      <c r="F3" s="1450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06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443" t="s">
        <v>141</v>
      </c>
      <c r="B6" s="1444"/>
      <c r="C6" s="1445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'30'!F7</f>
        <v>2668445</v>
      </c>
      <c r="F7" s="595">
        <v>1089944</v>
      </c>
      <c r="G7" s="613">
        <f>F7-E7</f>
        <v>-1578501</v>
      </c>
      <c r="H7" s="600">
        <f>G7+'30'!H7</f>
        <v>-1015081</v>
      </c>
      <c r="I7" s="614">
        <f>'1'!I7</f>
        <v>12000</v>
      </c>
      <c r="J7" s="693">
        <f>H7/DAY(B2)</f>
        <v>-1015081</v>
      </c>
      <c r="K7" s="690">
        <v>1375467</v>
      </c>
      <c r="L7" s="421"/>
      <c r="N7" s="542">
        <f>F7-'1'!E7</f>
        <v>-1015081</v>
      </c>
      <c r="O7" s="426"/>
    </row>
    <row r="8" spans="1:15" ht="21.95" customHeight="1" thickBot="1">
      <c r="A8" s="721" t="s">
        <v>144</v>
      </c>
      <c r="B8" s="722"/>
      <c r="C8" s="723"/>
      <c r="D8" s="758" t="s">
        <v>25</v>
      </c>
      <c r="E8" s="595">
        <f>'30'!F8</f>
        <v>2683039</v>
      </c>
      <c r="F8" s="615">
        <v>1095426</v>
      </c>
      <c r="G8" s="616">
        <f>F8-E8</f>
        <v>-1587613</v>
      </c>
      <c r="H8" s="600">
        <f>G8+'30'!H8</f>
        <v>-1020015</v>
      </c>
      <c r="I8" s="617"/>
      <c r="J8" s="693">
        <f>H8/DAY(B2)</f>
        <v>-1020015</v>
      </c>
      <c r="K8" s="690">
        <v>1715917</v>
      </c>
      <c r="L8" s="479">
        <v>1728480</v>
      </c>
      <c r="M8" s="542">
        <f>L8-K8</f>
        <v>12563</v>
      </c>
      <c r="N8" s="542">
        <f>F8-'1'!E8</f>
        <v>-1020015</v>
      </c>
      <c r="O8" s="426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'30'!F9</f>
        <v>2257036.5</v>
      </c>
      <c r="F9" s="618">
        <v>1037483.5</v>
      </c>
      <c r="G9" s="613">
        <f>F9-E9</f>
        <v>-1219553</v>
      </c>
      <c r="H9" s="600">
        <f>G9+'30'!H9</f>
        <v>-979521.8</v>
      </c>
      <c r="I9" s="619">
        <f>I7-J7</f>
        <v>1027081</v>
      </c>
      <c r="J9" s="693">
        <f>H9/DAY(B2)</f>
        <v>-979521.8</v>
      </c>
      <c r="K9" s="527">
        <f>K8-100</f>
        <v>1715817</v>
      </c>
      <c r="L9" s="421"/>
      <c r="N9" s="542">
        <f>F9-'1'!E9</f>
        <v>-979521.8</v>
      </c>
      <c r="O9" s="426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'30'!F10</f>
        <v>302950.28999999998</v>
      </c>
      <c r="F10" s="618">
        <v>454609.79</v>
      </c>
      <c r="G10" s="613">
        <f t="shared" ref="G10:G12" si="0">F10-E10</f>
        <v>151659.5</v>
      </c>
      <c r="H10" s="600">
        <f>G10+'30'!H10</f>
        <v>454610</v>
      </c>
      <c r="I10" s="620"/>
      <c r="J10" s="693">
        <f>H10/DAY(B2)</f>
        <v>454610</v>
      </c>
      <c r="K10" s="527"/>
      <c r="L10" s="421"/>
      <c r="N10" s="542">
        <f>F10-'1'!E10</f>
        <v>0</v>
      </c>
      <c r="O10" s="426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'30'!F11</f>
        <v>35390</v>
      </c>
      <c r="F11" s="595">
        <v>34310</v>
      </c>
      <c r="G11" s="613">
        <f t="shared" si="0"/>
        <v>-1080</v>
      </c>
      <c r="H11" s="600">
        <f>G11+'30'!H11</f>
        <v>-1080</v>
      </c>
      <c r="I11" s="620"/>
      <c r="J11" s="693">
        <f>H11/DAY(B2)</f>
        <v>-1080</v>
      </c>
      <c r="K11" s="527"/>
      <c r="L11" s="421"/>
      <c r="N11" s="542">
        <f>F11-'1'!E11</f>
        <v>-1080</v>
      </c>
      <c r="O11" s="426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'30'!F12</f>
        <v>37630</v>
      </c>
      <c r="F12" s="618">
        <v>37630</v>
      </c>
      <c r="G12" s="613">
        <f t="shared" si="0"/>
        <v>0</v>
      </c>
      <c r="H12" s="600">
        <f>G12+'30'!H12</f>
        <v>0</v>
      </c>
      <c r="I12" s="620"/>
      <c r="J12" s="693">
        <f>H12/DAY(B2)</f>
        <v>0</v>
      </c>
      <c r="K12" s="527"/>
      <c r="L12" s="421"/>
      <c r="N12" s="542">
        <f>F12-'1'!E12</f>
        <v>0</v>
      </c>
      <c r="O12" s="426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-1068973.5</v>
      </c>
      <c r="H13" s="600">
        <f>G13+'30'!H13</f>
        <v>-580255.6</v>
      </c>
      <c r="I13" s="622">
        <f>G7-G13</f>
        <v>-509527.5</v>
      </c>
      <c r="J13" s="693">
        <f>H13/DAY(B2)</f>
        <v>-580255.6</v>
      </c>
      <c r="K13" s="527"/>
      <c r="L13" s="421"/>
      <c r="N13" s="542">
        <f>F13-'1'!E13</f>
        <v>0</v>
      </c>
      <c r="O13" s="426"/>
    </row>
    <row r="14" spans="1:15" ht="29.25">
      <c r="A14" s="1446" t="s">
        <v>150</v>
      </c>
      <c r="B14" s="1447"/>
      <c r="C14" s="1448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F14-'1'!E14</f>
        <v>0</v>
      </c>
      <c r="O14" s="426"/>
    </row>
    <row r="15" spans="1:15" ht="21.95" customHeight="1">
      <c r="A15" s="1304" t="s">
        <v>151</v>
      </c>
      <c r="B15" s="730"/>
      <c r="C15" s="730"/>
      <c r="D15" s="663" t="s">
        <v>152</v>
      </c>
      <c r="E15" s="595">
        <f>'30'!F15</f>
        <v>1546897.601</v>
      </c>
      <c r="F15" s="624">
        <v>1502885.06</v>
      </c>
      <c r="G15" s="613">
        <f>(F15-E15)</f>
        <v>-44012.540999999968</v>
      </c>
      <c r="H15" s="600">
        <f>'30'!H15</f>
        <v>16782.407000000123</v>
      </c>
      <c r="I15" s="614">
        <f>'1'!I15</f>
        <v>800</v>
      </c>
      <c r="J15" s="693">
        <f>H15/DAY(B2)</f>
        <v>16782.407000000123</v>
      </c>
      <c r="K15" s="527"/>
      <c r="L15" s="421"/>
      <c r="N15" s="542">
        <f>F15-'1'!E15</f>
        <v>-27230.133999999845</v>
      </c>
      <c r="O15" s="426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-15982.407000000123</v>
      </c>
      <c r="J16" s="694"/>
      <c r="K16" s="527"/>
      <c r="L16" s="421"/>
      <c r="N16" s="542">
        <f>F16-'1'!E16</f>
        <v>0</v>
      </c>
      <c r="O16" s="426"/>
    </row>
    <row r="17" spans="1:15" ht="29.25">
      <c r="A17" s="1446" t="s">
        <v>153</v>
      </c>
      <c r="B17" s="1447"/>
      <c r="C17" s="1448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F17-'1'!E17</f>
        <v>0</v>
      </c>
      <c r="O17" s="426"/>
    </row>
    <row r="18" spans="1:15" ht="27.75">
      <c r="A18" s="1432" t="s">
        <v>154</v>
      </c>
      <c r="B18" s="1433"/>
      <c r="C18" s="1434"/>
      <c r="D18" s="663" t="s">
        <v>155</v>
      </c>
      <c r="E18" s="595">
        <f>'30'!F18</f>
        <v>14</v>
      </c>
      <c r="F18" s="624">
        <v>4</v>
      </c>
      <c r="G18" s="621">
        <f>F18*10</f>
        <v>40</v>
      </c>
      <c r="H18" s="600">
        <f>G18+'30'!H18</f>
        <v>3170</v>
      </c>
      <c r="I18" s="614">
        <f>'1'!I18</f>
        <v>65</v>
      </c>
      <c r="J18" s="693">
        <f>H18/DAY(B2)</f>
        <v>3170</v>
      </c>
      <c r="K18" s="527"/>
      <c r="L18" s="421"/>
      <c r="N18" s="542">
        <f>F18-'1'!E18</f>
        <v>-8</v>
      </c>
      <c r="O18" s="426"/>
    </row>
    <row r="19" spans="1:15" ht="27.75">
      <c r="A19" s="1432" t="s">
        <v>71</v>
      </c>
      <c r="B19" s="1433"/>
      <c r="C19" s="1434"/>
      <c r="D19" s="663" t="s">
        <v>155</v>
      </c>
      <c r="E19" s="595">
        <f>'30'!F19</f>
        <v>129801</v>
      </c>
      <c r="F19" s="624">
        <v>124825</v>
      </c>
      <c r="G19" s="613">
        <f t="shared" ref="G19" si="1">F19-E19</f>
        <v>-4976</v>
      </c>
      <c r="H19" s="600">
        <f>G19+'30'!H19</f>
        <v>-3370</v>
      </c>
      <c r="I19" s="629"/>
      <c r="J19" s="693">
        <f>H19/DAY(B2)</f>
        <v>-3370</v>
      </c>
      <c r="K19" s="527"/>
      <c r="L19" s="421"/>
      <c r="N19" s="542">
        <f>F19-'1'!E19</f>
        <v>-3370</v>
      </c>
      <c r="O19" s="426"/>
    </row>
    <row r="20" spans="1:15" ht="29.25">
      <c r="A20" s="726" t="s">
        <v>156</v>
      </c>
      <c r="B20" s="727"/>
      <c r="C20" s="727"/>
      <c r="D20" s="630"/>
      <c r="E20" s="630"/>
      <c r="F20" s="630"/>
      <c r="G20" s="631">
        <f>G18+G19</f>
        <v>-4936</v>
      </c>
      <c r="H20" s="600">
        <f>G20+'30'!H20</f>
        <v>-200</v>
      </c>
      <c r="I20" s="632">
        <f>I18-J20</f>
        <v>265</v>
      </c>
      <c r="J20" s="693">
        <f>H20/DAY(B2)</f>
        <v>-200</v>
      </c>
      <c r="K20" s="527"/>
      <c r="L20" s="421"/>
      <c r="N20" s="542">
        <f>F20-'1'!E20</f>
        <v>0</v>
      </c>
      <c r="O20" s="426"/>
    </row>
    <row r="21" spans="1:15" ht="29.25">
      <c r="A21" s="1446" t="s">
        <v>157</v>
      </c>
      <c r="B21" s="1447"/>
      <c r="C21" s="1448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F21-'1'!E21</f>
        <v>0</v>
      </c>
      <c r="O21" s="426"/>
    </row>
    <row r="22" spans="1:15" ht="29.25">
      <c r="A22" s="1304" t="s">
        <v>158</v>
      </c>
      <c r="B22" s="730"/>
      <c r="C22" s="730"/>
      <c r="D22" s="663" t="s">
        <v>159</v>
      </c>
      <c r="E22" s="624">
        <f>'30'!F22</f>
        <v>2250</v>
      </c>
      <c r="F22" s="624">
        <v>2250</v>
      </c>
      <c r="G22" s="621">
        <f t="shared" ref="G22" si="2">(F22-E22)</f>
        <v>0</v>
      </c>
      <c r="H22" s="600">
        <f>'30'!H22</f>
        <v>640</v>
      </c>
      <c r="I22" s="620"/>
      <c r="J22" s="693">
        <f>H22/DAY(B2)</f>
        <v>640</v>
      </c>
      <c r="K22" s="527"/>
      <c r="L22" s="421"/>
      <c r="N22" s="542">
        <f>F22-'1'!E22</f>
        <v>0</v>
      </c>
      <c r="O22" s="426"/>
    </row>
    <row r="23" spans="1:15" ht="29.25">
      <c r="A23" s="1304" t="s">
        <v>160</v>
      </c>
      <c r="B23" s="730"/>
      <c r="C23" s="730"/>
      <c r="D23" s="663" t="s">
        <v>159</v>
      </c>
      <c r="E23" s="624">
        <f>'30'!F23</f>
        <v>2000</v>
      </c>
      <c r="F23" s="624">
        <v>2000</v>
      </c>
      <c r="G23" s="621">
        <v>0</v>
      </c>
      <c r="H23" s="600">
        <f>'30'!H23</f>
        <v>0</v>
      </c>
      <c r="I23" s="620"/>
      <c r="J23" s="693">
        <f>H23/DAY(B2)</f>
        <v>0</v>
      </c>
      <c r="K23" s="527"/>
      <c r="L23" s="421"/>
      <c r="N23" s="542">
        <f>F23-'1'!E23</f>
        <v>0</v>
      </c>
      <c r="O23" s="426"/>
    </row>
    <row r="24" spans="1:15" ht="29.25">
      <c r="A24" s="731" t="s">
        <v>161</v>
      </c>
      <c r="B24" s="732"/>
      <c r="C24" s="732"/>
      <c r="D24" s="651" t="s">
        <v>159</v>
      </c>
      <c r="E24" s="624">
        <f>'30'!F24</f>
        <v>4250</v>
      </c>
      <c r="F24" s="633">
        <v>4250</v>
      </c>
      <c r="G24" s="621">
        <v>0</v>
      </c>
      <c r="H24" s="600">
        <f>'30'!H24</f>
        <v>0</v>
      </c>
      <c r="I24" s="620"/>
      <c r="J24" s="693">
        <f>H24/DAY(B2)</f>
        <v>0</v>
      </c>
      <c r="K24" s="527"/>
      <c r="L24" s="421"/>
      <c r="N24" s="542">
        <f>F24-'1'!E24</f>
        <v>0</v>
      </c>
      <c r="O24" s="426"/>
    </row>
    <row r="25" spans="1:15" s="544" customFormat="1" ht="27">
      <c r="A25" s="1451" t="s">
        <v>162</v>
      </c>
      <c r="B25" s="1452"/>
      <c r="C25" s="1453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F25-'1'!E25</f>
        <v>0</v>
      </c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F26-'1'!E26</f>
        <v>0</v>
      </c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-1587613</v>
      </c>
      <c r="F27" s="641">
        <v>10</v>
      </c>
      <c r="G27" s="642">
        <f>E27*F27</f>
        <v>-15876130</v>
      </c>
      <c r="H27" s="600">
        <f>G27+'30'!H27</f>
        <v>-10483949</v>
      </c>
      <c r="I27" s="643"/>
      <c r="J27" s="693">
        <f>H27/DAY(B2)</f>
        <v>-10483949</v>
      </c>
      <c r="K27" s="417"/>
      <c r="L27" s="547"/>
      <c r="N27" s="542">
        <f>F27-'1'!E27</f>
        <v>-18621</v>
      </c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-44012.540999999968</v>
      </c>
      <c r="F28" s="641">
        <v>38.64</v>
      </c>
      <c r="G28" s="642">
        <f>E28*F28</f>
        <v>-1700644.5842399988</v>
      </c>
      <c r="H28" s="600">
        <f>G28+'30'!H28</f>
        <v>-1088086.7287399943</v>
      </c>
      <c r="I28" s="645"/>
      <c r="J28" s="693">
        <f>H28/DAY(B2)</f>
        <v>-1088086.7287399943</v>
      </c>
      <c r="K28" s="417"/>
      <c r="L28" s="547"/>
      <c r="N28" s="542">
        <f>F28-'1'!E28</f>
        <v>-458.89900000010618</v>
      </c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642">
        <f>E29*F29</f>
        <v>0</v>
      </c>
      <c r="H29" s="600">
        <f>G29+'30'!H29</f>
        <v>0</v>
      </c>
      <c r="I29" s="645"/>
      <c r="J29" s="693">
        <f>H29/DAY(B2)</f>
        <v>0</v>
      </c>
      <c r="K29" s="417"/>
      <c r="L29" s="547"/>
      <c r="N29" s="542">
        <f>F29-'1'!E29</f>
        <v>69</v>
      </c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-4976</v>
      </c>
      <c r="F30" s="641">
        <v>134</v>
      </c>
      <c r="G30" s="642">
        <f>E30*F30</f>
        <v>-666784</v>
      </c>
      <c r="H30" s="600">
        <f>G30+'30'!H30</f>
        <v>-433914</v>
      </c>
      <c r="I30" s="645"/>
      <c r="J30" s="693">
        <f>H30/DAY(B2)</f>
        <v>-433914</v>
      </c>
      <c r="K30" s="417"/>
      <c r="L30" s="547"/>
      <c r="N30" s="542">
        <f>F30-'1'!E30</f>
        <v>79</v>
      </c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40</v>
      </c>
      <c r="F31" s="641">
        <v>80</v>
      </c>
      <c r="G31" s="642">
        <f>E31*F31</f>
        <v>3200</v>
      </c>
      <c r="H31" s="600">
        <f>G31+'30'!H31</f>
        <v>253600</v>
      </c>
      <c r="I31" s="645"/>
      <c r="J31" s="693"/>
      <c r="K31" s="417"/>
      <c r="L31" s="547"/>
      <c r="N31" s="542">
        <f>F31-'1'!E31</f>
        <v>-60</v>
      </c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-18240358.584239997</v>
      </c>
      <c r="H32" s="600">
        <f>G32+'30'!H32</f>
        <v>-11752349.728739994</v>
      </c>
      <c r="I32" s="649"/>
      <c r="J32" s="693">
        <f>H32/DAY(B2)</f>
        <v>-11752349.728739994</v>
      </c>
      <c r="K32" s="417"/>
      <c r="L32" s="547"/>
      <c r="N32" s="542">
        <f>F32-'1'!E32</f>
        <v>0</v>
      </c>
      <c r="O32" s="426"/>
    </row>
    <row r="33" spans="1:15" ht="25.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527"/>
      <c r="L33" s="421"/>
      <c r="N33" s="542">
        <f>F33-'1'!E33</f>
        <v>0</v>
      </c>
      <c r="O33" s="426"/>
    </row>
    <row r="34" spans="1:15" ht="29.25">
      <c r="A34" s="739" t="s">
        <v>174</v>
      </c>
      <c r="B34" s="1309"/>
      <c r="C34" s="1309"/>
      <c r="D34" s="612"/>
      <c r="E34" s="611"/>
      <c r="F34" s="611"/>
      <c r="G34" s="612"/>
      <c r="H34" s="612"/>
      <c r="I34" s="612"/>
      <c r="J34" s="692"/>
      <c r="K34" s="527"/>
      <c r="L34" s="421"/>
      <c r="N34" s="542">
        <f>F34-'1'!E34</f>
        <v>0</v>
      </c>
      <c r="O34" s="426"/>
    </row>
    <row r="35" spans="1:15" ht="29.25">
      <c r="A35" s="719" t="s">
        <v>175</v>
      </c>
      <c r="B35" s="720"/>
      <c r="C35" s="720"/>
      <c r="D35" s="663" t="s">
        <v>143</v>
      </c>
      <c r="E35" s="595">
        <f>'30'!F35</f>
        <v>629027.67000000004</v>
      </c>
      <c r="F35" s="650">
        <v>491539.27</v>
      </c>
      <c r="G35" s="613">
        <f t="shared" ref="G35:G46" si="3">F35-E35</f>
        <v>-137488.40000000002</v>
      </c>
      <c r="H35" s="600">
        <f>G35+'30'!H35</f>
        <v>-111630.19999999995</v>
      </c>
      <c r="I35" s="595"/>
      <c r="J35" s="693">
        <f>H35/DAY(B2)</f>
        <v>-111630.19999999995</v>
      </c>
      <c r="K35" s="527"/>
      <c r="L35" s="421"/>
      <c r="N35" s="542">
        <f>F35-'1'!E35</f>
        <v>-111804.19999999995</v>
      </c>
      <c r="O35" s="426"/>
    </row>
    <row r="36" spans="1:15" ht="29.25">
      <c r="A36" s="719" t="s">
        <v>176</v>
      </c>
      <c r="B36" s="720"/>
      <c r="C36" s="720"/>
      <c r="D36" s="663" t="s">
        <v>143</v>
      </c>
      <c r="E36" s="595">
        <f>'30'!F36</f>
        <v>229085.73</v>
      </c>
      <c r="F36" s="650">
        <v>174247.33</v>
      </c>
      <c r="G36" s="613">
        <f t="shared" si="3"/>
        <v>-54838.400000000023</v>
      </c>
      <c r="H36" s="600">
        <f>G36+'30'!H36</f>
        <v>-37112.620000000024</v>
      </c>
      <c r="I36" s="595"/>
      <c r="J36" s="693">
        <f>H36/DAY(B2)</f>
        <v>-37112.620000000024</v>
      </c>
      <c r="K36" s="527"/>
      <c r="L36" s="421"/>
      <c r="N36" s="542">
        <f>F36-'1'!E36</f>
        <v>-37112.620000000024</v>
      </c>
      <c r="O36" s="769"/>
    </row>
    <row r="37" spans="1:15" ht="29.25">
      <c r="A37" s="719" t="s">
        <v>177</v>
      </c>
      <c r="B37" s="720"/>
      <c r="C37" s="720"/>
      <c r="D37" s="663" t="s">
        <v>143</v>
      </c>
      <c r="E37" s="595">
        <f>'30'!F37</f>
        <v>415066</v>
      </c>
      <c r="F37" s="650">
        <v>313204.39</v>
      </c>
      <c r="G37" s="613">
        <f t="shared" si="3"/>
        <v>-101861.60999999999</v>
      </c>
      <c r="H37" s="600">
        <f>G37+'30'!H37</f>
        <v>-86639.799999999988</v>
      </c>
      <c r="I37" s="595"/>
      <c r="J37" s="693">
        <f>H37/DAY(B2)</f>
        <v>-86639.799999999988</v>
      </c>
      <c r="K37" s="527"/>
      <c r="L37" s="421"/>
      <c r="N37" s="542">
        <f>F37-'1'!E37</f>
        <v>-86639.799999999988</v>
      </c>
      <c r="O37" s="770"/>
    </row>
    <row r="38" spans="1:15" ht="29.25">
      <c r="A38" s="719" t="s">
        <v>178</v>
      </c>
      <c r="B38" s="720"/>
      <c r="C38" s="720"/>
      <c r="D38" s="663" t="s">
        <v>143</v>
      </c>
      <c r="E38" s="595">
        <f>'30'!F38</f>
        <v>150714</v>
      </c>
      <c r="F38" s="609">
        <v>150714</v>
      </c>
      <c r="G38" s="613">
        <f t="shared" si="3"/>
        <v>0</v>
      </c>
      <c r="H38" s="600">
        <f>G38+'30'!H38</f>
        <v>0</v>
      </c>
      <c r="I38" s="595"/>
      <c r="J38" s="693">
        <f>H38/DAY(B2)</f>
        <v>0</v>
      </c>
      <c r="K38" s="527"/>
      <c r="L38" s="421"/>
      <c r="N38" s="542">
        <f>F38-'1'!E38</f>
        <v>0</v>
      </c>
      <c r="O38" s="426"/>
    </row>
    <row r="39" spans="1:15" ht="29.25">
      <c r="A39" s="719" t="s">
        <v>179</v>
      </c>
      <c r="B39" s="720"/>
      <c r="C39" s="720"/>
      <c r="D39" s="663" t="s">
        <v>143</v>
      </c>
      <c r="E39" s="595">
        <f>'30'!F39</f>
        <v>912480</v>
      </c>
      <c r="F39" s="650">
        <v>673328.15</v>
      </c>
      <c r="G39" s="613">
        <f t="shared" si="3"/>
        <v>-239151.84999999998</v>
      </c>
      <c r="H39" s="600">
        <f>G39+'30'!H39</f>
        <v>-198796.55999999994</v>
      </c>
      <c r="I39" s="595"/>
      <c r="J39" s="693">
        <f>H39/DAY(B2)</f>
        <v>-198796.55999999994</v>
      </c>
      <c r="K39" s="527"/>
      <c r="L39" s="421"/>
      <c r="N39" s="542">
        <f>F39-'1'!E39</f>
        <v>-198796.55999999994</v>
      </c>
      <c r="O39" s="426"/>
    </row>
    <row r="40" spans="1:15" ht="29.25">
      <c r="A40" s="740" t="s">
        <v>180</v>
      </c>
      <c r="B40" s="741"/>
      <c r="C40" s="741"/>
      <c r="D40" s="663" t="s">
        <v>143</v>
      </c>
      <c r="E40" s="595">
        <f>'30'!F40</f>
        <v>0</v>
      </c>
      <c r="F40" s="650">
        <v>0</v>
      </c>
      <c r="G40" s="613">
        <f t="shared" si="3"/>
        <v>0</v>
      </c>
      <c r="H40" s="600">
        <f>G40+'30'!H40</f>
        <v>0</v>
      </c>
      <c r="I40" s="595"/>
      <c r="J40" s="693">
        <f>H40/DAY(B2)</f>
        <v>0</v>
      </c>
      <c r="K40" s="528"/>
      <c r="L40" s="421"/>
      <c r="N40" s="542">
        <f>F40-'1'!E40</f>
        <v>0</v>
      </c>
      <c r="O40" s="426"/>
    </row>
    <row r="41" spans="1:15" ht="29.25">
      <c r="A41" s="719" t="s">
        <v>181</v>
      </c>
      <c r="B41" s="720"/>
      <c r="C41" s="720"/>
      <c r="D41" s="663" t="s">
        <v>143</v>
      </c>
      <c r="E41" s="595">
        <f>'30'!F41</f>
        <v>300127.95</v>
      </c>
      <c r="F41" s="650">
        <v>300127.96999999997</v>
      </c>
      <c r="G41" s="613">
        <f t="shared" si="3"/>
        <v>1.9999999960418791E-2</v>
      </c>
      <c r="H41" s="600">
        <f>G41+'30'!H41</f>
        <v>0</v>
      </c>
      <c r="I41" s="595"/>
      <c r="J41" s="693">
        <f>H41/DAY(B2)</f>
        <v>0</v>
      </c>
      <c r="K41" s="527"/>
      <c r="L41" s="421"/>
      <c r="N41" s="542">
        <f>H41-'1'!E41</f>
        <v>-300127.96999999997</v>
      </c>
      <c r="O41" s="426"/>
    </row>
    <row r="42" spans="1:15" ht="29.25">
      <c r="A42" s="719" t="s">
        <v>182</v>
      </c>
      <c r="B42" s="720"/>
      <c r="C42" s="720"/>
      <c r="D42" s="663" t="s">
        <v>143</v>
      </c>
      <c r="E42" s="595">
        <f>'30'!F42</f>
        <v>396198</v>
      </c>
      <c r="F42" s="650">
        <v>155123.79</v>
      </c>
      <c r="G42" s="613">
        <f t="shared" si="3"/>
        <v>-241074.21</v>
      </c>
      <c r="H42" s="600">
        <f>G42+'30'!H42</f>
        <v>-241073.67999999996</v>
      </c>
      <c r="I42" s="595"/>
      <c r="J42" s="693">
        <f>H42/DAY(B2)</f>
        <v>-241073.67999999996</v>
      </c>
      <c r="K42" s="527"/>
      <c r="L42" s="421"/>
      <c r="N42" s="542">
        <f>H42-'1'!E42</f>
        <v>-637271.14999999991</v>
      </c>
      <c r="O42" s="426"/>
    </row>
    <row r="43" spans="1:15" ht="29.25">
      <c r="A43" s="719" t="s">
        <v>183</v>
      </c>
      <c r="B43" s="720"/>
      <c r="C43" s="720"/>
      <c r="D43" s="663" t="s">
        <v>143</v>
      </c>
      <c r="E43" s="595">
        <f>'30'!F43</f>
        <v>630749.31000000006</v>
      </c>
      <c r="F43" s="650">
        <v>426209.51</v>
      </c>
      <c r="G43" s="613">
        <f t="shared" si="3"/>
        <v>-204539.80000000005</v>
      </c>
      <c r="H43" s="600">
        <f>G43+'30'!H43</f>
        <v>-132114.55999999994</v>
      </c>
      <c r="I43" s="595"/>
      <c r="J43" s="693">
        <f>H43/DAY(B2)</f>
        <v>-132114.55999999994</v>
      </c>
      <c r="K43" s="527"/>
      <c r="L43" s="421"/>
      <c r="N43" s="542">
        <f>H43-'1'!E43</f>
        <v>-690438.62999999989</v>
      </c>
      <c r="O43" s="426"/>
    </row>
    <row r="44" spans="1:15" ht="29.25">
      <c r="A44" s="719" t="s">
        <v>184</v>
      </c>
      <c r="B44" s="720"/>
      <c r="C44" s="720"/>
      <c r="D44" s="663" t="s">
        <v>143</v>
      </c>
      <c r="E44" s="595">
        <f>'30'!F44</f>
        <v>0</v>
      </c>
      <c r="F44" s="650">
        <v>0</v>
      </c>
      <c r="G44" s="613">
        <f t="shared" si="3"/>
        <v>0</v>
      </c>
      <c r="H44" s="600">
        <f>G44+'30'!H44</f>
        <v>0</v>
      </c>
      <c r="I44" s="595"/>
      <c r="J44" s="693">
        <f>H44/DAY(B2)</f>
        <v>0</v>
      </c>
      <c r="K44" s="527"/>
      <c r="L44" s="421"/>
      <c r="N44" s="542">
        <f>H44-'1'!E44</f>
        <v>0</v>
      </c>
      <c r="O44" s="426"/>
    </row>
    <row r="45" spans="1:15" ht="29.25">
      <c r="A45" s="719" t="s">
        <v>185</v>
      </c>
      <c r="B45" s="720"/>
      <c r="C45" s="720"/>
      <c r="D45" s="663" t="s">
        <v>143</v>
      </c>
      <c r="E45" s="595">
        <f>'30'!F45</f>
        <v>614.48</v>
      </c>
      <c r="F45" s="650">
        <v>614.48</v>
      </c>
      <c r="G45" s="613">
        <f t="shared" si="3"/>
        <v>0</v>
      </c>
      <c r="H45" s="600">
        <f>G45+'30'!H45</f>
        <v>0</v>
      </c>
      <c r="I45" s="595"/>
      <c r="J45" s="693">
        <f>H45/DAY(B2)</f>
        <v>0</v>
      </c>
      <c r="K45" s="527"/>
      <c r="L45" s="421"/>
      <c r="N45" s="542">
        <f>H45-'1'!E45</f>
        <v>-614.48</v>
      </c>
      <c r="O45" s="426"/>
    </row>
    <row r="46" spans="1:15" ht="29.25">
      <c r="A46" s="719" t="s">
        <v>186</v>
      </c>
      <c r="B46" s="720"/>
      <c r="C46" s="720"/>
      <c r="D46" s="663" t="s">
        <v>143</v>
      </c>
      <c r="E46" s="595">
        <f>'30'!F46</f>
        <v>187.49</v>
      </c>
      <c r="F46" s="650">
        <v>187.49</v>
      </c>
      <c r="G46" s="613">
        <f t="shared" si="3"/>
        <v>0</v>
      </c>
      <c r="H46" s="600">
        <f>G46+'30'!H46</f>
        <v>0</v>
      </c>
      <c r="I46" s="595"/>
      <c r="J46" s="693">
        <f>H46/DAY(B2)</f>
        <v>0</v>
      </c>
      <c r="K46" s="527"/>
      <c r="L46" s="421"/>
      <c r="N46" s="542">
        <f>H46-'1'!E46</f>
        <v>-187.49</v>
      </c>
      <c r="O46" s="426"/>
    </row>
    <row r="47" spans="1:15" ht="29.2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-978954.25</v>
      </c>
      <c r="H47" s="600">
        <f>G47+'30'!H47</f>
        <v>-807367.41999999969</v>
      </c>
      <c r="I47" s="595"/>
      <c r="J47" s="693">
        <f>H47/DAY(B2)</f>
        <v>-807367.41999999969</v>
      </c>
      <c r="K47" s="527"/>
      <c r="L47" s="421"/>
      <c r="N47" s="542">
        <f>H47-'1'!E47</f>
        <v>-807367.41999999969</v>
      </c>
      <c r="O47" s="426"/>
    </row>
    <row r="48" spans="1:15" ht="29.25">
      <c r="A48" s="739" t="s">
        <v>188</v>
      </c>
      <c r="B48" s="1309"/>
      <c r="C48" s="1309"/>
      <c r="D48" s="612"/>
      <c r="E48" s="611"/>
      <c r="F48" s="611"/>
      <c r="G48" s="612"/>
      <c r="H48" s="612"/>
      <c r="I48" s="612"/>
      <c r="J48" s="692"/>
      <c r="K48" s="527"/>
      <c r="L48" s="421"/>
      <c r="N48" s="542">
        <f>H48-'1'!E48</f>
        <v>0</v>
      </c>
      <c r="O48" s="426"/>
    </row>
    <row r="49" spans="1:15" ht="29.25">
      <c r="A49" s="719" t="s">
        <v>175</v>
      </c>
      <c r="B49" s="742"/>
      <c r="C49" s="742"/>
      <c r="D49" s="663" t="s">
        <v>143</v>
      </c>
      <c r="E49" s="595">
        <f>'30'!F49</f>
        <v>61513.267</v>
      </c>
      <c r="F49" s="650">
        <v>3334.8</v>
      </c>
      <c r="G49" s="613">
        <f t="shared" ref="G49:G58" si="4">F49-E49</f>
        <v>-58178.466999999997</v>
      </c>
      <c r="H49" s="600">
        <f>G49+'30'!H49</f>
        <v>-8394.4879999999976</v>
      </c>
      <c r="I49" s="595"/>
      <c r="J49" s="693">
        <f>H49/DAY(B2)</f>
        <v>-8394.4879999999976</v>
      </c>
      <c r="K49" s="527"/>
      <c r="L49" s="421"/>
      <c r="N49" s="542">
        <f>H49-'1'!E49</f>
        <v>-20123.325999999997</v>
      </c>
      <c r="O49" s="426"/>
    </row>
    <row r="50" spans="1:15" ht="29.25">
      <c r="A50" s="719" t="s">
        <v>189</v>
      </c>
      <c r="B50" s="742"/>
      <c r="C50" s="742"/>
      <c r="D50" s="663" t="s">
        <v>143</v>
      </c>
      <c r="E50" s="595">
        <f>'30'!F50</f>
        <v>295969.09000000003</v>
      </c>
      <c r="F50" s="650">
        <v>203028.93</v>
      </c>
      <c r="G50" s="613">
        <f t="shared" si="4"/>
        <v>-92940.160000000033</v>
      </c>
      <c r="H50" s="600">
        <f>G50+'30'!H50</f>
        <v>-63030.010000000009</v>
      </c>
      <c r="I50" s="595"/>
      <c r="J50" s="693">
        <f>H50/DAY(B2)</f>
        <v>-63030.010000000009</v>
      </c>
      <c r="K50" s="527"/>
      <c r="L50" s="421"/>
      <c r="N50" s="542">
        <f>H50-'1'!E50</f>
        <v>-326836.58</v>
      </c>
      <c r="O50" s="426"/>
    </row>
    <row r="51" spans="1:15" ht="29.25">
      <c r="A51" s="719" t="s">
        <v>177</v>
      </c>
      <c r="B51" s="742"/>
      <c r="C51" s="742"/>
      <c r="D51" s="663" t="s">
        <v>143</v>
      </c>
      <c r="E51" s="595">
        <f>'30'!F51</f>
        <v>19320.487000000001</v>
      </c>
      <c r="F51" s="650">
        <v>0</v>
      </c>
      <c r="G51" s="613">
        <f t="shared" si="4"/>
        <v>-19320.487000000001</v>
      </c>
      <c r="H51" s="600">
        <f>G51+'30'!H51</f>
        <v>7975.0518999999986</v>
      </c>
      <c r="I51" s="595"/>
      <c r="J51" s="693">
        <f>H51/DAY(B2)</f>
        <v>7975.0518999999986</v>
      </c>
      <c r="K51" s="527"/>
      <c r="L51" s="421"/>
      <c r="N51" s="542">
        <f>H51-'1'!E51</f>
        <v>7975.0518999999986</v>
      </c>
      <c r="O51" s="426"/>
    </row>
    <row r="52" spans="1:15" ht="29.25">
      <c r="A52" s="719" t="s">
        <v>190</v>
      </c>
      <c r="B52" s="742"/>
      <c r="C52" s="742"/>
      <c r="D52" s="663" t="s">
        <v>143</v>
      </c>
      <c r="E52" s="595">
        <f>'30'!F52</f>
        <v>371122.43</v>
      </c>
      <c r="F52" s="650">
        <v>239027.49</v>
      </c>
      <c r="G52" s="613">
        <f t="shared" si="4"/>
        <v>-132094.94</v>
      </c>
      <c r="H52" s="600">
        <f>G52+'30'!H52</f>
        <v>-83261.929999999993</v>
      </c>
      <c r="I52" s="595"/>
      <c r="J52" s="693">
        <f>H52/DAY(B2)</f>
        <v>-83261.929999999993</v>
      </c>
      <c r="K52" s="527"/>
      <c r="L52" s="421"/>
      <c r="N52" s="542">
        <f>H52-'1'!E52</f>
        <v>-401926.62</v>
      </c>
      <c r="O52" s="426"/>
    </row>
    <row r="53" spans="1:15" ht="29.25">
      <c r="A53" s="719" t="s">
        <v>179</v>
      </c>
      <c r="B53" s="742"/>
      <c r="C53" s="742"/>
      <c r="D53" s="663" t="s">
        <v>143</v>
      </c>
      <c r="E53" s="595">
        <f>'30'!F53</f>
        <v>45416.006999999998</v>
      </c>
      <c r="F53" s="650">
        <v>16071</v>
      </c>
      <c r="G53" s="613">
        <f t="shared" si="4"/>
        <v>-29345.006999999998</v>
      </c>
      <c r="H53" s="600">
        <f>G53+'30'!H53</f>
        <v>26952.000000000007</v>
      </c>
      <c r="I53" s="595"/>
      <c r="J53" s="693">
        <f>H53/DAY(B2)</f>
        <v>26952.000000000007</v>
      </c>
      <c r="K53" s="527"/>
      <c r="L53" s="421"/>
      <c r="N53" s="542">
        <f>H53-'1'!E53</f>
        <v>10881.000000000007</v>
      </c>
      <c r="O53" s="426"/>
    </row>
    <row r="54" spans="1:15" ht="29.25">
      <c r="A54" s="719" t="s">
        <v>191</v>
      </c>
      <c r="B54" s="742"/>
      <c r="C54" s="742"/>
      <c r="D54" s="663" t="s">
        <v>143</v>
      </c>
      <c r="E54" s="595">
        <f>'30'!F54</f>
        <v>2833</v>
      </c>
      <c r="F54" s="650">
        <v>0</v>
      </c>
      <c r="G54" s="613">
        <f t="shared" si="4"/>
        <v>-2833</v>
      </c>
      <c r="H54" s="600">
        <f>G54+'30'!H54</f>
        <v>-1552.5607</v>
      </c>
      <c r="I54" s="595"/>
      <c r="J54" s="693">
        <f>H54/DAY(B2)</f>
        <v>-1552.5607</v>
      </c>
      <c r="K54" s="527"/>
      <c r="L54" s="421"/>
      <c r="N54" s="542">
        <f>H54-'1'!E54</f>
        <v>-2956.2257</v>
      </c>
      <c r="O54" s="426"/>
    </row>
    <row r="55" spans="1:15" ht="29.25">
      <c r="A55" s="719" t="s">
        <v>192</v>
      </c>
      <c r="B55" s="742"/>
      <c r="C55" s="742"/>
      <c r="D55" s="663" t="s">
        <v>143</v>
      </c>
      <c r="E55" s="595">
        <f>'30'!F55</f>
        <v>158493</v>
      </c>
      <c r="F55" s="650">
        <v>158493</v>
      </c>
      <c r="G55" s="613">
        <f t="shared" si="4"/>
        <v>0</v>
      </c>
      <c r="H55" s="600">
        <f>G55+'30'!H55</f>
        <v>0</v>
      </c>
      <c r="I55" s="595"/>
      <c r="J55" s="693">
        <f>H55/DAY(B2)</f>
        <v>0</v>
      </c>
      <c r="K55" s="527"/>
      <c r="L55" s="421"/>
      <c r="N55" s="542">
        <f>H55-'1'!E55</f>
        <v>-158493</v>
      </c>
      <c r="O55" s="426"/>
    </row>
    <row r="56" spans="1:15" ht="29.25">
      <c r="A56" s="719" t="s">
        <v>193</v>
      </c>
      <c r="B56" s="742"/>
      <c r="C56" s="742"/>
      <c r="D56" s="663" t="s">
        <v>194</v>
      </c>
      <c r="E56" s="595">
        <f>'30'!F56</f>
        <v>435147.59</v>
      </c>
      <c r="F56" s="650">
        <v>276819.67</v>
      </c>
      <c r="G56" s="613">
        <f t="shared" si="4"/>
        <v>-158327.92000000004</v>
      </c>
      <c r="H56" s="600">
        <f>G56+'30'!H56</f>
        <v>-35224.81</v>
      </c>
      <c r="I56" s="595"/>
      <c r="J56" s="693">
        <f>H56/DAY(B2)</f>
        <v>-35224.81</v>
      </c>
      <c r="K56" s="526"/>
      <c r="L56" s="421"/>
      <c r="N56" s="542">
        <f>H56-'1'!E56</f>
        <v>-339214.6</v>
      </c>
      <c r="O56" s="426"/>
    </row>
    <row r="57" spans="1:15" ht="29.25">
      <c r="A57" s="719" t="s">
        <v>183</v>
      </c>
      <c r="B57" s="742"/>
      <c r="C57" s="742"/>
      <c r="D57" s="663" t="s">
        <v>143</v>
      </c>
      <c r="E57" s="595">
        <f>'30'!F57</f>
        <v>0</v>
      </c>
      <c r="F57" s="650">
        <v>0</v>
      </c>
      <c r="G57" s="613">
        <f t="shared" si="4"/>
        <v>0</v>
      </c>
      <c r="H57" s="600">
        <f>G57+'30'!H57</f>
        <v>0</v>
      </c>
      <c r="I57" s="595"/>
      <c r="J57" s="693">
        <f>H57/DAY(B2)</f>
        <v>0</v>
      </c>
      <c r="K57" s="527"/>
      <c r="L57" s="421"/>
      <c r="N57" s="542">
        <f>H57-'1'!E57</f>
        <v>0</v>
      </c>
      <c r="O57" s="426"/>
    </row>
    <row r="58" spans="1:15" ht="29.25">
      <c r="A58" s="719" t="s">
        <v>195</v>
      </c>
      <c r="B58" s="742"/>
      <c r="C58" s="742"/>
      <c r="D58" s="663" t="s">
        <v>143</v>
      </c>
      <c r="E58" s="595">
        <f>'30'!F58</f>
        <v>20231.043000000001</v>
      </c>
      <c r="F58" s="650">
        <v>13889.37</v>
      </c>
      <c r="G58" s="613">
        <f t="shared" si="4"/>
        <v>-6341.6730000000007</v>
      </c>
      <c r="H58" s="600">
        <f>G58+'30'!H58</f>
        <v>-3879.9260000000013</v>
      </c>
      <c r="I58" s="595"/>
      <c r="J58" s="693">
        <f>H58/DAY(B2)</f>
        <v>-3879.9260000000013</v>
      </c>
      <c r="K58" s="527"/>
      <c r="L58" s="421"/>
      <c r="N58" s="542">
        <f>H58-'1'!E58</f>
        <v>-21344.197</v>
      </c>
      <c r="O58" s="426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-499381.65400000004</v>
      </c>
      <c r="H59" s="600">
        <f>G59+'30'!H59</f>
        <v>-160416.67280000006</v>
      </c>
      <c r="I59" s="595">
        <f>G7-G60</f>
        <v>-100165.0959999999</v>
      </c>
      <c r="J59" s="693">
        <f>H59/DAY(B2)</f>
        <v>-160416.67280000006</v>
      </c>
      <c r="K59" s="527"/>
      <c r="L59" s="421"/>
      <c r="N59" s="542">
        <f>H59-'1'!E59</f>
        <v>-160416.67280000006</v>
      </c>
      <c r="O59" s="426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-1478335.9040000001</v>
      </c>
      <c r="H60" s="600">
        <f>G60+'30'!H60</f>
        <v>-953397.93209999986</v>
      </c>
      <c r="I60" s="595">
        <f>G13-G60</f>
        <v>409362.4040000001</v>
      </c>
      <c r="J60" s="693">
        <f>H60/DAY(B2)</f>
        <v>-953397.93209999986</v>
      </c>
      <c r="K60" s="527"/>
      <c r="L60" s="421"/>
      <c r="N60" s="542">
        <f>H60-'1'!E60</f>
        <v>-953397.93209999986</v>
      </c>
      <c r="O60" s="426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542">
        <f>H61-'1'!E61</f>
        <v>0</v>
      </c>
      <c r="O61" s="426"/>
    </row>
    <row r="62" spans="1:15" ht="29.25">
      <c r="A62" s="744" t="s">
        <v>106</v>
      </c>
      <c r="B62" s="745"/>
      <c r="C62" s="745"/>
      <c r="D62" s="651" t="s">
        <v>198</v>
      </c>
      <c r="E62" s="595">
        <f>'30'!F62</f>
        <v>20419.18</v>
      </c>
      <c r="F62" s="654">
        <v>20419.188999999998</v>
      </c>
      <c r="G62" s="613">
        <f t="shared" ref="G62:G69" si="5">F62-E62</f>
        <v>8.9999999981955625E-3</v>
      </c>
      <c r="H62" s="600">
        <f>G62+'30'!H62</f>
        <v>-0.1889999999984866</v>
      </c>
      <c r="I62" s="655"/>
      <c r="J62" s="693">
        <f>H62/DAY(B2)</f>
        <v>-0.1889999999984866</v>
      </c>
      <c r="K62" s="527"/>
      <c r="L62" s="421"/>
      <c r="N62" s="542">
        <f>H62-'1'!E62</f>
        <v>-20419.377999999997</v>
      </c>
      <c r="O62" s="426"/>
    </row>
    <row r="63" spans="1:15" ht="29.25">
      <c r="A63" s="744" t="s">
        <v>199</v>
      </c>
      <c r="B63" s="745"/>
      <c r="C63" s="745"/>
      <c r="D63" s="651" t="s">
        <v>198</v>
      </c>
      <c r="E63" s="595">
        <f>'30'!F63</f>
        <v>856.37</v>
      </c>
      <c r="F63" s="654">
        <v>14160.48</v>
      </c>
      <c r="G63" s="613">
        <f t="shared" si="5"/>
        <v>13304.109999999999</v>
      </c>
      <c r="H63" s="600">
        <f>G63+'30'!H63</f>
        <v>13862.019999999999</v>
      </c>
      <c r="I63" s="655"/>
      <c r="J63" s="693">
        <f>H63/DAY(B2)</f>
        <v>13862.019999999999</v>
      </c>
      <c r="K63" s="527"/>
      <c r="L63" s="421"/>
      <c r="N63" s="542">
        <f>H63-'1'!E63</f>
        <v>13563.56</v>
      </c>
      <c r="O63" s="426"/>
    </row>
    <row r="64" spans="1:15" ht="27.75">
      <c r="A64" s="1429" t="s">
        <v>107</v>
      </c>
      <c r="B64" s="1430"/>
      <c r="C64" s="1431"/>
      <c r="D64" s="663" t="s">
        <v>198</v>
      </c>
      <c r="E64" s="595">
        <f>'30'!F64</f>
        <v>86739.095000000001</v>
      </c>
      <c r="F64" s="624">
        <v>59017.9</v>
      </c>
      <c r="G64" s="613">
        <f t="shared" si="5"/>
        <v>-27721.195</v>
      </c>
      <c r="H64" s="600">
        <f>G64+'30'!H64</f>
        <v>-17045.186999999998</v>
      </c>
      <c r="I64" s="620"/>
      <c r="J64" s="693">
        <f>H64/DAY(B2)</f>
        <v>-17045.186999999998</v>
      </c>
      <c r="K64" s="527"/>
      <c r="L64" s="421"/>
      <c r="N64" s="542">
        <f>H64-'1'!E64</f>
        <v>-93108.274000000005</v>
      </c>
      <c r="O64" s="426"/>
    </row>
    <row r="65" spans="1:15" ht="27.75">
      <c r="A65" s="1429" t="s">
        <v>108</v>
      </c>
      <c r="B65" s="1430"/>
      <c r="C65" s="1431"/>
      <c r="D65" s="663" t="s">
        <v>198</v>
      </c>
      <c r="E65" s="595">
        <f>'30'!F65</f>
        <v>96635.982999999993</v>
      </c>
      <c r="F65" s="624">
        <v>62010.36</v>
      </c>
      <c r="G65" s="613">
        <f t="shared" si="5"/>
        <v>-34625.622999999992</v>
      </c>
      <c r="H65" s="600">
        <f>G65+'30'!H65</f>
        <v>-23148.903000000006</v>
      </c>
      <c r="I65" s="629"/>
      <c r="J65" s="693">
        <f>H65/DAY(B2)</f>
        <v>-23148.903000000006</v>
      </c>
      <c r="K65" s="527"/>
      <c r="L65" s="421"/>
      <c r="N65" s="542">
        <f>H65-'1'!E65</f>
        <v>-108308.16600000001</v>
      </c>
      <c r="O65" s="426"/>
    </row>
    <row r="66" spans="1:15" ht="27.75">
      <c r="A66" s="1429" t="s">
        <v>109</v>
      </c>
      <c r="B66" s="1430"/>
      <c r="C66" s="1431"/>
      <c r="D66" s="663" t="s">
        <v>198</v>
      </c>
      <c r="E66" s="595">
        <f>'30'!F66</f>
        <v>90004.846999999994</v>
      </c>
      <c r="F66" s="624">
        <v>55847.47</v>
      </c>
      <c r="G66" s="613">
        <f t="shared" si="5"/>
        <v>-34157.376999999993</v>
      </c>
      <c r="H66" s="600">
        <f>G66+'30'!H66</f>
        <v>-22340.487999999998</v>
      </c>
      <c r="I66" s="620"/>
      <c r="J66" s="693">
        <f>H66/DAY(B2)</f>
        <v>-22340.487999999998</v>
      </c>
      <c r="K66" s="527"/>
      <c r="L66" s="421"/>
      <c r="N66" s="542">
        <f>H66-'1'!E66</f>
        <v>-100528.446</v>
      </c>
      <c r="O66" s="426"/>
    </row>
    <row r="67" spans="1:15" ht="27.75">
      <c r="A67" s="1429" t="s">
        <v>110</v>
      </c>
      <c r="B67" s="1430"/>
      <c r="C67" s="1431"/>
      <c r="D67" s="663" t="s">
        <v>198</v>
      </c>
      <c r="E67" s="595">
        <f>'30'!F67</f>
        <v>146042.04999999999</v>
      </c>
      <c r="F67" s="624">
        <v>96613.97</v>
      </c>
      <c r="G67" s="613">
        <f t="shared" si="5"/>
        <v>-49428.079999999987</v>
      </c>
      <c r="H67" s="600">
        <f>G67+'30'!H67</f>
        <v>-29442.53</v>
      </c>
      <c r="I67" s="629"/>
      <c r="J67" s="693">
        <f>H67/DAY(B2)</f>
        <v>-29442.53</v>
      </c>
      <c r="K67" s="528"/>
      <c r="L67" s="421"/>
      <c r="N67" s="542">
        <f>H67-'1'!E67</f>
        <v>-155499.03</v>
      </c>
      <c r="O67" s="426"/>
    </row>
    <row r="68" spans="1:15" ht="27.75">
      <c r="A68" s="1429" t="s">
        <v>111</v>
      </c>
      <c r="B68" s="1430"/>
      <c r="C68" s="1431"/>
      <c r="D68" s="663" t="s">
        <v>198</v>
      </c>
      <c r="E68" s="595">
        <f>'30'!F68</f>
        <v>43175.078999999998</v>
      </c>
      <c r="F68" s="624">
        <v>16650.509999999998</v>
      </c>
      <c r="G68" s="613">
        <f t="shared" si="5"/>
        <v>-26524.569</v>
      </c>
      <c r="H68" s="600">
        <f>G68+'30'!H68</f>
        <v>-16749.359</v>
      </c>
      <c r="I68" s="656"/>
      <c r="J68" s="693">
        <f>H68/DAY(B2)</f>
        <v>-16749.359</v>
      </c>
      <c r="K68" s="529"/>
      <c r="L68" s="421"/>
      <c r="N68" s="542">
        <f>H68-'1'!E68</f>
        <v>-50149.228000000003</v>
      </c>
      <c r="O68" s="426"/>
    </row>
    <row r="69" spans="1:15" ht="27.75">
      <c r="A69" s="1429" t="s">
        <v>112</v>
      </c>
      <c r="B69" s="1430"/>
      <c r="C69" s="1431"/>
      <c r="D69" s="663" t="s">
        <v>198</v>
      </c>
      <c r="E69" s="595">
        <f>'30'!F69</f>
        <v>37555.567000000003</v>
      </c>
      <c r="F69" s="624">
        <v>22398.71</v>
      </c>
      <c r="G69" s="613">
        <f t="shared" si="5"/>
        <v>-15156.857000000004</v>
      </c>
      <c r="H69" s="600">
        <f>G69+'30'!H69</f>
        <v>-6853.6550000000025</v>
      </c>
      <c r="I69" s="656"/>
      <c r="J69" s="693">
        <f>H69/DAY(B2)</f>
        <v>-6853.6550000000025</v>
      </c>
      <c r="K69" s="530"/>
      <c r="L69" s="421"/>
      <c r="N69" s="542">
        <f>H69-'1'!E69</f>
        <v>-36106.020000000004</v>
      </c>
      <c r="O69" s="426"/>
    </row>
    <row r="70" spans="1:15" ht="27.75">
      <c r="A70" s="1469" t="s">
        <v>200</v>
      </c>
      <c r="B70" s="1470"/>
      <c r="C70" s="1471"/>
      <c r="D70" s="663" t="s">
        <v>198</v>
      </c>
      <c r="E70" s="658"/>
      <c r="F70" s="658"/>
      <c r="G70" s="658"/>
      <c r="H70" s="600">
        <f>G70+'30'!H70</f>
        <v>0</v>
      </c>
      <c r="I70" s="658"/>
      <c r="J70" s="697"/>
      <c r="K70" s="530"/>
      <c r="L70" s="421"/>
      <c r="N70" s="542">
        <f>H70-'1'!E70</f>
        <v>0</v>
      </c>
      <c r="O70" s="426"/>
    </row>
    <row r="71" spans="1:15" ht="31.5">
      <c r="A71" s="1472" t="s">
        <v>201</v>
      </c>
      <c r="B71" s="1473"/>
      <c r="C71" s="1473"/>
      <c r="D71" s="1473"/>
      <c r="E71" s="1473"/>
      <c r="F71" s="1473"/>
      <c r="G71" s="1473"/>
      <c r="H71" s="1473"/>
      <c r="I71" s="1473"/>
      <c r="J71" s="1474"/>
      <c r="K71" s="529"/>
      <c r="L71" s="421"/>
      <c r="N71" s="542">
        <f>H71-'1'!E71</f>
        <v>0</v>
      </c>
      <c r="O71" s="426"/>
    </row>
    <row r="72" spans="1:15" ht="27.75">
      <c r="A72" s="1429" t="s">
        <v>202</v>
      </c>
      <c r="B72" s="1430"/>
      <c r="C72" s="1431"/>
      <c r="D72" s="663" t="s">
        <v>198</v>
      </c>
      <c r="E72" s="595">
        <f>'30'!F72</f>
        <v>844177</v>
      </c>
      <c r="F72" s="659">
        <v>843266</v>
      </c>
      <c r="G72" s="613">
        <f t="shared" ref="G72:G84" si="6">F72-E72</f>
        <v>-911</v>
      </c>
      <c r="H72" s="600">
        <f>G72+'30'!H72</f>
        <v>-676</v>
      </c>
      <c r="I72" s="620"/>
      <c r="J72" s="693">
        <f>H72/DAY(B2)</f>
        <v>-676</v>
      </c>
      <c r="K72" s="530"/>
      <c r="L72" s="421"/>
      <c r="N72" s="542">
        <f>H72-'1'!E72</f>
        <v>-844609</v>
      </c>
      <c r="O72" s="426"/>
    </row>
    <row r="73" spans="1:15" ht="27.75">
      <c r="A73" s="1429" t="s">
        <v>203</v>
      </c>
      <c r="B73" s="1430"/>
      <c r="C73" s="1431"/>
      <c r="D73" s="663" t="s">
        <v>198</v>
      </c>
      <c r="E73" s="595">
        <f>'30'!F73</f>
        <v>885310</v>
      </c>
      <c r="F73" s="660">
        <v>885145</v>
      </c>
      <c r="G73" s="613">
        <f t="shared" si="6"/>
        <v>-165</v>
      </c>
      <c r="H73" s="600">
        <f>G73+'30'!H73</f>
        <v>17</v>
      </c>
      <c r="I73" s="620"/>
      <c r="J73" s="693">
        <f>H73/DAY(B2)</f>
        <v>17</v>
      </c>
      <c r="K73" s="529"/>
      <c r="L73" s="421"/>
      <c r="N73" s="542">
        <f>H73-'1'!E73</f>
        <v>-885198</v>
      </c>
      <c r="O73" s="426"/>
    </row>
    <row r="74" spans="1:15" ht="27.75">
      <c r="A74" s="1429" t="s">
        <v>204</v>
      </c>
      <c r="B74" s="1430"/>
      <c r="C74" s="1431"/>
      <c r="D74" s="663" t="s">
        <v>198</v>
      </c>
      <c r="E74" s="595">
        <f>'30'!F74</f>
        <v>880227</v>
      </c>
      <c r="F74" s="661">
        <v>878667</v>
      </c>
      <c r="G74" s="613">
        <f t="shared" si="6"/>
        <v>-1560</v>
      </c>
      <c r="H74" s="600">
        <f>G74+'30'!H74</f>
        <v>-969</v>
      </c>
      <c r="I74" s="620"/>
      <c r="J74" s="693">
        <f>H74/DAY(B2)</f>
        <v>-969</v>
      </c>
      <c r="K74" s="530"/>
      <c r="L74" s="421"/>
      <c r="N74" s="542">
        <f>H74-'1'!E74</f>
        <v>-880605</v>
      </c>
      <c r="O74" s="426"/>
    </row>
    <row r="75" spans="1:15" ht="27.75">
      <c r="A75" s="1408" t="s">
        <v>205</v>
      </c>
      <c r="B75" s="1409"/>
      <c r="C75" s="1410"/>
      <c r="D75" s="663" t="s">
        <v>198</v>
      </c>
      <c r="E75" s="595">
        <f>'30'!F75</f>
        <v>726180</v>
      </c>
      <c r="F75" s="661">
        <v>716633</v>
      </c>
      <c r="G75" s="613">
        <f t="shared" si="6"/>
        <v>-9547</v>
      </c>
      <c r="H75" s="600">
        <f>G75+'30'!H75</f>
        <v>-4733</v>
      </c>
      <c r="I75" s="620"/>
      <c r="J75" s="693">
        <f>H75/DAY(B2)</f>
        <v>-4733</v>
      </c>
      <c r="K75" s="529"/>
      <c r="L75" s="421"/>
      <c r="N75" s="542">
        <f>H75-'1'!E75</f>
        <v>-726099</v>
      </c>
      <c r="O75" s="426"/>
    </row>
    <row r="76" spans="1:15" ht="27.75">
      <c r="A76" s="1408" t="s">
        <v>206</v>
      </c>
      <c r="B76" s="1409"/>
      <c r="C76" s="1410"/>
      <c r="D76" s="663" t="s">
        <v>198</v>
      </c>
      <c r="E76" s="595">
        <f>'30'!F76</f>
        <v>681676</v>
      </c>
      <c r="F76" s="660">
        <v>677956</v>
      </c>
      <c r="G76" s="613">
        <f t="shared" si="6"/>
        <v>-3720</v>
      </c>
      <c r="H76" s="600">
        <f>G76+'30'!H76</f>
        <v>-514</v>
      </c>
      <c r="I76" s="645"/>
      <c r="J76" s="693">
        <f>H76/DAY(B2)</f>
        <v>-514</v>
      </c>
      <c r="K76" s="529"/>
      <c r="L76" s="421"/>
      <c r="N76" s="542">
        <f>H76-'1'!E76</f>
        <v>-680166</v>
      </c>
      <c r="O76" s="426"/>
    </row>
    <row r="77" spans="1:15" ht="27.75">
      <c r="A77" s="1429" t="s">
        <v>207</v>
      </c>
      <c r="B77" s="1430"/>
      <c r="C77" s="1431"/>
      <c r="D77" s="663" t="s">
        <v>198</v>
      </c>
      <c r="E77" s="595">
        <f>'30'!F77</f>
        <v>693720</v>
      </c>
      <c r="F77" s="661">
        <v>689541</v>
      </c>
      <c r="G77" s="613">
        <f t="shared" si="6"/>
        <v>-4179</v>
      </c>
      <c r="H77" s="600">
        <f>G77+'30'!H77</f>
        <v>-2766</v>
      </c>
      <c r="I77" s="645"/>
      <c r="J77" s="693">
        <f>H77/DAY(B2)</f>
        <v>-2766</v>
      </c>
      <c r="K77" s="529"/>
      <c r="L77" s="421"/>
      <c r="N77" s="542">
        <f>H77-'1'!E77</f>
        <v>-695073</v>
      </c>
      <c r="O77" s="426"/>
    </row>
    <row r="78" spans="1:15" ht="27.75">
      <c r="A78" s="1307" t="s">
        <v>208</v>
      </c>
      <c r="B78" s="1282"/>
      <c r="C78" s="1282"/>
      <c r="D78" s="663" t="s">
        <v>198</v>
      </c>
      <c r="E78" s="595">
        <f>'30'!F78</f>
        <v>618253</v>
      </c>
      <c r="F78" s="661">
        <v>599737</v>
      </c>
      <c r="G78" s="613">
        <f t="shared" si="6"/>
        <v>-18516</v>
      </c>
      <c r="H78" s="600">
        <f>G78+'30'!H78</f>
        <v>-8277</v>
      </c>
      <c r="I78" s="645"/>
      <c r="J78" s="693">
        <f>H78/DAY(B2)</f>
        <v>-8277</v>
      </c>
      <c r="K78" s="529"/>
      <c r="L78" s="421"/>
      <c r="N78" s="542">
        <f>H78-'1'!E78</f>
        <v>-616291</v>
      </c>
      <c r="O78" s="426"/>
    </row>
    <row r="79" spans="1:15" ht="27.75">
      <c r="A79" s="1408" t="s">
        <v>97</v>
      </c>
      <c r="B79" s="1409"/>
      <c r="C79" s="1410"/>
      <c r="D79" s="664" t="s">
        <v>198</v>
      </c>
      <c r="E79" s="595">
        <f>'30'!F79</f>
        <v>797986</v>
      </c>
      <c r="F79" s="661">
        <v>784196</v>
      </c>
      <c r="G79" s="613">
        <f t="shared" si="6"/>
        <v>-13790</v>
      </c>
      <c r="H79" s="600">
        <f>G79+'30'!H79</f>
        <v>-6619</v>
      </c>
      <c r="I79" s="645"/>
      <c r="J79" s="693">
        <f>H79/DAY(B2)</f>
        <v>-6619</v>
      </c>
      <c r="K79" s="529"/>
      <c r="L79" s="421"/>
      <c r="N79" s="542">
        <f>H79-'1'!E79</f>
        <v>-799407</v>
      </c>
      <c r="O79" s="426"/>
    </row>
    <row r="80" spans="1:15" ht="27.75">
      <c r="A80" s="1408" t="s">
        <v>209</v>
      </c>
      <c r="B80" s="1409"/>
      <c r="C80" s="1410"/>
      <c r="D80" s="664" t="s">
        <v>198</v>
      </c>
      <c r="E80" s="595">
        <f>'30'!F80</f>
        <v>465497.88</v>
      </c>
      <c r="F80" s="660">
        <v>442000</v>
      </c>
      <c r="G80" s="613">
        <f t="shared" si="6"/>
        <v>-23497.880000000005</v>
      </c>
      <c r="H80" s="600">
        <f>G80+'30'!H80</f>
        <v>-16436.880000000005</v>
      </c>
      <c r="I80" s="645"/>
      <c r="J80" s="693">
        <f>H80/DAY(B2)</f>
        <v>-16436.880000000005</v>
      </c>
      <c r="K80" s="529"/>
      <c r="L80" s="421"/>
      <c r="N80" s="542">
        <f>H80-'1'!E80</f>
        <v>-473301.92</v>
      </c>
      <c r="O80" s="426"/>
    </row>
    <row r="81" spans="1:15" ht="27.75">
      <c r="A81" s="1408" t="s">
        <v>210</v>
      </c>
      <c r="B81" s="1409"/>
      <c r="C81" s="1410"/>
      <c r="D81" s="664" t="s">
        <v>198</v>
      </c>
      <c r="E81" s="595">
        <f>'30'!F81</f>
        <v>614388.52</v>
      </c>
      <c r="F81" s="660">
        <v>603853</v>
      </c>
      <c r="G81" s="613">
        <f t="shared" si="6"/>
        <v>-10535.520000000019</v>
      </c>
      <c r="H81" s="600">
        <f>G81+'30'!H81</f>
        <v>-7269.2800000000279</v>
      </c>
      <c r="I81" s="645"/>
      <c r="J81" s="693">
        <f>H81/DAY(B2)</f>
        <v>-7269.2800000000279</v>
      </c>
      <c r="K81" s="529"/>
      <c r="L81" s="421"/>
      <c r="N81" s="542">
        <f>H81-'1'!E81</f>
        <v>-618391.56000000006</v>
      </c>
      <c r="O81" s="426"/>
    </row>
    <row r="82" spans="1:15" ht="27.75">
      <c r="A82" s="1408" t="s">
        <v>100</v>
      </c>
      <c r="B82" s="1409"/>
      <c r="C82" s="1410"/>
      <c r="D82" s="625" t="s">
        <v>143</v>
      </c>
      <c r="E82" s="595">
        <f>'30'!F82</f>
        <v>103529.65</v>
      </c>
      <c r="F82" s="662">
        <v>101826</v>
      </c>
      <c r="G82" s="613">
        <f t="shared" si="6"/>
        <v>-1703.6499999999942</v>
      </c>
      <c r="H82" s="600">
        <f>G82+'30'!H82</f>
        <v>-1203.9499999999971</v>
      </c>
      <c r="I82" s="626"/>
      <c r="J82" s="693">
        <f>H82/DAY(B2)</f>
        <v>-1203.9499999999971</v>
      </c>
      <c r="K82" s="529"/>
      <c r="L82" s="421"/>
      <c r="N82" s="542">
        <f>H82-'1'!E82</f>
        <v>-104233.9</v>
      </c>
      <c r="O82" s="426"/>
    </row>
    <row r="83" spans="1:15" ht="27.75">
      <c r="A83" s="1408" t="s">
        <v>211</v>
      </c>
      <c r="B83" s="1409"/>
      <c r="C83" s="1410"/>
      <c r="D83" s="761" t="s">
        <v>143</v>
      </c>
      <c r="E83" s="595">
        <f>'30'!F83</f>
        <v>962525</v>
      </c>
      <c r="F83" s="651">
        <v>937743</v>
      </c>
      <c r="G83" s="613">
        <f t="shared" si="6"/>
        <v>-24782</v>
      </c>
      <c r="H83" s="600">
        <f>G83+'30'!H83</f>
        <v>-14500</v>
      </c>
      <c r="I83" s="621"/>
      <c r="J83" s="693">
        <f>H83/DAY(B2)</f>
        <v>-14500</v>
      </c>
      <c r="K83" s="528"/>
      <c r="L83" s="421"/>
      <c r="N83" s="542">
        <f>H83-'1'!E83</f>
        <v>-966743</v>
      </c>
      <c r="O83" s="426"/>
    </row>
    <row r="84" spans="1:15" ht="29.25">
      <c r="A84" s="1308" t="s">
        <v>212</v>
      </c>
      <c r="B84" s="712"/>
      <c r="C84" s="712"/>
      <c r="D84" s="618" t="s">
        <v>143</v>
      </c>
      <c r="E84" s="595">
        <f>'30'!F84</f>
        <v>381356</v>
      </c>
      <c r="F84" s="768">
        <v>336915</v>
      </c>
      <c r="G84" s="613">
        <f t="shared" si="6"/>
        <v>-44441</v>
      </c>
      <c r="H84" s="600">
        <f>G84+'30'!H84</f>
        <v>-29518</v>
      </c>
      <c r="I84" s="621"/>
      <c r="J84" s="693">
        <f>H84/DAY(B2)</f>
        <v>-29518</v>
      </c>
      <c r="K84" s="424"/>
      <c r="L84" s="421"/>
      <c r="N84" s="542">
        <f>H84-'1'!E84</f>
        <v>-395951</v>
      </c>
      <c r="O84" s="426"/>
    </row>
    <row r="85" spans="1:15" s="423" customFormat="1" ht="29.25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-157348.05000000002</v>
      </c>
      <c r="H85" s="600">
        <f>G85+'30'!H85</f>
        <v>-96791.010000000009</v>
      </c>
      <c r="I85" s="621"/>
      <c r="J85" s="693">
        <f>H85/DAY(B2)</f>
        <v>-96791.010000000009</v>
      </c>
      <c r="K85" s="424"/>
      <c r="L85" s="422"/>
      <c r="N85" s="542">
        <f>H85-'1'!E85</f>
        <v>-96791.010000000009</v>
      </c>
      <c r="O85" s="426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'30'!F86</f>
        <v>440412.24</v>
      </c>
      <c r="F86" s="784">
        <v>427006.84</v>
      </c>
      <c r="G86" s="861">
        <f t="shared" ref="G86:G90" si="7">F86-E86</f>
        <v>-13405.399999999965</v>
      </c>
      <c r="H86" s="600">
        <f>G86+'30'!H86</f>
        <v>-13227.679999999993</v>
      </c>
      <c r="I86" s="789"/>
      <c r="J86" s="863">
        <f>H86/DAY(B2)</f>
        <v>-13227.679999999993</v>
      </c>
      <c r="K86" s="889"/>
      <c r="L86" s="890"/>
      <c r="N86" s="542">
        <f>H86-'1'!E86</f>
        <v>-450254.18</v>
      </c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595">
        <f>'30'!F87</f>
        <v>76901.3</v>
      </c>
      <c r="F87" s="784">
        <v>74477.600000000006</v>
      </c>
      <c r="G87" s="861">
        <f t="shared" si="7"/>
        <v>-2423.6999999999971</v>
      </c>
      <c r="H87" s="600">
        <f>G87+'30'!H87</f>
        <v>-2389.1999999999971</v>
      </c>
      <c r="I87" s="789"/>
      <c r="J87" s="863">
        <f>H87/DAY(B2)</f>
        <v>-2389.1999999999971</v>
      </c>
      <c r="K87" s="889"/>
      <c r="L87" s="890"/>
      <c r="N87" s="542">
        <f>H87-'1'!E87</f>
        <v>-78489.2</v>
      </c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'30'!F88</f>
        <v>142472.49</v>
      </c>
      <c r="F88" s="784">
        <v>135303</v>
      </c>
      <c r="G88" s="861">
        <f t="shared" si="7"/>
        <v>-7169.4899999999907</v>
      </c>
      <c r="H88" s="600">
        <f>G88+'30'!H88</f>
        <v>-7044.5</v>
      </c>
      <c r="I88" s="789"/>
      <c r="J88" s="863">
        <f>H88/DAY(B2)</f>
        <v>-7044.5</v>
      </c>
      <c r="K88" s="889"/>
      <c r="L88" s="890"/>
      <c r="N88" s="542">
        <f>H88-'1'!E88</f>
        <v>-147172.96</v>
      </c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'30'!F89</f>
        <v>55725.1</v>
      </c>
      <c r="F89" s="784">
        <v>49989.9</v>
      </c>
      <c r="G89" s="861">
        <f t="shared" si="7"/>
        <v>-5735.1999999999971</v>
      </c>
      <c r="H89" s="600">
        <f>G89+'30'!H89</f>
        <v>-5632.7999999999956</v>
      </c>
      <c r="I89" s="789"/>
      <c r="J89" s="863">
        <f>H89/DAY(B2)</f>
        <v>-5632.7999999999956</v>
      </c>
      <c r="K89" s="889"/>
      <c r="L89" s="890"/>
      <c r="N89" s="542">
        <f>H89-'1'!E89</f>
        <v>-59728.6</v>
      </c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'30'!F90</f>
        <v>2888</v>
      </c>
      <c r="F90" s="784">
        <v>2639.9</v>
      </c>
      <c r="G90" s="861">
        <f t="shared" si="7"/>
        <v>-248.09999999999991</v>
      </c>
      <c r="H90" s="600">
        <f>G90+'30'!H90</f>
        <v>-241.29999999999973</v>
      </c>
      <c r="I90" s="789"/>
      <c r="J90" s="863">
        <f>H90/DAY(B2)</f>
        <v>-241.29999999999973</v>
      </c>
      <c r="K90" s="889"/>
      <c r="L90" s="890"/>
      <c r="N90" s="542">
        <f>H90-'1'!E90</f>
        <v>-3026.9999999999995</v>
      </c>
      <c r="O90" s="426"/>
    </row>
    <row r="91" spans="1:15" s="423" customFormat="1" ht="29.25">
      <c r="A91" s="747" t="s">
        <v>216</v>
      </c>
      <c r="B91" s="1310"/>
      <c r="C91" s="1310"/>
      <c r="D91" s="612"/>
      <c r="E91" s="612"/>
      <c r="F91" s="612"/>
      <c r="G91" s="628"/>
      <c r="H91" s="612"/>
      <c r="I91" s="612"/>
      <c r="J91" s="692"/>
      <c r="K91" s="424"/>
      <c r="L91" s="422"/>
      <c r="N91" s="542">
        <f>H91-'1'!E91</f>
        <v>0</v>
      </c>
      <c r="O91" s="426"/>
    </row>
    <row r="92" spans="1:15" ht="27.75">
      <c r="A92" s="1432" t="s">
        <v>217</v>
      </c>
      <c r="B92" s="1433"/>
      <c r="C92" s="1434"/>
      <c r="D92" s="663" t="s">
        <v>155</v>
      </c>
      <c r="E92" s="595">
        <f>'30'!F92</f>
        <v>230975</v>
      </c>
      <c r="F92" s="624">
        <v>226639</v>
      </c>
      <c r="G92" s="613">
        <f t="shared" ref="G92:G93" si="8">F92-E92</f>
        <v>-4336</v>
      </c>
      <c r="H92" s="600">
        <f>G92+'30'!H92</f>
        <v>-1956</v>
      </c>
      <c r="I92" s="620"/>
      <c r="J92" s="693">
        <f>H92/DAY(B2)</f>
        <v>-1956</v>
      </c>
      <c r="K92" s="528"/>
      <c r="L92" s="421"/>
      <c r="N92" s="542">
        <f>H92-'1'!E92</f>
        <v>-230606</v>
      </c>
      <c r="O92" s="426"/>
    </row>
    <row r="93" spans="1:15" ht="27.75">
      <c r="A93" s="1432" t="s">
        <v>218</v>
      </c>
      <c r="B93" s="1433"/>
      <c r="C93" s="1434"/>
      <c r="D93" s="663" t="s">
        <v>155</v>
      </c>
      <c r="E93" s="595">
        <f>'30'!F93</f>
        <v>162642</v>
      </c>
      <c r="F93" s="624">
        <v>152742</v>
      </c>
      <c r="G93" s="613">
        <f t="shared" si="8"/>
        <v>-9900</v>
      </c>
      <c r="H93" s="600">
        <f>G93+'30'!H93</f>
        <v>-5781</v>
      </c>
      <c r="I93" s="620"/>
      <c r="J93" s="693">
        <f>H93/DAY(B2)</f>
        <v>-5781</v>
      </c>
      <c r="K93" s="424"/>
      <c r="L93" s="421"/>
      <c r="N93" s="542">
        <f>H93-'1'!E93</f>
        <v>-164488</v>
      </c>
      <c r="O93" s="426"/>
    </row>
    <row r="94" spans="1:15" ht="29.25">
      <c r="A94" s="1460" t="s">
        <v>219</v>
      </c>
      <c r="B94" s="1461"/>
      <c r="C94" s="1462"/>
      <c r="D94" s="663"/>
      <c r="E94" s="624"/>
      <c r="F94" s="624"/>
      <c r="G94" s="613">
        <f>G92+G93</f>
        <v>-14236</v>
      </c>
      <c r="H94" s="600">
        <f>G94+'30'!H94</f>
        <v>-8027</v>
      </c>
      <c r="I94" s="620"/>
      <c r="J94" s="693">
        <f>H94/DAY(B2)</f>
        <v>-8027</v>
      </c>
      <c r="K94" s="424"/>
      <c r="L94" s="421"/>
      <c r="N94" s="542">
        <f>H94-'1'!E94</f>
        <v>-8027</v>
      </c>
      <c r="O94" s="426"/>
    </row>
    <row r="95" spans="1:15" ht="27.75">
      <c r="A95" s="1432" t="s">
        <v>220</v>
      </c>
      <c r="B95" s="1433"/>
      <c r="C95" s="1434"/>
      <c r="D95" s="663" t="s">
        <v>155</v>
      </c>
      <c r="E95" s="595">
        <f>'30'!F95</f>
        <v>401565</v>
      </c>
      <c r="F95" s="624">
        <v>397158</v>
      </c>
      <c r="G95" s="613">
        <f t="shared" ref="G95:G100" si="9">F95-E95</f>
        <v>-4407</v>
      </c>
      <c r="H95" s="600">
        <f>G95+'30'!H95</f>
        <v>-2689</v>
      </c>
      <c r="I95" s="620"/>
      <c r="J95" s="693">
        <f>H95/DAY(B2)</f>
        <v>-2689</v>
      </c>
      <c r="K95" s="424"/>
      <c r="L95" s="421"/>
      <c r="N95" s="542">
        <f>H95-'1'!E95</f>
        <v>-402575</v>
      </c>
      <c r="O95" s="426"/>
    </row>
    <row r="96" spans="1:15" ht="27.75">
      <c r="A96" s="1304" t="s">
        <v>221</v>
      </c>
      <c r="B96" s="1305"/>
      <c r="C96" s="1305"/>
      <c r="D96" s="663" t="s">
        <v>155</v>
      </c>
      <c r="E96" s="595">
        <f>'30'!F96</f>
        <v>99111</v>
      </c>
      <c r="F96" s="624">
        <v>97152</v>
      </c>
      <c r="G96" s="613">
        <f t="shared" si="9"/>
        <v>-1959</v>
      </c>
      <c r="H96" s="600">
        <f>G96+'30'!H96</f>
        <v>-857</v>
      </c>
      <c r="I96" s="620"/>
      <c r="J96" s="693">
        <f>H96/DAY(B2)</f>
        <v>-857</v>
      </c>
      <c r="K96" s="526"/>
      <c r="L96" s="421"/>
      <c r="N96" s="542">
        <f>H96-'1'!E96</f>
        <v>-98908</v>
      </c>
      <c r="O96" s="426"/>
    </row>
    <row r="97" spans="1:15" ht="27.75">
      <c r="A97" s="1304" t="s">
        <v>222</v>
      </c>
      <c r="B97" s="1305"/>
      <c r="C97" s="1305"/>
      <c r="D97" s="663" t="s">
        <v>155</v>
      </c>
      <c r="E97" s="595">
        <f>'30'!F97</f>
        <v>94272</v>
      </c>
      <c r="F97" s="624">
        <v>92659</v>
      </c>
      <c r="G97" s="613">
        <f t="shared" si="9"/>
        <v>-1613</v>
      </c>
      <c r="H97" s="600">
        <f>G97+'30'!H97</f>
        <v>-892</v>
      </c>
      <c r="I97" s="620"/>
      <c r="J97" s="693">
        <f>H97/DAY(B2)</f>
        <v>-892</v>
      </c>
      <c r="K97" s="531"/>
      <c r="L97" s="421"/>
      <c r="N97" s="542">
        <f>H97-'1'!E97</f>
        <v>-94457</v>
      </c>
      <c r="O97" s="426"/>
    </row>
    <row r="98" spans="1:15" ht="27.75">
      <c r="A98" s="1304" t="s">
        <v>223</v>
      </c>
      <c r="B98" s="1305"/>
      <c r="C98" s="1305"/>
      <c r="D98" s="663" t="s">
        <v>155</v>
      </c>
      <c r="E98" s="595">
        <f>'30'!F98</f>
        <v>142146</v>
      </c>
      <c r="F98" s="624">
        <v>139578</v>
      </c>
      <c r="G98" s="613">
        <f t="shared" si="9"/>
        <v>-2568</v>
      </c>
      <c r="H98" s="600">
        <f>G98+'30'!H98</f>
        <v>-1327</v>
      </c>
      <c r="I98" s="620"/>
      <c r="J98" s="693">
        <f>H98/DAY(B2)</f>
        <v>-1327</v>
      </c>
      <c r="K98" s="424"/>
      <c r="L98" s="421"/>
      <c r="N98" s="542">
        <f>H98-'1'!E98</f>
        <v>-142255</v>
      </c>
      <c r="O98" s="426"/>
    </row>
    <row r="99" spans="1:15" ht="27.75">
      <c r="A99" s="1304" t="s">
        <v>224</v>
      </c>
      <c r="B99" s="1305"/>
      <c r="C99" s="1305"/>
      <c r="D99" s="663" t="s">
        <v>155</v>
      </c>
      <c r="E99" s="595">
        <f>'30'!F99</f>
        <v>4968</v>
      </c>
      <c r="F99" s="624">
        <v>4286</v>
      </c>
      <c r="G99" s="613">
        <f t="shared" si="9"/>
        <v>-682</v>
      </c>
      <c r="H99" s="600">
        <f>G99+'30'!H99</f>
        <v>-422</v>
      </c>
      <c r="I99" s="620"/>
      <c r="J99" s="693">
        <f>H99/DAY(B2)</f>
        <v>-422</v>
      </c>
      <c r="K99" s="424"/>
      <c r="L99" s="421"/>
      <c r="N99" s="542">
        <f>H99-'1'!E99</f>
        <v>-5138</v>
      </c>
      <c r="O99" s="426"/>
    </row>
    <row r="100" spans="1:15" ht="27.75">
      <c r="A100" s="1304" t="s">
        <v>225</v>
      </c>
      <c r="B100" s="1305"/>
      <c r="C100" s="1305"/>
      <c r="D100" s="663" t="s">
        <v>155</v>
      </c>
      <c r="E100" s="595">
        <f>'30'!F100</f>
        <v>3674</v>
      </c>
      <c r="F100" s="624">
        <v>3674</v>
      </c>
      <c r="G100" s="613">
        <f t="shared" si="9"/>
        <v>0</v>
      </c>
      <c r="H100" s="600">
        <f>G100+'30'!H100</f>
        <v>0</v>
      </c>
      <c r="I100" s="620"/>
      <c r="J100" s="693">
        <f>H100/DAY(B2)</f>
        <v>0</v>
      </c>
      <c r="K100" s="424"/>
      <c r="L100" s="421"/>
      <c r="N100" s="542">
        <f>H100-'1'!E100</f>
        <v>-3674</v>
      </c>
      <c r="O100" s="426"/>
    </row>
    <row r="101" spans="1:15" ht="29.25">
      <c r="A101" s="1460" t="s">
        <v>227</v>
      </c>
      <c r="B101" s="1461"/>
      <c r="C101" s="1462"/>
      <c r="D101" s="664"/>
      <c r="E101" s="664"/>
      <c r="F101" s="664"/>
      <c r="G101" s="665">
        <f>SUM(G95:G100)</f>
        <v>-11229</v>
      </c>
      <c r="H101" s="600">
        <f>G101+'30'!H101</f>
        <v>-6187</v>
      </c>
      <c r="I101" s="666"/>
      <c r="J101" s="693">
        <f>H101/DAY(B2)</f>
        <v>-6187</v>
      </c>
      <c r="K101" s="424"/>
      <c r="L101" s="421"/>
      <c r="N101" s="542">
        <f>H101-'1'!E101</f>
        <v>-6187</v>
      </c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42">
        <f>H102-'1'!E102</f>
        <v>0</v>
      </c>
      <c r="O102" s="426"/>
    </row>
    <row r="103" spans="1:15" s="544" customFormat="1" ht="27.75">
      <c r="A103" s="1463" t="s">
        <v>229</v>
      </c>
      <c r="B103" s="1464"/>
      <c r="C103" s="714"/>
      <c r="D103" s="763"/>
      <c r="E103" s="672"/>
      <c r="F103" s="672"/>
      <c r="G103" s="672"/>
      <c r="H103" s="673"/>
      <c r="I103" s="672"/>
      <c r="J103" s="699"/>
      <c r="N103" s="542">
        <f>H103-'1'!E103</f>
        <v>0</v>
      </c>
      <c r="O103" s="426"/>
    </row>
    <row r="104" spans="1:15" s="544" customFormat="1" ht="27.75">
      <c r="A104" s="1421" t="s">
        <v>230</v>
      </c>
      <c r="B104" s="1422"/>
      <c r="C104" s="1303"/>
      <c r="D104" s="763" t="s">
        <v>155</v>
      </c>
      <c r="E104" s="672">
        <f>'30'!F104</f>
        <v>7010</v>
      </c>
      <c r="F104" s="672">
        <v>7010</v>
      </c>
      <c r="G104" s="672">
        <f>F104-E104</f>
        <v>0</v>
      </c>
      <c r="H104" s="600">
        <f>G104+'30'!H104</f>
        <v>60</v>
      </c>
      <c r="I104" s="672"/>
      <c r="J104" s="699">
        <f>H104/DAY(B2)</f>
        <v>60</v>
      </c>
      <c r="N104" s="542">
        <f>H104-'1'!E104</f>
        <v>-6950</v>
      </c>
      <c r="O104" s="426"/>
    </row>
    <row r="105" spans="1:15" s="544" customFormat="1" ht="27.75">
      <c r="A105" s="1421" t="s">
        <v>77</v>
      </c>
      <c r="B105" s="1422"/>
      <c r="C105" s="1303"/>
      <c r="D105" s="763" t="s">
        <v>155</v>
      </c>
      <c r="E105" s="672">
        <f>'30'!F105</f>
        <v>34676</v>
      </c>
      <c r="F105" s="674">
        <v>34308</v>
      </c>
      <c r="G105" s="672">
        <f t="shared" ref="G105:G106" si="10">F105-E105</f>
        <v>-368</v>
      </c>
      <c r="H105" s="600">
        <f>G105+'30'!H105</f>
        <v>-287</v>
      </c>
      <c r="I105" s="672"/>
      <c r="J105" s="699">
        <f>H105/DAY(B2)</f>
        <v>-287</v>
      </c>
      <c r="N105" s="542">
        <f>H105-'1'!E105</f>
        <v>-34802</v>
      </c>
      <c r="O105" s="426"/>
    </row>
    <row r="106" spans="1:15" s="544" customFormat="1" ht="27.75">
      <c r="A106" s="1421" t="s">
        <v>78</v>
      </c>
      <c r="B106" s="1465"/>
      <c r="C106" s="1422"/>
      <c r="D106" s="763" t="s">
        <v>155</v>
      </c>
      <c r="E106" s="672">
        <f>'30'!F106</f>
        <v>18740</v>
      </c>
      <c r="F106" s="672">
        <v>18444</v>
      </c>
      <c r="G106" s="672">
        <f t="shared" si="10"/>
        <v>-296</v>
      </c>
      <c r="H106" s="600">
        <f>G106+'30'!H106</f>
        <v>38</v>
      </c>
      <c r="I106" s="672"/>
      <c r="J106" s="699">
        <f>H106/DAY(B2)</f>
        <v>38</v>
      </c>
      <c r="N106" s="542">
        <f>H106-'1'!E106</f>
        <v>-18588</v>
      </c>
      <c r="O106" s="426"/>
    </row>
    <row r="107" spans="1:15" s="544" customFormat="1" ht="27.75">
      <c r="A107" s="1423" t="s">
        <v>213</v>
      </c>
      <c r="B107" s="1424"/>
      <c r="C107" s="1303"/>
      <c r="D107" s="763"/>
      <c r="E107" s="672"/>
      <c r="F107" s="672"/>
      <c r="G107" s="672">
        <f>SUM(G104:G106)</f>
        <v>-664</v>
      </c>
      <c r="H107" s="600">
        <f>G107+'30'!H107</f>
        <v>-488</v>
      </c>
      <c r="I107" s="672"/>
      <c r="J107" s="699">
        <f>H107/DAY(B2)</f>
        <v>-488</v>
      </c>
      <c r="N107" s="542">
        <f>H107-'1'!E107</f>
        <v>-488</v>
      </c>
      <c r="O107" s="426"/>
    </row>
    <row r="108" spans="1:15" s="544" customFormat="1" ht="27.75">
      <c r="A108" s="1427" t="s">
        <v>79</v>
      </c>
      <c r="B108" s="1428"/>
      <c r="C108" s="1303"/>
      <c r="D108" s="763" t="s">
        <v>155</v>
      </c>
      <c r="E108" s="672"/>
      <c r="F108" s="672"/>
      <c r="G108" s="672"/>
      <c r="H108" s="600">
        <f>G108+'30'!H108</f>
        <v>0</v>
      </c>
      <c r="I108" s="672"/>
      <c r="J108" s="699"/>
      <c r="N108" s="542">
        <f>H108-'1'!E108</f>
        <v>0</v>
      </c>
      <c r="O108" s="426"/>
    </row>
    <row r="109" spans="1:15" s="544" customFormat="1" ht="27.75">
      <c r="A109" s="1421" t="s">
        <v>231</v>
      </c>
      <c r="B109" s="1422"/>
      <c r="C109" s="1303"/>
      <c r="D109" s="763" t="s">
        <v>155</v>
      </c>
      <c r="E109" s="672">
        <f>'30'!F109</f>
        <v>51282</v>
      </c>
      <c r="F109" s="672">
        <v>46636</v>
      </c>
      <c r="G109" s="672">
        <f>F109-E109</f>
        <v>-4646</v>
      </c>
      <c r="H109" s="600">
        <f>G109+'30'!H109</f>
        <v>-4505</v>
      </c>
      <c r="I109" s="672"/>
      <c r="J109" s="699">
        <f>H109/DAY(B2)</f>
        <v>-4505</v>
      </c>
      <c r="N109" s="542">
        <f>H109-'1'!E109</f>
        <v>-54131</v>
      </c>
      <c r="O109" s="426"/>
    </row>
    <row r="110" spans="1:15" s="544" customFormat="1" ht="27.75">
      <c r="A110" s="1421" t="s">
        <v>232</v>
      </c>
      <c r="B110" s="1422"/>
      <c r="C110" s="1303"/>
      <c r="D110" s="763" t="s">
        <v>155</v>
      </c>
      <c r="E110" s="672">
        <f>'30'!F110</f>
        <v>25329</v>
      </c>
      <c r="F110" s="672">
        <v>22859</v>
      </c>
      <c r="G110" s="672">
        <f t="shared" ref="G110:G111" si="11">F110-E110</f>
        <v>-2470</v>
      </c>
      <c r="H110" s="600">
        <f>G110+'30'!H110</f>
        <v>-2380.2599999999948</v>
      </c>
      <c r="I110" s="672"/>
      <c r="J110" s="699">
        <f>H110/DAY(B2)</f>
        <v>-2380.2599999999948</v>
      </c>
      <c r="N110" s="542">
        <f>H110-'1'!E110</f>
        <v>-26486.259999999995</v>
      </c>
      <c r="O110" s="426"/>
    </row>
    <row r="111" spans="1:15" s="544" customFormat="1" ht="27.75">
      <c r="A111" s="1421" t="s">
        <v>233</v>
      </c>
      <c r="B111" s="1422"/>
      <c r="C111" s="1303"/>
      <c r="D111" s="763" t="s">
        <v>155</v>
      </c>
      <c r="E111" s="672">
        <f>'30'!F111</f>
        <v>3385</v>
      </c>
      <c r="F111" s="672">
        <v>3065</v>
      </c>
      <c r="G111" s="672">
        <f t="shared" si="11"/>
        <v>-320</v>
      </c>
      <c r="H111" s="600">
        <f>G111+'30'!H111</f>
        <v>138</v>
      </c>
      <c r="I111" s="672"/>
      <c r="J111" s="699">
        <f>H111/DAY(B2)</f>
        <v>138</v>
      </c>
      <c r="N111" s="542">
        <f>H111-'1'!E111</f>
        <v>-3063</v>
      </c>
      <c r="O111" s="426"/>
    </row>
    <row r="112" spans="1:15" s="544" customFormat="1" ht="27.75">
      <c r="A112" s="1425" t="s">
        <v>121</v>
      </c>
      <c r="B112" s="1426"/>
      <c r="C112" s="1303"/>
      <c r="D112" s="763"/>
      <c r="E112" s="672"/>
      <c r="F112" s="672"/>
      <c r="G112" s="672">
        <f>SUM(G109:G111)</f>
        <v>-7436</v>
      </c>
      <c r="H112" s="600">
        <f>G112+'30'!H112</f>
        <v>-6705</v>
      </c>
      <c r="I112" s="672"/>
      <c r="J112" s="699">
        <f>H112/DAY(B2)</f>
        <v>-6705</v>
      </c>
      <c r="N112" s="542">
        <f>H112-'1'!E112</f>
        <v>-6705</v>
      </c>
      <c r="O112" s="426"/>
    </row>
    <row r="113" spans="1:15" s="544" customFormat="1" ht="27.75">
      <c r="A113" s="1427" t="s">
        <v>234</v>
      </c>
      <c r="B113" s="1428"/>
      <c r="C113" s="1303"/>
      <c r="D113" s="763"/>
      <c r="E113" s="672"/>
      <c r="F113" s="672"/>
      <c r="G113" s="672"/>
      <c r="H113" s="600">
        <f>G113+'30'!H113</f>
        <v>0</v>
      </c>
      <c r="I113" s="672"/>
      <c r="J113" s="699">
        <f>H113/DAY(B2)</f>
        <v>0</v>
      </c>
      <c r="N113" s="542">
        <f>H113-'1'!E113</f>
        <v>0</v>
      </c>
      <c r="O113" s="426"/>
    </row>
    <row r="114" spans="1:15" s="544" customFormat="1" ht="27.75">
      <c r="A114" s="1421" t="s">
        <v>235</v>
      </c>
      <c r="B114" s="1422"/>
      <c r="C114" s="715"/>
      <c r="D114" s="763" t="s">
        <v>155</v>
      </c>
      <c r="E114" s="672">
        <f>'30'!F114</f>
        <v>8601</v>
      </c>
      <c r="F114" s="674">
        <v>7734</v>
      </c>
      <c r="G114" s="674">
        <f>F114-E114</f>
        <v>-867</v>
      </c>
      <c r="H114" s="600">
        <f>G114+'30'!H114</f>
        <v>-847</v>
      </c>
      <c r="I114" s="672"/>
      <c r="J114" s="699">
        <f>H114/DAY(B2)</f>
        <v>-847</v>
      </c>
      <c r="N114" s="542">
        <f>H114-'1'!E114</f>
        <v>-9129</v>
      </c>
      <c r="O114" s="426"/>
    </row>
    <row r="115" spans="1:15" s="544" customFormat="1" ht="27.75">
      <c r="A115" s="1421" t="s">
        <v>236</v>
      </c>
      <c r="B115" s="1422"/>
      <c r="C115" s="715"/>
      <c r="D115" s="763" t="s">
        <v>155</v>
      </c>
      <c r="E115" s="672">
        <f>'30'!F115</f>
        <v>6817</v>
      </c>
      <c r="F115" s="674">
        <v>6223</v>
      </c>
      <c r="G115" s="674">
        <f t="shared" ref="G115:G116" si="12">F115-E115</f>
        <v>-594</v>
      </c>
      <c r="H115" s="600">
        <f>G115+'30'!H115</f>
        <v>-483</v>
      </c>
      <c r="I115" s="672"/>
      <c r="J115" s="699">
        <f>H115/DAY(B2)</f>
        <v>-483</v>
      </c>
      <c r="N115" s="542">
        <f>H115-'1'!E115</f>
        <v>-7027</v>
      </c>
      <c r="O115" s="426"/>
    </row>
    <row r="116" spans="1:15" s="544" customFormat="1" ht="27.75">
      <c r="A116" s="1421" t="s">
        <v>237</v>
      </c>
      <c r="B116" s="1422"/>
      <c r="C116" s="715"/>
      <c r="D116" s="763" t="s">
        <v>155</v>
      </c>
      <c r="E116" s="674"/>
      <c r="F116" s="674"/>
      <c r="G116" s="674">
        <f t="shared" si="12"/>
        <v>0</v>
      </c>
      <c r="H116" s="600">
        <f>G116+'30'!H116</f>
        <v>185</v>
      </c>
      <c r="I116" s="672"/>
      <c r="J116" s="699">
        <f>H116/DAY(B2)</f>
        <v>185</v>
      </c>
      <c r="N116" s="542">
        <f>H116-'1'!E116</f>
        <v>185</v>
      </c>
      <c r="O116" s="426"/>
    </row>
    <row r="117" spans="1:15" s="557" customFormat="1" ht="27.75">
      <c r="A117" s="1423" t="s">
        <v>213</v>
      </c>
      <c r="B117" s="1424"/>
      <c r="C117" s="715"/>
      <c r="D117" s="764"/>
      <c r="E117" s="674"/>
      <c r="F117" s="674"/>
      <c r="G117" s="674">
        <f>SUM(G114:G116)</f>
        <v>-1461</v>
      </c>
      <c r="H117" s="600">
        <f>G117+'30'!H117</f>
        <v>-1387</v>
      </c>
      <c r="I117" s="674"/>
      <c r="J117" s="699">
        <f>H117/DAY(B2)</f>
        <v>-1387</v>
      </c>
      <c r="N117" s="542">
        <f>H117-'1'!E117</f>
        <v>-1387</v>
      </c>
      <c r="O117" s="426"/>
    </row>
    <row r="118" spans="1:15" s="558" customFormat="1" ht="27.75">
      <c r="A118" s="1417" t="s">
        <v>238</v>
      </c>
      <c r="B118" s="1418"/>
      <c r="C118" s="1302"/>
      <c r="D118" s="765" t="s">
        <v>155</v>
      </c>
      <c r="E118" s="676"/>
      <c r="F118" s="676">
        <f>SUM(G19+G92)</f>
        <v>-9312</v>
      </c>
      <c r="G118" s="676">
        <f>SUM(G19+G92)</f>
        <v>-9312</v>
      </c>
      <c r="H118" s="600">
        <f>G118+'30'!H118</f>
        <v>-9087</v>
      </c>
      <c r="I118" s="675"/>
      <c r="J118" s="700">
        <f>H118/DAY(B2)</f>
        <v>-9087</v>
      </c>
      <c r="N118" s="542">
        <f>H118-'1'!E118</f>
        <v>-366092</v>
      </c>
      <c r="O118" s="426"/>
    </row>
    <row r="119" spans="1:15" s="558" customFormat="1" ht="27.75">
      <c r="A119" s="1417" t="s">
        <v>239</v>
      </c>
      <c r="B119" s="1418"/>
      <c r="C119" s="1302"/>
      <c r="D119" s="765" t="s">
        <v>155</v>
      </c>
      <c r="E119" s="676"/>
      <c r="F119" s="676">
        <f>SUM(G95,G96,G97,G99,G100)</f>
        <v>-8661</v>
      </c>
      <c r="G119" s="676">
        <f>SUM(G95,G96,G97,G99,G100)</f>
        <v>-8661</v>
      </c>
      <c r="H119" s="600">
        <f>G119+'30'!H119</f>
        <v>-8456</v>
      </c>
      <c r="I119" s="675"/>
      <c r="J119" s="700">
        <f>H119/DAY(B2)</f>
        <v>-8456</v>
      </c>
      <c r="N119" s="542">
        <f>H119-'1'!E119</f>
        <v>-608476</v>
      </c>
      <c r="O119" s="426"/>
    </row>
    <row r="120" spans="1:15" s="558" customFormat="1" ht="27.75">
      <c r="A120" s="1417" t="s">
        <v>240</v>
      </c>
      <c r="B120" s="1418"/>
      <c r="C120" s="1302"/>
      <c r="D120" s="765" t="s">
        <v>155</v>
      </c>
      <c r="E120" s="674"/>
      <c r="F120" s="674">
        <f>SUM(G112)</f>
        <v>-7436</v>
      </c>
      <c r="G120" s="674">
        <f>SUM(G112)</f>
        <v>-7436</v>
      </c>
      <c r="H120" s="600">
        <f>G120+'30'!H120</f>
        <v>-7301</v>
      </c>
      <c r="I120" s="675"/>
      <c r="J120" s="700">
        <f>H120/DAY(B2)</f>
        <v>-7301</v>
      </c>
      <c r="N120" s="542">
        <f>H120-'1'!E120</f>
        <v>-7301</v>
      </c>
      <c r="O120" s="426"/>
    </row>
    <row r="121" spans="1:15" s="544" customFormat="1" ht="27.75">
      <c r="A121" s="1419"/>
      <c r="B121" s="1420"/>
      <c r="C121" s="1303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42" t="e">
        <f>H121-'1'!E121</f>
        <v>#VALUE!</v>
      </c>
      <c r="O121" s="426"/>
    </row>
    <row r="122" spans="1:15" ht="29.25">
      <c r="A122" s="1457" t="s">
        <v>241</v>
      </c>
      <c r="B122" s="1458"/>
      <c r="C122" s="1459"/>
      <c r="D122" s="612"/>
      <c r="E122" s="612"/>
      <c r="F122" s="612"/>
      <c r="G122" s="623"/>
      <c r="H122" s="623"/>
      <c r="I122" s="623"/>
      <c r="J122" s="704"/>
      <c r="K122" s="424"/>
      <c r="L122" s="421"/>
      <c r="N122" s="542">
        <f>H122-'1'!E122</f>
        <v>0</v>
      </c>
      <c r="O122" s="426"/>
    </row>
    <row r="123" spans="1:15" ht="27.75">
      <c r="A123" s="1304" t="s">
        <v>242</v>
      </c>
      <c r="B123" s="1305"/>
      <c r="C123" s="1305"/>
      <c r="D123" s="663" t="s">
        <v>152</v>
      </c>
      <c r="E123" s="595">
        <f>'30'!F123</f>
        <v>788831.07</v>
      </c>
      <c r="F123" s="618">
        <v>772625.42</v>
      </c>
      <c r="G123" s="613">
        <f t="shared" ref="G123:G127" si="13">F123-E123</f>
        <v>-16205.649999999907</v>
      </c>
      <c r="H123" s="600">
        <f>G123+'30'!H123</f>
        <v>-10299.466000000015</v>
      </c>
      <c r="I123" s="666"/>
      <c r="J123" s="693">
        <f>H123/DAY(B2)</f>
        <v>-10299.466000000015</v>
      </c>
      <c r="K123" s="424"/>
      <c r="L123" s="421"/>
      <c r="N123" s="542">
        <f>H123-'1'!E123</f>
        <v>-793224.35200000007</v>
      </c>
      <c r="O123" s="426"/>
    </row>
    <row r="124" spans="1:15" ht="27.75">
      <c r="A124" s="1304" t="s">
        <v>243</v>
      </c>
      <c r="B124" s="1305"/>
      <c r="C124" s="1305"/>
      <c r="D124" s="663" t="s">
        <v>152</v>
      </c>
      <c r="E124" s="595">
        <f>'30'!F124</f>
        <v>73582.2</v>
      </c>
      <c r="F124" s="767">
        <v>73581</v>
      </c>
      <c r="G124" s="613">
        <f t="shared" si="13"/>
        <v>-1.1999999999970896</v>
      </c>
      <c r="H124" s="600">
        <f>G124+'30'!H124</f>
        <v>0</v>
      </c>
      <c r="I124" s="666"/>
      <c r="J124" s="693">
        <f>H124/DAY(B2)</f>
        <v>0</v>
      </c>
      <c r="K124" s="424"/>
      <c r="L124" s="421"/>
      <c r="N124" s="542">
        <f>H124-'1'!E124</f>
        <v>-73581</v>
      </c>
      <c r="O124" s="426"/>
    </row>
    <row r="125" spans="1:15" ht="27.75">
      <c r="A125" s="1429" t="s">
        <v>244</v>
      </c>
      <c r="B125" s="1430"/>
      <c r="C125" s="1431"/>
      <c r="D125" s="663" t="s">
        <v>152</v>
      </c>
      <c r="E125" s="595">
        <f>'30'!F125</f>
        <v>133122.88</v>
      </c>
      <c r="F125" s="618">
        <v>127007</v>
      </c>
      <c r="G125" s="613">
        <f t="shared" si="13"/>
        <v>-6115.8800000000047</v>
      </c>
      <c r="H125" s="600">
        <f>G125+'30'!H125</f>
        <v>-4099.2200000000012</v>
      </c>
      <c r="I125" s="666"/>
      <c r="J125" s="693">
        <f>H125/DAY(B2)</f>
        <v>-4099.2200000000012</v>
      </c>
      <c r="K125" s="424"/>
      <c r="L125" s="421"/>
      <c r="N125" s="542">
        <f>H125-'1'!E125</f>
        <v>-135205.44</v>
      </c>
      <c r="O125" s="426"/>
    </row>
    <row r="126" spans="1:15" ht="27.75">
      <c r="A126" s="750" t="s">
        <v>245</v>
      </c>
      <c r="B126" s="1305"/>
      <c r="C126" s="1305"/>
      <c r="D126" s="663" t="s">
        <v>152</v>
      </c>
      <c r="E126" s="595">
        <f>'30'!F126</f>
        <v>56348.2</v>
      </c>
      <c r="F126" s="767">
        <v>54900</v>
      </c>
      <c r="G126" s="613">
        <f t="shared" si="13"/>
        <v>-1448.1999999999971</v>
      </c>
      <c r="H126" s="600">
        <f>G126+'30'!H126</f>
        <v>-685.80000000000291</v>
      </c>
      <c r="I126" s="666"/>
      <c r="J126" s="693">
        <f>H126/DAY(B2)</f>
        <v>-685.80000000000291</v>
      </c>
      <c r="K126" s="424"/>
      <c r="L126" s="421"/>
      <c r="N126" s="542">
        <f>H126-'1'!E126</f>
        <v>-56271.600000000006</v>
      </c>
      <c r="O126" s="426"/>
    </row>
    <row r="127" spans="1:15" ht="27.75">
      <c r="A127" s="750" t="s">
        <v>246</v>
      </c>
      <c r="B127" s="1305"/>
      <c r="C127" s="1305"/>
      <c r="D127" s="663" t="s">
        <v>152</v>
      </c>
      <c r="E127" s="595">
        <f>'30'!F127</f>
        <v>8640.1</v>
      </c>
      <c r="F127" s="767">
        <v>8639</v>
      </c>
      <c r="G127" s="613">
        <f t="shared" si="13"/>
        <v>-1.1000000000003638</v>
      </c>
      <c r="H127" s="600">
        <f>G127+'30'!H127</f>
        <v>0</v>
      </c>
      <c r="I127" s="620"/>
      <c r="J127" s="693">
        <f>H127/DAY(B2)</f>
        <v>0</v>
      </c>
      <c r="K127" s="424"/>
      <c r="L127" s="421"/>
      <c r="N127" s="542">
        <f>H127-'1'!E127</f>
        <v>-8639</v>
      </c>
      <c r="O127" s="426"/>
    </row>
    <row r="128" spans="1:15" s="292" customFormat="1" ht="27.75">
      <c r="A128" s="750" t="s">
        <v>247</v>
      </c>
      <c r="B128" s="1305"/>
      <c r="C128" s="1305"/>
      <c r="D128" s="663"/>
      <c r="E128" s="618"/>
      <c r="F128" s="618"/>
      <c r="G128" s="613">
        <f>G15-SUM(G123:G127)</f>
        <v>-20240.511000000064</v>
      </c>
      <c r="H128" s="600">
        <f>G128+'30'!H128</f>
        <v>-20240.511000000064</v>
      </c>
      <c r="I128" s="620"/>
      <c r="J128" s="693"/>
      <c r="K128" s="402"/>
      <c r="L128" s="304"/>
      <c r="N128" s="542">
        <f>H128-'1'!E128</f>
        <v>-20240.511000000064</v>
      </c>
      <c r="O128" s="426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04" t="s">
        <v>249</v>
      </c>
      <c r="B130" s="1305"/>
      <c r="C130" s="1305"/>
      <c r="D130" s="663" t="s">
        <v>250</v>
      </c>
      <c r="E130" s="595">
        <f>'30'!F130</f>
        <v>0</v>
      </c>
      <c r="F130" s="624">
        <v>0</v>
      </c>
      <c r="G130" s="613">
        <f t="shared" ref="G130:G140" si="14">F130-E130</f>
        <v>0</v>
      </c>
      <c r="H130" s="600">
        <f>G130+'30'!H130</f>
        <v>0</v>
      </c>
      <c r="I130" s="620"/>
      <c r="J130" s="693">
        <f>H130/DAY(B2)</f>
        <v>0</v>
      </c>
      <c r="O130" s="426"/>
    </row>
    <row r="131" spans="1:15" ht="27.75">
      <c r="A131" s="1304" t="s">
        <v>251</v>
      </c>
      <c r="B131" s="1305"/>
      <c r="C131" s="1305"/>
      <c r="D131" s="663" t="s">
        <v>250</v>
      </c>
      <c r="E131" s="595">
        <f>'30'!F131</f>
        <v>0</v>
      </c>
      <c r="F131" s="624">
        <v>0</v>
      </c>
      <c r="G131" s="613">
        <f t="shared" si="14"/>
        <v>0</v>
      </c>
      <c r="H131" s="600">
        <f>G131+'30'!H131</f>
        <v>0</v>
      </c>
      <c r="I131" s="620"/>
      <c r="J131" s="693">
        <f>H131/DAY(B2)</f>
        <v>0</v>
      </c>
      <c r="O131" s="426"/>
    </row>
    <row r="132" spans="1:15" ht="27.75">
      <c r="A132" s="1304" t="s">
        <v>252</v>
      </c>
      <c r="B132" s="1305"/>
      <c r="C132" s="1305"/>
      <c r="D132" s="663" t="s">
        <v>250</v>
      </c>
      <c r="E132" s="595">
        <f>'30'!F132</f>
        <v>38877</v>
      </c>
      <c r="F132" s="682">
        <v>38829</v>
      </c>
      <c r="G132" s="613">
        <f t="shared" si="14"/>
        <v>-48</v>
      </c>
      <c r="H132" s="600">
        <f>G132+'30'!H132</f>
        <v>-48</v>
      </c>
      <c r="I132" s="620"/>
      <c r="J132" s="693">
        <f>H132/DAY(B2)</f>
        <v>-48</v>
      </c>
      <c r="O132" s="426"/>
    </row>
    <row r="133" spans="1:15" ht="27.75">
      <c r="A133" s="1304" t="s">
        <v>253</v>
      </c>
      <c r="B133" s="1305"/>
      <c r="C133" s="1305"/>
      <c r="D133" s="663" t="s">
        <v>250</v>
      </c>
      <c r="E133" s="595">
        <f>'30'!F133</f>
        <v>34948</v>
      </c>
      <c r="F133" s="682">
        <v>33647.339999999997</v>
      </c>
      <c r="G133" s="613">
        <f t="shared" si="14"/>
        <v>-1300.6600000000035</v>
      </c>
      <c r="H133" s="600">
        <f>G133+'30'!H133</f>
        <v>-1300.6600000000035</v>
      </c>
      <c r="I133" s="620">
        <f>G130+G131+G132+G133</f>
        <v>-1348.6600000000035</v>
      </c>
      <c r="J133" s="693">
        <f>H133/DAY(B2)</f>
        <v>-1300.6600000000035</v>
      </c>
      <c r="O133" s="426"/>
    </row>
    <row r="134" spans="1:15" ht="27.75">
      <c r="A134" s="1304" t="s">
        <v>254</v>
      </c>
      <c r="B134" s="1305"/>
      <c r="C134" s="1305"/>
      <c r="D134" s="663" t="s">
        <v>250</v>
      </c>
      <c r="E134" s="595">
        <f>'30'!F134</f>
        <v>39735</v>
      </c>
      <c r="F134" s="682">
        <v>39736.269999999997</v>
      </c>
      <c r="G134" s="613">
        <f t="shared" si="14"/>
        <v>1.2699999999967986</v>
      </c>
      <c r="H134" s="600">
        <f>G134+'30'!H134</f>
        <v>25.269999999996799</v>
      </c>
      <c r="I134" s="620"/>
      <c r="J134" s="693">
        <f>H134/DAY(B2)</f>
        <v>25.269999999996799</v>
      </c>
      <c r="O134" s="426"/>
    </row>
    <row r="135" spans="1:15" ht="27.75">
      <c r="A135" s="1304" t="s">
        <v>255</v>
      </c>
      <c r="B135" s="1305"/>
      <c r="C135" s="1305"/>
      <c r="D135" s="663" t="s">
        <v>250</v>
      </c>
      <c r="E135" s="595">
        <f>'30'!F135</f>
        <v>31716.43</v>
      </c>
      <c r="F135" s="682">
        <v>30814.07</v>
      </c>
      <c r="G135" s="613">
        <f t="shared" si="14"/>
        <v>-902.36000000000058</v>
      </c>
      <c r="H135" s="600">
        <f>G135+'30'!H135</f>
        <v>-720.95999999999913</v>
      </c>
      <c r="I135" s="620"/>
      <c r="J135" s="693">
        <f>H135/DAY(B2)</f>
        <v>-720.95999999999913</v>
      </c>
      <c r="O135" s="426"/>
    </row>
    <row r="136" spans="1:15" ht="27.75">
      <c r="A136" s="1304" t="s">
        <v>256</v>
      </c>
      <c r="B136" s="1305"/>
      <c r="C136" s="1305"/>
      <c r="D136" s="663" t="s">
        <v>250</v>
      </c>
      <c r="E136" s="595">
        <f>'30'!F136</f>
        <v>21674.720000000001</v>
      </c>
      <c r="F136" s="682">
        <v>21522.36</v>
      </c>
      <c r="G136" s="613">
        <f t="shared" si="14"/>
        <v>-152.36000000000058</v>
      </c>
      <c r="H136" s="600">
        <f>G136+'30'!H136</f>
        <v>-75.669999999998254</v>
      </c>
      <c r="I136" s="620">
        <f>G134+G135+G136</f>
        <v>-1053.4500000000044</v>
      </c>
      <c r="J136" s="693">
        <f>H136/DAY(B2)</f>
        <v>-75.669999999998254</v>
      </c>
      <c r="O136" s="426"/>
    </row>
    <row r="137" spans="1:15" ht="27.75">
      <c r="A137" s="1304" t="s">
        <v>257</v>
      </c>
      <c r="B137" s="1305"/>
      <c r="C137" s="1305"/>
      <c r="D137" s="663" t="s">
        <v>250</v>
      </c>
      <c r="E137" s="595">
        <f>'30'!F137</f>
        <v>24932.51</v>
      </c>
      <c r="F137" s="682">
        <v>24838.560000000001</v>
      </c>
      <c r="G137" s="613">
        <f t="shared" si="14"/>
        <v>-93.94999999999709</v>
      </c>
      <c r="H137" s="600">
        <f>G137+'30'!H137</f>
        <v>-82.409999999999854</v>
      </c>
      <c r="I137" s="620"/>
      <c r="J137" s="693">
        <f>H137/DAY(B2)</f>
        <v>-82.409999999999854</v>
      </c>
      <c r="O137" s="426"/>
    </row>
    <row r="138" spans="1:15" ht="27.75">
      <c r="A138" s="1304" t="s">
        <v>258</v>
      </c>
      <c r="B138" s="1305"/>
      <c r="C138" s="1305"/>
      <c r="D138" s="663" t="s">
        <v>250</v>
      </c>
      <c r="E138" s="595">
        <f>'30'!F138</f>
        <v>69955.210000000006</v>
      </c>
      <c r="F138" s="682">
        <v>69718.210000000006</v>
      </c>
      <c r="G138" s="613">
        <f t="shared" si="14"/>
        <v>-237</v>
      </c>
      <c r="H138" s="600">
        <f>G138+'30'!H138</f>
        <v>-210.69999999999709</v>
      </c>
      <c r="I138" s="620">
        <f>G137+G138</f>
        <v>-330.94999999999709</v>
      </c>
      <c r="J138" s="693">
        <f>H138/DAY(B2)</f>
        <v>-210.69999999999709</v>
      </c>
      <c r="O138" s="426"/>
    </row>
    <row r="139" spans="1:15" ht="27.75">
      <c r="A139" s="1304" t="s">
        <v>259</v>
      </c>
      <c r="B139" s="1305"/>
      <c r="C139" s="1305"/>
      <c r="D139" s="663" t="s">
        <v>250</v>
      </c>
      <c r="E139" s="595">
        <f>'30'!F139</f>
        <v>941.53</v>
      </c>
      <c r="F139" s="624">
        <v>519.1</v>
      </c>
      <c r="G139" s="613">
        <f t="shared" si="14"/>
        <v>-422.42999999999995</v>
      </c>
      <c r="H139" s="600">
        <f>G139+'30'!H139</f>
        <v>-257.32999999999993</v>
      </c>
      <c r="I139" s="683"/>
      <c r="J139" s="693">
        <f>H139/DAY(B2)</f>
        <v>-257.32999999999993</v>
      </c>
      <c r="O139" s="426"/>
    </row>
    <row r="140" spans="1:15" ht="27.75">
      <c r="A140" s="1304" t="s">
        <v>260</v>
      </c>
      <c r="B140" s="1305"/>
      <c r="C140" s="1305"/>
      <c r="D140" s="663" t="s">
        <v>250</v>
      </c>
      <c r="E140" s="595">
        <f>'30'!F140</f>
        <v>4156.8999999999996</v>
      </c>
      <c r="F140" s="624">
        <v>4113.08</v>
      </c>
      <c r="G140" s="613">
        <f t="shared" si="14"/>
        <v>-43.819999999999709</v>
      </c>
      <c r="H140" s="600">
        <f>G140+'30'!H140</f>
        <v>-41.190000000000509</v>
      </c>
      <c r="I140" s="683"/>
      <c r="J140" s="693">
        <f>H140/DAY(B2)</f>
        <v>-41.190000000000509</v>
      </c>
      <c r="O140" s="426"/>
    </row>
    <row r="141" spans="1:15" ht="29.25">
      <c r="A141" s="1438" t="s">
        <v>261</v>
      </c>
      <c r="B141" s="1439"/>
      <c r="C141" s="1310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32" t="s">
        <v>262</v>
      </c>
      <c r="B142" s="1433"/>
      <c r="C142" s="1434"/>
      <c r="D142" s="663" t="s">
        <v>143</v>
      </c>
      <c r="E142" s="663"/>
      <c r="F142" s="663"/>
      <c r="G142" s="600">
        <f>G35+G43+G49+G57</f>
        <v>-400206.66700000007</v>
      </c>
      <c r="H142" s="600">
        <f>G142+'30'!H142</f>
        <v>-253794.74099999992</v>
      </c>
      <c r="I142" s="620"/>
      <c r="J142" s="693">
        <f>H142/DAY(B2)</f>
        <v>-253794.74099999992</v>
      </c>
      <c r="K142" s="424"/>
      <c r="L142" s="421"/>
      <c r="O142" s="426"/>
    </row>
    <row r="143" spans="1:15" ht="27.75">
      <c r="A143" s="1432" t="s">
        <v>263</v>
      </c>
      <c r="B143" s="1433"/>
      <c r="C143" s="1434"/>
      <c r="D143" s="663" t="s">
        <v>24</v>
      </c>
      <c r="E143" s="651"/>
      <c r="F143" s="651"/>
      <c r="G143" s="684">
        <f>G142/G7</f>
        <v>0.25353589703142415</v>
      </c>
      <c r="H143" s="600">
        <f>G143+'30'!H143</f>
        <v>7.6110956775301677</v>
      </c>
      <c r="I143" s="685"/>
      <c r="J143" s="693">
        <f>H143/DAY(B2)</f>
        <v>7.6110956775301677</v>
      </c>
      <c r="K143" s="424"/>
      <c r="L143" s="421"/>
      <c r="O143" s="426"/>
    </row>
    <row r="144" spans="1:15" ht="27.75">
      <c r="A144" s="1432" t="s">
        <v>264</v>
      </c>
      <c r="B144" s="1433"/>
      <c r="C144" s="1434"/>
      <c r="D144" s="663" t="s">
        <v>143</v>
      </c>
      <c r="E144" s="595"/>
      <c r="F144" s="595"/>
      <c r="G144" s="600">
        <f>G41+G42+G55+G56</f>
        <v>-399402.1100000001</v>
      </c>
      <c r="H144" s="600">
        <f>G144+'30'!H144</f>
        <v>-268243.8</v>
      </c>
      <c r="I144" s="620"/>
      <c r="J144" s="693">
        <f>H144/DAY(B2)</f>
        <v>-268243.8</v>
      </c>
      <c r="K144" s="424"/>
      <c r="L144" s="421"/>
      <c r="O144" s="426"/>
    </row>
    <row r="145" spans="1:15" ht="27.75">
      <c r="A145" s="1432" t="s">
        <v>265</v>
      </c>
      <c r="B145" s="1433"/>
      <c r="C145" s="1434"/>
      <c r="D145" s="663" t="s">
        <v>24</v>
      </c>
      <c r="E145" s="595"/>
      <c r="F145" s="595"/>
      <c r="G145" s="684">
        <f>G144/G7</f>
        <v>0.25302620017345578</v>
      </c>
      <c r="H145" s="600">
        <f>G145+'30'!H145</f>
        <v>7.0027413745384255</v>
      </c>
      <c r="I145" s="685"/>
      <c r="J145" s="693">
        <f>H145/DAY(B2)</f>
        <v>7.0027413745384255</v>
      </c>
      <c r="K145" s="424"/>
      <c r="L145" s="421"/>
      <c r="O145" s="426"/>
    </row>
    <row r="146" spans="1:15" ht="27.75">
      <c r="A146" s="1432" t="s">
        <v>266</v>
      </c>
      <c r="B146" s="1433"/>
      <c r="C146" s="1434"/>
      <c r="D146" s="663" t="s">
        <v>143</v>
      </c>
      <c r="E146" s="595"/>
      <c r="F146" s="595"/>
      <c r="G146" s="600">
        <f>G39+G53</f>
        <v>-268496.85699999996</v>
      </c>
      <c r="H146" s="600">
        <f>G146+'30'!H146</f>
        <v>-171844.55999999991</v>
      </c>
      <c r="I146" s="686"/>
      <c r="J146" s="693">
        <f>H146/DAY(B2)</f>
        <v>-171844.55999999991</v>
      </c>
      <c r="K146" s="424"/>
      <c r="L146" s="421"/>
      <c r="O146" s="426"/>
    </row>
    <row r="147" spans="1:15" ht="27.75">
      <c r="A147" s="1432" t="s">
        <v>267</v>
      </c>
      <c r="B147" s="1433"/>
      <c r="C147" s="1434"/>
      <c r="D147" s="663" t="s">
        <v>24</v>
      </c>
      <c r="E147" s="595"/>
      <c r="F147" s="595"/>
      <c r="G147" s="684">
        <f>G146/G7</f>
        <v>0.17009609559955929</v>
      </c>
      <c r="H147" s="600">
        <f>G147+'30'!H147</f>
        <v>5.1085021385068092</v>
      </c>
      <c r="I147" s="686"/>
      <c r="J147" s="693">
        <f>H147/DAY(B2)</f>
        <v>5.1085021385068092</v>
      </c>
      <c r="O147" s="426"/>
    </row>
    <row r="148" spans="1:15" ht="27.75">
      <c r="A148" s="1432" t="s">
        <v>268</v>
      </c>
      <c r="B148" s="1433"/>
      <c r="C148" s="1434"/>
      <c r="D148" s="663" t="s">
        <v>194</v>
      </c>
      <c r="E148" s="595"/>
      <c r="F148" s="595"/>
      <c r="G148" s="600">
        <f>G38+G52</f>
        <v>-132094.94</v>
      </c>
      <c r="H148" s="600">
        <f>G148+'30'!H148</f>
        <v>-79637.200000000012</v>
      </c>
      <c r="I148" s="620"/>
      <c r="J148" s="693">
        <f>H148/DAY(B2)</f>
        <v>-79637.200000000012</v>
      </c>
      <c r="K148" s="425"/>
      <c r="O148" s="426"/>
    </row>
    <row r="149" spans="1:15" ht="27.75">
      <c r="A149" s="1432" t="s">
        <v>269</v>
      </c>
      <c r="B149" s="1433"/>
      <c r="C149" s="1434"/>
      <c r="D149" s="663" t="s">
        <v>24</v>
      </c>
      <c r="E149" s="595"/>
      <c r="F149" s="595"/>
      <c r="G149" s="684">
        <f>G148/G7</f>
        <v>8.3683786072989499E-2</v>
      </c>
      <c r="H149" s="600">
        <f>G149+'30'!H149</f>
        <v>2.7827003417824674</v>
      </c>
      <c r="I149" s="686"/>
      <c r="J149" s="693">
        <f>H149/DAY(B2)</f>
        <v>2.7827003417824674</v>
      </c>
      <c r="O149" s="426"/>
    </row>
    <row r="150" spans="1:15" ht="27.75">
      <c r="A150" s="1432" t="s">
        <v>270</v>
      </c>
      <c r="B150" s="1433"/>
      <c r="C150" s="1434"/>
      <c r="D150" s="663" t="s">
        <v>194</v>
      </c>
      <c r="E150" s="595"/>
      <c r="F150" s="595"/>
      <c r="G150" s="600">
        <f>G36+G50</f>
        <v>-147778.56000000006</v>
      </c>
      <c r="H150" s="600">
        <f>G150+'30'!H150</f>
        <v>-97890.260000000038</v>
      </c>
      <c r="I150" s="686"/>
      <c r="J150" s="693">
        <f>H150/DAY(B2)</f>
        <v>-97890.260000000038</v>
      </c>
      <c r="O150" s="426"/>
    </row>
    <row r="151" spans="1:15" ht="27.75">
      <c r="A151" s="1432" t="s">
        <v>271</v>
      </c>
      <c r="B151" s="1433"/>
      <c r="C151" s="1434"/>
      <c r="D151" s="663" t="s">
        <v>24</v>
      </c>
      <c r="E151" s="595"/>
      <c r="F151" s="595"/>
      <c r="G151" s="684">
        <f>G150/G7</f>
        <v>9.3619554247985945E-2</v>
      </c>
      <c r="H151" s="600">
        <f>G151+'30'!H151</f>
        <v>2.6562462878987447</v>
      </c>
      <c r="I151" s="620"/>
      <c r="J151" s="693">
        <f>H151/DAY(B2)</f>
        <v>2.6562462878987447</v>
      </c>
      <c r="O151" s="426"/>
    </row>
    <row r="152" spans="1:15" ht="27.75">
      <c r="A152" s="1432" t="s">
        <v>272</v>
      </c>
      <c r="B152" s="1433"/>
      <c r="C152" s="1434"/>
      <c r="D152" s="663" t="s">
        <v>194</v>
      </c>
      <c r="E152" s="595"/>
      <c r="F152" s="595"/>
      <c r="G152" s="600">
        <f>G37+G51</f>
        <v>-121182.09699999998</v>
      </c>
      <c r="H152" s="600">
        <f>G152+'30'!H152</f>
        <v>-78664.748099999968</v>
      </c>
      <c r="I152" s="620"/>
      <c r="J152" s="693">
        <f>H152/DAY(B2)</f>
        <v>-78664.748099999968</v>
      </c>
      <c r="O152" s="426"/>
    </row>
    <row r="153" spans="1:15" ht="28.5" thickBot="1">
      <c r="A153" s="1435" t="s">
        <v>273</v>
      </c>
      <c r="B153" s="1436"/>
      <c r="C153" s="1437"/>
      <c r="D153" s="766" t="s">
        <v>24</v>
      </c>
      <c r="E153" s="706"/>
      <c r="F153" s="706"/>
      <c r="G153" s="707">
        <f>G152/G7</f>
        <v>7.6770364415353537E-2</v>
      </c>
      <c r="H153" s="600">
        <f>G153+'30'!H153</f>
        <v>2.2696854872697041</v>
      </c>
      <c r="I153" s="709"/>
      <c r="J153" s="710">
        <f>H153/DAY(B2)</f>
        <v>2.2696854872697041</v>
      </c>
      <c r="O153" s="426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946" t="s">
        <v>274</v>
      </c>
      <c r="B160" s="947"/>
      <c r="C160" s="947"/>
      <c r="D160" s="651" t="s">
        <v>198</v>
      </c>
      <c r="E160" s="595">
        <f>'30'!F160</f>
        <v>23840.938999999998</v>
      </c>
      <c r="F160" s="795">
        <v>17149.52</v>
      </c>
      <c r="G160" s="613">
        <f t="shared" ref="G160:G163" si="15">F160-E160</f>
        <v>-6691.4189999999981</v>
      </c>
    </row>
    <row r="161" spans="1:7" ht="29.25">
      <c r="A161" s="946" t="s">
        <v>275</v>
      </c>
      <c r="B161" s="947"/>
      <c r="C161" s="947"/>
      <c r="D161" s="651" t="s">
        <v>198</v>
      </c>
      <c r="E161" s="595">
        <f>'30'!F161</f>
        <v>10456.816999999999</v>
      </c>
      <c r="F161" s="795">
        <v>6795.93</v>
      </c>
      <c r="G161" s="613">
        <f t="shared" si="15"/>
        <v>-3660.8869999999988</v>
      </c>
    </row>
    <row r="162" spans="1:7" ht="29.25">
      <c r="A162" s="946" t="s">
        <v>276</v>
      </c>
      <c r="B162" s="947"/>
      <c r="C162" s="947"/>
      <c r="D162" s="651" t="s">
        <v>198</v>
      </c>
      <c r="E162" s="595">
        <f>'30'!F162</f>
        <v>37377.730000000003</v>
      </c>
      <c r="F162" s="795">
        <v>8620.3700000000008</v>
      </c>
      <c r="G162" s="613">
        <f t="shared" si="15"/>
        <v>-28757.360000000001</v>
      </c>
    </row>
    <row r="163" spans="1:7" ht="29.25">
      <c r="A163" s="946" t="s">
        <v>277</v>
      </c>
      <c r="B163" s="947"/>
      <c r="C163" s="947"/>
      <c r="D163" s="651" t="s">
        <v>198</v>
      </c>
      <c r="E163" s="595">
        <f>'30'!F163</f>
        <v>3495.39</v>
      </c>
      <c r="F163" s="795">
        <v>1875.93</v>
      </c>
      <c r="G163" s="613">
        <f t="shared" si="15"/>
        <v>-1619.4599999999998</v>
      </c>
    </row>
    <row r="164" spans="1:7" ht="29.25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20419.188999999998</v>
      </c>
      <c r="G164" s="613">
        <f t="shared" ref="G164:G171" si="16">F164-E164</f>
        <v>8.9999999981955625E-3</v>
      </c>
    </row>
    <row r="165" spans="1:7" ht="29.25">
      <c r="A165" s="948" t="s">
        <v>199</v>
      </c>
      <c r="B165" s="745"/>
      <c r="C165" s="745"/>
      <c r="D165" s="651" t="s">
        <v>198</v>
      </c>
      <c r="E165" s="654">
        <f t="shared" ref="E165:E171" si="17">E63</f>
        <v>856.37</v>
      </c>
      <c r="F165" s="654">
        <f t="shared" ref="F165:F171" si="18">F63</f>
        <v>14160.48</v>
      </c>
      <c r="G165" s="613">
        <f t="shared" si="16"/>
        <v>13304.109999999999</v>
      </c>
    </row>
    <row r="166" spans="1:7" ht="27.75">
      <c r="A166" s="1404" t="s">
        <v>107</v>
      </c>
      <c r="B166" s="1404"/>
      <c r="C166" s="1404"/>
      <c r="D166" s="663" t="s">
        <v>198</v>
      </c>
      <c r="E166" s="654">
        <f t="shared" si="17"/>
        <v>86739.095000000001</v>
      </c>
      <c r="F166" s="654">
        <f t="shared" si="18"/>
        <v>59017.9</v>
      </c>
      <c r="G166" s="613">
        <f t="shared" si="16"/>
        <v>-27721.195</v>
      </c>
    </row>
    <row r="167" spans="1:7" ht="27.75">
      <c r="A167" s="1404" t="s">
        <v>108</v>
      </c>
      <c r="B167" s="1404"/>
      <c r="C167" s="1404"/>
      <c r="D167" s="663" t="s">
        <v>198</v>
      </c>
      <c r="E167" s="654">
        <f t="shared" si="17"/>
        <v>96635.982999999993</v>
      </c>
      <c r="F167" s="654">
        <f t="shared" si="18"/>
        <v>62010.36</v>
      </c>
      <c r="G167" s="613">
        <f t="shared" si="16"/>
        <v>-34625.622999999992</v>
      </c>
    </row>
    <row r="168" spans="1:7" ht="27.75">
      <c r="A168" s="1404" t="s">
        <v>109</v>
      </c>
      <c r="B168" s="1404"/>
      <c r="C168" s="1404"/>
      <c r="D168" s="663" t="s">
        <v>198</v>
      </c>
      <c r="E168" s="654">
        <f t="shared" si="17"/>
        <v>90004.846999999994</v>
      </c>
      <c r="F168" s="654">
        <f t="shared" si="18"/>
        <v>55847.47</v>
      </c>
      <c r="G168" s="613">
        <f t="shared" si="16"/>
        <v>-34157.376999999993</v>
      </c>
    </row>
    <row r="169" spans="1:7" ht="27.75">
      <c r="A169" s="1404" t="s">
        <v>110</v>
      </c>
      <c r="B169" s="1404"/>
      <c r="C169" s="1404"/>
      <c r="D169" s="663" t="s">
        <v>198</v>
      </c>
      <c r="E169" s="654">
        <f t="shared" si="17"/>
        <v>146042.04999999999</v>
      </c>
      <c r="F169" s="654">
        <f t="shared" si="18"/>
        <v>96613.97</v>
      </c>
      <c r="G169" s="613">
        <f t="shared" si="16"/>
        <v>-49428.079999999987</v>
      </c>
    </row>
    <row r="170" spans="1:7" ht="27.75">
      <c r="A170" s="1404" t="s">
        <v>111</v>
      </c>
      <c r="B170" s="1404"/>
      <c r="C170" s="1404"/>
      <c r="D170" s="663" t="s">
        <v>198</v>
      </c>
      <c r="E170" s="654">
        <f t="shared" si="17"/>
        <v>43175.078999999998</v>
      </c>
      <c r="F170" s="654">
        <f t="shared" si="18"/>
        <v>16650.509999999998</v>
      </c>
      <c r="G170" s="613">
        <f t="shared" si="16"/>
        <v>-26524.569</v>
      </c>
    </row>
    <row r="171" spans="1:7" ht="27.75">
      <c r="A171" s="1404" t="s">
        <v>112</v>
      </c>
      <c r="B171" s="1404"/>
      <c r="C171" s="1404"/>
      <c r="D171" s="663" t="s">
        <v>198</v>
      </c>
      <c r="E171" s="654">
        <f t="shared" si="17"/>
        <v>37555.567000000003</v>
      </c>
      <c r="F171" s="654">
        <f t="shared" si="18"/>
        <v>22398.71</v>
      </c>
      <c r="G171" s="613">
        <f t="shared" si="16"/>
        <v>-15156.857000000004</v>
      </c>
    </row>
    <row r="172" spans="1:7" ht="29.25">
      <c r="G172" s="680">
        <f>SUM(G160:G171)</f>
        <v>-215038.70799999993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88"/>
      <c r="B1" s="1388"/>
      <c r="C1" s="1388"/>
      <c r="D1" s="1388"/>
      <c r="E1" s="1388"/>
      <c r="F1" s="1388"/>
      <c r="G1" s="1388"/>
      <c r="H1" s="1388"/>
      <c r="I1" s="1388"/>
      <c r="J1" s="1388"/>
      <c r="K1" s="1388"/>
      <c r="L1" s="1388"/>
      <c r="M1" s="1388"/>
      <c r="N1" s="1388"/>
      <c r="O1" s="1388"/>
    </row>
    <row r="2" spans="1:15" ht="28.5" customHeight="1">
      <c r="A2" s="1" t="s">
        <v>0</v>
      </c>
      <c r="B2" s="1" t="s">
        <v>0</v>
      </c>
      <c r="C2" s="1280" t="s">
        <v>1</v>
      </c>
      <c r="D2" s="4" t="s">
        <v>4</v>
      </c>
      <c r="E2" s="1390" t="s">
        <v>7</v>
      </c>
      <c r="F2" s="1390"/>
      <c r="G2" s="1390"/>
      <c r="H2" s="1396" t="s">
        <v>15</v>
      </c>
      <c r="I2" s="1396"/>
      <c r="J2" s="1396"/>
      <c r="K2" s="1280" t="s">
        <v>16</v>
      </c>
      <c r="L2" s="1396" t="s">
        <v>17</v>
      </c>
      <c r="M2" s="1396"/>
      <c r="N2" s="1396"/>
      <c r="O2" s="1280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294</v>
      </c>
      <c r="O3" s="12"/>
    </row>
    <row r="4" spans="1:15">
      <c r="A4" s="16">
        <v>1</v>
      </c>
      <c r="B4" s="17">
        <v>1</v>
      </c>
      <c r="C4" s="18"/>
      <c r="D4" s="19">
        <f>'1'!F8</f>
        <v>2134072</v>
      </c>
      <c r="E4" s="19">
        <f>'1'!G96</f>
        <v>49</v>
      </c>
      <c r="F4" s="19">
        <f>'1'!F141</f>
        <v>0</v>
      </c>
      <c r="G4" s="21">
        <f>E4*F4</f>
        <v>0</v>
      </c>
      <c r="H4" s="19">
        <f>'1'!G68</f>
        <v>331.74599999999919</v>
      </c>
      <c r="I4" s="19">
        <f>'1'!G69</f>
        <v>278.85199999999895</v>
      </c>
      <c r="J4" s="19">
        <f>'1'!G70</f>
        <v>0</v>
      </c>
      <c r="K4" s="23">
        <f>H4+I4</f>
        <v>610.59799999999814</v>
      </c>
      <c r="L4" s="19">
        <f>'1'!G71</f>
        <v>0</v>
      </c>
      <c r="M4" s="19">
        <f>'1'!G72</f>
        <v>12</v>
      </c>
      <c r="N4" s="19">
        <v>0</v>
      </c>
      <c r="O4" s="23">
        <f>L4+M4+N4</f>
        <v>12</v>
      </c>
    </row>
    <row r="5" spans="1:15">
      <c r="A5" s="16">
        <v>2</v>
      </c>
      <c r="B5" s="26">
        <v>2</v>
      </c>
      <c r="C5" s="26"/>
      <c r="D5" s="19">
        <f>'2'!F8</f>
        <v>2153590</v>
      </c>
      <c r="E5" s="19">
        <f>'2'!G95</f>
        <v>62</v>
      </c>
      <c r="F5" s="19">
        <f>'2'!F122</f>
        <v>0</v>
      </c>
      <c r="G5" s="21">
        <f t="shared" ref="G5:G18" si="0">E5*F5</f>
        <v>0</v>
      </c>
      <c r="H5" s="19">
        <f>'2'!G68</f>
        <v>314.12000000000262</v>
      </c>
      <c r="I5" s="19">
        <f>'2'!G69</f>
        <v>253.11799999999857</v>
      </c>
      <c r="J5" s="19">
        <f>'2'!G70</f>
        <v>0</v>
      </c>
      <c r="K5" s="23">
        <f t="shared" ref="K5:K18" si="1">H5+I5</f>
        <v>567.23800000000119</v>
      </c>
      <c r="L5" s="19">
        <f>'2'!G71</f>
        <v>0</v>
      </c>
      <c r="M5" s="19">
        <f>'2'!G72</f>
        <v>9</v>
      </c>
      <c r="N5" s="19">
        <v>0</v>
      </c>
      <c r="O5" s="23">
        <f t="shared" ref="O5:O18" si="2">L5+M5+N5</f>
        <v>9</v>
      </c>
    </row>
    <row r="6" spans="1:15">
      <c r="A6" s="16">
        <v>3</v>
      </c>
      <c r="B6" s="26">
        <v>3</v>
      </c>
      <c r="C6" s="26"/>
      <c r="D6" s="19">
        <f>'4'!F8</f>
        <v>2189519</v>
      </c>
      <c r="E6" s="19">
        <f>'3'!G95</f>
        <v>39</v>
      </c>
      <c r="F6" s="19">
        <f>'3'!F122</f>
        <v>0</v>
      </c>
      <c r="G6" s="21">
        <f t="shared" si="0"/>
        <v>0</v>
      </c>
      <c r="H6" s="19">
        <f>'4'!G68</f>
        <v>292.50099999999657</v>
      </c>
      <c r="I6" s="19">
        <f>'4'!G69</f>
        <v>200.91899999999805</v>
      </c>
      <c r="J6" s="19">
        <f>'4'!G70</f>
        <v>0</v>
      </c>
      <c r="K6" s="23">
        <f t="shared" si="1"/>
        <v>493.41999999999462</v>
      </c>
      <c r="L6" s="19">
        <f>'4'!G71</f>
        <v>0</v>
      </c>
      <c r="M6" s="19">
        <f>'4'!G72</f>
        <v>5</v>
      </c>
      <c r="N6" s="19">
        <v>0</v>
      </c>
      <c r="O6" s="23">
        <f t="shared" si="2"/>
        <v>5</v>
      </c>
    </row>
    <row r="7" spans="1:15">
      <c r="A7" s="16">
        <v>4</v>
      </c>
      <c r="B7" s="27">
        <v>4</v>
      </c>
      <c r="C7" s="27"/>
      <c r="D7" s="19">
        <f>'3'!F8</f>
        <v>2171790</v>
      </c>
      <c r="E7" s="19">
        <f>'4'!G95</f>
        <v>39</v>
      </c>
      <c r="F7" s="19">
        <f>'1'!F141</f>
        <v>0</v>
      </c>
      <c r="G7" s="21">
        <f t="shared" si="0"/>
        <v>0</v>
      </c>
      <c r="H7" s="19">
        <f>'3'!G68</f>
        <v>301.08400000000256</v>
      </c>
      <c r="I7" s="19">
        <f>'3'!G69</f>
        <v>260.45600000000195</v>
      </c>
      <c r="J7" s="19">
        <f>'3'!G70</f>
        <v>0</v>
      </c>
      <c r="K7" s="23">
        <f t="shared" si="1"/>
        <v>561.54000000000451</v>
      </c>
      <c r="L7" s="19">
        <f>'3'!G71</f>
        <v>0</v>
      </c>
      <c r="M7" s="19">
        <f>'3'!G72</f>
        <v>2</v>
      </c>
      <c r="N7" s="19">
        <v>0</v>
      </c>
      <c r="O7" s="23">
        <f t="shared" si="2"/>
        <v>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2226361</v>
      </c>
      <c r="E9" s="19">
        <f>'6'!G95</f>
        <v>72</v>
      </c>
      <c r="F9" s="19">
        <f>'1'!F141</f>
        <v>0</v>
      </c>
      <c r="G9" s="21">
        <f t="shared" si="0"/>
        <v>0</v>
      </c>
      <c r="H9" s="19">
        <f>'6'!G68</f>
        <v>312.45599999999831</v>
      </c>
      <c r="I9" s="19">
        <f>'6'!G69</f>
        <v>210.43000000000029</v>
      </c>
      <c r="J9" s="19">
        <f>'6'!G70</f>
        <v>0</v>
      </c>
      <c r="K9" s="23">
        <f t="shared" si="1"/>
        <v>522.8859999999986</v>
      </c>
      <c r="L9" s="19">
        <f>'6'!G71</f>
        <v>0</v>
      </c>
      <c r="M9" s="19">
        <f>'6'!G72</f>
        <v>8</v>
      </c>
      <c r="N9" s="19">
        <v>0</v>
      </c>
      <c r="O9" s="23">
        <f t="shared" si="2"/>
        <v>8</v>
      </c>
    </row>
    <row r="10" spans="1:15">
      <c r="A10" s="16">
        <v>7</v>
      </c>
      <c r="B10" s="26">
        <v>7</v>
      </c>
      <c r="C10" s="27"/>
      <c r="D10" s="19">
        <f>'7'!F8</f>
        <v>2244938</v>
      </c>
      <c r="E10" s="19">
        <f>'7'!G95</f>
        <v>45</v>
      </c>
      <c r="F10" s="19">
        <f>'1'!F141</f>
        <v>0</v>
      </c>
      <c r="G10" s="21">
        <f t="shared" si="0"/>
        <v>0</v>
      </c>
      <c r="H10" s="19">
        <f>'7'!G68</f>
        <v>325.52400000000489</v>
      </c>
      <c r="I10" s="19">
        <f>'7'!G69</f>
        <v>278.01399999999921</v>
      </c>
      <c r="J10" s="19">
        <f>'7'!G70</f>
        <v>0</v>
      </c>
      <c r="K10" s="23">
        <f t="shared" si="1"/>
        <v>603.5380000000041</v>
      </c>
      <c r="L10" s="19">
        <f>'7'!G71</f>
        <v>0</v>
      </c>
      <c r="M10" s="19">
        <f>'7'!G72</f>
        <v>10</v>
      </c>
      <c r="N10" s="19">
        <v>0</v>
      </c>
      <c r="O10" s="23">
        <f t="shared" si="2"/>
        <v>10</v>
      </c>
    </row>
    <row r="11" spans="1:15">
      <c r="A11" s="16">
        <v>8</v>
      </c>
      <c r="B11" s="26">
        <v>8</v>
      </c>
      <c r="C11" s="18"/>
      <c r="D11" s="19">
        <f>'8'!F8</f>
        <v>2264584</v>
      </c>
      <c r="E11" s="19">
        <f>'8'!G95</f>
        <v>41</v>
      </c>
      <c r="F11" s="19">
        <f>'1'!F141</f>
        <v>0</v>
      </c>
      <c r="G11" s="21">
        <f t="shared" si="0"/>
        <v>0</v>
      </c>
      <c r="H11" s="19">
        <f>'8'!G68</f>
        <v>340.40000000000146</v>
      </c>
      <c r="I11" s="19">
        <f>'8'!G69</f>
        <v>304.00599999999758</v>
      </c>
      <c r="J11" s="19">
        <f>'8'!G70</f>
        <v>0</v>
      </c>
      <c r="K11" s="23">
        <f t="shared" si="1"/>
        <v>644.40599999999904</v>
      </c>
      <c r="L11" s="19">
        <f>'8'!G71</f>
        <v>0</v>
      </c>
      <c r="M11" s="19">
        <f>'8'!G72</f>
        <v>9</v>
      </c>
      <c r="N11" s="19">
        <v>0</v>
      </c>
      <c r="O11" s="23">
        <f t="shared" si="2"/>
        <v>9</v>
      </c>
    </row>
    <row r="12" spans="1:15">
      <c r="A12" s="16">
        <v>9</v>
      </c>
      <c r="B12" s="27">
        <v>9</v>
      </c>
      <c r="C12" s="26"/>
      <c r="D12" s="19">
        <f>'9'!F8</f>
        <v>2264584</v>
      </c>
      <c r="E12" s="19">
        <f>'9'!G95</f>
        <v>41</v>
      </c>
      <c r="F12" s="19">
        <f>'1'!F141</f>
        <v>0</v>
      </c>
      <c r="G12" s="21">
        <f t="shared" si="0"/>
        <v>0</v>
      </c>
      <c r="H12" s="19">
        <f>'9'!G68</f>
        <v>340.40000000000146</v>
      </c>
      <c r="I12" s="19">
        <f>'9'!G69</f>
        <v>304.00599999999758</v>
      </c>
      <c r="J12" s="19">
        <f>'9'!G70</f>
        <v>0</v>
      </c>
      <c r="K12" s="23">
        <f t="shared" si="1"/>
        <v>644.40599999999904</v>
      </c>
      <c r="L12" s="19">
        <f>'9'!G71</f>
        <v>0</v>
      </c>
      <c r="M12" s="19">
        <f>'9'!G72</f>
        <v>9</v>
      </c>
      <c r="N12" s="19">
        <v>0</v>
      </c>
      <c r="O12" s="23">
        <f t="shared" si="2"/>
        <v>9</v>
      </c>
    </row>
    <row r="13" spans="1:15">
      <c r="A13" s="16">
        <v>10</v>
      </c>
      <c r="B13" s="27">
        <v>10</v>
      </c>
      <c r="C13" s="26"/>
      <c r="D13" s="19">
        <f>'10'!F8</f>
        <v>2301761</v>
      </c>
      <c r="E13" s="19">
        <f>'10'!G95</f>
        <v>140</v>
      </c>
      <c r="F13" s="19">
        <f>'1'!F141</f>
        <v>0</v>
      </c>
      <c r="G13" s="21">
        <f t="shared" si="0"/>
        <v>0</v>
      </c>
      <c r="H13" s="19">
        <f>'10'!G68</f>
        <v>642.25299999999697</v>
      </c>
      <c r="I13" s="19">
        <f>'10'!G69</f>
        <v>641.16900000000169</v>
      </c>
      <c r="J13" s="19">
        <f>'10'!G70</f>
        <v>0</v>
      </c>
      <c r="K13" s="23">
        <f t="shared" si="1"/>
        <v>1283.4219999999987</v>
      </c>
      <c r="L13" s="19">
        <f>'10'!G71</f>
        <v>0</v>
      </c>
      <c r="M13" s="19">
        <f>'10'!G72</f>
        <v>15</v>
      </c>
      <c r="N13" s="19">
        <v>0</v>
      </c>
      <c r="O13" s="23">
        <f t="shared" si="2"/>
        <v>15</v>
      </c>
    </row>
    <row r="14" spans="1:15">
      <c r="A14" s="16">
        <v>11</v>
      </c>
      <c r="B14" s="17">
        <v>11</v>
      </c>
      <c r="C14" s="27"/>
      <c r="D14" s="19">
        <f>'11'!F8</f>
        <v>2319117</v>
      </c>
      <c r="E14" s="19">
        <f>'11'!G95</f>
        <v>51</v>
      </c>
      <c r="F14" s="19">
        <f>'1'!F141</f>
        <v>0</v>
      </c>
      <c r="G14" s="21">
        <f t="shared" si="0"/>
        <v>0</v>
      </c>
      <c r="H14" s="19">
        <f>'11'!G68</f>
        <v>317</v>
      </c>
      <c r="I14" s="19">
        <f>'11'!G69</f>
        <v>248</v>
      </c>
      <c r="J14" s="19">
        <f>'11'!G70</f>
        <v>0</v>
      </c>
      <c r="K14" s="23">
        <f t="shared" si="1"/>
        <v>565</v>
      </c>
      <c r="L14" s="19">
        <f>'11'!G71</f>
        <v>0</v>
      </c>
      <c r="M14" s="19">
        <f>'11'!G72</f>
        <v>8</v>
      </c>
      <c r="N14" s="19">
        <v>0</v>
      </c>
      <c r="O14" s="23">
        <f t="shared" si="2"/>
        <v>8</v>
      </c>
    </row>
    <row r="15" spans="1:15">
      <c r="A15" s="16">
        <v>12</v>
      </c>
      <c r="B15" s="26">
        <v>12</v>
      </c>
      <c r="C15" s="27"/>
      <c r="D15" s="19">
        <f>'12'!F8</f>
        <v>2336978</v>
      </c>
      <c r="E15" s="19">
        <f>'12'!G95</f>
        <v>43</v>
      </c>
      <c r="F15" s="19">
        <f>'1'!F141</f>
        <v>0</v>
      </c>
      <c r="G15" s="20">
        <f t="shared" si="0"/>
        <v>0</v>
      </c>
      <c r="H15" s="19">
        <f>'12'!G68</f>
        <v>341</v>
      </c>
      <c r="I15" s="19">
        <f>'12'!G69</f>
        <v>289</v>
      </c>
      <c r="J15" s="19">
        <f>'12'!G70</f>
        <v>0</v>
      </c>
      <c r="K15" s="23">
        <f t="shared" si="1"/>
        <v>630</v>
      </c>
      <c r="L15" s="19">
        <f>'12'!G71</f>
        <v>0</v>
      </c>
      <c r="M15" s="19">
        <f>'12'!G72</f>
        <v>8</v>
      </c>
      <c r="N15" s="19">
        <v>0</v>
      </c>
      <c r="O15" s="23">
        <f t="shared" si="2"/>
        <v>8</v>
      </c>
    </row>
    <row r="16" spans="1:15">
      <c r="A16" s="16">
        <v>13</v>
      </c>
      <c r="B16" s="26">
        <v>13</v>
      </c>
      <c r="C16" s="26"/>
      <c r="D16" s="19">
        <f>'13'!F8</f>
        <v>2354454</v>
      </c>
      <c r="E16" s="19">
        <f>'13'!G95</f>
        <v>65</v>
      </c>
      <c r="F16" s="19">
        <f>'1'!F141</f>
        <v>0</v>
      </c>
      <c r="G16" s="20">
        <f t="shared" si="0"/>
        <v>0</v>
      </c>
      <c r="H16" s="19">
        <f>'13'!G68</f>
        <v>309.05500000000029</v>
      </c>
      <c r="I16" s="19">
        <f>'13'!G69</f>
        <v>248.58699999999953</v>
      </c>
      <c r="J16" s="19">
        <f>'13'!G70</f>
        <v>0</v>
      </c>
      <c r="K16" s="23">
        <f t="shared" si="1"/>
        <v>557.64199999999983</v>
      </c>
      <c r="L16" s="19">
        <f>'13'!G71</f>
        <v>0</v>
      </c>
      <c r="M16" s="19">
        <f>'13'!G72</f>
        <v>9</v>
      </c>
      <c r="N16" s="19">
        <v>0</v>
      </c>
      <c r="O16" s="23">
        <f t="shared" si="2"/>
        <v>9</v>
      </c>
    </row>
    <row r="17" spans="1:15">
      <c r="A17" s="16">
        <v>14</v>
      </c>
      <c r="B17" s="17">
        <v>14</v>
      </c>
      <c r="C17" s="27"/>
      <c r="D17" s="19">
        <f>'14'!F8</f>
        <v>2372610</v>
      </c>
      <c r="E17" s="19">
        <f>'14'!G95</f>
        <v>45</v>
      </c>
      <c r="F17" s="19">
        <f>'1'!F141</f>
        <v>0</v>
      </c>
      <c r="G17" s="20">
        <f t="shared" si="0"/>
        <v>0</v>
      </c>
      <c r="H17" s="19">
        <f>'14'!G68</f>
        <v>310.71600000000035</v>
      </c>
      <c r="I17" s="19">
        <f>'14'!G69</f>
        <v>286.58400000000256</v>
      </c>
      <c r="J17" s="19">
        <f>'14'!G71</f>
        <v>0</v>
      </c>
      <c r="K17" s="23">
        <f t="shared" si="1"/>
        <v>597.30000000000291</v>
      </c>
      <c r="L17" s="19">
        <f>'14'!G72</f>
        <v>8</v>
      </c>
      <c r="M17" s="19">
        <f>'14'!G73</f>
        <v>1</v>
      </c>
      <c r="N17" s="19">
        <v>0</v>
      </c>
      <c r="O17" s="23">
        <f t="shared" si="2"/>
        <v>9</v>
      </c>
    </row>
    <row r="18" spans="1:15">
      <c r="A18" s="16">
        <v>15</v>
      </c>
      <c r="B18" s="26">
        <v>15</v>
      </c>
      <c r="C18" s="18"/>
      <c r="D18" s="19">
        <f>'15'!F8</f>
        <v>2410732</v>
      </c>
      <c r="E18" s="19">
        <f>'15'!G95</f>
        <v>46</v>
      </c>
      <c r="F18" s="19">
        <f>'1'!F141</f>
        <v>0</v>
      </c>
      <c r="G18" s="20">
        <f t="shared" si="0"/>
        <v>0</v>
      </c>
      <c r="H18" s="19">
        <f>'15'!G68</f>
        <v>297.23599999999715</v>
      </c>
      <c r="I18" s="19">
        <f>'15'!G69</f>
        <v>277.34300000000076</v>
      </c>
      <c r="J18" s="19">
        <f>'15'!G71</f>
        <v>0</v>
      </c>
      <c r="K18" s="23">
        <f t="shared" si="1"/>
        <v>574.5789999999979</v>
      </c>
      <c r="L18" s="19">
        <f>'15'!G72</f>
        <v>8</v>
      </c>
      <c r="M18" s="19">
        <f>'15'!G73</f>
        <v>10</v>
      </c>
      <c r="N18" s="19">
        <v>0</v>
      </c>
      <c r="O18" s="23">
        <f t="shared" si="2"/>
        <v>18</v>
      </c>
    </row>
    <row r="20" spans="1:15">
      <c r="B20" s="40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8" customWidth="1"/>
    <col min="2" max="2" width="24" style="118" customWidth="1"/>
    <col min="3" max="3" width="18.77734375" style="118" customWidth="1"/>
    <col min="4" max="4" width="11.4414062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7.664062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8.5" customHeight="1">
      <c r="A1" s="1523" t="s">
        <v>128</v>
      </c>
      <c r="B1" s="1523"/>
      <c r="C1" s="1523"/>
      <c r="D1" s="1523"/>
      <c r="E1" s="1523"/>
      <c r="F1" s="1523"/>
      <c r="G1" s="1523"/>
      <c r="H1" s="1523"/>
      <c r="I1" s="1523"/>
      <c r="J1" s="1523"/>
    </row>
    <row r="2" spans="1:12" ht="23.25" customHeight="1">
      <c r="A2" s="218" t="s">
        <v>295</v>
      </c>
      <c r="B2" s="199">
        <v>42328</v>
      </c>
      <c r="C2" s="1678" t="s">
        <v>296</v>
      </c>
      <c r="D2" s="1679"/>
      <c r="E2" s="195" t="s">
        <v>129</v>
      </c>
      <c r="F2" s="195" t="s">
        <v>6</v>
      </c>
      <c r="G2" s="195" t="s">
        <v>8</v>
      </c>
      <c r="H2" s="44" t="s">
        <v>130</v>
      </c>
      <c r="I2" s="45"/>
      <c r="J2" s="46"/>
    </row>
    <row r="3" spans="1:12" ht="18.75" customHeight="1">
      <c r="A3" s="1300" t="s">
        <v>297</v>
      </c>
      <c r="B3" s="193"/>
      <c r="C3" s="193"/>
      <c r="D3" s="1301"/>
      <c r="E3" s="119" t="str">
        <f>'1'!E3</f>
        <v>Last year same month avg</v>
      </c>
      <c r="F3" s="56">
        <f>'1'!F3</f>
        <v>0</v>
      </c>
      <c r="G3" s="56">
        <f>'1'!G3</f>
        <v>0</v>
      </c>
      <c r="H3" s="53">
        <f>'1'!H3</f>
        <v>0</v>
      </c>
      <c r="I3" s="45" t="s">
        <v>298</v>
      </c>
      <c r="J3" s="46" t="s">
        <v>299</v>
      </c>
      <c r="K3" s="120"/>
      <c r="L3" s="121"/>
    </row>
    <row r="4" spans="1:12" ht="18.75" customHeight="1">
      <c r="A4" s="49" t="s">
        <v>300</v>
      </c>
      <c r="B4" s="50" t="s">
        <v>301</v>
      </c>
      <c r="C4" s="43" t="s">
        <v>69</v>
      </c>
      <c r="D4" s="219">
        <v>0.8</v>
      </c>
      <c r="E4" s="51"/>
      <c r="F4" s="51"/>
      <c r="G4" s="52"/>
      <c r="H4" s="45"/>
      <c r="I4" s="53">
        <v>31</v>
      </c>
      <c r="J4" s="54">
        <v>82</v>
      </c>
      <c r="K4" s="122"/>
      <c r="L4" s="121"/>
    </row>
    <row r="5" spans="1:12" ht="18.75" customHeight="1" thickBot="1">
      <c r="A5" s="220" t="s">
        <v>134</v>
      </c>
      <c r="B5" s="221"/>
      <c r="C5" s="222"/>
      <c r="D5" s="223" t="s">
        <v>135</v>
      </c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18.75" customHeight="1">
      <c r="A6" s="1682" t="s">
        <v>141</v>
      </c>
      <c r="B6" s="1683"/>
      <c r="C6" s="1684"/>
      <c r="D6" s="64"/>
      <c r="E6" s="64"/>
      <c r="F6" s="64"/>
      <c r="G6" s="64"/>
      <c r="H6" s="65"/>
      <c r="I6" s="66"/>
      <c r="J6" s="67"/>
      <c r="K6" s="47"/>
      <c r="L6" s="121"/>
    </row>
    <row r="7" spans="1:12" ht="20.25" customHeight="1" thickBot="1">
      <c r="A7" s="255" t="s">
        <v>142</v>
      </c>
      <c r="B7" s="256"/>
      <c r="C7" s="257"/>
      <c r="D7" s="137" t="s">
        <v>143</v>
      </c>
      <c r="E7" s="163"/>
      <c r="F7" s="163"/>
      <c r="G7" s="207"/>
      <c r="H7" s="164"/>
      <c r="I7" s="258"/>
      <c r="J7" s="140"/>
      <c r="K7" s="63"/>
      <c r="L7" s="121"/>
    </row>
    <row r="8" spans="1:12" ht="12.75" customHeight="1">
      <c r="A8" s="251"/>
      <c r="B8" s="252"/>
      <c r="C8" s="253"/>
      <c r="D8" s="141"/>
      <c r="E8" s="165"/>
      <c r="F8" s="165"/>
      <c r="G8" s="143"/>
      <c r="H8" s="166"/>
      <c r="I8" s="254"/>
      <c r="J8" s="145"/>
      <c r="K8" s="63"/>
      <c r="L8" s="121"/>
    </row>
    <row r="9" spans="1:12" ht="18.75" customHeight="1">
      <c r="A9" s="68" t="s">
        <v>145</v>
      </c>
      <c r="B9" s="69"/>
      <c r="C9" s="70"/>
      <c r="D9" s="59" t="s">
        <v>143</v>
      </c>
      <c r="E9" s="60"/>
      <c r="F9" s="71"/>
      <c r="G9" s="72"/>
      <c r="H9" s="61"/>
      <c r="I9" s="73"/>
      <c r="J9" s="62"/>
      <c r="K9" s="63"/>
      <c r="L9" s="121"/>
    </row>
    <row r="10" spans="1:12" ht="18.75" customHeight="1">
      <c r="A10" s="196" t="s">
        <v>146</v>
      </c>
      <c r="B10" s="197"/>
      <c r="C10" s="198"/>
      <c r="D10" s="59" t="s">
        <v>143</v>
      </c>
      <c r="E10" s="60"/>
      <c r="F10" s="71"/>
      <c r="G10" s="72"/>
      <c r="H10" s="61"/>
      <c r="I10" s="73"/>
      <c r="J10" s="62"/>
      <c r="K10" s="63"/>
      <c r="L10" s="121"/>
    </row>
    <row r="11" spans="1:12" ht="18.75" customHeight="1">
      <c r="A11" s="196" t="s">
        <v>147</v>
      </c>
      <c r="B11" s="197"/>
      <c r="C11" s="198"/>
      <c r="D11" s="59" t="s">
        <v>143</v>
      </c>
      <c r="E11" s="60"/>
      <c r="F11" s="60"/>
      <c r="G11" s="72"/>
      <c r="H11" s="61"/>
      <c r="I11" s="73"/>
      <c r="J11" s="62"/>
      <c r="K11" s="63"/>
      <c r="L11" s="121"/>
    </row>
    <row r="12" spans="1:12" ht="18.75" customHeight="1">
      <c r="A12" s="196" t="s">
        <v>148</v>
      </c>
      <c r="B12" s="197"/>
      <c r="C12" s="198"/>
      <c r="D12" s="59" t="s">
        <v>143</v>
      </c>
      <c r="E12" s="60"/>
      <c r="F12" s="71"/>
      <c r="G12" s="72"/>
      <c r="H12" s="61"/>
      <c r="I12" s="73"/>
      <c r="J12" s="62"/>
      <c r="K12" s="63"/>
      <c r="L12" s="121"/>
    </row>
    <row r="13" spans="1:12" ht="18.75" customHeight="1">
      <c r="A13" s="184" t="s">
        <v>149</v>
      </c>
      <c r="B13" s="185"/>
      <c r="C13" s="186"/>
      <c r="D13" s="59"/>
      <c r="E13" s="123"/>
      <c r="F13" s="74"/>
      <c r="G13" s="72"/>
      <c r="H13" s="61"/>
      <c r="I13" s="73"/>
      <c r="J13" s="62"/>
      <c r="K13" s="63"/>
      <c r="L13" s="121"/>
    </row>
    <row r="14" spans="1:12" ht="18.75" customHeight="1">
      <c r="A14" s="1672" t="s">
        <v>150</v>
      </c>
      <c r="B14" s="1673"/>
      <c r="C14" s="1674"/>
      <c r="D14" s="75"/>
      <c r="E14" s="75"/>
      <c r="F14" s="75"/>
      <c r="G14" s="132"/>
      <c r="H14" s="76"/>
      <c r="I14" s="77"/>
      <c r="J14" s="78"/>
      <c r="K14" s="79"/>
      <c r="L14" s="121"/>
    </row>
    <row r="15" spans="1:12" ht="18.75" customHeight="1" thickBot="1">
      <c r="A15" s="187" t="s">
        <v>151</v>
      </c>
      <c r="B15" s="188"/>
      <c r="C15" s="189"/>
      <c r="D15" s="137" t="s">
        <v>152</v>
      </c>
      <c r="E15" s="163"/>
      <c r="F15" s="138"/>
      <c r="G15" s="139"/>
      <c r="H15" s="164"/>
      <c r="I15" s="258"/>
      <c r="J15" s="140"/>
      <c r="K15" s="63"/>
      <c r="L15" s="121"/>
    </row>
    <row r="16" spans="1:12" ht="18.75" customHeight="1">
      <c r="A16" s="228"/>
      <c r="B16" s="229"/>
      <c r="C16" s="230"/>
      <c r="D16" s="231"/>
      <c r="E16" s="232"/>
      <c r="F16" s="216"/>
      <c r="G16" s="209"/>
      <c r="H16" s="259"/>
      <c r="I16" s="260"/>
      <c r="J16" s="233"/>
      <c r="K16" s="63"/>
      <c r="L16" s="121"/>
    </row>
    <row r="17" spans="1:12" ht="18.75" customHeight="1">
      <c r="A17" s="1672" t="s">
        <v>153</v>
      </c>
      <c r="B17" s="1673"/>
      <c r="C17" s="1674"/>
      <c r="D17" s="75"/>
      <c r="E17" s="75"/>
      <c r="F17" s="75"/>
      <c r="G17" s="126"/>
      <c r="H17" s="76"/>
      <c r="I17" s="77"/>
      <c r="J17" s="127"/>
      <c r="K17" s="63"/>
      <c r="L17" s="121"/>
    </row>
    <row r="18" spans="1:12" ht="18.75" customHeight="1">
      <c r="A18" s="1536" t="s">
        <v>154</v>
      </c>
      <c r="B18" s="1537"/>
      <c r="C18" s="1538"/>
      <c r="D18" s="59" t="s">
        <v>155</v>
      </c>
      <c r="E18" s="60"/>
      <c r="F18" s="86"/>
      <c r="G18" s="128"/>
      <c r="H18" s="61"/>
      <c r="I18" s="73"/>
      <c r="J18" s="62"/>
      <c r="K18" s="63"/>
      <c r="L18" s="121"/>
    </row>
    <row r="19" spans="1:12" ht="18.75" customHeight="1">
      <c r="A19" s="1536" t="s">
        <v>71</v>
      </c>
      <c r="B19" s="1537"/>
      <c r="C19" s="1538"/>
      <c r="D19" s="59" t="s">
        <v>155</v>
      </c>
      <c r="E19" s="60"/>
      <c r="F19" s="86"/>
      <c r="G19" s="128"/>
      <c r="H19" s="61"/>
      <c r="I19" s="84"/>
      <c r="J19" s="62"/>
      <c r="K19" s="63"/>
      <c r="L19" s="121"/>
    </row>
    <row r="20" spans="1:12" ht="18.75" customHeight="1">
      <c r="A20" s="184" t="s">
        <v>156</v>
      </c>
      <c r="B20" s="185"/>
      <c r="C20" s="186"/>
      <c r="D20" s="124"/>
      <c r="E20" s="60"/>
      <c r="F20" s="124"/>
      <c r="G20" s="129"/>
      <c r="H20" s="61"/>
      <c r="I20" s="162"/>
      <c r="J20" s="62"/>
      <c r="K20" s="63"/>
      <c r="L20" s="121"/>
    </row>
    <row r="21" spans="1:12" ht="18.75" customHeight="1">
      <c r="A21" s="1672" t="s">
        <v>157</v>
      </c>
      <c r="B21" s="1673"/>
      <c r="C21" s="1674"/>
      <c r="D21" s="75"/>
      <c r="E21" s="75"/>
      <c r="F21" s="75"/>
      <c r="G21" s="132"/>
      <c r="H21" s="76"/>
      <c r="I21" s="94"/>
      <c r="J21" s="78"/>
      <c r="K21" s="63"/>
      <c r="L21" s="121"/>
    </row>
    <row r="22" spans="1:12" ht="18.75" customHeight="1">
      <c r="A22" s="1297" t="s">
        <v>158</v>
      </c>
      <c r="B22" s="1298"/>
      <c r="C22" s="1299"/>
      <c r="D22" s="59" t="s">
        <v>159</v>
      </c>
      <c r="E22" s="60"/>
      <c r="F22" s="86"/>
      <c r="G22" s="128"/>
      <c r="H22" s="61"/>
      <c r="I22" s="73"/>
      <c r="J22" s="62"/>
      <c r="K22" s="63"/>
      <c r="L22" s="121"/>
    </row>
    <row r="23" spans="1:12" ht="18.75" customHeight="1">
      <c r="A23" s="1297" t="s">
        <v>160</v>
      </c>
      <c r="B23" s="1298"/>
      <c r="C23" s="1299"/>
      <c r="D23" s="59" t="s">
        <v>159</v>
      </c>
      <c r="E23" s="60"/>
      <c r="F23" s="86"/>
      <c r="G23" s="128"/>
      <c r="H23" s="61"/>
      <c r="I23" s="73"/>
      <c r="J23" s="62"/>
      <c r="K23" s="63"/>
      <c r="L23" s="121"/>
    </row>
    <row r="24" spans="1:12" ht="18.75" customHeight="1">
      <c r="A24" s="174" t="s">
        <v>161</v>
      </c>
      <c r="B24" s="175"/>
      <c r="C24" s="176"/>
      <c r="D24" s="58" t="s">
        <v>159</v>
      </c>
      <c r="E24" s="60"/>
      <c r="F24" s="95"/>
      <c r="G24" s="146"/>
      <c r="H24" s="61"/>
      <c r="I24" s="73"/>
      <c r="J24" s="62"/>
      <c r="K24" s="63"/>
      <c r="L24" s="121"/>
    </row>
    <row r="25" spans="1:12" ht="18.75" customHeight="1">
      <c r="A25" s="1675" t="s">
        <v>162</v>
      </c>
      <c r="B25" s="1676"/>
      <c r="C25" s="1677"/>
      <c r="D25" s="64"/>
      <c r="E25" s="64"/>
      <c r="F25" s="64"/>
      <c r="G25" s="130"/>
      <c r="H25" s="65"/>
      <c r="I25" s="147"/>
      <c r="J25" s="67"/>
      <c r="K25" s="63"/>
      <c r="L25" s="121"/>
    </row>
    <row r="26" spans="1:12" ht="18.75" customHeight="1">
      <c r="A26" s="168" t="s">
        <v>163</v>
      </c>
      <c r="B26" s="169"/>
      <c r="C26" s="170"/>
      <c r="D26" s="148" t="s">
        <v>164</v>
      </c>
      <c r="E26" s="96"/>
      <c r="F26" s="96"/>
      <c r="G26" s="135"/>
      <c r="H26" s="61"/>
      <c r="I26" s="149"/>
      <c r="J26" s="97"/>
      <c r="K26" s="79"/>
      <c r="L26" s="121"/>
    </row>
    <row r="27" spans="1:12" ht="18.75" customHeight="1">
      <c r="A27" s="168" t="s">
        <v>6</v>
      </c>
      <c r="B27" s="169"/>
      <c r="C27" s="170"/>
      <c r="D27" s="150" t="s">
        <v>143</v>
      </c>
      <c r="E27" s="98"/>
      <c r="F27" s="99"/>
      <c r="G27" s="151"/>
      <c r="H27" s="61"/>
      <c r="I27" s="152"/>
      <c r="J27" s="62"/>
      <c r="K27" s="63"/>
      <c r="L27" s="121"/>
    </row>
    <row r="28" spans="1:12" ht="18.75" customHeight="1">
      <c r="A28" s="168" t="s">
        <v>165</v>
      </c>
      <c r="B28" s="169"/>
      <c r="C28" s="170"/>
      <c r="D28" s="150" t="s">
        <v>166</v>
      </c>
      <c r="E28" s="100"/>
      <c r="F28" s="99"/>
      <c r="G28" s="151"/>
      <c r="H28" s="61"/>
      <c r="I28" s="116"/>
      <c r="J28" s="62"/>
      <c r="K28" s="63"/>
      <c r="L28" s="121"/>
    </row>
    <row r="29" spans="1:12" ht="18.75" customHeight="1">
      <c r="A29" s="168" t="s">
        <v>167</v>
      </c>
      <c r="B29" s="169"/>
      <c r="C29" s="170"/>
      <c r="D29" s="150" t="s">
        <v>168</v>
      </c>
      <c r="E29" s="101"/>
      <c r="F29" s="99"/>
      <c r="G29" s="151"/>
      <c r="H29" s="61"/>
      <c r="I29" s="116"/>
      <c r="J29" s="62"/>
      <c r="K29" s="63"/>
      <c r="L29" s="121"/>
    </row>
    <row r="30" spans="1:12" ht="18.75" customHeight="1">
      <c r="A30" s="168" t="s">
        <v>8</v>
      </c>
      <c r="B30" s="169"/>
      <c r="C30" s="170"/>
      <c r="D30" s="150" t="s">
        <v>170</v>
      </c>
      <c r="E30" s="101"/>
      <c r="F30" s="99"/>
      <c r="G30" s="151"/>
      <c r="H30" s="61"/>
      <c r="I30" s="116"/>
      <c r="J30" s="62"/>
      <c r="K30" s="63"/>
      <c r="L30" s="121"/>
    </row>
    <row r="31" spans="1:12" ht="18.75" customHeight="1">
      <c r="A31" s="171" t="s">
        <v>172</v>
      </c>
      <c r="B31" s="172"/>
      <c r="C31" s="173"/>
      <c r="D31" s="153"/>
      <c r="E31" s="153"/>
      <c r="F31" s="153"/>
      <c r="G31" s="154"/>
      <c r="H31" s="61"/>
      <c r="I31" s="155"/>
      <c r="J31" s="62"/>
      <c r="K31" s="63"/>
      <c r="L31" s="121"/>
    </row>
    <row r="32" spans="1:12" ht="18.75" customHeight="1">
      <c r="A32" s="1517" t="s">
        <v>173</v>
      </c>
      <c r="B32" s="1518"/>
      <c r="C32" s="1518"/>
      <c r="D32" s="1518"/>
      <c r="E32" s="1518"/>
      <c r="F32" s="1518"/>
      <c r="G32" s="1518"/>
      <c r="H32" s="1518"/>
      <c r="I32" s="1518"/>
      <c r="J32" s="1519"/>
      <c r="K32" s="63"/>
      <c r="L32" s="121"/>
    </row>
    <row r="33" spans="1:12" ht="18.75" customHeight="1">
      <c r="A33" s="1311" t="s">
        <v>174</v>
      </c>
      <c r="B33" s="1312"/>
      <c r="C33" s="1313"/>
      <c r="D33" s="75"/>
      <c r="E33" s="64"/>
      <c r="F33" s="64"/>
      <c r="G33" s="75"/>
      <c r="H33" s="76"/>
      <c r="I33" s="77"/>
      <c r="J33" s="78"/>
      <c r="K33" s="63"/>
      <c r="L33" s="121"/>
    </row>
    <row r="34" spans="1:12" ht="18.75" customHeight="1">
      <c r="A34" s="196" t="s">
        <v>175</v>
      </c>
      <c r="B34" s="197"/>
      <c r="C34" s="198"/>
      <c r="D34" s="59" t="s">
        <v>143</v>
      </c>
      <c r="E34" s="167"/>
      <c r="F34" s="215"/>
      <c r="G34" s="72"/>
      <c r="H34" s="61"/>
      <c r="I34" s="60"/>
      <c r="J34" s="62"/>
      <c r="K34" s="63"/>
      <c r="L34" s="121"/>
    </row>
    <row r="35" spans="1:12" ht="18.75" customHeight="1">
      <c r="A35" s="196" t="s">
        <v>176</v>
      </c>
      <c r="B35" s="197"/>
      <c r="C35" s="198"/>
      <c r="D35" s="59" t="s">
        <v>143</v>
      </c>
      <c r="E35" s="167"/>
      <c r="F35" s="215"/>
      <c r="G35" s="72"/>
      <c r="H35" s="61"/>
      <c r="I35" s="60"/>
      <c r="J35" s="62"/>
      <c r="K35" s="63"/>
      <c r="L35" s="121"/>
    </row>
    <row r="36" spans="1:12" ht="18.75" customHeight="1">
      <c r="A36" s="196" t="s">
        <v>177</v>
      </c>
      <c r="B36" s="197"/>
      <c r="C36" s="198"/>
      <c r="D36" s="59" t="s">
        <v>143</v>
      </c>
      <c r="E36" s="167"/>
      <c r="F36" s="215"/>
      <c r="G36" s="72"/>
      <c r="H36" s="61"/>
      <c r="I36" s="60"/>
      <c r="J36" s="62"/>
      <c r="K36" s="63"/>
      <c r="L36" s="121"/>
    </row>
    <row r="37" spans="1:12" ht="18.75" customHeight="1">
      <c r="A37" s="196" t="s">
        <v>178</v>
      </c>
      <c r="B37" s="197"/>
      <c r="C37" s="198"/>
      <c r="D37" s="59" t="s">
        <v>143</v>
      </c>
      <c r="E37" s="167"/>
      <c r="F37" s="167"/>
      <c r="G37" s="72"/>
      <c r="H37" s="61"/>
      <c r="I37" s="60"/>
      <c r="J37" s="62"/>
      <c r="K37" s="63"/>
      <c r="L37" s="121"/>
    </row>
    <row r="38" spans="1:12" ht="18.75" customHeight="1">
      <c r="A38" s="196" t="s">
        <v>179</v>
      </c>
      <c r="B38" s="197"/>
      <c r="C38" s="198"/>
      <c r="D38" s="59" t="s">
        <v>143</v>
      </c>
      <c r="E38" s="167"/>
      <c r="F38" s="215"/>
      <c r="G38" s="72"/>
      <c r="H38" s="61"/>
      <c r="I38" s="60"/>
      <c r="J38" s="62"/>
      <c r="K38" s="63"/>
      <c r="L38" s="121"/>
    </row>
    <row r="39" spans="1:12" ht="18.75" customHeight="1">
      <c r="A39" s="80" t="s">
        <v>180</v>
      </c>
      <c r="B39" s="81"/>
      <c r="C39" s="82"/>
      <c r="D39" s="59" t="s">
        <v>143</v>
      </c>
      <c r="E39" s="167"/>
      <c r="F39" s="215"/>
      <c r="G39" s="72"/>
      <c r="H39" s="61"/>
      <c r="I39" s="60"/>
      <c r="J39" s="62"/>
      <c r="K39" s="79"/>
      <c r="L39" s="121"/>
    </row>
    <row r="40" spans="1:12" ht="18.75" customHeight="1">
      <c r="A40" s="196" t="s">
        <v>181</v>
      </c>
      <c r="B40" s="197"/>
      <c r="C40" s="198"/>
      <c r="D40" s="59" t="s">
        <v>143</v>
      </c>
      <c r="E40" s="167"/>
      <c r="F40" s="215"/>
      <c r="G40" s="72"/>
      <c r="H40" s="61"/>
      <c r="I40" s="60"/>
      <c r="J40" s="62"/>
      <c r="K40" s="63"/>
      <c r="L40" s="121"/>
    </row>
    <row r="41" spans="1:12" ht="18.75" customHeight="1">
      <c r="A41" s="196" t="s">
        <v>182</v>
      </c>
      <c r="B41" s="197"/>
      <c r="C41" s="198"/>
      <c r="D41" s="59" t="s">
        <v>143</v>
      </c>
      <c r="E41" s="167"/>
      <c r="F41" s="215"/>
      <c r="G41" s="72"/>
      <c r="H41" s="61"/>
      <c r="I41" s="60"/>
      <c r="J41" s="62"/>
      <c r="K41" s="63"/>
      <c r="L41" s="121"/>
    </row>
    <row r="42" spans="1:12" ht="18.75" customHeight="1">
      <c r="A42" s="196" t="s">
        <v>183</v>
      </c>
      <c r="B42" s="197"/>
      <c r="C42" s="198"/>
      <c r="D42" s="59" t="s">
        <v>143</v>
      </c>
      <c r="E42" s="167"/>
      <c r="F42" s="215"/>
      <c r="G42" s="72"/>
      <c r="H42" s="61"/>
      <c r="I42" s="60"/>
      <c r="J42" s="62"/>
      <c r="K42" s="63"/>
      <c r="L42" s="121"/>
    </row>
    <row r="43" spans="1:12" ht="18.75" customHeight="1">
      <c r="A43" s="196" t="s">
        <v>184</v>
      </c>
      <c r="B43" s="197"/>
      <c r="C43" s="198"/>
      <c r="D43" s="59" t="s">
        <v>143</v>
      </c>
      <c r="E43" s="167"/>
      <c r="F43" s="215"/>
      <c r="G43" s="72"/>
      <c r="H43" s="61"/>
      <c r="I43" s="60"/>
      <c r="J43" s="62"/>
      <c r="K43" s="63"/>
      <c r="L43" s="121"/>
    </row>
    <row r="44" spans="1:12" ht="18.75" customHeight="1">
      <c r="A44" s="196" t="s">
        <v>185</v>
      </c>
      <c r="B44" s="197"/>
      <c r="C44" s="198"/>
      <c r="D44" s="59" t="s">
        <v>143</v>
      </c>
      <c r="E44" s="167"/>
      <c r="F44" s="215"/>
      <c r="G44" s="72"/>
      <c r="H44" s="61"/>
      <c r="I44" s="60"/>
      <c r="J44" s="62"/>
      <c r="K44" s="63"/>
      <c r="L44" s="121"/>
    </row>
    <row r="45" spans="1:12" ht="18.75" customHeight="1">
      <c r="A45" s="196" t="s">
        <v>186</v>
      </c>
      <c r="B45" s="197"/>
      <c r="C45" s="198"/>
      <c r="D45" s="59" t="s">
        <v>143</v>
      </c>
      <c r="E45" s="167"/>
      <c r="F45" s="215"/>
      <c r="G45" s="72"/>
      <c r="H45" s="61"/>
      <c r="I45" s="60"/>
      <c r="J45" s="62"/>
      <c r="K45" s="63"/>
      <c r="L45" s="121"/>
    </row>
    <row r="46" spans="1:12" ht="18.75" customHeight="1">
      <c r="A46" s="184" t="s">
        <v>187</v>
      </c>
      <c r="B46" s="185"/>
      <c r="C46" s="186"/>
      <c r="D46" s="83"/>
      <c r="E46" s="125"/>
      <c r="F46" s="58"/>
      <c r="G46" s="72"/>
      <c r="H46" s="61"/>
      <c r="I46" s="60"/>
      <c r="J46" s="62"/>
      <c r="K46" s="63"/>
      <c r="L46" s="121"/>
    </row>
    <row r="47" spans="1:12" ht="18.75" customHeight="1">
      <c r="A47" s="1311" t="s">
        <v>188</v>
      </c>
      <c r="B47" s="1312"/>
      <c r="C47" s="1313"/>
      <c r="D47" s="75"/>
      <c r="E47" s="64"/>
      <c r="F47" s="64"/>
      <c r="G47" s="75"/>
      <c r="H47" s="76"/>
      <c r="I47" s="77"/>
      <c r="J47" s="78"/>
      <c r="K47" s="63"/>
      <c r="L47" s="121"/>
    </row>
    <row r="48" spans="1:12" ht="18.75" customHeight="1">
      <c r="A48" s="196" t="s">
        <v>175</v>
      </c>
      <c r="B48" s="179"/>
      <c r="C48" s="180"/>
      <c r="D48" s="59" t="s">
        <v>143</v>
      </c>
      <c r="E48" s="167"/>
      <c r="F48" s="215"/>
      <c r="G48" s="72"/>
      <c r="H48" s="61"/>
      <c r="I48" s="60"/>
      <c r="J48" s="62"/>
      <c r="K48" s="63"/>
      <c r="L48" s="121"/>
    </row>
    <row r="49" spans="1:12" ht="18.75" customHeight="1">
      <c r="A49" s="196" t="s">
        <v>189</v>
      </c>
      <c r="B49" s="179"/>
      <c r="C49" s="180"/>
      <c r="D49" s="59" t="s">
        <v>143</v>
      </c>
      <c r="E49" s="167"/>
      <c r="F49" s="215"/>
      <c r="G49" s="72"/>
      <c r="H49" s="61"/>
      <c r="I49" s="60"/>
      <c r="J49" s="62"/>
      <c r="K49" s="63"/>
      <c r="L49" s="121"/>
    </row>
    <row r="50" spans="1:12" ht="18.75" customHeight="1">
      <c r="A50" s="196" t="s">
        <v>177</v>
      </c>
      <c r="B50" s="179"/>
      <c r="C50" s="180"/>
      <c r="D50" s="59" t="s">
        <v>143</v>
      </c>
      <c r="E50" s="167"/>
      <c r="F50" s="215"/>
      <c r="G50" s="72"/>
      <c r="H50" s="61"/>
      <c r="I50" s="60"/>
      <c r="J50" s="62"/>
      <c r="K50" s="63"/>
      <c r="L50" s="121"/>
    </row>
    <row r="51" spans="1:12" ht="18.75" customHeight="1">
      <c r="A51" s="196" t="s">
        <v>190</v>
      </c>
      <c r="B51" s="179"/>
      <c r="C51" s="180"/>
      <c r="D51" s="59" t="s">
        <v>143</v>
      </c>
      <c r="E51" s="167"/>
      <c r="F51" s="215"/>
      <c r="G51" s="72"/>
      <c r="H51" s="61"/>
      <c r="I51" s="60"/>
      <c r="J51" s="62"/>
      <c r="K51" s="63"/>
      <c r="L51" s="121"/>
    </row>
    <row r="52" spans="1:12" ht="18.75" customHeight="1">
      <c r="A52" s="196" t="s">
        <v>179</v>
      </c>
      <c r="B52" s="179"/>
      <c r="C52" s="180"/>
      <c r="D52" s="59" t="s">
        <v>143</v>
      </c>
      <c r="E52" s="167"/>
      <c r="F52" s="215"/>
      <c r="G52" s="72"/>
      <c r="H52" s="61"/>
      <c r="I52" s="60"/>
      <c r="J52" s="62"/>
      <c r="K52" s="63"/>
      <c r="L52" s="121"/>
    </row>
    <row r="53" spans="1:12" ht="18.75" customHeight="1">
      <c r="A53" s="196" t="s">
        <v>191</v>
      </c>
      <c r="B53" s="179"/>
      <c r="C53" s="180"/>
      <c r="D53" s="59" t="s">
        <v>143</v>
      </c>
      <c r="E53" s="167"/>
      <c r="F53" s="215"/>
      <c r="G53" s="72"/>
      <c r="H53" s="61"/>
      <c r="I53" s="60"/>
      <c r="J53" s="62"/>
      <c r="K53" s="63"/>
      <c r="L53" s="121"/>
    </row>
    <row r="54" spans="1:12" ht="18.75" customHeight="1">
      <c r="A54" s="196" t="s">
        <v>192</v>
      </c>
      <c r="B54" s="179"/>
      <c r="C54" s="180"/>
      <c r="D54" s="59" t="s">
        <v>143</v>
      </c>
      <c r="E54" s="167"/>
      <c r="F54" s="215"/>
      <c r="G54" s="72"/>
      <c r="H54" s="61"/>
      <c r="I54" s="60"/>
      <c r="J54" s="62"/>
      <c r="K54" s="63"/>
      <c r="L54" s="121"/>
    </row>
    <row r="55" spans="1:12" ht="18.75" customHeight="1">
      <c r="A55" s="196" t="s">
        <v>193</v>
      </c>
      <c r="B55" s="179"/>
      <c r="C55" s="180"/>
      <c r="D55" s="59" t="s">
        <v>194</v>
      </c>
      <c r="E55" s="167"/>
      <c r="F55" s="215"/>
      <c r="G55" s="72"/>
      <c r="H55" s="61"/>
      <c r="I55" s="60"/>
      <c r="J55" s="62"/>
      <c r="K55" s="47"/>
      <c r="L55" s="121"/>
    </row>
    <row r="56" spans="1:12" ht="18.75" customHeight="1">
      <c r="A56" s="196" t="s">
        <v>183</v>
      </c>
      <c r="B56" s="179"/>
      <c r="C56" s="180"/>
      <c r="D56" s="59" t="s">
        <v>143</v>
      </c>
      <c r="E56" s="167"/>
      <c r="F56" s="215"/>
      <c r="G56" s="72"/>
      <c r="H56" s="61"/>
      <c r="I56" s="60"/>
      <c r="J56" s="62"/>
      <c r="K56" s="63"/>
      <c r="L56" s="121"/>
    </row>
    <row r="57" spans="1:12" ht="18.75" customHeight="1">
      <c r="A57" s="196" t="s">
        <v>195</v>
      </c>
      <c r="B57" s="179"/>
      <c r="C57" s="180"/>
      <c r="D57" s="59" t="s">
        <v>143</v>
      </c>
      <c r="E57" s="167"/>
      <c r="F57" s="215"/>
      <c r="G57" s="72"/>
      <c r="H57" s="61"/>
      <c r="I57" s="60"/>
      <c r="J57" s="62"/>
      <c r="K57" s="63"/>
      <c r="L57" s="121"/>
    </row>
    <row r="58" spans="1:12" ht="18.75" customHeight="1">
      <c r="A58" s="184" t="s">
        <v>187</v>
      </c>
      <c r="B58" s="185"/>
      <c r="C58" s="186"/>
      <c r="D58" s="58"/>
      <c r="E58" s="125"/>
      <c r="F58" s="58"/>
      <c r="G58" s="72"/>
      <c r="H58" s="61"/>
      <c r="I58" s="60"/>
      <c r="J58" s="62"/>
      <c r="K58" s="63"/>
      <c r="L58" s="121"/>
    </row>
    <row r="59" spans="1:12" ht="18.75" customHeight="1">
      <c r="A59" s="194"/>
      <c r="B59" s="194"/>
      <c r="C59" s="194"/>
      <c r="D59" s="58" t="s">
        <v>196</v>
      </c>
      <c r="E59" s="58"/>
      <c r="F59" s="58"/>
      <c r="G59" s="72"/>
      <c r="H59" s="61"/>
      <c r="I59" s="60"/>
      <c r="J59" s="62"/>
      <c r="K59" s="63"/>
      <c r="L59" s="121"/>
    </row>
    <row r="60" spans="1:12" ht="18.75" customHeight="1">
      <c r="A60" s="102" t="s">
        <v>197</v>
      </c>
      <c r="B60" s="103"/>
      <c r="C60" s="104"/>
      <c r="D60" s="105"/>
      <c r="E60" s="234"/>
      <c r="F60" s="235"/>
      <c r="G60" s="156"/>
      <c r="H60" s="106"/>
      <c r="I60" s="214"/>
      <c r="J60" s="108"/>
      <c r="K60" s="63"/>
      <c r="L60" s="121"/>
    </row>
    <row r="61" spans="1:12" ht="18.75" customHeight="1">
      <c r="A61" s="248" t="s">
        <v>106</v>
      </c>
      <c r="B61" s="249"/>
      <c r="C61" s="250"/>
      <c r="D61" s="58" t="s">
        <v>198</v>
      </c>
      <c r="E61" s="206"/>
      <c r="F61" s="206"/>
      <c r="G61" s="72"/>
      <c r="H61" s="83"/>
      <c r="I61" s="205"/>
      <c r="J61" s="208"/>
      <c r="K61" s="63"/>
      <c r="L61" s="121"/>
    </row>
    <row r="62" spans="1:12" ht="18.75" customHeight="1">
      <c r="A62" s="248" t="s">
        <v>199</v>
      </c>
      <c r="B62" s="249"/>
      <c r="C62" s="250"/>
      <c r="D62" s="58" t="s">
        <v>198</v>
      </c>
      <c r="E62" s="206"/>
      <c r="F62" s="206"/>
      <c r="G62" s="72"/>
      <c r="H62" s="83"/>
      <c r="I62" s="205"/>
      <c r="J62" s="208"/>
      <c r="K62" s="63"/>
      <c r="L62" s="121"/>
    </row>
    <row r="63" spans="1:12" ht="18.75" customHeight="1">
      <c r="A63" s="1539" t="s">
        <v>107</v>
      </c>
      <c r="B63" s="1540"/>
      <c r="C63" s="1541"/>
      <c r="D63" s="59" t="s">
        <v>198</v>
      </c>
      <c r="E63" s="206"/>
      <c r="F63" s="86"/>
      <c r="G63" s="72"/>
      <c r="H63" s="83"/>
      <c r="I63" s="73"/>
      <c r="J63" s="161"/>
      <c r="K63" s="63"/>
      <c r="L63" s="121"/>
    </row>
    <row r="64" spans="1:12" ht="18.75" customHeight="1">
      <c r="A64" s="1539" t="s">
        <v>108</v>
      </c>
      <c r="B64" s="1540"/>
      <c r="C64" s="1541"/>
      <c r="D64" s="59" t="s">
        <v>198</v>
      </c>
      <c r="E64" s="206"/>
      <c r="F64" s="86"/>
      <c r="G64" s="72"/>
      <c r="H64" s="83"/>
      <c r="I64" s="84"/>
      <c r="J64" s="161"/>
      <c r="K64" s="63"/>
      <c r="L64" s="121"/>
    </row>
    <row r="65" spans="1:12" ht="18.75" customHeight="1">
      <c r="A65" s="1539" t="s">
        <v>109</v>
      </c>
      <c r="B65" s="1540"/>
      <c r="C65" s="1541"/>
      <c r="D65" s="59" t="s">
        <v>198</v>
      </c>
      <c r="E65" s="206"/>
      <c r="F65" s="86"/>
      <c r="G65" s="72"/>
      <c r="H65" s="83"/>
      <c r="I65" s="73"/>
      <c r="J65" s="161"/>
      <c r="K65" s="63"/>
      <c r="L65" s="121"/>
    </row>
    <row r="66" spans="1:12" ht="18.75" customHeight="1">
      <c r="A66" s="1539" t="s">
        <v>110</v>
      </c>
      <c r="B66" s="1540"/>
      <c r="C66" s="1541"/>
      <c r="D66" s="59" t="s">
        <v>198</v>
      </c>
      <c r="E66" s="206"/>
      <c r="F66" s="86"/>
      <c r="G66" s="72"/>
      <c r="H66" s="83"/>
      <c r="I66" s="84"/>
      <c r="J66" s="161"/>
      <c r="K66" s="79"/>
      <c r="L66" s="121"/>
    </row>
    <row r="67" spans="1:12" ht="18.75" customHeight="1">
      <c r="A67" s="1539" t="s">
        <v>111</v>
      </c>
      <c r="B67" s="1540"/>
      <c r="C67" s="1541"/>
      <c r="D67" s="59" t="s">
        <v>198</v>
      </c>
      <c r="E67" s="206"/>
      <c r="F67" s="86"/>
      <c r="G67" s="72"/>
      <c r="H67" s="83"/>
      <c r="I67" s="109"/>
      <c r="J67" s="161"/>
      <c r="K67" s="87"/>
      <c r="L67" s="121"/>
    </row>
    <row r="68" spans="1:12" ht="18.75" customHeight="1">
      <c r="A68" s="1539" t="s">
        <v>112</v>
      </c>
      <c r="B68" s="1540"/>
      <c r="C68" s="1541"/>
      <c r="D68" s="59" t="s">
        <v>198</v>
      </c>
      <c r="E68" s="206"/>
      <c r="F68" s="86"/>
      <c r="G68" s="72"/>
      <c r="H68" s="83"/>
      <c r="I68" s="109"/>
      <c r="J68" s="161"/>
      <c r="K68" s="89"/>
      <c r="L68" s="121"/>
    </row>
    <row r="69" spans="1:12" ht="18.75" customHeight="1">
      <c r="A69" s="110" t="s">
        <v>201</v>
      </c>
      <c r="B69" s="111"/>
      <c r="C69" s="111"/>
      <c r="D69" s="178"/>
      <c r="E69" s="112"/>
      <c r="F69" s="112"/>
      <c r="G69" s="113"/>
      <c r="H69" s="106"/>
      <c r="I69" s="107"/>
      <c r="J69" s="203"/>
      <c r="K69" s="87"/>
      <c r="L69" s="121"/>
    </row>
    <row r="70" spans="1:12" ht="18.75" customHeight="1">
      <c r="A70" s="1539" t="s">
        <v>202</v>
      </c>
      <c r="B70" s="1540"/>
      <c r="C70" s="1541"/>
      <c r="D70" s="59" t="s">
        <v>198</v>
      </c>
      <c r="E70" s="114"/>
      <c r="F70" s="114"/>
      <c r="G70" s="72"/>
      <c r="H70" s="61"/>
      <c r="I70" s="73"/>
      <c r="J70" s="161"/>
      <c r="K70" s="89"/>
      <c r="L70" s="121"/>
    </row>
    <row r="71" spans="1:12" ht="18.75" customHeight="1">
      <c r="A71" s="1539" t="s">
        <v>203</v>
      </c>
      <c r="B71" s="1540"/>
      <c r="C71" s="1541"/>
      <c r="D71" s="59" t="s">
        <v>198</v>
      </c>
      <c r="E71" s="114"/>
      <c r="F71" s="114"/>
      <c r="G71" s="72"/>
      <c r="H71" s="61"/>
      <c r="I71" s="73"/>
      <c r="J71" s="161"/>
      <c r="K71" s="87"/>
      <c r="L71" s="121"/>
    </row>
    <row r="72" spans="1:12" ht="18.75" customHeight="1">
      <c r="A72" s="1539" t="s">
        <v>204</v>
      </c>
      <c r="B72" s="1540"/>
      <c r="C72" s="1541"/>
      <c r="D72" s="59" t="s">
        <v>198</v>
      </c>
      <c r="E72" s="114"/>
      <c r="F72" s="114"/>
      <c r="G72" s="72"/>
      <c r="H72" s="61"/>
      <c r="I72" s="73"/>
      <c r="J72" s="161"/>
      <c r="K72" s="89"/>
      <c r="L72" s="121"/>
    </row>
    <row r="73" spans="1:12" ht="18.75" customHeight="1">
      <c r="A73" s="1554" t="s">
        <v>205</v>
      </c>
      <c r="B73" s="1555"/>
      <c r="C73" s="1556"/>
      <c r="D73" s="59" t="s">
        <v>198</v>
      </c>
      <c r="E73" s="114"/>
      <c r="F73" s="114"/>
      <c r="G73" s="72"/>
      <c r="H73" s="61"/>
      <c r="I73" s="73"/>
      <c r="J73" s="161"/>
      <c r="K73" s="87"/>
      <c r="L73" s="121"/>
    </row>
    <row r="74" spans="1:12" ht="18.75" customHeight="1">
      <c r="A74" s="1554" t="s">
        <v>206</v>
      </c>
      <c r="B74" s="1555"/>
      <c r="C74" s="1556"/>
      <c r="D74" s="59" t="s">
        <v>198</v>
      </c>
      <c r="E74" s="114"/>
      <c r="F74" s="114"/>
      <c r="G74" s="128"/>
      <c r="H74" s="61"/>
      <c r="I74" s="116"/>
      <c r="J74" s="161"/>
      <c r="K74" s="87"/>
      <c r="L74" s="121"/>
    </row>
    <row r="75" spans="1:12" ht="18.75" customHeight="1">
      <c r="A75" s="1539" t="s">
        <v>207</v>
      </c>
      <c r="B75" s="1540"/>
      <c r="C75" s="1541"/>
      <c r="D75" s="59" t="s">
        <v>198</v>
      </c>
      <c r="E75" s="114"/>
      <c r="F75" s="114"/>
      <c r="G75" s="128"/>
      <c r="H75" s="61"/>
      <c r="I75" s="116"/>
      <c r="J75" s="161"/>
      <c r="K75" s="87"/>
      <c r="L75" s="121"/>
    </row>
    <row r="76" spans="1:12" ht="18.75" customHeight="1">
      <c r="A76" s="1550" t="s">
        <v>97</v>
      </c>
      <c r="B76" s="1551"/>
      <c r="C76" s="1552"/>
      <c r="D76" s="85" t="s">
        <v>198</v>
      </c>
      <c r="E76" s="114"/>
      <c r="F76" s="114"/>
      <c r="G76" s="128"/>
      <c r="H76" s="61"/>
      <c r="I76" s="116"/>
      <c r="J76" s="161"/>
      <c r="K76" s="87"/>
      <c r="L76" s="121"/>
    </row>
    <row r="77" spans="1:12" ht="18.75" customHeight="1">
      <c r="A77" s="1550" t="s">
        <v>209</v>
      </c>
      <c r="B77" s="1551"/>
      <c r="C77" s="1552"/>
      <c r="D77" s="85" t="s">
        <v>198</v>
      </c>
      <c r="E77" s="114"/>
      <c r="F77" s="114"/>
      <c r="G77" s="128"/>
      <c r="H77" s="61"/>
      <c r="I77" s="116"/>
      <c r="J77" s="161"/>
      <c r="K77" s="87"/>
      <c r="L77" s="121"/>
    </row>
    <row r="78" spans="1:12" ht="18.75" customHeight="1">
      <c r="A78" s="1550" t="s">
        <v>210</v>
      </c>
      <c r="B78" s="1551"/>
      <c r="C78" s="1552"/>
      <c r="D78" s="85" t="s">
        <v>198</v>
      </c>
      <c r="E78" s="114"/>
      <c r="F78" s="114"/>
      <c r="G78" s="128"/>
      <c r="H78" s="61"/>
      <c r="I78" s="116"/>
      <c r="J78" s="161"/>
      <c r="K78" s="87"/>
      <c r="L78" s="121"/>
    </row>
    <row r="79" spans="1:12" ht="18.75" customHeight="1">
      <c r="A79" s="1553" t="s">
        <v>100</v>
      </c>
      <c r="B79" s="1551"/>
      <c r="C79" s="1552"/>
      <c r="D79" s="211" t="s">
        <v>143</v>
      </c>
      <c r="E79" s="114"/>
      <c r="F79" s="200"/>
      <c r="G79" s="200"/>
      <c r="H79" s="209"/>
      <c r="I79" s="210"/>
      <c r="J79" s="204"/>
      <c r="K79" s="87"/>
      <c r="L79" s="121"/>
    </row>
    <row r="80" spans="1:12" ht="18.75" customHeight="1">
      <c r="A80" s="1553" t="s">
        <v>211</v>
      </c>
      <c r="B80" s="1551"/>
      <c r="C80" s="1552"/>
      <c r="D80" s="212" t="s">
        <v>143</v>
      </c>
      <c r="E80" s="114"/>
      <c r="F80" s="58"/>
      <c r="G80" s="206"/>
      <c r="H80" s="206"/>
      <c r="I80" s="72"/>
      <c r="J80" s="83"/>
      <c r="K80" s="79"/>
      <c r="L80" s="121"/>
    </row>
    <row r="81" spans="1:12" ht="18.75" customHeight="1">
      <c r="A81" s="1553" t="s">
        <v>302</v>
      </c>
      <c r="B81" s="1551"/>
      <c r="C81" s="1552"/>
      <c r="D81" s="213" t="s">
        <v>143</v>
      </c>
      <c r="E81" s="114"/>
      <c r="F81" s="59"/>
      <c r="G81" s="206"/>
      <c r="H81" s="206"/>
      <c r="I81" s="72"/>
      <c r="J81" s="61"/>
      <c r="K81" s="92"/>
      <c r="L81" s="121"/>
    </row>
    <row r="82" spans="1:12" s="42" customFormat="1" ht="18.75" customHeight="1">
      <c r="A82" s="117" t="s">
        <v>213</v>
      </c>
      <c r="B82" s="158"/>
      <c r="C82" s="93"/>
      <c r="D82" s="93"/>
      <c r="E82" s="59"/>
      <c r="F82" s="59"/>
      <c r="G82" s="60"/>
      <c r="H82" s="86"/>
      <c r="I82" s="72"/>
      <c r="J82" s="61"/>
      <c r="K82" s="92"/>
      <c r="L82" s="48"/>
    </row>
    <row r="83" spans="1:12" s="42" customFormat="1" ht="18.75" customHeight="1">
      <c r="A83" s="181" t="s">
        <v>216</v>
      </c>
      <c r="B83" s="182"/>
      <c r="C83" s="183"/>
      <c r="D83" s="75"/>
      <c r="E83" s="75"/>
      <c r="F83" s="75"/>
      <c r="G83" s="126"/>
      <c r="H83" s="76"/>
      <c r="I83" s="77"/>
      <c r="J83" s="127"/>
      <c r="K83" s="92"/>
      <c r="L83" s="48"/>
    </row>
    <row r="84" spans="1:12" ht="18.75" customHeight="1">
      <c r="A84" s="1536" t="s">
        <v>218</v>
      </c>
      <c r="B84" s="1537"/>
      <c r="C84" s="1538"/>
      <c r="D84" s="59" t="s">
        <v>155</v>
      </c>
      <c r="E84" s="60"/>
      <c r="F84" s="86"/>
      <c r="G84" s="128"/>
      <c r="H84" s="61"/>
      <c r="I84" s="73"/>
      <c r="J84" s="62"/>
      <c r="K84" s="79"/>
      <c r="L84" s="121"/>
    </row>
    <row r="85" spans="1:12" ht="18.75" customHeight="1">
      <c r="A85" s="1536" t="s">
        <v>220</v>
      </c>
      <c r="B85" s="1537"/>
      <c r="C85" s="1538"/>
      <c r="D85" s="59" t="s">
        <v>155</v>
      </c>
      <c r="E85" s="60"/>
      <c r="F85" s="86"/>
      <c r="G85" s="128"/>
      <c r="H85" s="61"/>
      <c r="I85" s="73"/>
      <c r="J85" s="62"/>
      <c r="K85" s="92"/>
      <c r="L85" s="121"/>
    </row>
    <row r="86" spans="1:12" ht="18.75" customHeight="1">
      <c r="A86" s="1536" t="s">
        <v>221</v>
      </c>
      <c r="B86" s="1537"/>
      <c r="C86" s="1538"/>
      <c r="D86" s="59" t="s">
        <v>155</v>
      </c>
      <c r="E86" s="60"/>
      <c r="F86" s="86"/>
      <c r="G86" s="128"/>
      <c r="H86" s="61"/>
      <c r="I86" s="73"/>
      <c r="J86" s="62"/>
      <c r="K86" s="92"/>
      <c r="L86" s="121"/>
    </row>
    <row r="87" spans="1:12" ht="18.75" customHeight="1">
      <c r="A87" s="1536" t="s">
        <v>222</v>
      </c>
      <c r="B87" s="1537"/>
      <c r="C87" s="1538"/>
      <c r="D87" s="59" t="s">
        <v>155</v>
      </c>
      <c r="E87" s="60"/>
      <c r="F87" s="86"/>
      <c r="G87" s="128"/>
      <c r="H87" s="61"/>
      <c r="I87" s="73"/>
      <c r="J87" s="62"/>
      <c r="K87" s="92"/>
      <c r="L87" s="121"/>
    </row>
    <row r="88" spans="1:12" ht="18.75" customHeight="1">
      <c r="A88" s="1536" t="s">
        <v>223</v>
      </c>
      <c r="B88" s="1537"/>
      <c r="C88" s="1538"/>
      <c r="D88" s="59" t="s">
        <v>155</v>
      </c>
      <c r="E88" s="60"/>
      <c r="F88" s="86"/>
      <c r="G88" s="128"/>
      <c r="H88" s="61"/>
      <c r="I88" s="73"/>
      <c r="J88" s="62"/>
      <c r="K88" s="47"/>
      <c r="L88" s="121"/>
    </row>
    <row r="89" spans="1:12" ht="18.75" customHeight="1">
      <c r="A89" s="1536" t="s">
        <v>224</v>
      </c>
      <c r="B89" s="1537"/>
      <c r="C89" s="1538"/>
      <c r="D89" s="59" t="s">
        <v>155</v>
      </c>
      <c r="E89" s="60"/>
      <c r="F89" s="86"/>
      <c r="G89" s="128"/>
      <c r="H89" s="61"/>
      <c r="I89" s="73"/>
      <c r="J89" s="62"/>
      <c r="K89" s="55"/>
      <c r="L89" s="121"/>
    </row>
    <row r="90" spans="1:12" ht="18.75" customHeight="1">
      <c r="A90" s="1536" t="s">
        <v>225</v>
      </c>
      <c r="B90" s="1537"/>
      <c r="C90" s="1538"/>
      <c r="D90" s="59" t="s">
        <v>155</v>
      </c>
      <c r="E90" s="60"/>
      <c r="F90" s="86"/>
      <c r="G90" s="128"/>
      <c r="H90" s="61"/>
      <c r="I90" s="73"/>
      <c r="J90" s="62"/>
      <c r="K90" s="92"/>
      <c r="L90" s="121"/>
    </row>
    <row r="91" spans="1:12" ht="18.75" customHeight="1">
      <c r="A91" s="1536" t="s">
        <v>230</v>
      </c>
      <c r="B91" s="1537"/>
      <c r="C91" s="1538"/>
      <c r="D91" s="59" t="s">
        <v>155</v>
      </c>
      <c r="E91" s="60"/>
      <c r="F91" s="86"/>
      <c r="G91" s="128"/>
      <c r="H91" s="61"/>
      <c r="I91" s="73"/>
      <c r="J91" s="202"/>
      <c r="K91" s="92"/>
      <c r="L91" s="121"/>
    </row>
    <row r="92" spans="1:12" ht="18.75" customHeight="1">
      <c r="A92" s="1536" t="s">
        <v>77</v>
      </c>
      <c r="B92" s="1537"/>
      <c r="C92" s="1538"/>
      <c r="D92" s="59" t="s">
        <v>155</v>
      </c>
      <c r="E92" s="60"/>
      <c r="F92" s="86"/>
      <c r="G92" s="128"/>
      <c r="H92" s="61"/>
      <c r="I92" s="73"/>
      <c r="J92" s="202"/>
      <c r="K92" s="92"/>
      <c r="L92" s="121"/>
    </row>
    <row r="93" spans="1:12" ht="18.75" customHeight="1">
      <c r="A93" s="1536" t="s">
        <v>78</v>
      </c>
      <c r="B93" s="1537"/>
      <c r="C93" s="1538"/>
      <c r="D93" s="59" t="s">
        <v>155</v>
      </c>
      <c r="E93" s="60"/>
      <c r="F93" s="86"/>
      <c r="G93" s="128"/>
      <c r="H93" s="61"/>
      <c r="I93" s="73"/>
      <c r="J93" s="202"/>
      <c r="K93" s="92"/>
      <c r="L93" s="121"/>
    </row>
    <row r="94" spans="1:12" ht="18.75" customHeight="1">
      <c r="A94" s="1536" t="s">
        <v>217</v>
      </c>
      <c r="B94" s="1537"/>
      <c r="C94" s="1538"/>
      <c r="D94" s="59" t="s">
        <v>155</v>
      </c>
      <c r="E94" s="60"/>
      <c r="F94" s="86"/>
      <c r="G94" s="128"/>
      <c r="H94" s="61"/>
      <c r="I94" s="73"/>
      <c r="J94" s="62"/>
      <c r="K94" s="92"/>
      <c r="L94" s="121"/>
    </row>
    <row r="95" spans="1:12" ht="18.75" customHeight="1">
      <c r="A95" s="1669" t="s">
        <v>241</v>
      </c>
      <c r="B95" s="1670"/>
      <c r="C95" s="1671"/>
      <c r="D95" s="75"/>
      <c r="E95" s="75"/>
      <c r="F95" s="75"/>
      <c r="G95" s="132"/>
      <c r="H95" s="76"/>
      <c r="I95" s="77"/>
      <c r="J95" s="78"/>
      <c r="K95" s="92"/>
      <c r="L95" s="121"/>
    </row>
    <row r="96" spans="1:12" ht="18.75" customHeight="1">
      <c r="A96" s="190" t="s">
        <v>242</v>
      </c>
      <c r="B96" s="191"/>
      <c r="C96" s="192"/>
      <c r="D96" s="141" t="s">
        <v>152</v>
      </c>
      <c r="E96" s="165"/>
      <c r="F96" s="142"/>
      <c r="G96" s="143"/>
      <c r="H96" s="166"/>
      <c r="I96" s="144"/>
      <c r="J96" s="145"/>
      <c r="K96" s="92"/>
      <c r="L96" s="121"/>
    </row>
    <row r="97" spans="1:12" ht="18.75" customHeight="1">
      <c r="A97" s="93" t="s">
        <v>244</v>
      </c>
      <c r="B97" s="1298"/>
      <c r="C97" s="1299"/>
      <c r="D97" s="59" t="s">
        <v>152</v>
      </c>
      <c r="E97" s="60"/>
      <c r="F97" s="71"/>
      <c r="G97" s="72"/>
      <c r="H97" s="61"/>
      <c r="I97" s="91"/>
      <c r="J97" s="62"/>
      <c r="K97" s="92"/>
      <c r="L97" s="121"/>
    </row>
    <row r="98" spans="1:12" ht="18.75" customHeight="1">
      <c r="A98" s="1680" t="s">
        <v>261</v>
      </c>
      <c r="B98" s="1681"/>
      <c r="C98" s="75"/>
      <c r="D98" s="75"/>
      <c r="E98" s="75"/>
      <c r="F98" s="75"/>
      <c r="G98" s="132"/>
      <c r="H98" s="76"/>
      <c r="I98" s="77"/>
      <c r="J98" s="78"/>
      <c r="K98" s="92"/>
      <c r="L98" s="121"/>
    </row>
    <row r="99" spans="1:12" ht="18.75" customHeight="1">
      <c r="A99" s="1536" t="s">
        <v>262</v>
      </c>
      <c r="B99" s="1537"/>
      <c r="C99" s="1538"/>
      <c r="D99" s="59" t="s">
        <v>143</v>
      </c>
      <c r="E99" s="59"/>
      <c r="F99" s="59"/>
      <c r="G99" s="133"/>
      <c r="H99" s="61"/>
      <c r="I99" s="73"/>
      <c r="J99" s="62"/>
      <c r="K99" s="92"/>
      <c r="L99" s="121"/>
    </row>
    <row r="100" spans="1:12" ht="18.75" customHeight="1">
      <c r="A100" s="1536" t="s">
        <v>263</v>
      </c>
      <c r="B100" s="1537"/>
      <c r="C100" s="1538"/>
      <c r="D100" s="59" t="s">
        <v>24</v>
      </c>
      <c r="E100" s="58"/>
      <c r="F100" s="58"/>
      <c r="G100" s="134"/>
      <c r="H100" s="61"/>
      <c r="I100" s="88"/>
      <c r="J100" s="62"/>
      <c r="K100" s="92"/>
      <c r="L100" s="121"/>
    </row>
    <row r="101" spans="1:12" ht="18.75" customHeight="1">
      <c r="A101" s="1536" t="s">
        <v>264</v>
      </c>
      <c r="B101" s="1537"/>
      <c r="C101" s="1538"/>
      <c r="D101" s="59" t="s">
        <v>143</v>
      </c>
      <c r="E101" s="74"/>
      <c r="F101" s="74"/>
      <c r="G101" s="133"/>
      <c r="H101" s="61"/>
      <c r="I101" s="73"/>
      <c r="J101" s="62"/>
      <c r="K101" s="92"/>
      <c r="L101" s="121"/>
    </row>
    <row r="102" spans="1:12" ht="18.75" customHeight="1">
      <c r="A102" s="1536" t="s">
        <v>265</v>
      </c>
      <c r="B102" s="1537"/>
      <c r="C102" s="1538"/>
      <c r="D102" s="59" t="s">
        <v>24</v>
      </c>
      <c r="E102" s="74"/>
      <c r="F102" s="74"/>
      <c r="G102" s="134"/>
      <c r="H102" s="61"/>
      <c r="I102" s="88"/>
      <c r="J102" s="62"/>
      <c r="K102" s="115"/>
      <c r="L102" s="121"/>
    </row>
    <row r="103" spans="1:12" ht="18.75" customHeight="1">
      <c r="A103" s="1536" t="s">
        <v>266</v>
      </c>
      <c r="B103" s="1537"/>
      <c r="C103" s="1538"/>
      <c r="D103" s="59" t="s">
        <v>143</v>
      </c>
      <c r="E103" s="74"/>
      <c r="F103" s="74"/>
      <c r="G103" s="133"/>
      <c r="H103" s="61"/>
      <c r="I103" s="73"/>
      <c r="J103" s="62"/>
      <c r="K103" s="115"/>
      <c r="L103" s="121"/>
    </row>
    <row r="104" spans="1:12" ht="18.75" customHeight="1">
      <c r="A104" s="1536" t="s">
        <v>267</v>
      </c>
      <c r="B104" s="1537"/>
      <c r="C104" s="1538"/>
      <c r="D104" s="59" t="s">
        <v>24</v>
      </c>
      <c r="E104" s="74"/>
      <c r="F104" s="74"/>
      <c r="G104" s="134"/>
      <c r="H104" s="61"/>
      <c r="I104" s="88"/>
      <c r="J104" s="62"/>
      <c r="K104" s="115"/>
      <c r="L104" s="121"/>
    </row>
    <row r="105" spans="1:12" ht="18.75" customHeight="1">
      <c r="A105" s="1536" t="s">
        <v>268</v>
      </c>
      <c r="B105" s="1537"/>
      <c r="C105" s="1538"/>
      <c r="D105" s="59" t="s">
        <v>194</v>
      </c>
      <c r="E105" s="74"/>
      <c r="F105" s="74"/>
      <c r="G105" s="133"/>
      <c r="H105" s="61"/>
      <c r="I105" s="90"/>
      <c r="J105" s="62"/>
      <c r="K105" s="115"/>
      <c r="L105" s="121"/>
    </row>
    <row r="106" spans="1:12" ht="18.75" customHeight="1">
      <c r="A106" s="1536" t="s">
        <v>269</v>
      </c>
      <c r="B106" s="1537"/>
      <c r="C106" s="1538"/>
      <c r="D106" s="59" t="s">
        <v>24</v>
      </c>
      <c r="E106" s="74"/>
      <c r="F106" s="74"/>
      <c r="G106" s="134"/>
      <c r="H106" s="61"/>
      <c r="I106" s="90"/>
      <c r="J106" s="62"/>
    </row>
    <row r="107" spans="1:12" ht="18.75" customHeight="1">
      <c r="A107" s="1536" t="s">
        <v>270</v>
      </c>
      <c r="B107" s="1537"/>
      <c r="C107" s="1538"/>
      <c r="D107" s="59" t="s">
        <v>194</v>
      </c>
      <c r="E107" s="74"/>
      <c r="F107" s="74"/>
      <c r="G107" s="135"/>
      <c r="H107" s="61"/>
      <c r="I107" s="73"/>
      <c r="J107" s="62"/>
      <c r="K107" s="157"/>
    </row>
    <row r="108" spans="1:12" ht="18.75" customHeight="1">
      <c r="A108" s="1536" t="s">
        <v>271</v>
      </c>
      <c r="B108" s="1537"/>
      <c r="C108" s="1538"/>
      <c r="D108" s="59" t="s">
        <v>24</v>
      </c>
      <c r="E108" s="74"/>
      <c r="F108" s="74"/>
      <c r="G108" s="135"/>
      <c r="H108" s="61"/>
      <c r="I108" s="90"/>
      <c r="J108" s="62"/>
    </row>
    <row r="109" spans="1:12" ht="18.75" customHeight="1">
      <c r="A109" s="1536" t="s">
        <v>272</v>
      </c>
      <c r="B109" s="1537"/>
      <c r="C109" s="1538"/>
      <c r="D109" s="59" t="s">
        <v>194</v>
      </c>
      <c r="E109" s="74"/>
      <c r="F109" s="74"/>
      <c r="G109" s="136"/>
      <c r="H109" s="61"/>
      <c r="I109" s="90"/>
      <c r="J109" s="62"/>
    </row>
    <row r="110" spans="1:12" ht="18.75" customHeight="1">
      <c r="A110" s="1536" t="s">
        <v>273</v>
      </c>
      <c r="B110" s="1537"/>
      <c r="C110" s="1538"/>
      <c r="D110" s="59" t="s">
        <v>24</v>
      </c>
      <c r="E110" s="74"/>
      <c r="F110" s="74"/>
      <c r="G110" s="135"/>
      <c r="H110" s="61"/>
      <c r="I110" s="73"/>
      <c r="J110" s="62"/>
    </row>
    <row r="111" spans="1:12" ht="18.75" customHeight="1">
      <c r="A111" s="177" t="s">
        <v>248</v>
      </c>
      <c r="B111" s="177"/>
      <c r="C111" s="177"/>
      <c r="D111" s="64"/>
      <c r="E111" s="64"/>
      <c r="F111" s="64"/>
      <c r="G111" s="130"/>
      <c r="H111" s="65"/>
      <c r="I111" s="131">
        <f>I110-J110</f>
        <v>0</v>
      </c>
      <c r="J111" s="67"/>
    </row>
    <row r="112" spans="1:12" ht="18.75" customHeight="1">
      <c r="A112" s="201" t="s">
        <v>249</v>
      </c>
      <c r="B112" s="201"/>
      <c r="C112" s="201"/>
      <c r="D112" s="59" t="s">
        <v>250</v>
      </c>
      <c r="E112" s="60"/>
      <c r="F112" s="86"/>
      <c r="G112" s="128"/>
      <c r="H112" s="61"/>
      <c r="I112" s="73"/>
      <c r="J112" s="62"/>
    </row>
    <row r="113" spans="1:10" ht="18.75" customHeight="1">
      <c r="A113" s="201" t="s">
        <v>251</v>
      </c>
      <c r="B113" s="201"/>
      <c r="C113" s="201"/>
      <c r="D113" s="59" t="s">
        <v>250</v>
      </c>
      <c r="E113" s="60"/>
      <c r="F113" s="86"/>
      <c r="G113" s="128"/>
      <c r="H113" s="61"/>
      <c r="I113" s="73"/>
      <c r="J113" s="62"/>
    </row>
    <row r="114" spans="1:10" ht="18.75" customHeight="1">
      <c r="A114" s="201" t="s">
        <v>252</v>
      </c>
      <c r="B114" s="201"/>
      <c r="C114" s="201"/>
      <c r="D114" s="59" t="s">
        <v>250</v>
      </c>
      <c r="E114" s="60"/>
      <c r="F114" s="86"/>
      <c r="G114" s="128"/>
      <c r="H114" s="61"/>
      <c r="I114" s="73"/>
      <c r="J114" s="62"/>
    </row>
    <row r="115" spans="1:10" ht="18.75" customHeight="1">
      <c r="A115" s="201" t="s">
        <v>253</v>
      </c>
      <c r="B115" s="201"/>
      <c r="C115" s="201"/>
      <c r="D115" s="59" t="s">
        <v>250</v>
      </c>
      <c r="E115" s="60"/>
      <c r="F115" s="86"/>
      <c r="G115" s="128"/>
      <c r="H115" s="61"/>
      <c r="I115" s="73"/>
      <c r="J115" s="62"/>
    </row>
    <row r="116" spans="1:10" ht="18.75" customHeight="1">
      <c r="A116" s="201" t="s">
        <v>254</v>
      </c>
      <c r="B116" s="201"/>
      <c r="C116" s="201"/>
      <c r="D116" s="59" t="s">
        <v>250</v>
      </c>
      <c r="E116" s="60"/>
      <c r="F116" s="86"/>
      <c r="G116" s="128"/>
      <c r="H116" s="61"/>
      <c r="I116" s="73"/>
      <c r="J116" s="62"/>
    </row>
    <row r="117" spans="1:10" ht="18.75" customHeight="1">
      <c r="A117" s="201" t="s">
        <v>255</v>
      </c>
      <c r="B117" s="201"/>
      <c r="C117" s="201"/>
      <c r="D117" s="59" t="s">
        <v>250</v>
      </c>
      <c r="E117" s="60"/>
      <c r="F117" s="86"/>
      <c r="G117" s="128"/>
      <c r="H117" s="61"/>
      <c r="I117" s="73"/>
      <c r="J117" s="62"/>
    </row>
    <row r="118" spans="1:10" ht="18.75" customHeight="1">
      <c r="A118" s="201" t="s">
        <v>256</v>
      </c>
      <c r="B118" s="201"/>
      <c r="C118" s="201"/>
      <c r="D118" s="59" t="s">
        <v>250</v>
      </c>
      <c r="E118" s="60"/>
      <c r="F118" s="86"/>
      <c r="G118" s="128"/>
      <c r="H118" s="61"/>
      <c r="I118" s="73"/>
      <c r="J118" s="62"/>
    </row>
    <row r="119" spans="1:10" ht="18.75" customHeight="1">
      <c r="A119" s="201" t="s">
        <v>257</v>
      </c>
      <c r="B119" s="201"/>
      <c r="C119" s="201"/>
      <c r="D119" s="59" t="s">
        <v>250</v>
      </c>
      <c r="E119" s="60"/>
      <c r="F119" s="86"/>
      <c r="G119" s="128"/>
      <c r="H119" s="61"/>
      <c r="I119" s="73"/>
      <c r="J119" s="62"/>
    </row>
    <row r="120" spans="1:10" ht="18.75" customHeight="1">
      <c r="A120" s="201" t="s">
        <v>258</v>
      </c>
      <c r="B120" s="201"/>
      <c r="C120" s="201"/>
      <c r="D120" s="59" t="s">
        <v>250</v>
      </c>
      <c r="E120" s="60"/>
      <c r="F120" s="86"/>
      <c r="G120" s="128"/>
      <c r="H120" s="61"/>
      <c r="I120" s="73"/>
      <c r="J120" s="62"/>
    </row>
    <row r="121" spans="1:10" ht="18.75" customHeight="1">
      <c r="A121" s="201" t="s">
        <v>259</v>
      </c>
      <c r="B121" s="201"/>
      <c r="C121" s="201"/>
      <c r="D121" s="59" t="s">
        <v>250</v>
      </c>
      <c r="E121" s="60"/>
      <c r="F121" s="86"/>
      <c r="G121" s="128"/>
      <c r="H121" s="61"/>
      <c r="I121" s="73"/>
      <c r="J121" s="62"/>
    </row>
    <row r="122" spans="1:10" ht="18.75" customHeight="1">
      <c r="A122" s="201" t="s">
        <v>260</v>
      </c>
      <c r="B122" s="201"/>
      <c r="C122" s="201"/>
      <c r="D122" s="59" t="s">
        <v>250</v>
      </c>
      <c r="E122" s="60"/>
      <c r="F122" s="86"/>
      <c r="G122" s="128"/>
      <c r="H122" s="61"/>
      <c r="I122" s="73"/>
      <c r="J122" s="62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8" customWidth="1"/>
    <col min="2" max="2" width="24" style="118" customWidth="1"/>
    <col min="3" max="3" width="18.77734375" style="118" customWidth="1"/>
    <col min="4" max="4" width="13.10937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8.8867187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3.25" customHeight="1">
      <c r="A1" s="1523" t="s">
        <v>128</v>
      </c>
      <c r="B1" s="1523"/>
      <c r="C1" s="1523"/>
      <c r="D1" s="1523"/>
      <c r="E1" s="1523"/>
      <c r="F1" s="1523"/>
      <c r="G1" s="1523"/>
      <c r="H1" s="1523"/>
      <c r="I1" s="1523"/>
      <c r="J1" s="1523"/>
    </row>
    <row r="2" spans="1:12" ht="23.25" customHeight="1">
      <c r="A2" s="293" t="s">
        <v>303</v>
      </c>
      <c r="B2" s="294">
        <v>43585</v>
      </c>
      <c r="C2" s="432" t="s">
        <v>69</v>
      </c>
      <c r="D2" s="295">
        <v>0.66339999999999999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296" t="s">
        <v>131</v>
      </c>
      <c r="D3" s="431">
        <v>32</v>
      </c>
      <c r="E3" s="1527" t="s">
        <v>132</v>
      </c>
      <c r="F3" s="1528"/>
      <c r="G3" s="301">
        <f>'1'!G3</f>
        <v>0</v>
      </c>
      <c r="H3" s="302">
        <f>'1'!H3</f>
        <v>0</v>
      </c>
      <c r="I3" s="302">
        <f>'1'!I3</f>
        <v>0</v>
      </c>
      <c r="J3" s="302">
        <f>'1'!J3</f>
        <v>0</v>
      </c>
      <c r="K3" s="120"/>
      <c r="L3" s="121"/>
    </row>
    <row r="4" spans="1:12" ht="23.25" customHeight="1">
      <c r="A4" s="305"/>
      <c r="B4" s="299"/>
      <c r="C4" s="432" t="s">
        <v>133</v>
      </c>
      <c r="D4" s="295">
        <v>0.71</v>
      </c>
      <c r="E4" s="306"/>
      <c r="F4" s="306"/>
      <c r="G4" s="306"/>
      <c r="H4" s="306"/>
      <c r="I4" s="307"/>
      <c r="J4" s="298"/>
      <c r="K4" s="122"/>
      <c r="L4" s="121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23.25" customHeight="1">
      <c r="A6" s="1524" t="s">
        <v>141</v>
      </c>
      <c r="B6" s="1525"/>
      <c r="C6" s="1526"/>
      <c r="D6" s="435"/>
      <c r="E6" s="435"/>
      <c r="F6" s="435"/>
      <c r="G6" s="435"/>
      <c r="H6" s="537"/>
      <c r="I6" s="537"/>
      <c r="J6" s="537"/>
      <c r="K6" s="47"/>
      <c r="L6" s="121"/>
    </row>
    <row r="7" spans="1:12" ht="23.25" customHeight="1" thickBot="1">
      <c r="A7" s="319" t="s">
        <v>142</v>
      </c>
      <c r="B7" s="320"/>
      <c r="C7" s="321"/>
      <c r="D7" s="322" t="s">
        <v>143</v>
      </c>
      <c r="E7" s="163">
        <f>'29'!F7</f>
        <v>2647221</v>
      </c>
      <c r="F7" s="323">
        <v>3615871.9</v>
      </c>
      <c r="G7" s="324">
        <f>F7-E7</f>
        <v>968650.89999999991</v>
      </c>
      <c r="H7" s="61">
        <f>G7+'29'!H7</f>
        <v>1510846.9</v>
      </c>
      <c r="I7" s="287">
        <f>'1'!I7</f>
        <v>12000</v>
      </c>
      <c r="J7" s="62">
        <f>H7/DAY(B2)</f>
        <v>50361.563333333332</v>
      </c>
      <c r="K7" s="63"/>
      <c r="L7" s="121"/>
    </row>
    <row r="8" spans="1:12" ht="23.25" customHeight="1">
      <c r="A8" s="327"/>
      <c r="B8" s="328"/>
      <c r="C8" s="329"/>
      <c r="D8" s="330"/>
      <c r="E8" s="331"/>
      <c r="F8" s="331"/>
      <c r="G8" s="332"/>
      <c r="H8" s="166"/>
      <c r="I8" s="254"/>
      <c r="J8" s="145"/>
      <c r="K8" s="63"/>
      <c r="L8" s="121"/>
    </row>
    <row r="9" spans="1:12" ht="23.25" customHeight="1">
      <c r="A9" s="333" t="s">
        <v>145</v>
      </c>
      <c r="B9" s="334"/>
      <c r="C9" s="335"/>
      <c r="D9" s="279" t="s">
        <v>143</v>
      </c>
      <c r="E9" s="60">
        <f>'29'!F9</f>
        <v>2253967.7000000002</v>
      </c>
      <c r="F9" s="275">
        <v>2288314.7000000002</v>
      </c>
      <c r="G9" s="336">
        <f t="shared" ref="G9:G11" si="0">F9-E9</f>
        <v>34347</v>
      </c>
      <c r="H9" s="61">
        <f>G9+'29'!H9</f>
        <v>271309.40000000014</v>
      </c>
      <c r="I9" s="289">
        <f>I7-J7</f>
        <v>-38361.563333333332</v>
      </c>
      <c r="J9" s="62">
        <f>H9/DAY(B2)</f>
        <v>9043.6466666666711</v>
      </c>
      <c r="K9" s="63"/>
      <c r="L9" s="121"/>
    </row>
    <row r="10" spans="1:12" ht="23.25" customHeight="1">
      <c r="A10" s="338" t="s">
        <v>146</v>
      </c>
      <c r="B10" s="339"/>
      <c r="C10" s="340"/>
      <c r="D10" s="279" t="s">
        <v>143</v>
      </c>
      <c r="E10" s="60">
        <f>'29'!F10</f>
        <v>285589.84999999998</v>
      </c>
      <c r="F10" s="275">
        <v>1226059.3999999999</v>
      </c>
      <c r="G10" s="336">
        <f t="shared" si="0"/>
        <v>940469.54999999993</v>
      </c>
      <c r="H10" s="61">
        <f>G10+'29'!H10</f>
        <v>1226059.6099999999</v>
      </c>
      <c r="I10" s="73"/>
      <c r="J10" s="62">
        <f>H10/DAY(B2)</f>
        <v>40868.653666666665</v>
      </c>
      <c r="K10" s="63"/>
      <c r="L10" s="121"/>
    </row>
    <row r="11" spans="1:12" ht="23.25" customHeight="1">
      <c r="A11" s="338" t="s">
        <v>147</v>
      </c>
      <c r="B11" s="339"/>
      <c r="C11" s="340"/>
      <c r="D11" s="279" t="s">
        <v>143</v>
      </c>
      <c r="E11" s="60">
        <f>'29'!F11</f>
        <v>35390</v>
      </c>
      <c r="F11" s="274">
        <v>33860</v>
      </c>
      <c r="G11" s="336">
        <f t="shared" si="0"/>
        <v>-1530</v>
      </c>
      <c r="H11" s="61">
        <f>G11+'29'!H11</f>
        <v>-1530</v>
      </c>
      <c r="I11" s="73"/>
      <c r="J11" s="62">
        <f>H11/DAY(B2)</f>
        <v>-51</v>
      </c>
      <c r="K11" s="63"/>
      <c r="L11" s="121"/>
    </row>
    <row r="12" spans="1:12" ht="23.25" customHeight="1">
      <c r="A12" s="338" t="s">
        <v>148</v>
      </c>
      <c r="B12" s="339"/>
      <c r="C12" s="340"/>
      <c r="D12" s="279" t="s">
        <v>143</v>
      </c>
      <c r="E12" s="60">
        <f>'29'!F12</f>
        <v>37630</v>
      </c>
      <c r="F12" s="275">
        <v>3760</v>
      </c>
      <c r="G12" s="336">
        <v>0</v>
      </c>
      <c r="H12" s="61">
        <f>G12+'29'!H12</f>
        <v>0</v>
      </c>
      <c r="I12" s="73"/>
      <c r="J12" s="62">
        <f>H12/DAY(B2)</f>
        <v>0</v>
      </c>
      <c r="K12" s="63"/>
      <c r="L12" s="121"/>
    </row>
    <row r="13" spans="1:12" ht="23.25" customHeight="1">
      <c r="A13" s="450" t="s">
        <v>149</v>
      </c>
      <c r="B13" s="451"/>
      <c r="C13" s="452"/>
      <c r="D13" s="279"/>
      <c r="E13" s="474"/>
      <c r="F13" s="290"/>
      <c r="G13" s="290">
        <f>G9+G10+G11+G12</f>
        <v>973286.54999999993</v>
      </c>
      <c r="H13" s="61">
        <f>G13+'29'!H13</f>
        <v>1441575.2100000002</v>
      </c>
      <c r="I13" s="411">
        <f>G7-G13</f>
        <v>-4635.6500000000233</v>
      </c>
      <c r="J13" s="325">
        <f>H13/DAY(B2)</f>
        <v>48052.507000000005</v>
      </c>
      <c r="K13" s="63"/>
      <c r="L13" s="121"/>
    </row>
    <row r="14" spans="1:12" ht="23.25" customHeight="1">
      <c r="A14" s="1514" t="s">
        <v>150</v>
      </c>
      <c r="B14" s="1515"/>
      <c r="C14" s="1516"/>
      <c r="D14" s="537"/>
      <c r="E14" s="537"/>
      <c r="F14" s="537"/>
      <c r="G14" s="438"/>
      <c r="H14" s="537"/>
      <c r="I14" s="537"/>
      <c r="J14" s="537"/>
      <c r="K14" s="79"/>
      <c r="L14" s="121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163">
        <f>'29'!F15</f>
        <v>1546222.4140000001</v>
      </c>
      <c r="F15" s="277">
        <v>1040573.68</v>
      </c>
      <c r="G15" s="336">
        <f>(F15-E15)</f>
        <v>-505648.73400000005</v>
      </c>
      <c r="H15" s="61">
        <f>G15+'29'!H15</f>
        <v>-489541.51399999985</v>
      </c>
      <c r="I15" s="287">
        <f>'1'!I15</f>
        <v>800</v>
      </c>
      <c r="J15" s="62">
        <f>H15/DAY(B2)</f>
        <v>-16318.050466666662</v>
      </c>
      <c r="K15" s="63"/>
      <c r="L15" s="121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259"/>
      <c r="I16" s="419">
        <f>I15-J15</f>
        <v>17118.05046666666</v>
      </c>
      <c r="J16" s="233"/>
      <c r="K16" s="63"/>
      <c r="L16" s="121"/>
    </row>
    <row r="17" spans="1:12" ht="23.25" customHeight="1">
      <c r="A17" s="1514" t="s">
        <v>153</v>
      </c>
      <c r="B17" s="1515"/>
      <c r="C17" s="1516"/>
      <c r="D17" s="537"/>
      <c r="E17" s="537"/>
      <c r="F17" s="537"/>
      <c r="G17" s="439"/>
      <c r="H17" s="537"/>
      <c r="I17" s="537"/>
      <c r="J17" s="537"/>
      <c r="K17" s="63"/>
      <c r="L17" s="121"/>
    </row>
    <row r="18" spans="1:12" ht="23.25" customHeight="1">
      <c r="A18" s="1495" t="s">
        <v>154</v>
      </c>
      <c r="B18" s="1496"/>
      <c r="C18" s="1497"/>
      <c r="D18" s="279" t="s">
        <v>155</v>
      </c>
      <c r="E18" s="465">
        <f>'29'!F18</f>
        <v>14</v>
      </c>
      <c r="F18" s="278">
        <v>24</v>
      </c>
      <c r="G18" s="290">
        <f>F18*10</f>
        <v>240</v>
      </c>
      <c r="H18" s="61">
        <f>G18+'29'!H18</f>
        <v>3230</v>
      </c>
      <c r="I18" s="162">
        <f>'1'!I18</f>
        <v>65</v>
      </c>
      <c r="J18" s="62">
        <f>H18/DAY(B2)</f>
        <v>107.66666666666667</v>
      </c>
      <c r="K18" s="63"/>
      <c r="L18" s="121"/>
    </row>
    <row r="19" spans="1:12" ht="23.25" customHeight="1">
      <c r="A19" s="1495" t="s">
        <v>71</v>
      </c>
      <c r="B19" s="1496"/>
      <c r="C19" s="1497"/>
      <c r="D19" s="279" t="s">
        <v>155</v>
      </c>
      <c r="E19" s="60">
        <f>'29'!F19</f>
        <v>129744</v>
      </c>
      <c r="F19" s="278">
        <v>99778</v>
      </c>
      <c r="G19" s="336">
        <f t="shared" ref="G19" si="1">F19-E19</f>
        <v>-29966</v>
      </c>
      <c r="H19" s="61">
        <f>G19+'29'!H19</f>
        <v>-28417</v>
      </c>
      <c r="I19" s="84"/>
      <c r="J19" s="62">
        <f>H19/DAY(B2)</f>
        <v>-947.23333333333335</v>
      </c>
      <c r="K19" s="63"/>
      <c r="L19" s="121"/>
    </row>
    <row r="20" spans="1:12" ht="23.25" customHeight="1">
      <c r="A20" s="450" t="s">
        <v>156</v>
      </c>
      <c r="B20" s="451"/>
      <c r="C20" s="452"/>
      <c r="D20" s="352"/>
      <c r="E20" s="473"/>
      <c r="F20" s="352"/>
      <c r="G20" s="353">
        <f>G18+G19</f>
        <v>-29726</v>
      </c>
      <c r="H20" s="61">
        <f>G20+'29'!H20</f>
        <v>-25187</v>
      </c>
      <c r="I20" s="131">
        <f>J20-I18</f>
        <v>-904.56666666666672</v>
      </c>
      <c r="J20" s="62">
        <f>H20/DAY(B2)</f>
        <v>-839.56666666666672</v>
      </c>
      <c r="K20" s="63"/>
      <c r="L20" s="121"/>
    </row>
    <row r="21" spans="1:12" ht="23.25" customHeight="1">
      <c r="A21" s="1514" t="s">
        <v>157</v>
      </c>
      <c r="B21" s="1515"/>
      <c r="C21" s="1516"/>
      <c r="D21" s="537"/>
      <c r="E21" s="537"/>
      <c r="F21" s="537"/>
      <c r="G21" s="438"/>
      <c r="H21" s="537"/>
      <c r="I21" s="537"/>
      <c r="J21" s="537"/>
      <c r="K21" s="63"/>
      <c r="L21" s="121"/>
    </row>
    <row r="22" spans="1:12" ht="23.25" customHeight="1">
      <c r="A22" s="1288" t="s">
        <v>158</v>
      </c>
      <c r="B22" s="1289"/>
      <c r="C22" s="1290"/>
      <c r="D22" s="279" t="s">
        <v>159</v>
      </c>
      <c r="E22" s="465">
        <f>'29'!F22</f>
        <v>1610</v>
      </c>
      <c r="F22" s="278">
        <v>2010</v>
      </c>
      <c r="G22" s="290">
        <f t="shared" ref="G22" si="2">(F22-E22)</f>
        <v>400</v>
      </c>
      <c r="H22" s="61">
        <f>G22+'29'!H22</f>
        <v>1040</v>
      </c>
      <c r="I22" s="73"/>
      <c r="J22" s="62">
        <f>H22/DAY(B2)</f>
        <v>34.666666666666664</v>
      </c>
      <c r="K22" s="63"/>
      <c r="L22" s="121"/>
    </row>
    <row r="23" spans="1:12" ht="23.25" customHeight="1">
      <c r="A23" s="1288" t="s">
        <v>160</v>
      </c>
      <c r="B23" s="1289"/>
      <c r="C23" s="1290"/>
      <c r="D23" s="279" t="s">
        <v>159</v>
      </c>
      <c r="E23" s="60">
        <f>'29'!F23</f>
        <v>1700</v>
      </c>
      <c r="F23" s="278">
        <v>2075</v>
      </c>
      <c r="G23" s="290">
        <v>0</v>
      </c>
      <c r="H23" s="61">
        <f>G23+'29'!H23</f>
        <v>0</v>
      </c>
      <c r="I23" s="73"/>
      <c r="J23" s="62">
        <f>H23/DAY(B2)</f>
        <v>0</v>
      </c>
      <c r="K23" s="63"/>
      <c r="L23" s="121"/>
    </row>
    <row r="24" spans="1:12" ht="23.25" customHeight="1">
      <c r="A24" s="453" t="s">
        <v>161</v>
      </c>
      <c r="B24" s="454"/>
      <c r="C24" s="455"/>
      <c r="D24" s="280" t="s">
        <v>159</v>
      </c>
      <c r="E24" s="60">
        <f>'29'!F24</f>
        <v>3310</v>
      </c>
      <c r="F24" s="355">
        <v>4085</v>
      </c>
      <c r="G24" s="290">
        <v>0</v>
      </c>
      <c r="H24" s="61">
        <f>G24+'29'!H24</f>
        <v>0</v>
      </c>
      <c r="I24" s="73"/>
      <c r="J24" s="62">
        <f>H24/DAY(B2)</f>
        <v>0</v>
      </c>
      <c r="K24" s="63"/>
      <c r="L24" s="121"/>
    </row>
    <row r="25" spans="1:12" ht="23.25" customHeight="1">
      <c r="A25" s="1520" t="s">
        <v>162</v>
      </c>
      <c r="B25" s="1521"/>
      <c r="C25" s="1522"/>
      <c r="D25" s="435"/>
      <c r="E25" s="463"/>
      <c r="F25" s="435"/>
      <c r="G25" s="440"/>
      <c r="H25" s="537"/>
      <c r="I25" s="537"/>
      <c r="J25" s="537"/>
      <c r="K25" s="63"/>
      <c r="L25" s="121"/>
    </row>
    <row r="26" spans="1:12" ht="23.25" customHeight="1">
      <c r="A26" s="356" t="s">
        <v>163</v>
      </c>
      <c r="B26" s="357"/>
      <c r="C26" s="358"/>
      <c r="D26" s="359" t="s">
        <v>164</v>
      </c>
      <c r="E26" s="360" t="s">
        <v>304</v>
      </c>
      <c r="F26" s="360"/>
      <c r="G26" s="361"/>
      <c r="H26" s="61"/>
      <c r="I26" s="149"/>
      <c r="J26" s="62"/>
      <c r="K26" s="79"/>
      <c r="L26" s="121"/>
    </row>
    <row r="27" spans="1:12" ht="23.25" customHeight="1">
      <c r="A27" s="356" t="s">
        <v>6</v>
      </c>
      <c r="B27" s="357"/>
      <c r="C27" s="358"/>
      <c r="D27" s="363" t="s">
        <v>143</v>
      </c>
      <c r="E27" s="364">
        <f>G7</f>
        <v>968650.89999999991</v>
      </c>
      <c r="F27" s="462">
        <v>10.86</v>
      </c>
      <c r="G27" s="407">
        <f>E27*F27</f>
        <v>10519548.773999998</v>
      </c>
      <c r="H27" s="61" t="e">
        <f>G27+'29'!#REF!</f>
        <v>#REF!</v>
      </c>
      <c r="I27" s="152"/>
      <c r="J27" s="62" t="e">
        <f>H27/DAY(B2)</f>
        <v>#REF!</v>
      </c>
      <c r="K27" s="63"/>
      <c r="L27" s="121"/>
    </row>
    <row r="28" spans="1:12" ht="23.25" customHeight="1">
      <c r="A28" s="356" t="s">
        <v>165</v>
      </c>
      <c r="B28" s="357"/>
      <c r="C28" s="358"/>
      <c r="D28" s="363" t="s">
        <v>166</v>
      </c>
      <c r="E28" s="366">
        <f>G15</f>
        <v>-505648.73400000005</v>
      </c>
      <c r="F28" s="462">
        <v>44</v>
      </c>
      <c r="G28" s="407">
        <f>E28*F28</f>
        <v>-22248544.296000004</v>
      </c>
      <c r="H28" s="61" t="e">
        <f>G28+'29'!#REF!</f>
        <v>#REF!</v>
      </c>
      <c r="I28" s="116"/>
      <c r="J28" s="62" t="e">
        <f>H28/DAY(B2)</f>
        <v>#REF!</v>
      </c>
      <c r="K28" s="63"/>
      <c r="L28" s="121"/>
    </row>
    <row r="29" spans="1:12" ht="23.2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462">
        <v>61.32</v>
      </c>
      <c r="G29" s="407">
        <f>E29*F29</f>
        <v>0</v>
      </c>
      <c r="H29" s="61" t="e">
        <f>G29+'29'!#REF!</f>
        <v>#REF!</v>
      </c>
      <c r="I29" s="116"/>
      <c r="J29" s="62" t="e">
        <f>H29/DAY(B2)</f>
        <v>#REF!</v>
      </c>
      <c r="K29" s="63"/>
      <c r="L29" s="121"/>
    </row>
    <row r="30" spans="1:12" ht="23.25" customHeight="1">
      <c r="A30" s="356" t="s">
        <v>8</v>
      </c>
      <c r="B30" s="357"/>
      <c r="C30" s="358"/>
      <c r="D30" s="363" t="s">
        <v>170</v>
      </c>
      <c r="E30" s="368">
        <f>G20</f>
        <v>-29726</v>
      </c>
      <c r="F30" s="462">
        <v>95</v>
      </c>
      <c r="G30" s="407">
        <f>E30*F30</f>
        <v>-2823970</v>
      </c>
      <c r="H30" s="61" t="e">
        <f>G30+'29'!#REF!</f>
        <v>#REF!</v>
      </c>
      <c r="I30" s="116"/>
      <c r="J30" s="62" t="e">
        <f>H30/DAY(B2)</f>
        <v>#REF!</v>
      </c>
      <c r="K30" s="63"/>
      <c r="L30" s="121"/>
    </row>
    <row r="31" spans="1:12" ht="23.25" customHeight="1">
      <c r="A31" s="456" t="s">
        <v>172</v>
      </c>
      <c r="B31" s="457"/>
      <c r="C31" s="458"/>
      <c r="D31" s="369"/>
      <c r="E31" s="369"/>
      <c r="F31" s="369"/>
      <c r="G31" s="408">
        <f>G27+G28+G29+G30</f>
        <v>-14552965.522000005</v>
      </c>
      <c r="H31" s="61" t="e">
        <f>G31+'29'!#REF!</f>
        <v>#REF!</v>
      </c>
      <c r="I31" s="155"/>
      <c r="J31" s="62" t="e">
        <f>H31/DAY(B2)</f>
        <v>#REF!</v>
      </c>
      <c r="K31" s="63"/>
      <c r="L31" s="121"/>
    </row>
    <row r="32" spans="1:12" ht="23.25" customHeight="1">
      <c r="A32" s="1517" t="s">
        <v>173</v>
      </c>
      <c r="B32" s="1518"/>
      <c r="C32" s="1518"/>
      <c r="D32" s="1518"/>
      <c r="E32" s="1518"/>
      <c r="F32" s="1518"/>
      <c r="G32" s="1518"/>
      <c r="H32" s="1518"/>
      <c r="I32" s="1518"/>
      <c r="J32" s="1519"/>
      <c r="K32" s="63"/>
      <c r="L32" s="121"/>
    </row>
    <row r="33" spans="1:12" ht="23.25" customHeight="1">
      <c r="A33" s="1283" t="s">
        <v>174</v>
      </c>
      <c r="B33" s="1284"/>
      <c r="C33" s="1285"/>
      <c r="D33" s="537"/>
      <c r="E33" s="435"/>
      <c r="F33" s="435"/>
      <c r="G33" s="537"/>
      <c r="H33" s="537"/>
      <c r="I33" s="537"/>
      <c r="J33" s="537"/>
      <c r="K33" s="63"/>
      <c r="L33" s="121"/>
    </row>
    <row r="34" spans="1:12" ht="23.25" customHeight="1">
      <c r="A34" s="338" t="s">
        <v>175</v>
      </c>
      <c r="B34" s="339"/>
      <c r="C34" s="340"/>
      <c r="D34" s="279" t="s">
        <v>143</v>
      </c>
      <c r="E34" s="465">
        <f>'29'!F35</f>
        <v>629027.67000000004</v>
      </c>
      <c r="F34" s="371">
        <v>0</v>
      </c>
      <c r="G34" s="336">
        <f t="shared" ref="G34:G45" si="3">F34-E34</f>
        <v>-629027.67000000004</v>
      </c>
      <c r="H34" s="61">
        <f>G34+'29'!H35</f>
        <v>-603169.47</v>
      </c>
      <c r="I34" s="60"/>
      <c r="J34" s="62">
        <f>H34/DAY(B2)</f>
        <v>-20105.648999999998</v>
      </c>
      <c r="K34" s="63"/>
      <c r="L34" s="121"/>
    </row>
    <row r="35" spans="1:12" ht="23.25" customHeight="1">
      <c r="A35" s="338" t="s">
        <v>176</v>
      </c>
      <c r="B35" s="339"/>
      <c r="C35" s="340"/>
      <c r="D35" s="279" t="s">
        <v>143</v>
      </c>
      <c r="E35" s="60">
        <f>'29'!F36</f>
        <v>229085.73</v>
      </c>
      <c r="F35" s="371">
        <v>694322.47</v>
      </c>
      <c r="G35" s="336">
        <f t="shared" si="3"/>
        <v>465236.74</v>
      </c>
      <c r="H35" s="61">
        <f>G35+'29'!H36</f>
        <v>482962.52</v>
      </c>
      <c r="I35" s="60"/>
      <c r="J35" s="62">
        <f>H35/DAY(B2)</f>
        <v>16098.750666666667</v>
      </c>
      <c r="K35" s="63"/>
      <c r="L35" s="121"/>
    </row>
    <row r="36" spans="1:12" ht="23.25" customHeight="1">
      <c r="A36" s="338" t="s">
        <v>177</v>
      </c>
      <c r="B36" s="339"/>
      <c r="C36" s="340"/>
      <c r="D36" s="279" t="s">
        <v>143</v>
      </c>
      <c r="E36" s="60">
        <f>'29'!F37</f>
        <v>415066</v>
      </c>
      <c r="F36" s="371">
        <v>392708.87</v>
      </c>
      <c r="G36" s="336">
        <f t="shared" si="3"/>
        <v>-22357.130000000005</v>
      </c>
      <c r="H36" s="61">
        <f>G36+'29'!H37</f>
        <v>-7135.320000000007</v>
      </c>
      <c r="I36" s="60"/>
      <c r="J36" s="62">
        <f>H36/DAY(B2)</f>
        <v>-237.84400000000022</v>
      </c>
      <c r="K36" s="63"/>
      <c r="L36" s="121"/>
    </row>
    <row r="37" spans="1:12" ht="23.25" customHeight="1">
      <c r="A37" s="338" t="s">
        <v>178</v>
      </c>
      <c r="B37" s="339"/>
      <c r="C37" s="340"/>
      <c r="D37" s="279" t="s">
        <v>143</v>
      </c>
      <c r="E37" s="60">
        <f>'29'!F38</f>
        <v>150714</v>
      </c>
      <c r="F37" s="372">
        <v>675505.75</v>
      </c>
      <c r="G37" s="336">
        <f t="shared" si="3"/>
        <v>524791.75</v>
      </c>
      <c r="H37" s="61">
        <f>G37+'29'!H38</f>
        <v>524791.75</v>
      </c>
      <c r="I37" s="60"/>
      <c r="J37" s="62">
        <f>H37/DAY(B2)</f>
        <v>17493.058333333334</v>
      </c>
      <c r="K37" s="63"/>
      <c r="L37" s="121"/>
    </row>
    <row r="38" spans="1:12" ht="23.25" customHeight="1">
      <c r="A38" s="338" t="s">
        <v>179</v>
      </c>
      <c r="B38" s="339"/>
      <c r="C38" s="340"/>
      <c r="D38" s="279" t="s">
        <v>143</v>
      </c>
      <c r="E38" s="60">
        <f>'29'!F39</f>
        <v>912480</v>
      </c>
      <c r="F38" s="371">
        <v>2497766.1</v>
      </c>
      <c r="G38" s="336">
        <f t="shared" si="3"/>
        <v>1585286.1</v>
      </c>
      <c r="H38" s="61">
        <f>G38+'29'!H39</f>
        <v>1625641.3900000001</v>
      </c>
      <c r="I38" s="60"/>
      <c r="J38" s="62">
        <f>H38/DAY(B2)</f>
        <v>54188.046333333339</v>
      </c>
      <c r="K38" s="63"/>
      <c r="L38" s="121"/>
    </row>
    <row r="39" spans="1:12" ht="23.25" customHeight="1">
      <c r="A39" s="373" t="s">
        <v>180</v>
      </c>
      <c r="B39" s="374"/>
      <c r="C39" s="375"/>
      <c r="D39" s="279" t="s">
        <v>143</v>
      </c>
      <c r="E39" s="60">
        <f>'29'!F40</f>
        <v>0</v>
      </c>
      <c r="F39" s="371">
        <v>0</v>
      </c>
      <c r="G39" s="336">
        <f t="shared" si="3"/>
        <v>0</v>
      </c>
      <c r="H39" s="61">
        <f>G39+'29'!H40</f>
        <v>0</v>
      </c>
      <c r="I39" s="60"/>
      <c r="J39" s="62">
        <f>H39/DAY(B2)</f>
        <v>0</v>
      </c>
      <c r="K39" s="79"/>
      <c r="L39" s="121"/>
    </row>
    <row r="40" spans="1:12" ht="23.25" customHeight="1">
      <c r="A40" s="338" t="s">
        <v>181</v>
      </c>
      <c r="B40" s="339"/>
      <c r="C40" s="340"/>
      <c r="D40" s="279" t="s">
        <v>143</v>
      </c>
      <c r="E40" s="60">
        <f>'29'!F41</f>
        <v>300127.95</v>
      </c>
      <c r="F40" s="371">
        <v>1138016.5</v>
      </c>
      <c r="G40" s="336">
        <f t="shared" si="3"/>
        <v>837888.55</v>
      </c>
      <c r="H40" s="61">
        <f>G40+'29'!H41</f>
        <v>837888.53</v>
      </c>
      <c r="I40" s="60"/>
      <c r="J40" s="62">
        <f>H40/DAY(B2)</f>
        <v>27929.617666666669</v>
      </c>
      <c r="K40" s="63"/>
      <c r="L40" s="121"/>
    </row>
    <row r="41" spans="1:12" ht="23.25" customHeight="1">
      <c r="A41" s="338" t="s">
        <v>182</v>
      </c>
      <c r="B41" s="339"/>
      <c r="C41" s="340"/>
      <c r="D41" s="279" t="s">
        <v>143</v>
      </c>
      <c r="E41" s="60">
        <f>'29'!F42</f>
        <v>396198</v>
      </c>
      <c r="F41" s="371">
        <v>1251783.8</v>
      </c>
      <c r="G41" s="336">
        <f t="shared" si="3"/>
        <v>855585.8</v>
      </c>
      <c r="H41" s="61">
        <f>G41+'29'!H42</f>
        <v>855586.33000000007</v>
      </c>
      <c r="I41" s="60"/>
      <c r="J41" s="62">
        <f>H41/DAY(B2)</f>
        <v>28519.544333333335</v>
      </c>
      <c r="K41" s="63"/>
      <c r="L41" s="121"/>
    </row>
    <row r="42" spans="1:12" ht="23.25" customHeight="1">
      <c r="A42" s="338" t="s">
        <v>183</v>
      </c>
      <c r="B42" s="339"/>
      <c r="C42" s="340"/>
      <c r="D42" s="279" t="s">
        <v>143</v>
      </c>
      <c r="E42" s="60">
        <f>'29'!F43</f>
        <v>628430.15</v>
      </c>
      <c r="F42" s="371">
        <v>1479848.9</v>
      </c>
      <c r="G42" s="336">
        <f t="shared" si="3"/>
        <v>851418.74999999988</v>
      </c>
      <c r="H42" s="61">
        <f>G42+'29'!H43</f>
        <v>921524.83</v>
      </c>
      <c r="I42" s="60"/>
      <c r="J42" s="62">
        <f>H42/DAY(B2)</f>
        <v>30717.494333333332</v>
      </c>
      <c r="K42" s="63"/>
      <c r="L42" s="121"/>
    </row>
    <row r="43" spans="1:12" ht="23.25" customHeight="1">
      <c r="A43" s="338" t="s">
        <v>184</v>
      </c>
      <c r="B43" s="339"/>
      <c r="C43" s="340"/>
      <c r="D43" s="279" t="s">
        <v>143</v>
      </c>
      <c r="E43" s="60">
        <f>'29'!F44</f>
        <v>0</v>
      </c>
      <c r="F43" s="371">
        <v>900</v>
      </c>
      <c r="G43" s="336">
        <f t="shared" si="3"/>
        <v>900</v>
      </c>
      <c r="H43" s="61">
        <f>G43+'29'!H44</f>
        <v>900</v>
      </c>
      <c r="I43" s="60"/>
      <c r="J43" s="62">
        <f>H43/DAY(B2)</f>
        <v>30</v>
      </c>
      <c r="K43" s="63"/>
      <c r="L43" s="121"/>
    </row>
    <row r="44" spans="1:12" ht="23.25" customHeight="1">
      <c r="A44" s="338" t="s">
        <v>185</v>
      </c>
      <c r="B44" s="339"/>
      <c r="C44" s="340"/>
      <c r="D44" s="279" t="s">
        <v>143</v>
      </c>
      <c r="E44" s="60">
        <f>'29'!F45</f>
        <v>614.48</v>
      </c>
      <c r="F44" s="371">
        <v>945</v>
      </c>
      <c r="G44" s="336">
        <f t="shared" si="3"/>
        <v>330.52</v>
      </c>
      <c r="H44" s="61">
        <f>G44+'29'!H45</f>
        <v>330.52</v>
      </c>
      <c r="I44" s="60"/>
      <c r="J44" s="62">
        <f>H44/DAY(B2)</f>
        <v>11.017333333333333</v>
      </c>
      <c r="K44" s="63"/>
      <c r="L44" s="121"/>
    </row>
    <row r="45" spans="1:12" ht="23.25" customHeight="1">
      <c r="A45" s="338" t="s">
        <v>186</v>
      </c>
      <c r="B45" s="339"/>
      <c r="C45" s="340"/>
      <c r="D45" s="279" t="s">
        <v>143</v>
      </c>
      <c r="E45" s="60">
        <f>'29'!F46</f>
        <v>187.49</v>
      </c>
      <c r="F45" s="371">
        <v>375</v>
      </c>
      <c r="G45" s="336">
        <f t="shared" si="3"/>
        <v>187.51</v>
      </c>
      <c r="H45" s="61">
        <f>G45+'29'!H46</f>
        <v>187.51</v>
      </c>
      <c r="I45" s="60"/>
      <c r="J45" s="62">
        <f>H45/DAY(B2)</f>
        <v>6.2503333333333329</v>
      </c>
      <c r="K45" s="63"/>
      <c r="L45" s="121"/>
    </row>
    <row r="46" spans="1:12" ht="23.25" customHeight="1">
      <c r="A46" s="450" t="s">
        <v>187</v>
      </c>
      <c r="B46" s="451"/>
      <c r="C46" s="452"/>
      <c r="D46" s="376"/>
      <c r="E46" s="464"/>
      <c r="F46" s="280"/>
      <c r="G46" s="290">
        <f>G34+G35+G36+G37+G38+G39+G40+G41+G42+G43+G44+G45</f>
        <v>4470240.919999999</v>
      </c>
      <c r="H46" s="61">
        <f>G46+'29'!H47</f>
        <v>4639508.5899999989</v>
      </c>
      <c r="I46" s="60"/>
      <c r="J46" s="62">
        <f>H46/DAY(B2)</f>
        <v>154650.28633333329</v>
      </c>
      <c r="K46" s="63"/>
      <c r="L46" s="121"/>
    </row>
    <row r="47" spans="1:12" ht="23.25" customHeight="1">
      <c r="A47" s="1283" t="s">
        <v>188</v>
      </c>
      <c r="B47" s="1284"/>
      <c r="C47" s="1285"/>
      <c r="D47" s="537"/>
      <c r="E47" s="435"/>
      <c r="F47" s="435"/>
      <c r="G47" s="537"/>
      <c r="H47" s="537"/>
      <c r="I47" s="537"/>
      <c r="J47" s="537"/>
      <c r="K47" s="63"/>
      <c r="L47" s="121"/>
    </row>
    <row r="48" spans="1:12" ht="23.25" customHeight="1">
      <c r="A48" s="338" t="s">
        <v>175</v>
      </c>
      <c r="B48" s="377"/>
      <c r="C48" s="378"/>
      <c r="D48" s="279" t="s">
        <v>143</v>
      </c>
      <c r="E48" s="465">
        <f>'29'!F49</f>
        <v>58900.663</v>
      </c>
      <c r="F48" s="371">
        <v>793704.71</v>
      </c>
      <c r="G48" s="336">
        <f t="shared" ref="G48:G57" si="4">F48-E48</f>
        <v>734804.04700000002</v>
      </c>
      <c r="H48" s="61">
        <f>G48+'29'!H49</f>
        <v>781975.42200000002</v>
      </c>
      <c r="I48" s="60"/>
      <c r="J48" s="62">
        <f>H48/DAY(B2)</f>
        <v>26065.847400000002</v>
      </c>
      <c r="K48" s="63"/>
      <c r="L48" s="121"/>
    </row>
    <row r="49" spans="1:12" ht="23.25" customHeight="1">
      <c r="A49" s="338" t="s">
        <v>189</v>
      </c>
      <c r="B49" s="377"/>
      <c r="C49" s="378"/>
      <c r="D49" s="279" t="s">
        <v>143</v>
      </c>
      <c r="E49" s="60">
        <f>'29'!F50</f>
        <v>294446.21000000002</v>
      </c>
      <c r="F49" s="371">
        <v>707853.75</v>
      </c>
      <c r="G49" s="336">
        <f t="shared" si="4"/>
        <v>413407.54</v>
      </c>
      <c r="H49" s="61">
        <f>G49+'29'!H50</f>
        <v>441794.81</v>
      </c>
      <c r="I49" s="60"/>
      <c r="J49" s="62">
        <f>H49/DAY(B2)</f>
        <v>14726.493666666667</v>
      </c>
      <c r="K49" s="63"/>
      <c r="L49" s="121"/>
    </row>
    <row r="50" spans="1:12" ht="23.25" customHeight="1">
      <c r="A50" s="338" t="s">
        <v>177</v>
      </c>
      <c r="B50" s="377"/>
      <c r="C50" s="378"/>
      <c r="D50" s="279" t="s">
        <v>143</v>
      </c>
      <c r="E50" s="60">
        <f>'29'!F51</f>
        <v>17807.510999999999</v>
      </c>
      <c r="F50" s="371">
        <v>552102.06999999995</v>
      </c>
      <c r="G50" s="336">
        <f t="shared" si="4"/>
        <v>534294.55899999989</v>
      </c>
      <c r="H50" s="61">
        <f>G50+'29'!H51</f>
        <v>560077.12189999991</v>
      </c>
      <c r="I50" s="60"/>
      <c r="J50" s="62">
        <f>H50/DAY(B2)</f>
        <v>18669.237396666664</v>
      </c>
      <c r="K50" s="63"/>
      <c r="L50" s="121"/>
    </row>
    <row r="51" spans="1:12" ht="23.25" customHeight="1">
      <c r="A51" s="338" t="s">
        <v>190</v>
      </c>
      <c r="B51" s="377"/>
      <c r="C51" s="378"/>
      <c r="D51" s="279" t="s">
        <v>143</v>
      </c>
      <c r="E51" s="60">
        <f>'29'!F52</f>
        <v>369176.07</v>
      </c>
      <c r="F51" s="371">
        <v>1244061</v>
      </c>
      <c r="G51" s="336">
        <f t="shared" si="4"/>
        <v>874884.92999999993</v>
      </c>
      <c r="H51" s="61">
        <f>G51+'29'!H52</f>
        <v>921771.58</v>
      </c>
      <c r="I51" s="60"/>
      <c r="J51" s="62">
        <f>H51/DAY(B2)</f>
        <v>30725.719333333331</v>
      </c>
      <c r="K51" s="63"/>
      <c r="L51" s="121"/>
    </row>
    <row r="52" spans="1:12" ht="23.25" customHeight="1">
      <c r="A52" s="338" t="s">
        <v>179</v>
      </c>
      <c r="B52" s="377"/>
      <c r="C52" s="378"/>
      <c r="D52" s="279" t="s">
        <v>143</v>
      </c>
      <c r="E52" s="60">
        <f>'29'!F53</f>
        <v>40870.178999999996</v>
      </c>
      <c r="F52" s="371">
        <v>495803.59</v>
      </c>
      <c r="G52" s="336">
        <f t="shared" si="4"/>
        <v>454933.41100000002</v>
      </c>
      <c r="H52" s="61">
        <f>G52+'29'!H53</f>
        <v>506684.59</v>
      </c>
      <c r="I52" s="60"/>
      <c r="J52" s="62">
        <f>H52/DAY(B2)</f>
        <v>16889.486333333334</v>
      </c>
      <c r="K52" s="63"/>
      <c r="L52" s="121"/>
    </row>
    <row r="53" spans="1:12" ht="23.25" customHeight="1">
      <c r="A53" s="338" t="s">
        <v>191</v>
      </c>
      <c r="B53" s="377"/>
      <c r="C53" s="378"/>
      <c r="D53" s="279" t="s">
        <v>143</v>
      </c>
      <c r="E53" s="60">
        <f>'29'!F54</f>
        <v>2781.1007</v>
      </c>
      <c r="F53" s="371">
        <v>55471.01</v>
      </c>
      <c r="G53" s="336">
        <f t="shared" si="4"/>
        <v>52689.909299999999</v>
      </c>
      <c r="H53" s="61">
        <f>G53+'29'!H54</f>
        <v>53918.4493</v>
      </c>
      <c r="I53" s="60"/>
      <c r="J53" s="62">
        <f>H53/DAY(B2)</f>
        <v>1797.2816433333332</v>
      </c>
      <c r="K53" s="63"/>
      <c r="L53" s="121"/>
    </row>
    <row r="54" spans="1:12" ht="23.25" customHeight="1">
      <c r="A54" s="338" t="s">
        <v>192</v>
      </c>
      <c r="B54" s="377"/>
      <c r="C54" s="378"/>
      <c r="D54" s="279" t="s">
        <v>143</v>
      </c>
      <c r="E54" s="60">
        <f>'29'!F55</f>
        <v>158492.73000000001</v>
      </c>
      <c r="F54" s="371">
        <v>741511.59</v>
      </c>
      <c r="G54" s="336">
        <f t="shared" si="4"/>
        <v>583018.86</v>
      </c>
      <c r="H54" s="61">
        <f>G54+'29'!H55</f>
        <v>583018.59</v>
      </c>
      <c r="I54" s="60"/>
      <c r="J54" s="62">
        <f>H54/DAY(B2)</f>
        <v>19433.952999999998</v>
      </c>
      <c r="K54" s="63"/>
      <c r="L54" s="121"/>
    </row>
    <row r="55" spans="1:12" ht="23.25" customHeight="1">
      <c r="A55" s="338" t="s">
        <v>193</v>
      </c>
      <c r="B55" s="377"/>
      <c r="C55" s="378"/>
      <c r="D55" s="279" t="s">
        <v>194</v>
      </c>
      <c r="E55" s="60">
        <f>'29'!F56</f>
        <v>430011.47</v>
      </c>
      <c r="F55" s="371">
        <v>334966</v>
      </c>
      <c r="G55" s="336">
        <f t="shared" si="4"/>
        <v>-95045.469999999972</v>
      </c>
      <c r="H55" s="61">
        <f>G55+'29'!H56</f>
        <v>22921.520000000019</v>
      </c>
      <c r="I55" s="60"/>
      <c r="J55" s="62">
        <f>H55/DAY(B2)</f>
        <v>764.05066666666733</v>
      </c>
      <c r="K55" s="47"/>
      <c r="L55" s="121"/>
    </row>
    <row r="56" spans="1:12" ht="23.25" customHeight="1">
      <c r="A56" s="338" t="s">
        <v>183</v>
      </c>
      <c r="B56" s="377"/>
      <c r="C56" s="378"/>
      <c r="D56" s="279" t="s">
        <v>143</v>
      </c>
      <c r="E56" s="60">
        <f>'29'!F57</f>
        <v>0</v>
      </c>
      <c r="F56" s="371">
        <v>0</v>
      </c>
      <c r="G56" s="336">
        <f t="shared" si="4"/>
        <v>0</v>
      </c>
      <c r="H56" s="61">
        <f>G56+'29'!H57</f>
        <v>0</v>
      </c>
      <c r="I56" s="60"/>
      <c r="J56" s="62">
        <f>H56/DAY(B2)</f>
        <v>0</v>
      </c>
      <c r="K56" s="63"/>
      <c r="L56" s="121"/>
    </row>
    <row r="57" spans="1:12" ht="23.25" customHeight="1">
      <c r="A57" s="338" t="s">
        <v>195</v>
      </c>
      <c r="B57" s="377"/>
      <c r="C57" s="378"/>
      <c r="D57" s="279" t="s">
        <v>143</v>
      </c>
      <c r="E57" s="60">
        <f>'29'!F58</f>
        <v>20116.107</v>
      </c>
      <c r="F57" s="371">
        <v>2065.9499999999998</v>
      </c>
      <c r="G57" s="336">
        <f t="shared" si="4"/>
        <v>-18050.156999999999</v>
      </c>
      <c r="H57" s="61">
        <f>G57+'29'!H58</f>
        <v>-15703.346000000001</v>
      </c>
      <c r="I57" s="60"/>
      <c r="J57" s="62">
        <f>H57/DAY(B2)</f>
        <v>-523.44486666666671</v>
      </c>
      <c r="K57" s="63"/>
      <c r="L57" s="121"/>
    </row>
    <row r="58" spans="1:12" ht="23.25" customHeight="1">
      <c r="A58" s="450" t="s">
        <v>187</v>
      </c>
      <c r="B58" s="451"/>
      <c r="C58" s="452"/>
      <c r="D58" s="280"/>
      <c r="E58" s="464"/>
      <c r="F58" s="280"/>
      <c r="G58" s="290">
        <f>G48+G49+G50+G51+G52+G53+G54+G55+G56+G57</f>
        <v>3534937.6292999997</v>
      </c>
      <c r="H58" s="61">
        <f>G58+'29'!H59</f>
        <v>3856458.7371999994</v>
      </c>
      <c r="I58" s="60">
        <f>G7-G59</f>
        <v>-7036527.6492999978</v>
      </c>
      <c r="J58" s="62">
        <f>H58/DAY(B2)</f>
        <v>128548.62457333332</v>
      </c>
      <c r="K58" s="63"/>
      <c r="L58" s="121"/>
    </row>
    <row r="59" spans="1:12" ht="23.25" customHeight="1">
      <c r="A59" s="379"/>
      <c r="B59" s="379"/>
      <c r="C59" s="379"/>
      <c r="D59" s="280" t="s">
        <v>196</v>
      </c>
      <c r="E59" s="280"/>
      <c r="F59" s="280"/>
      <c r="G59" s="290">
        <f>G46+G58</f>
        <v>8005178.5492999982</v>
      </c>
      <c r="H59" s="61">
        <f>G59+'29'!H60</f>
        <v>8510353.4878999982</v>
      </c>
      <c r="I59" s="60">
        <f>G13-G59</f>
        <v>-7031891.9992999984</v>
      </c>
      <c r="J59" s="62">
        <f>H59/DAY(B2)</f>
        <v>283678.44959666661</v>
      </c>
      <c r="K59" s="63"/>
      <c r="L59" s="121"/>
    </row>
    <row r="60" spans="1:12" ht="23.25" customHeight="1">
      <c r="A60" s="442" t="s">
        <v>197</v>
      </c>
      <c r="B60" s="443"/>
      <c r="C60" s="444"/>
      <c r="D60" s="445"/>
      <c r="E60" s="446"/>
      <c r="F60" s="446"/>
      <c r="G60" s="447"/>
      <c r="H60" s="447"/>
      <c r="I60" s="447"/>
      <c r="J60" s="447"/>
      <c r="K60" s="63"/>
      <c r="L60" s="121"/>
    </row>
    <row r="61" spans="1:12" ht="23.25" customHeight="1">
      <c r="A61" s="380" t="s">
        <v>106</v>
      </c>
      <c r="B61" s="381"/>
      <c r="C61" s="382"/>
      <c r="D61" s="280" t="s">
        <v>198</v>
      </c>
      <c r="E61" s="465">
        <f>'29'!F62</f>
        <v>20419.18</v>
      </c>
      <c r="F61" s="281">
        <v>55085</v>
      </c>
      <c r="G61" s="336">
        <f t="shared" ref="G61:G68" si="5">F61-E61</f>
        <v>34665.82</v>
      </c>
      <c r="H61" s="61">
        <f>G61+'29'!H62</f>
        <v>34665.622000000003</v>
      </c>
      <c r="I61" s="205"/>
      <c r="J61" s="62">
        <f>H61/DAY(B2)</f>
        <v>1155.5207333333335</v>
      </c>
      <c r="K61" s="63"/>
      <c r="L61" s="121"/>
    </row>
    <row r="62" spans="1:12" ht="23.25" customHeight="1">
      <c r="A62" s="380" t="s">
        <v>199</v>
      </c>
      <c r="B62" s="381"/>
      <c r="C62" s="382"/>
      <c r="D62" s="280" t="s">
        <v>198</v>
      </c>
      <c r="E62" s="60">
        <f>'29'!F63</f>
        <v>839.9</v>
      </c>
      <c r="F62" s="281">
        <v>113360.74</v>
      </c>
      <c r="G62" s="336">
        <f t="shared" si="5"/>
        <v>112520.84000000001</v>
      </c>
      <c r="H62" s="61">
        <f>G62+'29'!H63</f>
        <v>113062.28000000001</v>
      </c>
      <c r="I62" s="205"/>
      <c r="J62" s="62">
        <f>H62/DAY(B2)</f>
        <v>3768.742666666667</v>
      </c>
      <c r="K62" s="63"/>
      <c r="L62" s="121"/>
    </row>
    <row r="63" spans="1:12" ht="23.25" customHeight="1">
      <c r="A63" s="1498" t="s">
        <v>107</v>
      </c>
      <c r="B63" s="1499"/>
      <c r="C63" s="1500"/>
      <c r="D63" s="279" t="s">
        <v>198</v>
      </c>
      <c r="E63" s="60">
        <f>'29'!F64</f>
        <v>86315.471000000005</v>
      </c>
      <c r="F63" s="278">
        <v>274089</v>
      </c>
      <c r="G63" s="336">
        <f t="shared" si="5"/>
        <v>187773.52899999998</v>
      </c>
      <c r="H63" s="61">
        <f>G63+'29'!H64</f>
        <v>198025.913</v>
      </c>
      <c r="I63" s="73"/>
      <c r="J63" s="62">
        <f>H63/DAY(B2)</f>
        <v>6600.8637666666664</v>
      </c>
      <c r="K63" s="63"/>
      <c r="L63" s="121"/>
    </row>
    <row r="64" spans="1:12" ht="23.25" customHeight="1">
      <c r="A64" s="1498" t="s">
        <v>108</v>
      </c>
      <c r="B64" s="1499"/>
      <c r="C64" s="1500"/>
      <c r="D64" s="279" t="s">
        <v>198</v>
      </c>
      <c r="E64" s="60">
        <f>'29'!F65</f>
        <v>96243.510999999999</v>
      </c>
      <c r="F64" s="278">
        <v>218102.43</v>
      </c>
      <c r="G64" s="336">
        <f t="shared" si="5"/>
        <v>121858.91899999999</v>
      </c>
      <c r="H64" s="61">
        <f>G64+'29'!H65</f>
        <v>132943.16699999999</v>
      </c>
      <c r="I64" s="84"/>
      <c r="J64" s="62">
        <f>H64/DAY(B2)</f>
        <v>4431.4388999999992</v>
      </c>
      <c r="K64" s="63"/>
      <c r="L64" s="121"/>
    </row>
    <row r="65" spans="1:12" ht="23.25" customHeight="1">
      <c r="A65" s="1498" t="s">
        <v>109</v>
      </c>
      <c r="B65" s="1499"/>
      <c r="C65" s="1500"/>
      <c r="D65" s="279" t="s">
        <v>198</v>
      </c>
      <c r="E65" s="60">
        <f>'29'!F66</f>
        <v>89574.047000000006</v>
      </c>
      <c r="F65" s="278">
        <v>7977.92</v>
      </c>
      <c r="G65" s="336">
        <f t="shared" si="5"/>
        <v>-81596.127000000008</v>
      </c>
      <c r="H65" s="61">
        <f>G65+'29'!H66</f>
        <v>-70210.038</v>
      </c>
      <c r="I65" s="73"/>
      <c r="J65" s="62">
        <f>H65/DAY(B2)</f>
        <v>-2340.3346000000001</v>
      </c>
      <c r="K65" s="63"/>
      <c r="L65" s="121"/>
    </row>
    <row r="66" spans="1:12" ht="23.25" customHeight="1">
      <c r="A66" s="1498" t="s">
        <v>110</v>
      </c>
      <c r="B66" s="1499"/>
      <c r="C66" s="1500"/>
      <c r="D66" s="279" t="s">
        <v>198</v>
      </c>
      <c r="E66" s="60">
        <f>'29'!F67</f>
        <v>145211.41</v>
      </c>
      <c r="F66" s="278">
        <v>350190.03</v>
      </c>
      <c r="G66" s="336">
        <f t="shared" si="5"/>
        <v>204978.62000000002</v>
      </c>
      <c r="H66" s="61">
        <f>G66+'29'!H67</f>
        <v>224133.53000000003</v>
      </c>
      <c r="I66" s="84"/>
      <c r="J66" s="62">
        <f>H66/DAY(B2)</f>
        <v>7471.1176666666679</v>
      </c>
      <c r="K66" s="79"/>
      <c r="L66" s="121"/>
    </row>
    <row r="67" spans="1:12" ht="23.25" customHeight="1">
      <c r="A67" s="1498" t="s">
        <v>111</v>
      </c>
      <c r="B67" s="1499"/>
      <c r="C67" s="1500"/>
      <c r="D67" s="279" t="s">
        <v>198</v>
      </c>
      <c r="E67" s="60">
        <f>'29'!F68</f>
        <v>42788.182999999997</v>
      </c>
      <c r="F67" s="278">
        <v>0</v>
      </c>
      <c r="G67" s="336">
        <f t="shared" si="5"/>
        <v>-42788.182999999997</v>
      </c>
      <c r="H67" s="61">
        <f>G67+'29'!H68</f>
        <v>-33399.868999999999</v>
      </c>
      <c r="I67" s="109"/>
      <c r="J67" s="62">
        <f>H67/DAY(B2)</f>
        <v>-1113.3289666666667</v>
      </c>
      <c r="K67" s="87"/>
      <c r="L67" s="121"/>
    </row>
    <row r="68" spans="1:12" ht="23.25" customHeight="1">
      <c r="A68" s="1498" t="s">
        <v>112</v>
      </c>
      <c r="B68" s="1499"/>
      <c r="C68" s="1500"/>
      <c r="D68" s="279" t="s">
        <v>198</v>
      </c>
      <c r="E68" s="60">
        <f>'29'!F69</f>
        <v>37262.686999999998</v>
      </c>
      <c r="F68" s="278">
        <v>156094.09</v>
      </c>
      <c r="G68" s="336">
        <f t="shared" si="5"/>
        <v>118831.40299999999</v>
      </c>
      <c r="H68" s="61">
        <f>G68+'29'!H69</f>
        <v>126841.72499999999</v>
      </c>
      <c r="I68" s="109"/>
      <c r="J68" s="62">
        <f>H68/DAY(B2)</f>
        <v>4228.0574999999999</v>
      </c>
      <c r="K68" s="89"/>
      <c r="L68" s="121"/>
    </row>
    <row r="69" spans="1:12" ht="23.25" customHeight="1">
      <c r="A69" s="1511" t="s">
        <v>200</v>
      </c>
      <c r="B69" s="1512"/>
      <c r="C69" s="1513"/>
      <c r="D69" s="279" t="s">
        <v>198</v>
      </c>
      <c r="E69" s="478"/>
      <c r="F69" s="476"/>
      <c r="G69" s="476"/>
      <c r="H69" s="61">
        <f>G69+'13'!H70</f>
        <v>0</v>
      </c>
      <c r="I69" s="476"/>
      <c r="J69" s="476"/>
      <c r="K69" s="89"/>
      <c r="L69" s="121"/>
    </row>
    <row r="70" spans="1:12" ht="23.25" customHeight="1">
      <c r="A70" s="1529" t="s">
        <v>201</v>
      </c>
      <c r="B70" s="1530"/>
      <c r="C70" s="1530"/>
      <c r="D70" s="1530"/>
      <c r="E70" s="1530"/>
      <c r="F70" s="1530"/>
      <c r="G70" s="1530"/>
      <c r="H70" s="1530"/>
      <c r="I70" s="1530"/>
      <c r="J70" s="1531"/>
      <c r="K70" s="87"/>
      <c r="L70" s="121"/>
    </row>
    <row r="71" spans="1:12" ht="23.25" customHeight="1">
      <c r="A71" s="1498" t="s">
        <v>202</v>
      </c>
      <c r="B71" s="1499"/>
      <c r="C71" s="1500"/>
      <c r="D71" s="279" t="s">
        <v>198</v>
      </c>
      <c r="E71" s="465">
        <f>'29'!F72</f>
        <v>844169</v>
      </c>
      <c r="F71" s="282">
        <v>788748</v>
      </c>
      <c r="G71" s="336">
        <f t="shared" ref="G71:G83" si="6">F71-E71</f>
        <v>-55421</v>
      </c>
      <c r="H71" s="61">
        <f>G71+'29'!H72</f>
        <v>-55194</v>
      </c>
      <c r="I71" s="73"/>
      <c r="J71" s="62">
        <f>H71/DAY(B2)</f>
        <v>-1839.8</v>
      </c>
      <c r="K71" s="89"/>
      <c r="L71" s="121"/>
    </row>
    <row r="72" spans="1:12" ht="23.25" customHeight="1">
      <c r="A72" s="1498" t="s">
        <v>203</v>
      </c>
      <c r="B72" s="1499"/>
      <c r="C72" s="1500"/>
      <c r="D72" s="279" t="s">
        <v>198</v>
      </c>
      <c r="E72" s="60">
        <f>'29'!F73</f>
        <v>885308</v>
      </c>
      <c r="F72" s="282">
        <v>883770</v>
      </c>
      <c r="G72" s="336">
        <f t="shared" si="6"/>
        <v>-1538</v>
      </c>
      <c r="H72" s="61">
        <f>G72+'29'!H73</f>
        <v>-1358</v>
      </c>
      <c r="I72" s="73"/>
      <c r="J72" s="62">
        <f>H72/DAY(B2)</f>
        <v>-45.266666666666666</v>
      </c>
      <c r="K72" s="87"/>
      <c r="L72" s="121"/>
    </row>
    <row r="73" spans="1:12" ht="23.25" customHeight="1">
      <c r="A73" s="1498" t="s">
        <v>204</v>
      </c>
      <c r="B73" s="1499"/>
      <c r="C73" s="1500"/>
      <c r="D73" s="279" t="s">
        <v>198</v>
      </c>
      <c r="E73" s="60">
        <f>'29'!F74</f>
        <v>880204</v>
      </c>
      <c r="F73" s="282">
        <v>783142</v>
      </c>
      <c r="G73" s="336">
        <f t="shared" si="6"/>
        <v>-97062</v>
      </c>
      <c r="H73" s="61">
        <f>G73+'29'!H74</f>
        <v>-96494</v>
      </c>
      <c r="I73" s="73"/>
      <c r="J73" s="62">
        <f>H73/DAY(B2)</f>
        <v>-3216.4666666666667</v>
      </c>
      <c r="K73" s="89"/>
      <c r="L73" s="121"/>
    </row>
    <row r="74" spans="1:12" ht="23.25" customHeight="1">
      <c r="A74" s="1507" t="s">
        <v>205</v>
      </c>
      <c r="B74" s="1508"/>
      <c r="C74" s="1509"/>
      <c r="D74" s="279" t="s">
        <v>198</v>
      </c>
      <c r="E74" s="60">
        <f>'29'!F75</f>
        <v>726012</v>
      </c>
      <c r="F74" s="282">
        <v>641404</v>
      </c>
      <c r="G74" s="336">
        <f t="shared" si="6"/>
        <v>-84608</v>
      </c>
      <c r="H74" s="61">
        <f>G74+'29'!H75</f>
        <v>-79962</v>
      </c>
      <c r="I74" s="73"/>
      <c r="J74" s="62">
        <f>H74/DAY(B2)</f>
        <v>-2665.4</v>
      </c>
      <c r="K74" s="87"/>
      <c r="L74" s="121"/>
    </row>
    <row r="75" spans="1:12" ht="23.25" customHeight="1">
      <c r="A75" s="1507" t="s">
        <v>206</v>
      </c>
      <c r="B75" s="1508"/>
      <c r="C75" s="1509"/>
      <c r="D75" s="279" t="s">
        <v>198</v>
      </c>
      <c r="E75" s="60">
        <f>'29'!F76</f>
        <v>681619</v>
      </c>
      <c r="F75" s="282">
        <v>615603</v>
      </c>
      <c r="G75" s="336">
        <f t="shared" si="6"/>
        <v>-66016</v>
      </c>
      <c r="H75" s="61">
        <f>G75+'29'!H76</f>
        <v>-62867</v>
      </c>
      <c r="I75" s="116"/>
      <c r="J75" s="62">
        <f>H75/DAY(B2)</f>
        <v>-2095.5666666666666</v>
      </c>
      <c r="K75" s="87"/>
      <c r="L75" s="121"/>
    </row>
    <row r="76" spans="1:12" ht="23.25" customHeight="1">
      <c r="A76" s="1498" t="s">
        <v>207</v>
      </c>
      <c r="B76" s="1499"/>
      <c r="C76" s="1500"/>
      <c r="D76" s="279" t="s">
        <v>198</v>
      </c>
      <c r="E76" s="60">
        <f>'29'!F77</f>
        <v>693669</v>
      </c>
      <c r="F76" s="282">
        <v>669905</v>
      </c>
      <c r="G76" s="336">
        <f t="shared" si="6"/>
        <v>-23764</v>
      </c>
      <c r="H76" s="61">
        <f>G76+'29'!H77</f>
        <v>-22402</v>
      </c>
      <c r="I76" s="116"/>
      <c r="J76" s="62">
        <f>H76/DAY(B2)</f>
        <v>-746.73333333333335</v>
      </c>
      <c r="K76" s="87"/>
      <c r="L76" s="121"/>
    </row>
    <row r="77" spans="1:12" ht="23.25" customHeight="1">
      <c r="A77" s="1291" t="s">
        <v>208</v>
      </c>
      <c r="B77" s="1292"/>
      <c r="C77" s="1293"/>
      <c r="D77" s="279" t="s">
        <v>198</v>
      </c>
      <c r="E77" s="60">
        <f>'29'!F78</f>
        <v>617771</v>
      </c>
      <c r="F77" s="282">
        <v>487314</v>
      </c>
      <c r="G77" s="336">
        <f t="shared" si="6"/>
        <v>-130457</v>
      </c>
      <c r="H77" s="61">
        <f>G77+'29'!H78</f>
        <v>-120700</v>
      </c>
      <c r="I77" s="116"/>
      <c r="J77" s="62">
        <f>H77/DAY(B2)</f>
        <v>-4023.3333333333335</v>
      </c>
      <c r="K77" s="87"/>
      <c r="L77" s="121"/>
    </row>
    <row r="78" spans="1:12" ht="23.25" customHeight="1">
      <c r="A78" s="1510" t="s">
        <v>97</v>
      </c>
      <c r="B78" s="1505"/>
      <c r="C78" s="1506"/>
      <c r="D78" s="387" t="s">
        <v>198</v>
      </c>
      <c r="E78" s="60">
        <f>'29'!F79</f>
        <v>797787</v>
      </c>
      <c r="F78" s="282">
        <v>677157</v>
      </c>
      <c r="G78" s="336">
        <f t="shared" si="6"/>
        <v>-120630</v>
      </c>
      <c r="H78" s="61">
        <f>G78+'29'!H79</f>
        <v>-113658</v>
      </c>
      <c r="I78" s="116"/>
      <c r="J78" s="62">
        <f>H78/DAY(B2)</f>
        <v>-3788.6</v>
      </c>
      <c r="K78" s="87"/>
      <c r="L78" s="121"/>
    </row>
    <row r="79" spans="1:12" ht="23.25" customHeight="1">
      <c r="A79" s="1510" t="s">
        <v>209</v>
      </c>
      <c r="B79" s="1505"/>
      <c r="C79" s="1506"/>
      <c r="D79" s="387" t="s">
        <v>198</v>
      </c>
      <c r="E79" s="60">
        <f>'29'!F80</f>
        <v>465176.24</v>
      </c>
      <c r="F79" s="282">
        <v>341072.6</v>
      </c>
      <c r="G79" s="336">
        <f t="shared" si="6"/>
        <v>-124103.64000000001</v>
      </c>
      <c r="H79" s="61">
        <f>G79+'29'!H80</f>
        <v>-117364.28000000003</v>
      </c>
      <c r="I79" s="116"/>
      <c r="J79" s="62">
        <f>H79/DAY(B2)</f>
        <v>-3912.1426666666675</v>
      </c>
      <c r="K79" s="87"/>
      <c r="L79" s="121"/>
    </row>
    <row r="80" spans="1:12" ht="23.25" customHeight="1">
      <c r="A80" s="1510" t="s">
        <v>210</v>
      </c>
      <c r="B80" s="1505"/>
      <c r="C80" s="1506"/>
      <c r="D80" s="387" t="s">
        <v>198</v>
      </c>
      <c r="E80" s="60">
        <f>'29'!F81</f>
        <v>614214</v>
      </c>
      <c r="F80" s="282">
        <v>407588.2</v>
      </c>
      <c r="G80" s="336">
        <f t="shared" si="6"/>
        <v>-206625.8</v>
      </c>
      <c r="H80" s="61">
        <f>G80+'29'!H81</f>
        <v>-203534.08000000002</v>
      </c>
      <c r="I80" s="116"/>
      <c r="J80" s="62">
        <f>H80/DAY(B2)</f>
        <v>-6784.4693333333335</v>
      </c>
      <c r="K80" s="87"/>
      <c r="L80" s="121"/>
    </row>
    <row r="81" spans="1:12" ht="23.25" customHeight="1">
      <c r="A81" s="1504" t="s">
        <v>100</v>
      </c>
      <c r="B81" s="1505"/>
      <c r="C81" s="1506"/>
      <c r="D81" s="388" t="s">
        <v>143</v>
      </c>
      <c r="E81" s="60">
        <f>'29'!F82</f>
        <v>103509.03</v>
      </c>
      <c r="F81" s="283">
        <v>72586.12</v>
      </c>
      <c r="G81" s="336">
        <f t="shared" si="6"/>
        <v>-30922.910000000003</v>
      </c>
      <c r="H81" s="61">
        <f>G81+'29'!H82</f>
        <v>-30443.83</v>
      </c>
      <c r="I81" s="210"/>
      <c r="J81" s="62">
        <f>H81/DAY(B2)</f>
        <v>-1014.7943333333334</v>
      </c>
      <c r="K81" s="87"/>
      <c r="L81" s="121"/>
    </row>
    <row r="82" spans="1:12" ht="23.25" customHeight="1">
      <c r="A82" s="1504" t="s">
        <v>211</v>
      </c>
      <c r="B82" s="1505"/>
      <c r="C82" s="1506"/>
      <c r="D82" s="284" t="s">
        <v>143</v>
      </c>
      <c r="E82" s="60">
        <f>'29'!F83</f>
        <v>962161</v>
      </c>
      <c r="F82" s="280">
        <v>725847</v>
      </c>
      <c r="G82" s="336">
        <f t="shared" si="6"/>
        <v>-236314</v>
      </c>
      <c r="H82" s="61">
        <f>G82+'29'!H83</f>
        <v>-226396</v>
      </c>
      <c r="I82" s="72"/>
      <c r="J82" s="62">
        <f>H82/DAY(B2)</f>
        <v>-7546.5333333333338</v>
      </c>
      <c r="K82" s="79"/>
      <c r="L82" s="121"/>
    </row>
    <row r="83" spans="1:12" ht="23.25" customHeight="1">
      <c r="A83" s="1294" t="s">
        <v>212</v>
      </c>
      <c r="B83" s="1294"/>
      <c r="C83" s="1295"/>
      <c r="D83" s="390" t="s">
        <v>143</v>
      </c>
      <c r="E83" s="60">
        <f>'29'!F84</f>
        <v>380833</v>
      </c>
      <c r="F83" s="279">
        <v>960770</v>
      </c>
      <c r="G83" s="336">
        <f t="shared" si="6"/>
        <v>579937</v>
      </c>
      <c r="H83" s="61">
        <f>G83+'29'!H84</f>
        <v>594337</v>
      </c>
      <c r="I83" s="72"/>
      <c r="J83" s="62">
        <f>H83/DAY(B2)</f>
        <v>19811.233333333334</v>
      </c>
      <c r="K83" s="92"/>
      <c r="L83" s="121"/>
    </row>
    <row r="84" spans="1:12" s="42" customFormat="1" ht="23.25" customHeight="1">
      <c r="A84" s="459" t="s">
        <v>213</v>
      </c>
      <c r="B84" s="460"/>
      <c r="C84" s="460"/>
      <c r="D84" s="392"/>
      <c r="E84" s="330"/>
      <c r="F84" s="279"/>
      <c r="G84" s="410">
        <f xml:space="preserve"> SUM(G71:G83)</f>
        <v>-597525.35000000009</v>
      </c>
      <c r="H84" s="61">
        <f>G84+'29'!H85</f>
        <v>-539362.09000000008</v>
      </c>
      <c r="I84" s="72"/>
      <c r="J84" s="62">
        <f>H84/DAY(B2)</f>
        <v>-17978.736333333338</v>
      </c>
      <c r="K84" s="92"/>
      <c r="L84" s="48"/>
    </row>
    <row r="85" spans="1:12" s="42" customFormat="1" ht="23.25" customHeight="1">
      <c r="A85" s="1286" t="s">
        <v>216</v>
      </c>
      <c r="B85" s="448"/>
      <c r="C85" s="1287"/>
      <c r="D85" s="537"/>
      <c r="E85" s="537"/>
      <c r="F85" s="537"/>
      <c r="G85" s="439"/>
      <c r="H85" s="537"/>
      <c r="I85" s="537"/>
      <c r="J85" s="537"/>
      <c r="K85" s="92"/>
      <c r="L85" s="48"/>
    </row>
    <row r="86" spans="1:12" ht="23.25" customHeight="1">
      <c r="A86" s="1495" t="s">
        <v>217</v>
      </c>
      <c r="B86" s="1496"/>
      <c r="C86" s="1497"/>
      <c r="D86" s="279" t="s">
        <v>155</v>
      </c>
      <c r="E86" s="465">
        <f>'29'!F92</f>
        <v>230856</v>
      </c>
      <c r="F86" s="278">
        <v>175511</v>
      </c>
      <c r="G86" s="336">
        <f t="shared" ref="G86:G87" si="7">F86-E86</f>
        <v>-55345</v>
      </c>
      <c r="H86" s="61">
        <f>G86+'29'!H92</f>
        <v>-53084</v>
      </c>
      <c r="I86" s="73"/>
      <c r="J86" s="62">
        <f>H86/DAY(B2)</f>
        <v>-1769.4666666666667</v>
      </c>
      <c r="K86" s="79"/>
      <c r="L86" s="121"/>
    </row>
    <row r="87" spans="1:12" ht="23.25" customHeight="1">
      <c r="A87" s="1495" t="s">
        <v>218</v>
      </c>
      <c r="B87" s="1496"/>
      <c r="C87" s="1497"/>
      <c r="D87" s="279" t="s">
        <v>155</v>
      </c>
      <c r="E87" s="60">
        <f>'29'!F93</f>
        <v>162491</v>
      </c>
      <c r="F87" s="278">
        <v>60336</v>
      </c>
      <c r="G87" s="336">
        <f t="shared" si="7"/>
        <v>-102155</v>
      </c>
      <c r="H87" s="61">
        <f>G87+'29'!H93</f>
        <v>-98187</v>
      </c>
      <c r="I87" s="73"/>
      <c r="J87" s="62">
        <f>H87/DAY(B2)</f>
        <v>-3272.9</v>
      </c>
      <c r="K87" s="92"/>
      <c r="L87" s="121"/>
    </row>
    <row r="88" spans="1:12" ht="23.25" customHeight="1">
      <c r="A88" s="1501" t="s">
        <v>219</v>
      </c>
      <c r="B88" s="1502"/>
      <c r="C88" s="1503"/>
      <c r="D88" s="279"/>
      <c r="E88" s="60">
        <f>'29'!F94</f>
        <v>0</v>
      </c>
      <c r="F88" s="278"/>
      <c r="G88" s="336">
        <f>G86+G87</f>
        <v>-157500</v>
      </c>
      <c r="H88" s="61">
        <f>G88+'29'!H94</f>
        <v>-151561</v>
      </c>
      <c r="I88" s="73"/>
      <c r="J88" s="62">
        <f>H88/DAY(B2)</f>
        <v>-5052.0333333333338</v>
      </c>
      <c r="K88" s="92"/>
      <c r="L88" s="121"/>
    </row>
    <row r="89" spans="1:12" ht="23.25" customHeight="1">
      <c r="A89" s="1495" t="s">
        <v>220</v>
      </c>
      <c r="B89" s="1496"/>
      <c r="C89" s="1497"/>
      <c r="D89" s="279" t="s">
        <v>155</v>
      </c>
      <c r="E89" s="60">
        <f>'29'!F95</f>
        <v>401491</v>
      </c>
      <c r="F89" s="278">
        <v>351186</v>
      </c>
      <c r="G89" s="336">
        <f t="shared" ref="G89:G94" si="8">F89-E89</f>
        <v>-50305</v>
      </c>
      <c r="H89" s="61">
        <f>G89+'29'!H95</f>
        <v>-48661</v>
      </c>
      <c r="I89" s="73"/>
      <c r="J89" s="62">
        <f>H89/DAY(B2)</f>
        <v>-1622.0333333333333</v>
      </c>
      <c r="K89" s="92"/>
      <c r="L89" s="121"/>
    </row>
    <row r="90" spans="1:12" ht="23.25" customHeight="1">
      <c r="A90" s="1288" t="s">
        <v>221</v>
      </c>
      <c r="B90" s="1289"/>
      <c r="C90" s="1290"/>
      <c r="D90" s="279" t="s">
        <v>155</v>
      </c>
      <c r="E90" s="60">
        <v>72</v>
      </c>
      <c r="F90" s="278">
        <v>84</v>
      </c>
      <c r="G90" s="336">
        <f t="shared" si="8"/>
        <v>12</v>
      </c>
      <c r="H90" s="61">
        <f>G90+'29'!H96</f>
        <v>1082</v>
      </c>
      <c r="I90" s="73"/>
      <c r="J90" s="62">
        <f>H90/DAY(B2)</f>
        <v>36.06666666666667</v>
      </c>
      <c r="K90" s="47"/>
      <c r="L90" s="121"/>
    </row>
    <row r="91" spans="1:12" ht="23.25" customHeight="1">
      <c r="A91" s="1288" t="s">
        <v>222</v>
      </c>
      <c r="B91" s="1289"/>
      <c r="C91" s="1290"/>
      <c r="D91" s="279" t="s">
        <v>155</v>
      </c>
      <c r="E91" s="60">
        <f>'29'!F97</f>
        <v>94222</v>
      </c>
      <c r="F91" s="278">
        <v>82333</v>
      </c>
      <c r="G91" s="336">
        <f t="shared" si="8"/>
        <v>-11889</v>
      </c>
      <c r="H91" s="61">
        <f>G91+'29'!H97</f>
        <v>-11218</v>
      </c>
      <c r="I91" s="73"/>
      <c r="J91" s="62">
        <f>H91/DAY(B2)</f>
        <v>-373.93333333333334</v>
      </c>
      <c r="K91" s="55"/>
      <c r="L91" s="121"/>
    </row>
    <row r="92" spans="1:12" ht="23.25" customHeight="1">
      <c r="A92" s="1288" t="s">
        <v>223</v>
      </c>
      <c r="B92" s="1289"/>
      <c r="C92" s="1290"/>
      <c r="D92" s="279" t="s">
        <v>155</v>
      </c>
      <c r="E92" s="60">
        <f>'29'!F98</f>
        <v>142080</v>
      </c>
      <c r="F92" s="278">
        <v>115948</v>
      </c>
      <c r="G92" s="336">
        <f t="shared" si="8"/>
        <v>-26132</v>
      </c>
      <c r="H92" s="61">
        <f>G92+'29'!H98</f>
        <v>-24957</v>
      </c>
      <c r="I92" s="73"/>
      <c r="J92" s="62">
        <f>H92/DAY(B2)</f>
        <v>-831.9</v>
      </c>
      <c r="K92" s="92"/>
      <c r="L92" s="121"/>
    </row>
    <row r="93" spans="1:12" ht="23.25" customHeight="1">
      <c r="A93" s="1288" t="s">
        <v>224</v>
      </c>
      <c r="B93" s="1289"/>
      <c r="C93" s="1290"/>
      <c r="D93" s="279" t="s">
        <v>155</v>
      </c>
      <c r="E93" s="60">
        <f>'29'!F99</f>
        <v>4951</v>
      </c>
      <c r="F93" s="278">
        <v>2658</v>
      </c>
      <c r="G93" s="336">
        <f t="shared" si="8"/>
        <v>-2293</v>
      </c>
      <c r="H93" s="61">
        <f>G93+'29'!H99</f>
        <v>-2050</v>
      </c>
      <c r="I93" s="73"/>
      <c r="J93" s="62">
        <f>H93/DAY(B2)</f>
        <v>-68.333333333333329</v>
      </c>
      <c r="K93" s="92"/>
      <c r="L93" s="121"/>
    </row>
    <row r="94" spans="1:12" ht="23.25" customHeight="1">
      <c r="A94" s="1288" t="s">
        <v>225</v>
      </c>
      <c r="B94" s="1289"/>
      <c r="C94" s="1290"/>
      <c r="D94" s="279" t="s">
        <v>155</v>
      </c>
      <c r="E94" s="60">
        <f>'29'!F100</f>
        <v>3674</v>
      </c>
      <c r="F94" s="278">
        <v>2507</v>
      </c>
      <c r="G94" s="336">
        <f t="shared" si="8"/>
        <v>-1167</v>
      </c>
      <c r="H94" s="61">
        <f>G94+'29'!H100</f>
        <v>-1167</v>
      </c>
      <c r="I94" s="73"/>
      <c r="J94" s="62">
        <f>H94/DAY(B2)</f>
        <v>-38.9</v>
      </c>
      <c r="K94" s="92"/>
      <c r="L94" s="121"/>
    </row>
    <row r="95" spans="1:12" ht="23.25" customHeight="1">
      <c r="A95" s="1501" t="s">
        <v>227</v>
      </c>
      <c r="B95" s="1502"/>
      <c r="C95" s="1503"/>
      <c r="D95" s="285"/>
      <c r="E95" s="466"/>
      <c r="F95" s="285"/>
      <c r="G95" s="461">
        <f>SUM(G89:G94)</f>
        <v>-91774</v>
      </c>
      <c r="H95" s="61">
        <f>G95+'29'!H101</f>
        <v>-86971</v>
      </c>
      <c r="I95" s="144"/>
      <c r="J95" s="62">
        <f>H95/DAY(B2)</f>
        <v>-2899.0333333333333</v>
      </c>
      <c r="K95" s="92"/>
      <c r="L95" s="121"/>
    </row>
    <row r="96" spans="1:12" ht="23.25" customHeight="1">
      <c r="A96" s="1490" t="s">
        <v>241</v>
      </c>
      <c r="B96" s="1491"/>
      <c r="C96" s="1492"/>
      <c r="D96" s="537"/>
      <c r="E96" s="537"/>
      <c r="F96" s="537"/>
      <c r="G96" s="438"/>
      <c r="H96" s="438"/>
      <c r="I96" s="438"/>
      <c r="J96" s="438"/>
      <c r="K96" s="92"/>
      <c r="L96" s="121"/>
    </row>
    <row r="97" spans="1:12" ht="23.25" customHeight="1">
      <c r="A97" s="396" t="s">
        <v>242</v>
      </c>
      <c r="B97" s="397"/>
      <c r="C97" s="398"/>
      <c r="D97" s="330" t="s">
        <v>152</v>
      </c>
      <c r="E97" s="465">
        <f>'29'!F123</f>
        <v>788636.28300000005</v>
      </c>
      <c r="F97" s="286">
        <v>650192.71</v>
      </c>
      <c r="G97" s="336">
        <f t="shared" ref="G97:G101" si="9">F97-E97</f>
        <v>-138443.57300000009</v>
      </c>
      <c r="H97" s="61">
        <f>G97+'29'!H123</f>
        <v>-132732.17600000009</v>
      </c>
      <c r="I97" s="91"/>
      <c r="J97" s="62">
        <f>H97/DAY(B2)</f>
        <v>-4424.4058666666697</v>
      </c>
      <c r="K97" s="92"/>
      <c r="L97" s="121"/>
    </row>
    <row r="98" spans="1:12" ht="23.25" customHeight="1">
      <c r="A98" s="396" t="s">
        <v>243</v>
      </c>
      <c r="B98" s="397"/>
      <c r="C98" s="398"/>
      <c r="D98" s="330" t="s">
        <v>152</v>
      </c>
      <c r="E98" s="60">
        <f>'29'!F124</f>
        <v>73582.2</v>
      </c>
      <c r="F98" s="286">
        <v>51370</v>
      </c>
      <c r="G98" s="336">
        <f t="shared" si="9"/>
        <v>-22212.199999999997</v>
      </c>
      <c r="H98" s="61">
        <f>G98+'29'!H124</f>
        <v>-22211</v>
      </c>
      <c r="I98" s="400"/>
      <c r="J98" s="62">
        <f>H98/DAY(B2)</f>
        <v>-740.36666666666667</v>
      </c>
      <c r="K98" s="92"/>
      <c r="L98" s="121"/>
    </row>
    <row r="99" spans="1:12" ht="23.25" customHeight="1">
      <c r="A99" s="1498" t="s">
        <v>244</v>
      </c>
      <c r="B99" s="1499"/>
      <c r="C99" s="1500"/>
      <c r="D99" s="279" t="s">
        <v>152</v>
      </c>
      <c r="E99" s="60">
        <f>'29'!F125</f>
        <v>133031.54999999999</v>
      </c>
      <c r="F99" s="275">
        <v>83294.490000000005</v>
      </c>
      <c r="G99" s="336">
        <f t="shared" si="9"/>
        <v>-49737.059999999983</v>
      </c>
      <c r="H99" s="61">
        <f>G99+'29'!H125</f>
        <v>-47811.729999999996</v>
      </c>
      <c r="I99" s="400"/>
      <c r="J99" s="62">
        <f>H99/DAY(B2)</f>
        <v>-1593.7243333333331</v>
      </c>
      <c r="K99" s="92"/>
      <c r="L99" s="121"/>
    </row>
    <row r="100" spans="1:12" ht="23.25" customHeight="1">
      <c r="A100" s="429" t="s">
        <v>245</v>
      </c>
      <c r="B100" s="1289"/>
      <c r="C100" s="1290"/>
      <c r="D100" s="279" t="s">
        <v>152</v>
      </c>
      <c r="E100" s="60">
        <f>'29'!F126</f>
        <v>56319.8</v>
      </c>
      <c r="F100" s="275">
        <v>39666</v>
      </c>
      <c r="G100" s="336">
        <f t="shared" si="9"/>
        <v>-16653.800000000003</v>
      </c>
      <c r="H100" s="61">
        <f>G100+'29'!H126</f>
        <v>-15919.800000000003</v>
      </c>
      <c r="I100" s="400"/>
      <c r="J100" s="62">
        <f>H100/DAY(B2)</f>
        <v>-530.66000000000008</v>
      </c>
      <c r="K100" s="92"/>
      <c r="L100" s="121"/>
    </row>
    <row r="101" spans="1:12" ht="23.25" customHeight="1">
      <c r="A101" s="429" t="s">
        <v>246</v>
      </c>
      <c r="B101" s="1289"/>
      <c r="C101" s="1290"/>
      <c r="D101" s="279" t="s">
        <v>152</v>
      </c>
      <c r="E101" s="60">
        <f>'29'!F127</f>
        <v>8640.1</v>
      </c>
      <c r="F101" s="275">
        <v>6221.3</v>
      </c>
      <c r="G101" s="336">
        <f t="shared" si="9"/>
        <v>-2418.8000000000002</v>
      </c>
      <c r="H101" s="61">
        <f>G101+'29'!H127</f>
        <v>-2417.6999999999998</v>
      </c>
      <c r="I101" s="337"/>
      <c r="J101" s="325">
        <f>H101/DAY(B2)</f>
        <v>-80.589999999999989</v>
      </c>
      <c r="K101" s="92"/>
      <c r="L101" s="121"/>
    </row>
    <row r="102" spans="1:12" ht="23.25" customHeight="1">
      <c r="A102" s="1493" t="s">
        <v>261</v>
      </c>
      <c r="B102" s="1494"/>
      <c r="C102" s="537"/>
      <c r="D102" s="537"/>
      <c r="E102" s="467"/>
      <c r="F102" s="537"/>
      <c r="G102" s="438"/>
      <c r="H102" s="438"/>
      <c r="I102" s="438"/>
      <c r="J102" s="438"/>
      <c r="K102" s="92"/>
      <c r="L102" s="121"/>
    </row>
    <row r="103" spans="1:12" ht="23.25" customHeight="1">
      <c r="A103" s="1495" t="s">
        <v>262</v>
      </c>
      <c r="B103" s="1496"/>
      <c r="C103" s="1497"/>
      <c r="D103" s="279" t="s">
        <v>143</v>
      </c>
      <c r="E103" s="279"/>
      <c r="F103" s="279"/>
      <c r="G103" s="288">
        <f>G34+G42+G48+G56</f>
        <v>957195.12699999986</v>
      </c>
      <c r="H103" s="61">
        <f>G103+'29'!H142</f>
        <v>1098675.2889999999</v>
      </c>
      <c r="I103" s="73"/>
      <c r="J103" s="62">
        <f>H103/DAY(B2)</f>
        <v>36622.509633333328</v>
      </c>
      <c r="K103" s="92"/>
      <c r="L103" s="121"/>
    </row>
    <row r="104" spans="1:12" ht="23.25" customHeight="1">
      <c r="A104" s="1495" t="s">
        <v>263</v>
      </c>
      <c r="B104" s="1496"/>
      <c r="C104" s="1497"/>
      <c r="D104" s="279" t="s">
        <v>24</v>
      </c>
      <c r="E104" s="280"/>
      <c r="F104" s="280"/>
      <c r="G104" s="291">
        <f>G103/G7</f>
        <v>0.98817347612024098</v>
      </c>
      <c r="H104" s="61">
        <f>G104+'29'!H143</f>
        <v>8.1133659366039055</v>
      </c>
      <c r="I104" s="88"/>
      <c r="J104" s="62">
        <f>H104/DAY(B2)</f>
        <v>0.27044553122013021</v>
      </c>
      <c r="K104" s="115"/>
      <c r="L104" s="121"/>
    </row>
    <row r="105" spans="1:12" ht="23.25" customHeight="1">
      <c r="A105" s="1495" t="s">
        <v>264</v>
      </c>
      <c r="B105" s="1496"/>
      <c r="C105" s="1497"/>
      <c r="D105" s="279" t="s">
        <v>143</v>
      </c>
      <c r="E105" s="276"/>
      <c r="F105" s="276"/>
      <c r="G105" s="288">
        <f>G40+G41+G54+G55</f>
        <v>2181447.7400000002</v>
      </c>
      <c r="H105" s="61">
        <f>G105+'29'!H144</f>
        <v>2307469.66</v>
      </c>
      <c r="I105" s="73"/>
      <c r="J105" s="62">
        <f>H105/DAY(B2)</f>
        <v>76915.655333333343</v>
      </c>
      <c r="K105" s="115"/>
      <c r="L105" s="121"/>
    </row>
    <row r="106" spans="1:12" ht="23.25" customHeight="1">
      <c r="A106" s="1495" t="s">
        <v>265</v>
      </c>
      <c r="B106" s="1496"/>
      <c r="C106" s="1497"/>
      <c r="D106" s="279" t="s">
        <v>24</v>
      </c>
      <c r="E106" s="276"/>
      <c r="F106" s="276"/>
      <c r="G106" s="291">
        <f>G105/G7</f>
        <v>2.2520473991197454</v>
      </c>
      <c r="H106" s="61">
        <f>G106+'29'!H145</f>
        <v>8.7597539982868238</v>
      </c>
      <c r="I106" s="88"/>
      <c r="J106" s="62">
        <f>H106/DAY(B2)</f>
        <v>0.29199179994289415</v>
      </c>
      <c r="K106" s="115"/>
      <c r="L106" s="121"/>
    </row>
    <row r="107" spans="1:12" ht="23.25" customHeight="1">
      <c r="A107" s="1495" t="s">
        <v>266</v>
      </c>
      <c r="B107" s="1496"/>
      <c r="C107" s="1497"/>
      <c r="D107" s="279" t="s">
        <v>143</v>
      </c>
      <c r="E107" s="276"/>
      <c r="F107" s="276"/>
      <c r="G107" s="288">
        <f>G38+G52</f>
        <v>2040219.5110000002</v>
      </c>
      <c r="H107" s="61">
        <f>G107+'29'!H146</f>
        <v>2132325.9800000004</v>
      </c>
      <c r="I107" s="90"/>
      <c r="J107" s="62">
        <f>H107/DAY(B2)</f>
        <v>71077.532666666681</v>
      </c>
      <c r="K107" s="115"/>
      <c r="L107" s="121"/>
    </row>
    <row r="108" spans="1:12" ht="23.25" customHeight="1">
      <c r="A108" s="1495" t="s">
        <v>267</v>
      </c>
      <c r="B108" s="1496"/>
      <c r="C108" s="1497"/>
      <c r="D108" s="279" t="s">
        <v>24</v>
      </c>
      <c r="E108" s="276"/>
      <c r="F108" s="276"/>
      <c r="G108" s="291">
        <f>G107/G7</f>
        <v>2.1062485060407217</v>
      </c>
      <c r="H108" s="61">
        <f>G108+'29'!H147</f>
        <v>6.8304711716392639</v>
      </c>
      <c r="I108" s="90"/>
      <c r="J108" s="62">
        <f>H108/DAY(B2)</f>
        <v>0.22768237238797545</v>
      </c>
    </row>
    <row r="109" spans="1:12" ht="23.25" customHeight="1">
      <c r="A109" s="1495" t="s">
        <v>268</v>
      </c>
      <c r="B109" s="1496"/>
      <c r="C109" s="1497"/>
      <c r="D109" s="279" t="s">
        <v>194</v>
      </c>
      <c r="E109" s="276"/>
      <c r="F109" s="276"/>
      <c r="G109" s="288">
        <f>G37+G51</f>
        <v>1399676.68</v>
      </c>
      <c r="H109" s="61">
        <f>G109+'29'!H148</f>
        <v>1450188.06</v>
      </c>
      <c r="I109" s="73"/>
      <c r="J109" s="62">
        <f>H109/DAY(B2)</f>
        <v>48339.601999999999</v>
      </c>
      <c r="K109" s="157"/>
    </row>
    <row r="110" spans="1:12" ht="23.25" customHeight="1">
      <c r="A110" s="1495" t="s">
        <v>269</v>
      </c>
      <c r="B110" s="1496"/>
      <c r="C110" s="1497"/>
      <c r="D110" s="279" t="s">
        <v>24</v>
      </c>
      <c r="E110" s="276"/>
      <c r="F110" s="276"/>
      <c r="G110" s="291">
        <f>G109/G7</f>
        <v>1.4449753569629677</v>
      </c>
      <c r="H110" s="61">
        <f>G110+'29'!H149</f>
        <v>4.0522862963889938</v>
      </c>
      <c r="I110" s="90"/>
      <c r="J110" s="62">
        <f>H110/DAY(B2)</f>
        <v>0.13507620987963312</v>
      </c>
    </row>
    <row r="111" spans="1:12" ht="23.25" customHeight="1">
      <c r="A111" s="1495" t="s">
        <v>270</v>
      </c>
      <c r="B111" s="1496"/>
      <c r="C111" s="1497"/>
      <c r="D111" s="279" t="s">
        <v>194</v>
      </c>
      <c r="E111" s="276"/>
      <c r="F111" s="276"/>
      <c r="G111" s="288">
        <f>G35+G49</f>
        <v>878644.28</v>
      </c>
      <c r="H111" s="61">
        <f>G111+'29'!H150</f>
        <v>927009.70000000007</v>
      </c>
      <c r="I111" s="90"/>
      <c r="J111" s="62">
        <f>H111/DAY(B2)</f>
        <v>30900.323333333337</v>
      </c>
    </row>
    <row r="112" spans="1:12" ht="23.25" customHeight="1">
      <c r="A112" s="1495" t="s">
        <v>271</v>
      </c>
      <c r="B112" s="1496"/>
      <c r="C112" s="1497"/>
      <c r="D112" s="279" t="s">
        <v>24</v>
      </c>
      <c r="E112" s="276"/>
      <c r="F112" s="276"/>
      <c r="G112" s="291">
        <f>G111/G7</f>
        <v>0.90708043527343041</v>
      </c>
      <c r="H112" s="61">
        <f>G112+'29'!H151</f>
        <v>3.3979544361688174</v>
      </c>
      <c r="I112" s="73"/>
      <c r="J112" s="62">
        <f>H112/DAY(B2)</f>
        <v>0.11326514787229391</v>
      </c>
    </row>
    <row r="113" spans="1:10" ht="23.25" customHeight="1">
      <c r="A113" s="1495" t="s">
        <v>272</v>
      </c>
      <c r="B113" s="1496"/>
      <c r="C113" s="1497"/>
      <c r="D113" s="279" t="s">
        <v>194</v>
      </c>
      <c r="E113" s="276"/>
      <c r="F113" s="276"/>
      <c r="G113" s="288">
        <f>G36+G50</f>
        <v>511937.42899999989</v>
      </c>
      <c r="H113" s="61">
        <f>G113+'29'!H152</f>
        <v>552941.80189999985</v>
      </c>
      <c r="I113" s="73"/>
      <c r="J113" s="62">
        <f>H113/DAY(B2)</f>
        <v>18431.393396666663</v>
      </c>
    </row>
    <row r="114" spans="1:10" ht="23.25" customHeight="1">
      <c r="A114" s="1495" t="s">
        <v>273</v>
      </c>
      <c r="B114" s="1496"/>
      <c r="C114" s="1497"/>
      <c r="D114" s="279" t="s">
        <v>24</v>
      </c>
      <c r="E114" s="276"/>
      <c r="F114" s="276"/>
      <c r="G114" s="291">
        <f>G113/G7</f>
        <v>0.52850560403133873</v>
      </c>
      <c r="H114" s="61">
        <f>G114+'29'!H153</f>
        <v>2.6501346356681994</v>
      </c>
      <c r="I114" s="73"/>
      <c r="J114" s="62">
        <f>H114/DAY(B2)</f>
        <v>8.8337821188939986E-2</v>
      </c>
    </row>
    <row r="115" spans="1:10" ht="23.25" customHeight="1">
      <c r="A115" s="435" t="s">
        <v>248</v>
      </c>
      <c r="B115" s="435"/>
      <c r="C115" s="435"/>
      <c r="D115" s="435"/>
      <c r="E115" s="435"/>
      <c r="F115" s="435"/>
      <c r="G115" s="449"/>
      <c r="H115" s="449"/>
      <c r="I115" s="449"/>
      <c r="J115" s="449"/>
    </row>
    <row r="116" spans="1:10" ht="23.25" customHeight="1">
      <c r="A116" s="538" t="s">
        <v>249</v>
      </c>
      <c r="B116" s="538"/>
      <c r="C116" s="538"/>
      <c r="D116" s="279" t="s">
        <v>250</v>
      </c>
      <c r="E116" s="465">
        <f>'29'!F130</f>
        <v>0</v>
      </c>
      <c r="F116" s="278">
        <v>0</v>
      </c>
      <c r="G116" s="336">
        <f t="shared" ref="G116:G126" si="10">F116-E116</f>
        <v>0</v>
      </c>
      <c r="H116" s="61">
        <f>G116+'29'!H130</f>
        <v>0</v>
      </c>
      <c r="I116" s="73"/>
      <c r="J116" s="62">
        <f>H116/DAY(B2)</f>
        <v>0</v>
      </c>
    </row>
    <row r="117" spans="1:10" ht="23.25" customHeight="1">
      <c r="A117" s="538" t="s">
        <v>251</v>
      </c>
      <c r="B117" s="538"/>
      <c r="C117" s="538"/>
      <c r="D117" s="279" t="s">
        <v>250</v>
      </c>
      <c r="E117" s="60">
        <f>'29'!F131</f>
        <v>0</v>
      </c>
      <c r="F117" s="278">
        <v>0</v>
      </c>
      <c r="G117" s="336">
        <f t="shared" si="10"/>
        <v>0</v>
      </c>
      <c r="H117" s="61">
        <f>G117+'29'!H131</f>
        <v>0</v>
      </c>
      <c r="I117" s="73"/>
      <c r="J117" s="62">
        <f>H117/DAY(B2)</f>
        <v>0</v>
      </c>
    </row>
    <row r="118" spans="1:10" ht="23.25" customHeight="1">
      <c r="A118" s="538" t="s">
        <v>252</v>
      </c>
      <c r="B118" s="538"/>
      <c r="C118" s="538"/>
      <c r="D118" s="279" t="s">
        <v>250</v>
      </c>
      <c r="E118" s="60">
        <f>'29'!F132</f>
        <v>38877</v>
      </c>
      <c r="F118" s="278">
        <v>36196</v>
      </c>
      <c r="G118" s="336">
        <f t="shared" si="10"/>
        <v>-2681</v>
      </c>
      <c r="H118" s="61">
        <f>G118+'29'!H132</f>
        <v>-2681</v>
      </c>
      <c r="I118" s="73"/>
      <c r="J118" s="62">
        <f>H118/DAY(B2)</f>
        <v>-89.36666666666666</v>
      </c>
    </row>
    <row r="119" spans="1:10" ht="23.25" customHeight="1">
      <c r="A119" s="538" t="s">
        <v>253</v>
      </c>
      <c r="B119" s="538"/>
      <c r="C119" s="538"/>
      <c r="D119" s="279" t="s">
        <v>250</v>
      </c>
      <c r="E119" s="60">
        <f>'29'!F133</f>
        <v>34948</v>
      </c>
      <c r="F119" s="278">
        <v>32397.32</v>
      </c>
      <c r="G119" s="336">
        <f t="shared" si="10"/>
        <v>-2550.6800000000003</v>
      </c>
      <c r="H119" s="61">
        <f>G119+'29'!H133</f>
        <v>-2550.6800000000003</v>
      </c>
      <c r="I119" s="73">
        <f>G116+G117+G118+G119</f>
        <v>-5231.68</v>
      </c>
      <c r="J119" s="62">
        <f>H119/DAY(B2)</f>
        <v>-85.02266666666668</v>
      </c>
    </row>
    <row r="120" spans="1:10" ht="23.25" customHeight="1">
      <c r="A120" s="538" t="s">
        <v>254</v>
      </c>
      <c r="B120" s="538"/>
      <c r="C120" s="538"/>
      <c r="D120" s="279" t="s">
        <v>250</v>
      </c>
      <c r="E120" s="60">
        <f>'29'!F134</f>
        <v>39735</v>
      </c>
      <c r="F120" s="278">
        <v>30495.25</v>
      </c>
      <c r="G120" s="336">
        <f t="shared" si="10"/>
        <v>-9239.75</v>
      </c>
      <c r="H120" s="61">
        <f>G120+'29'!H134</f>
        <v>-9215.75</v>
      </c>
      <c r="I120" s="73"/>
      <c r="J120" s="62">
        <f>H120/DAY(B2)</f>
        <v>-307.19166666666666</v>
      </c>
    </row>
    <row r="121" spans="1:10" ht="23.25" customHeight="1">
      <c r="A121" s="538" t="s">
        <v>255</v>
      </c>
      <c r="B121" s="538"/>
      <c r="C121" s="538"/>
      <c r="D121" s="279" t="s">
        <v>250</v>
      </c>
      <c r="E121" s="60">
        <f>'29'!F135</f>
        <v>31692.25</v>
      </c>
      <c r="F121" s="278">
        <v>25683.26</v>
      </c>
      <c r="G121" s="336">
        <f t="shared" si="10"/>
        <v>-6008.9900000000016</v>
      </c>
      <c r="H121" s="61">
        <f>G121+'29'!H135</f>
        <v>-5851.77</v>
      </c>
      <c r="I121" s="73"/>
      <c r="J121" s="62">
        <f>H121/DAY(B2)</f>
        <v>-195.05900000000003</v>
      </c>
    </row>
    <row r="122" spans="1:10" ht="23.25" customHeight="1">
      <c r="A122" s="538" t="s">
        <v>256</v>
      </c>
      <c r="B122" s="538"/>
      <c r="C122" s="538"/>
      <c r="D122" s="279" t="s">
        <v>250</v>
      </c>
      <c r="E122" s="60">
        <f>'29'!F136</f>
        <v>21668.45</v>
      </c>
      <c r="F122" s="278">
        <v>21285.49</v>
      </c>
      <c r="G122" s="336">
        <f t="shared" si="10"/>
        <v>-382.95999999999913</v>
      </c>
      <c r="H122" s="61">
        <f>G122+'29'!H136</f>
        <v>-312.53999999999724</v>
      </c>
      <c r="I122" s="73">
        <f>G120+G121+G122</f>
        <v>-15631.7</v>
      </c>
      <c r="J122" s="62">
        <f>H122/DAY(B2)</f>
        <v>-10.417999999999909</v>
      </c>
    </row>
    <row r="123" spans="1:10" ht="23.25" customHeight="1">
      <c r="A123" s="538" t="s">
        <v>257</v>
      </c>
      <c r="B123" s="538"/>
      <c r="C123" s="538"/>
      <c r="D123" s="279" t="s">
        <v>250</v>
      </c>
      <c r="E123" s="60">
        <f>'29'!F137</f>
        <v>24932.51</v>
      </c>
      <c r="F123" s="278">
        <v>22354.720000000001</v>
      </c>
      <c r="G123" s="336">
        <f t="shared" si="10"/>
        <v>-2577.7899999999972</v>
      </c>
      <c r="H123" s="61">
        <f>G123+'29'!H137</f>
        <v>-2566.25</v>
      </c>
      <c r="I123" s="73"/>
      <c r="J123" s="62">
        <f>H123/DAY(B2)</f>
        <v>-85.541666666666671</v>
      </c>
    </row>
    <row r="124" spans="1:10" ht="23.25" customHeight="1">
      <c r="A124" s="538" t="s">
        <v>258</v>
      </c>
      <c r="B124" s="538"/>
      <c r="C124" s="538"/>
      <c r="D124" s="279" t="s">
        <v>250</v>
      </c>
      <c r="E124" s="60">
        <f>'29'!F138</f>
        <v>69955.210000000006</v>
      </c>
      <c r="F124" s="278">
        <v>64789.37</v>
      </c>
      <c r="G124" s="336">
        <f t="shared" si="10"/>
        <v>-5165.8400000000038</v>
      </c>
      <c r="H124" s="61">
        <f>G124+'29'!H138</f>
        <v>-5139.5400000000009</v>
      </c>
      <c r="I124" s="73">
        <f>G123+G124</f>
        <v>-7743.630000000001</v>
      </c>
      <c r="J124" s="62">
        <f>H124/DAY(B2)</f>
        <v>-171.31800000000004</v>
      </c>
    </row>
    <row r="125" spans="1:10" ht="23.25" customHeight="1">
      <c r="A125" s="538" t="s">
        <v>259</v>
      </c>
      <c r="B125" s="538"/>
      <c r="C125" s="538"/>
      <c r="D125" s="279" t="s">
        <v>250</v>
      </c>
      <c r="E125" s="60">
        <f>'29'!F139</f>
        <v>935.98</v>
      </c>
      <c r="F125" s="278">
        <v>17.899999999999999</v>
      </c>
      <c r="G125" s="336">
        <f t="shared" si="10"/>
        <v>-918.08</v>
      </c>
      <c r="H125" s="61">
        <f>G125+'29'!H139</f>
        <v>-758.53</v>
      </c>
      <c r="J125" s="62">
        <f>H125/DAY(B2)</f>
        <v>-25.284333333333333</v>
      </c>
    </row>
    <row r="126" spans="1:10" ht="23.25" customHeight="1" thickBot="1">
      <c r="A126" s="538" t="s">
        <v>260</v>
      </c>
      <c r="B126" s="538"/>
      <c r="C126" s="538"/>
      <c r="D126" s="279" t="s">
        <v>250</v>
      </c>
      <c r="E126" s="468">
        <f>'29'!F140</f>
        <v>4156.8999999999996</v>
      </c>
      <c r="F126" s="278">
        <v>603.07000000000005</v>
      </c>
      <c r="G126" s="336">
        <f t="shared" si="10"/>
        <v>-3553.8299999999995</v>
      </c>
      <c r="H126" s="61">
        <f>G126+'29'!H140</f>
        <v>-3551.2000000000003</v>
      </c>
      <c r="J126" s="62">
        <f>H126/DAY(B2)</f>
        <v>-118.37333333333335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7">
        <f>'1'!G7</f>
        <v>18574</v>
      </c>
      <c r="B3" s="217"/>
      <c r="C3" s="217"/>
      <c r="D3" s="217"/>
      <c r="E3" s="217"/>
      <c r="F3" s="217"/>
      <c r="G3" s="217"/>
      <c r="H3" s="217"/>
      <c r="I3" s="217"/>
    </row>
    <row r="4" spans="1:9">
      <c r="A4" s="217">
        <f>'2'!G7</f>
        <v>19432</v>
      </c>
      <c r="B4" s="217"/>
    </row>
    <row r="5" spans="1:9">
      <c r="A5" s="217">
        <f>'3'!G7</f>
        <v>18137</v>
      </c>
    </row>
    <row r="6" spans="1:9">
      <c r="A6" s="217">
        <f>'4'!G7</f>
        <v>17671</v>
      </c>
    </row>
    <row r="7" spans="1:9">
      <c r="A7" s="217">
        <f>'5'!G7</f>
        <v>18057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TOTAL</vt:lpstr>
      <vt:lpstr>Daily HLP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2020-12-31T16:51:53Z</dcterms:modified>
</cp:coreProperties>
</file>