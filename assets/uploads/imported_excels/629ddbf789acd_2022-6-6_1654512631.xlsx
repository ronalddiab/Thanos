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0\Monthly Spread Sheet HEP\"/>
    </mc:Choice>
  </mc:AlternateContent>
  <bookViews>
    <workbookView xWindow="0" yWindow="0" windowWidth="25200" windowHeight="1198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H32" i="4" l="1"/>
  <c r="F37" i="2"/>
  <c r="G37" i="2" s="1"/>
  <c r="F38" i="2"/>
  <c r="G38" i="2" s="1"/>
  <c r="I19" i="1"/>
  <c r="I18" i="1"/>
  <c r="I17" i="1"/>
  <c r="G22" i="4"/>
  <c r="I14" i="1"/>
  <c r="I13" i="1"/>
  <c r="G19" i="4"/>
  <c r="J12" i="1" s="1"/>
  <c r="I11" i="1"/>
  <c r="I9" i="1"/>
  <c r="I6" i="1"/>
  <c r="I5" i="1"/>
  <c r="G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K26" i="5" s="1"/>
  <c r="L26" i="5" s="1"/>
  <c r="J25" i="5"/>
  <c r="H25" i="5"/>
  <c r="F25" i="5"/>
  <c r="J24" i="5"/>
  <c r="H24" i="5"/>
  <c r="K24" i="5" s="1"/>
  <c r="L24" i="5" s="1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K18" i="5" s="1"/>
  <c r="L18" i="5" s="1"/>
  <c r="J17" i="5"/>
  <c r="H17" i="5"/>
  <c r="F17" i="5"/>
  <c r="J16" i="5"/>
  <c r="H16" i="5"/>
  <c r="F16" i="5"/>
  <c r="J15" i="5"/>
  <c r="H15" i="5"/>
  <c r="K15" i="5" s="1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J2" i="1" s="1"/>
  <c r="O40" i="3"/>
  <c r="F40" i="3"/>
  <c r="G39" i="3"/>
  <c r="J8" i="3"/>
  <c r="J38" i="3" s="1"/>
  <c r="G38" i="3"/>
  <c r="G37" i="3"/>
  <c r="G36" i="3"/>
  <c r="J35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U8" i="3"/>
  <c r="D39" i="2"/>
  <c r="C39" i="2"/>
  <c r="I38" i="2"/>
  <c r="J38" i="2" s="1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K10" i="5"/>
  <c r="L10" i="5" s="1"/>
  <c r="G29" i="4"/>
  <c r="J22" i="1" s="1"/>
  <c r="O41" i="3"/>
  <c r="G27" i="4"/>
  <c r="J20" i="1" s="1"/>
  <c r="J34" i="3"/>
  <c r="J23" i="3"/>
  <c r="J9" i="3"/>
  <c r="J15" i="3"/>
  <c r="J17" i="3"/>
  <c r="J7" i="1" l="1"/>
  <c r="E10" i="1"/>
  <c r="E16" i="1"/>
  <c r="E18" i="1"/>
  <c r="E15" i="1"/>
  <c r="K11" i="5"/>
  <c r="L11" i="5" s="1"/>
  <c r="K27" i="5"/>
  <c r="L27" i="5" s="1"/>
  <c r="K9" i="5"/>
  <c r="L9" i="5" s="1"/>
  <c r="K25" i="5"/>
  <c r="L25" i="5" s="1"/>
  <c r="K38" i="5"/>
  <c r="L38" i="5" s="1"/>
  <c r="K31" i="5"/>
  <c r="L24" i="1" s="1"/>
  <c r="G16" i="2"/>
  <c r="K16" i="2" s="1"/>
  <c r="L16" i="2" s="1"/>
  <c r="F10" i="1" s="1"/>
  <c r="K14" i="5"/>
  <c r="L14" i="5" s="1"/>
  <c r="K22" i="5"/>
  <c r="L22" i="5" s="1"/>
  <c r="K33" i="5"/>
  <c r="L33" i="5" s="1"/>
  <c r="K28" i="5"/>
  <c r="L21" i="1" s="1"/>
  <c r="K36" i="5"/>
  <c r="L29" i="1" s="1"/>
  <c r="K34" i="5"/>
  <c r="L34" i="5" s="1"/>
  <c r="L8" i="1"/>
  <c r="K30" i="5"/>
  <c r="L30" i="5" s="1"/>
  <c r="K35" i="5"/>
  <c r="L35" i="5" s="1"/>
  <c r="H9" i="4"/>
  <c r="J16" i="3"/>
  <c r="J26" i="3"/>
  <c r="J19" i="3"/>
  <c r="J29" i="3"/>
  <c r="J14" i="3"/>
  <c r="J39" i="3"/>
  <c r="J20" i="3"/>
  <c r="J30" i="3"/>
  <c r="J24" i="3"/>
  <c r="J13" i="3"/>
  <c r="J31" i="3"/>
  <c r="J33" i="3"/>
  <c r="J36" i="3"/>
  <c r="J12" i="3"/>
  <c r="M8" i="3"/>
  <c r="J21" i="3"/>
  <c r="J11" i="3"/>
  <c r="J18" i="3"/>
  <c r="J32" i="3"/>
  <c r="J25" i="3"/>
  <c r="J10" i="3"/>
  <c r="P8" i="3"/>
  <c r="J22" i="3"/>
  <c r="J28" i="3"/>
  <c r="J27" i="3"/>
  <c r="E8" i="1"/>
  <c r="E11" i="1"/>
  <c r="E25" i="1"/>
  <c r="G22" i="2"/>
  <c r="K22" i="2" s="1"/>
  <c r="L22" i="2" s="1"/>
  <c r="M22" i="2" s="1"/>
  <c r="E29" i="1"/>
  <c r="D40" i="3"/>
  <c r="L4" i="1"/>
  <c r="K17" i="5"/>
  <c r="L10" i="1" s="1"/>
  <c r="K13" i="5"/>
  <c r="L6" i="1" s="1"/>
  <c r="K32" i="5"/>
  <c r="L25" i="1" s="1"/>
  <c r="K19" i="5"/>
  <c r="L19" i="5" s="1"/>
  <c r="L31" i="5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H26" i="4"/>
  <c r="J37" i="3"/>
  <c r="I39" i="2"/>
  <c r="K38" i="2"/>
  <c r="L38" i="2" s="1"/>
  <c r="M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G8" i="2"/>
  <c r="K26" i="2"/>
  <c r="L26" i="2" s="1"/>
  <c r="M26" i="2" s="1"/>
  <c r="K20" i="2"/>
  <c r="L20" i="2" s="1"/>
  <c r="M20" i="2" s="1"/>
  <c r="E19" i="1"/>
  <c r="F39" i="2"/>
  <c r="L19" i="1"/>
  <c r="K12" i="5"/>
  <c r="L12" i="5" s="1"/>
  <c r="K23" i="5"/>
  <c r="L23" i="5" s="1"/>
  <c r="K39" i="5"/>
  <c r="L32" i="1" s="1"/>
  <c r="L18" i="1"/>
  <c r="I41" i="5"/>
  <c r="L17" i="1"/>
  <c r="J40" i="5"/>
  <c r="L15" i="5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G3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24" i="2"/>
  <c r="L24" i="2" s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E9" i="1"/>
  <c r="E26" i="1"/>
  <c r="E28" i="1"/>
  <c r="E24" i="1"/>
  <c r="N33" i="1"/>
  <c r="D14" i="4"/>
  <c r="D14" i="5" s="1"/>
  <c r="C40" i="3"/>
  <c r="M33" i="1"/>
  <c r="C10" i="4"/>
  <c r="C10" i="5" s="1"/>
  <c r="C40" i="5" s="1"/>
  <c r="D9" i="5"/>
  <c r="F18" i="1" l="1"/>
  <c r="L27" i="1"/>
  <c r="L36" i="5"/>
  <c r="L28" i="5"/>
  <c r="L15" i="1"/>
  <c r="L2" i="1"/>
  <c r="L31" i="1"/>
  <c r="L30" i="1"/>
  <c r="L20" i="1"/>
  <c r="L26" i="1"/>
  <c r="F19" i="1"/>
  <c r="F29" i="1"/>
  <c r="F22" i="1"/>
  <c r="F32" i="1"/>
  <c r="D40" i="4"/>
  <c r="D40" i="5"/>
  <c r="L13" i="5"/>
  <c r="L17" i="5"/>
  <c r="L7" i="1"/>
  <c r="L32" i="5"/>
  <c r="L23" i="1"/>
  <c r="L12" i="1"/>
  <c r="L5" i="1"/>
  <c r="L22" i="1"/>
  <c r="L28" i="1"/>
  <c r="L21" i="5"/>
  <c r="M38" i="3"/>
  <c r="M37" i="3"/>
  <c r="M19" i="3"/>
  <c r="M15" i="3"/>
  <c r="M17" i="3"/>
  <c r="M31" i="3"/>
  <c r="M36" i="3"/>
  <c r="M26" i="3"/>
  <c r="M20" i="3"/>
  <c r="Q20" i="3" s="1"/>
  <c r="M10" i="3"/>
  <c r="Q10" i="3" s="1"/>
  <c r="M29" i="3"/>
  <c r="M28" i="3"/>
  <c r="M25" i="3"/>
  <c r="M16" i="3"/>
  <c r="M32" i="3"/>
  <c r="Q32" i="3" s="1"/>
  <c r="M39" i="3"/>
  <c r="M23" i="3"/>
  <c r="M30" i="3"/>
  <c r="M13" i="3"/>
  <c r="M35" i="3"/>
  <c r="M22" i="3"/>
  <c r="M21" i="3"/>
  <c r="Q21" i="3" s="1"/>
  <c r="M12" i="3"/>
  <c r="M18" i="3"/>
  <c r="M14" i="3"/>
  <c r="M34" i="3"/>
  <c r="M24" i="3"/>
  <c r="M33" i="3"/>
  <c r="M11" i="3"/>
  <c r="M27" i="3"/>
  <c r="M9" i="3"/>
  <c r="P14" i="3"/>
  <c r="P34" i="3"/>
  <c r="P10" i="3"/>
  <c r="P35" i="3"/>
  <c r="P27" i="3"/>
  <c r="P38" i="3"/>
  <c r="P37" i="3"/>
  <c r="P19" i="3"/>
  <c r="P30" i="3"/>
  <c r="P26" i="3"/>
  <c r="Q26" i="3" s="1"/>
  <c r="P21" i="3"/>
  <c r="P15" i="3"/>
  <c r="P25" i="3"/>
  <c r="P17" i="3"/>
  <c r="P31" i="3"/>
  <c r="P18" i="3"/>
  <c r="P12" i="3"/>
  <c r="P29" i="3"/>
  <c r="P28" i="3"/>
  <c r="P16" i="3"/>
  <c r="P36" i="3"/>
  <c r="P9" i="3"/>
  <c r="P22" i="3"/>
  <c r="Q22" i="3" s="1"/>
  <c r="P39" i="3"/>
  <c r="P23" i="3"/>
  <c r="P13" i="3"/>
  <c r="P33" i="3"/>
  <c r="P32" i="3"/>
  <c r="P20" i="3"/>
  <c r="P11" i="3"/>
  <c r="Q11" i="3" s="1"/>
  <c r="P24" i="3"/>
  <c r="F30" i="1"/>
  <c r="M16" i="2"/>
  <c r="L16" i="5"/>
  <c r="L16" i="1"/>
  <c r="L13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L33" i="1" l="1"/>
  <c r="Q18" i="3"/>
  <c r="Q12" i="3"/>
  <c r="R12" i="3" s="1"/>
  <c r="Q36" i="3"/>
  <c r="Q31" i="3"/>
  <c r="Q33" i="3"/>
  <c r="Q39" i="3"/>
  <c r="Q13" i="3"/>
  <c r="R13" i="3" s="1"/>
  <c r="Q19" i="3"/>
  <c r="R19" i="3" s="1"/>
  <c r="Q30" i="3"/>
  <c r="Q14" i="3"/>
  <c r="Q37" i="3"/>
  <c r="L40" i="5"/>
  <c r="Q9" i="3"/>
  <c r="Q29" i="3"/>
  <c r="H22" i="1" s="1"/>
  <c r="Q28" i="3"/>
  <c r="R28" i="3" s="1"/>
  <c r="H5" i="1"/>
  <c r="H30" i="1"/>
  <c r="R37" i="3"/>
  <c r="R11" i="3"/>
  <c r="H4" i="1"/>
  <c r="R22" i="3"/>
  <c r="H15" i="1"/>
  <c r="R31" i="3"/>
  <c r="H24" i="1"/>
  <c r="R32" i="3"/>
  <c r="H25" i="1"/>
  <c r="R30" i="3"/>
  <c r="H23" i="1"/>
  <c r="R36" i="3"/>
  <c r="H29" i="1"/>
  <c r="H21" i="1"/>
  <c r="R20" i="3"/>
  <c r="H13" i="1"/>
  <c r="R21" i="3"/>
  <c r="H14" i="1"/>
  <c r="R29" i="3"/>
  <c r="R18" i="3"/>
  <c r="H11" i="1"/>
  <c r="R33" i="3"/>
  <c r="H26" i="1"/>
  <c r="Q27" i="3"/>
  <c r="Q16" i="3"/>
  <c r="Q25" i="3"/>
  <c r="Q17" i="3"/>
  <c r="R39" i="3"/>
  <c r="H32" i="1"/>
  <c r="Q35" i="3"/>
  <c r="Q15" i="3"/>
  <c r="H19" i="1"/>
  <c r="R26" i="3"/>
  <c r="R10" i="3"/>
  <c r="H3" i="1"/>
  <c r="Q24" i="3"/>
  <c r="Q34" i="3"/>
  <c r="R9" i="3"/>
  <c r="H2" i="1"/>
  <c r="Q23" i="3"/>
  <c r="Q38" i="3"/>
  <c r="H40" i="4"/>
  <c r="M8" i="2"/>
  <c r="M39" i="2" s="1"/>
  <c r="F2" i="1"/>
  <c r="F33" i="1" s="1"/>
  <c r="H6" i="1" l="1"/>
  <c r="H12" i="1"/>
  <c r="R14" i="3"/>
  <c r="H7" i="1"/>
  <c r="R23" i="3"/>
  <c r="H16" i="1"/>
  <c r="H10" i="1"/>
  <c r="R17" i="3"/>
  <c r="R38" i="3"/>
  <c r="H31" i="1"/>
  <c r="R25" i="3"/>
  <c r="H18" i="1"/>
  <c r="H20" i="1"/>
  <c r="R27" i="3"/>
  <c r="R15" i="3"/>
  <c r="H8" i="1"/>
  <c r="H28" i="1"/>
  <c r="R35" i="3"/>
  <c r="R34" i="3"/>
  <c r="H27" i="1"/>
  <c r="R16" i="3"/>
  <c r="H9" i="1"/>
  <c r="R24" i="3"/>
  <c r="H17" i="1"/>
  <c r="R40" i="3" l="1"/>
  <c r="H33" i="1"/>
</calcChain>
</file>

<file path=xl/sharedStrings.xml><?xml version="1.0" encoding="utf-8"?>
<sst xmlns="http://schemas.openxmlformats.org/spreadsheetml/2006/main" count="116" uniqueCount="59">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</sst>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[$$-409]#,##0.00"/>
    <numFmt numFmtId="170" formatCode="[$IDR]\ #,##0_);\([$IDR]\ #,##0\)"/>
    <numFmt numFmtId="171" formatCode="_(* #,##0.00_);_(* \(#,##0.00\);_(* &quot;-&quot;_);_(@_)"/>
    <numFmt numFmtId="172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8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8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Fill="1" applyBorder="1" applyAlignment="1">
      <alignment shrinkToFit="1"/>
    </xf>
    <xf numFmtId="169" fontId="0" fillId="0" borderId="1" xfId="0" applyNumberFormat="1" applyBorder="1"/>
    <xf numFmtId="169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0" fontId="9" fillId="0" borderId="0" xfId="2" applyNumberFormat="1" applyFont="1" applyFill="1" applyBorder="1" applyAlignment="1">
      <alignment shrinkToFit="1"/>
    </xf>
    <xf numFmtId="169" fontId="12" fillId="0" borderId="0" xfId="2" applyNumberFormat="1" applyFont="1" applyFill="1" applyBorder="1" applyAlignment="1">
      <alignment shrinkToFit="1"/>
    </xf>
    <xf numFmtId="169" fontId="0" fillId="0" borderId="0" xfId="0" applyNumberFormat="1" applyBorder="1"/>
    <xf numFmtId="4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8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8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8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8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0" fontId="14" fillId="0" borderId="1" xfId="0" applyFont="1" applyBorder="1"/>
    <xf numFmtId="172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2" fontId="0" fillId="0" borderId="1" xfId="0" applyNumberFormat="1" applyBorder="1"/>
    <xf numFmtId="168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1" fontId="11" fillId="3" borderId="6" xfId="2" applyNumberFormat="1" applyFont="1" applyFill="1" applyBorder="1" applyAlignment="1">
      <alignment horizontal="center" vertical="center" shrinkToFit="1"/>
    </xf>
    <xf numFmtId="171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2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8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Fill="1" applyBorder="1" applyAlignment="1">
      <alignment horizontal="center" vertical="center" shrinkToFit="1"/>
    </xf>
    <xf numFmtId="167" fontId="10" fillId="0" borderId="1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5</v>
      </c>
      <c r="D2" s="7">
        <v>2020</v>
      </c>
      <c r="E2" s="9">
        <f>Electricity!F8+Electricity!I8</f>
        <v>2520.0000000008913</v>
      </c>
      <c r="F2" s="10">
        <f>Electricity!L8/TOTAL!E2</f>
        <v>1229.4507936507823</v>
      </c>
      <c r="G2" s="9">
        <f>Gas!F9+Gas!I9+Gas!L9+Gas!O9</f>
        <v>0</v>
      </c>
      <c r="H2" s="10" t="e">
        <f>Gas!Q9/TOTAL!G2</f>
        <v>#DIV/0!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210</v>
      </c>
      <c r="L2" s="10">
        <f>Water!K9/TOTAL!K2</f>
        <v>4000</v>
      </c>
      <c r="M2" s="9">
        <f>Electricity!C8</f>
        <v>0</v>
      </c>
      <c r="N2" s="9">
        <f>Electricity!D8</f>
        <v>0</v>
      </c>
    </row>
    <row r="3" spans="1:14" x14ac:dyDescent="0.25">
      <c r="A3" s="6" t="s">
        <v>14</v>
      </c>
      <c r="B3" s="7">
        <f>B2+1</f>
        <v>2</v>
      </c>
      <c r="C3" s="8">
        <v>5</v>
      </c>
      <c r="D3" s="7">
        <v>2020</v>
      </c>
      <c r="E3" s="9">
        <f>Electricity!F9+Electricity!I9</f>
        <v>2639.9999999998727</v>
      </c>
      <c r="F3" s="10">
        <f>Electricity!L9/TOTAL!E3</f>
        <v>1242.600000000009</v>
      </c>
      <c r="G3" s="9">
        <f>Gas!F10+Gas!I10+Gas!L10+Gas!O10</f>
        <v>0</v>
      </c>
      <c r="H3" s="10" t="e">
        <f>Gas!Q10/TOTAL!G3</f>
        <v>#DIV/0!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176</v>
      </c>
      <c r="L3" s="10">
        <f>Water!K10/TOTAL!K3</f>
        <v>4000</v>
      </c>
      <c r="M3" s="9">
        <f>Electricity!C9</f>
        <v>0</v>
      </c>
      <c r="N3" s="9">
        <f>Electricity!D9</f>
        <v>0</v>
      </c>
    </row>
    <row r="4" spans="1:14" x14ac:dyDescent="0.25">
      <c r="A4" s="6" t="s">
        <v>14</v>
      </c>
      <c r="B4" s="7">
        <f t="shared" ref="B4:B30" si="0">B3+1</f>
        <v>3</v>
      </c>
      <c r="C4" s="8">
        <v>5</v>
      </c>
      <c r="D4" s="7">
        <v>2020</v>
      </c>
      <c r="E4" s="9">
        <f>Electricity!F10+Electricity!I10</f>
        <v>2480.0000000009277</v>
      </c>
      <c r="F4" s="10">
        <f>Electricity!L10/TOTAL!E4</f>
        <v>1240.0947580644911</v>
      </c>
      <c r="G4" s="9">
        <f>Gas!F11+Gas!I11+Gas!L11+Gas!O11</f>
        <v>0</v>
      </c>
      <c r="H4" s="10" t="e">
        <f>Gas!Q11/TOTAL!G4</f>
        <v>#DIV/0!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138</v>
      </c>
      <c r="L4" s="10">
        <f>Water!K11/TOTAL!K4</f>
        <v>4000</v>
      </c>
      <c r="M4" s="9">
        <f>Electricity!C10</f>
        <v>0</v>
      </c>
      <c r="N4" s="9">
        <f>Electricity!D10</f>
        <v>0</v>
      </c>
    </row>
    <row r="5" spans="1:14" x14ac:dyDescent="0.25">
      <c r="A5" s="6" t="s">
        <v>14</v>
      </c>
      <c r="B5" s="7">
        <f t="shared" si="0"/>
        <v>4</v>
      </c>
      <c r="C5" s="8">
        <v>5</v>
      </c>
      <c r="D5" s="7">
        <v>2020</v>
      </c>
      <c r="E5" s="9">
        <f>Electricity!F11+Electricity!I11</f>
        <v>2559.9999999994907</v>
      </c>
      <c r="F5" s="10">
        <f>Electricity!L11/TOTAL!E5</f>
        <v>1232.4876953125349</v>
      </c>
      <c r="G5" s="9">
        <f>Gas!F12+Gas!I12+Gas!L12+Gas!O12</f>
        <v>0</v>
      </c>
      <c r="H5" s="10" t="e">
        <f>Gas!Q12/TOTAL!G5</f>
        <v>#DIV/0!</v>
      </c>
      <c r="I5" s="9">
        <f>'Fuel Diesel'!F12</f>
        <v>259</v>
      </c>
      <c r="J5" s="11">
        <f>'Fuel Diesel'!G12/'Fuel Diesel'!F12</f>
        <v>10700</v>
      </c>
      <c r="K5" s="9">
        <f>Water!E12+Water!G12+Water!I12</f>
        <v>133</v>
      </c>
      <c r="L5" s="10">
        <f>Water!K12/TOTAL!K5</f>
        <v>4000</v>
      </c>
      <c r="M5" s="9">
        <f>Electricity!C11</f>
        <v>0</v>
      </c>
      <c r="N5" s="9">
        <f>Electricity!D11</f>
        <v>0</v>
      </c>
    </row>
    <row r="6" spans="1:14" x14ac:dyDescent="0.25">
      <c r="A6" s="6" t="s">
        <v>14</v>
      </c>
      <c r="B6" s="7">
        <f t="shared" si="0"/>
        <v>5</v>
      </c>
      <c r="C6" s="8">
        <v>5</v>
      </c>
      <c r="D6" s="7">
        <v>2020</v>
      </c>
      <c r="E6" s="9">
        <f>Electricity!F12+Electricity!I12</f>
        <v>2480.0000000004729</v>
      </c>
      <c r="F6" s="10">
        <f>Electricity!L12/TOTAL!E6</f>
        <v>1226.3159274193633</v>
      </c>
      <c r="G6" s="9">
        <f>Gas!F13+Gas!I13+Gas!L13+Gas!O13</f>
        <v>0</v>
      </c>
      <c r="H6" s="10" t="e">
        <f>Gas!Q13/TOTAL!G6</f>
        <v>#DIV/0!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185</v>
      </c>
      <c r="L6" s="10">
        <f>Water!K13/TOTAL!K6</f>
        <v>4000</v>
      </c>
      <c r="M6" s="9">
        <f>Electricity!C12</f>
        <v>0</v>
      </c>
      <c r="N6" s="9">
        <f>Electricity!D12</f>
        <v>0</v>
      </c>
    </row>
    <row r="7" spans="1:14" x14ac:dyDescent="0.25">
      <c r="A7" s="6" t="s">
        <v>14</v>
      </c>
      <c r="B7" s="7">
        <f t="shared" si="0"/>
        <v>6</v>
      </c>
      <c r="C7" s="8">
        <v>5</v>
      </c>
      <c r="D7" s="7">
        <v>2020</v>
      </c>
      <c r="E7" s="9">
        <f>Electricity!F13+Electricity!I13</f>
        <v>2819.9999999992542</v>
      </c>
      <c r="F7" s="10">
        <f>Electricity!L13/TOTAL!E7</f>
        <v>1227.9120567376233</v>
      </c>
      <c r="G7" s="9">
        <f>Gas!F14+Gas!I14+Gas!L14+Gas!O14</f>
        <v>0</v>
      </c>
      <c r="H7" s="10" t="e">
        <f>Gas!Q14/TOTAL!G7</f>
        <v>#DIV/0!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220</v>
      </c>
      <c r="L7" s="10">
        <f>Water!K14/TOTAL!K7</f>
        <v>4000</v>
      </c>
      <c r="M7" s="9">
        <f>Electricity!C13</f>
        <v>0</v>
      </c>
      <c r="N7" s="9">
        <f>Electricity!D13</f>
        <v>0</v>
      </c>
    </row>
    <row r="8" spans="1:14" x14ac:dyDescent="0.25">
      <c r="A8" s="6" t="s">
        <v>14</v>
      </c>
      <c r="B8" s="7">
        <f t="shared" si="0"/>
        <v>7</v>
      </c>
      <c r="C8" s="8">
        <v>5</v>
      </c>
      <c r="D8" s="7">
        <v>2020</v>
      </c>
      <c r="E8" s="9">
        <f>Electricity!F14+Electricity!I14</f>
        <v>2439.9999999995998</v>
      </c>
      <c r="F8" s="10">
        <f>Electricity!L14/TOTAL!E8</f>
        <v>1246.4194672131409</v>
      </c>
      <c r="G8" s="9">
        <f>Gas!F15+Gas!I15+Gas!L15+Gas!O15</f>
        <v>0</v>
      </c>
      <c r="H8" s="10" t="e">
        <f>Gas!Q15/TOTAL!G8</f>
        <v>#DIV/0!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160</v>
      </c>
      <c r="L8" s="10">
        <f>Water!K15/TOTAL!K8</f>
        <v>4000</v>
      </c>
      <c r="M8" s="9">
        <f>Electricity!C14</f>
        <v>0</v>
      </c>
      <c r="N8" s="9">
        <f>Electricity!D14</f>
        <v>0</v>
      </c>
    </row>
    <row r="9" spans="1:14" x14ac:dyDescent="0.25">
      <c r="A9" s="6" t="s">
        <v>14</v>
      </c>
      <c r="B9" s="7">
        <f t="shared" si="0"/>
        <v>8</v>
      </c>
      <c r="C9" s="8">
        <v>5</v>
      </c>
      <c r="D9" s="7">
        <v>2020</v>
      </c>
      <c r="E9" s="9">
        <f>Electricity!F15+Electricity!I15</f>
        <v>2800.0000000010914</v>
      </c>
      <c r="F9" s="10">
        <f>Electricity!L15/TOTAL!E9</f>
        <v>1236.6828571427304</v>
      </c>
      <c r="G9" s="9">
        <f>Gas!F16+Gas!I16+Gas!L16+Gas!O16</f>
        <v>0</v>
      </c>
      <c r="H9" s="10" t="e">
        <f>Gas!Q16/TOTAL!G9</f>
        <v>#DIV/0!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168</v>
      </c>
      <c r="L9" s="10">
        <f>Water!K16/TOTAL!K9</f>
        <v>4000</v>
      </c>
      <c r="M9" s="9">
        <f>Electricity!C15</f>
        <v>0</v>
      </c>
      <c r="N9" s="9">
        <f>Electricity!D15</f>
        <v>0</v>
      </c>
    </row>
    <row r="10" spans="1:14" x14ac:dyDescent="0.25">
      <c r="A10" s="6" t="s">
        <v>14</v>
      </c>
      <c r="B10" s="7">
        <f t="shared" si="0"/>
        <v>9</v>
      </c>
      <c r="C10" s="8">
        <v>5</v>
      </c>
      <c r="D10" s="7">
        <v>2020</v>
      </c>
      <c r="E10" s="9">
        <f>Electricity!F16+Electricity!I16</f>
        <v>2659.999999998945</v>
      </c>
      <c r="F10" s="10">
        <f>Electricity!L16/TOTAL!E10</f>
        <v>1237.5392857143327</v>
      </c>
      <c r="G10" s="9">
        <f>Gas!F17+Gas!I17+Gas!L17+Gas!O17</f>
        <v>0</v>
      </c>
      <c r="H10" s="10" t="e">
        <f>Gas!Q17/TOTAL!G10</f>
        <v>#DIV/0!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181</v>
      </c>
      <c r="L10" s="10">
        <f>Water!K17/TOTAL!K10</f>
        <v>4000</v>
      </c>
      <c r="M10" s="9">
        <f>Electricity!C16</f>
        <v>0</v>
      </c>
      <c r="N10" s="9">
        <f>Electricity!D16</f>
        <v>0</v>
      </c>
    </row>
    <row r="11" spans="1:14" x14ac:dyDescent="0.25">
      <c r="A11" s="6" t="s">
        <v>14</v>
      </c>
      <c r="B11" s="7">
        <f t="shared" si="0"/>
        <v>10</v>
      </c>
      <c r="C11" s="8">
        <v>5</v>
      </c>
      <c r="D11" s="7">
        <v>2020</v>
      </c>
      <c r="E11" s="9">
        <f>Electricity!F17+Electricity!I17</f>
        <v>2759.9999999997635</v>
      </c>
      <c r="F11" s="10">
        <f>Electricity!L17/TOTAL!E11</f>
        <v>1229.8438405797292</v>
      </c>
      <c r="G11" s="9">
        <f>Gas!F18+Gas!I18+Gas!L18+Gas!O18</f>
        <v>0</v>
      </c>
      <c r="H11" s="10" t="e">
        <f>Gas!Q18/TOTAL!G11</f>
        <v>#DIV/0!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179</v>
      </c>
      <c r="L11" s="10">
        <f>Water!K18/TOTAL!K11</f>
        <v>4000</v>
      </c>
      <c r="M11" s="9">
        <f>Electricity!C17</f>
        <v>0</v>
      </c>
      <c r="N11" s="9">
        <f>Electricity!D17</f>
        <v>0</v>
      </c>
    </row>
    <row r="12" spans="1:14" x14ac:dyDescent="0.25">
      <c r="A12" s="6" t="s">
        <v>14</v>
      </c>
      <c r="B12" s="7">
        <f t="shared" si="0"/>
        <v>11</v>
      </c>
      <c r="C12" s="8">
        <v>5</v>
      </c>
      <c r="D12" s="7">
        <v>2020</v>
      </c>
      <c r="E12" s="9">
        <f>Electricity!F18+Electricity!I18</f>
        <v>2640.0000000003274</v>
      </c>
      <c r="F12" s="10">
        <f>Electricity!L18/TOTAL!E12</f>
        <v>1238.2854166666621</v>
      </c>
      <c r="G12" s="9">
        <f>Gas!F19+Gas!I19+Gas!L19+Gas!O19</f>
        <v>0</v>
      </c>
      <c r="H12" s="10" t="e">
        <f>Gas!Q19/TOTAL!G12</f>
        <v>#DIV/0!</v>
      </c>
      <c r="I12" s="9">
        <f>'Fuel Diesel'!F19</f>
        <v>48</v>
      </c>
      <c r="J12" s="11">
        <f>'Fuel Diesel'!G19/'Fuel Diesel'!F19</f>
        <v>10700</v>
      </c>
      <c r="K12" s="9">
        <f>Water!E19+Water!G19+Water!I19</f>
        <v>170</v>
      </c>
      <c r="L12" s="10">
        <f>Water!K19/TOTAL!K12</f>
        <v>4000</v>
      </c>
      <c r="M12" s="9">
        <f>Electricity!C18</f>
        <v>0</v>
      </c>
      <c r="N12" s="9">
        <f>Electricity!D18</f>
        <v>0</v>
      </c>
    </row>
    <row r="13" spans="1:14" x14ac:dyDescent="0.25">
      <c r="A13" s="6" t="s">
        <v>14</v>
      </c>
      <c r="B13" s="7">
        <f t="shared" si="0"/>
        <v>12</v>
      </c>
      <c r="C13" s="8">
        <v>5</v>
      </c>
      <c r="D13" s="7">
        <v>2020</v>
      </c>
      <c r="E13" s="9">
        <f>Electricity!F19+Electricity!I19</f>
        <v>2660.000000000764</v>
      </c>
      <c r="F13" s="10">
        <f>Electricity!L19/TOTAL!E13</f>
        <v>1237.5392857142651</v>
      </c>
      <c r="G13" s="9">
        <f>Gas!F20+Gas!I20+Gas!L20+Gas!O20</f>
        <v>0</v>
      </c>
      <c r="H13" s="10" t="e">
        <f>Gas!Q20/TOTAL!G13</f>
        <v>#DIV/0!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161</v>
      </c>
      <c r="L13" s="10">
        <f>Water!K20/TOTAL!K13</f>
        <v>4000</v>
      </c>
      <c r="M13" s="9">
        <f>Electricity!C19</f>
        <v>0</v>
      </c>
      <c r="N13" s="9">
        <f>Electricity!D19</f>
        <v>0</v>
      </c>
    </row>
    <row r="14" spans="1:14" x14ac:dyDescent="0.25">
      <c r="A14" s="6" t="s">
        <v>14</v>
      </c>
      <c r="B14" s="7">
        <f t="shared" si="0"/>
        <v>13</v>
      </c>
      <c r="C14" s="8">
        <v>5</v>
      </c>
      <c r="D14" s="7">
        <v>2020</v>
      </c>
      <c r="E14" s="9">
        <f>Electricity!F20+Electricity!I20</f>
        <v>2779.9999999997453</v>
      </c>
      <c r="F14" s="10">
        <f>Electricity!L20/TOTAL!E14</f>
        <v>1233.2879496403039</v>
      </c>
      <c r="G14" s="9">
        <f>Gas!F21+Gas!I21+Gas!L21+Gas!O21</f>
        <v>0</v>
      </c>
      <c r="H14" s="10" t="e">
        <f>Gas!Q21/TOTAL!G14</f>
        <v>#DIV/0!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181</v>
      </c>
      <c r="L14" s="10">
        <f>Water!K21/TOTAL!K14</f>
        <v>4000</v>
      </c>
      <c r="M14" s="9">
        <f>Electricity!C20</f>
        <v>0</v>
      </c>
      <c r="N14" s="9">
        <f>Electricity!D20</f>
        <v>0</v>
      </c>
    </row>
    <row r="15" spans="1:14" x14ac:dyDescent="0.25">
      <c r="A15" s="6" t="s">
        <v>14</v>
      </c>
      <c r="B15" s="7">
        <f t="shared" si="0"/>
        <v>14</v>
      </c>
      <c r="C15" s="8">
        <v>5</v>
      </c>
      <c r="D15" s="7">
        <v>2020</v>
      </c>
      <c r="E15" s="9">
        <f>Electricity!F21+Electricity!I21</f>
        <v>2720.0000000007094</v>
      </c>
      <c r="F15" s="10">
        <f>Electricity!L21/TOTAL!E15</f>
        <v>1231.1790441176345</v>
      </c>
      <c r="G15" s="9">
        <f>Gas!F22+Gas!I22+Gas!L22+Gas!O22</f>
        <v>0</v>
      </c>
      <c r="H15" s="10" t="e">
        <f>Gas!Q22/TOTAL!G15</f>
        <v>#DIV/0!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161</v>
      </c>
      <c r="L15" s="10">
        <f>Water!K22/TOTAL!K15</f>
        <v>4000</v>
      </c>
      <c r="M15" s="9">
        <f>Electricity!C21</f>
        <v>0</v>
      </c>
      <c r="N15" s="9">
        <f>Electricity!D21</f>
        <v>0</v>
      </c>
    </row>
    <row r="16" spans="1:14" x14ac:dyDescent="0.25">
      <c r="A16" s="6" t="s">
        <v>14</v>
      </c>
      <c r="B16" s="7">
        <f t="shared" si="0"/>
        <v>15</v>
      </c>
      <c r="C16" s="8">
        <v>5</v>
      </c>
      <c r="D16" s="7">
        <v>2020</v>
      </c>
      <c r="E16" s="9">
        <f>Electricity!F22+Electricity!I22</f>
        <v>2559.9999999994907</v>
      </c>
      <c r="F16" s="10">
        <f>Electricity!L22/TOTAL!E16</f>
        <v>1232.4876953125349</v>
      </c>
      <c r="G16" s="9">
        <f>Gas!F23+Gas!I23+Gas!L23+Gas!O23</f>
        <v>0</v>
      </c>
      <c r="H16" s="10" t="e">
        <f>Gas!Q23/TOTAL!G16</f>
        <v>#DIV/0!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170</v>
      </c>
      <c r="L16" s="10">
        <f>Water!K23/TOTAL!K16</f>
        <v>4000</v>
      </c>
      <c r="M16" s="9">
        <f>Electricity!C22</f>
        <v>0</v>
      </c>
      <c r="N16" s="9">
        <f>Electricity!D22</f>
        <v>0</v>
      </c>
    </row>
    <row r="17" spans="1:14" x14ac:dyDescent="0.25">
      <c r="A17" s="6" t="s">
        <v>14</v>
      </c>
      <c r="B17" s="7">
        <f t="shared" si="0"/>
        <v>16</v>
      </c>
      <c r="C17" s="8">
        <v>5</v>
      </c>
      <c r="D17" s="7">
        <v>2020</v>
      </c>
      <c r="E17" s="9">
        <f>Electricity!F23+Electricity!I23</f>
        <v>2559.9999999990359</v>
      </c>
      <c r="F17" s="10">
        <f>Electricity!L23/TOTAL!E17</f>
        <v>1236.937109375049</v>
      </c>
      <c r="G17" s="9">
        <f>Gas!F24+Gas!I24+Gas!L24+Gas!O24</f>
        <v>0</v>
      </c>
      <c r="H17" s="10" t="e">
        <f>Gas!Q24/TOTAL!G17</f>
        <v>#DIV/0!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165</v>
      </c>
      <c r="L17" s="10">
        <f>Water!K24/TOTAL!K17</f>
        <v>4000</v>
      </c>
      <c r="M17" s="9">
        <f>Electricity!C23</f>
        <v>0</v>
      </c>
      <c r="N17" s="9">
        <f>Electricity!D23</f>
        <v>0</v>
      </c>
    </row>
    <row r="18" spans="1:14" x14ac:dyDescent="0.25">
      <c r="A18" s="6" t="s">
        <v>14</v>
      </c>
      <c r="B18" s="7">
        <f t="shared" si="0"/>
        <v>17</v>
      </c>
      <c r="C18" s="8">
        <v>5</v>
      </c>
      <c r="D18" s="7">
        <v>2020</v>
      </c>
      <c r="E18" s="9">
        <f>Electricity!F24+Electricity!I24</f>
        <v>2419.999999999618</v>
      </c>
      <c r="F18" s="10">
        <f>Electricity!L24/TOTAL!E18</f>
        <v>1237.8931818181077</v>
      </c>
      <c r="G18" s="9">
        <f>Gas!F25+Gas!I25+Gas!L25+Gas!O25</f>
        <v>0</v>
      </c>
      <c r="H18" s="10" t="e">
        <f>Gas!Q25/TOTAL!G18</f>
        <v>#DIV/0!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151</v>
      </c>
      <c r="L18" s="10">
        <f>Water!K25/TOTAL!K18</f>
        <v>4000</v>
      </c>
      <c r="M18" s="9">
        <f>Electricity!C24</f>
        <v>0</v>
      </c>
      <c r="N18" s="9">
        <f>Electricity!D24</f>
        <v>0</v>
      </c>
    </row>
    <row r="19" spans="1:14" x14ac:dyDescent="0.25">
      <c r="A19" s="6" t="s">
        <v>14</v>
      </c>
      <c r="B19" s="7">
        <f t="shared" si="0"/>
        <v>18</v>
      </c>
      <c r="C19" s="8">
        <v>5</v>
      </c>
      <c r="D19" s="7">
        <v>2020</v>
      </c>
      <c r="E19" s="9">
        <f>Electricity!F25+Electricity!I25</f>
        <v>2640.0000000012369</v>
      </c>
      <c r="F19" s="10">
        <f>Electricity!L25/TOTAL!E19</f>
        <v>1229.6562499999734</v>
      </c>
      <c r="G19" s="9">
        <f>Gas!F26+Gas!I26+Gas!L26+Gas!O26</f>
        <v>0</v>
      </c>
      <c r="H19" s="10" t="e">
        <f>Gas!Q26/TOTAL!G19</f>
        <v>#DIV/0!</v>
      </c>
      <c r="I19" s="9">
        <f>'Fuel Diesel'!F26</f>
        <v>48</v>
      </c>
      <c r="J19" s="11">
        <f>'Fuel Diesel'!G26/'Fuel Diesel'!F26</f>
        <v>10700</v>
      </c>
      <c r="K19" s="9">
        <f>Water!E26+Water!G26+Water!I26</f>
        <v>162</v>
      </c>
      <c r="L19" s="10">
        <f>Water!K26/TOTAL!K19</f>
        <v>4000</v>
      </c>
      <c r="M19" s="9">
        <f>Electricity!C25</f>
        <v>0</v>
      </c>
      <c r="N19" s="9">
        <f>Electricity!D25</f>
        <v>0</v>
      </c>
    </row>
    <row r="20" spans="1:14" x14ac:dyDescent="0.25">
      <c r="A20" s="6" t="s">
        <v>14</v>
      </c>
      <c r="B20" s="7">
        <f t="shared" si="0"/>
        <v>19</v>
      </c>
      <c r="C20" s="8">
        <v>5</v>
      </c>
      <c r="D20" s="7">
        <v>2020</v>
      </c>
      <c r="E20" s="9">
        <f>Electricity!F26+Electricity!I26</f>
        <v>2399.9999999996362</v>
      </c>
      <c r="F20" s="10">
        <f>Electricity!L26/TOTAL!E20</f>
        <v>1238.7168750000326</v>
      </c>
      <c r="G20" s="9">
        <f>Gas!F27+Gas!I27+Gas!L27+Gas!O27</f>
        <v>0</v>
      </c>
      <c r="H20" s="10" t="e">
        <f>Gas!Q27/TOTAL!G20</f>
        <v>#DIV/0!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181</v>
      </c>
      <c r="L20" s="10">
        <f>Water!K27/TOTAL!K20</f>
        <v>4000</v>
      </c>
      <c r="M20" s="9">
        <f>Electricity!C26</f>
        <v>0</v>
      </c>
      <c r="N20" s="9">
        <f>Electricity!D26</f>
        <v>0</v>
      </c>
    </row>
    <row r="21" spans="1:14" x14ac:dyDescent="0.25">
      <c r="A21" s="6" t="s">
        <v>14</v>
      </c>
      <c r="B21" s="7">
        <f t="shared" si="0"/>
        <v>20</v>
      </c>
      <c r="C21" s="8">
        <v>5</v>
      </c>
      <c r="D21" s="7">
        <v>2020</v>
      </c>
      <c r="E21" s="9">
        <f>Electricity!F27+Electricity!I27</f>
        <v>2580.000000000382</v>
      </c>
      <c r="F21" s="10">
        <f>Electricity!L27/TOTAL!E21</f>
        <v>1227.3484496124101</v>
      </c>
      <c r="G21" s="9">
        <f>Gas!F28+Gas!I28+Gas!L28+Gas!O28</f>
        <v>0</v>
      </c>
      <c r="H21" s="10" t="e">
        <f>Gas!Q28/TOTAL!G21</f>
        <v>#DIV/0!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157</v>
      </c>
      <c r="L21" s="10">
        <f>Water!K28/TOTAL!K21</f>
        <v>4000</v>
      </c>
      <c r="M21" s="9">
        <f>Electricity!C27</f>
        <v>0</v>
      </c>
      <c r="N21" s="9">
        <f>Electricity!D27</f>
        <v>0</v>
      </c>
    </row>
    <row r="22" spans="1:14" x14ac:dyDescent="0.25">
      <c r="A22" s="6" t="s">
        <v>14</v>
      </c>
      <c r="B22" s="7">
        <f t="shared" si="0"/>
        <v>21</v>
      </c>
      <c r="C22" s="8">
        <v>5</v>
      </c>
      <c r="D22" s="7">
        <v>2020</v>
      </c>
      <c r="E22" s="9">
        <f>Electricity!F28+Electricity!I28</f>
        <v>2420.0000000005275</v>
      </c>
      <c r="F22" s="10">
        <f>Electricity!L28/TOTAL!E22</f>
        <v>1233.1863636363646</v>
      </c>
      <c r="G22" s="9">
        <f>Gas!F29+Gas!I29+Gas!L29+Gas!O29</f>
        <v>0</v>
      </c>
      <c r="H22" s="10" t="e">
        <f>Gas!Q29/TOTAL!G22</f>
        <v>#DIV/0!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155</v>
      </c>
      <c r="L22" s="10">
        <f>Water!K29/TOTAL!K22</f>
        <v>4000</v>
      </c>
      <c r="M22" s="9">
        <f>Electricity!C28</f>
        <v>0</v>
      </c>
      <c r="N22" s="9">
        <f>Electricity!D28</f>
        <v>0</v>
      </c>
    </row>
    <row r="23" spans="1:14" x14ac:dyDescent="0.25">
      <c r="A23" s="6" t="s">
        <v>14</v>
      </c>
      <c r="B23" s="7">
        <f t="shared" si="0"/>
        <v>22</v>
      </c>
      <c r="C23" s="8">
        <v>5</v>
      </c>
      <c r="D23" s="7">
        <v>2020</v>
      </c>
      <c r="E23" s="9">
        <f>Electricity!F29+Electricity!I29</f>
        <v>2559.9999999994907</v>
      </c>
      <c r="F23" s="10">
        <f>Electricity!L29/TOTAL!E23</f>
        <v>1232.4876953125349</v>
      </c>
      <c r="G23" s="9">
        <f>Gas!F30+Gas!I30+Gas!L30+Gas!O30</f>
        <v>0</v>
      </c>
      <c r="H23" s="10" t="e">
        <f>Gas!Q30/TOTAL!G23</f>
        <v>#DIV/0!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170</v>
      </c>
      <c r="L23" s="10">
        <f>Water!K30/TOTAL!K23</f>
        <v>4000</v>
      </c>
      <c r="M23" s="9">
        <f>Electricity!C29</f>
        <v>0</v>
      </c>
      <c r="N23" s="9">
        <f>Electricity!D29</f>
        <v>0</v>
      </c>
    </row>
    <row r="24" spans="1:14" x14ac:dyDescent="0.25">
      <c r="A24" s="6" t="s">
        <v>14</v>
      </c>
      <c r="B24" s="7">
        <f t="shared" si="0"/>
        <v>23</v>
      </c>
      <c r="C24" s="8">
        <v>5</v>
      </c>
      <c r="D24" s="7">
        <v>2020</v>
      </c>
      <c r="E24" s="9">
        <f>Electricity!F30+Electricity!I30</f>
        <v>2440.0000000000546</v>
      </c>
      <c r="F24" s="10">
        <f>Electricity!L30/TOTAL!E24</f>
        <v>1237.0829918031875</v>
      </c>
      <c r="G24" s="9">
        <f>Gas!F31+Gas!I31+Gas!L31+Gas!O31</f>
        <v>0</v>
      </c>
      <c r="H24" s="10" t="e">
        <f>Gas!Q31/TOTAL!G24</f>
        <v>#DIV/0!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154</v>
      </c>
      <c r="L24" s="10">
        <f>Water!K31/TOTAL!K24</f>
        <v>4000</v>
      </c>
      <c r="M24" s="9">
        <f>Electricity!C30</f>
        <v>0</v>
      </c>
      <c r="N24" s="9">
        <f>Electricity!D30</f>
        <v>0</v>
      </c>
    </row>
    <row r="25" spans="1:14" x14ac:dyDescent="0.25">
      <c r="A25" s="6" t="s">
        <v>14</v>
      </c>
      <c r="B25" s="7">
        <f t="shared" si="0"/>
        <v>24</v>
      </c>
      <c r="C25" s="8">
        <v>5</v>
      </c>
      <c r="D25" s="7">
        <v>2020</v>
      </c>
      <c r="E25" s="9">
        <f>Electricity!F31+Electricity!I31</f>
        <v>2620.0000000003456</v>
      </c>
      <c r="F25" s="10">
        <f>Electricity!L31/TOTAL!E25</f>
        <v>1234.6954198473275</v>
      </c>
      <c r="G25" s="9">
        <f>Gas!F32+Gas!I32+Gas!L32+Gas!O32</f>
        <v>0</v>
      </c>
      <c r="H25" s="10" t="e">
        <f>Gas!Q32/TOTAL!G25</f>
        <v>#DIV/0!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167</v>
      </c>
      <c r="L25" s="10">
        <f>Water!K32/TOTAL!K25</f>
        <v>4000</v>
      </c>
      <c r="M25" s="9">
        <f>Electricity!C31</f>
        <v>0</v>
      </c>
      <c r="N25" s="9">
        <f>Electricity!D31</f>
        <v>0</v>
      </c>
    </row>
    <row r="26" spans="1:14" x14ac:dyDescent="0.25">
      <c r="A26" s="6" t="s">
        <v>14</v>
      </c>
      <c r="B26" s="7">
        <f>B25+1</f>
        <v>25</v>
      </c>
      <c r="C26" s="8">
        <v>5</v>
      </c>
      <c r="D26" s="7">
        <v>2020</v>
      </c>
      <c r="E26" s="9">
        <f>Electricity!F32+Electricity!I32</f>
        <v>2559.9999999990359</v>
      </c>
      <c r="F26" s="10">
        <f>Electricity!L32/TOTAL!E26</f>
        <v>1236.937109375049</v>
      </c>
      <c r="G26" s="9">
        <f>Gas!F33+Gas!I33+Gas!L33+Gas!O33</f>
        <v>0</v>
      </c>
      <c r="H26" s="10" t="e">
        <f>Gas!Q33/TOTAL!G26</f>
        <v>#DIV/0!</v>
      </c>
      <c r="I26" s="9">
        <f>'Fuel Diesel'!F33</f>
        <v>53</v>
      </c>
      <c r="J26" s="11">
        <f>'Fuel Diesel'!G33/'Fuel Diesel'!F33</f>
        <v>10700</v>
      </c>
      <c r="K26" s="9">
        <f>Water!E33+Water!G33+Water!I33</f>
        <v>179</v>
      </c>
      <c r="L26" s="10">
        <f>Water!K33/TOTAL!K26</f>
        <v>4000</v>
      </c>
      <c r="M26" s="9">
        <f>Electricity!C32</f>
        <v>0</v>
      </c>
      <c r="N26" s="9">
        <f>Electricity!D32</f>
        <v>0</v>
      </c>
    </row>
    <row r="27" spans="1:14" x14ac:dyDescent="0.25">
      <c r="A27" s="6" t="s">
        <v>14</v>
      </c>
      <c r="B27" s="7">
        <f t="shared" si="0"/>
        <v>26</v>
      </c>
      <c r="C27" s="8">
        <v>5</v>
      </c>
      <c r="D27" s="7">
        <v>2020</v>
      </c>
      <c r="E27" s="9">
        <f>Electricity!F33+Electricity!I33</f>
        <v>2520.0000000004366</v>
      </c>
      <c r="F27" s="10">
        <f>Electricity!L33/TOTAL!E27</f>
        <v>1233.9708333333335</v>
      </c>
      <c r="G27" s="9">
        <f>Gas!F34+Gas!I34+Gas!L34+Gas!O34</f>
        <v>0</v>
      </c>
      <c r="H27" s="10" t="e">
        <f>Gas!Q34/TOTAL!G27</f>
        <v>#DIV/0!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155</v>
      </c>
      <c r="L27" s="10">
        <f>Water!K34/TOTAL!K27</f>
        <v>4000</v>
      </c>
      <c r="M27" s="9">
        <f>Electricity!C33</f>
        <v>0</v>
      </c>
      <c r="N27" s="9">
        <f>Electricity!D33</f>
        <v>0</v>
      </c>
    </row>
    <row r="28" spans="1:14" x14ac:dyDescent="0.25">
      <c r="A28" s="6" t="s">
        <v>14</v>
      </c>
      <c r="B28" s="7">
        <f t="shared" si="0"/>
        <v>27</v>
      </c>
      <c r="C28" s="8">
        <v>5</v>
      </c>
      <c r="D28" s="7">
        <v>2020</v>
      </c>
      <c r="E28" s="9">
        <f>Electricity!F34+Electricity!I34</f>
        <v>2359.9999999992178</v>
      </c>
      <c r="F28" s="10">
        <f>Electricity!L34/TOTAL!E28</f>
        <v>1235.5796610170032</v>
      </c>
      <c r="G28" s="9">
        <f>Gas!F35+Gas!I35+Gas!L35+Gas!O35</f>
        <v>0</v>
      </c>
      <c r="H28" s="10" t="e">
        <f>Gas!Q35/TOTAL!G28</f>
        <v>#DIV/0!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155</v>
      </c>
      <c r="L28" s="10">
        <f>Water!K35/TOTAL!K28</f>
        <v>4000</v>
      </c>
      <c r="M28" s="9">
        <f>Electricity!C34</f>
        <v>0</v>
      </c>
      <c r="N28" s="9">
        <f>Electricity!D34</f>
        <v>0</v>
      </c>
    </row>
    <row r="29" spans="1:14" x14ac:dyDescent="0.25">
      <c r="A29" s="6" t="s">
        <v>14</v>
      </c>
      <c r="B29" s="7">
        <f t="shared" si="0"/>
        <v>28</v>
      </c>
      <c r="C29" s="8">
        <v>5</v>
      </c>
      <c r="D29" s="7">
        <v>2020</v>
      </c>
      <c r="E29" s="9">
        <f>Electricity!F35+Electricity!I35</f>
        <v>2400.0000000000909</v>
      </c>
      <c r="F29" s="10">
        <f>Electricity!L35/TOTAL!E29</f>
        <v>1233.9708333333513</v>
      </c>
      <c r="G29" s="9">
        <f>Gas!F36+Gas!I36+Gas!L36+Gas!O36</f>
        <v>0</v>
      </c>
      <c r="H29" s="10" t="e">
        <f>Gas!Q36/TOTAL!G29</f>
        <v>#DIV/0!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172</v>
      </c>
      <c r="L29" s="10">
        <f>Water!K36/TOTAL!K29</f>
        <v>4000</v>
      </c>
      <c r="M29" s="9">
        <f>Electricity!C35</f>
        <v>0</v>
      </c>
      <c r="N29" s="9">
        <f>Electricity!D35</f>
        <v>0</v>
      </c>
    </row>
    <row r="30" spans="1:14" x14ac:dyDescent="0.25">
      <c r="A30" s="6" t="s">
        <v>14</v>
      </c>
      <c r="B30" s="7">
        <f t="shared" si="0"/>
        <v>29</v>
      </c>
      <c r="C30" s="8">
        <v>5</v>
      </c>
      <c r="D30" s="7">
        <v>2020</v>
      </c>
      <c r="E30" s="9">
        <f>Electricity!F36+Electricity!I36</f>
        <v>2380.0000000010186</v>
      </c>
      <c r="F30" s="10">
        <f>Electricity!L36/TOTAL!E30</f>
        <v>1234.7684873948301</v>
      </c>
      <c r="G30" s="9">
        <f>Gas!F37+Gas!I37+Gas!L37+Gas!O37</f>
        <v>0</v>
      </c>
      <c r="H30" s="10" t="e">
        <f>Gas!Q37/TOTAL!G30</f>
        <v>#DIV/0!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145</v>
      </c>
      <c r="L30" s="10">
        <f>Water!K37/TOTAL!K30</f>
        <v>4000</v>
      </c>
      <c r="M30" s="9">
        <f>Electricity!C36</f>
        <v>0</v>
      </c>
      <c r="N30" s="9">
        <f>Electricity!D36</f>
        <v>0</v>
      </c>
    </row>
    <row r="31" spans="1:14" x14ac:dyDescent="0.25">
      <c r="A31" s="6" t="s">
        <v>14</v>
      </c>
      <c r="B31" s="7">
        <v>30</v>
      </c>
      <c r="C31" s="8">
        <v>5</v>
      </c>
      <c r="D31" s="7">
        <v>2020</v>
      </c>
      <c r="E31" s="9">
        <f>Electricity!F37+Electricity!I37</f>
        <v>2459.9999999986721</v>
      </c>
      <c r="F31" s="10">
        <f>Electricity!L37/TOTAL!E31</f>
        <v>1240.9162601626692</v>
      </c>
      <c r="G31" s="9">
        <f>Gas!F38+Gas!I38+Gas!L38+Gas!O38</f>
        <v>0</v>
      </c>
      <c r="H31" s="10" t="e">
        <f>Gas!Q38/TOTAL!G31</f>
        <v>#DIV/0!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149</v>
      </c>
      <c r="L31" s="10">
        <f>Water!K38/TOTAL!K31</f>
        <v>4000</v>
      </c>
      <c r="M31" s="9">
        <f>Electricity!C37</f>
        <v>0</v>
      </c>
      <c r="N31" s="9">
        <f>Electricity!D37</f>
        <v>0</v>
      </c>
    </row>
    <row r="32" spans="1:14" x14ac:dyDescent="0.25">
      <c r="A32" s="6" t="s">
        <v>14</v>
      </c>
      <c r="B32" s="7">
        <v>31</v>
      </c>
      <c r="C32" s="8">
        <v>5</v>
      </c>
      <c r="D32" s="7">
        <v>2020</v>
      </c>
      <c r="E32" s="9">
        <f>Electricity!F38+Electricity!I38</f>
        <v>2540.0000000004184</v>
      </c>
      <c r="F32" s="10">
        <f>Electricity!L38/TOTAL!E32</f>
        <v>1237.7078740157442</v>
      </c>
      <c r="G32" s="9">
        <f>Gas!F39+Gas!I39+Gas!L39+Gas!O39</f>
        <v>0</v>
      </c>
      <c r="H32" s="10" t="e">
        <f>Gas!Q39/TOTAL!G32</f>
        <v>#DIV/0!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161</v>
      </c>
      <c r="L32" s="10">
        <f>Water!K39/TOTAL!K32</f>
        <v>4000</v>
      </c>
      <c r="M32" s="9">
        <f>Electricity!C38</f>
        <v>0</v>
      </c>
      <c r="N32" s="9">
        <f>Electricity!D38</f>
        <v>0</v>
      </c>
    </row>
    <row r="33" spans="5:14" x14ac:dyDescent="0.25">
      <c r="E33" s="86">
        <f>SUM(E2:E32)</f>
        <v>79380.000000000582</v>
      </c>
      <c r="F33" s="86">
        <f>SUM(F2:F32)/31</f>
        <v>1234.9671441394551</v>
      </c>
      <c r="G33" s="86">
        <f>SUM(G2:G32)</f>
        <v>0</v>
      </c>
      <c r="H33" s="96" t="e">
        <f>SUM(H2:H32)/31</f>
        <v>#DIV/0!</v>
      </c>
      <c r="I33" s="86">
        <f>SUM(I2:I32)</f>
        <v>408</v>
      </c>
      <c r="J33" s="96">
        <f>J26</f>
        <v>10700</v>
      </c>
      <c r="K33" s="86">
        <f>SUM(K2:K32)</f>
        <v>5171</v>
      </c>
      <c r="L33" s="96">
        <f>SUM(L2:L32)/31</f>
        <v>4000</v>
      </c>
      <c r="M33" s="86">
        <f t="shared" ref="M33:N33" si="1">SUM(M2:M32)</f>
        <v>0</v>
      </c>
      <c r="N33" s="86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workbookViewId="0">
      <selection activeCell="H8" sqref="H8:H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43952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/>
      <c r="D8" s="25"/>
      <c r="E8" s="26">
        <v>1.0600000000004002</v>
      </c>
      <c r="F8" s="27">
        <f t="shared" ref="F8:F38" si="0">E8*2000</f>
        <v>2120.0000000008004</v>
      </c>
      <c r="G8" s="28">
        <f t="shared" ref="G8:G38" si="1">F8*1035.5</f>
        <v>2195260.0000008289</v>
      </c>
      <c r="H8" s="26">
        <v>0.20000000000004547</v>
      </c>
      <c r="I8" s="27">
        <f t="shared" ref="I8:I38" si="2">H8*2000</f>
        <v>400.00000000009095</v>
      </c>
      <c r="J8" s="28">
        <f t="shared" ref="J8:J38" si="3">I8*1553.25</f>
        <v>621300.00000014121</v>
      </c>
      <c r="K8" s="26">
        <f t="shared" ref="K8:K38" si="4">G8+J8</f>
        <v>2816560.00000097</v>
      </c>
      <c r="L8" s="29">
        <f t="shared" ref="L8:L38" si="5">K8*1.1</f>
        <v>3098216.0000010673</v>
      </c>
      <c r="M8" s="30">
        <f>L8/14381</f>
        <v>215.43814755587701</v>
      </c>
      <c r="N8" s="31"/>
    </row>
    <row r="9" spans="1:14" x14ac:dyDescent="0.25">
      <c r="A9" s="22"/>
      <c r="B9" s="24">
        <v>2</v>
      </c>
      <c r="C9" s="25"/>
      <c r="D9" s="25"/>
      <c r="E9" s="26">
        <v>1.0799999999999272</v>
      </c>
      <c r="F9" s="27">
        <f t="shared" si="0"/>
        <v>2159.9999999998545</v>
      </c>
      <c r="G9" s="28">
        <f t="shared" si="1"/>
        <v>2236679.9999998491</v>
      </c>
      <c r="H9" s="26">
        <v>0.24000000000000909</v>
      </c>
      <c r="I9" s="27">
        <f t="shared" si="2"/>
        <v>480.00000000001819</v>
      </c>
      <c r="J9" s="28">
        <f t="shared" si="3"/>
        <v>745560.00000002829</v>
      </c>
      <c r="K9" s="26">
        <f t="shared" si="4"/>
        <v>2982239.9999998775</v>
      </c>
      <c r="L9" s="29">
        <f t="shared" si="5"/>
        <v>3280463.9999998654</v>
      </c>
      <c r="M9" s="30">
        <f t="shared" ref="M9:M38" si="6">L9/14381</f>
        <v>228.1109797649583</v>
      </c>
      <c r="N9" s="31"/>
    </row>
    <row r="10" spans="1:14" x14ac:dyDescent="0.25">
      <c r="A10" s="22"/>
      <c r="B10" s="24">
        <v>3</v>
      </c>
      <c r="C10" s="25"/>
      <c r="D10" s="25"/>
      <c r="E10" s="26">
        <v>1.0200000000004366</v>
      </c>
      <c r="F10" s="27">
        <f t="shared" si="0"/>
        <v>2040.0000000008731</v>
      </c>
      <c r="G10" s="28">
        <f t="shared" si="1"/>
        <v>2112420.0000009043</v>
      </c>
      <c r="H10" s="26">
        <v>0.22000000000002728</v>
      </c>
      <c r="I10" s="27">
        <f t="shared" si="2"/>
        <v>440.00000000005457</v>
      </c>
      <c r="J10" s="28">
        <f t="shared" si="3"/>
        <v>683430.00000008475</v>
      </c>
      <c r="K10" s="26">
        <f t="shared" si="4"/>
        <v>2795850.0000009891</v>
      </c>
      <c r="L10" s="29">
        <f t="shared" si="5"/>
        <v>3075435.0000010883</v>
      </c>
      <c r="M10" s="30">
        <f t="shared" si="6"/>
        <v>213.85404352973285</v>
      </c>
      <c r="N10" s="31"/>
    </row>
    <row r="11" spans="1:14" x14ac:dyDescent="0.25">
      <c r="A11" s="22"/>
      <c r="B11" s="24">
        <v>4</v>
      </c>
      <c r="C11" s="25"/>
      <c r="D11" s="25"/>
      <c r="E11" s="26">
        <v>1.069999999999709</v>
      </c>
      <c r="F11" s="27">
        <f t="shared" si="0"/>
        <v>2139.9999999994179</v>
      </c>
      <c r="G11" s="28">
        <f t="shared" si="1"/>
        <v>2215969.9999993974</v>
      </c>
      <c r="H11" s="26">
        <v>0.21000000000003638</v>
      </c>
      <c r="I11" s="27">
        <f t="shared" si="2"/>
        <v>420.00000000007276</v>
      </c>
      <c r="J11" s="28">
        <f t="shared" si="3"/>
        <v>652365.00000011304</v>
      </c>
      <c r="K11" s="26">
        <f t="shared" si="4"/>
        <v>2868334.9999995106</v>
      </c>
      <c r="L11" s="29">
        <f t="shared" si="5"/>
        <v>3155168.4999994617</v>
      </c>
      <c r="M11" s="30">
        <f t="shared" si="6"/>
        <v>219.39840762112939</v>
      </c>
      <c r="N11" s="31"/>
    </row>
    <row r="12" spans="1:14" x14ac:dyDescent="0.25">
      <c r="A12" s="22"/>
      <c r="B12" s="24">
        <v>5</v>
      </c>
      <c r="C12" s="25"/>
      <c r="D12" s="25"/>
      <c r="E12" s="26">
        <v>1.0500000000001819</v>
      </c>
      <c r="F12" s="27">
        <f t="shared" si="0"/>
        <v>2100.0000000003638</v>
      </c>
      <c r="G12" s="28">
        <f t="shared" si="1"/>
        <v>2174550.0000003767</v>
      </c>
      <c r="H12" s="26">
        <v>0.19000000000005457</v>
      </c>
      <c r="I12" s="27">
        <f t="shared" si="2"/>
        <v>380.00000000010914</v>
      </c>
      <c r="J12" s="28">
        <f t="shared" si="3"/>
        <v>590235.0000001695</v>
      </c>
      <c r="K12" s="26">
        <f t="shared" si="4"/>
        <v>2764785.0000005462</v>
      </c>
      <c r="L12" s="29">
        <f t="shared" si="5"/>
        <v>3041263.5000006012</v>
      </c>
      <c r="M12" s="30">
        <f t="shared" si="6"/>
        <v>211.47788749048058</v>
      </c>
      <c r="N12" s="31"/>
    </row>
    <row r="13" spans="1:14" x14ac:dyDescent="0.25">
      <c r="A13" s="22"/>
      <c r="B13" s="24">
        <v>6</v>
      </c>
      <c r="C13" s="25"/>
      <c r="D13" s="25"/>
      <c r="E13" s="26">
        <v>1.1899999999995998</v>
      </c>
      <c r="F13" s="27">
        <f t="shared" si="0"/>
        <v>2379.9999999991996</v>
      </c>
      <c r="G13" s="28">
        <f t="shared" si="1"/>
        <v>2464489.9999991711</v>
      </c>
      <c r="H13" s="26">
        <v>0.22000000000002728</v>
      </c>
      <c r="I13" s="27">
        <f t="shared" si="2"/>
        <v>440.00000000005457</v>
      </c>
      <c r="J13" s="28">
        <f t="shared" si="3"/>
        <v>683430.00000008475</v>
      </c>
      <c r="K13" s="26">
        <f t="shared" si="4"/>
        <v>3147919.9999992559</v>
      </c>
      <c r="L13" s="29">
        <f t="shared" si="5"/>
        <v>3462711.9999991818</v>
      </c>
      <c r="M13" s="30">
        <f t="shared" si="6"/>
        <v>240.78381197407563</v>
      </c>
      <c r="N13" s="31"/>
    </row>
    <row r="14" spans="1:14" x14ac:dyDescent="0.25">
      <c r="A14" s="22"/>
      <c r="B14" s="24">
        <v>7</v>
      </c>
      <c r="C14" s="25"/>
      <c r="D14" s="25"/>
      <c r="E14" s="26">
        <v>0.98999999999978172</v>
      </c>
      <c r="F14" s="27">
        <f t="shared" si="0"/>
        <v>1979.9999999995634</v>
      </c>
      <c r="G14" s="28">
        <f t="shared" si="1"/>
        <v>2050289.9999995478</v>
      </c>
      <c r="H14" s="26">
        <v>0.23000000000001819</v>
      </c>
      <c r="I14" s="27">
        <f t="shared" si="2"/>
        <v>460.00000000003638</v>
      </c>
      <c r="J14" s="28">
        <f t="shared" si="3"/>
        <v>714495.00000005646</v>
      </c>
      <c r="K14" s="26">
        <f t="shared" si="4"/>
        <v>2764784.9999996042</v>
      </c>
      <c r="L14" s="29">
        <f t="shared" si="5"/>
        <v>3041263.4999995651</v>
      </c>
      <c r="M14" s="30">
        <f t="shared" si="6"/>
        <v>211.47788749040853</v>
      </c>
      <c r="N14" s="31"/>
    </row>
    <row r="15" spans="1:14" x14ac:dyDescent="0.25">
      <c r="A15" s="22"/>
      <c r="B15" s="24">
        <v>8</v>
      </c>
      <c r="C15" s="25"/>
      <c r="D15" s="25"/>
      <c r="E15" s="26">
        <v>1.160000000000764</v>
      </c>
      <c r="F15" s="27">
        <f t="shared" si="0"/>
        <v>2320.000000001528</v>
      </c>
      <c r="G15" s="28">
        <f t="shared" si="1"/>
        <v>2402360.0000015823</v>
      </c>
      <c r="H15" s="26">
        <v>0.23999999999978172</v>
      </c>
      <c r="I15" s="27">
        <f t="shared" si="2"/>
        <v>479.99999999956344</v>
      </c>
      <c r="J15" s="28">
        <f t="shared" si="3"/>
        <v>745559.99999932188</v>
      </c>
      <c r="K15" s="26">
        <f t="shared" si="4"/>
        <v>3147920.0000009043</v>
      </c>
      <c r="L15" s="29">
        <f t="shared" si="5"/>
        <v>3462712.0000009951</v>
      </c>
      <c r="M15" s="30">
        <f t="shared" si="6"/>
        <v>240.78381197420174</v>
      </c>
      <c r="N15" s="31"/>
    </row>
    <row r="16" spans="1:14" x14ac:dyDescent="0.25">
      <c r="A16" s="22"/>
      <c r="B16" s="24">
        <v>9</v>
      </c>
      <c r="C16" s="25"/>
      <c r="D16" s="25"/>
      <c r="E16" s="26">
        <v>1.0999999999994543</v>
      </c>
      <c r="F16" s="27">
        <f t="shared" si="0"/>
        <v>2199.9999999989086</v>
      </c>
      <c r="G16" s="28">
        <f t="shared" si="1"/>
        <v>2278099.9999988698</v>
      </c>
      <c r="H16" s="26">
        <v>0.23000000000001819</v>
      </c>
      <c r="I16" s="27">
        <f t="shared" si="2"/>
        <v>460.00000000003638</v>
      </c>
      <c r="J16" s="28">
        <f t="shared" si="3"/>
        <v>714495.00000005646</v>
      </c>
      <c r="K16" s="26">
        <f t="shared" si="4"/>
        <v>2992594.9999989262</v>
      </c>
      <c r="L16" s="29">
        <f t="shared" si="5"/>
        <v>3291854.4999988191</v>
      </c>
      <c r="M16" s="30">
        <f t="shared" si="6"/>
        <v>228.90303177795835</v>
      </c>
      <c r="N16" s="31"/>
    </row>
    <row r="17" spans="1:14" x14ac:dyDescent="0.25">
      <c r="A17" s="22"/>
      <c r="B17" s="24">
        <v>10</v>
      </c>
      <c r="C17" s="25"/>
      <c r="D17" s="25"/>
      <c r="E17" s="26">
        <v>1.1599999999998545</v>
      </c>
      <c r="F17" s="27">
        <f t="shared" si="0"/>
        <v>2319.999999999709</v>
      </c>
      <c r="G17" s="28">
        <f t="shared" si="1"/>
        <v>2402359.9999996987</v>
      </c>
      <c r="H17" s="26">
        <v>0.22000000000002728</v>
      </c>
      <c r="I17" s="27">
        <f t="shared" si="2"/>
        <v>440.00000000005457</v>
      </c>
      <c r="J17" s="28">
        <f t="shared" si="3"/>
        <v>683430.00000008475</v>
      </c>
      <c r="K17" s="26">
        <f t="shared" si="4"/>
        <v>3085789.9999997835</v>
      </c>
      <c r="L17" s="29">
        <f t="shared" si="5"/>
        <v>3394368.999999762</v>
      </c>
      <c r="M17" s="30">
        <f t="shared" si="6"/>
        <v>236.03149989567916</v>
      </c>
      <c r="N17" s="31"/>
    </row>
    <row r="18" spans="1:14" x14ac:dyDescent="0.25">
      <c r="A18" s="22"/>
      <c r="B18" s="24">
        <v>11</v>
      </c>
      <c r="C18" s="25"/>
      <c r="D18" s="25"/>
      <c r="E18" s="26">
        <v>1.0900000000001455</v>
      </c>
      <c r="F18" s="27">
        <f t="shared" si="0"/>
        <v>2180.000000000291</v>
      </c>
      <c r="G18" s="28">
        <f t="shared" si="1"/>
        <v>2257390.0000003013</v>
      </c>
      <c r="H18" s="26">
        <v>0.23000000000001819</v>
      </c>
      <c r="I18" s="27">
        <f t="shared" si="2"/>
        <v>460.00000000003638</v>
      </c>
      <c r="J18" s="28">
        <f t="shared" si="3"/>
        <v>714495.00000005646</v>
      </c>
      <c r="K18" s="26">
        <f t="shared" si="4"/>
        <v>2971885.0000003576</v>
      </c>
      <c r="L18" s="29">
        <f t="shared" si="5"/>
        <v>3269073.5000003935</v>
      </c>
      <c r="M18" s="30">
        <f t="shared" si="6"/>
        <v>227.31892775192222</v>
      </c>
      <c r="N18" s="31"/>
    </row>
    <row r="19" spans="1:14" x14ac:dyDescent="0.25">
      <c r="A19" s="22"/>
      <c r="B19" s="24">
        <v>12</v>
      </c>
      <c r="C19" s="25"/>
      <c r="D19" s="25"/>
      <c r="E19" s="26">
        <v>1.1000000000003638</v>
      </c>
      <c r="F19" s="27">
        <f t="shared" si="0"/>
        <v>2200.0000000007276</v>
      </c>
      <c r="G19" s="28">
        <f t="shared" si="1"/>
        <v>2278100.0000007534</v>
      </c>
      <c r="H19" s="26">
        <v>0.23000000000001819</v>
      </c>
      <c r="I19" s="27">
        <f t="shared" si="2"/>
        <v>460.00000000003638</v>
      </c>
      <c r="J19" s="28">
        <f t="shared" si="3"/>
        <v>714495.00000005646</v>
      </c>
      <c r="K19" s="26">
        <f t="shared" si="4"/>
        <v>2992595.0000008098</v>
      </c>
      <c r="L19" s="29">
        <f t="shared" si="5"/>
        <v>3291854.5000008908</v>
      </c>
      <c r="M19" s="30">
        <f t="shared" si="6"/>
        <v>228.90303177810242</v>
      </c>
      <c r="N19" s="31"/>
    </row>
    <row r="20" spans="1:14" x14ac:dyDescent="0.25">
      <c r="A20" s="22"/>
      <c r="B20" s="24">
        <v>13</v>
      </c>
      <c r="C20" s="25"/>
      <c r="D20" s="25"/>
      <c r="E20" s="26">
        <v>1.1599999999998545</v>
      </c>
      <c r="F20" s="27">
        <f t="shared" si="0"/>
        <v>2319.999999999709</v>
      </c>
      <c r="G20" s="28">
        <f t="shared" si="1"/>
        <v>2402359.9999996987</v>
      </c>
      <c r="H20" s="26">
        <v>0.23000000000001819</v>
      </c>
      <c r="I20" s="27">
        <f t="shared" si="2"/>
        <v>460.00000000003638</v>
      </c>
      <c r="J20" s="28">
        <f t="shared" si="3"/>
        <v>714495.00000005646</v>
      </c>
      <c r="K20" s="26">
        <f t="shared" si="4"/>
        <v>3116854.9999997551</v>
      </c>
      <c r="L20" s="29">
        <f t="shared" si="5"/>
        <v>3428540.4999997308</v>
      </c>
      <c r="M20" s="30">
        <f t="shared" si="6"/>
        <v>238.40765593489542</v>
      </c>
      <c r="N20" s="31"/>
    </row>
    <row r="21" spans="1:14" x14ac:dyDescent="0.25">
      <c r="A21" s="22"/>
      <c r="B21" s="24">
        <v>14</v>
      </c>
      <c r="C21" s="25"/>
      <c r="D21" s="25"/>
      <c r="E21" s="26">
        <v>1.1400000000003274</v>
      </c>
      <c r="F21" s="27">
        <f t="shared" si="0"/>
        <v>2280.0000000006548</v>
      </c>
      <c r="G21" s="28">
        <f t="shared" si="1"/>
        <v>2360940.000000678</v>
      </c>
      <c r="H21" s="26">
        <v>0.22000000000002728</v>
      </c>
      <c r="I21" s="27">
        <f t="shared" si="2"/>
        <v>440.00000000005457</v>
      </c>
      <c r="J21" s="28">
        <f t="shared" si="3"/>
        <v>683430.00000008475</v>
      </c>
      <c r="K21" s="26">
        <f t="shared" si="4"/>
        <v>3044370.0000007628</v>
      </c>
      <c r="L21" s="29">
        <f t="shared" si="5"/>
        <v>3348807.0000008391</v>
      </c>
      <c r="M21" s="30">
        <f t="shared" si="6"/>
        <v>232.86329184346283</v>
      </c>
      <c r="N21" s="31"/>
    </row>
    <row r="22" spans="1:14" x14ac:dyDescent="0.25">
      <c r="A22" s="22"/>
      <c r="B22" s="24">
        <v>15</v>
      </c>
      <c r="C22" s="25"/>
      <c r="D22" s="25"/>
      <c r="E22" s="26">
        <v>1.069999999999709</v>
      </c>
      <c r="F22" s="27">
        <f t="shared" si="0"/>
        <v>2139.9999999994179</v>
      </c>
      <c r="G22" s="28">
        <f t="shared" si="1"/>
        <v>2215969.9999993974</v>
      </c>
      <c r="H22" s="26">
        <v>0.21000000000003638</v>
      </c>
      <c r="I22" s="27">
        <f t="shared" si="2"/>
        <v>420.00000000007276</v>
      </c>
      <c r="J22" s="28">
        <f t="shared" si="3"/>
        <v>652365.00000011304</v>
      </c>
      <c r="K22" s="26">
        <f t="shared" si="4"/>
        <v>2868334.9999995106</v>
      </c>
      <c r="L22" s="29">
        <f t="shared" si="5"/>
        <v>3155168.4999994617</v>
      </c>
      <c r="M22" s="30">
        <f t="shared" si="6"/>
        <v>219.39840762112939</v>
      </c>
      <c r="N22" s="31"/>
    </row>
    <row r="23" spans="1:14" x14ac:dyDescent="0.25">
      <c r="A23" s="22"/>
      <c r="B23" s="24">
        <v>16</v>
      </c>
      <c r="C23" s="25"/>
      <c r="D23" s="25"/>
      <c r="E23" s="26">
        <v>1.0599999999994907</v>
      </c>
      <c r="F23" s="27">
        <f t="shared" si="0"/>
        <v>2119.9999999989814</v>
      </c>
      <c r="G23" s="28">
        <f t="shared" si="1"/>
        <v>2195259.9999989453</v>
      </c>
      <c r="H23" s="26">
        <v>0.22000000000002728</v>
      </c>
      <c r="I23" s="27">
        <f t="shared" si="2"/>
        <v>440.00000000005457</v>
      </c>
      <c r="J23" s="28">
        <f t="shared" si="3"/>
        <v>683430.00000008475</v>
      </c>
      <c r="K23" s="26">
        <f t="shared" si="4"/>
        <v>2878689.99999903</v>
      </c>
      <c r="L23" s="29">
        <f t="shared" si="5"/>
        <v>3166558.9999989332</v>
      </c>
      <c r="M23" s="30">
        <f t="shared" si="6"/>
        <v>220.19045963416545</v>
      </c>
      <c r="N23" s="31"/>
    </row>
    <row r="24" spans="1:14" x14ac:dyDescent="0.25">
      <c r="A24" s="22"/>
      <c r="B24" s="24">
        <v>17</v>
      </c>
      <c r="C24" s="25"/>
      <c r="D24" s="25"/>
      <c r="E24" s="26">
        <v>1</v>
      </c>
      <c r="F24" s="27">
        <f t="shared" si="0"/>
        <v>2000</v>
      </c>
      <c r="G24" s="28">
        <f t="shared" si="1"/>
        <v>2071000</v>
      </c>
      <c r="H24" s="26">
        <v>0.20999999999980901</v>
      </c>
      <c r="I24" s="27">
        <f t="shared" si="2"/>
        <v>419.99999999961801</v>
      </c>
      <c r="J24" s="28">
        <f t="shared" si="3"/>
        <v>652364.99999940663</v>
      </c>
      <c r="K24" s="26">
        <f t="shared" si="4"/>
        <v>2723364.9999994067</v>
      </c>
      <c r="L24" s="29">
        <f t="shared" si="5"/>
        <v>2995701.4999993476</v>
      </c>
      <c r="M24" s="30">
        <f t="shared" si="6"/>
        <v>208.30967943810219</v>
      </c>
      <c r="N24" s="31"/>
    </row>
    <row r="25" spans="1:14" x14ac:dyDescent="0.25">
      <c r="A25" s="22"/>
      <c r="B25" s="24">
        <v>18</v>
      </c>
      <c r="C25" s="25"/>
      <c r="D25" s="25"/>
      <c r="E25" s="26">
        <v>1.1100000000005821</v>
      </c>
      <c r="F25" s="27">
        <f t="shared" si="0"/>
        <v>2220.0000000011642</v>
      </c>
      <c r="G25" s="28">
        <f t="shared" si="1"/>
        <v>2298810.0000012056</v>
      </c>
      <c r="H25" s="26">
        <v>0.21000000000003638</v>
      </c>
      <c r="I25" s="27">
        <f t="shared" si="2"/>
        <v>420.00000000007276</v>
      </c>
      <c r="J25" s="28">
        <f t="shared" si="3"/>
        <v>652365.00000011304</v>
      </c>
      <c r="K25" s="26">
        <f t="shared" si="4"/>
        <v>2951175.0000013188</v>
      </c>
      <c r="L25" s="29">
        <f t="shared" si="5"/>
        <v>3246292.500001451</v>
      </c>
      <c r="M25" s="30">
        <f t="shared" si="6"/>
        <v>225.73482372585016</v>
      </c>
      <c r="N25" s="31"/>
    </row>
    <row r="26" spans="1:14" x14ac:dyDescent="0.25">
      <c r="A26" s="22"/>
      <c r="B26" s="24">
        <v>19</v>
      </c>
      <c r="C26" s="25"/>
      <c r="D26" s="25"/>
      <c r="E26" s="26">
        <v>0.98999999999978172</v>
      </c>
      <c r="F26" s="27">
        <f t="shared" si="0"/>
        <v>1979.9999999995634</v>
      </c>
      <c r="G26" s="28">
        <f t="shared" si="1"/>
        <v>2050289.9999995478</v>
      </c>
      <c r="H26" s="26">
        <v>0.21000000000003638</v>
      </c>
      <c r="I26" s="27">
        <f t="shared" si="2"/>
        <v>420.00000000007276</v>
      </c>
      <c r="J26" s="28">
        <f t="shared" si="3"/>
        <v>652365.00000011304</v>
      </c>
      <c r="K26" s="26">
        <f t="shared" si="4"/>
        <v>2702654.999999661</v>
      </c>
      <c r="L26" s="29">
        <f t="shared" si="5"/>
        <v>2972920.4999996275</v>
      </c>
      <c r="M26" s="30">
        <f t="shared" si="6"/>
        <v>206.72557541197605</v>
      </c>
      <c r="N26" s="31"/>
    </row>
    <row r="27" spans="1:14" x14ac:dyDescent="0.25">
      <c r="A27" s="22"/>
      <c r="B27" s="24">
        <v>20</v>
      </c>
      <c r="C27" s="25"/>
      <c r="D27" s="25"/>
      <c r="E27" s="26">
        <v>1.0900000000001455</v>
      </c>
      <c r="F27" s="27">
        <f t="shared" si="0"/>
        <v>2180.000000000291</v>
      </c>
      <c r="G27" s="28">
        <f t="shared" si="1"/>
        <v>2257390.0000003013</v>
      </c>
      <c r="H27" s="26">
        <v>0.20000000000004547</v>
      </c>
      <c r="I27" s="27">
        <f t="shared" si="2"/>
        <v>400.00000000009095</v>
      </c>
      <c r="J27" s="28">
        <f t="shared" si="3"/>
        <v>621300.00000014121</v>
      </c>
      <c r="K27" s="26">
        <f t="shared" si="4"/>
        <v>2878690.0000004424</v>
      </c>
      <c r="L27" s="29">
        <f t="shared" si="5"/>
        <v>3166559.0000004871</v>
      </c>
      <c r="M27" s="30">
        <f t="shared" si="6"/>
        <v>220.19045963427348</v>
      </c>
      <c r="N27" s="31"/>
    </row>
    <row r="28" spans="1:14" x14ac:dyDescent="0.25">
      <c r="A28" s="22"/>
      <c r="B28" s="24">
        <v>21</v>
      </c>
      <c r="C28" s="25"/>
      <c r="D28" s="25"/>
      <c r="E28" s="26">
        <v>1.0100000000002183</v>
      </c>
      <c r="F28" s="27">
        <f t="shared" si="0"/>
        <v>2020.0000000004366</v>
      </c>
      <c r="G28" s="28">
        <f t="shared" si="1"/>
        <v>2091710.0000004522</v>
      </c>
      <c r="H28" s="26">
        <v>0.20000000000004547</v>
      </c>
      <c r="I28" s="27">
        <f t="shared" si="2"/>
        <v>400.00000000009095</v>
      </c>
      <c r="J28" s="28">
        <f t="shared" si="3"/>
        <v>621300.00000014121</v>
      </c>
      <c r="K28" s="26">
        <f t="shared" si="4"/>
        <v>2713010.0000005933</v>
      </c>
      <c r="L28" s="29">
        <f t="shared" si="5"/>
        <v>2984311.0000006529</v>
      </c>
      <c r="M28" s="30">
        <f t="shared" si="6"/>
        <v>207.51762742512014</v>
      </c>
      <c r="N28" s="31"/>
    </row>
    <row r="29" spans="1:14" x14ac:dyDescent="0.25">
      <c r="A29" s="22"/>
      <c r="B29" s="24">
        <v>22</v>
      </c>
      <c r="C29" s="25"/>
      <c r="D29" s="25"/>
      <c r="E29" s="26">
        <v>1.069999999999709</v>
      </c>
      <c r="F29" s="27">
        <f t="shared" si="0"/>
        <v>2139.9999999994179</v>
      </c>
      <c r="G29" s="28">
        <f t="shared" si="1"/>
        <v>2215969.9999993974</v>
      </c>
      <c r="H29" s="26">
        <v>0.21000000000003638</v>
      </c>
      <c r="I29" s="27">
        <f t="shared" si="2"/>
        <v>420.00000000007276</v>
      </c>
      <c r="J29" s="28">
        <f t="shared" si="3"/>
        <v>652365.00000011304</v>
      </c>
      <c r="K29" s="26">
        <f t="shared" si="4"/>
        <v>2868334.9999995106</v>
      </c>
      <c r="L29" s="29">
        <f t="shared" si="5"/>
        <v>3155168.4999994617</v>
      </c>
      <c r="M29" s="30">
        <f t="shared" si="6"/>
        <v>219.39840762112939</v>
      </c>
      <c r="N29" s="31"/>
    </row>
    <row r="30" spans="1:14" x14ac:dyDescent="0.25">
      <c r="A30" s="22"/>
      <c r="B30" s="24">
        <v>23</v>
      </c>
      <c r="C30" s="25"/>
      <c r="D30" s="25"/>
      <c r="E30" s="26">
        <v>1.0100000000002183</v>
      </c>
      <c r="F30" s="27">
        <f t="shared" si="0"/>
        <v>2020.0000000004366</v>
      </c>
      <c r="G30" s="28">
        <f t="shared" si="1"/>
        <v>2091710.0000004522</v>
      </c>
      <c r="H30" s="26">
        <v>0.20999999999980901</v>
      </c>
      <c r="I30" s="27">
        <f t="shared" si="2"/>
        <v>419.99999999961801</v>
      </c>
      <c r="J30" s="28">
        <f t="shared" si="3"/>
        <v>652364.99999940663</v>
      </c>
      <c r="K30" s="26">
        <f t="shared" si="4"/>
        <v>2744074.9999998589</v>
      </c>
      <c r="L30" s="29">
        <f t="shared" si="5"/>
        <v>3018482.4999998449</v>
      </c>
      <c r="M30" s="30">
        <f t="shared" si="6"/>
        <v>209.89378346428239</v>
      </c>
      <c r="N30" s="31"/>
    </row>
    <row r="31" spans="1:14" x14ac:dyDescent="0.25">
      <c r="A31" s="22"/>
      <c r="B31" s="24">
        <v>24</v>
      </c>
      <c r="C31" s="25"/>
      <c r="D31" s="25"/>
      <c r="E31" s="26">
        <v>1.0900000000001455</v>
      </c>
      <c r="F31" s="27">
        <f t="shared" si="0"/>
        <v>2180.000000000291</v>
      </c>
      <c r="G31" s="28">
        <f t="shared" si="1"/>
        <v>2257390.0000003013</v>
      </c>
      <c r="H31" s="26">
        <v>0.22000000000002728</v>
      </c>
      <c r="I31" s="27">
        <f t="shared" si="2"/>
        <v>440.00000000005457</v>
      </c>
      <c r="J31" s="28">
        <f t="shared" si="3"/>
        <v>683430.00000008475</v>
      </c>
      <c r="K31" s="26">
        <f t="shared" si="4"/>
        <v>2940820.000000386</v>
      </c>
      <c r="L31" s="29">
        <f t="shared" si="5"/>
        <v>3234902.0000004247</v>
      </c>
      <c r="M31" s="30">
        <f t="shared" si="6"/>
        <v>224.94277171270599</v>
      </c>
      <c r="N31" s="31"/>
    </row>
    <row r="32" spans="1:14" x14ac:dyDescent="0.25">
      <c r="A32" s="22"/>
      <c r="B32" s="24">
        <v>25</v>
      </c>
      <c r="C32" s="25"/>
      <c r="D32" s="25"/>
      <c r="E32" s="26">
        <v>1.0599999999994907</v>
      </c>
      <c r="F32" s="27">
        <f t="shared" si="0"/>
        <v>2119.9999999989814</v>
      </c>
      <c r="G32" s="28">
        <f t="shared" si="1"/>
        <v>2195259.9999989453</v>
      </c>
      <c r="H32" s="26">
        <v>0.22000000000002728</v>
      </c>
      <c r="I32" s="27">
        <f t="shared" si="2"/>
        <v>440.00000000005457</v>
      </c>
      <c r="J32" s="28">
        <f t="shared" si="3"/>
        <v>683430.00000008475</v>
      </c>
      <c r="K32" s="26">
        <f t="shared" si="4"/>
        <v>2878689.99999903</v>
      </c>
      <c r="L32" s="29">
        <f t="shared" si="5"/>
        <v>3166558.9999989332</v>
      </c>
      <c r="M32" s="30">
        <f t="shared" si="6"/>
        <v>220.19045963416545</v>
      </c>
      <c r="N32" s="31"/>
    </row>
    <row r="33" spans="1:16" x14ac:dyDescent="0.25">
      <c r="A33" s="22"/>
      <c r="B33" s="24">
        <v>26</v>
      </c>
      <c r="C33" s="25"/>
      <c r="D33" s="25"/>
      <c r="E33" s="26">
        <v>1.0500000000001819</v>
      </c>
      <c r="F33" s="27">
        <f t="shared" si="0"/>
        <v>2100.0000000003638</v>
      </c>
      <c r="G33" s="28">
        <f t="shared" si="1"/>
        <v>2174550.0000003767</v>
      </c>
      <c r="H33" s="26">
        <v>0.21000000000003638</v>
      </c>
      <c r="I33" s="27">
        <f t="shared" si="2"/>
        <v>420.00000000007276</v>
      </c>
      <c r="J33" s="28">
        <f t="shared" si="3"/>
        <v>652365.00000011304</v>
      </c>
      <c r="K33" s="26">
        <f t="shared" si="4"/>
        <v>2826915.0000004899</v>
      </c>
      <c r="L33" s="29">
        <f t="shared" si="5"/>
        <v>3109606.5000005392</v>
      </c>
      <c r="M33" s="30">
        <f t="shared" si="6"/>
        <v>216.23019956891309</v>
      </c>
      <c r="N33" s="31"/>
    </row>
    <row r="34" spans="1:16" x14ac:dyDescent="0.25">
      <c r="A34" s="22"/>
      <c r="B34" s="24">
        <v>27</v>
      </c>
      <c r="C34" s="25"/>
      <c r="D34" s="25"/>
      <c r="E34" s="26">
        <v>0.97999999999956344</v>
      </c>
      <c r="F34" s="27">
        <f t="shared" si="0"/>
        <v>1959.9999999991269</v>
      </c>
      <c r="G34" s="28">
        <f t="shared" si="1"/>
        <v>2029579.9999990959</v>
      </c>
      <c r="H34" s="26">
        <v>0.20000000000004547</v>
      </c>
      <c r="I34" s="27">
        <f t="shared" si="2"/>
        <v>400.00000000009095</v>
      </c>
      <c r="J34" s="28">
        <f t="shared" si="3"/>
        <v>621300.00000014121</v>
      </c>
      <c r="K34" s="26">
        <f t="shared" si="4"/>
        <v>2650879.9999992372</v>
      </c>
      <c r="L34" s="29">
        <f t="shared" si="5"/>
        <v>2915967.9999991613</v>
      </c>
      <c r="M34" s="30">
        <f t="shared" si="6"/>
        <v>202.7653153465796</v>
      </c>
      <c r="N34" s="31"/>
    </row>
    <row r="35" spans="1:16" x14ac:dyDescent="0.25">
      <c r="A35" s="22"/>
      <c r="B35" s="24">
        <v>28</v>
      </c>
      <c r="C35" s="25"/>
      <c r="D35" s="25"/>
      <c r="E35" s="26">
        <v>1</v>
      </c>
      <c r="F35" s="27">
        <f t="shared" si="0"/>
        <v>2000</v>
      </c>
      <c r="G35" s="28">
        <f t="shared" si="1"/>
        <v>2071000</v>
      </c>
      <c r="H35" s="26">
        <v>0.20000000000004547</v>
      </c>
      <c r="I35" s="27">
        <f t="shared" si="2"/>
        <v>400.00000000009095</v>
      </c>
      <c r="J35" s="28">
        <f t="shared" si="3"/>
        <v>621300.00000014121</v>
      </c>
      <c r="K35" s="26">
        <f t="shared" si="4"/>
        <v>2692300.0000001411</v>
      </c>
      <c r="L35" s="29">
        <f t="shared" si="5"/>
        <v>2961530.0000001555</v>
      </c>
      <c r="M35" s="30">
        <f t="shared" si="6"/>
        <v>205.93352339893997</v>
      </c>
      <c r="N35" s="31"/>
    </row>
    <row r="36" spans="1:16" x14ac:dyDescent="0.25">
      <c r="A36" s="22"/>
      <c r="B36" s="24">
        <v>29</v>
      </c>
      <c r="C36" s="25"/>
      <c r="D36" s="25"/>
      <c r="E36" s="26">
        <v>0.99000000000069122</v>
      </c>
      <c r="F36" s="27">
        <f t="shared" si="0"/>
        <v>1980.0000000013824</v>
      </c>
      <c r="G36" s="28">
        <f t="shared" si="1"/>
        <v>2050290.0000014314</v>
      </c>
      <c r="H36" s="26">
        <v>0.1999999999998181</v>
      </c>
      <c r="I36" s="27">
        <f t="shared" si="2"/>
        <v>399.9999999996362</v>
      </c>
      <c r="J36" s="28">
        <f t="shared" si="3"/>
        <v>621299.99999943492</v>
      </c>
      <c r="K36" s="26">
        <f t="shared" si="4"/>
        <v>2671590.0000008661</v>
      </c>
      <c r="L36" s="29">
        <f t="shared" si="5"/>
        <v>2938749.0000009532</v>
      </c>
      <c r="M36" s="30">
        <f t="shared" si="6"/>
        <v>204.34941937284981</v>
      </c>
      <c r="N36" s="31"/>
    </row>
    <row r="37" spans="1:16" x14ac:dyDescent="0.25">
      <c r="A37" s="22"/>
      <c r="B37" s="24">
        <v>30</v>
      </c>
      <c r="C37" s="25"/>
      <c r="D37" s="25"/>
      <c r="E37" s="26">
        <v>1.0099999999993088</v>
      </c>
      <c r="F37" s="27">
        <f t="shared" si="0"/>
        <v>2019.9999999986176</v>
      </c>
      <c r="G37" s="28">
        <f>F37*1035.5</f>
        <v>2091709.9999985686</v>
      </c>
      <c r="H37" s="26">
        <v>0.22000000000002728</v>
      </c>
      <c r="I37" s="27">
        <f t="shared" si="2"/>
        <v>440.00000000005457</v>
      </c>
      <c r="J37" s="28">
        <f t="shared" si="3"/>
        <v>683430.00000008475</v>
      </c>
      <c r="K37" s="26">
        <f t="shared" si="4"/>
        <v>2775139.9999986533</v>
      </c>
      <c r="L37" s="29">
        <f t="shared" si="5"/>
        <v>3052653.9999985187</v>
      </c>
      <c r="M37" s="30">
        <f t="shared" si="6"/>
        <v>212.26993950340858</v>
      </c>
      <c r="N37" s="31"/>
    </row>
    <row r="38" spans="1:16" x14ac:dyDescent="0.25">
      <c r="A38" s="22"/>
      <c r="B38" s="24">
        <v>31</v>
      </c>
      <c r="C38" s="25"/>
      <c r="D38" s="25"/>
      <c r="E38" s="26">
        <v>1.0500000000001819</v>
      </c>
      <c r="F38" s="27">
        <f t="shared" si="0"/>
        <v>2100.0000000003638</v>
      </c>
      <c r="G38" s="28">
        <f t="shared" si="1"/>
        <v>2174550.0000003767</v>
      </c>
      <c r="H38" s="26">
        <v>0.22000000000002728</v>
      </c>
      <c r="I38" s="27">
        <f t="shared" si="2"/>
        <v>440.00000000005457</v>
      </c>
      <c r="J38" s="28">
        <f t="shared" si="3"/>
        <v>683430.00000008475</v>
      </c>
      <c r="K38" s="26">
        <f t="shared" si="4"/>
        <v>2857980.0000004615</v>
      </c>
      <c r="L38" s="29">
        <f t="shared" si="5"/>
        <v>3143778.000000508</v>
      </c>
      <c r="M38" s="30">
        <f t="shared" si="6"/>
        <v>218.60635560812935</v>
      </c>
      <c r="N38" s="31"/>
    </row>
    <row r="39" spans="1:16" x14ac:dyDescent="0.25">
      <c r="C39" s="32">
        <f>SUM(C8:C38)</f>
        <v>0</v>
      </c>
      <c r="D39" s="32">
        <f>SUM(D8:D38)</f>
        <v>0</v>
      </c>
      <c r="E39" s="33">
        <v>3.2799999999999727</v>
      </c>
      <c r="F39" s="32">
        <f>SUM(F8:F38)</f>
        <v>66020.000000000437</v>
      </c>
      <c r="I39" s="32">
        <f>SUM(I8:I38)</f>
        <v>13360.000000000127</v>
      </c>
      <c r="L39" s="34">
        <f>SUM(L8:L38)</f>
        <v>98026643.00000073</v>
      </c>
      <c r="M39" s="35">
        <f>SUM(M8:M38)</f>
        <v>6816.3996245046055</v>
      </c>
      <c r="N39" s="36"/>
      <c r="P39" s="37"/>
    </row>
    <row r="41" spans="1:16" x14ac:dyDescent="0.25">
      <c r="G41" s="89" t="s">
        <v>28</v>
      </c>
      <c r="H41" s="90"/>
      <c r="I41" s="91">
        <f>F39+I39</f>
        <v>79380.000000000568</v>
      </c>
      <c r="M41" s="38"/>
      <c r="P41" s="39"/>
    </row>
    <row r="42" spans="1:16" x14ac:dyDescent="0.25">
      <c r="M42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B3" workbookViewId="0">
      <selection activeCell="C27" sqref="C27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43952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x14ac:dyDescent="0.25">
      <c r="A8" s="22"/>
      <c r="B8" s="99"/>
      <c r="C8" s="99"/>
      <c r="D8" s="99"/>
      <c r="E8" s="99"/>
      <c r="F8" s="109"/>
      <c r="G8" s="46">
        <v>10630</v>
      </c>
      <c r="H8" s="99"/>
      <c r="I8" s="99"/>
      <c r="J8" s="46">
        <f>G8</f>
        <v>10630</v>
      </c>
      <c r="K8" s="99"/>
      <c r="L8" s="99"/>
      <c r="M8" s="46">
        <f>J8</f>
        <v>10630</v>
      </c>
      <c r="N8" s="99"/>
      <c r="O8" s="99"/>
      <c r="P8" s="46">
        <f>J8</f>
        <v>10630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0</v>
      </c>
      <c r="D9" s="49">
        <f>Electricity!D8</f>
        <v>0</v>
      </c>
      <c r="E9" s="97"/>
      <c r="F9" s="26"/>
      <c r="G9" s="51">
        <f>F9*$G$8</f>
        <v>0</v>
      </c>
      <c r="H9" s="50"/>
      <c r="I9" s="98"/>
      <c r="J9" s="51">
        <f>I9*$J$8</f>
        <v>0</v>
      </c>
      <c r="K9" s="50"/>
      <c r="L9" s="26"/>
      <c r="M9" s="27">
        <f>L9*$M$8</f>
        <v>0</v>
      </c>
      <c r="N9" s="50"/>
      <c r="O9" s="26"/>
      <c r="P9" s="52">
        <f>O9*$P$8</f>
        <v>0</v>
      </c>
      <c r="Q9" s="53">
        <f>P9+G9+J9+M9</f>
        <v>0</v>
      </c>
      <c r="R9" s="54">
        <f>Q9/14381</f>
        <v>0</v>
      </c>
      <c r="S9" s="23"/>
    </row>
    <row r="10" spans="1:21" x14ac:dyDescent="0.25">
      <c r="A10" s="22"/>
      <c r="B10" s="24">
        <v>2</v>
      </c>
      <c r="C10" s="48">
        <f>Electricity!C9</f>
        <v>0</v>
      </c>
      <c r="D10" s="49">
        <f>Electricity!D9</f>
        <v>0</v>
      </c>
      <c r="E10" s="97"/>
      <c r="F10" s="26"/>
      <c r="G10" s="51">
        <f>F10*$G$8</f>
        <v>0</v>
      </c>
      <c r="H10" s="50"/>
      <c r="I10" s="98"/>
      <c r="J10" s="51">
        <f>I10*$J$8</f>
        <v>0</v>
      </c>
      <c r="K10" s="50"/>
      <c r="L10" s="26"/>
      <c r="M10" s="27">
        <f t="shared" ref="M10:M39" si="0">L10*$M$8</f>
        <v>0</v>
      </c>
      <c r="N10" s="50"/>
      <c r="O10" s="26"/>
      <c r="P10" s="52">
        <f>O10*$P$8</f>
        <v>0</v>
      </c>
      <c r="Q10" s="53">
        <f>J10+M10+G10+P10</f>
        <v>0</v>
      </c>
      <c r="R10" s="54">
        <f t="shared" ref="R10:R39" si="1">Q10/14381</f>
        <v>0</v>
      </c>
      <c r="S10" s="23"/>
    </row>
    <row r="11" spans="1:21" x14ac:dyDescent="0.25">
      <c r="A11" s="22"/>
      <c r="B11" s="24">
        <v>3</v>
      </c>
      <c r="C11" s="48">
        <f>Electricity!C10</f>
        <v>0</v>
      </c>
      <c r="D11" s="49">
        <f>Electricity!D10</f>
        <v>0</v>
      </c>
      <c r="E11" s="97"/>
      <c r="F11" s="26"/>
      <c r="G11" s="51">
        <f t="shared" ref="G11:G39" si="2">F11*$G$8</f>
        <v>0</v>
      </c>
      <c r="H11" s="50"/>
      <c r="I11" s="98"/>
      <c r="J11" s="51">
        <f t="shared" ref="J11:J39" si="3">I11*$J$8</f>
        <v>0</v>
      </c>
      <c r="K11" s="50"/>
      <c r="L11" s="26"/>
      <c r="M11" s="27">
        <f t="shared" si="0"/>
        <v>0</v>
      </c>
      <c r="N11" s="50"/>
      <c r="O11" s="26"/>
      <c r="P11" s="52">
        <f t="shared" ref="P11:P39" si="4">O11*$P$8</f>
        <v>0</v>
      </c>
      <c r="Q11" s="53">
        <f t="shared" ref="Q11:Q39" si="5">J11+M11+G11+P11</f>
        <v>0</v>
      </c>
      <c r="R11" s="54">
        <f t="shared" si="1"/>
        <v>0</v>
      </c>
      <c r="S11" s="23"/>
    </row>
    <row r="12" spans="1:21" x14ac:dyDescent="0.25">
      <c r="A12" s="22"/>
      <c r="B12" s="24">
        <v>4</v>
      </c>
      <c r="C12" s="48">
        <f>Electricity!C11</f>
        <v>0</v>
      </c>
      <c r="D12" s="49">
        <f>Electricity!D11</f>
        <v>0</v>
      </c>
      <c r="E12" s="97"/>
      <c r="F12" s="26"/>
      <c r="G12" s="51">
        <f t="shared" si="2"/>
        <v>0</v>
      </c>
      <c r="H12" s="50"/>
      <c r="I12" s="98"/>
      <c r="J12" s="51">
        <f t="shared" si="3"/>
        <v>0</v>
      </c>
      <c r="K12" s="50"/>
      <c r="L12" s="26"/>
      <c r="M12" s="27">
        <f t="shared" si="0"/>
        <v>0</v>
      </c>
      <c r="N12" s="50"/>
      <c r="O12" s="26"/>
      <c r="P12" s="52">
        <f t="shared" si="4"/>
        <v>0</v>
      </c>
      <c r="Q12" s="53">
        <f t="shared" si="5"/>
        <v>0</v>
      </c>
      <c r="R12" s="54">
        <f t="shared" si="1"/>
        <v>0</v>
      </c>
      <c r="S12" s="23"/>
    </row>
    <row r="13" spans="1:21" x14ac:dyDescent="0.25">
      <c r="A13" s="22"/>
      <c r="B13" s="24">
        <v>5</v>
      </c>
      <c r="C13" s="48">
        <f>Electricity!C12</f>
        <v>0</v>
      </c>
      <c r="D13" s="49">
        <f>Electricity!D12</f>
        <v>0</v>
      </c>
      <c r="E13" s="97"/>
      <c r="F13" s="26"/>
      <c r="G13" s="51">
        <f t="shared" si="2"/>
        <v>0</v>
      </c>
      <c r="H13" s="50"/>
      <c r="I13" s="98"/>
      <c r="J13" s="51">
        <f t="shared" si="3"/>
        <v>0</v>
      </c>
      <c r="K13" s="50"/>
      <c r="L13" s="26"/>
      <c r="M13" s="27">
        <f t="shared" si="0"/>
        <v>0</v>
      </c>
      <c r="N13" s="50"/>
      <c r="O13" s="26"/>
      <c r="P13" s="52">
        <f t="shared" si="4"/>
        <v>0</v>
      </c>
      <c r="Q13" s="53">
        <f t="shared" si="5"/>
        <v>0</v>
      </c>
      <c r="R13" s="54">
        <f t="shared" si="1"/>
        <v>0</v>
      </c>
      <c r="S13" s="23"/>
    </row>
    <row r="14" spans="1:21" x14ac:dyDescent="0.25">
      <c r="A14" s="22"/>
      <c r="B14" s="24">
        <v>6</v>
      </c>
      <c r="C14" s="48">
        <f>Electricity!C13</f>
        <v>0</v>
      </c>
      <c r="D14" s="49">
        <f>Electricity!D13</f>
        <v>0</v>
      </c>
      <c r="E14" s="97"/>
      <c r="F14" s="26"/>
      <c r="G14" s="51">
        <f t="shared" si="2"/>
        <v>0</v>
      </c>
      <c r="H14" s="50"/>
      <c r="I14" s="98"/>
      <c r="J14" s="51">
        <f t="shared" si="3"/>
        <v>0</v>
      </c>
      <c r="K14" s="50"/>
      <c r="L14" s="26"/>
      <c r="M14" s="27">
        <f t="shared" si="0"/>
        <v>0</v>
      </c>
      <c r="N14" s="50"/>
      <c r="O14" s="26"/>
      <c r="P14" s="52">
        <f t="shared" si="4"/>
        <v>0</v>
      </c>
      <c r="Q14" s="53">
        <f t="shared" si="5"/>
        <v>0</v>
      </c>
      <c r="R14" s="54">
        <f t="shared" si="1"/>
        <v>0</v>
      </c>
      <c r="S14" s="23"/>
    </row>
    <row r="15" spans="1:21" x14ac:dyDescent="0.25">
      <c r="A15" s="22"/>
      <c r="B15" s="24">
        <v>7</v>
      </c>
      <c r="C15" s="48">
        <f>Electricity!C14</f>
        <v>0</v>
      </c>
      <c r="D15" s="49">
        <f>Electricity!D14</f>
        <v>0</v>
      </c>
      <c r="E15" s="97"/>
      <c r="F15" s="26"/>
      <c r="G15" s="51">
        <f t="shared" si="2"/>
        <v>0</v>
      </c>
      <c r="H15" s="50"/>
      <c r="I15" s="98"/>
      <c r="J15" s="51">
        <f t="shared" si="3"/>
        <v>0</v>
      </c>
      <c r="K15" s="50"/>
      <c r="L15" s="26"/>
      <c r="M15" s="27">
        <f t="shared" si="0"/>
        <v>0</v>
      </c>
      <c r="N15" s="50"/>
      <c r="O15" s="26"/>
      <c r="P15" s="52">
        <f t="shared" si="4"/>
        <v>0</v>
      </c>
      <c r="Q15" s="53">
        <f t="shared" si="5"/>
        <v>0</v>
      </c>
      <c r="R15" s="54">
        <f t="shared" si="1"/>
        <v>0</v>
      </c>
      <c r="S15" s="23"/>
    </row>
    <row r="16" spans="1:21" x14ac:dyDescent="0.25">
      <c r="A16" s="22"/>
      <c r="B16" s="24">
        <v>8</v>
      </c>
      <c r="C16" s="48">
        <f>Electricity!C15</f>
        <v>0</v>
      </c>
      <c r="D16" s="49">
        <f>Electricity!D15</f>
        <v>0</v>
      </c>
      <c r="E16" s="97"/>
      <c r="F16" s="26"/>
      <c r="G16" s="51">
        <f t="shared" si="2"/>
        <v>0</v>
      </c>
      <c r="H16" s="50"/>
      <c r="I16" s="98"/>
      <c r="J16" s="51">
        <f t="shared" si="3"/>
        <v>0</v>
      </c>
      <c r="K16" s="50"/>
      <c r="L16" s="26"/>
      <c r="M16" s="27">
        <f t="shared" si="0"/>
        <v>0</v>
      </c>
      <c r="N16" s="50"/>
      <c r="O16" s="26"/>
      <c r="P16" s="52">
        <f t="shared" si="4"/>
        <v>0</v>
      </c>
      <c r="Q16" s="53">
        <f t="shared" si="5"/>
        <v>0</v>
      </c>
      <c r="R16" s="54">
        <f t="shared" si="1"/>
        <v>0</v>
      </c>
      <c r="S16" s="23"/>
    </row>
    <row r="17" spans="1:19" x14ac:dyDescent="0.25">
      <c r="A17" s="22"/>
      <c r="B17" s="24">
        <v>9</v>
      </c>
      <c r="C17" s="48">
        <f>Electricity!C16</f>
        <v>0</v>
      </c>
      <c r="D17" s="49">
        <f>Electricity!D16</f>
        <v>0</v>
      </c>
      <c r="E17" s="85"/>
      <c r="F17" s="26"/>
      <c r="G17" s="51">
        <f t="shared" si="2"/>
        <v>0</v>
      </c>
      <c r="H17" s="50"/>
      <c r="I17" s="98"/>
      <c r="J17" s="51">
        <f t="shared" si="3"/>
        <v>0</v>
      </c>
      <c r="K17" s="50"/>
      <c r="L17" s="26"/>
      <c r="M17" s="27">
        <f t="shared" si="0"/>
        <v>0</v>
      </c>
      <c r="N17" s="50"/>
      <c r="O17" s="26"/>
      <c r="P17" s="52">
        <f t="shared" si="4"/>
        <v>0</v>
      </c>
      <c r="Q17" s="53">
        <f t="shared" si="5"/>
        <v>0</v>
      </c>
      <c r="R17" s="54">
        <f t="shared" si="1"/>
        <v>0</v>
      </c>
      <c r="S17" s="23"/>
    </row>
    <row r="18" spans="1:19" x14ac:dyDescent="0.25">
      <c r="A18" s="22"/>
      <c r="B18" s="24">
        <v>10</v>
      </c>
      <c r="C18" s="48">
        <f>Electricity!C17</f>
        <v>0</v>
      </c>
      <c r="D18" s="49">
        <f>Electricity!D17</f>
        <v>0</v>
      </c>
      <c r="E18" s="97"/>
      <c r="F18" s="26"/>
      <c r="G18" s="51">
        <f t="shared" si="2"/>
        <v>0</v>
      </c>
      <c r="H18" s="50"/>
      <c r="I18" s="98"/>
      <c r="J18" s="51">
        <f t="shared" si="3"/>
        <v>0</v>
      </c>
      <c r="K18" s="50"/>
      <c r="L18" s="26"/>
      <c r="M18" s="27">
        <f t="shared" si="0"/>
        <v>0</v>
      </c>
      <c r="N18" s="50"/>
      <c r="O18" s="26"/>
      <c r="P18" s="52">
        <f t="shared" si="4"/>
        <v>0</v>
      </c>
      <c r="Q18" s="53">
        <f t="shared" si="5"/>
        <v>0</v>
      </c>
      <c r="R18" s="54">
        <f t="shared" si="1"/>
        <v>0</v>
      </c>
      <c r="S18" s="23"/>
    </row>
    <row r="19" spans="1:19" x14ac:dyDescent="0.25">
      <c r="A19" s="22"/>
      <c r="B19" s="24">
        <v>11</v>
      </c>
      <c r="C19" s="48">
        <f>Electricity!C18</f>
        <v>0</v>
      </c>
      <c r="D19" s="49">
        <f>Electricity!D18</f>
        <v>0</v>
      </c>
      <c r="E19" s="97"/>
      <c r="F19" s="26"/>
      <c r="G19" s="51">
        <f t="shared" si="2"/>
        <v>0</v>
      </c>
      <c r="H19" s="50"/>
      <c r="I19" s="98"/>
      <c r="J19" s="51">
        <f t="shared" si="3"/>
        <v>0</v>
      </c>
      <c r="K19" s="50"/>
      <c r="L19" s="26"/>
      <c r="M19" s="27">
        <f t="shared" si="0"/>
        <v>0</v>
      </c>
      <c r="N19" s="50"/>
      <c r="O19" s="26"/>
      <c r="P19" s="52">
        <f t="shared" si="4"/>
        <v>0</v>
      </c>
      <c r="Q19" s="53">
        <f t="shared" si="5"/>
        <v>0</v>
      </c>
      <c r="R19" s="54">
        <f t="shared" si="1"/>
        <v>0</v>
      </c>
      <c r="S19" s="23"/>
    </row>
    <row r="20" spans="1:19" x14ac:dyDescent="0.25">
      <c r="A20" s="22"/>
      <c r="B20" s="24">
        <v>12</v>
      </c>
      <c r="C20" s="48">
        <f>Electricity!C19</f>
        <v>0</v>
      </c>
      <c r="D20" s="49">
        <f>Electricity!D19</f>
        <v>0</v>
      </c>
      <c r="E20" s="97"/>
      <c r="F20" s="26"/>
      <c r="G20" s="51">
        <f t="shared" si="2"/>
        <v>0</v>
      </c>
      <c r="H20" s="50"/>
      <c r="I20" s="98"/>
      <c r="J20" s="51">
        <f t="shared" si="3"/>
        <v>0</v>
      </c>
      <c r="K20" s="50"/>
      <c r="L20" s="26"/>
      <c r="M20" s="27">
        <f t="shared" si="0"/>
        <v>0</v>
      </c>
      <c r="N20" s="50"/>
      <c r="O20" s="26"/>
      <c r="P20" s="52">
        <f t="shared" si="4"/>
        <v>0</v>
      </c>
      <c r="Q20" s="53">
        <f t="shared" si="5"/>
        <v>0</v>
      </c>
      <c r="R20" s="54">
        <f t="shared" si="1"/>
        <v>0</v>
      </c>
      <c r="S20" s="23"/>
    </row>
    <row r="21" spans="1:19" x14ac:dyDescent="0.25">
      <c r="A21" s="22"/>
      <c r="B21" s="24">
        <v>13</v>
      </c>
      <c r="C21" s="48">
        <f>Electricity!C20</f>
        <v>0</v>
      </c>
      <c r="D21" s="49">
        <f>Electricity!D20</f>
        <v>0</v>
      </c>
      <c r="E21" s="97"/>
      <c r="F21" s="26"/>
      <c r="G21" s="51">
        <f t="shared" si="2"/>
        <v>0</v>
      </c>
      <c r="H21" s="50"/>
      <c r="I21" s="98"/>
      <c r="J21" s="51">
        <f t="shared" si="3"/>
        <v>0</v>
      </c>
      <c r="K21" s="50"/>
      <c r="L21" s="26"/>
      <c r="M21" s="27">
        <f t="shared" si="0"/>
        <v>0</v>
      </c>
      <c r="N21" s="50"/>
      <c r="O21" s="26"/>
      <c r="P21" s="52">
        <f t="shared" si="4"/>
        <v>0</v>
      </c>
      <c r="Q21" s="53">
        <f t="shared" si="5"/>
        <v>0</v>
      </c>
      <c r="R21" s="54">
        <f t="shared" si="1"/>
        <v>0</v>
      </c>
      <c r="S21" s="23"/>
    </row>
    <row r="22" spans="1:19" x14ac:dyDescent="0.25">
      <c r="A22" s="22"/>
      <c r="B22" s="24">
        <v>14</v>
      </c>
      <c r="C22" s="48">
        <f>Electricity!C21</f>
        <v>0</v>
      </c>
      <c r="D22" s="49">
        <f>Electricity!D21</f>
        <v>0</v>
      </c>
      <c r="E22" s="97"/>
      <c r="F22" s="26"/>
      <c r="G22" s="51">
        <f t="shared" si="2"/>
        <v>0</v>
      </c>
      <c r="H22" s="50"/>
      <c r="I22" s="98"/>
      <c r="J22" s="51">
        <f t="shared" si="3"/>
        <v>0</v>
      </c>
      <c r="K22" s="50"/>
      <c r="L22" s="26"/>
      <c r="M22" s="27">
        <f t="shared" si="0"/>
        <v>0</v>
      </c>
      <c r="N22" s="50"/>
      <c r="O22" s="26"/>
      <c r="P22" s="52">
        <f t="shared" si="4"/>
        <v>0</v>
      </c>
      <c r="Q22" s="53">
        <f t="shared" si="5"/>
        <v>0</v>
      </c>
      <c r="R22" s="54">
        <f t="shared" si="1"/>
        <v>0</v>
      </c>
      <c r="S22" s="23"/>
    </row>
    <row r="23" spans="1:19" x14ac:dyDescent="0.25">
      <c r="A23" s="22"/>
      <c r="B23" s="24">
        <v>15</v>
      </c>
      <c r="C23" s="48">
        <f>Electricity!C22</f>
        <v>0</v>
      </c>
      <c r="D23" s="49">
        <f>Electricity!D22</f>
        <v>0</v>
      </c>
      <c r="E23" s="97"/>
      <c r="F23" s="26"/>
      <c r="G23" s="51">
        <f t="shared" si="2"/>
        <v>0</v>
      </c>
      <c r="H23" s="50"/>
      <c r="I23" s="98"/>
      <c r="J23" s="51">
        <f t="shared" si="3"/>
        <v>0</v>
      </c>
      <c r="K23" s="50"/>
      <c r="L23" s="26"/>
      <c r="M23" s="27">
        <f t="shared" si="0"/>
        <v>0</v>
      </c>
      <c r="N23" s="50"/>
      <c r="O23" s="26"/>
      <c r="P23" s="52">
        <f t="shared" si="4"/>
        <v>0</v>
      </c>
      <c r="Q23" s="53">
        <f t="shared" si="5"/>
        <v>0</v>
      </c>
      <c r="R23" s="54">
        <f t="shared" si="1"/>
        <v>0</v>
      </c>
      <c r="S23" s="23"/>
    </row>
    <row r="24" spans="1:19" x14ac:dyDescent="0.25">
      <c r="A24" s="22"/>
      <c r="B24" s="24">
        <v>16</v>
      </c>
      <c r="C24" s="48">
        <f>Electricity!C23</f>
        <v>0</v>
      </c>
      <c r="D24" s="49">
        <f>Electricity!D23</f>
        <v>0</v>
      </c>
      <c r="E24" s="97"/>
      <c r="F24" s="26"/>
      <c r="G24" s="51">
        <f t="shared" si="2"/>
        <v>0</v>
      </c>
      <c r="H24" s="50"/>
      <c r="I24" s="98"/>
      <c r="J24" s="51">
        <f t="shared" si="3"/>
        <v>0</v>
      </c>
      <c r="K24" s="50"/>
      <c r="L24" s="26"/>
      <c r="M24" s="27">
        <f t="shared" si="0"/>
        <v>0</v>
      </c>
      <c r="N24" s="50"/>
      <c r="O24" s="26"/>
      <c r="P24" s="52">
        <f t="shared" si="4"/>
        <v>0</v>
      </c>
      <c r="Q24" s="53">
        <f t="shared" si="5"/>
        <v>0</v>
      </c>
      <c r="R24" s="54">
        <f t="shared" si="1"/>
        <v>0</v>
      </c>
      <c r="S24" s="23"/>
    </row>
    <row r="25" spans="1:19" x14ac:dyDescent="0.25">
      <c r="A25" s="22"/>
      <c r="B25" s="24">
        <v>17</v>
      </c>
      <c r="C25" s="48">
        <f>Electricity!C24</f>
        <v>0</v>
      </c>
      <c r="D25" s="49">
        <f>Electricity!D24</f>
        <v>0</v>
      </c>
      <c r="E25" s="97"/>
      <c r="F25" s="26"/>
      <c r="G25" s="51">
        <f t="shared" si="2"/>
        <v>0</v>
      </c>
      <c r="H25" s="50"/>
      <c r="I25" s="98"/>
      <c r="J25" s="51">
        <f t="shared" si="3"/>
        <v>0</v>
      </c>
      <c r="K25" s="50"/>
      <c r="L25" s="26"/>
      <c r="M25" s="27">
        <f t="shared" si="0"/>
        <v>0</v>
      </c>
      <c r="N25" s="50"/>
      <c r="O25" s="26"/>
      <c r="P25" s="52">
        <f t="shared" si="4"/>
        <v>0</v>
      </c>
      <c r="Q25" s="53">
        <f t="shared" si="5"/>
        <v>0</v>
      </c>
      <c r="R25" s="54">
        <f t="shared" si="1"/>
        <v>0</v>
      </c>
      <c r="S25" s="23"/>
    </row>
    <row r="26" spans="1:19" x14ac:dyDescent="0.25">
      <c r="A26" s="22"/>
      <c r="B26" s="24">
        <v>18</v>
      </c>
      <c r="C26" s="48">
        <f>Electricity!C25</f>
        <v>0</v>
      </c>
      <c r="D26" s="49">
        <f>Electricity!D25</f>
        <v>0</v>
      </c>
      <c r="E26" s="97"/>
      <c r="F26" s="26"/>
      <c r="G26" s="51">
        <f t="shared" si="2"/>
        <v>0</v>
      </c>
      <c r="H26" s="50"/>
      <c r="I26" s="98"/>
      <c r="J26" s="51">
        <f t="shared" si="3"/>
        <v>0</v>
      </c>
      <c r="K26" s="50"/>
      <c r="L26" s="26"/>
      <c r="M26" s="27">
        <f t="shared" si="0"/>
        <v>0</v>
      </c>
      <c r="N26" s="50"/>
      <c r="O26" s="26"/>
      <c r="P26" s="52">
        <f t="shared" si="4"/>
        <v>0</v>
      </c>
      <c r="Q26" s="53">
        <f t="shared" si="5"/>
        <v>0</v>
      </c>
      <c r="R26" s="54">
        <f t="shared" si="1"/>
        <v>0</v>
      </c>
      <c r="S26" s="23"/>
    </row>
    <row r="27" spans="1:19" x14ac:dyDescent="0.25">
      <c r="A27" s="22"/>
      <c r="B27" s="24">
        <v>19</v>
      </c>
      <c r="C27" s="48">
        <f>Electricity!C26</f>
        <v>0</v>
      </c>
      <c r="D27" s="49">
        <f>Electricity!D26</f>
        <v>0</v>
      </c>
      <c r="E27" s="84"/>
      <c r="F27" s="26"/>
      <c r="G27" s="51">
        <f t="shared" si="2"/>
        <v>0</v>
      </c>
      <c r="H27" s="50"/>
      <c r="I27" s="51"/>
      <c r="J27" s="51">
        <f t="shared" si="3"/>
        <v>0</v>
      </c>
      <c r="K27" s="50"/>
      <c r="L27" s="26"/>
      <c r="M27" s="27">
        <f t="shared" si="0"/>
        <v>0</v>
      </c>
      <c r="N27" s="50"/>
      <c r="O27" s="26"/>
      <c r="P27" s="52">
        <f t="shared" si="4"/>
        <v>0</v>
      </c>
      <c r="Q27" s="53">
        <f t="shared" si="5"/>
        <v>0</v>
      </c>
      <c r="R27" s="54">
        <f t="shared" si="1"/>
        <v>0</v>
      </c>
      <c r="S27" s="23"/>
    </row>
    <row r="28" spans="1:19" x14ac:dyDescent="0.25">
      <c r="A28" s="22"/>
      <c r="B28" s="24">
        <v>20</v>
      </c>
      <c r="C28" s="48">
        <f>Electricity!C27</f>
        <v>0</v>
      </c>
      <c r="D28" s="49">
        <f>Electricity!D27</f>
        <v>0</v>
      </c>
      <c r="E28" s="84"/>
      <c r="F28" s="26"/>
      <c r="G28" s="51">
        <f t="shared" si="2"/>
        <v>0</v>
      </c>
      <c r="H28" s="50"/>
      <c r="I28" s="51"/>
      <c r="J28" s="51">
        <f t="shared" si="3"/>
        <v>0</v>
      </c>
      <c r="K28" s="50"/>
      <c r="L28" s="26"/>
      <c r="M28" s="27">
        <f t="shared" si="0"/>
        <v>0</v>
      </c>
      <c r="N28" s="50"/>
      <c r="O28" s="26"/>
      <c r="P28" s="52">
        <f t="shared" si="4"/>
        <v>0</v>
      </c>
      <c r="Q28" s="53">
        <f t="shared" si="5"/>
        <v>0</v>
      </c>
      <c r="R28" s="54">
        <f t="shared" si="1"/>
        <v>0</v>
      </c>
      <c r="S28" s="23"/>
    </row>
    <row r="29" spans="1:19" x14ac:dyDescent="0.25">
      <c r="A29" s="22"/>
      <c r="B29" s="24">
        <v>21</v>
      </c>
      <c r="C29" s="48">
        <f>Electricity!C28</f>
        <v>0</v>
      </c>
      <c r="D29" s="49">
        <f>Electricity!D28</f>
        <v>0</v>
      </c>
      <c r="E29" s="84"/>
      <c r="F29" s="26"/>
      <c r="G29" s="51">
        <f t="shared" si="2"/>
        <v>0</v>
      </c>
      <c r="H29" s="50"/>
      <c r="I29" s="51"/>
      <c r="J29" s="51">
        <f t="shared" si="3"/>
        <v>0</v>
      </c>
      <c r="K29" s="50"/>
      <c r="L29" s="26"/>
      <c r="M29" s="27">
        <f t="shared" si="0"/>
        <v>0</v>
      </c>
      <c r="N29" s="50"/>
      <c r="O29" s="26"/>
      <c r="P29" s="52">
        <f t="shared" si="4"/>
        <v>0</v>
      </c>
      <c r="Q29" s="53">
        <f t="shared" si="5"/>
        <v>0</v>
      </c>
      <c r="R29" s="54">
        <f t="shared" si="1"/>
        <v>0</v>
      </c>
      <c r="S29" s="23"/>
    </row>
    <row r="30" spans="1:19" x14ac:dyDescent="0.25">
      <c r="A30" s="22"/>
      <c r="B30" s="24">
        <v>22</v>
      </c>
      <c r="C30" s="48">
        <f>Electricity!C29</f>
        <v>0</v>
      </c>
      <c r="D30" s="49">
        <f>Electricity!D29</f>
        <v>0</v>
      </c>
      <c r="E30" s="84"/>
      <c r="F30" s="26"/>
      <c r="G30" s="51">
        <f t="shared" si="2"/>
        <v>0</v>
      </c>
      <c r="H30" s="50"/>
      <c r="I30" s="51"/>
      <c r="J30" s="51">
        <f t="shared" si="3"/>
        <v>0</v>
      </c>
      <c r="K30" s="50"/>
      <c r="L30" s="26"/>
      <c r="M30" s="27">
        <f t="shared" si="0"/>
        <v>0</v>
      </c>
      <c r="N30" s="50"/>
      <c r="O30" s="26"/>
      <c r="P30" s="52">
        <f t="shared" si="4"/>
        <v>0</v>
      </c>
      <c r="Q30" s="53">
        <f t="shared" si="5"/>
        <v>0</v>
      </c>
      <c r="R30" s="54">
        <f t="shared" si="1"/>
        <v>0</v>
      </c>
      <c r="S30" s="23"/>
    </row>
    <row r="31" spans="1:19" x14ac:dyDescent="0.25">
      <c r="A31" s="22"/>
      <c r="B31" s="24">
        <v>23</v>
      </c>
      <c r="C31" s="48">
        <f>Electricity!C30</f>
        <v>0</v>
      </c>
      <c r="D31" s="49">
        <f>Electricity!D30</f>
        <v>0</v>
      </c>
      <c r="E31" s="84"/>
      <c r="F31" s="26"/>
      <c r="G31" s="51">
        <f t="shared" si="2"/>
        <v>0</v>
      </c>
      <c r="H31" s="50"/>
      <c r="I31" s="51"/>
      <c r="J31" s="51">
        <f t="shared" si="3"/>
        <v>0</v>
      </c>
      <c r="K31" s="50"/>
      <c r="L31" s="26"/>
      <c r="M31" s="27">
        <f t="shared" si="0"/>
        <v>0</v>
      </c>
      <c r="N31" s="50"/>
      <c r="O31" s="26"/>
      <c r="P31" s="52">
        <f t="shared" si="4"/>
        <v>0</v>
      </c>
      <c r="Q31" s="53">
        <f t="shared" si="5"/>
        <v>0</v>
      </c>
      <c r="R31" s="54">
        <f t="shared" si="1"/>
        <v>0</v>
      </c>
      <c r="S31" s="23"/>
    </row>
    <row r="32" spans="1:19" x14ac:dyDescent="0.25">
      <c r="A32" s="22"/>
      <c r="B32" s="24">
        <v>24</v>
      </c>
      <c r="C32" s="48">
        <f>Electricity!C31</f>
        <v>0</v>
      </c>
      <c r="D32" s="49">
        <f>Electricity!D31</f>
        <v>0</v>
      </c>
      <c r="E32" s="84"/>
      <c r="F32" s="83"/>
      <c r="G32" s="51">
        <f t="shared" si="2"/>
        <v>0</v>
      </c>
      <c r="H32" s="50"/>
      <c r="I32" s="51"/>
      <c r="J32" s="51">
        <f t="shared" si="3"/>
        <v>0</v>
      </c>
      <c r="K32" s="50"/>
      <c r="L32" s="26"/>
      <c r="M32" s="27">
        <f t="shared" si="0"/>
        <v>0</v>
      </c>
      <c r="N32" s="50"/>
      <c r="O32" s="26"/>
      <c r="P32" s="52">
        <f t="shared" si="4"/>
        <v>0</v>
      </c>
      <c r="Q32" s="53">
        <f t="shared" si="5"/>
        <v>0</v>
      </c>
      <c r="R32" s="54">
        <f t="shared" si="1"/>
        <v>0</v>
      </c>
      <c r="S32" s="23"/>
    </row>
    <row r="33" spans="1:21" x14ac:dyDescent="0.25">
      <c r="A33" s="22"/>
      <c r="B33" s="24">
        <v>25</v>
      </c>
      <c r="C33" s="48">
        <f>Electricity!C32</f>
        <v>0</v>
      </c>
      <c r="D33" s="49">
        <f>Electricity!D32</f>
        <v>0</v>
      </c>
      <c r="E33" s="84"/>
      <c r="F33" s="83"/>
      <c r="G33" s="51">
        <f t="shared" si="2"/>
        <v>0</v>
      </c>
      <c r="H33" s="50"/>
      <c r="I33" s="51"/>
      <c r="J33" s="51">
        <f t="shared" si="3"/>
        <v>0</v>
      </c>
      <c r="K33" s="50"/>
      <c r="L33" s="26"/>
      <c r="M33" s="27">
        <f t="shared" si="0"/>
        <v>0</v>
      </c>
      <c r="N33" s="50"/>
      <c r="O33" s="26"/>
      <c r="P33" s="52">
        <f t="shared" si="4"/>
        <v>0</v>
      </c>
      <c r="Q33" s="53">
        <f t="shared" si="5"/>
        <v>0</v>
      </c>
      <c r="R33" s="54">
        <f t="shared" si="1"/>
        <v>0</v>
      </c>
      <c r="S33" s="23"/>
    </row>
    <row r="34" spans="1:21" x14ac:dyDescent="0.25">
      <c r="A34" s="22"/>
      <c r="B34" s="24">
        <v>26</v>
      </c>
      <c r="C34" s="48">
        <f>Electricity!C33</f>
        <v>0</v>
      </c>
      <c r="D34" s="49">
        <f>Electricity!D33</f>
        <v>0</v>
      </c>
      <c r="E34" s="84"/>
      <c r="F34" s="83"/>
      <c r="G34" s="51">
        <f t="shared" si="2"/>
        <v>0</v>
      </c>
      <c r="H34" s="50"/>
      <c r="I34" s="51"/>
      <c r="J34" s="51">
        <f t="shared" si="3"/>
        <v>0</v>
      </c>
      <c r="K34" s="50"/>
      <c r="L34" s="26"/>
      <c r="M34" s="27">
        <f t="shared" si="0"/>
        <v>0</v>
      </c>
      <c r="N34" s="50"/>
      <c r="O34" s="26"/>
      <c r="P34" s="52">
        <f t="shared" si="4"/>
        <v>0</v>
      </c>
      <c r="Q34" s="53">
        <f t="shared" si="5"/>
        <v>0</v>
      </c>
      <c r="R34" s="54">
        <f t="shared" si="1"/>
        <v>0</v>
      </c>
      <c r="S34" s="23"/>
    </row>
    <row r="35" spans="1:21" x14ac:dyDescent="0.25">
      <c r="A35" s="22"/>
      <c r="B35" s="24">
        <v>27</v>
      </c>
      <c r="C35" s="48">
        <f>Electricity!C34</f>
        <v>0</v>
      </c>
      <c r="D35" s="49">
        <f>Electricity!D34</f>
        <v>0</v>
      </c>
      <c r="E35" s="84"/>
      <c r="F35" s="83"/>
      <c r="G35" s="51">
        <f t="shared" si="2"/>
        <v>0</v>
      </c>
      <c r="H35" s="50"/>
      <c r="I35" s="51"/>
      <c r="J35" s="51">
        <f t="shared" si="3"/>
        <v>0</v>
      </c>
      <c r="K35" s="50"/>
      <c r="L35" s="26"/>
      <c r="M35" s="27">
        <f t="shared" si="0"/>
        <v>0</v>
      </c>
      <c r="N35" s="50"/>
      <c r="O35" s="26"/>
      <c r="P35" s="52">
        <f t="shared" si="4"/>
        <v>0</v>
      </c>
      <c r="Q35" s="53">
        <f t="shared" si="5"/>
        <v>0</v>
      </c>
      <c r="R35" s="54">
        <f t="shared" si="1"/>
        <v>0</v>
      </c>
      <c r="S35" s="23"/>
    </row>
    <row r="36" spans="1:21" x14ac:dyDescent="0.25">
      <c r="A36" s="22"/>
      <c r="B36" s="24">
        <v>28</v>
      </c>
      <c r="C36" s="48">
        <f>Electricity!C35</f>
        <v>0</v>
      </c>
      <c r="D36" s="49">
        <f>Electricity!D35</f>
        <v>0</v>
      </c>
      <c r="E36" s="84"/>
      <c r="F36" s="83"/>
      <c r="G36" s="51">
        <f t="shared" si="2"/>
        <v>0</v>
      </c>
      <c r="H36" s="50"/>
      <c r="I36" s="51"/>
      <c r="J36" s="51">
        <f t="shared" si="3"/>
        <v>0</v>
      </c>
      <c r="K36" s="50"/>
      <c r="L36" s="26"/>
      <c r="M36" s="27">
        <f t="shared" si="0"/>
        <v>0</v>
      </c>
      <c r="N36" s="50"/>
      <c r="O36" s="26"/>
      <c r="P36" s="52">
        <f t="shared" si="4"/>
        <v>0</v>
      </c>
      <c r="Q36" s="53">
        <f t="shared" si="5"/>
        <v>0</v>
      </c>
      <c r="R36" s="54">
        <f t="shared" si="1"/>
        <v>0</v>
      </c>
      <c r="S36" s="23"/>
    </row>
    <row r="37" spans="1:21" x14ac:dyDescent="0.25">
      <c r="A37" s="22"/>
      <c r="B37" s="24">
        <v>29</v>
      </c>
      <c r="C37" s="48">
        <f>Electricity!C36</f>
        <v>0</v>
      </c>
      <c r="D37" s="49">
        <f>Electricity!D36</f>
        <v>0</v>
      </c>
      <c r="E37" s="82"/>
      <c r="F37" s="83"/>
      <c r="G37" s="51">
        <f t="shared" si="2"/>
        <v>0</v>
      </c>
      <c r="H37" s="50"/>
      <c r="I37" s="51"/>
      <c r="J37" s="51">
        <f t="shared" si="3"/>
        <v>0</v>
      </c>
      <c r="K37" s="50"/>
      <c r="L37" s="26"/>
      <c r="M37" s="27">
        <f t="shared" si="0"/>
        <v>0</v>
      </c>
      <c r="N37" s="50"/>
      <c r="O37" s="26"/>
      <c r="P37" s="52">
        <f t="shared" si="4"/>
        <v>0</v>
      </c>
      <c r="Q37" s="53">
        <f t="shared" si="5"/>
        <v>0</v>
      </c>
      <c r="R37" s="54">
        <f t="shared" si="1"/>
        <v>0</v>
      </c>
      <c r="S37" s="23"/>
    </row>
    <row r="38" spans="1:21" x14ac:dyDescent="0.25">
      <c r="A38" s="22"/>
      <c r="B38" s="24">
        <v>30</v>
      </c>
      <c r="C38" s="48">
        <f>Electricity!C37</f>
        <v>0</v>
      </c>
      <c r="D38" s="49">
        <f>Electricity!D37</f>
        <v>0</v>
      </c>
      <c r="E38" s="82"/>
      <c r="F38" s="83"/>
      <c r="G38" s="51">
        <f t="shared" si="2"/>
        <v>0</v>
      </c>
      <c r="H38" s="50"/>
      <c r="I38" s="51"/>
      <c r="J38" s="51">
        <f t="shared" si="3"/>
        <v>0</v>
      </c>
      <c r="K38" s="50"/>
      <c r="L38" s="26"/>
      <c r="M38" s="27">
        <f t="shared" si="0"/>
        <v>0</v>
      </c>
      <c r="N38" s="50"/>
      <c r="O38" s="26"/>
      <c r="P38" s="52">
        <f t="shared" si="4"/>
        <v>0</v>
      </c>
      <c r="Q38" s="53">
        <f t="shared" si="5"/>
        <v>0</v>
      </c>
      <c r="R38" s="54">
        <f t="shared" si="1"/>
        <v>0</v>
      </c>
      <c r="S38" s="23"/>
    </row>
    <row r="39" spans="1:21" x14ac:dyDescent="0.25">
      <c r="A39" s="22"/>
      <c r="B39" s="24">
        <v>31</v>
      </c>
      <c r="C39" s="48">
        <f>Electricity!C38</f>
        <v>0</v>
      </c>
      <c r="D39" s="49">
        <f>Electricity!D38</f>
        <v>0</v>
      </c>
      <c r="E39" s="82"/>
      <c r="F39" s="83"/>
      <c r="G39" s="51">
        <f t="shared" si="2"/>
        <v>0</v>
      </c>
      <c r="H39" s="50"/>
      <c r="I39" s="51"/>
      <c r="J39" s="51">
        <f t="shared" si="3"/>
        <v>0</v>
      </c>
      <c r="K39" s="50"/>
      <c r="L39" s="26"/>
      <c r="M39" s="27">
        <f t="shared" si="0"/>
        <v>0</v>
      </c>
      <c r="N39" s="50"/>
      <c r="O39" s="26"/>
      <c r="P39" s="52">
        <f t="shared" si="4"/>
        <v>0</v>
      </c>
      <c r="Q39" s="53">
        <f t="shared" si="5"/>
        <v>0</v>
      </c>
      <c r="R39" s="54">
        <f t="shared" si="1"/>
        <v>0</v>
      </c>
      <c r="S39" s="23"/>
    </row>
    <row r="40" spans="1:21" s="12" customFormat="1" x14ac:dyDescent="0.25">
      <c r="C40" s="55">
        <f>SUM(C9:C39)</f>
        <v>0</v>
      </c>
      <c r="D40" s="55">
        <f>SUM(D9:D39)</f>
        <v>0</v>
      </c>
      <c r="E40" s="32"/>
      <c r="F40" s="32">
        <f>SUM(F9:F39)</f>
        <v>0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0</v>
      </c>
      <c r="P40" s="42"/>
      <c r="R40" s="95">
        <f>SUM(R9:R39)</f>
        <v>0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0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4" workbookViewId="0">
      <selection activeCell="F9" sqref="F9:F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43952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17</v>
      </c>
      <c r="C5" s="99" t="s">
        <v>18</v>
      </c>
      <c r="D5" s="99" t="s">
        <v>13</v>
      </c>
      <c r="E5" s="99" t="s">
        <v>46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47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/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0</v>
      </c>
      <c r="D9" s="25">
        <f>Gas!D9</f>
        <v>0</v>
      </c>
      <c r="E9" s="72"/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0</v>
      </c>
      <c r="D10" s="25">
        <f>Gas!D10</f>
        <v>0</v>
      </c>
      <c r="E10" s="72"/>
      <c r="F10" s="74">
        <v>0</v>
      </c>
      <c r="G10" s="73">
        <f>F10*$G$8</f>
        <v>0</v>
      </c>
      <c r="H10" s="87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0</v>
      </c>
      <c r="D11" s="25">
        <f>Gas!D11</f>
        <v>0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0</v>
      </c>
      <c r="D12" s="25">
        <f>Gas!D12</f>
        <v>0</v>
      </c>
      <c r="E12" s="72"/>
      <c r="F12" s="74">
        <v>259</v>
      </c>
      <c r="G12" s="73">
        <f t="shared" si="0"/>
        <v>2771300</v>
      </c>
      <c r="H12" s="87">
        <f t="shared" si="1"/>
        <v>192.70565329253876</v>
      </c>
      <c r="I12" s="23"/>
    </row>
    <row r="13" spans="1:9" x14ac:dyDescent="0.25">
      <c r="A13" s="71"/>
      <c r="B13" s="24">
        <v>5</v>
      </c>
      <c r="C13" s="25">
        <f>Gas!C13</f>
        <v>0</v>
      </c>
      <c r="D13" s="25">
        <f>Gas!D13</f>
        <v>0</v>
      </c>
      <c r="E13" s="72"/>
      <c r="F13" s="74">
        <v>0</v>
      </c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0</v>
      </c>
      <c r="D14" s="25">
        <f>Gas!D14</f>
        <v>0</v>
      </c>
      <c r="E14" s="72"/>
      <c r="F14" s="74">
        <v>0</v>
      </c>
      <c r="G14" s="73">
        <f t="shared" si="0"/>
        <v>0</v>
      </c>
      <c r="H14" s="87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0</v>
      </c>
      <c r="D15" s="25">
        <f>Gas!D15</f>
        <v>0</v>
      </c>
      <c r="E15" s="72"/>
      <c r="F15" s="74">
        <v>0</v>
      </c>
      <c r="G15" s="73">
        <f t="shared" si="0"/>
        <v>0</v>
      </c>
      <c r="H15" s="87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0</v>
      </c>
      <c r="D16" s="25">
        <f>Gas!D16</f>
        <v>0</v>
      </c>
      <c r="E16" s="72"/>
      <c r="F16" s="74">
        <v>0</v>
      </c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0</v>
      </c>
      <c r="D17" s="25">
        <f>Gas!D17</f>
        <v>0</v>
      </c>
      <c r="E17" s="72"/>
      <c r="F17" s="74">
        <v>0</v>
      </c>
      <c r="G17" s="73">
        <f t="shared" si="0"/>
        <v>0</v>
      </c>
      <c r="H17" s="87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0</v>
      </c>
      <c r="D18" s="25">
        <f>Gas!D18</f>
        <v>0</v>
      </c>
      <c r="E18" s="72"/>
      <c r="F18" s="74">
        <v>0</v>
      </c>
      <c r="G18" s="73">
        <f t="shared" si="0"/>
        <v>0</v>
      </c>
      <c r="H18" s="87">
        <f t="shared" si="1"/>
        <v>0</v>
      </c>
      <c r="I18" s="23"/>
    </row>
    <row r="19" spans="1:9" x14ac:dyDescent="0.25">
      <c r="A19" s="71"/>
      <c r="B19" s="24">
        <v>11</v>
      </c>
      <c r="C19" s="25">
        <f>Gas!C19</f>
        <v>0</v>
      </c>
      <c r="D19" s="25">
        <f>Gas!D19</f>
        <v>0</v>
      </c>
      <c r="E19" s="72"/>
      <c r="F19" s="74">
        <v>48</v>
      </c>
      <c r="G19" s="73">
        <f t="shared" si="0"/>
        <v>513600</v>
      </c>
      <c r="H19" s="87">
        <f t="shared" si="1"/>
        <v>35.713789027188653</v>
      </c>
      <c r="I19" s="23"/>
    </row>
    <row r="20" spans="1:9" x14ac:dyDescent="0.25">
      <c r="A20" s="71"/>
      <c r="B20" s="24">
        <v>12</v>
      </c>
      <c r="C20" s="25">
        <f>Gas!C20</f>
        <v>0</v>
      </c>
      <c r="D20" s="25">
        <f>Gas!D20</f>
        <v>0</v>
      </c>
      <c r="E20" s="72"/>
      <c r="F20" s="74">
        <v>0</v>
      </c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0</v>
      </c>
      <c r="D21" s="25">
        <f>Gas!D21</f>
        <v>0</v>
      </c>
      <c r="E21" s="72"/>
      <c r="F21" s="74">
        <v>0</v>
      </c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0</v>
      </c>
      <c r="D22" s="25">
        <f>Gas!D22</f>
        <v>0</v>
      </c>
      <c r="E22" s="72"/>
      <c r="F22" s="74">
        <v>0</v>
      </c>
      <c r="G22" s="73">
        <f t="shared" si="0"/>
        <v>0</v>
      </c>
      <c r="H22" s="87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0</v>
      </c>
      <c r="D23" s="25">
        <f>Gas!D23</f>
        <v>0</v>
      </c>
      <c r="E23" s="72"/>
      <c r="F23" s="74">
        <v>0</v>
      </c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0</v>
      </c>
      <c r="D24" s="25">
        <f>Gas!D24</f>
        <v>0</v>
      </c>
      <c r="E24" s="72"/>
      <c r="F24" s="74">
        <v>0</v>
      </c>
      <c r="G24" s="73">
        <f t="shared" si="0"/>
        <v>0</v>
      </c>
      <c r="H24" s="87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0</v>
      </c>
      <c r="D25" s="25">
        <f>Gas!D25</f>
        <v>0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0</v>
      </c>
      <c r="D26" s="25">
        <f>Gas!D26</f>
        <v>0</v>
      </c>
      <c r="E26" s="72"/>
      <c r="F26" s="74">
        <v>48</v>
      </c>
      <c r="G26" s="73">
        <f t="shared" si="0"/>
        <v>513600</v>
      </c>
      <c r="H26" s="87">
        <f t="shared" si="1"/>
        <v>35.713789027188653</v>
      </c>
      <c r="I26" s="23"/>
    </row>
    <row r="27" spans="1:9" x14ac:dyDescent="0.25">
      <c r="A27" s="71"/>
      <c r="B27" s="24">
        <v>19</v>
      </c>
      <c r="C27" s="25">
        <f>Gas!C27</f>
        <v>0</v>
      </c>
      <c r="D27" s="25">
        <f>Gas!D27</f>
        <v>0</v>
      </c>
      <c r="E27" s="72"/>
      <c r="F27" s="74">
        <v>0</v>
      </c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0</v>
      </c>
      <c r="D28" s="25">
        <f>Gas!D28</f>
        <v>0</v>
      </c>
      <c r="E28" s="72"/>
      <c r="F28" s="74">
        <v>0</v>
      </c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0</v>
      </c>
      <c r="D29" s="25">
        <f>Gas!D29</f>
        <v>0</v>
      </c>
      <c r="E29" s="72"/>
      <c r="F29" s="74">
        <v>0</v>
      </c>
      <c r="G29" s="73">
        <f t="shared" si="0"/>
        <v>0</v>
      </c>
      <c r="H29" s="87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0</v>
      </c>
      <c r="D30" s="25">
        <f>Gas!D30</f>
        <v>0</v>
      </c>
      <c r="E30" s="72"/>
      <c r="F30" s="74">
        <v>0</v>
      </c>
      <c r="G30" s="73">
        <f t="shared" si="0"/>
        <v>0</v>
      </c>
      <c r="H30" s="87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0</v>
      </c>
      <c r="D31" s="25">
        <f>Gas!D31</f>
        <v>0</v>
      </c>
      <c r="E31" s="72"/>
      <c r="F31" s="74">
        <v>0</v>
      </c>
      <c r="G31" s="73">
        <f t="shared" si="0"/>
        <v>0</v>
      </c>
      <c r="H31" s="87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0</v>
      </c>
      <c r="D32" s="25">
        <f>Gas!D32</f>
        <v>0</v>
      </c>
      <c r="E32" s="72"/>
      <c r="F32" s="74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0</v>
      </c>
      <c r="D33" s="25">
        <f>Gas!D33</f>
        <v>0</v>
      </c>
      <c r="E33" s="72"/>
      <c r="F33" s="74">
        <v>53</v>
      </c>
      <c r="G33" s="73">
        <f t="shared" si="0"/>
        <v>567100</v>
      </c>
      <c r="H33" s="87">
        <f t="shared" si="1"/>
        <v>39.43397538418747</v>
      </c>
      <c r="I33" s="23"/>
    </row>
    <row r="34" spans="1:11" x14ac:dyDescent="0.25">
      <c r="A34" s="71"/>
      <c r="B34" s="24">
        <v>26</v>
      </c>
      <c r="C34" s="25">
        <f>Gas!C34</f>
        <v>0</v>
      </c>
      <c r="D34" s="25">
        <f>Gas!D34</f>
        <v>0</v>
      </c>
      <c r="E34" s="72"/>
      <c r="F34" s="74">
        <v>0</v>
      </c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0</v>
      </c>
      <c r="D35" s="25">
        <f>Gas!D35</f>
        <v>0</v>
      </c>
      <c r="E35" s="72"/>
      <c r="F35" s="74">
        <v>0</v>
      </c>
      <c r="G35" s="73">
        <f t="shared" si="0"/>
        <v>0</v>
      </c>
      <c r="H35" s="87">
        <f t="shared" si="1"/>
        <v>0</v>
      </c>
      <c r="I35" s="23"/>
    </row>
    <row r="36" spans="1:11" x14ac:dyDescent="0.25">
      <c r="A36" s="71"/>
      <c r="B36" s="24">
        <v>28</v>
      </c>
      <c r="C36" s="25">
        <f>Gas!C36</f>
        <v>0</v>
      </c>
      <c r="D36" s="25">
        <f>Gas!D36</f>
        <v>0</v>
      </c>
      <c r="E36" s="72"/>
      <c r="F36" s="74">
        <v>0</v>
      </c>
      <c r="G36" s="73">
        <f t="shared" si="0"/>
        <v>0</v>
      </c>
      <c r="H36" s="87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0</v>
      </c>
      <c r="D37" s="25">
        <f>Gas!D37</f>
        <v>0</v>
      </c>
      <c r="E37" s="72"/>
      <c r="F37" s="74">
        <v>0</v>
      </c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0</v>
      </c>
      <c r="D38" s="25">
        <f>Gas!D38</f>
        <v>0</v>
      </c>
      <c r="E38" s="72"/>
      <c r="F38" s="74">
        <v>0</v>
      </c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>
        <f>Gas!C39</f>
        <v>0</v>
      </c>
      <c r="D39" s="25">
        <f>Gas!D39</f>
        <v>0</v>
      </c>
      <c r="E39" s="72"/>
      <c r="F39" s="74"/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0</v>
      </c>
      <c r="D40" s="32">
        <f>SUM(D9:D39)</f>
        <v>0</v>
      </c>
      <c r="E40" s="32"/>
      <c r="F40" s="32">
        <f>SUM(F9:F39)</f>
        <v>408</v>
      </c>
      <c r="G40" s="32"/>
      <c r="H40" s="75">
        <f>SUM(H9:H39)</f>
        <v>303.56720673110357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workbookViewId="0">
      <selection activeCell="P16" sqref="P16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43952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49</v>
      </c>
      <c r="D6" s="99" t="s">
        <v>13</v>
      </c>
      <c r="E6" s="105" t="s">
        <v>50</v>
      </c>
      <c r="F6" s="105"/>
      <c r="G6" s="107" t="s">
        <v>51</v>
      </c>
      <c r="H6" s="107"/>
      <c r="I6" s="107"/>
      <c r="J6" s="107"/>
      <c r="K6" s="99" t="s">
        <v>52</v>
      </c>
      <c r="L6" s="99" t="s">
        <v>53</v>
      </c>
      <c r="M6" s="20"/>
    </row>
    <row r="7" spans="1:13" s="21" customFormat="1" x14ac:dyDescent="0.25">
      <c r="A7" s="19"/>
      <c r="B7" s="99"/>
      <c r="C7" s="99"/>
      <c r="D7" s="99"/>
      <c r="E7" s="99" t="s">
        <v>54</v>
      </c>
      <c r="F7" s="99" t="s">
        <v>55</v>
      </c>
      <c r="G7" s="99" t="s">
        <v>54</v>
      </c>
      <c r="H7" s="99" t="s">
        <v>56</v>
      </c>
      <c r="I7" s="99" t="s">
        <v>54</v>
      </c>
      <c r="J7" s="99" t="s">
        <v>57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0</v>
      </c>
      <c r="D9" s="25">
        <f>'Fuel Diesel'!D9</f>
        <v>0</v>
      </c>
      <c r="E9" s="26"/>
      <c r="F9" s="28">
        <f>E9*13582</f>
        <v>0</v>
      </c>
      <c r="G9" s="26">
        <v>163</v>
      </c>
      <c r="H9" s="28">
        <f>G9*4000</f>
        <v>652000</v>
      </c>
      <c r="I9" s="26">
        <v>47</v>
      </c>
      <c r="J9" s="28">
        <f>I9*4000</f>
        <v>188000</v>
      </c>
      <c r="K9" s="26">
        <f t="shared" ref="K9:K39" si="0">F9+H9+J9</f>
        <v>840000</v>
      </c>
      <c r="L9" s="79">
        <f>K9/14381</f>
        <v>58.41040261456088</v>
      </c>
      <c r="M9" s="23"/>
    </row>
    <row r="10" spans="1:13" x14ac:dyDescent="0.25">
      <c r="A10" s="22"/>
      <c r="B10" s="24">
        <v>2</v>
      </c>
      <c r="C10" s="25">
        <f>'Fuel Diesel'!C10</f>
        <v>0</v>
      </c>
      <c r="D10" s="25">
        <f>'Fuel Diesel'!D10</f>
        <v>0</v>
      </c>
      <c r="E10" s="26"/>
      <c r="F10" s="28">
        <f>E10*13582</f>
        <v>0</v>
      </c>
      <c r="G10" s="26">
        <v>130</v>
      </c>
      <c r="H10" s="28">
        <f>G10*4000</f>
        <v>520000</v>
      </c>
      <c r="I10" s="26">
        <v>46</v>
      </c>
      <c r="J10" s="28">
        <f>I10*4000</f>
        <v>184000</v>
      </c>
      <c r="K10" s="26">
        <f t="shared" si="0"/>
        <v>704000</v>
      </c>
      <c r="L10" s="79">
        <f t="shared" ref="L10:L39" si="1">K10/14381</f>
        <v>48.953480286489118</v>
      </c>
      <c r="M10" s="23"/>
    </row>
    <row r="11" spans="1:13" x14ac:dyDescent="0.25">
      <c r="A11" s="22"/>
      <c r="B11" s="24">
        <v>3</v>
      </c>
      <c r="C11" s="25">
        <f>'Fuel Diesel'!C11</f>
        <v>0</v>
      </c>
      <c r="D11" s="25">
        <f>'Fuel Diesel'!D11</f>
        <v>0</v>
      </c>
      <c r="E11" s="26"/>
      <c r="F11" s="28">
        <f t="shared" ref="F11:F39" si="2">E11*13582</f>
        <v>0</v>
      </c>
      <c r="G11" s="26">
        <v>138</v>
      </c>
      <c r="H11" s="28">
        <f t="shared" ref="H11:H39" si="3">G11*4000</f>
        <v>552000</v>
      </c>
      <c r="I11" s="26">
        <v>0</v>
      </c>
      <c r="J11" s="28">
        <f t="shared" ref="J11:J39" si="4">I11*4000</f>
        <v>0</v>
      </c>
      <c r="K11" s="26">
        <f t="shared" si="0"/>
        <v>552000</v>
      </c>
      <c r="L11" s="79">
        <f t="shared" si="1"/>
        <v>38.383978860997146</v>
      </c>
      <c r="M11" s="23"/>
    </row>
    <row r="12" spans="1:13" x14ac:dyDescent="0.25">
      <c r="A12" s="22"/>
      <c r="B12" s="24">
        <v>4</v>
      </c>
      <c r="C12" s="25">
        <f>'Fuel Diesel'!C12</f>
        <v>0</v>
      </c>
      <c r="D12" s="25">
        <f>'Fuel Diesel'!D12</f>
        <v>0</v>
      </c>
      <c r="E12" s="26"/>
      <c r="F12" s="28">
        <f t="shared" si="2"/>
        <v>0</v>
      </c>
      <c r="G12" s="26">
        <v>133</v>
      </c>
      <c r="H12" s="28">
        <f t="shared" si="3"/>
        <v>532000</v>
      </c>
      <c r="I12" s="26">
        <v>0</v>
      </c>
      <c r="J12" s="28">
        <f t="shared" si="4"/>
        <v>0</v>
      </c>
      <c r="K12" s="26">
        <f t="shared" si="0"/>
        <v>532000</v>
      </c>
      <c r="L12" s="79">
        <f t="shared" si="1"/>
        <v>36.993254989221889</v>
      </c>
      <c r="M12" s="23"/>
    </row>
    <row r="13" spans="1:13" x14ac:dyDescent="0.25">
      <c r="A13" s="22"/>
      <c r="B13" s="24">
        <v>5</v>
      </c>
      <c r="C13" s="25">
        <f>'Fuel Diesel'!C13</f>
        <v>0</v>
      </c>
      <c r="D13" s="25">
        <f>'Fuel Diesel'!D13</f>
        <v>0</v>
      </c>
      <c r="E13" s="26"/>
      <c r="F13" s="28">
        <f t="shared" si="2"/>
        <v>0</v>
      </c>
      <c r="G13" s="26">
        <v>154</v>
      </c>
      <c r="H13" s="28">
        <f t="shared" si="3"/>
        <v>616000</v>
      </c>
      <c r="I13" s="26">
        <v>31</v>
      </c>
      <c r="J13" s="28">
        <f t="shared" si="4"/>
        <v>124000</v>
      </c>
      <c r="K13" s="26">
        <f t="shared" si="0"/>
        <v>740000</v>
      </c>
      <c r="L13" s="79">
        <f t="shared" si="1"/>
        <v>51.456783255684584</v>
      </c>
      <c r="M13" s="23"/>
    </row>
    <row r="14" spans="1:13" x14ac:dyDescent="0.25">
      <c r="A14" s="22"/>
      <c r="B14" s="24">
        <v>6</v>
      </c>
      <c r="C14" s="25">
        <f>'Fuel Diesel'!C14</f>
        <v>0</v>
      </c>
      <c r="D14" s="25">
        <f>'Fuel Diesel'!D14</f>
        <v>0</v>
      </c>
      <c r="E14" s="26"/>
      <c r="F14" s="28">
        <f t="shared" si="2"/>
        <v>0</v>
      </c>
      <c r="G14" s="26">
        <v>143</v>
      </c>
      <c r="H14" s="28">
        <f t="shared" si="3"/>
        <v>572000</v>
      </c>
      <c r="I14" s="26">
        <v>77</v>
      </c>
      <c r="J14" s="28">
        <f t="shared" si="4"/>
        <v>308000</v>
      </c>
      <c r="K14" s="26">
        <f t="shared" si="0"/>
        <v>880000</v>
      </c>
      <c r="L14" s="79">
        <f t="shared" si="1"/>
        <v>61.191850358111395</v>
      </c>
      <c r="M14" s="23"/>
    </row>
    <row r="15" spans="1:13" x14ac:dyDescent="0.25">
      <c r="A15" s="22"/>
      <c r="B15" s="24">
        <v>7</v>
      </c>
      <c r="C15" s="25">
        <f>'Fuel Diesel'!C15</f>
        <v>0</v>
      </c>
      <c r="D15" s="25">
        <f>'Fuel Diesel'!D15</f>
        <v>0</v>
      </c>
      <c r="E15" s="26"/>
      <c r="F15" s="28">
        <f t="shared" si="2"/>
        <v>0</v>
      </c>
      <c r="G15" s="26">
        <v>126</v>
      </c>
      <c r="H15" s="28">
        <f t="shared" si="3"/>
        <v>504000</v>
      </c>
      <c r="I15" s="26">
        <v>34</v>
      </c>
      <c r="J15" s="28">
        <f t="shared" si="4"/>
        <v>136000</v>
      </c>
      <c r="K15" s="26">
        <f t="shared" si="0"/>
        <v>640000</v>
      </c>
      <c r="L15" s="79">
        <f t="shared" si="1"/>
        <v>44.503163896808289</v>
      </c>
      <c r="M15" s="23"/>
    </row>
    <row r="16" spans="1:13" x14ac:dyDescent="0.25">
      <c r="A16" s="22"/>
      <c r="B16" s="24">
        <v>8</v>
      </c>
      <c r="C16" s="25">
        <f>'Fuel Diesel'!C16</f>
        <v>0</v>
      </c>
      <c r="D16" s="25">
        <f>'Fuel Diesel'!D16</f>
        <v>0</v>
      </c>
      <c r="E16" s="26"/>
      <c r="F16" s="28">
        <f t="shared" si="2"/>
        <v>0</v>
      </c>
      <c r="G16" s="26">
        <v>168</v>
      </c>
      <c r="H16" s="28">
        <f t="shared" si="3"/>
        <v>672000</v>
      </c>
      <c r="I16" s="26">
        <v>0</v>
      </c>
      <c r="J16" s="28">
        <f t="shared" si="4"/>
        <v>0</v>
      </c>
      <c r="K16" s="26">
        <f t="shared" si="0"/>
        <v>672000</v>
      </c>
      <c r="L16" s="79">
        <f t="shared" si="1"/>
        <v>46.7283220916487</v>
      </c>
      <c r="M16" s="23"/>
    </row>
    <row r="17" spans="1:13" x14ac:dyDescent="0.25">
      <c r="A17" s="22"/>
      <c r="B17" s="24">
        <v>9</v>
      </c>
      <c r="C17" s="25">
        <f>'Fuel Diesel'!C17</f>
        <v>0</v>
      </c>
      <c r="D17" s="25">
        <f>'Fuel Diesel'!D17</f>
        <v>0</v>
      </c>
      <c r="E17" s="26"/>
      <c r="F17" s="28">
        <f t="shared" si="2"/>
        <v>0</v>
      </c>
      <c r="G17" s="26">
        <v>181</v>
      </c>
      <c r="H17" s="28">
        <f t="shared" si="3"/>
        <v>724000</v>
      </c>
      <c r="I17" s="26">
        <v>0</v>
      </c>
      <c r="J17" s="28">
        <f t="shared" si="4"/>
        <v>0</v>
      </c>
      <c r="K17" s="26">
        <f t="shared" si="0"/>
        <v>724000</v>
      </c>
      <c r="L17" s="79">
        <f t="shared" si="1"/>
        <v>50.344204158264375</v>
      </c>
      <c r="M17" s="23"/>
    </row>
    <row r="18" spans="1:13" x14ac:dyDescent="0.25">
      <c r="A18" s="22"/>
      <c r="B18" s="24">
        <v>10</v>
      </c>
      <c r="C18" s="25">
        <f>'Fuel Diesel'!C18</f>
        <v>0</v>
      </c>
      <c r="D18" s="25">
        <f>'Fuel Diesel'!D18</f>
        <v>0</v>
      </c>
      <c r="E18" s="26"/>
      <c r="F18" s="28">
        <f t="shared" si="2"/>
        <v>0</v>
      </c>
      <c r="G18" s="26">
        <v>179</v>
      </c>
      <c r="H18" s="28">
        <f t="shared" si="3"/>
        <v>716000</v>
      </c>
      <c r="I18" s="26">
        <v>0</v>
      </c>
      <c r="J18" s="28">
        <f t="shared" si="4"/>
        <v>0</v>
      </c>
      <c r="K18" s="26">
        <f t="shared" si="0"/>
        <v>716000</v>
      </c>
      <c r="L18" s="79">
        <f t="shared" si="1"/>
        <v>49.787914609554271</v>
      </c>
      <c r="M18" s="23"/>
    </row>
    <row r="19" spans="1:13" x14ac:dyDescent="0.25">
      <c r="A19" s="22"/>
      <c r="B19" s="24">
        <v>11</v>
      </c>
      <c r="C19" s="25">
        <f>'Fuel Diesel'!C19</f>
        <v>0</v>
      </c>
      <c r="D19" s="25">
        <f>'Fuel Diesel'!D19</f>
        <v>0</v>
      </c>
      <c r="E19" s="26"/>
      <c r="F19" s="28">
        <f t="shared" si="2"/>
        <v>0</v>
      </c>
      <c r="G19" s="26">
        <v>170</v>
      </c>
      <c r="H19" s="28">
        <f t="shared" si="3"/>
        <v>680000</v>
      </c>
      <c r="I19" s="26">
        <v>0</v>
      </c>
      <c r="J19" s="28">
        <f t="shared" si="4"/>
        <v>0</v>
      </c>
      <c r="K19" s="26">
        <f t="shared" si="0"/>
        <v>680000</v>
      </c>
      <c r="L19" s="79">
        <f t="shared" si="1"/>
        <v>47.284611640358804</v>
      </c>
      <c r="M19" s="23"/>
    </row>
    <row r="20" spans="1:13" x14ac:dyDescent="0.25">
      <c r="A20" s="22"/>
      <c r="B20" s="24">
        <v>12</v>
      </c>
      <c r="C20" s="25">
        <f>'Fuel Diesel'!C20</f>
        <v>0</v>
      </c>
      <c r="D20" s="25">
        <f>'Fuel Diesel'!D20</f>
        <v>0</v>
      </c>
      <c r="E20" s="26"/>
      <c r="F20" s="28">
        <f t="shared" si="2"/>
        <v>0</v>
      </c>
      <c r="G20" s="26">
        <v>161</v>
      </c>
      <c r="H20" s="28">
        <f>G20*4000</f>
        <v>644000</v>
      </c>
      <c r="I20" s="26">
        <v>0</v>
      </c>
      <c r="J20" s="28">
        <f t="shared" si="4"/>
        <v>0</v>
      </c>
      <c r="K20" s="26">
        <f t="shared" si="0"/>
        <v>644000</v>
      </c>
      <c r="L20" s="79">
        <f t="shared" si="1"/>
        <v>44.781308671163337</v>
      </c>
      <c r="M20" s="23"/>
    </row>
    <row r="21" spans="1:13" x14ac:dyDescent="0.25">
      <c r="A21" s="22"/>
      <c r="B21" s="24">
        <v>13</v>
      </c>
      <c r="C21" s="25">
        <f>'Fuel Diesel'!C21</f>
        <v>0</v>
      </c>
      <c r="D21" s="25">
        <f>'Fuel Diesel'!D21</f>
        <v>0</v>
      </c>
      <c r="E21" s="26"/>
      <c r="F21" s="28">
        <f t="shared" si="2"/>
        <v>0</v>
      </c>
      <c r="G21" s="26">
        <v>181</v>
      </c>
      <c r="H21" s="28">
        <f t="shared" si="3"/>
        <v>724000</v>
      </c>
      <c r="I21" s="26">
        <v>0</v>
      </c>
      <c r="J21" s="28">
        <f t="shared" si="4"/>
        <v>0</v>
      </c>
      <c r="K21" s="26">
        <f t="shared" si="0"/>
        <v>724000</v>
      </c>
      <c r="L21" s="79">
        <f t="shared" si="1"/>
        <v>50.344204158264375</v>
      </c>
      <c r="M21" s="23"/>
    </row>
    <row r="22" spans="1:13" x14ac:dyDescent="0.25">
      <c r="A22" s="22"/>
      <c r="B22" s="24">
        <v>14</v>
      </c>
      <c r="C22" s="25">
        <f>'Fuel Diesel'!C22</f>
        <v>0</v>
      </c>
      <c r="D22" s="25">
        <f>'Fuel Diesel'!D22</f>
        <v>0</v>
      </c>
      <c r="E22" s="26"/>
      <c r="F22" s="28">
        <f t="shared" si="2"/>
        <v>0</v>
      </c>
      <c r="G22" s="26">
        <v>161</v>
      </c>
      <c r="H22" s="28">
        <f t="shared" si="3"/>
        <v>644000</v>
      </c>
      <c r="I22" s="26">
        <v>0</v>
      </c>
      <c r="J22" s="28">
        <f t="shared" si="4"/>
        <v>0</v>
      </c>
      <c r="K22" s="26">
        <f t="shared" si="0"/>
        <v>644000</v>
      </c>
      <c r="L22" s="79">
        <f t="shared" si="1"/>
        <v>44.781308671163337</v>
      </c>
      <c r="M22" s="23"/>
    </row>
    <row r="23" spans="1:13" x14ac:dyDescent="0.25">
      <c r="A23" s="22"/>
      <c r="B23" s="24">
        <v>15</v>
      </c>
      <c r="C23" s="25">
        <f>'Fuel Diesel'!C23</f>
        <v>0</v>
      </c>
      <c r="D23" s="25">
        <f>'Fuel Diesel'!D23</f>
        <v>0</v>
      </c>
      <c r="E23" s="26"/>
      <c r="F23" s="28">
        <f t="shared" si="2"/>
        <v>0</v>
      </c>
      <c r="G23" s="26">
        <v>170</v>
      </c>
      <c r="H23" s="28">
        <f t="shared" si="3"/>
        <v>680000</v>
      </c>
      <c r="I23" s="26">
        <v>0</v>
      </c>
      <c r="J23" s="28">
        <f t="shared" si="4"/>
        <v>0</v>
      </c>
      <c r="K23" s="26">
        <f t="shared" si="0"/>
        <v>680000</v>
      </c>
      <c r="L23" s="79">
        <f t="shared" si="1"/>
        <v>47.284611640358804</v>
      </c>
      <c r="M23" s="23"/>
    </row>
    <row r="24" spans="1:13" x14ac:dyDescent="0.25">
      <c r="A24" s="22"/>
      <c r="B24" s="24">
        <v>16</v>
      </c>
      <c r="C24" s="25">
        <f>'Fuel Diesel'!C24</f>
        <v>0</v>
      </c>
      <c r="D24" s="25">
        <f>'Fuel Diesel'!D24</f>
        <v>0</v>
      </c>
      <c r="E24" s="26"/>
      <c r="F24" s="28">
        <f t="shared" si="2"/>
        <v>0</v>
      </c>
      <c r="G24" s="26">
        <v>165</v>
      </c>
      <c r="H24" s="28">
        <f t="shared" si="3"/>
        <v>660000</v>
      </c>
      <c r="I24" s="26">
        <v>0</v>
      </c>
      <c r="J24" s="28">
        <f t="shared" si="4"/>
        <v>0</v>
      </c>
      <c r="K24" s="26">
        <f t="shared" si="0"/>
        <v>660000</v>
      </c>
      <c r="L24" s="79">
        <f t="shared" si="1"/>
        <v>45.893887768583546</v>
      </c>
      <c r="M24" s="23"/>
    </row>
    <row r="25" spans="1:13" x14ac:dyDescent="0.25">
      <c r="A25" s="22"/>
      <c r="B25" s="24">
        <v>17</v>
      </c>
      <c r="C25" s="25">
        <f>'Fuel Diesel'!C25</f>
        <v>0</v>
      </c>
      <c r="D25" s="25">
        <f>'Fuel Diesel'!D25</f>
        <v>0</v>
      </c>
      <c r="E25" s="26"/>
      <c r="F25" s="28">
        <f t="shared" si="2"/>
        <v>0</v>
      </c>
      <c r="G25" s="26">
        <v>151</v>
      </c>
      <c r="H25" s="28">
        <f t="shared" si="3"/>
        <v>604000</v>
      </c>
      <c r="I25" s="26">
        <v>0</v>
      </c>
      <c r="J25" s="28">
        <f t="shared" si="4"/>
        <v>0</v>
      </c>
      <c r="K25" s="26">
        <f t="shared" si="0"/>
        <v>604000</v>
      </c>
      <c r="L25" s="79">
        <f t="shared" si="1"/>
        <v>41.999860927612822</v>
      </c>
      <c r="M25" s="23"/>
    </row>
    <row r="26" spans="1:13" x14ac:dyDescent="0.25">
      <c r="A26" s="22"/>
      <c r="B26" s="24">
        <v>18</v>
      </c>
      <c r="C26" s="25">
        <f>'Fuel Diesel'!C26</f>
        <v>0</v>
      </c>
      <c r="D26" s="25">
        <f>'Fuel Diesel'!D26</f>
        <v>0</v>
      </c>
      <c r="E26" s="26"/>
      <c r="F26" s="28">
        <f t="shared" si="2"/>
        <v>0</v>
      </c>
      <c r="G26" s="26">
        <v>162</v>
      </c>
      <c r="H26" s="28">
        <f t="shared" si="3"/>
        <v>648000</v>
      </c>
      <c r="I26" s="26">
        <v>0</v>
      </c>
      <c r="J26" s="28">
        <f t="shared" si="4"/>
        <v>0</v>
      </c>
      <c r="K26" s="26">
        <f t="shared" si="0"/>
        <v>648000</v>
      </c>
      <c r="L26" s="79">
        <f t="shared" si="1"/>
        <v>45.059453445518393</v>
      </c>
      <c r="M26" s="23"/>
    </row>
    <row r="27" spans="1:13" x14ac:dyDescent="0.25">
      <c r="A27" s="22"/>
      <c r="B27" s="24">
        <v>19</v>
      </c>
      <c r="C27" s="25">
        <f>'Fuel Diesel'!C27</f>
        <v>0</v>
      </c>
      <c r="D27" s="25">
        <f>'Fuel Diesel'!D27</f>
        <v>0</v>
      </c>
      <c r="E27" s="26"/>
      <c r="F27" s="28">
        <f t="shared" si="2"/>
        <v>0</v>
      </c>
      <c r="G27" s="26">
        <v>181</v>
      </c>
      <c r="H27" s="28">
        <f t="shared" si="3"/>
        <v>724000</v>
      </c>
      <c r="I27" s="26">
        <v>0</v>
      </c>
      <c r="J27" s="28">
        <f t="shared" si="4"/>
        <v>0</v>
      </c>
      <c r="K27" s="26">
        <f t="shared" si="0"/>
        <v>724000</v>
      </c>
      <c r="L27" s="79">
        <f t="shared" si="1"/>
        <v>50.344204158264375</v>
      </c>
      <c r="M27" s="23"/>
    </row>
    <row r="28" spans="1:13" x14ac:dyDescent="0.25">
      <c r="A28" s="22"/>
      <c r="B28" s="24">
        <v>20</v>
      </c>
      <c r="C28" s="25">
        <f>'Fuel Diesel'!C28</f>
        <v>0</v>
      </c>
      <c r="D28" s="25">
        <f>'Fuel Diesel'!D28</f>
        <v>0</v>
      </c>
      <c r="E28" s="26"/>
      <c r="F28" s="28">
        <f t="shared" si="2"/>
        <v>0</v>
      </c>
      <c r="G28" s="26">
        <v>157</v>
      </c>
      <c r="H28" s="28">
        <f t="shared" si="3"/>
        <v>628000</v>
      </c>
      <c r="I28" s="26">
        <v>0</v>
      </c>
      <c r="J28" s="28">
        <f t="shared" si="4"/>
        <v>0</v>
      </c>
      <c r="K28" s="26">
        <f t="shared" si="0"/>
        <v>628000</v>
      </c>
      <c r="L28" s="79">
        <f t="shared" si="1"/>
        <v>43.668729573743136</v>
      </c>
      <c r="M28" s="23"/>
    </row>
    <row r="29" spans="1:13" x14ac:dyDescent="0.25">
      <c r="A29" s="22"/>
      <c r="B29" s="24">
        <v>21</v>
      </c>
      <c r="C29" s="25">
        <f>'Fuel Diesel'!C29</f>
        <v>0</v>
      </c>
      <c r="D29" s="25">
        <f>'Fuel Diesel'!D29</f>
        <v>0</v>
      </c>
      <c r="E29" s="26"/>
      <c r="F29" s="28">
        <f t="shared" si="2"/>
        <v>0</v>
      </c>
      <c r="G29" s="26">
        <v>155</v>
      </c>
      <c r="H29" s="28">
        <f t="shared" si="3"/>
        <v>620000</v>
      </c>
      <c r="I29" s="26">
        <v>0</v>
      </c>
      <c r="J29" s="28">
        <f t="shared" si="4"/>
        <v>0</v>
      </c>
      <c r="K29" s="26">
        <f t="shared" si="0"/>
        <v>620000</v>
      </c>
      <c r="L29" s="79">
        <f t="shared" si="1"/>
        <v>43.112440025033031</v>
      </c>
      <c r="M29" s="23"/>
    </row>
    <row r="30" spans="1:13" x14ac:dyDescent="0.25">
      <c r="A30" s="22"/>
      <c r="B30" s="24">
        <v>22</v>
      </c>
      <c r="C30" s="25">
        <f>'Fuel Diesel'!C30</f>
        <v>0</v>
      </c>
      <c r="D30" s="25">
        <f>'Fuel Diesel'!D30</f>
        <v>0</v>
      </c>
      <c r="E30" s="26"/>
      <c r="F30" s="28">
        <f t="shared" si="2"/>
        <v>0</v>
      </c>
      <c r="G30" s="26">
        <v>170</v>
      </c>
      <c r="H30" s="28">
        <f t="shared" si="3"/>
        <v>680000</v>
      </c>
      <c r="I30" s="26">
        <v>0</v>
      </c>
      <c r="J30" s="28">
        <f t="shared" si="4"/>
        <v>0</v>
      </c>
      <c r="K30" s="26">
        <f t="shared" si="0"/>
        <v>680000</v>
      </c>
      <c r="L30" s="79">
        <f t="shared" si="1"/>
        <v>47.284611640358804</v>
      </c>
      <c r="M30" s="23"/>
    </row>
    <row r="31" spans="1:13" x14ac:dyDescent="0.25">
      <c r="A31" s="22"/>
      <c r="B31" s="24">
        <v>23</v>
      </c>
      <c r="C31" s="25">
        <f>'Fuel Diesel'!C31</f>
        <v>0</v>
      </c>
      <c r="D31" s="25">
        <f>'Fuel Diesel'!D31</f>
        <v>0</v>
      </c>
      <c r="E31" s="26"/>
      <c r="F31" s="28">
        <f t="shared" si="2"/>
        <v>0</v>
      </c>
      <c r="G31" s="26">
        <v>154</v>
      </c>
      <c r="H31" s="28">
        <f t="shared" si="3"/>
        <v>616000</v>
      </c>
      <c r="I31" s="26">
        <v>0</v>
      </c>
      <c r="J31" s="28">
        <f t="shared" si="4"/>
        <v>0</v>
      </c>
      <c r="K31" s="26">
        <f t="shared" si="0"/>
        <v>616000</v>
      </c>
      <c r="L31" s="79">
        <f t="shared" si="1"/>
        <v>42.834295250677975</v>
      </c>
      <c r="M31" s="23"/>
    </row>
    <row r="32" spans="1:13" x14ac:dyDescent="0.25">
      <c r="A32" s="22"/>
      <c r="B32" s="24">
        <v>24</v>
      </c>
      <c r="C32" s="25">
        <f>'Fuel Diesel'!C32</f>
        <v>0</v>
      </c>
      <c r="D32" s="25">
        <f>'Fuel Diesel'!D32</f>
        <v>0</v>
      </c>
      <c r="E32" s="26"/>
      <c r="F32" s="28">
        <f t="shared" si="2"/>
        <v>0</v>
      </c>
      <c r="G32" s="26">
        <v>167</v>
      </c>
      <c r="H32" s="28">
        <f t="shared" si="3"/>
        <v>668000</v>
      </c>
      <c r="I32" s="26">
        <v>0</v>
      </c>
      <c r="J32" s="28">
        <f t="shared" si="4"/>
        <v>0</v>
      </c>
      <c r="K32" s="26">
        <f t="shared" si="0"/>
        <v>668000</v>
      </c>
      <c r="L32" s="79">
        <f t="shared" si="1"/>
        <v>46.450177317293651</v>
      </c>
      <c r="M32" s="23"/>
    </row>
    <row r="33" spans="1:15" x14ac:dyDescent="0.25">
      <c r="A33" s="22"/>
      <c r="B33" s="24">
        <v>25</v>
      </c>
      <c r="C33" s="25">
        <f>'Fuel Diesel'!C33</f>
        <v>0</v>
      </c>
      <c r="D33" s="25">
        <f>'Fuel Diesel'!D33</f>
        <v>0</v>
      </c>
      <c r="E33" s="26"/>
      <c r="F33" s="28">
        <f t="shared" si="2"/>
        <v>0</v>
      </c>
      <c r="G33" s="26">
        <v>179</v>
      </c>
      <c r="H33" s="28">
        <f t="shared" si="3"/>
        <v>716000</v>
      </c>
      <c r="I33" s="26">
        <v>0</v>
      </c>
      <c r="J33" s="28">
        <f t="shared" si="4"/>
        <v>0</v>
      </c>
      <c r="K33" s="26">
        <f t="shared" si="0"/>
        <v>716000</v>
      </c>
      <c r="L33" s="79">
        <f t="shared" si="1"/>
        <v>49.787914609554271</v>
      </c>
      <c r="M33" s="23"/>
    </row>
    <row r="34" spans="1:15" x14ac:dyDescent="0.25">
      <c r="A34" s="22"/>
      <c r="B34" s="24">
        <v>26</v>
      </c>
      <c r="C34" s="25">
        <f>'Fuel Diesel'!C34</f>
        <v>0</v>
      </c>
      <c r="D34" s="25">
        <f>'Fuel Diesel'!D34</f>
        <v>0</v>
      </c>
      <c r="E34" s="26"/>
      <c r="F34" s="28">
        <f t="shared" si="2"/>
        <v>0</v>
      </c>
      <c r="G34" s="26">
        <v>155</v>
      </c>
      <c r="H34" s="28">
        <f t="shared" si="3"/>
        <v>620000</v>
      </c>
      <c r="I34" s="26">
        <v>0</v>
      </c>
      <c r="J34" s="28">
        <f t="shared" si="4"/>
        <v>0</v>
      </c>
      <c r="K34" s="26">
        <f t="shared" si="0"/>
        <v>620000</v>
      </c>
      <c r="L34" s="79">
        <f t="shared" si="1"/>
        <v>43.112440025033031</v>
      </c>
      <c r="M34" s="23"/>
    </row>
    <row r="35" spans="1:15" x14ac:dyDescent="0.25">
      <c r="A35" s="22"/>
      <c r="B35" s="24">
        <v>27</v>
      </c>
      <c r="C35" s="25">
        <f>'Fuel Diesel'!C35</f>
        <v>0</v>
      </c>
      <c r="D35" s="25">
        <f>'Fuel Diesel'!D35</f>
        <v>0</v>
      </c>
      <c r="E35" s="26"/>
      <c r="F35" s="28">
        <f t="shared" si="2"/>
        <v>0</v>
      </c>
      <c r="G35" s="26">
        <v>155</v>
      </c>
      <c r="H35" s="28">
        <f t="shared" si="3"/>
        <v>620000</v>
      </c>
      <c r="I35" s="26">
        <v>0</v>
      </c>
      <c r="J35" s="28">
        <f t="shared" si="4"/>
        <v>0</v>
      </c>
      <c r="K35" s="26">
        <f t="shared" si="0"/>
        <v>620000</v>
      </c>
      <c r="L35" s="79">
        <f t="shared" si="1"/>
        <v>43.112440025033031</v>
      </c>
      <c r="M35" s="23"/>
    </row>
    <row r="36" spans="1:15" x14ac:dyDescent="0.25">
      <c r="A36" s="22"/>
      <c r="B36" s="24">
        <v>28</v>
      </c>
      <c r="C36" s="25">
        <f>'Fuel Diesel'!C36</f>
        <v>0</v>
      </c>
      <c r="D36" s="25">
        <f>'Fuel Diesel'!D36</f>
        <v>0</v>
      </c>
      <c r="E36" s="26"/>
      <c r="F36" s="28">
        <f t="shared" si="2"/>
        <v>0</v>
      </c>
      <c r="G36" s="26">
        <v>172</v>
      </c>
      <c r="H36" s="28">
        <f t="shared" si="3"/>
        <v>688000</v>
      </c>
      <c r="I36" s="26">
        <v>0</v>
      </c>
      <c r="J36" s="28">
        <f t="shared" si="4"/>
        <v>0</v>
      </c>
      <c r="K36" s="26">
        <f t="shared" si="0"/>
        <v>688000</v>
      </c>
      <c r="L36" s="79">
        <f t="shared" si="1"/>
        <v>47.840901189068909</v>
      </c>
      <c r="M36" s="23"/>
    </row>
    <row r="37" spans="1:15" x14ac:dyDescent="0.25">
      <c r="A37" s="22"/>
      <c r="B37" s="24">
        <v>29</v>
      </c>
      <c r="C37" s="25">
        <f>'Fuel Diesel'!C37</f>
        <v>0</v>
      </c>
      <c r="D37" s="25">
        <f>'Fuel Diesel'!D37</f>
        <v>0</v>
      </c>
      <c r="E37" s="26"/>
      <c r="F37" s="28">
        <f t="shared" si="2"/>
        <v>0</v>
      </c>
      <c r="G37" s="26">
        <v>145</v>
      </c>
      <c r="H37" s="28">
        <f t="shared" si="3"/>
        <v>580000</v>
      </c>
      <c r="I37" s="26">
        <v>0</v>
      </c>
      <c r="J37" s="28">
        <f t="shared" si="4"/>
        <v>0</v>
      </c>
      <c r="K37" s="26">
        <f t="shared" si="0"/>
        <v>580000</v>
      </c>
      <c r="L37" s="79">
        <f t="shared" si="1"/>
        <v>40.330992281482509</v>
      </c>
      <c r="M37" s="23"/>
    </row>
    <row r="38" spans="1:15" x14ac:dyDescent="0.25">
      <c r="A38" s="22"/>
      <c r="B38" s="24">
        <v>30</v>
      </c>
      <c r="C38" s="25">
        <f>'Fuel Diesel'!C38</f>
        <v>0</v>
      </c>
      <c r="D38" s="25">
        <f>'Fuel Diesel'!D38</f>
        <v>0</v>
      </c>
      <c r="E38" s="26"/>
      <c r="F38" s="28">
        <f t="shared" si="2"/>
        <v>0</v>
      </c>
      <c r="G38" s="26">
        <v>149</v>
      </c>
      <c r="H38" s="28">
        <f t="shared" si="3"/>
        <v>596000</v>
      </c>
      <c r="I38" s="26">
        <v>0</v>
      </c>
      <c r="J38" s="28">
        <f t="shared" si="4"/>
        <v>0</v>
      </c>
      <c r="K38" s="26">
        <f t="shared" si="0"/>
        <v>596000</v>
      </c>
      <c r="L38" s="79">
        <f t="shared" si="1"/>
        <v>41.443571378902718</v>
      </c>
      <c r="M38" s="23"/>
    </row>
    <row r="39" spans="1:15" x14ac:dyDescent="0.25">
      <c r="A39" s="22"/>
      <c r="B39" s="24">
        <v>31</v>
      </c>
      <c r="C39" s="25">
        <f>'Fuel Diesel'!C39</f>
        <v>0</v>
      </c>
      <c r="D39" s="25">
        <f>'Fuel Diesel'!D39</f>
        <v>0</v>
      </c>
      <c r="E39" s="26"/>
      <c r="F39" s="28">
        <f t="shared" si="2"/>
        <v>0</v>
      </c>
      <c r="G39" s="26">
        <v>161</v>
      </c>
      <c r="H39" s="28">
        <f t="shared" si="3"/>
        <v>644000</v>
      </c>
      <c r="I39" s="26">
        <v>0</v>
      </c>
      <c r="J39" s="28">
        <f t="shared" si="4"/>
        <v>0</v>
      </c>
      <c r="K39" s="26">
        <f t="shared" si="0"/>
        <v>644000</v>
      </c>
      <c r="L39" s="79">
        <f t="shared" si="1"/>
        <v>44.781308671163337</v>
      </c>
      <c r="M39" s="23"/>
    </row>
    <row r="40" spans="1:15" x14ac:dyDescent="0.25">
      <c r="C40" s="32">
        <f>SUM(C9:C39)</f>
        <v>0</v>
      </c>
      <c r="D40" s="32">
        <f>SUM(D9:D39)</f>
        <v>0</v>
      </c>
      <c r="E40" s="32">
        <v>0</v>
      </c>
      <c r="G40" s="32">
        <f>SUM(G9:G39)</f>
        <v>4936</v>
      </c>
      <c r="I40" s="32">
        <f>SUM(I9:I39)</f>
        <v>235</v>
      </c>
      <c r="J40" s="94">
        <f>G40+I40</f>
        <v>5171</v>
      </c>
      <c r="K40" s="80"/>
      <c r="L40" s="88">
        <f>SUM(L9:L39)</f>
        <v>1438.2866281899728</v>
      </c>
      <c r="O40" s="37"/>
    </row>
    <row r="41" spans="1:15" x14ac:dyDescent="0.25">
      <c r="H41" s="93" t="s">
        <v>58</v>
      </c>
      <c r="I41" s="92">
        <f>G40+I40</f>
        <v>5171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Siget Pamungkas</cp:lastModifiedBy>
  <dcterms:created xsi:type="dcterms:W3CDTF">2022-01-19T02:48:06Z</dcterms:created>
  <dcterms:modified xsi:type="dcterms:W3CDTF">2022-06-05T06:17:03Z</dcterms:modified>
</cp:coreProperties>
</file>