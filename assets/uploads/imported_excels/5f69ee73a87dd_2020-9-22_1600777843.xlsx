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<sst xmlns="http://schemas.openxmlformats.org/spreadsheetml/2006/main" count="313" uniqueCount="148">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</sst>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28000.000000000033</v>
      </c>
      <c r="F33" s="17">
        <f t="shared" ref="F33:BC33" si="1">SUM(F2:F32)</f>
        <v>12299.999999999758</v>
      </c>
      <c r="G33" s="17">
        <f t="shared" si="1"/>
        <v>32399.999999999996</v>
      </c>
      <c r="H33" s="17">
        <f t="shared" si="1"/>
        <v>16899.99999999992</v>
      </c>
      <c r="I33" s="17">
        <f t="shared" si="1"/>
        <v>33100.000000000138</v>
      </c>
      <c r="J33" s="17">
        <f t="shared" si="1"/>
        <v>9400.0000000000746</v>
      </c>
      <c r="K33" s="17">
        <f t="shared" si="1"/>
        <v>15</v>
      </c>
      <c r="L33" s="17">
        <f t="shared" si="1"/>
        <v>57</v>
      </c>
      <c r="M33" s="17">
        <f t="shared" si="1"/>
        <v>5085</v>
      </c>
      <c r="N33" s="17">
        <f t="shared" si="1"/>
        <v>2328.1000000000349</v>
      </c>
      <c r="O33" s="17">
        <f t="shared" si="1"/>
        <v>1880.0000000000523</v>
      </c>
      <c r="P33" s="17">
        <f t="shared" si="1"/>
        <v>8199.9999999999891</v>
      </c>
      <c r="Q33" s="17">
        <f t="shared" si="1"/>
        <v>1500</v>
      </c>
      <c r="R33" s="17">
        <f t="shared" si="1"/>
        <v>2250</v>
      </c>
      <c r="S33" s="17">
        <f t="shared" si="1"/>
        <v>3379.9999999999955</v>
      </c>
      <c r="T33" s="17">
        <f t="shared" si="1"/>
        <v>27.399999999999864</v>
      </c>
      <c r="U33" s="35">
        <f t="shared" si="1"/>
        <v>12569.999999999993</v>
      </c>
      <c r="V33" s="35">
        <f t="shared" si="1"/>
        <v>3310.0000000000018</v>
      </c>
      <c r="W33" s="35">
        <f t="shared" si="1"/>
        <v>2099.9999999999945</v>
      </c>
      <c r="X33" s="35">
        <f t="shared" si="1"/>
        <v>1810.0000000000023</v>
      </c>
      <c r="Y33" s="35">
        <f t="shared" si="1"/>
        <v>750</v>
      </c>
      <c r="Z33" s="35">
        <f t="shared" si="1"/>
        <v>777.42000000004782</v>
      </c>
      <c r="AA33" s="35">
        <f t="shared" si="1"/>
        <v>777.42000000004782</v>
      </c>
      <c r="AB33" s="35">
        <f t="shared" si="1"/>
        <v>430.00000000000682</v>
      </c>
      <c r="AC33" s="35">
        <f t="shared" si="1"/>
        <v>379.99999999999545</v>
      </c>
      <c r="AD33" s="35">
        <f t="shared" si="1"/>
        <v>389.99999999998636</v>
      </c>
      <c r="AE33" s="35">
        <f t="shared" si="1"/>
        <v>370.00000000000455</v>
      </c>
      <c r="AF33" s="17">
        <f t="shared" si="1"/>
        <v>490</v>
      </c>
      <c r="AG33" s="32">
        <f t="shared" si="1"/>
        <v>300.00000000001137</v>
      </c>
      <c r="AH33" s="32">
        <f t="shared" si="1"/>
        <v>250</v>
      </c>
      <c r="AI33" s="32">
        <f t="shared" si="1"/>
        <v>189.99999999999773</v>
      </c>
      <c r="AJ33" s="32">
        <f t="shared" si="1"/>
        <v>320.0000000000216</v>
      </c>
      <c r="AK33" s="32">
        <f t="shared" si="1"/>
        <v>500</v>
      </c>
      <c r="AL33" s="32">
        <f t="shared" si="1"/>
        <v>220</v>
      </c>
      <c r="AM33" s="32">
        <f t="shared" si="1"/>
        <v>329.99999999998408</v>
      </c>
      <c r="AN33" s="32">
        <f t="shared" si="1"/>
        <v>395</v>
      </c>
      <c r="AO33" s="32">
        <f t="shared" si="1"/>
        <v>419.99999999998749</v>
      </c>
      <c r="AP33" s="32">
        <f t="shared" si="1"/>
        <v>519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638.40000000000146</v>
      </c>
      <c r="AU33" s="17">
        <f t="shared" si="1"/>
        <v>4070</v>
      </c>
      <c r="AV33" s="17">
        <f t="shared" si="1"/>
        <v>7649.9999999999773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102.56399999999998</v>
      </c>
      <c r="BC33" s="17">
        <f t="shared" si="1"/>
        <v>16</v>
      </c>
    </row>
    <row r="35" spans="5:55" x14ac:dyDescent="0.25">
      <c r="E35" s="38">
        <f>E33/E37</f>
        <v>0.31063480441101532</v>
      </c>
      <c r="G35" s="29">
        <f>G33-M36</f>
        <v>24986.899999999961</v>
      </c>
      <c r="AE35" s="35">
        <f>SUM(U33:AE33)</f>
        <v>23664.840000000084</v>
      </c>
      <c r="AG35" s="32">
        <f>SUM(AG33:AP33)</f>
        <v>3444.0000000000018</v>
      </c>
    </row>
    <row r="36" spans="5:55" x14ac:dyDescent="0.25">
      <c r="G36" s="29">
        <f>G35-633*14</f>
        <v>16124.899999999961</v>
      </c>
      <c r="M36" s="29">
        <f>M33+N33</f>
        <v>7413.1000000000349</v>
      </c>
    </row>
    <row r="37" spans="5:55" x14ac:dyDescent="0.25">
      <c r="E37" s="17">
        <f>E33+F33+G33+H33+J33-633*14</f>
        <v>90137.999999999782</v>
      </c>
      <c r="G37" s="37">
        <f>M36/E37</f>
        <v>8.224167387783235E-2</v>
      </c>
      <c r="M37" s="35">
        <f>AE35</f>
        <v>23664.840000000084</v>
      </c>
    </row>
    <row r="38" spans="5:55" x14ac:dyDescent="0.25">
      <c r="L38" s="27">
        <f>M38/E37</f>
        <v>3.8208080942554859E-2</v>
      </c>
      <c r="M38" s="29">
        <f>AG35</f>
        <v>3444.0000000000018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14" activePane="bottomLeft" state="frozen"/>
      <selection pane="bottomLeft" activeCell="BI28" sqref="BI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"/>
        <v>0</v>
      </c>
      <c r="M25" s="58"/>
      <c r="N25" s="64" t="str">
        <f t="shared" si="5"/>
        <v/>
      </c>
      <c r="O25" s="58"/>
      <c r="P25" s="67" t="str">
        <f t="shared" si="44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 t="str">
        <f t="shared" si="39"/>
        <v/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2"/>
        <v/>
      </c>
      <c r="BU25" s="60"/>
      <c r="BV25" s="65" t="str">
        <f t="shared" si="29"/>
        <v/>
      </c>
      <c r="BW25" s="60"/>
      <c r="BX25" s="65" t="str">
        <f t="shared" si="30"/>
        <v/>
      </c>
      <c r="BY25" s="60"/>
      <c r="BZ25" s="67" t="str">
        <f t="shared" si="31"/>
        <v/>
      </c>
      <c r="CA25" s="60"/>
      <c r="CB25" s="67" t="str">
        <f t="shared" si="32"/>
        <v/>
      </c>
      <c r="CC25" s="60"/>
      <c r="CD25" s="67" t="str">
        <f t="shared" si="33"/>
        <v/>
      </c>
      <c r="CE25" s="60"/>
      <c r="CF25" s="67" t="str">
        <f t="shared" si="34"/>
        <v/>
      </c>
      <c r="CG25" s="60"/>
      <c r="CH25" s="67" t="str">
        <f t="shared" si="35"/>
        <v/>
      </c>
      <c r="CI25" s="60"/>
      <c r="CJ25" s="67" t="str">
        <f t="shared" si="36"/>
        <v/>
      </c>
      <c r="CK25" s="60"/>
      <c r="CL25" s="64" t="str">
        <f t="shared" si="37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8"/>
        <v/>
      </c>
      <c r="CR25" s="68"/>
      <c r="CS25" s="67" t="str">
        <f t="shared" si="38"/>
        <v/>
      </c>
      <c r="CT25" s="75"/>
      <c r="CU25" s="67" t="str">
        <f t="shared" si="38"/>
        <v/>
      </c>
      <c r="CV25" s="68"/>
      <c r="CW25" s="67" t="str">
        <f t="shared" si="38"/>
        <v/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W22" sqref="W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-196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2020-09-22T12:27:52Z</dcterms:modified>
</cp:coreProperties>
</file>