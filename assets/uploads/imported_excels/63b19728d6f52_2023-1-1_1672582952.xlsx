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paul_hemmings_fourseasons_com/Documents/DESKTOP/HEP UTILITY UPLOAD/"/>
    </mc:Choice>
  </mc:AlternateContent>
  <xr:revisionPtr revIDLastSave="4" documentId="8_{68EA8C27-BEE4-4BA6-9F26-5939B8D2257B}" xr6:coauthVersionLast="47" xr6:coauthVersionMax="47" xr10:uidLastSave="{65997058-88ED-4503-B5F4-C34288354327}"/>
  <bookViews>
    <workbookView xWindow="-110" yWindow="-110" windowWidth="19420" windowHeight="11500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M36" i="2"/>
  <c r="L36" i="2"/>
  <c r="D36" i="2"/>
  <c r="E36" i="2"/>
  <c r="F36" i="2"/>
  <c r="G36" i="2"/>
  <c r="H36" i="2"/>
  <c r="I36" i="2"/>
  <c r="J36" i="2"/>
  <c r="K36" i="2"/>
  <c r="R36" i="2"/>
  <c r="S36" i="2"/>
  <c r="T36" i="2"/>
  <c r="U36" i="2"/>
  <c r="V36" i="2"/>
  <c r="W36" i="2"/>
  <c r="X36" i="2"/>
  <c r="Y36" i="2"/>
  <c r="Z36" i="2"/>
  <c r="Q36" i="2"/>
  <c r="N36" i="2"/>
  <c r="AD5" i="2"/>
  <c r="O36" i="2"/>
  <c r="P36" i="2"/>
  <c r="AA13" i="2"/>
  <c r="AA35" i="2"/>
  <c r="AD35" i="2"/>
  <c r="AE35" i="2"/>
  <c r="AE4" i="2"/>
  <c r="AE34" i="2"/>
  <c r="AD34" i="2"/>
  <c r="AA34" i="2"/>
  <c r="AE33" i="2"/>
  <c r="AD33" i="2"/>
  <c r="AA33" i="2"/>
  <c r="AE32" i="2"/>
  <c r="AD32" i="2"/>
  <c r="AA32" i="2"/>
  <c r="AE31" i="2"/>
  <c r="AD31" i="2"/>
  <c r="AA31" i="2"/>
  <c r="AE30" i="2"/>
  <c r="AD30" i="2"/>
  <c r="AA30" i="2"/>
  <c r="AE29" i="2"/>
  <c r="AD29" i="2"/>
  <c r="AA29" i="2"/>
  <c r="AE28" i="2"/>
  <c r="AD28" i="2"/>
  <c r="AA28" i="2"/>
  <c r="AE27" i="2"/>
  <c r="AD27" i="2"/>
  <c r="AA27" i="2"/>
  <c r="AE26" i="2"/>
  <c r="AD26" i="2"/>
  <c r="AA26" i="2"/>
  <c r="AE25" i="2"/>
  <c r="AD25" i="2"/>
  <c r="AA25" i="2"/>
  <c r="AE24" i="2"/>
  <c r="AD24" i="2"/>
  <c r="AA24" i="2"/>
  <c r="AE23" i="2"/>
  <c r="AD23" i="2"/>
  <c r="AA23" i="2"/>
  <c r="AE22" i="2"/>
  <c r="AD22" i="2"/>
  <c r="AA22" i="2"/>
  <c r="AE21" i="2"/>
  <c r="AD21" i="2"/>
  <c r="AA21" i="2"/>
  <c r="AE20" i="2"/>
  <c r="AD20" i="2"/>
  <c r="AA20" i="2"/>
  <c r="AE19" i="2"/>
  <c r="AD19" i="2"/>
  <c r="AA19" i="2"/>
  <c r="AE18" i="2"/>
  <c r="AD18" i="2"/>
  <c r="AA18" i="2"/>
  <c r="AE17" i="2"/>
  <c r="AD17" i="2"/>
  <c r="AA17" i="2"/>
  <c r="AE16" i="2"/>
  <c r="AD16" i="2"/>
  <c r="AA16" i="2"/>
  <c r="AE15" i="2"/>
  <c r="AD15" i="2"/>
  <c r="AA15" i="2"/>
  <c r="AE14" i="2"/>
  <c r="AD14" i="2"/>
  <c r="AA14" i="2"/>
  <c r="AE13" i="2"/>
  <c r="AD13" i="2"/>
  <c r="AE12" i="2"/>
  <c r="AD12" i="2"/>
  <c r="AA12" i="2"/>
  <c r="AE11" i="2"/>
  <c r="AD11" i="2"/>
  <c r="AA11" i="2"/>
  <c r="AE10" i="2"/>
  <c r="AD10" i="2"/>
  <c r="AA10" i="2"/>
  <c r="AE9" i="2"/>
  <c r="AD9" i="2"/>
  <c r="AA9" i="2"/>
  <c r="AE8" i="2"/>
  <c r="AD8" i="2"/>
  <c r="AA8" i="2"/>
  <c r="AE7" i="2"/>
  <c r="AD7" i="2"/>
  <c r="AA7" i="2"/>
  <c r="AE6" i="2"/>
  <c r="AD6" i="2"/>
  <c r="AA6" i="2"/>
  <c r="AE5" i="2"/>
  <c r="AA5" i="2"/>
  <c r="B32" i="1"/>
  <c r="K32" i="1"/>
  <c r="L32" i="1"/>
  <c r="B32" i="3"/>
  <c r="E32" i="3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E32" i="1" l="1"/>
  <c r="E31" i="1"/>
  <c r="E30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<sst xmlns="http://schemas.openxmlformats.org/spreadsheetml/2006/main" count="157" uniqueCount="62">
  <si>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</si>
  <si>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</si>
  <si>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</si>
  <si>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</si>
  <si>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</si>
  <si>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</si>
  <si>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</si>
  <si>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</si>
  <si>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</si>
  <si>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</si>
  <si>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</si>
  <si>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</si>
  <si>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</si>
  <si>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</si>
  <si>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</si>
  <si>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</si>
  <si>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</si>
  <si>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</si>
  <si>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</si>
  <si>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</si>
  <si>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</si>
  <si>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</si>
  <si>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</si>
  <si>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</si>
  <si>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</si>
  <si>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</si>
  <si>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</si>
  <si>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</si>
  <si>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</si>
  <si>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 xml:space="preserve">Banquet Gas Meter </t>
  </si>
  <si>
    <t xml:space="preserve">WC
Kitchen Gas Meter </t>
  </si>
  <si>
    <t>Main Site Water Meter</t>
  </si>
  <si>
    <t>EAST
LTHW
Sub Meter</t>
  </si>
  <si>
    <t>SPA
LTHW
Sub Meter</t>
  </si>
  <si>
    <t>CHW
Sub Meter</t>
  </si>
  <si>
    <t>Water Softener 
Sub Meter</t>
  </si>
  <si>
    <t>Hard Water Supply Sub Meter</t>
  </si>
  <si>
    <t>Chlorine Dioxide Water Meter</t>
  </si>
  <si>
    <t>Pool Supply Sub Meter</t>
  </si>
  <si>
    <t xml:space="preserve">Kids pool Sub Meter </t>
  </si>
  <si>
    <t>Main Pool
Backwash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</si>
  <si>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</si>
  <si>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</si>
  <si>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</si>
  <si>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</si>
  <si>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</si>
  <si>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</si>
  <si>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</si>
  <si>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</si>
  <si>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</si>
  <si>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</si>
  <si>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</si>
  <si>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</si>
  <si>
    <t>GAS</t>
  </si>
  <si>
    <t>East LTHW Water</t>
  </si>
  <si>
    <t>Thursday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</si>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</sst>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0" fontId="0" fillId="0" borderId="2" xfId="0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4" fontId="8" fillId="9" borderId="7" xfId="0" applyNumberFormat="1" applyFont="1" applyFill="1" applyBorder="1"/>
    <xf numFmtId="2" fontId="8" fillId="9" borderId="7" xfId="0" applyNumberFormat="1" applyFont="1" applyFill="1" applyBorder="1"/>
    <xf numFmtId="164" fontId="0" fillId="9" borderId="7" xfId="0" applyNumberFormat="1" applyFill="1" applyBorder="1"/>
    <xf numFmtId="2" fontId="0" fillId="9" borderId="7" xfId="0" applyNumberFormat="1" applyFill="1" applyBorder="1"/>
    <xf numFmtId="2" fontId="0" fillId="0" borderId="0" xfId="0" applyNumberFormat="1"/>
    <xf numFmtId="164" fontId="0" fillId="0" borderId="7" xfId="0" applyNumberFormat="1" applyBorder="1"/>
    <xf numFmtId="164" fontId="8" fillId="0" borderId="7" xfId="0" applyNumberFormat="1" applyFont="1" applyBorder="1"/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3" fillId="7" borderId="0" xfId="0" applyFont="1" applyFill="1" applyAlignment="1">
      <alignment horizontal="center" vertical="center" wrapText="1"/>
    </xf>
    <xf numFmtId="164" fontId="2" fillId="8" borderId="2" xfId="1" applyNumberFormat="1" applyFont="1" applyFill="1" applyBorder="1" applyAlignment="1">
      <alignment horizontal="center" wrapText="1"/>
    </xf>
    <xf numFmtId="164" fontId="1" fillId="8" borderId="2" xfId="1" applyNumberFormat="1" applyFill="1" applyBorder="1" applyAlignment="1">
      <alignment horizontal="center"/>
    </xf>
    <xf numFmtId="2" fontId="2" fillId="8" borderId="2" xfId="1" applyNumberFormat="1" applyFont="1" applyFill="1" applyBorder="1" applyAlignment="1">
      <alignment horizontal="center" wrapText="1"/>
    </xf>
    <xf numFmtId="2" fontId="1" fillId="8" borderId="2" xfId="1" applyNumberForma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center" wrapText="1"/>
    </xf>
    <xf numFmtId="164" fontId="12" fillId="3" borderId="2" xfId="1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2" fillId="3" borderId="9" xfId="1" applyFont="1" applyFill="1" applyBorder="1" applyAlignment="1">
      <alignment horizontal="center" wrapText="1"/>
    </xf>
    <xf numFmtId="0" fontId="2" fillId="3" borderId="16" xfId="1" applyFont="1" applyFill="1" applyBorder="1" applyAlignment="1">
      <alignment horizontal="center" wrapText="1"/>
    </xf>
    <xf numFmtId="0" fontId="2" fillId="3" borderId="12" xfId="1" applyFont="1" applyFill="1" applyBorder="1" applyAlignment="1">
      <alignment horizontal="center" wrapText="1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G2" sqref="G2"/>
    </sheetView>
  </sheetViews>
  <sheetFormatPr defaultColWidth="11.54296875" defaultRowHeight="14.5" x14ac:dyDescent="0.35"/>
  <cols>
    <col min="1" max="1" width="18.26953125" style="3" customWidth="1"/>
    <col min="2" max="3" width="11.54296875" style="2"/>
    <col min="4" max="4" width="13.453125" style="2" customWidth="1"/>
    <col min="5" max="5" width="12.54296875" style="1" customWidth="1"/>
    <col min="6" max="6" width="12.54296875" style="13" customWidth="1"/>
    <col min="7" max="7" width="11.54296875" style="1"/>
    <col min="8" max="8" width="11.54296875" style="13"/>
    <col min="9" max="9" width="11.54296875" style="1"/>
    <col min="10" max="10" width="11.54296875" style="15"/>
    <col min="11" max="24" width="11.5429687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12</v>
      </c>
      <c r="B2" s="2">
        <v>1</v>
      </c>
      <c r="C2" s="2">
        <v>12</v>
      </c>
      <c r="D2" s="2">
        <v>2022</v>
      </c>
      <c r="E2" s="4">
        <f>(Submetering!E2+Submetering!F2)</f>
        <v>5737</v>
      </c>
      <c r="F2" s="12">
        <v>0.35</v>
      </c>
      <c r="G2" s="4">
        <f>Submetering!M2</f>
        <v>3205</v>
      </c>
      <c r="H2" s="12">
        <v>0.6</v>
      </c>
      <c r="I2" s="4">
        <f>Submetering!N2</f>
        <v>68.5</v>
      </c>
      <c r="J2" s="13">
        <v>2.06</v>
      </c>
      <c r="K2" s="4">
        <f>'Hampshire Daily'!B5</f>
        <v>41</v>
      </c>
      <c r="L2" s="4">
        <f>'Hampshire Daily'!C5</f>
        <v>61</v>
      </c>
    </row>
    <row r="3" spans="1:24" x14ac:dyDescent="0.35">
      <c r="A3" s="3" t="s">
        <v>12</v>
      </c>
      <c r="B3" s="2">
        <f>B2+1</f>
        <v>2</v>
      </c>
      <c r="C3" s="2">
        <v>12</v>
      </c>
      <c r="D3" s="2">
        <v>2022</v>
      </c>
      <c r="E3" s="4">
        <f>Submetering!E3+Submetering!F3</f>
        <v>6318.5</v>
      </c>
      <c r="F3" s="12">
        <v>0.35</v>
      </c>
      <c r="G3" s="4">
        <f>Submetering!M3</f>
        <v>3536</v>
      </c>
      <c r="H3" s="12">
        <v>0.6</v>
      </c>
      <c r="I3" s="4">
        <f>Submetering!N3</f>
        <v>68.5</v>
      </c>
      <c r="J3" s="13">
        <v>2.06</v>
      </c>
      <c r="K3" s="4">
        <f>'Hampshire Daily'!B6</f>
        <v>43</v>
      </c>
      <c r="L3" s="4">
        <f>'Hampshire Daily'!C6</f>
        <v>78</v>
      </c>
    </row>
    <row r="4" spans="1:24" x14ac:dyDescent="0.35">
      <c r="A4" s="3" t="s">
        <v>12</v>
      </c>
      <c r="B4" s="2">
        <f t="shared" ref="B4:B32" si="0">B3+1</f>
        <v>3</v>
      </c>
      <c r="C4" s="2">
        <v>12</v>
      </c>
      <c r="D4" s="2">
        <v>2022</v>
      </c>
      <c r="E4" s="4">
        <f>Submetering!E4+Submetering!F4</f>
        <v>6318.5</v>
      </c>
      <c r="F4" s="12">
        <v>0.35</v>
      </c>
      <c r="G4" s="4">
        <f>Submetering!M4</f>
        <v>3500</v>
      </c>
      <c r="H4" s="12">
        <v>0.6</v>
      </c>
      <c r="I4" s="4">
        <f>Submetering!N4</f>
        <v>66</v>
      </c>
      <c r="J4" s="13">
        <v>2.06</v>
      </c>
      <c r="K4" s="4">
        <f>'Hampshire Daily'!B7</f>
        <v>58</v>
      </c>
      <c r="L4" s="4">
        <f>'Hampshire Daily'!C7</f>
        <v>137</v>
      </c>
    </row>
    <row r="5" spans="1:24" x14ac:dyDescent="0.35">
      <c r="A5" s="3" t="s">
        <v>12</v>
      </c>
      <c r="B5" s="2">
        <f t="shared" si="0"/>
        <v>4</v>
      </c>
      <c r="C5" s="2">
        <v>12</v>
      </c>
      <c r="D5" s="2">
        <v>2022</v>
      </c>
      <c r="E5" s="4">
        <f>Submetering!E5+Submetering!F5</f>
        <v>7801.5</v>
      </c>
      <c r="F5" s="12">
        <v>0.35</v>
      </c>
      <c r="G5" s="4">
        <f>Submetering!M5</f>
        <v>3256</v>
      </c>
      <c r="H5" s="12">
        <v>0.6</v>
      </c>
      <c r="I5" s="4">
        <f>Submetering!N5</f>
        <v>75</v>
      </c>
      <c r="J5" s="13">
        <v>2.06</v>
      </c>
      <c r="K5" s="4">
        <f>'Hampshire Daily'!B8</f>
        <v>25</v>
      </c>
      <c r="L5" s="4">
        <f>'Hampshire Daily'!C8</f>
        <v>52</v>
      </c>
    </row>
    <row r="6" spans="1:24" x14ac:dyDescent="0.35">
      <c r="A6" s="3" t="s">
        <v>12</v>
      </c>
      <c r="B6" s="2">
        <f t="shared" si="0"/>
        <v>5</v>
      </c>
      <c r="C6" s="2">
        <v>12</v>
      </c>
      <c r="D6" s="2">
        <v>2022</v>
      </c>
      <c r="E6" s="4">
        <f>Submetering!E6+Submetering!F6</f>
        <v>7801.5</v>
      </c>
      <c r="F6" s="12">
        <v>0.35</v>
      </c>
      <c r="G6" s="4">
        <f>Submetering!M6</f>
        <v>2896</v>
      </c>
      <c r="H6" s="12">
        <v>0.6</v>
      </c>
      <c r="I6" s="4">
        <f>Submetering!N6</f>
        <v>71</v>
      </c>
      <c r="J6" s="13">
        <v>2.06</v>
      </c>
      <c r="K6" s="4">
        <f>'Hampshire Daily'!B9</f>
        <v>13</v>
      </c>
      <c r="L6" s="4">
        <f>'Hampshire Daily'!C9</f>
        <v>29</v>
      </c>
    </row>
    <row r="7" spans="1:24" x14ac:dyDescent="0.35">
      <c r="A7" s="3" t="s">
        <v>12</v>
      </c>
      <c r="B7" s="2">
        <f t="shared" si="0"/>
        <v>6</v>
      </c>
      <c r="C7" s="2">
        <v>12</v>
      </c>
      <c r="D7" s="2">
        <v>2022</v>
      </c>
      <c r="E7" s="4">
        <f>Submetering!E7+Submetering!F7</f>
        <v>8691</v>
      </c>
      <c r="F7" s="12">
        <v>0.35</v>
      </c>
      <c r="G7" s="4">
        <f>Submetering!M7</f>
        <v>2789</v>
      </c>
      <c r="H7" s="12">
        <v>0.6</v>
      </c>
      <c r="I7" s="4">
        <f>Submetering!N7</f>
        <v>74</v>
      </c>
      <c r="J7" s="13">
        <v>2.06</v>
      </c>
      <c r="K7" s="4">
        <f>'Hampshire Daily'!B10</f>
        <v>12</v>
      </c>
      <c r="L7" s="4">
        <f>'Hampshire Daily'!C10</f>
        <v>28</v>
      </c>
    </row>
    <row r="8" spans="1:24" x14ac:dyDescent="0.35">
      <c r="A8" s="3" t="s">
        <v>12</v>
      </c>
      <c r="B8" s="2">
        <f t="shared" si="0"/>
        <v>7</v>
      </c>
      <c r="C8" s="2">
        <v>12</v>
      </c>
      <c r="D8" s="2">
        <v>2022</v>
      </c>
      <c r="E8" s="4">
        <f>Submetering!E8+Submetering!F8</f>
        <v>8720</v>
      </c>
      <c r="F8" s="12">
        <v>0.35</v>
      </c>
      <c r="G8" s="4">
        <f>Submetering!M8</f>
        <v>2921</v>
      </c>
      <c r="H8" s="12">
        <v>0.6</v>
      </c>
      <c r="I8" s="4">
        <f>Submetering!N8</f>
        <v>54</v>
      </c>
      <c r="J8" s="13">
        <v>2.06</v>
      </c>
      <c r="K8" s="4">
        <f>'Hampshire Daily'!B11</f>
        <v>18</v>
      </c>
      <c r="L8" s="4">
        <f>'Hampshire Daily'!C11</f>
        <v>35</v>
      </c>
    </row>
    <row r="9" spans="1:24" x14ac:dyDescent="0.35">
      <c r="A9" s="3" t="s">
        <v>12</v>
      </c>
      <c r="B9" s="2">
        <f t="shared" si="0"/>
        <v>8</v>
      </c>
      <c r="C9" s="2">
        <v>12</v>
      </c>
      <c r="D9" s="2">
        <v>2022</v>
      </c>
      <c r="E9" s="4">
        <f>Submetering!E9+Submetering!F9</f>
        <v>6786</v>
      </c>
      <c r="F9" s="12">
        <v>0.35</v>
      </c>
      <c r="G9" s="4">
        <f>Submetering!M9</f>
        <v>3546</v>
      </c>
      <c r="H9" s="12">
        <v>0.6</v>
      </c>
      <c r="I9" s="4">
        <f>Submetering!N9</f>
        <v>68.5</v>
      </c>
      <c r="J9" s="13">
        <v>2.06</v>
      </c>
      <c r="K9" s="4">
        <f>'Hampshire Daily'!B12</f>
        <v>50</v>
      </c>
      <c r="L9" s="4">
        <f>'Hampshire Daily'!C12</f>
        <v>84</v>
      </c>
    </row>
    <row r="10" spans="1:24" x14ac:dyDescent="0.35">
      <c r="A10" s="3" t="s">
        <v>12</v>
      </c>
      <c r="B10" s="2">
        <f t="shared" si="0"/>
        <v>9</v>
      </c>
      <c r="C10" s="2">
        <v>12</v>
      </c>
      <c r="D10" s="2">
        <v>2022</v>
      </c>
      <c r="E10" s="4">
        <f>Submetering!E10+Submetering!F10</f>
        <v>6766.5</v>
      </c>
      <c r="F10" s="12">
        <v>0.35</v>
      </c>
      <c r="G10" s="4">
        <f>Submetering!M10</f>
        <v>4017</v>
      </c>
      <c r="H10" s="12">
        <v>0.6</v>
      </c>
      <c r="I10" s="4">
        <f>Submetering!N10</f>
        <v>68.5</v>
      </c>
      <c r="J10" s="13">
        <v>2.06</v>
      </c>
      <c r="K10" s="4">
        <f>'Hampshire Daily'!B13</f>
        <v>79</v>
      </c>
      <c r="L10" s="4">
        <f>'Hampshire Daily'!C13</f>
        <v>131</v>
      </c>
    </row>
    <row r="11" spans="1:24" x14ac:dyDescent="0.35">
      <c r="A11" s="3" t="s">
        <v>12</v>
      </c>
      <c r="B11" s="2">
        <f t="shared" si="0"/>
        <v>10</v>
      </c>
      <c r="C11" s="2">
        <v>12</v>
      </c>
      <c r="D11" s="2">
        <v>2022</v>
      </c>
      <c r="E11" s="4">
        <f>Submetering!E11+Submetering!F11</f>
        <v>6766.5</v>
      </c>
      <c r="F11" s="12">
        <v>0.35</v>
      </c>
      <c r="G11" s="4">
        <f>Submetering!M11</f>
        <v>3927</v>
      </c>
      <c r="H11" s="12">
        <v>0.6</v>
      </c>
      <c r="I11" s="4">
        <f>Submetering!N11</f>
        <v>83</v>
      </c>
      <c r="J11" s="13">
        <v>2.06</v>
      </c>
      <c r="K11" s="4">
        <f>'Hampshire Daily'!B14</f>
        <v>58</v>
      </c>
      <c r="L11" s="4">
        <f>'Hampshire Daily'!C14</f>
        <v>139</v>
      </c>
    </row>
    <row r="12" spans="1:24" x14ac:dyDescent="0.35">
      <c r="A12" s="3" t="s">
        <v>12</v>
      </c>
      <c r="B12" s="2">
        <f t="shared" si="0"/>
        <v>11</v>
      </c>
      <c r="C12" s="2">
        <v>12</v>
      </c>
      <c r="D12" s="2">
        <v>2022</v>
      </c>
      <c r="E12" s="4">
        <f>Submetering!E12+Submetering!F12</f>
        <v>6812</v>
      </c>
      <c r="F12" s="12">
        <v>0.35</v>
      </c>
      <c r="G12" s="4">
        <f>Submetering!M12</f>
        <v>4119</v>
      </c>
      <c r="H12" s="12">
        <v>0.6</v>
      </c>
      <c r="I12" s="4">
        <f>Submetering!N12</f>
        <v>91</v>
      </c>
      <c r="J12" s="13">
        <v>2.06</v>
      </c>
      <c r="K12" s="4">
        <f>'Hampshire Daily'!B15</f>
        <v>26</v>
      </c>
      <c r="L12" s="4">
        <f>'Hampshire Daily'!C15</f>
        <v>63</v>
      </c>
    </row>
    <row r="13" spans="1:24" x14ac:dyDescent="0.35">
      <c r="A13" s="3" t="s">
        <v>12</v>
      </c>
      <c r="B13" s="2">
        <f t="shared" si="0"/>
        <v>12</v>
      </c>
      <c r="C13" s="2">
        <v>12</v>
      </c>
      <c r="D13" s="2">
        <v>2022</v>
      </c>
      <c r="E13" s="4">
        <f>Submetering!E13+Submetering!F13</f>
        <v>7842</v>
      </c>
      <c r="F13" s="12">
        <v>0.35</v>
      </c>
      <c r="G13" s="4">
        <f>Submetering!M13</f>
        <v>3625</v>
      </c>
      <c r="H13" s="12">
        <v>0.6</v>
      </c>
      <c r="I13" s="4">
        <f>Submetering!N13</f>
        <v>74</v>
      </c>
      <c r="J13" s="13">
        <v>2.06</v>
      </c>
      <c r="K13" s="4">
        <f>'Hampshire Daily'!B16</f>
        <v>19</v>
      </c>
      <c r="L13" s="4">
        <f>'Hampshire Daily'!C16</f>
        <v>40</v>
      </c>
    </row>
    <row r="14" spans="1:24" x14ac:dyDescent="0.35">
      <c r="A14" s="3" t="s">
        <v>12</v>
      </c>
      <c r="B14" s="2">
        <f t="shared" si="0"/>
        <v>13</v>
      </c>
      <c r="C14" s="2">
        <v>12</v>
      </c>
      <c r="D14" s="2">
        <v>2022</v>
      </c>
      <c r="E14" s="4">
        <f>Submetering!E14+Submetering!F14</f>
        <v>9567</v>
      </c>
      <c r="F14" s="12">
        <v>0.35</v>
      </c>
      <c r="G14" s="4">
        <f>Submetering!M14</f>
        <v>3589</v>
      </c>
      <c r="H14" s="12">
        <v>0.6</v>
      </c>
      <c r="I14" s="4">
        <f>Submetering!N14</f>
        <v>73</v>
      </c>
      <c r="J14" s="13">
        <v>2.06</v>
      </c>
      <c r="K14" s="4">
        <f>'Hampshire Daily'!B17</f>
        <v>24</v>
      </c>
      <c r="L14" s="4">
        <f>'Hampshire Daily'!C17</f>
        <v>50</v>
      </c>
    </row>
    <row r="15" spans="1:24" x14ac:dyDescent="0.35">
      <c r="A15" s="3" t="s">
        <v>12</v>
      </c>
      <c r="B15" s="2">
        <f t="shared" si="0"/>
        <v>14</v>
      </c>
      <c r="C15" s="2">
        <v>12</v>
      </c>
      <c r="D15" s="2">
        <v>2022</v>
      </c>
      <c r="E15" s="4">
        <f>Submetering!E15+Submetering!F15</f>
        <v>9913</v>
      </c>
      <c r="F15" s="12">
        <v>0.35</v>
      </c>
      <c r="G15" s="4">
        <f>Submetering!M15</f>
        <v>3508</v>
      </c>
      <c r="H15" s="12">
        <v>0.6</v>
      </c>
      <c r="I15" s="4">
        <f>Submetering!N15</f>
        <v>75</v>
      </c>
      <c r="J15" s="13">
        <v>2.06</v>
      </c>
      <c r="K15" s="4">
        <f>'Hampshire Daily'!B18</f>
        <v>43</v>
      </c>
      <c r="L15" s="4">
        <f>'Hampshire Daily'!C18</f>
        <v>80</v>
      </c>
    </row>
    <row r="16" spans="1:24" x14ac:dyDescent="0.35">
      <c r="A16" s="3" t="s">
        <v>12</v>
      </c>
      <c r="B16" s="2">
        <f t="shared" si="0"/>
        <v>15</v>
      </c>
      <c r="C16" s="2">
        <v>12</v>
      </c>
      <c r="D16" s="2">
        <v>2022</v>
      </c>
      <c r="E16" s="4">
        <f>Submetering!E16+Submetering!F16</f>
        <v>11321</v>
      </c>
      <c r="F16" s="12">
        <v>0.35</v>
      </c>
      <c r="G16" s="4">
        <f>Submetering!M16</f>
        <v>3816</v>
      </c>
      <c r="H16" s="12">
        <v>0.6</v>
      </c>
      <c r="I16" s="4">
        <f>Submetering!N16</f>
        <v>82</v>
      </c>
      <c r="J16" s="13">
        <v>2.06</v>
      </c>
      <c r="K16" s="4">
        <f>'Hampshire Daily'!B19</f>
        <v>49</v>
      </c>
      <c r="L16" s="4">
        <f>'Hampshire Daily'!C19</f>
        <v>98</v>
      </c>
    </row>
    <row r="17" spans="1:12" x14ac:dyDescent="0.35">
      <c r="A17" s="3" t="s">
        <v>12</v>
      </c>
      <c r="B17" s="2">
        <f t="shared" si="0"/>
        <v>16</v>
      </c>
      <c r="C17" s="2">
        <v>12</v>
      </c>
      <c r="D17" s="2">
        <v>2022</v>
      </c>
      <c r="E17" s="4">
        <f>Submetering!E17+Submetering!F17</f>
        <v>9468</v>
      </c>
      <c r="F17" s="12">
        <v>0.35</v>
      </c>
      <c r="G17" s="4">
        <f>Submetering!M17</f>
        <v>3080</v>
      </c>
      <c r="H17" s="12">
        <v>0.6</v>
      </c>
      <c r="I17" s="4">
        <f>Submetering!N17</f>
        <v>76</v>
      </c>
      <c r="J17" s="13">
        <v>2.06</v>
      </c>
      <c r="K17" s="4">
        <f>'Hampshire Daily'!B20</f>
        <v>81</v>
      </c>
      <c r="L17" s="4">
        <f>'Hampshire Daily'!C20</f>
        <v>182</v>
      </c>
    </row>
    <row r="18" spans="1:12" x14ac:dyDescent="0.35">
      <c r="A18" s="3" t="s">
        <v>12</v>
      </c>
      <c r="B18" s="2">
        <f t="shared" si="0"/>
        <v>17</v>
      </c>
      <c r="C18" s="2">
        <v>12</v>
      </c>
      <c r="D18" s="2">
        <v>2022</v>
      </c>
      <c r="E18" s="4">
        <f>Submetering!E18+Submetering!F18</f>
        <v>8779</v>
      </c>
      <c r="F18" s="12">
        <v>0.35</v>
      </c>
      <c r="G18" s="4">
        <f>Submetering!M18</f>
        <v>3929</v>
      </c>
      <c r="H18" s="12">
        <v>0.6</v>
      </c>
      <c r="I18" s="4">
        <f>Submetering!N18</f>
        <v>96</v>
      </c>
      <c r="J18" s="13">
        <v>2.06</v>
      </c>
      <c r="K18" s="4">
        <f>'Hampshire Daily'!B21</f>
        <v>86</v>
      </c>
      <c r="L18" s="4">
        <f>'Hampshire Daily'!C21</f>
        <v>194</v>
      </c>
    </row>
    <row r="19" spans="1:12" x14ac:dyDescent="0.35">
      <c r="A19" s="3" t="s">
        <v>12</v>
      </c>
      <c r="B19" s="2">
        <f t="shared" si="0"/>
        <v>18</v>
      </c>
      <c r="C19" s="2">
        <v>12</v>
      </c>
      <c r="D19" s="2">
        <v>2022</v>
      </c>
      <c r="E19" s="4">
        <f>Submetering!E19+Submetering!F19</f>
        <v>8087</v>
      </c>
      <c r="F19" s="12">
        <v>0.35</v>
      </c>
      <c r="G19" s="4">
        <f>Submetering!M19</f>
        <v>3467</v>
      </c>
      <c r="H19" s="12">
        <v>0.6</v>
      </c>
      <c r="I19" s="4">
        <f>Submetering!N19</f>
        <v>95</v>
      </c>
      <c r="J19" s="13">
        <v>2.06</v>
      </c>
      <c r="K19" s="4">
        <f>'Hampshire Daily'!B22</f>
        <v>59</v>
      </c>
      <c r="L19" s="4">
        <f>'Hampshire Daily'!C22</f>
        <v>155</v>
      </c>
    </row>
    <row r="20" spans="1:12" x14ac:dyDescent="0.35">
      <c r="A20" s="3" t="s">
        <v>12</v>
      </c>
      <c r="B20" s="2">
        <f t="shared" si="0"/>
        <v>19</v>
      </c>
      <c r="C20" s="2">
        <v>12</v>
      </c>
      <c r="D20" s="2">
        <v>2022</v>
      </c>
      <c r="E20" s="4">
        <f>Submetering!E20+Submetering!F20</f>
        <v>6605</v>
      </c>
      <c r="F20" s="12">
        <v>0.35</v>
      </c>
      <c r="G20" s="4">
        <f>Submetering!M20</f>
        <v>3319</v>
      </c>
      <c r="H20" s="12">
        <v>0.6</v>
      </c>
      <c r="I20" s="4">
        <f>Submetering!N20</f>
        <v>111</v>
      </c>
      <c r="J20" s="13">
        <v>2.06</v>
      </c>
      <c r="K20" s="4">
        <f>'Hampshire Daily'!B23</f>
        <v>91</v>
      </c>
      <c r="L20" s="4">
        <f>'Hampshire Daily'!C23</f>
        <v>160</v>
      </c>
    </row>
    <row r="21" spans="1:12" x14ac:dyDescent="0.35">
      <c r="A21" s="3" t="s">
        <v>12</v>
      </c>
      <c r="B21" s="2">
        <f t="shared" si="0"/>
        <v>20</v>
      </c>
      <c r="C21" s="2">
        <v>12</v>
      </c>
      <c r="D21" s="2">
        <v>2022</v>
      </c>
      <c r="E21" s="4">
        <f>Submetering!E21+Submetering!F21</f>
        <v>6182</v>
      </c>
      <c r="F21" s="12">
        <v>0.35</v>
      </c>
      <c r="G21" s="4">
        <f>Submetering!M21</f>
        <v>3036</v>
      </c>
      <c r="H21" s="12">
        <v>0.6</v>
      </c>
      <c r="I21" s="4">
        <f>Submetering!N21</f>
        <v>85</v>
      </c>
      <c r="J21" s="13">
        <v>2.06</v>
      </c>
      <c r="K21" s="4">
        <f>'Hampshire Daily'!B24</f>
        <v>56</v>
      </c>
      <c r="L21" s="4">
        <f>'Hampshire Daily'!C24</f>
        <v>154</v>
      </c>
    </row>
    <row r="22" spans="1:12" x14ac:dyDescent="0.35">
      <c r="A22" s="3" t="s">
        <v>12</v>
      </c>
      <c r="B22" s="2">
        <f t="shared" si="0"/>
        <v>21</v>
      </c>
      <c r="C22" s="2">
        <v>12</v>
      </c>
      <c r="D22" s="2">
        <v>2022</v>
      </c>
      <c r="E22" s="4">
        <f>Submetering!E22+Submetering!F22</f>
        <v>8192</v>
      </c>
      <c r="F22" s="12">
        <v>0.35</v>
      </c>
      <c r="G22" s="4">
        <f>Submetering!M22</f>
        <v>3092</v>
      </c>
      <c r="H22" s="12">
        <v>0.6</v>
      </c>
      <c r="I22" s="4">
        <f>Submetering!N22</f>
        <v>84</v>
      </c>
      <c r="J22" s="13">
        <v>2.06</v>
      </c>
      <c r="K22" s="4">
        <f>'Hampshire Daily'!B25</f>
        <v>77</v>
      </c>
      <c r="L22" s="4">
        <f>'Hampshire Daily'!C25</f>
        <v>201</v>
      </c>
    </row>
    <row r="23" spans="1:12" x14ac:dyDescent="0.35">
      <c r="A23" s="3" t="s">
        <v>12</v>
      </c>
      <c r="B23" s="2">
        <f t="shared" si="0"/>
        <v>22</v>
      </c>
      <c r="C23" s="2">
        <v>12</v>
      </c>
      <c r="D23" s="2">
        <v>2022</v>
      </c>
      <c r="E23" s="4">
        <f>Submetering!E23+Submetering!F23</f>
        <v>5130</v>
      </c>
      <c r="F23" s="12">
        <v>0.35</v>
      </c>
      <c r="G23" s="4">
        <f>Submetering!M23</f>
        <v>3116</v>
      </c>
      <c r="H23" s="12">
        <v>0.6</v>
      </c>
      <c r="I23" s="4">
        <f>Submetering!N23</f>
        <v>104</v>
      </c>
      <c r="J23" s="13">
        <v>2.06</v>
      </c>
      <c r="K23" s="4">
        <f>'Hampshire Daily'!B26</f>
        <v>83</v>
      </c>
      <c r="L23" s="4">
        <f>'Hampshire Daily'!C26</f>
        <v>222</v>
      </c>
    </row>
    <row r="24" spans="1:12" x14ac:dyDescent="0.35">
      <c r="A24" s="3" t="s">
        <v>12</v>
      </c>
      <c r="B24" s="2">
        <f t="shared" si="0"/>
        <v>23</v>
      </c>
      <c r="C24" s="2">
        <v>12</v>
      </c>
      <c r="D24" s="2">
        <v>2022</v>
      </c>
      <c r="E24" s="4">
        <f>Submetering!E24+Submetering!F24</f>
        <v>6722</v>
      </c>
      <c r="F24" s="12">
        <v>0.35</v>
      </c>
      <c r="G24" s="4">
        <f>Submetering!M24</f>
        <v>3144</v>
      </c>
      <c r="H24" s="12">
        <v>0.6</v>
      </c>
      <c r="I24" s="4">
        <f>Submetering!N24</f>
        <v>80</v>
      </c>
      <c r="J24" s="13">
        <v>2.06</v>
      </c>
      <c r="K24" s="4">
        <f>'Hampshire Daily'!B27</f>
        <v>63</v>
      </c>
      <c r="L24" s="4">
        <f>'Hampshire Daily'!C27</f>
        <v>150</v>
      </c>
    </row>
    <row r="25" spans="1:12" x14ac:dyDescent="0.35">
      <c r="A25" s="3" t="s">
        <v>12</v>
      </c>
      <c r="B25" s="2">
        <f t="shared" si="0"/>
        <v>24</v>
      </c>
      <c r="C25" s="2">
        <v>12</v>
      </c>
      <c r="D25" s="2">
        <v>2022</v>
      </c>
      <c r="E25" s="4">
        <f>Submetering!E25+Submetering!F25</f>
        <v>6594</v>
      </c>
      <c r="F25" s="12">
        <v>0.35</v>
      </c>
      <c r="G25" s="4">
        <f>Submetering!M25</f>
        <v>2676</v>
      </c>
      <c r="H25" s="12">
        <v>0.6</v>
      </c>
      <c r="I25" s="4">
        <f>Submetering!N25</f>
        <v>126</v>
      </c>
      <c r="J25" s="13">
        <v>2.06</v>
      </c>
      <c r="K25" s="4">
        <f>'Hampshire Daily'!B28</f>
        <v>115</v>
      </c>
      <c r="L25" s="4">
        <f>'Hampshire Daily'!C28</f>
        <v>263</v>
      </c>
    </row>
    <row r="26" spans="1:12" x14ac:dyDescent="0.35">
      <c r="A26" s="3" t="s">
        <v>12</v>
      </c>
      <c r="B26" s="2">
        <f>B25+1</f>
        <v>25</v>
      </c>
      <c r="C26" s="2">
        <v>12</v>
      </c>
      <c r="D26" s="2">
        <v>2022</v>
      </c>
      <c r="E26" s="4">
        <f>Submetering!E26+Submetering!F26</f>
        <v>7394</v>
      </c>
      <c r="F26" s="12">
        <v>0.35</v>
      </c>
      <c r="G26" s="4">
        <f>Submetering!M26</f>
        <v>3139</v>
      </c>
      <c r="H26" s="12">
        <v>0.6</v>
      </c>
      <c r="I26" s="4">
        <f>Submetering!N26</f>
        <v>97</v>
      </c>
      <c r="J26" s="13">
        <v>2.06</v>
      </c>
      <c r="K26" s="4">
        <f>'Hampshire Daily'!B29</f>
        <v>104</v>
      </c>
      <c r="L26" s="4">
        <f>'Hampshire Daily'!C29</f>
        <v>236</v>
      </c>
    </row>
    <row r="27" spans="1:12" x14ac:dyDescent="0.35">
      <c r="A27" s="3" t="s">
        <v>12</v>
      </c>
      <c r="B27" s="2">
        <f t="shared" si="0"/>
        <v>26</v>
      </c>
      <c r="C27" s="2">
        <v>12</v>
      </c>
      <c r="D27" s="2">
        <v>2022</v>
      </c>
      <c r="E27" s="4">
        <f>Submetering!E27+Submetering!F27</f>
        <v>6513</v>
      </c>
      <c r="F27" s="12">
        <v>0.35</v>
      </c>
      <c r="G27" s="4">
        <f>Submetering!M27</f>
        <v>3128</v>
      </c>
      <c r="H27" s="12">
        <v>0.6</v>
      </c>
      <c r="I27" s="4">
        <f>Submetering!N27</f>
        <v>112</v>
      </c>
      <c r="J27" s="13">
        <v>2.06</v>
      </c>
      <c r="K27" s="4">
        <f>'Hampshire Daily'!B30</f>
        <v>99</v>
      </c>
      <c r="L27" s="4">
        <f>'Hampshire Daily'!C30</f>
        <v>236</v>
      </c>
    </row>
    <row r="28" spans="1:12" x14ac:dyDescent="0.35">
      <c r="A28" s="3" t="s">
        <v>12</v>
      </c>
      <c r="B28" s="2">
        <f t="shared" si="0"/>
        <v>27</v>
      </c>
      <c r="C28" s="2">
        <v>12</v>
      </c>
      <c r="D28" s="2">
        <v>2022</v>
      </c>
      <c r="E28" s="4">
        <f>Submetering!E28+Submetering!F28</f>
        <v>6476</v>
      </c>
      <c r="F28" s="12">
        <v>0.35</v>
      </c>
      <c r="G28" s="4">
        <f>Submetering!M28</f>
        <v>3322</v>
      </c>
      <c r="H28" s="12">
        <v>0.6</v>
      </c>
      <c r="I28" s="4">
        <f>Submetering!N28</f>
        <v>102</v>
      </c>
      <c r="J28" s="13">
        <v>2.06</v>
      </c>
      <c r="K28" s="4">
        <f>'Hampshire Daily'!B31</f>
        <v>81</v>
      </c>
      <c r="L28" s="4">
        <f>'Hampshire Daily'!C31</f>
        <v>210</v>
      </c>
    </row>
    <row r="29" spans="1:12" x14ac:dyDescent="0.35">
      <c r="A29" s="3" t="s">
        <v>12</v>
      </c>
      <c r="B29" s="2">
        <f t="shared" si="0"/>
        <v>28</v>
      </c>
      <c r="C29" s="2">
        <v>12</v>
      </c>
      <c r="D29" s="2">
        <v>2022</v>
      </c>
      <c r="E29" s="4">
        <f>Submetering!E29+Submetering!F29</f>
        <v>6412</v>
      </c>
      <c r="F29" s="12">
        <v>0.35</v>
      </c>
      <c r="G29" s="4">
        <f>Submetering!M29</f>
        <v>3092</v>
      </c>
      <c r="H29" s="12">
        <v>0.6</v>
      </c>
      <c r="I29" s="4">
        <f>Submetering!N29</f>
        <v>106</v>
      </c>
      <c r="J29" s="13">
        <v>2.06</v>
      </c>
      <c r="K29" s="4">
        <f>'Hampshire Daily'!B32</f>
        <v>90</v>
      </c>
      <c r="L29" s="4">
        <f>'Hampshire Daily'!C32</f>
        <v>231</v>
      </c>
    </row>
    <row r="30" spans="1:12" x14ac:dyDescent="0.35">
      <c r="A30" s="3" t="s">
        <v>12</v>
      </c>
      <c r="B30" s="2">
        <f t="shared" si="0"/>
        <v>29</v>
      </c>
      <c r="C30" s="2">
        <v>12</v>
      </c>
      <c r="D30" s="2">
        <v>2022</v>
      </c>
      <c r="E30" s="4">
        <f>Submetering!E30+Submetering!F30</f>
        <v>6635</v>
      </c>
      <c r="F30" s="12">
        <v>0.35</v>
      </c>
      <c r="G30" s="4">
        <f>Submetering!M30</f>
        <v>3208</v>
      </c>
      <c r="H30" s="12">
        <v>0.6</v>
      </c>
      <c r="I30" s="4">
        <f>Submetering!N30</f>
        <v>95</v>
      </c>
      <c r="J30" s="13">
        <v>2.06</v>
      </c>
      <c r="K30" s="4">
        <f>'Hampshire Daily'!B33</f>
        <v>84</v>
      </c>
      <c r="L30" s="4">
        <f>'Hampshire Daily'!C33</f>
        <v>213</v>
      </c>
    </row>
    <row r="31" spans="1:12" x14ac:dyDescent="0.35">
      <c r="A31" s="3" t="s">
        <v>12</v>
      </c>
      <c r="B31" s="2">
        <f t="shared" si="0"/>
        <v>30</v>
      </c>
      <c r="C31" s="2">
        <v>12</v>
      </c>
      <c r="D31" s="2">
        <v>2022</v>
      </c>
      <c r="E31" s="4">
        <f>Submetering!E31+Submetering!F31</f>
        <v>6539</v>
      </c>
      <c r="F31" s="12">
        <v>0.35</v>
      </c>
      <c r="G31" s="4">
        <f>Submetering!M31</f>
        <v>3312</v>
      </c>
      <c r="H31" s="12">
        <v>0.6</v>
      </c>
      <c r="I31" s="4">
        <f>Submetering!N31</f>
        <v>109</v>
      </c>
      <c r="J31" s="13">
        <v>2.06</v>
      </c>
      <c r="K31" s="4">
        <f>'Hampshire Daily'!B34</f>
        <v>89</v>
      </c>
      <c r="L31" s="4">
        <f>'Hampshire Daily'!C34</f>
        <v>225</v>
      </c>
    </row>
    <row r="32" spans="1:12" x14ac:dyDescent="0.35">
      <c r="A32" s="3" t="s">
        <v>12</v>
      </c>
      <c r="B32" s="2">
        <f t="shared" si="0"/>
        <v>31</v>
      </c>
      <c r="C32" s="2">
        <v>12</v>
      </c>
      <c r="D32" s="2">
        <v>2022</v>
      </c>
      <c r="E32" s="4">
        <f>Submetering!E32+Submetering!F32</f>
        <v>6499</v>
      </c>
      <c r="F32" s="12">
        <v>1.35</v>
      </c>
      <c r="G32" s="4">
        <f>Submetering!M32</f>
        <v>3027</v>
      </c>
      <c r="H32" s="12">
        <v>1.6</v>
      </c>
      <c r="I32" s="4">
        <f>Submetering!N32</f>
        <v>91</v>
      </c>
      <c r="J32" s="13">
        <v>3.06</v>
      </c>
      <c r="K32" s="4">
        <f>'Hampshire Daily'!B35</f>
        <v>130</v>
      </c>
      <c r="L32" s="4">
        <f>'Hampshire Daily'!C35</f>
        <v>329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3" sqref="M3"/>
    </sheetView>
  </sheetViews>
  <sheetFormatPr defaultColWidth="11.54296875" defaultRowHeight="14.5" x14ac:dyDescent="0.35"/>
  <cols>
    <col min="1" max="1" width="13.7265625" style="3" customWidth="1"/>
    <col min="2" max="2" width="11.54296875" style="1" customWidth="1"/>
    <col min="3" max="3" width="11.54296875" style="1"/>
    <col min="4" max="4" width="13.453125" style="1" customWidth="1"/>
    <col min="5" max="16" width="12.54296875" style="4" customWidth="1"/>
    <col min="17" max="17" width="11.54296875" style="4"/>
  </cols>
  <sheetData>
    <row r="1" spans="1:23" s="3" customFormat="1" ht="43.5" x14ac:dyDescent="0.3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 x14ac:dyDescent="0.35">
      <c r="A2" s="3" t="s">
        <v>12</v>
      </c>
      <c r="B2" s="1">
        <v>1</v>
      </c>
      <c r="C2" s="1">
        <v>12</v>
      </c>
      <c r="D2" s="1">
        <v>2022</v>
      </c>
      <c r="E2" s="4">
        <f>'Hampshire Daily'!D5-'Hampshire Daily'!D4</f>
        <v>3398</v>
      </c>
      <c r="F2" s="4">
        <f>'Hampshire Daily'!E5-'Hampshire Daily'!E4</f>
        <v>2339</v>
      </c>
      <c r="G2" s="4">
        <f>'Hampshire Daily'!F5-'Hampshire Daily'!F4</f>
        <v>0</v>
      </c>
      <c r="H2" s="4">
        <f>'Hampshire Daily'!G5-'Hampshire Daily'!G4</f>
        <v>2199</v>
      </c>
      <c r="I2" s="4">
        <f>'Hampshire Daily'!H5-'Hampshire Daily'!H4</f>
        <v>0</v>
      </c>
      <c r="J2" s="4">
        <f>'Hampshire Daily'!I5-'Hampshire Daily'!I4</f>
        <v>2372</v>
      </c>
      <c r="K2" s="4">
        <f>'Hampshire Daily'!J5-'Hampshire Daily'!J4</f>
        <v>1058</v>
      </c>
      <c r="L2" s="4">
        <f>'Hampshire Daily'!K5-'Hampshire Daily'!K4</f>
        <v>2</v>
      </c>
      <c r="M2" s="4">
        <f>'Hampshire Daily'!N5-'Hampshire Daily'!N4</f>
        <v>3205</v>
      </c>
      <c r="N2" s="4">
        <f>'Hampshire Daily'!Q5-'Hampshire Daily'!Q4</f>
        <v>68.5</v>
      </c>
      <c r="O2" s="4">
        <f>'Hampshire Daily'!U5-'Hampshire Daily'!U4</f>
        <v>5</v>
      </c>
      <c r="P2" s="4">
        <f>'Hampshire Daily'!V5-'Hampshire Daily'!V4</f>
        <v>44</v>
      </c>
      <c r="Q2" s="4">
        <f>'Hampshire Daily'!Z5-'Hampshire Daily'!Z4</f>
        <v>7</v>
      </c>
      <c r="R2" s="4">
        <f>'Hampshire Daily'!B5</f>
        <v>41</v>
      </c>
      <c r="S2" s="4">
        <f>'Hampshire Daily'!C5</f>
        <v>61</v>
      </c>
    </row>
    <row r="3" spans="1:23" x14ac:dyDescent="0.35">
      <c r="A3" s="3" t="s">
        <v>12</v>
      </c>
      <c r="B3" s="1">
        <f>B2+1</f>
        <v>2</v>
      </c>
      <c r="C3" s="1">
        <v>12</v>
      </c>
      <c r="D3" s="1">
        <v>2022</v>
      </c>
      <c r="E3" s="4">
        <f>'Hampshire Daily'!D6-'Hampshire Daily'!D5</f>
        <v>3789.5</v>
      </c>
      <c r="F3" s="4">
        <f>'Hampshire Daily'!E6-'Hampshire Daily'!E5</f>
        <v>2529</v>
      </c>
      <c r="G3" s="4">
        <f>'Hampshire Daily'!F6-'Hampshire Daily'!F5</f>
        <v>0</v>
      </c>
      <c r="H3" s="4">
        <f>'Hampshire Daily'!G6-'Hampshire Daily'!G5</f>
        <v>3352</v>
      </c>
      <c r="I3" s="4">
        <f>'Hampshire Daily'!H6-'Hampshire Daily'!H5</f>
        <v>0</v>
      </c>
      <c r="J3" s="4">
        <f>'Hampshire Daily'!I6-'Hampshire Daily'!I5</f>
        <v>2300</v>
      </c>
      <c r="K3" s="4">
        <f>'Hampshire Daily'!J6-'Hampshire Daily'!J5</f>
        <v>1030</v>
      </c>
      <c r="L3" s="4">
        <f>'Hampshire Daily'!K6-'Hampshire Daily'!K5</f>
        <v>4</v>
      </c>
      <c r="M3" s="4">
        <f>'Hampshire Daily'!N6-'Hampshire Daily'!N5</f>
        <v>3536</v>
      </c>
      <c r="N3" s="4">
        <f>'Hampshire Daily'!Q6-'Hampshire Daily'!Q5</f>
        <v>68.5</v>
      </c>
      <c r="O3" s="4">
        <f>'Hampshire Daily'!U6-'Hampshire Daily'!U5</f>
        <v>4</v>
      </c>
      <c r="P3" s="4">
        <f>'Hampshire Daily'!V6-'Hampshire Daily'!V5</f>
        <v>39</v>
      </c>
      <c r="Q3" s="4">
        <f>'Hampshire Daily'!Z6-'Hampshire Daily'!Z5</f>
        <v>5</v>
      </c>
      <c r="R3" s="4">
        <f>'Hampshire Daily'!B6</f>
        <v>43</v>
      </c>
      <c r="S3" s="4">
        <f>'Hampshire Daily'!C6</f>
        <v>78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35">
      <c r="A4" s="3" t="s">
        <v>12</v>
      </c>
      <c r="B4" s="1">
        <f t="shared" ref="B4:B32" si="0">B3+1</f>
        <v>3</v>
      </c>
      <c r="C4" s="1">
        <v>12</v>
      </c>
      <c r="D4" s="1">
        <v>2022</v>
      </c>
      <c r="E4" s="4">
        <f>'Hampshire Daily'!D7-'Hampshire Daily'!D6</f>
        <v>3789.5</v>
      </c>
      <c r="F4" s="4">
        <f>'Hampshire Daily'!E7-'Hampshire Daily'!E6</f>
        <v>2529</v>
      </c>
      <c r="G4" s="4">
        <f>'Hampshire Daily'!F7-'Hampshire Daily'!F6</f>
        <v>0</v>
      </c>
      <c r="H4" s="4">
        <f>'Hampshire Daily'!G7-'Hampshire Daily'!G6</f>
        <v>3352</v>
      </c>
      <c r="I4" s="4">
        <f>'Hampshire Daily'!H7-'Hampshire Daily'!H6</f>
        <v>0</v>
      </c>
      <c r="J4" s="4">
        <f>'Hampshire Daily'!I7-'Hampshire Daily'!I6</f>
        <v>2375</v>
      </c>
      <c r="K4" s="4">
        <f>'Hampshire Daily'!J7-'Hampshire Daily'!J6</f>
        <v>1092</v>
      </c>
      <c r="L4" s="4">
        <f>'Hampshire Daily'!K7-'Hampshire Daily'!K6</f>
        <v>3</v>
      </c>
      <c r="M4" s="4">
        <f>'Hampshire Daily'!N7-'Hampshire Daily'!N6</f>
        <v>3500</v>
      </c>
      <c r="N4" s="4">
        <f>'Hampshire Daily'!Q7-'Hampshire Daily'!Q6</f>
        <v>66</v>
      </c>
      <c r="O4" s="4">
        <f>'Hampshire Daily'!U7-'Hampshire Daily'!U6</f>
        <v>4</v>
      </c>
      <c r="P4" s="4">
        <f>'Hampshire Daily'!V7-'Hampshire Daily'!V6</f>
        <v>44</v>
      </c>
      <c r="Q4" s="4">
        <f>'Hampshire Daily'!Z7-'Hampshire Daily'!Z6</f>
        <v>4</v>
      </c>
      <c r="R4" s="4">
        <f>'Hampshire Daily'!B7</f>
        <v>58</v>
      </c>
      <c r="S4" s="4">
        <f>'Hampshire Daily'!C7</f>
        <v>137</v>
      </c>
      <c r="T4" t="s">
        <v>26</v>
      </c>
    </row>
    <row r="5" spans="1:23" x14ac:dyDescent="0.35">
      <c r="A5" s="3" t="s">
        <v>12</v>
      </c>
      <c r="B5" s="1">
        <f t="shared" si="0"/>
        <v>4</v>
      </c>
      <c r="C5" s="1">
        <v>12</v>
      </c>
      <c r="D5" s="1">
        <v>2022</v>
      </c>
      <c r="E5" s="4">
        <f>'Hampshire Daily'!D8-'Hampshire Daily'!D7</f>
        <v>5119.5</v>
      </c>
      <c r="F5" s="4">
        <f>'Hampshire Daily'!E8-'Hampshire Daily'!E7</f>
        <v>2682</v>
      </c>
      <c r="G5" s="4">
        <f>'Hampshire Daily'!F8-'Hampshire Daily'!F7</f>
        <v>0</v>
      </c>
      <c r="H5" s="4">
        <f>'Hampshire Daily'!G8-'Hampshire Daily'!G7</f>
        <v>0</v>
      </c>
      <c r="I5" s="4">
        <f>'Hampshire Daily'!H8-'Hampshire Daily'!H7</f>
        <v>0</v>
      </c>
      <c r="J5" s="4">
        <f>'Hampshire Daily'!I8-'Hampshire Daily'!I7</f>
        <v>2455</v>
      </c>
      <c r="K5" s="4">
        <f>'Hampshire Daily'!J8-'Hampshire Daily'!J7</f>
        <v>1121</v>
      </c>
      <c r="L5" s="4">
        <f>'Hampshire Daily'!K8-'Hampshire Daily'!K7</f>
        <v>465.5</v>
      </c>
      <c r="M5" s="4">
        <f>'Hampshire Daily'!N8-'Hampshire Daily'!N7</f>
        <v>3256</v>
      </c>
      <c r="N5" s="4">
        <f>'Hampshire Daily'!Q8-'Hampshire Daily'!Q7</f>
        <v>75</v>
      </c>
      <c r="O5" s="4">
        <f>'Hampshire Daily'!U8-'Hampshire Daily'!U7</f>
        <v>27</v>
      </c>
      <c r="P5" s="4">
        <f>'Hampshire Daily'!V8-'Hampshire Daily'!V7</f>
        <v>52</v>
      </c>
      <c r="Q5" s="4">
        <f>'Hampshire Daily'!Z8-'Hampshire Daily'!Z7</f>
        <v>3</v>
      </c>
      <c r="R5" s="4">
        <f>'Hampshire Daily'!B8</f>
        <v>25</v>
      </c>
      <c r="S5" s="4">
        <f>'Hampshire Daily'!C8</f>
        <v>52</v>
      </c>
    </row>
    <row r="6" spans="1:23" x14ac:dyDescent="0.35">
      <c r="A6" s="3" t="s">
        <v>12</v>
      </c>
      <c r="B6" s="1">
        <f t="shared" si="0"/>
        <v>5</v>
      </c>
      <c r="C6" s="1">
        <v>12</v>
      </c>
      <c r="D6" s="1">
        <v>2022</v>
      </c>
      <c r="E6" s="4">
        <f>'Hampshire Daily'!D9-'Hampshire Daily'!D8</f>
        <v>5119.5</v>
      </c>
      <c r="F6" s="4">
        <f>'Hampshire Daily'!E9-'Hampshire Daily'!E8</f>
        <v>2682</v>
      </c>
      <c r="G6" s="4">
        <f>'Hampshire Daily'!F9-'Hampshire Daily'!F8</f>
        <v>0</v>
      </c>
      <c r="H6" s="4">
        <f>'Hampshire Daily'!G9-'Hampshire Daily'!G8</f>
        <v>2197</v>
      </c>
      <c r="I6" s="4">
        <f>'Hampshire Daily'!H9-'Hampshire Daily'!H8</f>
        <v>0</v>
      </c>
      <c r="J6" s="4">
        <f>'Hampshire Daily'!I9-'Hampshire Daily'!I8</f>
        <v>2490</v>
      </c>
      <c r="K6" s="4">
        <f>'Hampshire Daily'!J9-'Hampshire Daily'!J8</f>
        <v>1096</v>
      </c>
      <c r="L6" s="4">
        <f>'Hampshire Daily'!K9-'Hampshire Daily'!K8</f>
        <v>465.5</v>
      </c>
      <c r="M6" s="4">
        <f>'Hampshire Daily'!N9-'Hampshire Daily'!N8</f>
        <v>2896</v>
      </c>
      <c r="N6" s="4">
        <f>'Hampshire Daily'!Q9-'Hampshire Daily'!Q8</f>
        <v>71</v>
      </c>
      <c r="O6" s="4">
        <f>'Hampshire Daily'!U9-'Hampshire Daily'!U8</f>
        <v>28</v>
      </c>
      <c r="P6" s="4">
        <f>'Hampshire Daily'!V9-'Hampshire Daily'!V8</f>
        <v>50</v>
      </c>
      <c r="Q6" s="4">
        <f>'Hampshire Daily'!Z9-'Hampshire Daily'!Z8</f>
        <v>6</v>
      </c>
      <c r="R6" s="4">
        <f>'Hampshire Daily'!B9</f>
        <v>13</v>
      </c>
      <c r="S6" s="4">
        <f>'Hampshire Daily'!C9</f>
        <v>29</v>
      </c>
    </row>
    <row r="7" spans="1:23" x14ac:dyDescent="0.35">
      <c r="A7" s="3" t="s">
        <v>12</v>
      </c>
      <c r="B7" s="1">
        <f t="shared" si="0"/>
        <v>6</v>
      </c>
      <c r="C7" s="1">
        <v>12</v>
      </c>
      <c r="D7" s="1">
        <v>2022</v>
      </c>
      <c r="E7" s="4">
        <f>'Hampshire Daily'!D10-'Hampshire Daily'!D9</f>
        <v>6368</v>
      </c>
      <c r="F7" s="4">
        <f>'Hampshire Daily'!E10-'Hampshire Daily'!E9</f>
        <v>2323</v>
      </c>
      <c r="G7" s="4">
        <f>'Hampshire Daily'!F10-'Hampshire Daily'!F9</f>
        <v>0</v>
      </c>
      <c r="H7" s="4">
        <f>'Hampshire Daily'!G10-'Hampshire Daily'!G9</f>
        <v>2271</v>
      </c>
      <c r="I7" s="4">
        <f>'Hampshire Daily'!H10-'Hampshire Daily'!H9</f>
        <v>0</v>
      </c>
      <c r="J7" s="4">
        <f>'Hampshire Daily'!I10-'Hampshire Daily'!I9</f>
        <v>2159</v>
      </c>
      <c r="K7" s="4">
        <f>'Hampshire Daily'!J10-'Hampshire Daily'!J9</f>
        <v>898</v>
      </c>
      <c r="L7" s="4">
        <f>'Hampshire Daily'!K10-'Hampshire Daily'!K9</f>
        <v>768</v>
      </c>
      <c r="M7" s="4">
        <f>'Hampshire Daily'!N10-'Hampshire Daily'!N9</f>
        <v>2789</v>
      </c>
      <c r="N7" s="4">
        <f>'Hampshire Daily'!Q10-'Hampshire Daily'!Q9</f>
        <v>74</v>
      </c>
      <c r="O7" s="4">
        <f>'Hampshire Daily'!U10-'Hampshire Daily'!U9</f>
        <v>15</v>
      </c>
      <c r="P7" s="4">
        <f>'Hampshire Daily'!V10-'Hampshire Daily'!V9</f>
        <v>39</v>
      </c>
      <c r="Q7" s="4">
        <f>'Hampshire Daily'!Z10-'Hampshire Daily'!Z9</f>
        <v>3</v>
      </c>
      <c r="R7" s="4">
        <f>'Hampshire Daily'!B10</f>
        <v>12</v>
      </c>
      <c r="S7" s="4">
        <f>'Hampshire Daily'!C10</f>
        <v>28</v>
      </c>
    </row>
    <row r="8" spans="1:23" x14ac:dyDescent="0.35">
      <c r="A8" s="3" t="s">
        <v>12</v>
      </c>
      <c r="B8" s="1">
        <f t="shared" si="0"/>
        <v>7</v>
      </c>
      <c r="C8" s="1">
        <v>12</v>
      </c>
      <c r="D8" s="1">
        <v>2022</v>
      </c>
      <c r="E8" s="4">
        <f>'Hampshire Daily'!D11-'Hampshire Daily'!D10</f>
        <v>6343</v>
      </c>
      <c r="F8" s="4">
        <f>'Hampshire Daily'!E11-'Hampshire Daily'!E10</f>
        <v>2377</v>
      </c>
      <c r="G8" s="4">
        <f>'Hampshire Daily'!F11-'Hampshire Daily'!F10</f>
        <v>2</v>
      </c>
      <c r="H8" s="4">
        <f>'Hampshire Daily'!G11-'Hampshire Daily'!G10</f>
        <v>2240</v>
      </c>
      <c r="I8" s="4">
        <f>'Hampshire Daily'!H11-'Hampshire Daily'!H10</f>
        <v>0</v>
      </c>
      <c r="J8" s="4">
        <f>'Hampshire Daily'!I11-'Hampshire Daily'!I10</f>
        <v>2182</v>
      </c>
      <c r="K8" s="4">
        <f>'Hampshire Daily'!J11-'Hampshire Daily'!J10</f>
        <v>890</v>
      </c>
      <c r="L8" s="4">
        <f>'Hampshire Daily'!K11-'Hampshire Daily'!K10</f>
        <v>796</v>
      </c>
      <c r="M8" s="4">
        <f>'Hampshire Daily'!N11-'Hampshire Daily'!N10</f>
        <v>2921</v>
      </c>
      <c r="N8" s="4">
        <f>'Hampshire Daily'!Q11-'Hampshire Daily'!Q10</f>
        <v>54</v>
      </c>
      <c r="O8" s="4">
        <f>'Hampshire Daily'!U11-'Hampshire Daily'!U10</f>
        <v>0</v>
      </c>
      <c r="P8" s="4">
        <f>'Hampshire Daily'!V11-'Hampshire Daily'!V10</f>
        <v>34</v>
      </c>
      <c r="Q8" s="4">
        <f>'Hampshire Daily'!Z11-'Hampshire Daily'!Z10</f>
        <v>3</v>
      </c>
      <c r="R8" s="4">
        <f>'Hampshire Daily'!B11</f>
        <v>18</v>
      </c>
      <c r="S8" s="4">
        <f>'Hampshire Daily'!C11</f>
        <v>35</v>
      </c>
    </row>
    <row r="9" spans="1:23" x14ac:dyDescent="0.35">
      <c r="A9" s="3" t="s">
        <v>12</v>
      </c>
      <c r="B9" s="1">
        <f t="shared" si="0"/>
        <v>8</v>
      </c>
      <c r="C9" s="1">
        <v>12</v>
      </c>
      <c r="D9" s="1">
        <v>2022</v>
      </c>
      <c r="E9" s="4">
        <f>'Hampshire Daily'!D12-'Hampshire Daily'!D11</f>
        <v>4160</v>
      </c>
      <c r="F9" s="4">
        <f>'Hampshire Daily'!E12-'Hampshire Daily'!E11</f>
        <v>2626</v>
      </c>
      <c r="G9" s="4">
        <f>'Hampshire Daily'!F12-'Hampshire Daily'!F11</f>
        <v>0</v>
      </c>
      <c r="H9" s="4">
        <f>'Hampshire Daily'!G12-'Hampshire Daily'!G11</f>
        <v>2344</v>
      </c>
      <c r="I9" s="4">
        <f>'Hampshire Daily'!H12-'Hampshire Daily'!H11</f>
        <v>0</v>
      </c>
      <c r="J9" s="4">
        <f>'Hampshire Daily'!I12-'Hampshire Daily'!I11</f>
        <v>2271</v>
      </c>
      <c r="K9" s="4">
        <f>'Hampshire Daily'!J12-'Hampshire Daily'!J11</f>
        <v>984</v>
      </c>
      <c r="L9" s="4">
        <f>'Hampshire Daily'!K12-'Hampshire Daily'!K11</f>
        <v>221</v>
      </c>
      <c r="M9" s="4">
        <f>'Hampshire Daily'!N12-'Hampshire Daily'!N11</f>
        <v>3546</v>
      </c>
      <c r="N9" s="4">
        <f>'Hampshire Daily'!Q12-'Hampshire Daily'!Q11</f>
        <v>68.5</v>
      </c>
      <c r="O9" s="4">
        <f>'Hampshire Daily'!U12-'Hampshire Daily'!U11</f>
        <v>9</v>
      </c>
      <c r="P9" s="4">
        <f>'Hampshire Daily'!V12-'Hampshire Daily'!V11</f>
        <v>39</v>
      </c>
      <c r="Q9" s="4">
        <f>'Hampshire Daily'!Z12-'Hampshire Daily'!Z11</f>
        <v>3</v>
      </c>
      <c r="R9" s="4">
        <f>'Hampshire Daily'!B12</f>
        <v>50</v>
      </c>
      <c r="S9" s="4">
        <f>'Hampshire Daily'!C12</f>
        <v>84</v>
      </c>
    </row>
    <row r="10" spans="1:23" x14ac:dyDescent="0.35">
      <c r="A10" s="3" t="s">
        <v>12</v>
      </c>
      <c r="B10" s="1">
        <f t="shared" si="0"/>
        <v>9</v>
      </c>
      <c r="C10" s="1">
        <v>12</v>
      </c>
      <c r="D10" s="1">
        <v>2022</v>
      </c>
      <c r="E10" s="4">
        <f>'Hampshire Daily'!D13-'Hampshire Daily'!D12</f>
        <v>3939</v>
      </c>
      <c r="F10" s="4">
        <f>'Hampshire Daily'!E13-'Hampshire Daily'!E12</f>
        <v>2827.5</v>
      </c>
      <c r="G10" s="4">
        <f>'Hampshire Daily'!F13-'Hampshire Daily'!F12</f>
        <v>0</v>
      </c>
      <c r="H10" s="4">
        <f>'Hampshire Daily'!G13-'Hampshire Daily'!G12</f>
        <v>2425</v>
      </c>
      <c r="I10" s="4">
        <f>'Hampshire Daily'!H13-'Hampshire Daily'!H12</f>
        <v>0</v>
      </c>
      <c r="J10" s="4">
        <f>'Hampshire Daily'!I13-'Hampshire Daily'!I12</f>
        <v>2379</v>
      </c>
      <c r="K10" s="4">
        <f>'Hampshire Daily'!J13-'Hampshire Daily'!J12</f>
        <v>1046.5</v>
      </c>
      <c r="L10" s="4">
        <f>'Hampshire Daily'!K13-'Hampshire Daily'!K12</f>
        <v>4.5</v>
      </c>
      <c r="M10" s="4">
        <f>'Hampshire Daily'!N13-'Hampshire Daily'!N12</f>
        <v>4017</v>
      </c>
      <c r="N10" s="4">
        <f>'Hampshire Daily'!Q13-'Hampshire Daily'!Q12</f>
        <v>68.5</v>
      </c>
      <c r="O10" s="4">
        <f>'Hampshire Daily'!U13-'Hampshire Daily'!U12</f>
        <v>46</v>
      </c>
      <c r="P10" s="4">
        <f>'Hampshire Daily'!V13-'Hampshire Daily'!V12</f>
        <v>50</v>
      </c>
      <c r="Q10" s="4">
        <f>'Hampshire Daily'!Z13-'Hampshire Daily'!Z12</f>
        <v>5</v>
      </c>
      <c r="R10" s="4">
        <f>'Hampshire Daily'!B13</f>
        <v>79</v>
      </c>
      <c r="S10" s="4">
        <f>'Hampshire Daily'!C13</f>
        <v>131</v>
      </c>
    </row>
    <row r="11" spans="1:23" x14ac:dyDescent="0.35">
      <c r="A11" s="3" t="s">
        <v>12</v>
      </c>
      <c r="B11" s="1">
        <f t="shared" si="0"/>
        <v>10</v>
      </c>
      <c r="C11" s="1">
        <v>12</v>
      </c>
      <c r="D11" s="1">
        <v>2022</v>
      </c>
      <c r="E11" s="4">
        <f>'Hampshire Daily'!D14-'Hampshire Daily'!D13</f>
        <v>3939</v>
      </c>
      <c r="F11" s="4">
        <f>'Hampshire Daily'!E14-'Hampshire Daily'!E13</f>
        <v>2827.5</v>
      </c>
      <c r="G11" s="4">
        <f>'Hampshire Daily'!F14-'Hampshire Daily'!F13</f>
        <v>0</v>
      </c>
      <c r="H11" s="4">
        <f>'Hampshire Daily'!G14-'Hampshire Daily'!G13</f>
        <v>2425</v>
      </c>
      <c r="I11" s="4">
        <f>'Hampshire Daily'!H14-'Hampshire Daily'!H13</f>
        <v>0</v>
      </c>
      <c r="J11" s="4">
        <f>'Hampshire Daily'!I14-'Hampshire Daily'!I13</f>
        <v>2379</v>
      </c>
      <c r="K11" s="4">
        <f>'Hampshire Daily'!J14-'Hampshire Daily'!J13</f>
        <v>1046.5</v>
      </c>
      <c r="L11" s="4">
        <f>'Hampshire Daily'!K14-'Hampshire Daily'!K13</f>
        <v>4.5</v>
      </c>
      <c r="M11" s="4">
        <f>'Hampshire Daily'!N14-'Hampshire Daily'!N13</f>
        <v>3927</v>
      </c>
      <c r="N11" s="4">
        <f>'Hampshire Daily'!Q14-'Hampshire Daily'!Q13</f>
        <v>83</v>
      </c>
      <c r="O11" s="4">
        <f>'Hampshire Daily'!U14-'Hampshire Daily'!U13</f>
        <v>46</v>
      </c>
      <c r="P11" s="4">
        <f>'Hampshire Daily'!V14-'Hampshire Daily'!V13</f>
        <v>59</v>
      </c>
      <c r="Q11" s="4">
        <f>'Hampshire Daily'!Z14-'Hampshire Daily'!Z13</f>
        <v>3</v>
      </c>
      <c r="R11" s="4">
        <f>'Hampshire Daily'!B14</f>
        <v>58</v>
      </c>
      <c r="S11" s="4">
        <f>'Hampshire Daily'!C14</f>
        <v>139</v>
      </c>
    </row>
    <row r="12" spans="1:23" x14ac:dyDescent="0.35">
      <c r="A12" s="3" t="s">
        <v>12</v>
      </c>
      <c r="B12" s="1">
        <f t="shared" si="0"/>
        <v>11</v>
      </c>
      <c r="C12" s="1">
        <v>12</v>
      </c>
      <c r="D12" s="1">
        <v>2022</v>
      </c>
      <c r="E12" s="4">
        <f>'Hampshire Daily'!D15-'Hampshire Daily'!D14</f>
        <v>3858</v>
      </c>
      <c r="F12" s="4">
        <f>'Hampshire Daily'!E15-'Hampshire Daily'!E14</f>
        <v>2954</v>
      </c>
      <c r="G12" s="4">
        <f>'Hampshire Daily'!F15-'Hampshire Daily'!F14</f>
        <v>0</v>
      </c>
      <c r="H12" s="4">
        <f>'Hampshire Daily'!G15-'Hampshire Daily'!G14</f>
        <v>2364</v>
      </c>
      <c r="I12" s="4">
        <f>'Hampshire Daily'!H15-'Hampshire Daily'!H14</f>
        <v>0</v>
      </c>
      <c r="J12" s="4">
        <f>'Hampshire Daily'!I15-'Hampshire Daily'!I14</f>
        <v>2449</v>
      </c>
      <c r="K12" s="4">
        <f>'Hampshire Daily'!J15-'Hampshire Daily'!J14</f>
        <v>1084</v>
      </c>
      <c r="L12" s="4">
        <f>'Hampshire Daily'!K15-'Hampshire Daily'!K14</f>
        <v>4</v>
      </c>
      <c r="M12" s="4">
        <f>'Hampshire Daily'!N15-'Hampshire Daily'!N14</f>
        <v>4119</v>
      </c>
      <c r="N12" s="4">
        <f>'Hampshire Daily'!Q15-'Hampshire Daily'!Q14</f>
        <v>91</v>
      </c>
      <c r="O12" s="4">
        <f>'Hampshire Daily'!U15-'Hampshire Daily'!U14</f>
        <v>53</v>
      </c>
      <c r="P12" s="4">
        <f>'Hampshire Daily'!V15-'Hampshire Daily'!V14</f>
        <v>63</v>
      </c>
      <c r="Q12" s="4">
        <f>'Hampshire Daily'!Z15-'Hampshire Daily'!Z14</f>
        <v>6</v>
      </c>
      <c r="R12" s="4">
        <f>'Hampshire Daily'!B15</f>
        <v>26</v>
      </c>
      <c r="S12" s="4">
        <f>'Hampshire Daily'!C15</f>
        <v>63</v>
      </c>
    </row>
    <row r="13" spans="1:23" x14ac:dyDescent="0.35">
      <c r="A13" s="3" t="s">
        <v>12</v>
      </c>
      <c r="B13" s="1">
        <f t="shared" si="0"/>
        <v>12</v>
      </c>
      <c r="C13" s="1">
        <v>12</v>
      </c>
      <c r="D13" s="1">
        <v>2022</v>
      </c>
      <c r="E13" s="4">
        <f>'Hampshire Daily'!D16-'Hampshire Daily'!D15</f>
        <v>3647</v>
      </c>
      <c r="F13" s="4">
        <f>'Hampshire Daily'!E16-'Hampshire Daily'!E15</f>
        <v>4195</v>
      </c>
      <c r="G13" s="4">
        <f>'Hampshire Daily'!F16-'Hampshire Daily'!F15</f>
        <v>422</v>
      </c>
      <c r="H13" s="4">
        <f>'Hampshire Daily'!G16-'Hampshire Daily'!G15</f>
        <v>2254</v>
      </c>
      <c r="I13" s="4">
        <f>'Hampshire Daily'!H16-'Hampshire Daily'!H15</f>
        <v>0</v>
      </c>
      <c r="J13" s="4">
        <f>'Hampshire Daily'!I16-'Hampshire Daily'!I15</f>
        <v>2599</v>
      </c>
      <c r="K13" s="4">
        <f>'Hampshire Daily'!J16-'Hampshire Daily'!J15</f>
        <v>1201</v>
      </c>
      <c r="L13" s="4">
        <f>'Hampshire Daily'!K16-'Hampshire Daily'!K15</f>
        <v>5</v>
      </c>
      <c r="M13" s="4">
        <f>'Hampshire Daily'!N16-'Hampshire Daily'!N15</f>
        <v>3625</v>
      </c>
      <c r="N13" s="4">
        <f>'Hampshire Daily'!Q16-'Hampshire Daily'!Q15</f>
        <v>74</v>
      </c>
      <c r="O13" s="4">
        <f>'Hampshire Daily'!U16-'Hampshire Daily'!U15</f>
        <v>40</v>
      </c>
      <c r="P13" s="4">
        <f>'Hampshire Daily'!V16-'Hampshire Daily'!V15</f>
        <v>52</v>
      </c>
      <c r="Q13" s="4">
        <f>'Hampshire Daily'!Z16-'Hampshire Daily'!Z15</f>
        <v>8</v>
      </c>
      <c r="R13" s="4">
        <f>'Hampshire Daily'!B16</f>
        <v>19</v>
      </c>
      <c r="S13" s="4">
        <f>'Hampshire Daily'!C16</f>
        <v>40</v>
      </c>
    </row>
    <row r="14" spans="1:23" x14ac:dyDescent="0.35">
      <c r="A14" s="3" t="s">
        <v>12</v>
      </c>
      <c r="B14" s="1">
        <f t="shared" si="0"/>
        <v>13</v>
      </c>
      <c r="C14" s="1">
        <v>12</v>
      </c>
      <c r="D14" s="1">
        <v>2022</v>
      </c>
      <c r="E14" s="4">
        <f>'Hampshire Daily'!D17-'Hampshire Daily'!D16</f>
        <v>3783</v>
      </c>
      <c r="F14" s="4">
        <f>'Hampshire Daily'!E17-'Hampshire Daily'!E16</f>
        <v>5784</v>
      </c>
      <c r="G14" s="4">
        <f>'Hampshire Daily'!F17-'Hampshire Daily'!F16</f>
        <v>922</v>
      </c>
      <c r="H14" s="4">
        <f>'Hampshire Daily'!G17-'Hampshire Daily'!G16</f>
        <v>2168</v>
      </c>
      <c r="I14" s="4">
        <f>'Hampshire Daily'!H17-'Hampshire Daily'!H16</f>
        <v>0</v>
      </c>
      <c r="J14" s="4">
        <f>'Hampshire Daily'!I17-'Hampshire Daily'!I16</f>
        <v>2181</v>
      </c>
      <c r="K14" s="4">
        <f>'Hampshire Daily'!J17-'Hampshire Daily'!J16</f>
        <v>943</v>
      </c>
      <c r="L14" s="4">
        <f>'Hampshire Daily'!K17-'Hampshire Daily'!K16</f>
        <v>14</v>
      </c>
      <c r="M14" s="4">
        <f>'Hampshire Daily'!N17-'Hampshire Daily'!N16</f>
        <v>3589</v>
      </c>
      <c r="N14" s="4">
        <f>'Hampshire Daily'!Q17-'Hampshire Daily'!Q16</f>
        <v>73</v>
      </c>
      <c r="O14" s="4">
        <f>'Hampshire Daily'!U17-'Hampshire Daily'!U16</f>
        <v>35</v>
      </c>
      <c r="P14" s="4">
        <f>'Hampshire Daily'!V17-'Hampshire Daily'!V16</f>
        <v>43</v>
      </c>
      <c r="Q14" s="4">
        <f>'Hampshire Daily'!Z17-'Hampshire Daily'!Z16</f>
        <v>4</v>
      </c>
      <c r="R14" s="4">
        <f>'Hampshire Daily'!B17</f>
        <v>24</v>
      </c>
      <c r="S14" s="4">
        <f>'Hampshire Daily'!C17</f>
        <v>50</v>
      </c>
    </row>
    <row r="15" spans="1:23" x14ac:dyDescent="0.35">
      <c r="A15" s="3" t="s">
        <v>12</v>
      </c>
      <c r="B15" s="1">
        <f t="shared" si="0"/>
        <v>14</v>
      </c>
      <c r="C15" s="1">
        <v>12</v>
      </c>
      <c r="D15" s="1">
        <v>2022</v>
      </c>
      <c r="E15" s="4">
        <f>'Hampshire Daily'!D18-'Hampshire Daily'!D17</f>
        <v>4145</v>
      </c>
      <c r="F15" s="4">
        <f>'Hampshire Daily'!E18-'Hampshire Daily'!E17</f>
        <v>5768</v>
      </c>
      <c r="G15" s="4">
        <f>'Hampshire Daily'!F18-'Hampshire Daily'!F17</f>
        <v>928</v>
      </c>
      <c r="H15" s="4">
        <f>'Hampshire Daily'!G18-'Hampshire Daily'!G17</f>
        <v>2393</v>
      </c>
      <c r="I15" s="4">
        <f>'Hampshire Daily'!H18-'Hampshire Daily'!H17</f>
        <v>0</v>
      </c>
      <c r="J15" s="4">
        <f>'Hampshire Daily'!I18-'Hampshire Daily'!I17</f>
        <v>2227</v>
      </c>
      <c r="K15" s="4">
        <f>'Hampshire Daily'!J18-'Hampshire Daily'!J17</f>
        <v>995</v>
      </c>
      <c r="L15" s="4">
        <f>'Hampshire Daily'!K18-'Hampshire Daily'!K17</f>
        <v>54</v>
      </c>
      <c r="M15" s="4">
        <f>'Hampshire Daily'!N18-'Hampshire Daily'!N17</f>
        <v>3508</v>
      </c>
      <c r="N15" s="4">
        <f>'Hampshire Daily'!Q18-'Hampshire Daily'!Q17</f>
        <v>75</v>
      </c>
      <c r="O15" s="4">
        <f>'Hampshire Daily'!U18-'Hampshire Daily'!U17</f>
        <v>34</v>
      </c>
      <c r="P15" s="4">
        <f>'Hampshire Daily'!V18-'Hampshire Daily'!V17</f>
        <v>42</v>
      </c>
      <c r="Q15" s="4">
        <f>'Hampshire Daily'!Z18-'Hampshire Daily'!Z17</f>
        <v>6</v>
      </c>
      <c r="R15" s="4">
        <f>'Hampshire Daily'!B18</f>
        <v>43</v>
      </c>
      <c r="S15" s="4">
        <f>'Hampshire Daily'!C18</f>
        <v>80</v>
      </c>
    </row>
    <row r="16" spans="1:23" x14ac:dyDescent="0.35">
      <c r="A16" s="3" t="s">
        <v>12</v>
      </c>
      <c r="B16" s="1">
        <f t="shared" si="0"/>
        <v>15</v>
      </c>
      <c r="C16" s="1">
        <v>12</v>
      </c>
      <c r="D16" s="1">
        <v>2022</v>
      </c>
      <c r="E16" s="4">
        <f>'Hampshire Daily'!D19-'Hampshire Daily'!D18</f>
        <v>4601</v>
      </c>
      <c r="F16" s="4">
        <f>'Hampshire Daily'!E19-'Hampshire Daily'!E18</f>
        <v>6720</v>
      </c>
      <c r="G16" s="4">
        <f>'Hampshire Daily'!F19-'Hampshire Daily'!F18</f>
        <v>1006</v>
      </c>
      <c r="H16" s="4">
        <f>'Hampshire Daily'!G19-'Hampshire Daily'!G18</f>
        <v>2652</v>
      </c>
      <c r="I16" s="4">
        <f>'Hampshire Daily'!H19-'Hampshire Daily'!H18</f>
        <v>0</v>
      </c>
      <c r="J16" s="4">
        <f>'Hampshire Daily'!I19-'Hampshire Daily'!I18</f>
        <v>2627</v>
      </c>
      <c r="K16" s="4">
        <f>'Hampshire Daily'!J19-'Hampshire Daily'!J18</f>
        <v>1084</v>
      </c>
      <c r="L16" s="4">
        <f>'Hampshire Daily'!K19-'Hampshire Daily'!K18</f>
        <v>20</v>
      </c>
      <c r="M16" s="4">
        <f>'Hampshire Daily'!N19-'Hampshire Daily'!N18</f>
        <v>3816</v>
      </c>
      <c r="N16" s="4">
        <f>'Hampshire Daily'!Q19-'Hampshire Daily'!Q18</f>
        <v>82</v>
      </c>
      <c r="O16" s="4">
        <f>'Hampshire Daily'!U19-'Hampshire Daily'!U18</f>
        <v>46</v>
      </c>
      <c r="P16" s="4">
        <f>'Hampshire Daily'!V19-'Hampshire Daily'!V18</f>
        <v>52</v>
      </c>
      <c r="Q16" s="4">
        <f>'Hampshire Daily'!Z19-'Hampshire Daily'!Z18</f>
        <v>4</v>
      </c>
      <c r="R16" s="4">
        <f>'Hampshire Daily'!B19</f>
        <v>49</v>
      </c>
      <c r="S16" s="4">
        <f>'Hampshire Daily'!C19</f>
        <v>98</v>
      </c>
    </row>
    <row r="17" spans="1:19" x14ac:dyDescent="0.35">
      <c r="A17" s="3" t="s">
        <v>12</v>
      </c>
      <c r="B17" s="1">
        <f t="shared" si="0"/>
        <v>16</v>
      </c>
      <c r="C17" s="1">
        <v>12</v>
      </c>
      <c r="D17" s="1">
        <v>2022</v>
      </c>
      <c r="E17" s="4">
        <f>'Hampshire Daily'!D20-'Hampshire Daily'!D19</f>
        <v>3609</v>
      </c>
      <c r="F17" s="4">
        <f>'Hampshire Daily'!E20-'Hampshire Daily'!E19</f>
        <v>5859</v>
      </c>
      <c r="G17" s="4">
        <f>'Hampshire Daily'!F20-'Hampshire Daily'!F19</f>
        <v>933</v>
      </c>
      <c r="H17" s="4">
        <f>'Hampshire Daily'!G20-'Hampshire Daily'!G19</f>
        <v>2485</v>
      </c>
      <c r="I17" s="4">
        <f>'Hampshire Daily'!H20-'Hampshire Daily'!H19</f>
        <v>0</v>
      </c>
      <c r="J17" s="4">
        <f>'Hampshire Daily'!I20-'Hampshire Daily'!I19</f>
        <v>2592</v>
      </c>
      <c r="K17" s="4">
        <f>'Hampshire Daily'!J20-'Hampshire Daily'!J19</f>
        <v>1072</v>
      </c>
      <c r="L17" s="4">
        <f>'Hampshire Daily'!K20-'Hampshire Daily'!K19</f>
        <v>31</v>
      </c>
      <c r="M17" s="4">
        <f>'Hampshire Daily'!N20-'Hampshire Daily'!N19</f>
        <v>3080</v>
      </c>
      <c r="N17" s="4">
        <f>'Hampshire Daily'!Q20-'Hampshire Daily'!Q19</f>
        <v>76</v>
      </c>
      <c r="O17" s="4">
        <f>'Hampshire Daily'!U20-'Hampshire Daily'!U19</f>
        <v>49</v>
      </c>
      <c r="P17" s="4">
        <f>'Hampshire Daily'!V20-'Hampshire Daily'!V19</f>
        <v>54</v>
      </c>
      <c r="Q17" s="4">
        <f>'Hampshire Daily'!Z20-'Hampshire Daily'!Z19</f>
        <v>3</v>
      </c>
      <c r="R17" s="4">
        <f>'Hampshire Daily'!B20</f>
        <v>81</v>
      </c>
      <c r="S17" s="4">
        <f>'Hampshire Daily'!C20</f>
        <v>182</v>
      </c>
    </row>
    <row r="18" spans="1:19" x14ac:dyDescent="0.35">
      <c r="A18" s="3" t="s">
        <v>12</v>
      </c>
      <c r="B18" s="1">
        <f t="shared" si="0"/>
        <v>17</v>
      </c>
      <c r="C18" s="1">
        <v>12</v>
      </c>
      <c r="D18" s="1">
        <v>2022</v>
      </c>
      <c r="E18" s="4">
        <f>'Hampshire Daily'!D21-'Hampshire Daily'!D20</f>
        <v>4268</v>
      </c>
      <c r="F18" s="4">
        <f>'Hampshire Daily'!E21-'Hampshire Daily'!E20</f>
        <v>4511</v>
      </c>
      <c r="G18" s="4">
        <f>'Hampshire Daily'!F21-'Hampshire Daily'!F20</f>
        <v>352</v>
      </c>
      <c r="H18" s="4">
        <f>'Hampshire Daily'!G21-'Hampshire Daily'!G20</f>
        <v>2569</v>
      </c>
      <c r="I18" s="4">
        <f>'Hampshire Daily'!H21-'Hampshire Daily'!H20</f>
        <v>0</v>
      </c>
      <c r="J18" s="4">
        <f>'Hampshire Daily'!I21-'Hampshire Daily'!I20</f>
        <v>2756</v>
      </c>
      <c r="K18" s="4">
        <f>'Hampshire Daily'!J21-'Hampshire Daily'!J20</f>
        <v>1164</v>
      </c>
      <c r="L18" s="4">
        <f>'Hampshire Daily'!K21-'Hampshire Daily'!K20</f>
        <v>30</v>
      </c>
      <c r="M18" s="4">
        <f>'Hampshire Daily'!N21-'Hampshire Daily'!N20</f>
        <v>3929</v>
      </c>
      <c r="N18" s="4">
        <f>'Hampshire Daily'!Q21-'Hampshire Daily'!Q20</f>
        <v>96</v>
      </c>
      <c r="O18" s="4">
        <f>'Hampshire Daily'!U21-'Hampshire Daily'!U20</f>
        <v>56</v>
      </c>
      <c r="P18" s="4">
        <f>'Hampshire Daily'!V21-'Hampshire Daily'!V20</f>
        <v>63</v>
      </c>
      <c r="Q18" s="4">
        <f>'Hampshire Daily'!Z21-'Hampshire Daily'!Z20</f>
        <v>4</v>
      </c>
      <c r="R18" s="4">
        <f>'Hampshire Daily'!B21</f>
        <v>86</v>
      </c>
      <c r="S18" s="4">
        <f>'Hampshire Daily'!C21</f>
        <v>194</v>
      </c>
    </row>
    <row r="19" spans="1:19" x14ac:dyDescent="0.35">
      <c r="A19" s="3" t="s">
        <v>12</v>
      </c>
      <c r="B19" s="1">
        <f t="shared" si="0"/>
        <v>18</v>
      </c>
      <c r="C19" s="1">
        <v>12</v>
      </c>
      <c r="D19" s="1">
        <v>2022</v>
      </c>
      <c r="E19" s="4">
        <f>'Hampshire Daily'!D22-'Hampshire Daily'!D21</f>
        <v>4902</v>
      </c>
      <c r="F19" s="4">
        <f>'Hampshire Daily'!E22-'Hampshire Daily'!E21</f>
        <v>3185</v>
      </c>
      <c r="G19" s="4">
        <f>'Hampshire Daily'!F22-'Hampshire Daily'!F21</f>
        <v>0</v>
      </c>
      <c r="H19" s="4">
        <f>'Hampshire Daily'!G22-'Hampshire Daily'!G21</f>
        <v>2500</v>
      </c>
      <c r="I19" s="4">
        <f>'Hampshire Daily'!H22-'Hampshire Daily'!H21</f>
        <v>0</v>
      </c>
      <c r="J19" s="4">
        <f>'Hampshire Daily'!I22-'Hampshire Daily'!I21</f>
        <v>2861</v>
      </c>
      <c r="K19" s="4">
        <f>'Hampshire Daily'!J22-'Hampshire Daily'!J21</f>
        <v>1255</v>
      </c>
      <c r="L19" s="4">
        <f>'Hampshire Daily'!K22-'Hampshire Daily'!K21</f>
        <v>250</v>
      </c>
      <c r="M19" s="4">
        <f>'Hampshire Daily'!N22-'Hampshire Daily'!N21</f>
        <v>3467</v>
      </c>
      <c r="N19" s="4">
        <f>'Hampshire Daily'!Q22-'Hampshire Daily'!Q21</f>
        <v>95</v>
      </c>
      <c r="O19" s="4">
        <f>'Hampshire Daily'!U22-'Hampshire Daily'!U21</f>
        <v>82</v>
      </c>
      <c r="P19" s="4">
        <f>'Hampshire Daily'!V22-'Hampshire Daily'!V21</f>
        <v>84</v>
      </c>
      <c r="Q19" s="4">
        <f>'Hampshire Daily'!Z22-'Hampshire Daily'!Z21</f>
        <v>7</v>
      </c>
      <c r="R19" s="4">
        <f>'Hampshire Daily'!B22</f>
        <v>59</v>
      </c>
      <c r="S19" s="4">
        <f>'Hampshire Daily'!C22</f>
        <v>155</v>
      </c>
    </row>
    <row r="20" spans="1:19" x14ac:dyDescent="0.35">
      <c r="A20" s="3" t="s">
        <v>12</v>
      </c>
      <c r="B20" s="1">
        <f t="shared" si="0"/>
        <v>19</v>
      </c>
      <c r="C20" s="1">
        <v>12</v>
      </c>
      <c r="D20" s="1">
        <v>2022</v>
      </c>
      <c r="E20" s="4">
        <f>'Hampshire Daily'!D23-'Hampshire Daily'!D22</f>
        <v>3687</v>
      </c>
      <c r="F20" s="4">
        <f>'Hampshire Daily'!E23-'Hampshire Daily'!E22</f>
        <v>2918</v>
      </c>
      <c r="G20" s="4">
        <f>'Hampshire Daily'!F23-'Hampshire Daily'!F22</f>
        <v>0</v>
      </c>
      <c r="H20" s="4">
        <f>'Hampshire Daily'!G23-'Hampshire Daily'!G22</f>
        <v>1944</v>
      </c>
      <c r="I20" s="4">
        <f>'Hampshire Daily'!H23-'Hampshire Daily'!H22</f>
        <v>0</v>
      </c>
      <c r="J20" s="4">
        <f>'Hampshire Daily'!I23-'Hampshire Daily'!I22</f>
        <v>2672</v>
      </c>
      <c r="K20" s="4">
        <f>'Hampshire Daily'!J23-'Hampshire Daily'!J22</f>
        <v>1159</v>
      </c>
      <c r="L20" s="4">
        <f>'Hampshire Daily'!K23-'Hampshire Daily'!K22</f>
        <v>150</v>
      </c>
      <c r="M20" s="4">
        <f>'Hampshire Daily'!N23-'Hampshire Daily'!N22</f>
        <v>3319</v>
      </c>
      <c r="N20" s="4">
        <f>'Hampshire Daily'!Q23-'Hampshire Daily'!Q22</f>
        <v>111</v>
      </c>
      <c r="O20" s="4">
        <f>'Hampshire Daily'!U23-'Hampshire Daily'!U22</f>
        <v>63</v>
      </c>
      <c r="P20" s="4">
        <f>'Hampshire Daily'!V23-'Hampshire Daily'!V22</f>
        <v>70</v>
      </c>
      <c r="Q20" s="4">
        <f>'Hampshire Daily'!Z23-'Hampshire Daily'!Z22</f>
        <v>4</v>
      </c>
      <c r="R20" s="4">
        <f>'Hampshire Daily'!B23</f>
        <v>91</v>
      </c>
      <c r="S20" s="4">
        <f>'Hampshire Daily'!C23</f>
        <v>160</v>
      </c>
    </row>
    <row r="21" spans="1:19" x14ac:dyDescent="0.35">
      <c r="A21" s="3" t="s">
        <v>12</v>
      </c>
      <c r="B21" s="1">
        <f t="shared" si="0"/>
        <v>20</v>
      </c>
      <c r="C21" s="1">
        <v>12</v>
      </c>
      <c r="D21" s="1">
        <v>2022</v>
      </c>
      <c r="E21" s="4">
        <f>'Hampshire Daily'!D24-'Hampshire Daily'!D23</f>
        <v>3531</v>
      </c>
      <c r="F21" s="4">
        <f>'Hampshire Daily'!E24-'Hampshire Daily'!E23</f>
        <v>2651</v>
      </c>
      <c r="G21" s="4">
        <f>'Hampshire Daily'!F24-'Hampshire Daily'!F23</f>
        <v>0</v>
      </c>
      <c r="H21" s="4">
        <f>'Hampshire Daily'!G24-'Hampshire Daily'!G23</f>
        <v>2032</v>
      </c>
      <c r="I21" s="4">
        <f>'Hampshire Daily'!H24-'Hampshire Daily'!H23</f>
        <v>0</v>
      </c>
      <c r="J21" s="4">
        <f>'Hampshire Daily'!I24-'Hampshire Daily'!I23</f>
        <v>2634</v>
      </c>
      <c r="K21" s="4">
        <f>'Hampshire Daily'!J24-'Hampshire Daily'!J23</f>
        <v>1155</v>
      </c>
      <c r="L21" s="4">
        <f>'Hampshire Daily'!K24-'Hampshire Daily'!K23</f>
        <v>13</v>
      </c>
      <c r="M21" s="4">
        <f>'Hampshire Daily'!N24-'Hampshire Daily'!N23</f>
        <v>3036</v>
      </c>
      <c r="N21" s="4">
        <f>'Hampshire Daily'!Q24-'Hampshire Daily'!Q23</f>
        <v>85</v>
      </c>
      <c r="O21" s="4">
        <f>'Hampshire Daily'!U24-'Hampshire Daily'!U23</f>
        <v>65</v>
      </c>
      <c r="P21" s="4">
        <f>'Hampshire Daily'!V24-'Hampshire Daily'!V23</f>
        <v>70</v>
      </c>
      <c r="Q21" s="4">
        <f>'Hampshire Daily'!Z24-'Hampshire Daily'!Z23</f>
        <v>3</v>
      </c>
      <c r="R21" s="4">
        <f>'Hampshire Daily'!B24</f>
        <v>56</v>
      </c>
      <c r="S21" s="4">
        <f>'Hampshire Daily'!C24</f>
        <v>154</v>
      </c>
    </row>
    <row r="22" spans="1:19" x14ac:dyDescent="0.35">
      <c r="A22" s="3" t="s">
        <v>12</v>
      </c>
      <c r="B22" s="1">
        <f t="shared" si="0"/>
        <v>21</v>
      </c>
      <c r="C22" s="1">
        <v>12</v>
      </c>
      <c r="D22" s="1">
        <v>2022</v>
      </c>
      <c r="E22" s="4">
        <f>'Hampshire Daily'!D25-'Hampshire Daily'!D24</f>
        <v>7430</v>
      </c>
      <c r="F22" s="4">
        <f>'Hampshire Daily'!E25-'Hampshire Daily'!E24</f>
        <v>762</v>
      </c>
      <c r="G22" s="4">
        <f>'Hampshire Daily'!F25-'Hampshire Daily'!F24</f>
        <v>3</v>
      </c>
      <c r="H22" s="4">
        <f>'Hampshire Daily'!G25-'Hampshire Daily'!G24</f>
        <v>2197</v>
      </c>
      <c r="I22" s="4">
        <f>'Hampshire Daily'!H25-'Hampshire Daily'!H24</f>
        <v>0</v>
      </c>
      <c r="J22" s="4">
        <f>'Hampshire Daily'!I25-'Hampshire Daily'!I24</f>
        <v>2962</v>
      </c>
      <c r="K22" s="4">
        <f>'Hampshire Daily'!J25-'Hampshire Daily'!J24</f>
        <v>1287</v>
      </c>
      <c r="L22" s="4">
        <f>'Hampshire Daily'!K25-'Hampshire Daily'!K24</f>
        <v>72</v>
      </c>
      <c r="M22" s="4">
        <f>'Hampshire Daily'!N25-'Hampshire Daily'!N24</f>
        <v>3092</v>
      </c>
      <c r="N22" s="4">
        <f>'Hampshire Daily'!Q25-'Hampshire Daily'!Q24</f>
        <v>84</v>
      </c>
      <c r="O22" s="4">
        <f>'Hampshire Daily'!U25-'Hampshire Daily'!U24</f>
        <v>57</v>
      </c>
      <c r="P22" s="4">
        <f>'Hampshire Daily'!V25-'Hampshire Daily'!V24</f>
        <v>64</v>
      </c>
      <c r="Q22" s="4">
        <f>'Hampshire Daily'!Z25-'Hampshire Daily'!Z24</f>
        <v>4</v>
      </c>
      <c r="R22" s="4">
        <f>'Hampshire Daily'!B25</f>
        <v>77</v>
      </c>
      <c r="S22" s="4">
        <f>'Hampshire Daily'!C25</f>
        <v>201</v>
      </c>
    </row>
    <row r="23" spans="1:19" x14ac:dyDescent="0.35">
      <c r="A23" s="3" t="s">
        <v>12</v>
      </c>
      <c r="B23" s="1">
        <f t="shared" si="0"/>
        <v>22</v>
      </c>
      <c r="C23" s="1">
        <v>12</v>
      </c>
      <c r="D23" s="1">
        <v>2022</v>
      </c>
      <c r="E23" s="4">
        <f>'Hampshire Daily'!D26-'Hampshire Daily'!D25</f>
        <v>-264</v>
      </c>
      <c r="F23" s="4">
        <f>'Hampshire Daily'!E26-'Hampshire Daily'!E25</f>
        <v>5394</v>
      </c>
      <c r="G23" s="4">
        <f>'Hampshire Daily'!F26-'Hampshire Daily'!F25</f>
        <v>0</v>
      </c>
      <c r="H23" s="4">
        <f>'Hampshire Daily'!G26-'Hampshire Daily'!G25</f>
        <v>2201</v>
      </c>
      <c r="I23" s="4">
        <f>'Hampshire Daily'!H26-'Hampshire Daily'!H25</f>
        <v>0</v>
      </c>
      <c r="J23" s="4">
        <f>'Hampshire Daily'!I26-'Hampshire Daily'!I25</f>
        <v>2900</v>
      </c>
      <c r="K23" s="4">
        <f>'Hampshire Daily'!J26-'Hampshire Daily'!J25</f>
        <v>1294</v>
      </c>
      <c r="L23" s="4">
        <f>'Hampshire Daily'!K26-'Hampshire Daily'!K25</f>
        <v>5</v>
      </c>
      <c r="M23" s="4">
        <f>'Hampshire Daily'!N26-'Hampshire Daily'!N25</f>
        <v>3116</v>
      </c>
      <c r="N23" s="4">
        <f>'Hampshire Daily'!Q26-'Hampshire Daily'!Q25</f>
        <v>104</v>
      </c>
      <c r="O23" s="4">
        <f>'Hampshire Daily'!U26-'Hampshire Daily'!U25</f>
        <v>56</v>
      </c>
      <c r="P23" s="4">
        <f>'Hampshire Daily'!V26-'Hampshire Daily'!V25</f>
        <v>64</v>
      </c>
      <c r="Q23" s="4">
        <f>'Hampshire Daily'!Z26-'Hampshire Daily'!Z25</f>
        <v>3</v>
      </c>
      <c r="R23" s="4">
        <f>'Hampshire Daily'!B26</f>
        <v>83</v>
      </c>
      <c r="S23" s="4">
        <f>'Hampshire Daily'!C26</f>
        <v>222</v>
      </c>
    </row>
    <row r="24" spans="1:19" x14ac:dyDescent="0.35">
      <c r="A24" s="3" t="s">
        <v>12</v>
      </c>
      <c r="B24" s="1">
        <f t="shared" si="0"/>
        <v>23</v>
      </c>
      <c r="C24" s="1">
        <v>12</v>
      </c>
      <c r="D24" s="1">
        <v>2022</v>
      </c>
      <c r="E24" s="4">
        <f>'Hampshire Daily'!D27-'Hampshire Daily'!D26</f>
        <v>3649</v>
      </c>
      <c r="F24" s="4">
        <f>'Hampshire Daily'!E27-'Hampshire Daily'!E26</f>
        <v>3073</v>
      </c>
      <c r="G24" s="4">
        <f>'Hampshire Daily'!F27-'Hampshire Daily'!F26</f>
        <v>0</v>
      </c>
      <c r="H24" s="4">
        <f>'Hampshire Daily'!G27-'Hampshire Daily'!G26</f>
        <v>2200</v>
      </c>
      <c r="I24" s="4">
        <f>'Hampshire Daily'!H27-'Hampshire Daily'!H26</f>
        <v>0</v>
      </c>
      <c r="J24" s="4">
        <f>'Hampshire Daily'!I27-'Hampshire Daily'!I26</f>
        <v>3023</v>
      </c>
      <c r="K24" s="4">
        <f>'Hampshire Daily'!J27-'Hampshire Daily'!J26</f>
        <v>1293</v>
      </c>
      <c r="L24" s="4">
        <f>'Hampshire Daily'!K27-'Hampshire Daily'!K26</f>
        <v>8</v>
      </c>
      <c r="M24" s="4">
        <f>'Hampshire Daily'!N27-'Hampshire Daily'!N26</f>
        <v>3144</v>
      </c>
      <c r="N24" s="4">
        <f>'Hampshire Daily'!Q27-'Hampshire Daily'!Q26</f>
        <v>80</v>
      </c>
      <c r="O24" s="4">
        <f>'Hampshire Daily'!U27-'Hampshire Daily'!U26</f>
        <v>75</v>
      </c>
      <c r="P24" s="4">
        <f>'Hampshire Daily'!V27-'Hampshire Daily'!V26</f>
        <v>77</v>
      </c>
      <c r="Q24" s="4">
        <f>'Hampshire Daily'!Z27-'Hampshire Daily'!Z26</f>
        <v>4</v>
      </c>
      <c r="R24" s="4">
        <f>'Hampshire Daily'!B27</f>
        <v>63</v>
      </c>
      <c r="S24" s="4">
        <f>'Hampshire Daily'!C27</f>
        <v>150</v>
      </c>
    </row>
    <row r="25" spans="1:19" x14ac:dyDescent="0.35">
      <c r="A25" s="3" t="s">
        <v>12</v>
      </c>
      <c r="B25" s="1">
        <f t="shared" si="0"/>
        <v>24</v>
      </c>
      <c r="C25" s="1">
        <v>12</v>
      </c>
      <c r="D25" s="1">
        <v>2022</v>
      </c>
      <c r="E25" s="4">
        <f>'Hampshire Daily'!D28-'Hampshire Daily'!D27</f>
        <v>3630</v>
      </c>
      <c r="F25" s="4">
        <f>'Hampshire Daily'!E28-'Hampshire Daily'!E27</f>
        <v>2964</v>
      </c>
      <c r="G25" s="4">
        <f>'Hampshire Daily'!F28-'Hampshire Daily'!F27</f>
        <v>0</v>
      </c>
      <c r="H25" s="4">
        <f>'Hampshire Daily'!G28-'Hampshire Daily'!G27</f>
        <v>1915</v>
      </c>
      <c r="I25" s="4">
        <f>'Hampshire Daily'!H28-'Hampshire Daily'!H27</f>
        <v>0</v>
      </c>
      <c r="J25" s="4">
        <f>'Hampshire Daily'!I28-'Hampshire Daily'!I27</f>
        <v>3020</v>
      </c>
      <c r="K25" s="4">
        <f>'Hampshire Daily'!J28-'Hampshire Daily'!J27</f>
        <v>1330</v>
      </c>
      <c r="L25" s="4">
        <f>'Hampshire Daily'!K28-'Hampshire Daily'!K27</f>
        <v>6</v>
      </c>
      <c r="M25" s="4">
        <f>'Hampshire Daily'!N28-'Hampshire Daily'!N27</f>
        <v>2676</v>
      </c>
      <c r="N25" s="4">
        <f>'Hampshire Daily'!Q28-'Hampshire Daily'!Q27</f>
        <v>126</v>
      </c>
      <c r="O25" s="4">
        <f>'Hampshire Daily'!U28-'Hampshire Daily'!U27</f>
        <v>66</v>
      </c>
      <c r="P25" s="4">
        <f>'Hampshire Daily'!V28-'Hampshire Daily'!V27</f>
        <v>73</v>
      </c>
      <c r="Q25" s="4">
        <f>'Hampshire Daily'!Z28-'Hampshire Daily'!Z27</f>
        <v>3</v>
      </c>
      <c r="R25" s="4">
        <f>'Hampshire Daily'!B28</f>
        <v>115</v>
      </c>
      <c r="S25" s="4">
        <f>'Hampshire Daily'!C28</f>
        <v>263</v>
      </c>
    </row>
    <row r="26" spans="1:19" x14ac:dyDescent="0.35">
      <c r="A26" s="3" t="s">
        <v>12</v>
      </c>
      <c r="B26" s="23">
        <f>B25+1</f>
        <v>25</v>
      </c>
      <c r="C26" s="1">
        <v>12</v>
      </c>
      <c r="D26" s="1">
        <v>2022</v>
      </c>
      <c r="E26" s="4">
        <f>'Hampshire Daily'!D29-'Hampshire Daily'!D28</f>
        <v>3964</v>
      </c>
      <c r="F26" s="4">
        <f>'Hampshire Daily'!E29-'Hampshire Daily'!E28</f>
        <v>3430</v>
      </c>
      <c r="G26" s="4">
        <f>'Hampshire Daily'!F29-'Hampshire Daily'!F28</f>
        <v>0</v>
      </c>
      <c r="H26" s="4">
        <f>'Hampshire Daily'!G29-'Hampshire Daily'!G28</f>
        <v>2115</v>
      </c>
      <c r="I26" s="4">
        <f>'Hampshire Daily'!H29-'Hampshire Daily'!H28</f>
        <v>0</v>
      </c>
      <c r="J26" s="4">
        <f>'Hampshire Daily'!I29-'Hampshire Daily'!I28</f>
        <v>3020</v>
      </c>
      <c r="K26" s="4">
        <f>'Hampshire Daily'!J29-'Hampshire Daily'!J28</f>
        <v>1409</v>
      </c>
      <c r="L26" s="4">
        <f>'Hampshire Daily'!K29-'Hampshire Daily'!K28</f>
        <v>152</v>
      </c>
      <c r="M26" s="4">
        <f>'Hampshire Daily'!N29-'Hampshire Daily'!N28</f>
        <v>3139</v>
      </c>
      <c r="N26" s="4">
        <f>'Hampshire Daily'!Q29-'Hampshire Daily'!Q28</f>
        <v>97</v>
      </c>
      <c r="O26" s="4">
        <f>'Hampshire Daily'!U29-'Hampshire Daily'!U28</f>
        <v>75</v>
      </c>
      <c r="P26" s="4">
        <f>'Hampshire Daily'!V29-'Hampshire Daily'!V28</f>
        <v>79</v>
      </c>
      <c r="Q26" s="4">
        <f>'Hampshire Daily'!Z29-'Hampshire Daily'!Z28</f>
        <v>5</v>
      </c>
      <c r="R26" s="4">
        <f>'Hampshire Daily'!B29</f>
        <v>104</v>
      </c>
      <c r="S26" s="4">
        <f>'Hampshire Daily'!C29</f>
        <v>236</v>
      </c>
    </row>
    <row r="27" spans="1:19" x14ac:dyDescent="0.35">
      <c r="A27" s="3" t="s">
        <v>12</v>
      </c>
      <c r="B27" s="1">
        <f t="shared" si="0"/>
        <v>26</v>
      </c>
      <c r="C27" s="1">
        <v>12</v>
      </c>
      <c r="D27" s="1">
        <v>2022</v>
      </c>
      <c r="E27" s="4">
        <f>'Hampshire Daily'!D30-'Hampshire Daily'!D29</f>
        <v>3494</v>
      </c>
      <c r="F27" s="4">
        <f>'Hampshire Daily'!E30-'Hampshire Daily'!E29</f>
        <v>3019</v>
      </c>
      <c r="G27" s="4">
        <f>'Hampshire Daily'!F30-'Hampshire Daily'!F29</f>
        <v>0</v>
      </c>
      <c r="H27" s="4">
        <f>'Hampshire Daily'!G30-'Hampshire Daily'!G29</f>
        <v>2119</v>
      </c>
      <c r="I27" s="4">
        <f>'Hampshire Daily'!H30-'Hampshire Daily'!H29</f>
        <v>0</v>
      </c>
      <c r="J27" s="4">
        <f>'Hampshire Daily'!I30-'Hampshire Daily'!I29</f>
        <v>3041</v>
      </c>
      <c r="K27" s="4">
        <f>'Hampshire Daily'!J30-'Hampshire Daily'!J29</f>
        <v>1407</v>
      </c>
      <c r="L27" s="4">
        <f>'Hampshire Daily'!K30-'Hampshire Daily'!K29</f>
        <v>2</v>
      </c>
      <c r="M27" s="4">
        <f>'Hampshire Daily'!N30-'Hampshire Daily'!N29</f>
        <v>3128</v>
      </c>
      <c r="N27" s="4">
        <f>'Hampshire Daily'!Q30-'Hampshire Daily'!Q29</f>
        <v>112</v>
      </c>
      <c r="O27" s="4">
        <f>'Hampshire Daily'!U30-'Hampshire Daily'!U29</f>
        <v>76</v>
      </c>
      <c r="P27" s="4">
        <f>'Hampshire Daily'!V30-'Hampshire Daily'!V29</f>
        <v>83</v>
      </c>
      <c r="Q27" s="4">
        <f>'Hampshire Daily'!Z30-'Hampshire Daily'!Z29</f>
        <v>6</v>
      </c>
      <c r="R27" s="4">
        <f>'Hampshire Daily'!B30</f>
        <v>99</v>
      </c>
      <c r="S27" s="4">
        <f>'Hampshire Daily'!C30</f>
        <v>236</v>
      </c>
    </row>
    <row r="28" spans="1:19" x14ac:dyDescent="0.35">
      <c r="A28" s="3" t="s">
        <v>12</v>
      </c>
      <c r="B28" s="1">
        <f t="shared" si="0"/>
        <v>27</v>
      </c>
      <c r="C28" s="1">
        <v>12</v>
      </c>
      <c r="D28" s="1">
        <v>2022</v>
      </c>
      <c r="E28" s="4">
        <f>'Hampshire Daily'!D31-'Hampshire Daily'!D30</f>
        <v>3424</v>
      </c>
      <c r="F28" s="4">
        <f>'Hampshire Daily'!E31-'Hampshire Daily'!E30</f>
        <v>3052</v>
      </c>
      <c r="G28" s="4">
        <f>'Hampshire Daily'!F31-'Hampshire Daily'!F30</f>
        <v>0</v>
      </c>
      <c r="H28" s="4">
        <f>'Hampshire Daily'!G31-'Hampshire Daily'!G30</f>
        <v>1983</v>
      </c>
      <c r="I28" s="4">
        <f>'Hampshire Daily'!H31-'Hampshire Daily'!H30</f>
        <v>0</v>
      </c>
      <c r="J28" s="4">
        <f>'Hampshire Daily'!I31-'Hampshire Daily'!I30</f>
        <v>2949</v>
      </c>
      <c r="K28" s="4">
        <f>'Hampshire Daily'!J31-'Hampshire Daily'!J30</f>
        <v>1280</v>
      </c>
      <c r="L28" s="4">
        <f>'Hampshire Daily'!K31-'Hampshire Daily'!K30</f>
        <v>6</v>
      </c>
      <c r="M28" s="4">
        <f>'Hampshire Daily'!N31-'Hampshire Daily'!N30</f>
        <v>3322</v>
      </c>
      <c r="N28" s="4">
        <f>'Hampshire Daily'!Q31-'Hampshire Daily'!Q30</f>
        <v>102</v>
      </c>
      <c r="O28" s="4">
        <f>'Hampshire Daily'!U31-'Hampshire Daily'!U30</f>
        <v>68</v>
      </c>
      <c r="P28" s="4">
        <f>'Hampshire Daily'!V31-'Hampshire Daily'!V30</f>
        <v>77</v>
      </c>
      <c r="Q28" s="4">
        <f>'Hampshire Daily'!Z31-'Hampshire Daily'!Z30</f>
        <v>3</v>
      </c>
      <c r="R28" s="4">
        <f>'Hampshire Daily'!B31</f>
        <v>81</v>
      </c>
      <c r="S28" s="4">
        <f>'Hampshire Daily'!C31</f>
        <v>210</v>
      </c>
    </row>
    <row r="29" spans="1:19" x14ac:dyDescent="0.35">
      <c r="A29" s="3" t="s">
        <v>12</v>
      </c>
      <c r="B29" s="1">
        <f t="shared" si="0"/>
        <v>28</v>
      </c>
      <c r="C29" s="1">
        <v>12</v>
      </c>
      <c r="D29" s="1">
        <v>2022</v>
      </c>
      <c r="E29" s="4">
        <f>'Hampshire Daily'!D32-'Hampshire Daily'!D31</f>
        <v>3327</v>
      </c>
      <c r="F29" s="4">
        <f>'Hampshire Daily'!E32-'Hampshire Daily'!E31</f>
        <v>3085</v>
      </c>
      <c r="G29" s="4">
        <f>'Hampshire Daily'!F32-'Hampshire Daily'!F31</f>
        <v>0</v>
      </c>
      <c r="H29" s="4">
        <f>'Hampshire Daily'!G32-'Hampshire Daily'!G31</f>
        <v>1978</v>
      </c>
      <c r="I29" s="4">
        <f>'Hampshire Daily'!H32-'Hampshire Daily'!H31</f>
        <v>0</v>
      </c>
      <c r="J29" s="4">
        <f>'Hampshire Daily'!I32-'Hampshire Daily'!I31</f>
        <v>2954</v>
      </c>
      <c r="K29" s="4">
        <f>'Hampshire Daily'!J32-'Hampshire Daily'!J31</f>
        <v>1322</v>
      </c>
      <c r="L29" s="4">
        <f>'Hampshire Daily'!K32-'Hampshire Daily'!K31</f>
        <v>18</v>
      </c>
      <c r="M29" s="4">
        <f>'Hampshire Daily'!N32-'Hampshire Daily'!N31</f>
        <v>3092</v>
      </c>
      <c r="N29" s="4">
        <f>'Hampshire Daily'!Q32-'Hampshire Daily'!Q31</f>
        <v>106</v>
      </c>
      <c r="O29" s="4">
        <f>'Hampshire Daily'!U32-'Hampshire Daily'!U31</f>
        <v>70</v>
      </c>
      <c r="P29" s="4">
        <f>'Hampshire Daily'!V32-'Hampshire Daily'!V31</f>
        <v>77</v>
      </c>
      <c r="Q29" s="4">
        <f>'Hampshire Daily'!Z32-'Hampshire Daily'!Z31</f>
        <v>3</v>
      </c>
      <c r="R29" s="4">
        <f>'Hampshire Daily'!B32</f>
        <v>90</v>
      </c>
      <c r="S29" s="4">
        <f>'Hampshire Daily'!C32</f>
        <v>231</v>
      </c>
    </row>
    <row r="30" spans="1:19" x14ac:dyDescent="0.35">
      <c r="A30" s="3" t="s">
        <v>12</v>
      </c>
      <c r="B30" s="1">
        <f t="shared" si="0"/>
        <v>29</v>
      </c>
      <c r="C30" s="1">
        <v>12</v>
      </c>
      <c r="D30" s="1">
        <v>2022</v>
      </c>
      <c r="E30" s="4">
        <f>'Hampshire Daily'!D33-'Hampshire Daily'!D32</f>
        <v>3683</v>
      </c>
      <c r="F30" s="4">
        <f>'Hampshire Daily'!E33-'Hampshire Daily'!E32</f>
        <v>2952</v>
      </c>
      <c r="G30" s="4">
        <f>'Hampshire Daily'!F33-'Hampshire Daily'!F32</f>
        <v>0</v>
      </c>
      <c r="H30" s="4">
        <f>'Hampshire Daily'!G33-'Hampshire Daily'!G32</f>
        <v>2127</v>
      </c>
      <c r="I30" s="4">
        <f>'Hampshire Daily'!H33-'Hampshire Daily'!H32</f>
        <v>0</v>
      </c>
      <c r="J30" s="4">
        <f>'Hampshire Daily'!I33-'Hampshire Daily'!I32</f>
        <v>2804</v>
      </c>
      <c r="K30" s="4">
        <f>'Hampshire Daily'!J33-'Hampshire Daily'!J32</f>
        <v>1186</v>
      </c>
      <c r="L30" s="4">
        <f>'Hampshire Daily'!K33-'Hampshire Daily'!K32</f>
        <v>18</v>
      </c>
      <c r="M30" s="4">
        <f>'Hampshire Daily'!N33-'Hampshire Daily'!N32</f>
        <v>3208</v>
      </c>
      <c r="N30" s="4">
        <f>'Hampshire Daily'!Q33-'Hampshire Daily'!Q32</f>
        <v>95</v>
      </c>
      <c r="O30" s="4">
        <f>'Hampshire Daily'!U33-'Hampshire Daily'!U32</f>
        <v>61</v>
      </c>
      <c r="P30" s="4">
        <f>'Hampshire Daily'!V33-'Hampshire Daily'!V32</f>
        <v>76</v>
      </c>
      <c r="Q30" s="4">
        <f>'Hampshire Daily'!Z33-'Hampshire Daily'!Z32</f>
        <v>7</v>
      </c>
      <c r="R30" s="4">
        <f>'Hampshire Daily'!B33</f>
        <v>84</v>
      </c>
      <c r="S30" s="4">
        <f>'Hampshire Daily'!C33</f>
        <v>213</v>
      </c>
    </row>
    <row r="31" spans="1:19" x14ac:dyDescent="0.35">
      <c r="A31" s="3" t="s">
        <v>12</v>
      </c>
      <c r="B31" s="1">
        <f t="shared" si="0"/>
        <v>30</v>
      </c>
      <c r="C31" s="1">
        <v>12</v>
      </c>
      <c r="D31" s="1">
        <v>2022</v>
      </c>
      <c r="E31" s="4">
        <f>'Hampshire Daily'!D34-'Hampshire Daily'!D33</f>
        <v>3563</v>
      </c>
      <c r="F31" s="4">
        <f>'Hampshire Daily'!E34-'Hampshire Daily'!E33</f>
        <v>2976</v>
      </c>
      <c r="G31" s="4">
        <f>'Hampshire Daily'!F34-'Hampshire Daily'!F33</f>
        <v>0</v>
      </c>
      <c r="H31" s="4">
        <f>'Hampshire Daily'!G34-'Hampshire Daily'!G33</f>
        <v>2256</v>
      </c>
      <c r="I31" s="4">
        <f>'Hampshire Daily'!H34-'Hampshire Daily'!H33</f>
        <v>0</v>
      </c>
      <c r="J31" s="4">
        <f>'Hampshire Daily'!I34-'Hampshire Daily'!I33</f>
        <v>2778</v>
      </c>
      <c r="K31" s="4">
        <f>'Hampshire Daily'!J34-'Hampshire Daily'!J33</f>
        <v>1140</v>
      </c>
      <c r="L31" s="4">
        <f>'Hampshire Daily'!K34-'Hampshire Daily'!K33</f>
        <v>5</v>
      </c>
      <c r="M31" s="4">
        <f>'Hampshire Daily'!N34-'Hampshire Daily'!N33</f>
        <v>3312</v>
      </c>
      <c r="N31" s="4">
        <f>'Hampshire Daily'!Q34-'Hampshire Daily'!Q33</f>
        <v>109</v>
      </c>
      <c r="O31" s="4">
        <f>'Hampshire Daily'!U34-'Hampshire Daily'!U33</f>
        <v>71</v>
      </c>
      <c r="P31" s="4">
        <f>'Hampshire Daily'!V34-'Hampshire Daily'!V33</f>
        <v>76</v>
      </c>
      <c r="Q31" s="4">
        <f>'Hampshire Daily'!Z34-'Hampshire Daily'!Z33</f>
        <v>5</v>
      </c>
      <c r="R31" s="4">
        <f>'Hampshire Daily'!B34</f>
        <v>89</v>
      </c>
      <c r="S31" s="4">
        <f>'Hampshire Daily'!C34</f>
        <v>225</v>
      </c>
    </row>
    <row r="32" spans="1:19" x14ac:dyDescent="0.35">
      <c r="A32" s="3" t="s">
        <v>12</v>
      </c>
      <c r="B32" s="1">
        <f t="shared" si="0"/>
        <v>31</v>
      </c>
      <c r="C32" s="1">
        <v>12</v>
      </c>
      <c r="D32" s="1">
        <v>2022</v>
      </c>
      <c r="E32" s="4">
        <f>'Hampshire Daily'!D35-'Hampshire Daily'!D34</f>
        <v>3420</v>
      </c>
      <c r="F32" s="4">
        <f>'Hampshire Daily'!E35-'Hampshire Daily'!E34</f>
        <v>3079</v>
      </c>
      <c r="G32" s="4">
        <f>'Hampshire Daily'!F35-'Hampshire Daily'!F34</f>
        <v>0</v>
      </c>
      <c r="H32" s="4">
        <f>'Hampshire Daily'!G35-'Hampshire Daily'!G34</f>
        <v>1893</v>
      </c>
      <c r="I32" s="4">
        <f>'Hampshire Daily'!H35-'Hampshire Daily'!H34</f>
        <v>0</v>
      </c>
      <c r="J32" s="4">
        <f>'Hampshire Daily'!I35-'Hampshire Daily'!I34</f>
        <v>2727</v>
      </c>
      <c r="K32" s="4">
        <f>'Hampshire Daily'!J35-'Hampshire Daily'!J34</f>
        <v>1199</v>
      </c>
      <c r="L32" s="4">
        <f>'Hampshire Daily'!K35-'Hampshire Daily'!K34</f>
        <v>5</v>
      </c>
      <c r="M32" s="4">
        <f>'Hampshire Daily'!N35-'Hampshire Daily'!N34</f>
        <v>3027</v>
      </c>
      <c r="N32" s="4">
        <f>'Hampshire Daily'!Q35-'Hampshire Daily'!Q34</f>
        <v>91</v>
      </c>
      <c r="O32" s="4">
        <f>'Hampshire Daily'!U35-'Hampshire Daily'!U34</f>
        <v>69</v>
      </c>
      <c r="P32" s="4">
        <f>'Hampshire Daily'!V35-'Hampshire Daily'!V34</f>
        <v>75</v>
      </c>
      <c r="Q32" s="4">
        <f>'Hampshire Daily'!Z35-'Hampshire Daily'!Z34</f>
        <v>1</v>
      </c>
      <c r="R32" s="4">
        <f>'Hampshire Daily'!B35</f>
        <v>130</v>
      </c>
      <c r="S32" s="4">
        <f>'Hampshire Daily'!C35</f>
        <v>329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236"/>
  <sheetViews>
    <sheetView tabSelected="1" zoomScaleNormal="100" workbookViewId="0">
      <pane xSplit="1" ySplit="3" topLeftCell="B4" activePane="bottomRight" state="frozen"/>
      <selection pane="topRight"/>
      <selection pane="bottomLeft"/>
      <selection pane="bottomRight" activeCell="W37" sqref="W37"/>
    </sheetView>
  </sheetViews>
  <sheetFormatPr defaultRowHeight="14.5" x14ac:dyDescent="0.35"/>
  <cols>
    <col min="1" max="1" width="8.7265625" style="16" customWidth="1"/>
    <col min="2" max="3" width="8.7265625" style="20" customWidth="1"/>
    <col min="4" max="4" width="10" customWidth="1"/>
    <col min="5" max="5" width="9.7265625" customWidth="1"/>
    <col min="6" max="6" width="9.453125" customWidth="1"/>
    <col min="7" max="7" width="10.26953125" customWidth="1"/>
    <col min="8" max="9" width="10.1796875" customWidth="1"/>
    <col min="11" max="11" width="10.54296875" customWidth="1"/>
    <col min="12" max="12" width="11.453125" style="1" customWidth="1"/>
    <col min="13" max="13" width="10.54296875" style="1" customWidth="1"/>
    <col min="15" max="15" width="11.453125" style="38" customWidth="1"/>
    <col min="16" max="16" width="10.7265625" style="43" customWidth="1"/>
    <col min="18" max="18" width="12.54296875" bestFit="1" customWidth="1"/>
    <col min="19" max="19" width="9.1796875" style="38"/>
    <col min="20" max="20" width="12.54296875" style="38" bestFit="1" customWidth="1"/>
    <col min="21" max="21" width="9.26953125" bestFit="1" customWidth="1"/>
    <col min="23" max="24" width="10.453125" customWidth="1"/>
    <col min="27" max="27" width="9.26953125" customWidth="1"/>
    <col min="28" max="28" width="11.7265625" style="36" customWidth="1"/>
    <col min="31" max="31" width="10.7265625" customWidth="1"/>
  </cols>
  <sheetData>
    <row r="1" spans="1:32" ht="15" customHeight="1" x14ac:dyDescent="0.35">
      <c r="A1" s="66"/>
      <c r="B1" s="19"/>
      <c r="C1" s="19"/>
      <c r="D1" s="76" t="s">
        <v>27</v>
      </c>
      <c r="E1" s="77"/>
      <c r="F1" s="77"/>
      <c r="G1" s="77"/>
      <c r="H1" s="77"/>
      <c r="I1" s="77"/>
      <c r="J1" s="77"/>
      <c r="K1" s="77"/>
      <c r="L1" s="77"/>
      <c r="M1" s="78"/>
      <c r="N1" s="46" t="s">
        <v>28</v>
      </c>
      <c r="O1" s="52" t="s">
        <v>29</v>
      </c>
      <c r="P1" s="54" t="s">
        <v>30</v>
      </c>
      <c r="Q1" s="48" t="s">
        <v>31</v>
      </c>
      <c r="R1" s="56" t="s">
        <v>32</v>
      </c>
      <c r="S1" s="56" t="s">
        <v>33</v>
      </c>
      <c r="T1" s="56" t="s">
        <v>34</v>
      </c>
      <c r="U1" s="48" t="s">
        <v>35</v>
      </c>
      <c r="V1" s="50"/>
      <c r="W1" s="48" t="s">
        <v>36</v>
      </c>
      <c r="X1" s="63" t="s">
        <v>37</v>
      </c>
      <c r="Y1" s="61" t="s">
        <v>38</v>
      </c>
      <c r="Z1" s="58" t="s">
        <v>39</v>
      </c>
      <c r="AA1" s="51" t="s">
        <v>40</v>
      </c>
    </row>
    <row r="2" spans="1:32" ht="15" customHeight="1" x14ac:dyDescent="0.35">
      <c r="A2" s="67"/>
      <c r="B2" s="71" t="s">
        <v>41</v>
      </c>
      <c r="C2" s="71" t="s">
        <v>42</v>
      </c>
      <c r="D2" s="73" t="s">
        <v>43</v>
      </c>
      <c r="E2" s="69" t="s">
        <v>44</v>
      </c>
      <c r="F2" s="69" t="s">
        <v>45</v>
      </c>
      <c r="G2" s="69" t="s">
        <v>46</v>
      </c>
      <c r="H2" s="69" t="s">
        <v>47</v>
      </c>
      <c r="I2" s="69" t="s">
        <v>48</v>
      </c>
      <c r="J2" s="69" t="s">
        <v>49</v>
      </c>
      <c r="K2" s="69" t="s">
        <v>50</v>
      </c>
      <c r="L2" s="79" t="s">
        <v>51</v>
      </c>
      <c r="M2" s="79" t="s">
        <v>52</v>
      </c>
      <c r="N2" s="47"/>
      <c r="O2" s="53"/>
      <c r="P2" s="55"/>
      <c r="Q2" s="48"/>
      <c r="R2" s="56"/>
      <c r="S2" s="56"/>
      <c r="T2" s="56"/>
      <c r="U2" s="48"/>
      <c r="V2" s="50"/>
      <c r="W2" s="48"/>
      <c r="X2" s="64"/>
      <c r="Y2" s="61"/>
      <c r="Z2" s="59"/>
      <c r="AA2" s="51"/>
    </row>
    <row r="3" spans="1:32" ht="27" customHeight="1" x14ac:dyDescent="0.35">
      <c r="A3" s="68"/>
      <c r="B3" s="72"/>
      <c r="C3" s="72"/>
      <c r="D3" s="74"/>
      <c r="E3" s="75"/>
      <c r="F3" s="69"/>
      <c r="G3" s="69"/>
      <c r="H3" s="69"/>
      <c r="I3" s="69"/>
      <c r="J3" s="69"/>
      <c r="K3" s="70"/>
      <c r="L3" s="80"/>
      <c r="M3" s="80"/>
      <c r="N3" s="47"/>
      <c r="O3" s="53"/>
      <c r="P3" s="55"/>
      <c r="Q3" s="49"/>
      <c r="R3" s="57"/>
      <c r="S3" s="57"/>
      <c r="T3" s="57"/>
      <c r="U3" s="50"/>
      <c r="V3" s="50"/>
      <c r="W3" s="49"/>
      <c r="X3" s="65"/>
      <c r="Y3" s="62"/>
      <c r="Z3" s="60"/>
      <c r="AA3" s="51"/>
      <c r="AD3" t="s">
        <v>53</v>
      </c>
      <c r="AE3" s="37" t="s">
        <v>54</v>
      </c>
    </row>
    <row r="4" spans="1:32" s="17" customFormat="1" ht="19.899999999999999" customHeight="1" x14ac:dyDescent="0.35">
      <c r="A4" s="18">
        <v>44895</v>
      </c>
      <c r="B4" s="22">
        <v>18</v>
      </c>
      <c r="C4" s="34">
        <v>30</v>
      </c>
      <c r="D4" s="24">
        <v>2336177</v>
      </c>
      <c r="E4" s="25">
        <v>2286927</v>
      </c>
      <c r="F4" s="25">
        <v>350770</v>
      </c>
      <c r="G4" s="25">
        <v>8156470</v>
      </c>
      <c r="H4" s="25">
        <v>34978</v>
      </c>
      <c r="I4" s="25">
        <v>6416952</v>
      </c>
      <c r="J4" s="25">
        <v>306303</v>
      </c>
      <c r="K4" s="25">
        <v>2699432</v>
      </c>
      <c r="L4" s="31">
        <v>3571</v>
      </c>
      <c r="M4" s="31">
        <v>2925</v>
      </c>
      <c r="N4" s="25">
        <v>2235020</v>
      </c>
      <c r="O4" s="21">
        <v>51129</v>
      </c>
      <c r="P4" s="21">
        <v>359760</v>
      </c>
      <c r="Q4" s="25">
        <v>416500</v>
      </c>
      <c r="R4" s="25">
        <v>1123.836</v>
      </c>
      <c r="S4" s="44">
        <v>490.45499999999998</v>
      </c>
      <c r="T4" s="44">
        <v>3896.2550000000001</v>
      </c>
      <c r="U4" s="25">
        <v>367639</v>
      </c>
      <c r="V4" s="25">
        <v>72389</v>
      </c>
      <c r="W4" s="25">
        <v>55772</v>
      </c>
      <c r="X4" s="25">
        <v>188326</v>
      </c>
      <c r="Y4" s="25">
        <v>31898</v>
      </c>
      <c r="Z4" s="25">
        <v>4873</v>
      </c>
      <c r="AA4" s="25"/>
      <c r="AB4" s="25"/>
      <c r="AC4"/>
      <c r="AD4"/>
      <c r="AE4" s="38">
        <f>R4-0</f>
        <v>1123.836</v>
      </c>
      <c r="AF4"/>
    </row>
    <row r="5" spans="1:32" x14ac:dyDescent="0.35">
      <c r="A5" s="18">
        <f>A4+1</f>
        <v>44896</v>
      </c>
      <c r="B5" s="22">
        <v>41</v>
      </c>
      <c r="C5" s="22">
        <v>61</v>
      </c>
      <c r="D5" s="21">
        <v>2339575</v>
      </c>
      <c r="E5" s="21">
        <v>2289266</v>
      </c>
      <c r="F5" s="21">
        <v>350770</v>
      </c>
      <c r="G5" s="21">
        <v>8158669</v>
      </c>
      <c r="H5" s="33">
        <v>34978</v>
      </c>
      <c r="I5" s="33">
        <v>6419324</v>
      </c>
      <c r="J5" s="21">
        <v>307361</v>
      </c>
      <c r="K5" s="21">
        <v>2699434</v>
      </c>
      <c r="L5" s="29">
        <v>3583</v>
      </c>
      <c r="M5" s="29">
        <v>2925</v>
      </c>
      <c r="N5" s="21">
        <v>2238225</v>
      </c>
      <c r="O5" s="39"/>
      <c r="P5" s="40"/>
      <c r="Q5" s="33">
        <v>416568.5</v>
      </c>
      <c r="R5" s="45">
        <v>1123.838</v>
      </c>
      <c r="S5" s="45">
        <v>490.45499999999998</v>
      </c>
      <c r="T5" s="44">
        <v>3896.2550000000001</v>
      </c>
      <c r="U5" s="21">
        <v>367644</v>
      </c>
      <c r="V5" s="21">
        <v>72433</v>
      </c>
      <c r="W5" s="21">
        <v>55779</v>
      </c>
      <c r="X5" s="21">
        <v>188372</v>
      </c>
      <c r="Y5" s="21">
        <v>31904</v>
      </c>
      <c r="Z5" s="21">
        <v>4880</v>
      </c>
      <c r="AA5">
        <f>SUM(Y5-Y4)</f>
        <v>6</v>
      </c>
      <c r="AB5" s="36" t="s">
        <v>55</v>
      </c>
      <c r="AD5">
        <f>N5-N4</f>
        <v>3205</v>
      </c>
      <c r="AE5" s="38">
        <f>R5-R4</f>
        <v>1.9999999999527063E-3</v>
      </c>
    </row>
    <row r="6" spans="1:32" x14ac:dyDescent="0.35">
      <c r="A6" s="18">
        <f t="shared" ref="A6:A33" si="0">A5+1</f>
        <v>44897</v>
      </c>
      <c r="B6" s="22">
        <v>43</v>
      </c>
      <c r="C6" s="22">
        <v>78</v>
      </c>
      <c r="D6" s="33">
        <v>2343364.5</v>
      </c>
      <c r="E6" s="21">
        <v>2291795</v>
      </c>
      <c r="F6" s="21">
        <v>350770</v>
      </c>
      <c r="G6" s="21">
        <v>8162021</v>
      </c>
      <c r="H6" s="33">
        <v>34978</v>
      </c>
      <c r="I6" s="33">
        <v>6421624</v>
      </c>
      <c r="J6" s="21">
        <v>308391</v>
      </c>
      <c r="K6" s="21">
        <v>2699438</v>
      </c>
      <c r="L6" s="29">
        <v>3564</v>
      </c>
      <c r="M6" s="29">
        <v>2925</v>
      </c>
      <c r="N6" s="21">
        <v>2241761</v>
      </c>
      <c r="O6" s="39"/>
      <c r="P6" s="40"/>
      <c r="Q6" s="21">
        <v>416637</v>
      </c>
      <c r="R6" s="21">
        <v>1123.838</v>
      </c>
      <c r="S6" s="45">
        <v>490.45499999999998</v>
      </c>
      <c r="T6" s="45">
        <v>3896.2539999999999</v>
      </c>
      <c r="U6" s="21">
        <v>367648</v>
      </c>
      <c r="V6" s="21">
        <v>72472</v>
      </c>
      <c r="W6" s="21">
        <v>55785</v>
      </c>
      <c r="X6" s="21">
        <v>188412</v>
      </c>
      <c r="Y6" s="21">
        <v>31904</v>
      </c>
      <c r="Z6" s="21">
        <v>4885</v>
      </c>
      <c r="AA6">
        <f t="shared" ref="AA6:AA34" si="1">SUM(Y6-Y5)</f>
        <v>0</v>
      </c>
      <c r="AB6" s="36" t="s">
        <v>56</v>
      </c>
      <c r="AC6" s="27"/>
      <c r="AD6">
        <f t="shared" ref="AD6:AD34" si="2">N6-N5</f>
        <v>3536</v>
      </c>
      <c r="AE6" s="38">
        <f t="shared" ref="AE6:AE34" si="3">R6-R5</f>
        <v>0</v>
      </c>
    </row>
    <row r="7" spans="1:32" x14ac:dyDescent="0.35">
      <c r="A7" s="18">
        <f t="shared" si="0"/>
        <v>44898</v>
      </c>
      <c r="B7" s="22">
        <v>58</v>
      </c>
      <c r="C7" s="22">
        <v>137</v>
      </c>
      <c r="D7" s="21">
        <v>2347154</v>
      </c>
      <c r="E7" s="21">
        <v>2294324</v>
      </c>
      <c r="F7" s="21">
        <v>350770</v>
      </c>
      <c r="G7" s="21">
        <v>8165373</v>
      </c>
      <c r="H7" s="33">
        <v>34978</v>
      </c>
      <c r="I7" s="33">
        <v>6423999</v>
      </c>
      <c r="J7" s="21">
        <v>309483</v>
      </c>
      <c r="K7" s="21">
        <v>2699441</v>
      </c>
      <c r="L7" s="29">
        <v>3533</v>
      </c>
      <c r="M7" s="29">
        <v>2925</v>
      </c>
      <c r="N7" s="21">
        <v>2245261</v>
      </c>
      <c r="O7" s="39"/>
      <c r="P7" s="40"/>
      <c r="Q7" s="21">
        <v>416703</v>
      </c>
      <c r="R7" s="21">
        <v>1123.838</v>
      </c>
      <c r="S7" s="45">
        <v>490.45499999999998</v>
      </c>
      <c r="T7" s="45">
        <v>3896.2539999999999</v>
      </c>
      <c r="U7" s="21">
        <v>367652</v>
      </c>
      <c r="V7" s="21">
        <v>72516</v>
      </c>
      <c r="W7" s="21">
        <v>55791</v>
      </c>
      <c r="X7" s="21">
        <v>188457</v>
      </c>
      <c r="Y7" s="21">
        <v>31904</v>
      </c>
      <c r="Z7" s="21">
        <v>4889</v>
      </c>
      <c r="AA7">
        <f t="shared" si="1"/>
        <v>0</v>
      </c>
      <c r="AB7" s="36" t="s">
        <v>57</v>
      </c>
      <c r="AD7">
        <f t="shared" si="2"/>
        <v>3500</v>
      </c>
      <c r="AE7" s="38">
        <f t="shared" si="3"/>
        <v>0</v>
      </c>
    </row>
    <row r="8" spans="1:32" x14ac:dyDescent="0.35">
      <c r="A8" s="18">
        <f t="shared" si="0"/>
        <v>44899</v>
      </c>
      <c r="B8" s="22">
        <v>25</v>
      </c>
      <c r="C8" s="22">
        <v>52</v>
      </c>
      <c r="D8" s="33">
        <v>2352273.5</v>
      </c>
      <c r="E8" s="21">
        <v>2297006</v>
      </c>
      <c r="F8" s="21">
        <v>350770</v>
      </c>
      <c r="G8" s="21">
        <v>8165373</v>
      </c>
      <c r="H8" s="33">
        <v>34978</v>
      </c>
      <c r="I8" s="33">
        <v>6426454</v>
      </c>
      <c r="J8" s="21">
        <v>310604</v>
      </c>
      <c r="K8" s="33">
        <v>2699906.5</v>
      </c>
      <c r="L8" s="29">
        <v>3524</v>
      </c>
      <c r="M8" s="29">
        <v>406</v>
      </c>
      <c r="N8" s="21">
        <v>2248517</v>
      </c>
      <c r="O8" s="39"/>
      <c r="P8" s="40"/>
      <c r="Q8" s="21">
        <v>416778</v>
      </c>
      <c r="R8" s="21">
        <v>1123.838</v>
      </c>
      <c r="S8" s="45">
        <v>490.45499999999998</v>
      </c>
      <c r="T8" s="45">
        <v>3896.2539999999999</v>
      </c>
      <c r="U8" s="21">
        <v>367679</v>
      </c>
      <c r="V8" s="21">
        <v>72568</v>
      </c>
      <c r="W8" s="21">
        <v>55796</v>
      </c>
      <c r="X8" s="21">
        <v>188512</v>
      </c>
      <c r="Y8" s="21">
        <v>31905</v>
      </c>
      <c r="Z8" s="21">
        <v>4892</v>
      </c>
      <c r="AA8">
        <f t="shared" si="1"/>
        <v>1</v>
      </c>
      <c r="AB8" s="36" t="s">
        <v>58</v>
      </c>
      <c r="AD8">
        <f t="shared" si="2"/>
        <v>3256</v>
      </c>
      <c r="AE8" s="38">
        <f t="shared" si="3"/>
        <v>0</v>
      </c>
    </row>
    <row r="9" spans="1:32" x14ac:dyDescent="0.35">
      <c r="A9" s="18">
        <f t="shared" si="0"/>
        <v>44900</v>
      </c>
      <c r="B9" s="22">
        <v>13</v>
      </c>
      <c r="C9" s="22">
        <v>29</v>
      </c>
      <c r="D9" s="21">
        <v>2357393</v>
      </c>
      <c r="E9" s="21">
        <v>2299688</v>
      </c>
      <c r="F9" s="21">
        <v>350770</v>
      </c>
      <c r="G9" s="21">
        <v>8167570</v>
      </c>
      <c r="H9" s="33">
        <v>34978</v>
      </c>
      <c r="I9" s="33">
        <v>6428944</v>
      </c>
      <c r="J9" s="21">
        <v>311700</v>
      </c>
      <c r="K9" s="21">
        <v>2700372</v>
      </c>
      <c r="L9" s="29">
        <v>3539</v>
      </c>
      <c r="M9" s="29">
        <v>0</v>
      </c>
      <c r="N9" s="21">
        <v>2251413</v>
      </c>
      <c r="O9" s="39"/>
      <c r="P9" s="40"/>
      <c r="Q9" s="21">
        <v>416849</v>
      </c>
      <c r="R9" s="21">
        <v>1123.838</v>
      </c>
      <c r="S9" s="45">
        <v>490.45499999999998</v>
      </c>
      <c r="T9" s="45">
        <v>3896.2559999999999</v>
      </c>
      <c r="U9" s="21">
        <v>367707</v>
      </c>
      <c r="V9" s="21">
        <v>72618</v>
      </c>
      <c r="W9" s="21">
        <v>55803</v>
      </c>
      <c r="X9" s="21">
        <v>188561</v>
      </c>
      <c r="Y9" s="21">
        <v>31911</v>
      </c>
      <c r="Z9" s="21">
        <v>4898</v>
      </c>
      <c r="AA9">
        <f t="shared" si="1"/>
        <v>6</v>
      </c>
      <c r="AB9" s="36" t="s">
        <v>59</v>
      </c>
      <c r="AD9">
        <f t="shared" si="2"/>
        <v>2896</v>
      </c>
      <c r="AE9" s="38">
        <f t="shared" si="3"/>
        <v>0</v>
      </c>
    </row>
    <row r="10" spans="1:32" x14ac:dyDescent="0.35">
      <c r="A10" s="18">
        <f t="shared" si="0"/>
        <v>44901</v>
      </c>
      <c r="B10" s="22">
        <v>12</v>
      </c>
      <c r="C10" s="22">
        <v>28</v>
      </c>
      <c r="D10" s="21">
        <v>2363761</v>
      </c>
      <c r="E10" s="21">
        <v>2302011</v>
      </c>
      <c r="F10" s="21">
        <v>350770</v>
      </c>
      <c r="G10" s="21">
        <v>8169841</v>
      </c>
      <c r="H10" s="33">
        <v>34978</v>
      </c>
      <c r="I10" s="33">
        <v>6431103</v>
      </c>
      <c r="J10" s="21">
        <v>312598</v>
      </c>
      <c r="K10" s="21">
        <v>2701140</v>
      </c>
      <c r="L10" s="29">
        <v>3534</v>
      </c>
      <c r="M10" s="29">
        <v>0</v>
      </c>
      <c r="N10" s="21">
        <v>2254202</v>
      </c>
      <c r="O10" s="39"/>
      <c r="P10" s="40"/>
      <c r="Q10" s="21">
        <v>416923</v>
      </c>
      <c r="R10" s="21">
        <v>1124.318</v>
      </c>
      <c r="S10" s="45">
        <v>490.45499999999998</v>
      </c>
      <c r="T10" s="45">
        <v>3896.2620000000002</v>
      </c>
      <c r="U10" s="21">
        <v>367722</v>
      </c>
      <c r="V10" s="21">
        <v>72657</v>
      </c>
      <c r="W10" s="21">
        <v>55811</v>
      </c>
      <c r="X10" s="21">
        <v>188601</v>
      </c>
      <c r="Y10" s="21">
        <v>31911</v>
      </c>
      <c r="Z10" s="21">
        <v>4901</v>
      </c>
      <c r="AA10">
        <f t="shared" si="1"/>
        <v>0</v>
      </c>
      <c r="AB10" s="36" t="s">
        <v>60</v>
      </c>
      <c r="AD10">
        <f t="shared" si="2"/>
        <v>2789</v>
      </c>
      <c r="AE10" s="38">
        <f t="shared" si="3"/>
        <v>0.48000000000001819</v>
      </c>
    </row>
    <row r="11" spans="1:32" x14ac:dyDescent="0.35">
      <c r="A11" s="18">
        <f t="shared" si="0"/>
        <v>44902</v>
      </c>
      <c r="B11" s="22">
        <v>18</v>
      </c>
      <c r="C11" s="22">
        <v>35</v>
      </c>
      <c r="D11" s="21">
        <v>2370104</v>
      </c>
      <c r="E11" s="21">
        <v>2304388</v>
      </c>
      <c r="F11" s="21">
        <v>350772</v>
      </c>
      <c r="G11" s="21">
        <v>8172081</v>
      </c>
      <c r="H11" s="33">
        <v>34978</v>
      </c>
      <c r="I11" s="33">
        <v>6433285</v>
      </c>
      <c r="J11" s="21">
        <v>313488</v>
      </c>
      <c r="K11" s="21">
        <v>2701936</v>
      </c>
      <c r="L11" s="29">
        <v>3553</v>
      </c>
      <c r="M11" s="29">
        <v>1353</v>
      </c>
      <c r="N11" s="21">
        <v>2257123</v>
      </c>
      <c r="O11" s="39"/>
      <c r="P11" s="40"/>
      <c r="Q11" s="21">
        <v>416977</v>
      </c>
      <c r="R11" s="21">
        <v>1125.761</v>
      </c>
      <c r="S11" s="45">
        <v>490.45499999999998</v>
      </c>
      <c r="T11" s="45">
        <v>3896.2869999999998</v>
      </c>
      <c r="U11" s="21">
        <v>367722</v>
      </c>
      <c r="V11" s="21">
        <v>72691</v>
      </c>
      <c r="W11" s="21">
        <v>55816</v>
      </c>
      <c r="X11" s="21">
        <v>188637</v>
      </c>
      <c r="Y11" s="21">
        <v>31912</v>
      </c>
      <c r="Z11" s="21">
        <v>4904</v>
      </c>
      <c r="AA11">
        <f t="shared" si="1"/>
        <v>1</v>
      </c>
      <c r="AB11" s="36" t="s">
        <v>61</v>
      </c>
      <c r="AD11">
        <f t="shared" si="2"/>
        <v>2921</v>
      </c>
      <c r="AE11" s="38">
        <f t="shared" si="3"/>
        <v>1.4429999999999836</v>
      </c>
    </row>
    <row r="12" spans="1:32" x14ac:dyDescent="0.35">
      <c r="A12" s="18">
        <f t="shared" si="0"/>
        <v>44903</v>
      </c>
      <c r="B12" s="22">
        <v>50</v>
      </c>
      <c r="C12" s="22">
        <v>84</v>
      </c>
      <c r="D12" s="21">
        <v>2374264</v>
      </c>
      <c r="E12" s="21">
        <v>2307014</v>
      </c>
      <c r="F12" s="21">
        <v>350772</v>
      </c>
      <c r="G12" s="21">
        <v>8174425</v>
      </c>
      <c r="H12" s="33">
        <v>34978</v>
      </c>
      <c r="I12" s="33">
        <v>6435556</v>
      </c>
      <c r="J12" s="21">
        <v>314472</v>
      </c>
      <c r="K12" s="21">
        <v>2702157</v>
      </c>
      <c r="L12" s="29">
        <v>3544</v>
      </c>
      <c r="M12" s="29">
        <v>2925</v>
      </c>
      <c r="N12" s="21">
        <v>2260669</v>
      </c>
      <c r="O12" s="39"/>
      <c r="P12" s="40"/>
      <c r="Q12" s="33">
        <v>417045.5</v>
      </c>
      <c r="R12" s="21">
        <v>1127.2840000000001</v>
      </c>
      <c r="S12" s="45">
        <v>490.45499999999998</v>
      </c>
      <c r="T12" s="45">
        <v>3896.36</v>
      </c>
      <c r="U12" s="21">
        <v>367731</v>
      </c>
      <c r="V12" s="21">
        <v>72730</v>
      </c>
      <c r="W12" s="21">
        <v>55822</v>
      </c>
      <c r="X12" s="21">
        <v>188682</v>
      </c>
      <c r="Y12" s="21">
        <v>31913</v>
      </c>
      <c r="Z12" s="21">
        <v>4907</v>
      </c>
      <c r="AA12">
        <f t="shared" si="1"/>
        <v>1</v>
      </c>
      <c r="AB12" s="36" t="s">
        <v>55</v>
      </c>
      <c r="AD12">
        <f t="shared" si="2"/>
        <v>3546</v>
      </c>
      <c r="AE12" s="38">
        <f t="shared" si="3"/>
        <v>1.5230000000001382</v>
      </c>
    </row>
    <row r="13" spans="1:32" x14ac:dyDescent="0.35">
      <c r="A13" s="18">
        <f t="shared" si="0"/>
        <v>44904</v>
      </c>
      <c r="B13" s="35">
        <v>79</v>
      </c>
      <c r="C13" s="35">
        <v>131</v>
      </c>
      <c r="D13" s="21">
        <v>2378203</v>
      </c>
      <c r="E13" s="33">
        <v>2309841.5</v>
      </c>
      <c r="F13" s="21">
        <v>350772</v>
      </c>
      <c r="G13" s="21">
        <v>8176850</v>
      </c>
      <c r="H13" s="21">
        <v>34978</v>
      </c>
      <c r="I13" s="21">
        <v>6437935</v>
      </c>
      <c r="J13" s="33">
        <v>315518.5</v>
      </c>
      <c r="K13" s="33">
        <v>2702161.5</v>
      </c>
      <c r="L13" s="29">
        <v>3531</v>
      </c>
      <c r="M13" s="29">
        <v>2558</v>
      </c>
      <c r="N13" s="21">
        <v>2264686</v>
      </c>
      <c r="O13" s="39"/>
      <c r="P13" s="40"/>
      <c r="Q13" s="21">
        <v>417114</v>
      </c>
      <c r="R13" s="21">
        <v>1128.8119999999999</v>
      </c>
      <c r="S13" s="45">
        <v>490.45499999999998</v>
      </c>
      <c r="T13" s="45">
        <v>3896.402</v>
      </c>
      <c r="U13" s="21">
        <v>367777</v>
      </c>
      <c r="V13" s="21">
        <v>72780</v>
      </c>
      <c r="W13" s="21">
        <v>55828</v>
      </c>
      <c r="X13" s="21">
        <v>188727</v>
      </c>
      <c r="Y13" s="21">
        <v>31922</v>
      </c>
      <c r="Z13" s="21">
        <v>4912</v>
      </c>
      <c r="AA13">
        <f>SUM(Y13-Y12)</f>
        <v>9</v>
      </c>
      <c r="AB13" s="36" t="s">
        <v>56</v>
      </c>
      <c r="AD13">
        <f t="shared" si="2"/>
        <v>4017</v>
      </c>
      <c r="AE13" s="38">
        <f t="shared" si="3"/>
        <v>1.5279999999997926</v>
      </c>
    </row>
    <row r="14" spans="1:32" x14ac:dyDescent="0.35">
      <c r="A14" s="18">
        <f t="shared" si="0"/>
        <v>44905</v>
      </c>
      <c r="B14" s="22">
        <v>58</v>
      </c>
      <c r="C14" s="22">
        <v>139</v>
      </c>
      <c r="D14" s="21">
        <v>2382142</v>
      </c>
      <c r="E14" s="21">
        <v>2312669</v>
      </c>
      <c r="F14" s="21">
        <v>350772</v>
      </c>
      <c r="G14" s="21">
        <v>8179275</v>
      </c>
      <c r="H14" s="33">
        <v>34978</v>
      </c>
      <c r="I14" s="33">
        <v>6440314</v>
      </c>
      <c r="J14" s="21">
        <v>316565</v>
      </c>
      <c r="K14" s="21">
        <v>2702166</v>
      </c>
      <c r="L14" s="29">
        <v>3520</v>
      </c>
      <c r="M14" s="29">
        <v>2925</v>
      </c>
      <c r="N14" s="21">
        <v>2268613</v>
      </c>
      <c r="O14" s="39"/>
      <c r="P14" s="40"/>
      <c r="Q14" s="21">
        <v>417197</v>
      </c>
      <c r="R14" s="21">
        <v>1130.4970000000001</v>
      </c>
      <c r="S14" s="45">
        <v>490.45499999999998</v>
      </c>
      <c r="T14" s="45">
        <v>3896.4029999999998</v>
      </c>
      <c r="U14" s="21">
        <v>367823</v>
      </c>
      <c r="V14" s="21">
        <v>72839</v>
      </c>
      <c r="W14" s="21">
        <v>55835</v>
      </c>
      <c r="X14" s="21">
        <v>188786</v>
      </c>
      <c r="Y14" s="21">
        <v>31922</v>
      </c>
      <c r="Z14" s="21">
        <v>4915</v>
      </c>
      <c r="AA14">
        <f t="shared" si="1"/>
        <v>0</v>
      </c>
      <c r="AB14" s="36" t="s">
        <v>57</v>
      </c>
      <c r="AD14">
        <f t="shared" si="2"/>
        <v>3927</v>
      </c>
      <c r="AE14" s="38">
        <f t="shared" si="3"/>
        <v>1.6850000000001728</v>
      </c>
    </row>
    <row r="15" spans="1:32" x14ac:dyDescent="0.35">
      <c r="A15" s="18">
        <f t="shared" si="0"/>
        <v>44906</v>
      </c>
      <c r="B15" s="22">
        <v>26</v>
      </c>
      <c r="C15" s="22">
        <v>63</v>
      </c>
      <c r="D15" s="21">
        <v>2386000</v>
      </c>
      <c r="E15" s="21">
        <v>2315623</v>
      </c>
      <c r="F15" s="21">
        <v>350772</v>
      </c>
      <c r="G15" s="21">
        <v>8181639</v>
      </c>
      <c r="H15" s="33">
        <v>34978</v>
      </c>
      <c r="I15" s="33">
        <v>6442763</v>
      </c>
      <c r="J15" s="21">
        <v>317649</v>
      </c>
      <c r="K15" s="21">
        <v>2702170</v>
      </c>
      <c r="L15" s="29">
        <v>3192</v>
      </c>
      <c r="M15" s="29">
        <v>2923</v>
      </c>
      <c r="N15" s="21">
        <v>2272732</v>
      </c>
      <c r="O15" s="39"/>
      <c r="P15" s="40"/>
      <c r="Q15" s="21">
        <v>417288</v>
      </c>
      <c r="R15" s="21">
        <v>1132.019</v>
      </c>
      <c r="S15" s="45">
        <v>490.45499999999998</v>
      </c>
      <c r="T15" s="45">
        <v>3896.4029999999998</v>
      </c>
      <c r="U15" s="21">
        <v>367876</v>
      </c>
      <c r="V15" s="21">
        <v>72902</v>
      </c>
      <c r="W15" s="21">
        <v>55842</v>
      </c>
      <c r="X15" s="21">
        <v>188845</v>
      </c>
      <c r="Y15" s="21">
        <v>31923</v>
      </c>
      <c r="Z15" s="21">
        <v>4921</v>
      </c>
      <c r="AA15">
        <f t="shared" si="1"/>
        <v>1</v>
      </c>
      <c r="AB15" s="36" t="s">
        <v>58</v>
      </c>
      <c r="AD15">
        <f t="shared" si="2"/>
        <v>4119</v>
      </c>
      <c r="AE15" s="38">
        <f t="shared" si="3"/>
        <v>1.5219999999999345</v>
      </c>
    </row>
    <row r="16" spans="1:32" x14ac:dyDescent="0.35">
      <c r="A16" s="18">
        <f t="shared" si="0"/>
        <v>44907</v>
      </c>
      <c r="B16" s="22">
        <v>19</v>
      </c>
      <c r="C16" s="22">
        <v>40</v>
      </c>
      <c r="D16" s="21">
        <v>2389647</v>
      </c>
      <c r="E16" s="21">
        <v>2319818</v>
      </c>
      <c r="F16" s="21">
        <v>351194</v>
      </c>
      <c r="G16" s="21">
        <v>8183893</v>
      </c>
      <c r="H16" s="33">
        <v>34978</v>
      </c>
      <c r="I16" s="33">
        <v>6445362</v>
      </c>
      <c r="J16" s="21">
        <v>318850</v>
      </c>
      <c r="K16" s="21">
        <v>2702175</v>
      </c>
      <c r="L16" s="29">
        <v>0</v>
      </c>
      <c r="M16" s="29">
        <v>2925</v>
      </c>
      <c r="N16" s="21">
        <v>2276357</v>
      </c>
      <c r="O16" s="39"/>
      <c r="P16" s="40"/>
      <c r="Q16" s="33">
        <v>417362</v>
      </c>
      <c r="R16" s="21">
        <v>1133.6010000000001</v>
      </c>
      <c r="S16" s="45">
        <v>490.45499999999998</v>
      </c>
      <c r="T16" s="45">
        <v>3896.4059999999999</v>
      </c>
      <c r="U16" s="21">
        <v>367916</v>
      </c>
      <c r="V16" s="21">
        <v>72954</v>
      </c>
      <c r="W16" s="21">
        <v>55850</v>
      </c>
      <c r="X16" s="21">
        <v>188902</v>
      </c>
      <c r="Y16" s="21">
        <v>31931</v>
      </c>
      <c r="Z16" s="21">
        <v>4929</v>
      </c>
      <c r="AA16">
        <f t="shared" si="1"/>
        <v>8</v>
      </c>
      <c r="AB16" s="36" t="s">
        <v>59</v>
      </c>
      <c r="AD16">
        <f t="shared" si="2"/>
        <v>3625</v>
      </c>
      <c r="AE16" s="38">
        <f t="shared" si="3"/>
        <v>1.5820000000001073</v>
      </c>
    </row>
    <row r="17" spans="1:31" x14ac:dyDescent="0.35">
      <c r="A17" s="18">
        <f t="shared" si="0"/>
        <v>44908</v>
      </c>
      <c r="B17" s="22">
        <v>24</v>
      </c>
      <c r="C17" s="22">
        <v>50</v>
      </c>
      <c r="D17" s="21">
        <v>2393430</v>
      </c>
      <c r="E17" s="21">
        <v>2325602</v>
      </c>
      <c r="F17" s="21">
        <v>352116</v>
      </c>
      <c r="G17" s="21">
        <v>8186061</v>
      </c>
      <c r="H17" s="33">
        <v>34978</v>
      </c>
      <c r="I17" s="33">
        <v>6447543</v>
      </c>
      <c r="J17" s="21">
        <v>319793</v>
      </c>
      <c r="K17" s="21">
        <v>2702189</v>
      </c>
      <c r="L17" s="29">
        <v>0</v>
      </c>
      <c r="M17" s="29">
        <v>2883</v>
      </c>
      <c r="N17" s="21">
        <v>2279946</v>
      </c>
      <c r="O17" s="39"/>
      <c r="P17" s="40"/>
      <c r="Q17" s="21">
        <v>417435</v>
      </c>
      <c r="R17" s="21">
        <v>1135.123</v>
      </c>
      <c r="S17" s="45">
        <v>490.45499999999998</v>
      </c>
      <c r="T17" s="45">
        <v>3896.4059999999999</v>
      </c>
      <c r="U17" s="21">
        <v>367951</v>
      </c>
      <c r="V17" s="21">
        <v>72997</v>
      </c>
      <c r="W17" s="21">
        <v>55857</v>
      </c>
      <c r="X17" s="21">
        <v>188945</v>
      </c>
      <c r="Y17" s="21">
        <v>31931</v>
      </c>
      <c r="Z17" s="21">
        <v>4933</v>
      </c>
      <c r="AA17">
        <f t="shared" si="1"/>
        <v>0</v>
      </c>
      <c r="AB17" s="36" t="s">
        <v>60</v>
      </c>
      <c r="AD17">
        <f t="shared" si="2"/>
        <v>3589</v>
      </c>
      <c r="AE17" s="38">
        <f t="shared" si="3"/>
        <v>1.5219999999999345</v>
      </c>
    </row>
    <row r="18" spans="1:31" x14ac:dyDescent="0.35">
      <c r="A18" s="18">
        <f t="shared" si="0"/>
        <v>44909</v>
      </c>
      <c r="B18" s="22">
        <v>43</v>
      </c>
      <c r="C18" s="22">
        <v>80</v>
      </c>
      <c r="D18" s="21">
        <v>2397575</v>
      </c>
      <c r="E18" s="21">
        <v>2331370</v>
      </c>
      <c r="F18" s="21">
        <v>353044</v>
      </c>
      <c r="G18" s="21">
        <v>8188454</v>
      </c>
      <c r="H18" s="33">
        <v>34978</v>
      </c>
      <c r="I18" s="33">
        <v>6449770</v>
      </c>
      <c r="J18" s="21">
        <v>320788</v>
      </c>
      <c r="K18" s="21">
        <v>2702243</v>
      </c>
      <c r="L18" s="28">
        <v>0</v>
      </c>
      <c r="M18" s="28">
        <v>2924</v>
      </c>
      <c r="N18" s="21">
        <v>2283454</v>
      </c>
      <c r="O18" s="39"/>
      <c r="P18" s="40"/>
      <c r="Q18" s="21">
        <v>417510</v>
      </c>
      <c r="R18" s="21">
        <v>1136.675</v>
      </c>
      <c r="S18" s="45">
        <v>490.45499999999998</v>
      </c>
      <c r="T18" s="45">
        <v>3896.415</v>
      </c>
      <c r="U18" s="21">
        <v>367985</v>
      </c>
      <c r="V18" s="21">
        <v>73039</v>
      </c>
      <c r="W18" s="21">
        <v>55867</v>
      </c>
      <c r="X18" s="21">
        <v>188987</v>
      </c>
      <c r="Y18" s="21">
        <v>31936</v>
      </c>
      <c r="Z18" s="21">
        <v>4939</v>
      </c>
      <c r="AA18">
        <f t="shared" si="1"/>
        <v>5</v>
      </c>
      <c r="AB18" s="36" t="s">
        <v>61</v>
      </c>
      <c r="AD18">
        <f t="shared" si="2"/>
        <v>3508</v>
      </c>
      <c r="AE18" s="38">
        <f t="shared" si="3"/>
        <v>1.5519999999999072</v>
      </c>
    </row>
    <row r="19" spans="1:31" x14ac:dyDescent="0.35">
      <c r="A19" s="18">
        <f t="shared" si="0"/>
        <v>44910</v>
      </c>
      <c r="B19" s="22">
        <v>49</v>
      </c>
      <c r="C19" s="22">
        <v>98</v>
      </c>
      <c r="D19" s="21">
        <v>2402176</v>
      </c>
      <c r="E19" s="21">
        <v>2338090</v>
      </c>
      <c r="F19" s="21">
        <v>354050</v>
      </c>
      <c r="G19" s="21">
        <v>8191106</v>
      </c>
      <c r="H19" s="33">
        <v>34978</v>
      </c>
      <c r="I19" s="33">
        <v>6452397</v>
      </c>
      <c r="J19" s="21">
        <v>321872</v>
      </c>
      <c r="K19" s="21">
        <v>2702263</v>
      </c>
      <c r="L19" s="29">
        <v>0</v>
      </c>
      <c r="M19" s="29">
        <v>2924</v>
      </c>
      <c r="N19" s="21">
        <v>2287270</v>
      </c>
      <c r="O19" s="39"/>
      <c r="P19" s="40"/>
      <c r="Q19" s="21">
        <v>417592</v>
      </c>
      <c r="R19" s="21">
        <v>1136.7670000000001</v>
      </c>
      <c r="S19" s="45">
        <v>490.45499999999998</v>
      </c>
      <c r="T19" s="45">
        <v>3896.4160000000002</v>
      </c>
      <c r="U19" s="21">
        <v>368031</v>
      </c>
      <c r="V19" s="21">
        <v>73091</v>
      </c>
      <c r="W19" s="21">
        <v>55875</v>
      </c>
      <c r="X19" s="21">
        <v>189040</v>
      </c>
      <c r="Y19" s="21">
        <v>31936</v>
      </c>
      <c r="Z19" s="21">
        <v>4943</v>
      </c>
      <c r="AA19">
        <f t="shared" si="1"/>
        <v>0</v>
      </c>
      <c r="AB19" s="36" t="s">
        <v>55</v>
      </c>
      <c r="AD19">
        <f t="shared" si="2"/>
        <v>3816</v>
      </c>
      <c r="AE19" s="38">
        <f t="shared" si="3"/>
        <v>9.2000000000098225E-2</v>
      </c>
    </row>
    <row r="20" spans="1:31" x14ac:dyDescent="0.35">
      <c r="A20" s="18">
        <f t="shared" si="0"/>
        <v>44911</v>
      </c>
      <c r="B20" s="22">
        <v>81</v>
      </c>
      <c r="C20" s="22">
        <v>182</v>
      </c>
      <c r="D20" s="21">
        <v>2405785</v>
      </c>
      <c r="E20" s="21">
        <v>2343949</v>
      </c>
      <c r="F20" s="21">
        <v>354983</v>
      </c>
      <c r="G20" s="21">
        <v>8193591</v>
      </c>
      <c r="H20" s="33">
        <v>34978</v>
      </c>
      <c r="I20" s="33">
        <v>6454989</v>
      </c>
      <c r="J20" s="21">
        <v>322944</v>
      </c>
      <c r="K20" s="21">
        <v>2702294</v>
      </c>
      <c r="L20" s="29">
        <v>1190</v>
      </c>
      <c r="M20" s="29">
        <v>2925</v>
      </c>
      <c r="N20" s="21">
        <v>2290350</v>
      </c>
      <c r="O20" s="39"/>
      <c r="P20" s="40"/>
      <c r="Q20" s="21">
        <v>417668</v>
      </c>
      <c r="R20" s="21">
        <v>1136.7670000000001</v>
      </c>
      <c r="S20" s="45">
        <v>490.45499999999998</v>
      </c>
      <c r="T20" s="45">
        <v>3896.4160000000002</v>
      </c>
      <c r="U20" s="21">
        <v>368080</v>
      </c>
      <c r="V20" s="21">
        <v>73145</v>
      </c>
      <c r="W20" s="21">
        <v>55882</v>
      </c>
      <c r="X20" s="21">
        <v>189099</v>
      </c>
      <c r="Y20" s="21">
        <v>31937</v>
      </c>
      <c r="Z20" s="21">
        <v>4946</v>
      </c>
      <c r="AA20">
        <f t="shared" si="1"/>
        <v>1</v>
      </c>
      <c r="AB20" s="36" t="s">
        <v>56</v>
      </c>
      <c r="AD20">
        <f t="shared" si="2"/>
        <v>3080</v>
      </c>
      <c r="AE20" s="38">
        <f t="shared" si="3"/>
        <v>0</v>
      </c>
    </row>
    <row r="21" spans="1:31" x14ac:dyDescent="0.35">
      <c r="A21" s="18">
        <f t="shared" si="0"/>
        <v>44912</v>
      </c>
      <c r="B21" s="22">
        <v>86</v>
      </c>
      <c r="C21" s="22">
        <v>194</v>
      </c>
      <c r="D21" s="21">
        <v>2410053</v>
      </c>
      <c r="E21" s="21">
        <v>2348460</v>
      </c>
      <c r="F21" s="21">
        <v>355335</v>
      </c>
      <c r="G21" s="21">
        <v>8196160</v>
      </c>
      <c r="H21" s="33">
        <v>34978</v>
      </c>
      <c r="I21" s="33">
        <v>6457745</v>
      </c>
      <c r="J21" s="21">
        <v>324108</v>
      </c>
      <c r="K21" s="21">
        <v>2702324</v>
      </c>
      <c r="L21" s="29">
        <v>3584</v>
      </c>
      <c r="M21" s="29">
        <v>2722</v>
      </c>
      <c r="N21" s="21">
        <v>2294279</v>
      </c>
      <c r="O21" s="39"/>
      <c r="P21" s="40"/>
      <c r="Q21" s="21">
        <v>417764</v>
      </c>
      <c r="R21" s="21">
        <v>1136.7670000000001</v>
      </c>
      <c r="S21" s="45">
        <v>490.45499999999998</v>
      </c>
      <c r="T21" s="45">
        <v>3896.4290000000001</v>
      </c>
      <c r="U21" s="21">
        <v>368136</v>
      </c>
      <c r="V21" s="21">
        <v>73208</v>
      </c>
      <c r="W21" s="21">
        <v>55890</v>
      </c>
      <c r="X21" s="21">
        <v>189158</v>
      </c>
      <c r="Y21" s="21">
        <v>31938</v>
      </c>
      <c r="Z21" s="21">
        <v>4950</v>
      </c>
      <c r="AA21">
        <f t="shared" si="1"/>
        <v>1</v>
      </c>
      <c r="AB21" s="36" t="s">
        <v>57</v>
      </c>
      <c r="AD21">
        <f t="shared" si="2"/>
        <v>3929</v>
      </c>
      <c r="AE21" s="38">
        <f t="shared" si="3"/>
        <v>0</v>
      </c>
    </row>
    <row r="22" spans="1:31" x14ac:dyDescent="0.35">
      <c r="A22" s="18">
        <f t="shared" si="0"/>
        <v>44913</v>
      </c>
      <c r="B22" s="22">
        <v>59</v>
      </c>
      <c r="C22" s="22">
        <v>155</v>
      </c>
      <c r="D22" s="21">
        <v>2414955</v>
      </c>
      <c r="E22" s="21">
        <v>2351645</v>
      </c>
      <c r="F22" s="21">
        <v>355335</v>
      </c>
      <c r="G22" s="21">
        <v>8198660</v>
      </c>
      <c r="H22" s="33">
        <v>34978</v>
      </c>
      <c r="I22" s="33">
        <v>6460606</v>
      </c>
      <c r="J22" s="21">
        <v>325363</v>
      </c>
      <c r="K22" s="21">
        <v>2702574</v>
      </c>
      <c r="L22" s="29">
        <v>3583</v>
      </c>
      <c r="M22" s="29">
        <v>1635</v>
      </c>
      <c r="N22" s="21">
        <v>2297746</v>
      </c>
      <c r="O22" s="39"/>
      <c r="P22" s="40"/>
      <c r="Q22" s="21">
        <v>417859</v>
      </c>
      <c r="R22" s="21">
        <v>1136.7670000000001</v>
      </c>
      <c r="S22" s="45">
        <v>490.45499999999998</v>
      </c>
      <c r="T22" s="45">
        <v>3896.4290000000001</v>
      </c>
      <c r="U22" s="21">
        <v>368218</v>
      </c>
      <c r="V22" s="21">
        <v>73292</v>
      </c>
      <c r="W22" s="21">
        <v>55896</v>
      </c>
      <c r="X22" s="21">
        <v>189245</v>
      </c>
      <c r="Y22" s="21">
        <v>31938</v>
      </c>
      <c r="Z22" s="21">
        <v>4957</v>
      </c>
      <c r="AA22">
        <f t="shared" si="1"/>
        <v>0</v>
      </c>
      <c r="AB22" s="36" t="s">
        <v>58</v>
      </c>
      <c r="AD22">
        <f t="shared" si="2"/>
        <v>3467</v>
      </c>
      <c r="AE22" s="38">
        <f t="shared" si="3"/>
        <v>0</v>
      </c>
    </row>
    <row r="23" spans="1:31" x14ac:dyDescent="0.35">
      <c r="A23" s="18">
        <f t="shared" si="0"/>
        <v>44914</v>
      </c>
      <c r="B23" s="22">
        <v>91</v>
      </c>
      <c r="C23" s="22">
        <v>160</v>
      </c>
      <c r="D23" s="21">
        <v>2418642</v>
      </c>
      <c r="E23" s="21">
        <v>2354563</v>
      </c>
      <c r="F23" s="21">
        <v>355335</v>
      </c>
      <c r="G23" s="21">
        <v>8200604</v>
      </c>
      <c r="H23" s="33">
        <v>34978</v>
      </c>
      <c r="I23" s="33">
        <v>6463278</v>
      </c>
      <c r="J23" s="21">
        <v>326522</v>
      </c>
      <c r="K23" s="21">
        <v>2702724</v>
      </c>
      <c r="L23" s="29">
        <v>3584</v>
      </c>
      <c r="M23" s="29">
        <v>2921</v>
      </c>
      <c r="N23" s="21">
        <v>2301065</v>
      </c>
      <c r="O23" s="39"/>
      <c r="P23" s="40"/>
      <c r="Q23" s="21">
        <v>417970</v>
      </c>
      <c r="R23" s="21">
        <v>1136.769</v>
      </c>
      <c r="S23" s="45">
        <v>490.45499999999998</v>
      </c>
      <c r="T23" s="45">
        <v>3896.431</v>
      </c>
      <c r="U23" s="21">
        <v>368281</v>
      </c>
      <c r="V23" s="21">
        <v>73362</v>
      </c>
      <c r="W23" s="21">
        <v>55904</v>
      </c>
      <c r="X23" s="21">
        <v>189312</v>
      </c>
      <c r="Y23" s="21">
        <v>31949</v>
      </c>
      <c r="Z23" s="21">
        <v>4961</v>
      </c>
      <c r="AA23">
        <f t="shared" si="1"/>
        <v>11</v>
      </c>
      <c r="AB23" s="36" t="s">
        <v>59</v>
      </c>
      <c r="AD23">
        <f t="shared" si="2"/>
        <v>3319</v>
      </c>
      <c r="AE23" s="38">
        <f t="shared" si="3"/>
        <v>1.9999999999527063E-3</v>
      </c>
    </row>
    <row r="24" spans="1:31" x14ac:dyDescent="0.35">
      <c r="A24" s="18">
        <f t="shared" si="0"/>
        <v>44915</v>
      </c>
      <c r="B24" s="22">
        <v>56</v>
      </c>
      <c r="C24" s="22">
        <v>154</v>
      </c>
      <c r="D24" s="21">
        <v>2422173</v>
      </c>
      <c r="E24" s="21">
        <v>2357214</v>
      </c>
      <c r="F24" s="21">
        <v>355335</v>
      </c>
      <c r="G24" s="21">
        <v>8202636</v>
      </c>
      <c r="H24" s="33">
        <v>34978</v>
      </c>
      <c r="I24" s="33">
        <v>6465912</v>
      </c>
      <c r="J24" s="21">
        <v>327677</v>
      </c>
      <c r="K24" s="21">
        <v>2702737</v>
      </c>
      <c r="L24" s="29">
        <v>3571</v>
      </c>
      <c r="M24" s="29">
        <v>2751</v>
      </c>
      <c r="N24" s="21">
        <v>2304101</v>
      </c>
      <c r="O24" s="39"/>
      <c r="P24" s="40"/>
      <c r="Q24" s="21">
        <v>418055</v>
      </c>
      <c r="R24" s="21">
        <v>1136.7860000000001</v>
      </c>
      <c r="S24" s="45">
        <v>490.45499999999998</v>
      </c>
      <c r="T24" s="45">
        <v>3896.4340000000002</v>
      </c>
      <c r="U24" s="21">
        <v>368346</v>
      </c>
      <c r="V24" s="21">
        <v>73432</v>
      </c>
      <c r="W24" s="21">
        <v>55912</v>
      </c>
      <c r="X24" s="21">
        <v>189381</v>
      </c>
      <c r="Y24" s="21">
        <v>31949</v>
      </c>
      <c r="Z24" s="21">
        <v>4964</v>
      </c>
      <c r="AA24">
        <f t="shared" si="1"/>
        <v>0</v>
      </c>
      <c r="AB24" s="36" t="s">
        <v>60</v>
      </c>
      <c r="AD24">
        <f t="shared" si="2"/>
        <v>3036</v>
      </c>
      <c r="AE24" s="38">
        <f t="shared" si="3"/>
        <v>1.7000000000052751E-2</v>
      </c>
    </row>
    <row r="25" spans="1:31" x14ac:dyDescent="0.35">
      <c r="A25" s="18">
        <f t="shared" si="0"/>
        <v>44916</v>
      </c>
      <c r="B25" s="22">
        <v>77</v>
      </c>
      <c r="C25" s="22">
        <v>201</v>
      </c>
      <c r="D25" s="21">
        <v>2429603</v>
      </c>
      <c r="E25" s="21">
        <v>2357976</v>
      </c>
      <c r="F25" s="21">
        <v>355338</v>
      </c>
      <c r="G25" s="21">
        <v>8204833</v>
      </c>
      <c r="H25" s="33">
        <v>34978</v>
      </c>
      <c r="I25" s="33">
        <v>6468874</v>
      </c>
      <c r="J25" s="21">
        <v>328964</v>
      </c>
      <c r="K25" s="21">
        <v>2702809</v>
      </c>
      <c r="L25" s="32">
        <v>3585</v>
      </c>
      <c r="M25" s="30">
        <v>2923</v>
      </c>
      <c r="N25" s="21">
        <v>2307193</v>
      </c>
      <c r="O25" s="39"/>
      <c r="P25" s="40"/>
      <c r="Q25" s="21">
        <v>418139</v>
      </c>
      <c r="R25" s="21">
        <v>1136.7860000000001</v>
      </c>
      <c r="S25" s="45">
        <v>490.45499999999998</v>
      </c>
      <c r="T25" s="45">
        <v>3896.4380000000001</v>
      </c>
      <c r="U25" s="21">
        <v>368403</v>
      </c>
      <c r="V25" s="21">
        <v>73496</v>
      </c>
      <c r="W25" s="21">
        <v>55920</v>
      </c>
      <c r="X25" s="21">
        <v>189446</v>
      </c>
      <c r="Y25" s="21">
        <v>31950</v>
      </c>
      <c r="Z25" s="21">
        <v>4968</v>
      </c>
      <c r="AA25">
        <f t="shared" si="1"/>
        <v>1</v>
      </c>
      <c r="AB25" s="36" t="s">
        <v>61</v>
      </c>
      <c r="AD25">
        <f t="shared" si="2"/>
        <v>3092</v>
      </c>
      <c r="AE25" s="38">
        <f t="shared" si="3"/>
        <v>0</v>
      </c>
    </row>
    <row r="26" spans="1:31" x14ac:dyDescent="0.35">
      <c r="A26" s="18">
        <f t="shared" si="0"/>
        <v>44917</v>
      </c>
      <c r="B26" s="22">
        <v>83</v>
      </c>
      <c r="C26" s="34">
        <v>222</v>
      </c>
      <c r="D26" s="25">
        <v>2429339</v>
      </c>
      <c r="E26" s="25">
        <v>2363370</v>
      </c>
      <c r="F26" s="25">
        <v>355338</v>
      </c>
      <c r="G26" s="25">
        <v>8207034</v>
      </c>
      <c r="H26" s="26">
        <v>34978</v>
      </c>
      <c r="I26" s="26">
        <v>6471774</v>
      </c>
      <c r="J26" s="26">
        <v>330258</v>
      </c>
      <c r="K26" s="25">
        <v>2702814</v>
      </c>
      <c r="L26" s="30">
        <v>3585</v>
      </c>
      <c r="M26" s="30">
        <v>2925</v>
      </c>
      <c r="N26" s="25">
        <v>2310309</v>
      </c>
      <c r="O26" s="41"/>
      <c r="P26" s="42"/>
      <c r="Q26" s="25">
        <v>418243</v>
      </c>
      <c r="R26" s="44">
        <v>1136.7860000000001</v>
      </c>
      <c r="S26" s="44">
        <v>490.45499999999998</v>
      </c>
      <c r="T26" s="44">
        <v>3896.4459999999999</v>
      </c>
      <c r="U26" s="25">
        <v>368459</v>
      </c>
      <c r="V26" s="25">
        <v>73560</v>
      </c>
      <c r="W26" s="25">
        <v>55927</v>
      </c>
      <c r="X26" s="25">
        <v>189512</v>
      </c>
      <c r="Y26" s="25">
        <v>31958</v>
      </c>
      <c r="Z26" s="25">
        <v>4971</v>
      </c>
      <c r="AA26">
        <f t="shared" si="1"/>
        <v>8</v>
      </c>
      <c r="AB26" s="36" t="s">
        <v>55</v>
      </c>
      <c r="AD26">
        <f t="shared" si="2"/>
        <v>3116</v>
      </c>
      <c r="AE26" s="38">
        <f t="shared" si="3"/>
        <v>0</v>
      </c>
    </row>
    <row r="27" spans="1:31" x14ac:dyDescent="0.35">
      <c r="A27" s="18">
        <f t="shared" si="0"/>
        <v>44918</v>
      </c>
      <c r="B27" s="22">
        <v>63</v>
      </c>
      <c r="C27" s="34">
        <v>150</v>
      </c>
      <c r="D27" s="25">
        <v>2432988</v>
      </c>
      <c r="E27" s="25">
        <v>2366443</v>
      </c>
      <c r="F27" s="25">
        <v>355338</v>
      </c>
      <c r="G27" s="25">
        <v>8209234</v>
      </c>
      <c r="H27" s="26">
        <v>34978</v>
      </c>
      <c r="I27" s="26">
        <v>6474797</v>
      </c>
      <c r="J27" s="26">
        <v>331551</v>
      </c>
      <c r="K27" s="25">
        <v>2702822</v>
      </c>
      <c r="L27" s="30">
        <v>3586</v>
      </c>
      <c r="M27" s="30">
        <v>2925</v>
      </c>
      <c r="N27" s="25">
        <v>2313453</v>
      </c>
      <c r="O27" s="41"/>
      <c r="P27" s="42"/>
      <c r="Q27" s="26">
        <v>418323</v>
      </c>
      <c r="R27" s="44">
        <v>1136.7860000000001</v>
      </c>
      <c r="S27" s="44">
        <v>490.45499999999998</v>
      </c>
      <c r="T27" s="44">
        <v>3896.4470000000001</v>
      </c>
      <c r="U27" s="25">
        <v>368534</v>
      </c>
      <c r="V27" s="25">
        <v>73637</v>
      </c>
      <c r="W27" s="25">
        <v>55935</v>
      </c>
      <c r="X27" s="25">
        <v>189602</v>
      </c>
      <c r="Y27" s="25">
        <v>31958</v>
      </c>
      <c r="Z27" s="25">
        <v>4975</v>
      </c>
      <c r="AA27">
        <f t="shared" si="1"/>
        <v>0</v>
      </c>
      <c r="AB27" s="36" t="s">
        <v>56</v>
      </c>
      <c r="AD27">
        <f t="shared" si="2"/>
        <v>3144</v>
      </c>
      <c r="AE27" s="38">
        <f t="shared" si="3"/>
        <v>0</v>
      </c>
    </row>
    <row r="28" spans="1:31" x14ac:dyDescent="0.35">
      <c r="A28" s="18">
        <f t="shared" si="0"/>
        <v>44919</v>
      </c>
      <c r="B28" s="22">
        <v>115</v>
      </c>
      <c r="C28" s="34">
        <v>263</v>
      </c>
      <c r="D28" s="25">
        <v>2436618</v>
      </c>
      <c r="E28" s="25">
        <v>2369407</v>
      </c>
      <c r="F28" s="25">
        <v>355338</v>
      </c>
      <c r="G28" s="25">
        <v>8211149</v>
      </c>
      <c r="H28" s="26">
        <v>34978</v>
      </c>
      <c r="I28" s="26">
        <v>6477817</v>
      </c>
      <c r="J28" s="26">
        <v>332881</v>
      </c>
      <c r="K28" s="25">
        <v>2702828</v>
      </c>
      <c r="L28" s="30">
        <v>3584</v>
      </c>
      <c r="M28" s="30">
        <v>2471</v>
      </c>
      <c r="N28" s="25">
        <v>2316129</v>
      </c>
      <c r="O28" s="41"/>
      <c r="P28" s="42"/>
      <c r="Q28" s="26">
        <v>418449</v>
      </c>
      <c r="R28" s="44">
        <v>1136.7860000000001</v>
      </c>
      <c r="S28" s="44">
        <v>490.45499999999998</v>
      </c>
      <c r="T28" s="44">
        <v>3896.4470000000001</v>
      </c>
      <c r="U28" s="25">
        <v>368600</v>
      </c>
      <c r="V28" s="25">
        <v>73710</v>
      </c>
      <c r="W28" s="25">
        <v>55944</v>
      </c>
      <c r="X28" s="25">
        <v>189661</v>
      </c>
      <c r="Y28" s="25">
        <v>31958</v>
      </c>
      <c r="Z28" s="25">
        <v>4978</v>
      </c>
      <c r="AA28">
        <f t="shared" si="1"/>
        <v>0</v>
      </c>
      <c r="AB28" s="36" t="s">
        <v>57</v>
      </c>
      <c r="AD28">
        <f t="shared" si="2"/>
        <v>2676</v>
      </c>
      <c r="AE28" s="38">
        <f t="shared" si="3"/>
        <v>0</v>
      </c>
    </row>
    <row r="29" spans="1:31" x14ac:dyDescent="0.35">
      <c r="A29" s="18">
        <f t="shared" si="0"/>
        <v>44920</v>
      </c>
      <c r="B29" s="22">
        <v>104</v>
      </c>
      <c r="C29" s="34">
        <v>236</v>
      </c>
      <c r="D29" s="25">
        <v>2440582</v>
      </c>
      <c r="E29" s="25">
        <v>2372837</v>
      </c>
      <c r="F29" s="25">
        <v>355338</v>
      </c>
      <c r="G29" s="25">
        <v>8213264</v>
      </c>
      <c r="H29" s="26">
        <v>34978</v>
      </c>
      <c r="I29" s="26">
        <v>6480837</v>
      </c>
      <c r="J29" s="26">
        <v>334290</v>
      </c>
      <c r="K29" s="25">
        <v>2702980</v>
      </c>
      <c r="L29" s="30">
        <v>3584</v>
      </c>
      <c r="M29" s="30">
        <v>2925</v>
      </c>
      <c r="N29" s="25">
        <v>2319268</v>
      </c>
      <c r="O29" s="41"/>
      <c r="P29" s="42"/>
      <c r="Q29" s="26">
        <v>418546</v>
      </c>
      <c r="R29" s="44">
        <v>1136.7860000000001</v>
      </c>
      <c r="S29" s="44">
        <v>490.45499999999998</v>
      </c>
      <c r="T29" s="44">
        <v>3896.4470000000001</v>
      </c>
      <c r="U29" s="25">
        <v>368675</v>
      </c>
      <c r="V29" s="25">
        <v>73789</v>
      </c>
      <c r="W29" s="25">
        <v>55953</v>
      </c>
      <c r="X29" s="25">
        <v>189741</v>
      </c>
      <c r="Y29" s="25">
        <v>31959</v>
      </c>
      <c r="Z29" s="25">
        <v>4983</v>
      </c>
      <c r="AA29">
        <f t="shared" si="1"/>
        <v>1</v>
      </c>
      <c r="AB29" s="36" t="s">
        <v>58</v>
      </c>
      <c r="AD29">
        <f t="shared" si="2"/>
        <v>3139</v>
      </c>
      <c r="AE29" s="38">
        <f t="shared" si="3"/>
        <v>0</v>
      </c>
    </row>
    <row r="30" spans="1:31" x14ac:dyDescent="0.35">
      <c r="A30" s="18">
        <f t="shared" si="0"/>
        <v>44921</v>
      </c>
      <c r="B30" s="22">
        <v>99</v>
      </c>
      <c r="C30" s="34">
        <v>236</v>
      </c>
      <c r="D30" s="25">
        <v>2444076</v>
      </c>
      <c r="E30" s="25">
        <v>2375856</v>
      </c>
      <c r="F30" s="25">
        <v>355338</v>
      </c>
      <c r="G30" s="25">
        <v>8215383</v>
      </c>
      <c r="H30" s="26">
        <v>34978</v>
      </c>
      <c r="I30" s="26">
        <v>6483878</v>
      </c>
      <c r="J30" s="25">
        <v>335697</v>
      </c>
      <c r="K30" s="25">
        <v>2702982</v>
      </c>
      <c r="L30" s="30">
        <v>3585</v>
      </c>
      <c r="M30" s="30">
        <v>2925</v>
      </c>
      <c r="N30" s="25">
        <v>2322396</v>
      </c>
      <c r="O30" s="41"/>
      <c r="P30" s="42"/>
      <c r="Q30" s="25">
        <v>418658</v>
      </c>
      <c r="R30" s="25">
        <v>1136.7860000000001</v>
      </c>
      <c r="S30" s="44">
        <v>490.45499999999998</v>
      </c>
      <c r="T30" s="44">
        <v>3896.4479999999999</v>
      </c>
      <c r="U30" s="25">
        <v>368751</v>
      </c>
      <c r="V30" s="25">
        <v>73872</v>
      </c>
      <c r="W30" s="25">
        <v>55961</v>
      </c>
      <c r="X30" s="25">
        <v>189825</v>
      </c>
      <c r="Y30" s="25">
        <v>31971</v>
      </c>
      <c r="Z30" s="25">
        <v>4989</v>
      </c>
      <c r="AA30">
        <f t="shared" si="1"/>
        <v>12</v>
      </c>
      <c r="AB30" s="36" t="s">
        <v>59</v>
      </c>
      <c r="AD30">
        <f t="shared" si="2"/>
        <v>3128</v>
      </c>
      <c r="AE30" s="38">
        <f t="shared" si="3"/>
        <v>0</v>
      </c>
    </row>
    <row r="31" spans="1:31" x14ac:dyDescent="0.35">
      <c r="A31" s="18">
        <f t="shared" si="0"/>
        <v>44922</v>
      </c>
      <c r="B31" s="22">
        <v>81</v>
      </c>
      <c r="C31" s="34">
        <v>210</v>
      </c>
      <c r="D31" s="25">
        <v>2447500</v>
      </c>
      <c r="E31" s="25">
        <v>2378908</v>
      </c>
      <c r="F31" s="25">
        <v>355338</v>
      </c>
      <c r="G31" s="25">
        <v>8217366</v>
      </c>
      <c r="H31" s="26">
        <v>34978</v>
      </c>
      <c r="I31" s="26">
        <v>6486827</v>
      </c>
      <c r="J31" s="25">
        <v>336977</v>
      </c>
      <c r="K31" s="25">
        <v>2702988</v>
      </c>
      <c r="L31" s="30">
        <v>3583</v>
      </c>
      <c r="M31" s="30">
        <v>2884</v>
      </c>
      <c r="N31" s="25">
        <v>2325718</v>
      </c>
      <c r="O31" s="41"/>
      <c r="P31" s="42"/>
      <c r="Q31" s="25">
        <v>418760</v>
      </c>
      <c r="R31" s="25">
        <v>1136.7860000000001</v>
      </c>
      <c r="S31" s="44">
        <v>490.45499999999998</v>
      </c>
      <c r="T31" s="44">
        <v>3896.4479999999999</v>
      </c>
      <c r="U31" s="25">
        <v>368819</v>
      </c>
      <c r="V31" s="25">
        <v>73949</v>
      </c>
      <c r="W31" s="25">
        <v>55969</v>
      </c>
      <c r="X31" s="25">
        <v>189901</v>
      </c>
      <c r="Y31" s="25">
        <v>31971</v>
      </c>
      <c r="Z31" s="25">
        <v>4992</v>
      </c>
      <c r="AA31">
        <f t="shared" si="1"/>
        <v>0</v>
      </c>
      <c r="AB31" s="36" t="s">
        <v>60</v>
      </c>
      <c r="AD31">
        <f t="shared" si="2"/>
        <v>3322</v>
      </c>
      <c r="AE31" s="38">
        <f t="shared" si="3"/>
        <v>0</v>
      </c>
    </row>
    <row r="32" spans="1:31" x14ac:dyDescent="0.35">
      <c r="A32" s="18">
        <f t="shared" si="0"/>
        <v>44923</v>
      </c>
      <c r="B32" s="22">
        <v>90</v>
      </c>
      <c r="C32" s="34">
        <v>231</v>
      </c>
      <c r="D32" s="25">
        <v>2450827</v>
      </c>
      <c r="E32" s="25">
        <v>2381993</v>
      </c>
      <c r="F32" s="25">
        <v>355338</v>
      </c>
      <c r="G32" s="25">
        <v>8219344</v>
      </c>
      <c r="H32" s="26">
        <v>34978</v>
      </c>
      <c r="I32" s="26">
        <v>6489781</v>
      </c>
      <c r="J32" s="25">
        <v>338299</v>
      </c>
      <c r="K32" s="25">
        <v>2703006</v>
      </c>
      <c r="L32" s="30">
        <v>3584</v>
      </c>
      <c r="M32" s="30">
        <v>2873</v>
      </c>
      <c r="N32" s="25">
        <v>2328810</v>
      </c>
      <c r="O32" s="41"/>
      <c r="P32" s="42"/>
      <c r="Q32" s="25">
        <v>418866</v>
      </c>
      <c r="R32" s="44">
        <v>1136.7860000000001</v>
      </c>
      <c r="S32" s="44">
        <v>490.45499999999998</v>
      </c>
      <c r="T32" s="44">
        <v>3896.4479999999999</v>
      </c>
      <c r="U32" s="25">
        <v>368889</v>
      </c>
      <c r="V32" s="25">
        <v>74026</v>
      </c>
      <c r="W32" s="25">
        <v>55978</v>
      </c>
      <c r="X32" s="25">
        <v>189979</v>
      </c>
      <c r="Y32" s="25">
        <v>31971</v>
      </c>
      <c r="Z32" s="25">
        <v>4995</v>
      </c>
      <c r="AA32">
        <f t="shared" si="1"/>
        <v>0</v>
      </c>
      <c r="AB32" s="36" t="s">
        <v>61</v>
      </c>
      <c r="AD32">
        <f t="shared" si="2"/>
        <v>3092</v>
      </c>
      <c r="AE32" s="38">
        <f t="shared" si="3"/>
        <v>0</v>
      </c>
    </row>
    <row r="33" spans="1:31" x14ac:dyDescent="0.35">
      <c r="A33" s="18">
        <f t="shared" si="0"/>
        <v>44924</v>
      </c>
      <c r="B33" s="22">
        <v>84</v>
      </c>
      <c r="C33" s="34">
        <v>213</v>
      </c>
      <c r="D33" s="24">
        <v>2454510</v>
      </c>
      <c r="E33" s="25">
        <v>2384945</v>
      </c>
      <c r="F33" s="25">
        <v>355338</v>
      </c>
      <c r="G33" s="25">
        <v>8221471</v>
      </c>
      <c r="H33" s="25">
        <v>34978</v>
      </c>
      <c r="I33" s="25">
        <v>6492585</v>
      </c>
      <c r="J33" s="25">
        <v>339485</v>
      </c>
      <c r="K33" s="25">
        <v>2703024</v>
      </c>
      <c r="L33" s="31">
        <v>3584</v>
      </c>
      <c r="M33" s="31">
        <v>2924</v>
      </c>
      <c r="N33" s="25">
        <v>2332018</v>
      </c>
      <c r="O33" s="41"/>
      <c r="P33" s="42"/>
      <c r="Q33" s="25">
        <v>418961</v>
      </c>
      <c r="R33" s="44">
        <v>1136.7860000000001</v>
      </c>
      <c r="S33" s="44">
        <v>490.45499999999998</v>
      </c>
      <c r="T33" s="44">
        <v>3896.4479999999999</v>
      </c>
      <c r="U33" s="25">
        <v>368950</v>
      </c>
      <c r="V33" s="25">
        <v>74102</v>
      </c>
      <c r="W33" s="25">
        <v>55985</v>
      </c>
      <c r="X33" s="25">
        <v>190055</v>
      </c>
      <c r="Y33" s="25">
        <v>31972</v>
      </c>
      <c r="Z33" s="25">
        <v>5002</v>
      </c>
      <c r="AA33">
        <f t="shared" si="1"/>
        <v>1</v>
      </c>
      <c r="AB33" s="36" t="s">
        <v>55</v>
      </c>
      <c r="AD33">
        <f t="shared" si="2"/>
        <v>3208</v>
      </c>
      <c r="AE33" s="38">
        <f t="shared" si="3"/>
        <v>0</v>
      </c>
    </row>
    <row r="34" spans="1:31" x14ac:dyDescent="0.35">
      <c r="A34" s="18">
        <f>A33+1</f>
        <v>44925</v>
      </c>
      <c r="B34" s="22">
        <v>89</v>
      </c>
      <c r="C34" s="34">
        <v>225</v>
      </c>
      <c r="D34" s="24">
        <v>2458073</v>
      </c>
      <c r="E34" s="25">
        <v>2387921</v>
      </c>
      <c r="F34" s="25">
        <v>355338</v>
      </c>
      <c r="G34" s="25">
        <v>8223727</v>
      </c>
      <c r="H34" s="25">
        <v>34978</v>
      </c>
      <c r="I34" s="25">
        <v>6495363</v>
      </c>
      <c r="J34" s="25">
        <v>340625</v>
      </c>
      <c r="K34" s="25">
        <v>2703029</v>
      </c>
      <c r="L34" s="31">
        <v>3585</v>
      </c>
      <c r="M34" s="31">
        <v>2925</v>
      </c>
      <c r="N34" s="25">
        <v>2335330</v>
      </c>
      <c r="O34" s="41"/>
      <c r="P34" s="42"/>
      <c r="Q34" s="25">
        <v>419070</v>
      </c>
      <c r="R34" s="25">
        <v>1136.7860000000001</v>
      </c>
      <c r="S34" s="44">
        <v>490.45499999999998</v>
      </c>
      <c r="T34" s="44">
        <v>3896.4479999999999</v>
      </c>
      <c r="U34" s="25">
        <v>369021</v>
      </c>
      <c r="V34" s="25">
        <v>74178</v>
      </c>
      <c r="W34" s="25">
        <v>55993</v>
      </c>
      <c r="X34" s="25">
        <v>190164</v>
      </c>
      <c r="Y34" s="25">
        <v>31973</v>
      </c>
      <c r="Z34" s="25">
        <v>5007</v>
      </c>
      <c r="AA34">
        <f t="shared" si="1"/>
        <v>1</v>
      </c>
      <c r="AB34" s="36" t="s">
        <v>56</v>
      </c>
      <c r="AD34">
        <f t="shared" si="2"/>
        <v>3312</v>
      </c>
      <c r="AE34" s="38">
        <f t="shared" si="3"/>
        <v>0</v>
      </c>
    </row>
    <row r="35" spans="1:31" x14ac:dyDescent="0.35">
      <c r="A35" s="18">
        <f>A34+1</f>
        <v>44926</v>
      </c>
      <c r="B35" s="22">
        <v>130</v>
      </c>
      <c r="C35" s="34">
        <v>329</v>
      </c>
      <c r="D35" s="24">
        <v>2461493</v>
      </c>
      <c r="E35" s="25">
        <v>2391000</v>
      </c>
      <c r="F35" s="25">
        <v>355338</v>
      </c>
      <c r="G35" s="25">
        <v>8225620</v>
      </c>
      <c r="H35" s="25">
        <v>34978</v>
      </c>
      <c r="I35" s="25">
        <v>6498090</v>
      </c>
      <c r="J35" s="25">
        <v>341824</v>
      </c>
      <c r="K35" s="25">
        <v>2703034</v>
      </c>
      <c r="L35" s="31">
        <v>3584</v>
      </c>
      <c r="M35" s="31">
        <v>2924</v>
      </c>
      <c r="N35" s="25">
        <v>2338357</v>
      </c>
      <c r="O35" s="21">
        <v>51602</v>
      </c>
      <c r="P35" s="21">
        <v>362327</v>
      </c>
      <c r="Q35" s="25">
        <v>419161</v>
      </c>
      <c r="R35" s="25">
        <v>1136.7860000000001</v>
      </c>
      <c r="S35" s="44">
        <v>490.45499999999998</v>
      </c>
      <c r="T35" s="44">
        <v>3896.4479999999999</v>
      </c>
      <c r="U35" s="25">
        <v>369090</v>
      </c>
      <c r="V35" s="25">
        <v>74253</v>
      </c>
      <c r="W35" s="25">
        <v>56001</v>
      </c>
      <c r="X35" s="25">
        <v>190208</v>
      </c>
      <c r="Y35" s="25">
        <v>31974</v>
      </c>
      <c r="Z35" s="25">
        <v>5008</v>
      </c>
      <c r="AA35">
        <f t="shared" ref="AA35" si="4">SUM(Y35-Y34)</f>
        <v>1</v>
      </c>
      <c r="AB35" s="36" t="s">
        <v>57</v>
      </c>
      <c r="AD35">
        <f t="shared" ref="AD35" si="5">N35-N34</f>
        <v>3027</v>
      </c>
      <c r="AE35" s="38">
        <f t="shared" ref="AE35" si="6">R35-R34</f>
        <v>0</v>
      </c>
    </row>
    <row r="36" spans="1:31" x14ac:dyDescent="0.35">
      <c r="B36"/>
      <c r="C36"/>
      <c r="D36">
        <f t="shared" ref="D36:K36" si="7">SUM(D35-D4)</f>
        <v>125316</v>
      </c>
      <c r="E36">
        <f t="shared" si="7"/>
        <v>104073</v>
      </c>
      <c r="F36">
        <f t="shared" si="7"/>
        <v>4568</v>
      </c>
      <c r="G36">
        <f t="shared" si="7"/>
        <v>69150</v>
      </c>
      <c r="H36">
        <f t="shared" si="7"/>
        <v>0</v>
      </c>
      <c r="I36">
        <f t="shared" si="7"/>
        <v>81138</v>
      </c>
      <c r="J36">
        <f t="shared" si="7"/>
        <v>35521</v>
      </c>
      <c r="K36">
        <f t="shared" si="7"/>
        <v>3602</v>
      </c>
      <c r="L36">
        <f>SUM(L5:L35)</f>
        <v>93558</v>
      </c>
      <c r="M36">
        <f>SUM(M5:M35)</f>
        <v>78099</v>
      </c>
      <c r="N36">
        <f>SUM(N35-N4)</f>
        <v>103337</v>
      </c>
      <c r="O36">
        <f>SUM(O35-O4)</f>
        <v>473</v>
      </c>
      <c r="P36">
        <f>SUM(P35-P4)</f>
        <v>2567</v>
      </c>
      <c r="Q36">
        <f>SUM(Q35-Q4)</f>
        <v>2661</v>
      </c>
      <c r="R36">
        <f t="shared" ref="R36:Z36" si="8">SUM(R35-R4)</f>
        <v>12.950000000000045</v>
      </c>
      <c r="S36">
        <f t="shared" si="8"/>
        <v>0</v>
      </c>
      <c r="T36">
        <f t="shared" si="8"/>
        <v>0.19299999999975626</v>
      </c>
      <c r="U36">
        <f t="shared" si="8"/>
        <v>1451</v>
      </c>
      <c r="V36">
        <f t="shared" si="8"/>
        <v>1864</v>
      </c>
      <c r="W36">
        <f t="shared" si="8"/>
        <v>229</v>
      </c>
      <c r="X36">
        <f t="shared" si="8"/>
        <v>1882</v>
      </c>
      <c r="Y36">
        <f t="shared" si="8"/>
        <v>76</v>
      </c>
      <c r="Z36">
        <f t="shared" si="8"/>
        <v>135</v>
      </c>
    </row>
    <row r="37" spans="1:31" x14ac:dyDescent="0.35">
      <c r="B37"/>
      <c r="C37"/>
    </row>
    <row r="38" spans="1:31" x14ac:dyDescent="0.35">
      <c r="B38"/>
      <c r="C38"/>
    </row>
    <row r="39" spans="1:31" x14ac:dyDescent="0.35">
      <c r="B39"/>
      <c r="C39"/>
    </row>
    <row r="40" spans="1:31" x14ac:dyDescent="0.35">
      <c r="B40"/>
      <c r="C40"/>
    </row>
    <row r="41" spans="1:31" x14ac:dyDescent="0.35">
      <c r="B41"/>
      <c r="C41"/>
    </row>
    <row r="42" spans="1:31" x14ac:dyDescent="0.35">
      <c r="B42"/>
      <c r="C42"/>
    </row>
    <row r="43" spans="1:31" x14ac:dyDescent="0.35">
      <c r="B43"/>
      <c r="C43"/>
    </row>
    <row r="44" spans="1:31" x14ac:dyDescent="0.35">
      <c r="B44"/>
      <c r="C44"/>
    </row>
    <row r="45" spans="1:31" x14ac:dyDescent="0.35">
      <c r="B45"/>
      <c r="C45"/>
    </row>
    <row r="46" spans="1:31" x14ac:dyDescent="0.35">
      <c r="B46"/>
      <c r="C46"/>
    </row>
    <row r="47" spans="1:31" x14ac:dyDescent="0.35">
      <c r="B47"/>
      <c r="C47"/>
    </row>
    <row r="48" spans="1:31" x14ac:dyDescent="0.35">
      <c r="B48"/>
      <c r="C48"/>
    </row>
    <row r="49" spans="2:3" x14ac:dyDescent="0.35">
      <c r="B49"/>
      <c r="C49"/>
    </row>
    <row r="50" spans="2:3" x14ac:dyDescent="0.35">
      <c r="B50"/>
      <c r="C50"/>
    </row>
    <row r="51" spans="2:3" x14ac:dyDescent="0.35">
      <c r="B51"/>
      <c r="C51"/>
    </row>
    <row r="52" spans="2:3" x14ac:dyDescent="0.35">
      <c r="B52"/>
      <c r="C52"/>
    </row>
    <row r="53" spans="2:3" x14ac:dyDescent="0.35">
      <c r="B53"/>
      <c r="C53"/>
    </row>
    <row r="54" spans="2:3" x14ac:dyDescent="0.35">
      <c r="B54"/>
      <c r="C54"/>
    </row>
    <row r="55" spans="2:3" x14ac:dyDescent="0.35">
      <c r="B55"/>
      <c r="C55"/>
    </row>
    <row r="56" spans="2:3" x14ac:dyDescent="0.35">
      <c r="B56"/>
      <c r="C56"/>
    </row>
    <row r="57" spans="2:3" x14ac:dyDescent="0.35">
      <c r="B57"/>
      <c r="C57"/>
    </row>
    <row r="58" spans="2:3" x14ac:dyDescent="0.35">
      <c r="B58"/>
      <c r="C58"/>
    </row>
    <row r="59" spans="2:3" x14ac:dyDescent="0.35">
      <c r="B59"/>
      <c r="C59"/>
    </row>
    <row r="60" spans="2:3" x14ac:dyDescent="0.35">
      <c r="B60"/>
      <c r="C60"/>
    </row>
    <row r="61" spans="2:3" x14ac:dyDescent="0.35">
      <c r="B61"/>
      <c r="C61"/>
    </row>
    <row r="62" spans="2:3" x14ac:dyDescent="0.35">
      <c r="B62"/>
      <c r="C62"/>
    </row>
    <row r="63" spans="2:3" x14ac:dyDescent="0.35">
      <c r="B63"/>
      <c r="C63"/>
    </row>
    <row r="64" spans="2:3" x14ac:dyDescent="0.35">
      <c r="B64"/>
      <c r="C64"/>
    </row>
    <row r="65" spans="2:3" x14ac:dyDescent="0.35">
      <c r="B65"/>
      <c r="C65"/>
    </row>
    <row r="66" spans="2:3" x14ac:dyDescent="0.35">
      <c r="B66"/>
      <c r="C66"/>
    </row>
    <row r="67" spans="2:3" x14ac:dyDescent="0.35">
      <c r="B67"/>
      <c r="C67"/>
    </row>
    <row r="68" spans="2:3" x14ac:dyDescent="0.35">
      <c r="B68"/>
      <c r="C68"/>
    </row>
    <row r="69" spans="2:3" x14ac:dyDescent="0.35">
      <c r="B69"/>
      <c r="C69"/>
    </row>
    <row r="70" spans="2:3" x14ac:dyDescent="0.35">
      <c r="B70"/>
      <c r="C70"/>
    </row>
    <row r="71" spans="2:3" x14ac:dyDescent="0.35">
      <c r="B71"/>
      <c r="C71"/>
    </row>
    <row r="72" spans="2:3" x14ac:dyDescent="0.35">
      <c r="B72"/>
      <c r="C72"/>
    </row>
    <row r="73" spans="2:3" x14ac:dyDescent="0.35">
      <c r="B73"/>
      <c r="C73"/>
    </row>
    <row r="74" spans="2:3" x14ac:dyDescent="0.35">
      <c r="B74"/>
      <c r="C74"/>
    </row>
    <row r="75" spans="2:3" x14ac:dyDescent="0.35">
      <c r="B75"/>
      <c r="C75"/>
    </row>
    <row r="76" spans="2:3" x14ac:dyDescent="0.35">
      <c r="B76"/>
      <c r="C76"/>
    </row>
    <row r="77" spans="2:3" x14ac:dyDescent="0.35">
      <c r="B77"/>
      <c r="C77"/>
    </row>
    <row r="78" spans="2:3" x14ac:dyDescent="0.35">
      <c r="B78"/>
      <c r="C78"/>
    </row>
    <row r="79" spans="2:3" x14ac:dyDescent="0.35">
      <c r="B79"/>
      <c r="C79"/>
    </row>
    <row r="80" spans="2:3" x14ac:dyDescent="0.35">
      <c r="B80"/>
      <c r="C80"/>
    </row>
    <row r="81" spans="2:3" x14ac:dyDescent="0.35">
      <c r="B81"/>
      <c r="C81"/>
    </row>
    <row r="82" spans="2:3" x14ac:dyDescent="0.35">
      <c r="B82"/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x14ac:dyDescent="0.35">
      <c r="B86"/>
      <c r="C86"/>
    </row>
    <row r="87" spans="2:3" x14ac:dyDescent="0.35">
      <c r="B87"/>
      <c r="C87"/>
    </row>
    <row r="88" spans="2:3" x14ac:dyDescent="0.35">
      <c r="B88"/>
      <c r="C88"/>
    </row>
    <row r="89" spans="2:3" x14ac:dyDescent="0.35">
      <c r="B89"/>
      <c r="C89"/>
    </row>
    <row r="90" spans="2:3" x14ac:dyDescent="0.35">
      <c r="B90"/>
      <c r="C90"/>
    </row>
    <row r="91" spans="2:3" x14ac:dyDescent="0.35">
      <c r="B91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</sheetData>
  <mergeCells count="27"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  <mergeCell ref="M2:M3"/>
    <mergeCell ref="L2:L3"/>
    <mergeCell ref="N1:N3"/>
    <mergeCell ref="Q1:Q3"/>
    <mergeCell ref="U1:V3"/>
    <mergeCell ref="AA1:AA3"/>
    <mergeCell ref="O1:O3"/>
    <mergeCell ref="P1:P3"/>
    <mergeCell ref="R1:R3"/>
    <mergeCell ref="S1:S3"/>
    <mergeCell ref="T1:T3"/>
    <mergeCell ref="Z1:Z3"/>
    <mergeCell ref="W1:W3"/>
    <mergeCell ref="Y1:Y3"/>
    <mergeCell ref="X1:X3"/>
  </mergeCells>
  <conditionalFormatting sqref="AB1:AB3 AB5:AB1048576">
    <cfRule type="containsText" dxfId="3" priority="4" operator="containsText" text="Thursday">
      <formula>NOT(ISERROR(SEARCH("Thursday",AB1)))</formula>
    </cfRule>
  </conditionalFormatting>
  <conditionalFormatting sqref="AB1:AB3 AB5:AB1048576">
    <cfRule type="containsText" dxfId="2" priority="3" operator="containsText" text="Monday">
      <formula>NOT(ISERROR(SEARCH("Monday",AB1)))</formula>
    </cfRule>
  </conditionalFormatting>
  <conditionalFormatting sqref="AB4">
    <cfRule type="containsText" dxfId="1" priority="2" operator="containsText" text="Thursday">
      <formula>NOT(ISERROR(SEARCH("Thursday",AB4)))</formula>
    </cfRule>
  </conditionalFormatting>
  <conditionalFormatting sqref="AB4">
    <cfRule type="containsText" dxfId="0" priority="1" operator="containsText" text="Monday">
      <formula>NOT(ISERROR(SEARCH("Monday",AB4)))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81b0e45494f70d550f0933c8704a847b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0359d90319941969adcf037f8ce83d9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f7659-e828-429d-9d0c-0fbe586886a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CDD560-7822-4EA1-8593-5175C6066E7C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2.xml><?xml version="1.0" encoding="utf-8"?>
<ds:datastoreItem xmlns:ds="http://schemas.openxmlformats.org/officeDocument/2006/customXml" ds:itemID="{E17984C9-4217-4FC3-8112-1F80063A8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ACACF-264B-4E80-A364-6E53198B6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Paul Hemmings</cp:lastModifiedBy>
  <cp:revision/>
  <dcterms:created xsi:type="dcterms:W3CDTF">2017-05-03T09:23:30Z</dcterms:created>
  <dcterms:modified xsi:type="dcterms:W3CDTF">2023-01-01T14:21:20Z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