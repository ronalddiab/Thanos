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D16" i="2"/>
  <c r="E17" i="2" s="1"/>
  <c r="F16" i="2"/>
  <c r="H16" i="2"/>
  <c r="I17" i="2" s="1"/>
  <c r="J16" i="2"/>
  <c r="K17" i="2" s="1"/>
  <c r="L16" i="2"/>
  <c r="M17" i="2" s="1"/>
  <c r="N16" i="2"/>
  <c r="T16" i="2"/>
  <c r="C17" i="2"/>
  <c r="G17" i="2"/>
  <c r="O17" i="2"/>
  <c r="P17" i="2"/>
  <c r="Q17" i="2"/>
  <c r="R17" i="2"/>
  <c r="S17" i="2"/>
  <c r="P15" i="2" l="1"/>
  <c r="W13" i="4" l="1"/>
  <c r="P16" i="2"/>
  <c r="P18" i="2"/>
  <c r="P19" i="2" s="1"/>
  <c r="P23" i="2" s="1"/>
  <c r="P25" i="2" s="1"/>
  <c r="P28" i="2" s="1"/>
  <c r="P29" i="2" s="1"/>
  <c r="P30" i="2" s="1"/>
  <c r="P14" i="2"/>
  <c r="T5" i="2" l="1"/>
  <c r="T7" i="2" s="1"/>
  <c r="T8" i="2" s="1"/>
  <c r="T13" i="2" s="1"/>
  <c r="T22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R33" i="2" s="1"/>
  <c r="R5" i="2"/>
  <c r="P5" i="2"/>
  <c r="P6" i="2" s="1"/>
  <c r="P13" i="2" s="1"/>
  <c r="N13" i="2"/>
  <c r="L13" i="2"/>
  <c r="J13" i="2"/>
  <c r="H13" i="2"/>
  <c r="F13" i="2"/>
  <c r="D13" i="2"/>
  <c r="B13" i="2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AA25" i="4" s="1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34" i="4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E21" i="2" l="1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AA34" i="4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<sst xmlns="http://schemas.openxmlformats.org/spreadsheetml/2006/main" count="514" uniqueCount="151">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</sst>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8" activePane="bottomLeft" state="frozen"/>
      <selection pane="bottomLeft" activeCell="K40" sqref="K40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1224.7833000000001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1317.1679999999999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83503.326263999988</v>
      </c>
      <c r="F8" s="138">
        <v>1.27</v>
      </c>
      <c r="G8" s="36">
        <f>Gas!C9*0.9147</f>
        <v>1249.4802</v>
      </c>
      <c r="H8" s="139">
        <v>3.65</v>
      </c>
      <c r="I8" s="141">
        <f>Submetering!H8+Submetering!AD8+Submetering!AE8</f>
        <v>636</v>
      </c>
      <c r="J8" s="141">
        <v>10.029999999999999</v>
      </c>
      <c r="K8" s="36">
        <f>ELECT.!B9</f>
        <v>185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86978.514532000001</v>
      </c>
      <c r="F9" s="138">
        <v>1.27</v>
      </c>
      <c r="G9" s="36">
        <f>Gas!C10*0.9147</f>
        <v>1887.0260999999998</v>
      </c>
      <c r="H9" s="139">
        <v>3.65</v>
      </c>
      <c r="I9" s="141">
        <f>Submetering!H9+Submetering!AD9+Submetering!AE9</f>
        <v>836.00000000000011</v>
      </c>
      <c r="J9" s="141">
        <v>10.029999999999999</v>
      </c>
      <c r="K9" s="36">
        <f>ELECT.!B10</f>
        <v>245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68027.619936000003</v>
      </c>
      <c r="F10" s="138">
        <v>1.27</v>
      </c>
      <c r="G10" s="36">
        <f>Gas!C11*0.9147</f>
        <v>1801.0443</v>
      </c>
      <c r="H10" s="139">
        <v>3.65</v>
      </c>
      <c r="I10" s="141">
        <f>Submetering!H10+Submetering!AD10+Submetering!AE10</f>
        <v>806</v>
      </c>
      <c r="J10" s="141">
        <v>10.029999999999999</v>
      </c>
      <c r="K10" s="36">
        <f>ELECT.!B11</f>
        <v>203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66002.122275999995</v>
      </c>
      <c r="F11" s="138">
        <v>1.27</v>
      </c>
      <c r="G11" s="36">
        <f>Gas!C12*0.9147</f>
        <v>1670.2421999999999</v>
      </c>
      <c r="H11" s="139">
        <v>3.65</v>
      </c>
      <c r="I11" s="141">
        <f>Submetering!H11+Submetering!AD11+Submetering!AE11</f>
        <v>786</v>
      </c>
      <c r="J11" s="141">
        <v>10.029999999999999</v>
      </c>
      <c r="K11" s="36">
        <f>ELECT.!B12</f>
        <v>234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104692.759984</v>
      </c>
      <c r="F12" s="138">
        <v>1.27</v>
      </c>
      <c r="G12" s="36">
        <f>Gas!C13*0.9147</f>
        <v>1706.8301999999999</v>
      </c>
      <c r="H12" s="139">
        <v>3.65</v>
      </c>
      <c r="I12" s="141">
        <f>Submetering!H12+Submetering!AD12+Submetering!AE12</f>
        <v>1006.0000000000001</v>
      </c>
      <c r="J12" s="141">
        <v>10.029999999999999</v>
      </c>
      <c r="K12" s="36">
        <f>ELECT.!B13</f>
        <v>222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66811.583259999999</v>
      </c>
      <c r="F13" s="138">
        <v>1.27</v>
      </c>
      <c r="G13" s="36">
        <f>Gas!C14*0.9147</f>
        <v>1511.0844</v>
      </c>
      <c r="H13" s="139">
        <v>3.65</v>
      </c>
      <c r="I13" s="141">
        <f>Submetering!H13+Submetering!AD13+Submetering!AE13</f>
        <v>906.00000000000011</v>
      </c>
      <c r="J13" s="141">
        <v>10.029999999999999</v>
      </c>
      <c r="K13" s="36">
        <f>ELECT.!B14</f>
        <v>245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75219.95248800001</v>
      </c>
      <c r="F14" s="138">
        <v>1.27</v>
      </c>
      <c r="G14" s="36">
        <f>Gas!C15*0.9147</f>
        <v>2232.7826999999997</v>
      </c>
      <c r="H14" s="139">
        <v>3.65</v>
      </c>
      <c r="I14" s="141">
        <f>Submetering!H14+Submetering!AD14+Submetering!AE14</f>
        <v>866</v>
      </c>
      <c r="J14" s="141">
        <v>10.029999999999999</v>
      </c>
      <c r="K14" s="36">
        <f>ELECT.!B15</f>
        <v>218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74894.297420000003</v>
      </c>
      <c r="F15" s="138">
        <v>1.27</v>
      </c>
      <c r="G15" s="36">
        <f>Gas!C16*0.9147</f>
        <v>1707.7448999999999</v>
      </c>
      <c r="H15" s="139">
        <v>3.65</v>
      </c>
      <c r="I15" s="141">
        <f>Submetering!H15+Submetering!AD15+Submetering!AE15</f>
        <v>856.00000000000011</v>
      </c>
      <c r="J15" s="141">
        <v>10.029999999999999</v>
      </c>
      <c r="K15" s="36">
        <f>ELECT.!B16</f>
        <v>224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91577.853600000002</v>
      </c>
      <c r="F16" s="138">
        <v>1.27</v>
      </c>
      <c r="G16" s="36">
        <f>Gas!C17*0.9147</f>
        <v>1793.7266999999999</v>
      </c>
      <c r="H16" s="139">
        <v>3.65</v>
      </c>
      <c r="I16" s="141">
        <f>Submetering!H16+Submetering!AD16+Submetering!AE16</f>
        <v>526</v>
      </c>
      <c r="J16" s="141">
        <v>10.029999999999999</v>
      </c>
      <c r="K16" s="36">
        <f>ELECT.!B17</f>
        <v>223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62741.828992000002</v>
      </c>
      <c r="F17" s="138">
        <v>1.27</v>
      </c>
      <c r="G17" s="36">
        <f>Gas!C18*0.9147</f>
        <v>1648.2893999999999</v>
      </c>
      <c r="H17" s="139">
        <v>3.65</v>
      </c>
      <c r="I17" s="141">
        <f>Submetering!H17+Submetering!AD17+Submetering!AE17</f>
        <v>905.99999999999989</v>
      </c>
      <c r="J17" s="141">
        <v>10.029999999999999</v>
      </c>
      <c r="K17" s="36">
        <f>ELECT.!B18</f>
        <v>107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88313.335271999997</v>
      </c>
      <c r="F18" s="138">
        <v>1.27</v>
      </c>
      <c r="G18" s="36">
        <f>Gas!C19*0.9147</f>
        <v>1632.7394999999999</v>
      </c>
      <c r="H18" s="139">
        <v>3.65</v>
      </c>
      <c r="I18" s="141">
        <f>Submetering!H18+Submetering!AD18+Submetering!AE18</f>
        <v>995.99999999999977</v>
      </c>
      <c r="J18" s="141">
        <v>10.029999999999999</v>
      </c>
      <c r="K18" s="36">
        <v>231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63465.578472000001</v>
      </c>
      <c r="F19" s="138">
        <v>1.27</v>
      </c>
      <c r="G19" s="36">
        <f>Gas!C20*0.9147</f>
        <v>1684.8773999999999</v>
      </c>
      <c r="H19" s="139">
        <v>3.65</v>
      </c>
      <c r="I19" s="141">
        <f>Submetering!H19+Submetering!AD19+Submetering!AE19</f>
        <v>896</v>
      </c>
      <c r="J19" s="141">
        <v>10.029999999999999</v>
      </c>
      <c r="K19" s="36">
        <f>ELECT.!B20</f>
        <v>155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82897.442035999993</v>
      </c>
      <c r="F20" s="138">
        <v>1.27</v>
      </c>
      <c r="G20" s="36">
        <f>Gas!C21*0.9147</f>
        <v>1448.8848</v>
      </c>
      <c r="H20" s="139">
        <v>3.65</v>
      </c>
      <c r="I20" s="141">
        <f>Submetering!H20+Submetering!AD20+Submetering!AE20</f>
        <v>976</v>
      </c>
      <c r="J20" s="141">
        <v>10.029999999999999</v>
      </c>
      <c r="K20" s="36">
        <f>ELECT.!B21</f>
        <v>160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73111.027487999992</v>
      </c>
      <c r="F21" s="138">
        <v>1.27</v>
      </c>
      <c r="G21" s="36">
        <f>Gas!C22*0.9147</f>
        <v>2018.7429</v>
      </c>
      <c r="H21" s="139">
        <v>3.65</v>
      </c>
      <c r="I21" s="141">
        <f>Submetering!H21+Submetering!AD21+Submetering!AE21</f>
        <v>1085.9999999999998</v>
      </c>
      <c r="J21" s="141">
        <v>10.029999999999999</v>
      </c>
      <c r="K21" s="36">
        <f>ELECT.!B22</f>
        <v>152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88830.939515999999</v>
      </c>
      <c r="F22" s="138">
        <v>1.27</v>
      </c>
      <c r="G22" s="36">
        <f>Gas!C23*0.9147</f>
        <v>1798.3001999999999</v>
      </c>
      <c r="H22" s="139">
        <v>3.65</v>
      </c>
      <c r="I22" s="141">
        <f>Submetering!H22+Submetering!AD22+Submetering!AE22</f>
        <v>1016</v>
      </c>
      <c r="J22" s="141">
        <v>10.029999999999999</v>
      </c>
      <c r="K22" s="36">
        <f>ELECT.!B23</f>
        <v>226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73378.360060000006</v>
      </c>
      <c r="F23" s="138">
        <v>1.27</v>
      </c>
      <c r="G23" s="36">
        <f>Gas!C24*0.9147</f>
        <v>2784.3467999999998</v>
      </c>
      <c r="H23" s="139">
        <v>3.65</v>
      </c>
      <c r="I23" s="141">
        <f>Submetering!H23+Submetering!AD23+Submetering!AE23</f>
        <v>826</v>
      </c>
      <c r="J23" s="141">
        <v>10.029999999999999</v>
      </c>
      <c r="K23" s="36">
        <f>ELECT.!B24</f>
        <v>225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62335.985571999998</v>
      </c>
      <c r="F24" s="138">
        <v>1.27</v>
      </c>
      <c r="G24" s="36">
        <f>Gas!C25*0.9147</f>
        <v>1434.2495999999999</v>
      </c>
      <c r="H24" s="139">
        <v>3.65</v>
      </c>
      <c r="I24" s="141">
        <f>Submetering!H24+Submetering!AD24+Submetering!AE24</f>
        <v>1106</v>
      </c>
      <c r="J24" s="141">
        <v>10.029999999999999</v>
      </c>
      <c r="K24" s="36">
        <f>ELECT.!B25</f>
        <v>175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82134.847039999993</v>
      </c>
      <c r="F25" s="138">
        <v>1.27</v>
      </c>
      <c r="G25" s="36">
        <f>Gas!C26*0.9147</f>
        <v>1477.2404999999999</v>
      </c>
      <c r="H25" s="139">
        <v>3.65</v>
      </c>
      <c r="I25" s="141">
        <f>Submetering!H25+Submetering!AD25+Submetering!AE25</f>
        <v>816</v>
      </c>
      <c r="J25" s="141">
        <v>10.029999999999999</v>
      </c>
      <c r="K25" s="36">
        <f>ELECT.!B26</f>
        <v>177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75821.706216000006</v>
      </c>
      <c r="F26" s="138">
        <v>1.27</v>
      </c>
      <c r="G26" s="36">
        <f>Gas!C27*0.9147</f>
        <v>2541.0365999999999</v>
      </c>
      <c r="H26" s="139">
        <v>3.65</v>
      </c>
      <c r="I26" s="141">
        <f>Submetering!H26+Submetering!AD26+Submetering!AE26</f>
        <v>866</v>
      </c>
      <c r="J26" s="141">
        <v>10.029999999999999</v>
      </c>
      <c r="K26" s="36">
        <f>ELECT.!B27</f>
        <v>180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88873.032107999999</v>
      </c>
      <c r="F27" s="138">
        <v>1.27</v>
      </c>
      <c r="G27" s="36">
        <f>Gas!C28*0.9147</f>
        <v>1826.6559</v>
      </c>
      <c r="H27" s="139">
        <v>3.65</v>
      </c>
      <c r="I27" s="141">
        <f>Submetering!H27+Submetering!AD27+Submetering!AE27</f>
        <v>746</v>
      </c>
      <c r="J27" s="141">
        <v>10.029999999999999</v>
      </c>
      <c r="K27" s="36">
        <f>ELECT.!B28</f>
        <v>188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66711.950572000002</v>
      </c>
      <c r="F28" s="138">
        <v>1.27</v>
      </c>
      <c r="G28" s="36">
        <f>Gas!C29*0.9147</f>
        <v>1727.8682999999999</v>
      </c>
      <c r="H28" s="139">
        <v>3.65</v>
      </c>
      <c r="I28" s="141">
        <f>Submetering!H28+Submetering!AD28+Submetering!AE28</f>
        <v>866</v>
      </c>
      <c r="J28" s="141">
        <v>10.029999999999999</v>
      </c>
      <c r="K28" s="36">
        <f>ELECT.!B29</f>
        <v>154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81168.070768000005</v>
      </c>
      <c r="F29" s="139">
        <v>1.27</v>
      </c>
      <c r="G29" s="36">
        <f>Gas!C30*0.9147</f>
        <v>648.52229999999997</v>
      </c>
      <c r="H29" s="139">
        <v>3.65</v>
      </c>
      <c r="I29" s="141">
        <f>Submetering!H29+Submetering!AD29+Submetering!AE29</f>
        <v>806</v>
      </c>
      <c r="J29" s="141">
        <v>10.029999999999999</v>
      </c>
      <c r="K29" s="36">
        <f>ELECT.!B30</f>
        <v>212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87558.192036000008</v>
      </c>
      <c r="F30" s="139">
        <v>1.27</v>
      </c>
      <c r="G30" s="36">
        <f>Gas!C31*0.9147</f>
        <v>1765.3709999999999</v>
      </c>
      <c r="H30" s="139">
        <v>3.65</v>
      </c>
      <c r="I30" s="141">
        <f>Submetering!H30+Submetering!AD30+Submetering!AE30</f>
        <v>786</v>
      </c>
      <c r="J30" s="141">
        <v>10.029999999999999</v>
      </c>
      <c r="K30" s="36">
        <f>ELECT.!B31</f>
        <v>197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61389.695447999999</v>
      </c>
      <c r="F31" s="139">
        <v>1.27</v>
      </c>
      <c r="G31" s="36">
        <f>Gas!C32*0.9147</f>
        <v>1661.0952</v>
      </c>
      <c r="H31" s="139">
        <v>3.65</v>
      </c>
      <c r="I31" s="141">
        <f>Submetering!H31+Submetering!AD31+Submetering!AE31</f>
        <v>796</v>
      </c>
      <c r="J31" s="141">
        <v>10.029999999999999</v>
      </c>
      <c r="K31" s="36">
        <f>ELECT.!B32</f>
        <v>155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92503.111867999993</v>
      </c>
      <c r="F32" s="139">
        <v>1.27</v>
      </c>
      <c r="G32" s="36">
        <f>Gas!C33*0.9147</f>
        <v>1603.4691</v>
      </c>
      <c r="H32" s="139">
        <v>3.65</v>
      </c>
      <c r="I32" s="141">
        <f>Submetering!H32+Submetering!AD32+Submetering!AE32</f>
        <v>906</v>
      </c>
      <c r="J32" s="141">
        <v>10.029999999999999</v>
      </c>
      <c r="K32" s="36">
        <f>ELECT.!B33</f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8" sqref="B2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830</v>
      </c>
      <c r="F8" s="36">
        <f>Water!E9</f>
        <v>440</v>
      </c>
      <c r="G8" s="36">
        <f>Water!G9</f>
        <v>604.79999999999995</v>
      </c>
      <c r="H8" s="36">
        <f>Water!I9</f>
        <v>3.78</v>
      </c>
      <c r="I8" s="36">
        <f>ELECT.!F9</f>
        <v>26520</v>
      </c>
      <c r="J8" s="36">
        <f>ELECT.!H9</f>
        <v>60112</v>
      </c>
      <c r="K8" s="36">
        <f>ELECT.!K9</f>
        <v>11822</v>
      </c>
      <c r="L8" s="36">
        <f>ELECT.!M9</f>
        <v>7208</v>
      </c>
      <c r="M8" s="36">
        <f>ELECT.!O9</f>
        <v>19084</v>
      </c>
      <c r="N8" s="36">
        <f>ELECT.!Q9</f>
        <v>15008</v>
      </c>
      <c r="O8" s="36">
        <f>ELECT.!S9</f>
        <v>11496</v>
      </c>
      <c r="P8" s="36">
        <f>ELECT.!W9*2</f>
        <v>26450</v>
      </c>
      <c r="Q8" s="36">
        <f>ELECT.!D9</f>
        <v>640</v>
      </c>
      <c r="R8" s="141">
        <f>BTU!C9</f>
        <v>18.332999999998719</v>
      </c>
      <c r="S8" s="141">
        <f>BTU!F9</f>
        <v>3.714999999999236</v>
      </c>
      <c r="T8" s="141">
        <f>BTU!I9</f>
        <v>10</v>
      </c>
      <c r="U8" s="141">
        <f>BTU!O9</f>
        <v>2.7010000000000218</v>
      </c>
      <c r="V8" s="141">
        <f>BTU!L9</f>
        <v>3.7300000000013824</v>
      </c>
      <c r="W8" s="141">
        <f>BTU!R9</f>
        <v>2.2799999999997453</v>
      </c>
      <c r="X8" s="34">
        <f>ELECT.!B9</f>
        <v>185</v>
      </c>
      <c r="Y8" s="34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116</v>
      </c>
      <c r="AD8" s="34">
        <f t="shared" si="1"/>
        <v>83.326596000000009</v>
      </c>
      <c r="AE8" s="34">
        <f t="shared" si="2"/>
        <v>548.89340400000003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1030</v>
      </c>
      <c r="F9" s="36">
        <f>Water!E10</f>
        <v>410</v>
      </c>
      <c r="G9" s="36">
        <f>Water!G10</f>
        <v>531.9</v>
      </c>
      <c r="H9" s="36">
        <f>Water!I10</f>
        <v>3.1859999999999999</v>
      </c>
      <c r="I9" s="36">
        <f>ELECT.!F10</f>
        <v>27207</v>
      </c>
      <c r="J9" s="36">
        <f>ELECT.!H10</f>
        <v>62879</v>
      </c>
      <c r="K9" s="36">
        <f>ELECT.!K10</f>
        <v>12734</v>
      </c>
      <c r="L9" s="36">
        <f>ELECT.!M10</f>
        <v>7330</v>
      </c>
      <c r="M9" s="36">
        <f>ELECT.!O10</f>
        <v>19670</v>
      </c>
      <c r="N9" s="36">
        <f>ELECT.!Q10</f>
        <v>15531</v>
      </c>
      <c r="O9" s="36">
        <f>ELECT.!S10</f>
        <v>12065</v>
      </c>
      <c r="P9" s="36">
        <f>ELECT.!W10*2</f>
        <v>27558</v>
      </c>
      <c r="Q9" s="36">
        <f>ELECT.!D10</f>
        <v>800</v>
      </c>
      <c r="R9" s="141">
        <f>BTU!C10</f>
        <v>12.493999999998778</v>
      </c>
      <c r="S9" s="141">
        <f>BTU!F10</f>
        <v>2.1159999999999854</v>
      </c>
      <c r="T9" s="141">
        <f>BTU!I10</f>
        <v>7</v>
      </c>
      <c r="U9" s="141">
        <f>BTU!O10</f>
        <v>1.5889999999999418</v>
      </c>
      <c r="V9" s="141">
        <f>BTU!L10</f>
        <v>1.4799999999995634</v>
      </c>
      <c r="W9" s="141">
        <f>BTU!R10</f>
        <v>0.53999999999996362</v>
      </c>
      <c r="X9" s="34">
        <f>ELECT.!B10</f>
        <v>245</v>
      </c>
      <c r="Y9" s="34">
        <f t="shared" si="0"/>
        <v>-4802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353</v>
      </c>
      <c r="AB9">
        <f>'Mall, Citadel, Rotana'!O10</f>
        <v>3</v>
      </c>
      <c r="AC9">
        <f>'Mall, Citadel, Rotana'!Q10+'Mall, Citadel, Rotana'!S10</f>
        <v>121</v>
      </c>
      <c r="AD9" s="34">
        <f t="shared" si="1"/>
        <v>109.76488520000001</v>
      </c>
      <c r="AE9" s="34">
        <f t="shared" si="2"/>
        <v>723.0491148000001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1000</v>
      </c>
      <c r="F10" s="36">
        <f>Water!E11</f>
        <v>450</v>
      </c>
      <c r="G10" s="36">
        <f>Water!G11</f>
        <v>591.29999999999995</v>
      </c>
      <c r="H10" s="36">
        <f>Water!I11</f>
        <v>3.4830000000000001</v>
      </c>
      <c r="I10" s="36">
        <f>ELECT.!F11</f>
        <v>21948</v>
      </c>
      <c r="J10" s="36">
        <f>ELECT.!H11</f>
        <v>48774</v>
      </c>
      <c r="K10" s="36">
        <f>ELECT.!K11</f>
        <v>10282</v>
      </c>
      <c r="L10" s="36">
        <f>ELECT.!M11</f>
        <v>5872</v>
      </c>
      <c r="M10" s="36">
        <f>ELECT.!O11</f>
        <v>15870</v>
      </c>
      <c r="N10" s="36">
        <f>ELECT.!Q11</f>
        <v>12499</v>
      </c>
      <c r="O10" s="36">
        <f>ELECT.!S11</f>
        <v>9506</v>
      </c>
      <c r="P10" s="36">
        <f>ELECT.!W11*2</f>
        <v>20598</v>
      </c>
      <c r="Q10" s="36">
        <f>ELECT.!D11</f>
        <v>640</v>
      </c>
      <c r="R10" s="141">
        <f>BTU!C11</f>
        <v>10.020000000000437</v>
      </c>
      <c r="S10" s="141">
        <f>BTU!F11</f>
        <v>3.3000000000001819</v>
      </c>
      <c r="T10" s="141">
        <f>BTU!I11</f>
        <v>7</v>
      </c>
      <c r="U10" s="141">
        <f>BTU!O11</f>
        <v>1.3000000000001819</v>
      </c>
      <c r="V10" s="141">
        <f>BTU!L11</f>
        <v>1.8999999999996362</v>
      </c>
      <c r="W10" s="141">
        <f>BTU!R11</f>
        <v>1</v>
      </c>
      <c r="X10" s="34">
        <f>ELECT.!B11</f>
        <v>203</v>
      </c>
      <c r="Y10" s="34">
        <f t="shared" si="0"/>
        <v>-3905</v>
      </c>
      <c r="Z10">
        <f>'Mall, Citadel, Rotana'!C11+'Mall, Citadel, Rotana'!E11+'Mall, Citadel, Rotana'!G11+'Mall, Citadel, Rotana'!I11</f>
        <v>1241</v>
      </c>
      <c r="AA10">
        <f>'Mall, Citadel, Rotana'!K11+'Mall, Citadel, Rotana'!M11</f>
        <v>350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105.7717406</v>
      </c>
      <c r="AE10" s="34">
        <f t="shared" si="2"/>
        <v>696.74525940000001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980</v>
      </c>
      <c r="F11" s="36">
        <f>Water!E12</f>
        <v>410</v>
      </c>
      <c r="G11" s="36">
        <f>Water!G12</f>
        <v>569.70000000000005</v>
      </c>
      <c r="H11" s="36">
        <f>Water!I12</f>
        <v>3.6720000000000002</v>
      </c>
      <c r="I11" s="36">
        <f>ELECT.!F12</f>
        <v>21596</v>
      </c>
      <c r="J11" s="36">
        <f>ELECT.!H12</f>
        <v>48029</v>
      </c>
      <c r="K11" s="36">
        <f>ELECT.!K12</f>
        <v>10088</v>
      </c>
      <c r="L11" s="36">
        <f>ELECT.!M12</f>
        <v>5571</v>
      </c>
      <c r="M11" s="36">
        <f>ELECT.!O12</f>
        <v>15848</v>
      </c>
      <c r="N11" s="36">
        <f>ELECT.!Q12</f>
        <v>12350</v>
      </c>
      <c r="O11" s="36">
        <f>ELECT.!S12</f>
        <v>9269</v>
      </c>
      <c r="P11" s="36">
        <f>ELECT.!W12*2</f>
        <v>20370</v>
      </c>
      <c r="Q11" s="36">
        <f>ELECT.!D12</f>
        <v>800</v>
      </c>
      <c r="R11" s="141">
        <f>BTU!C12</f>
        <v>14.849000000001979</v>
      </c>
      <c r="S11" s="141">
        <f>BTU!F12</f>
        <v>3.7669999999998254</v>
      </c>
      <c r="T11" s="141">
        <f>BTU!I12</f>
        <v>9</v>
      </c>
      <c r="U11" s="141">
        <f>BTU!O12</f>
        <v>1.6599999999998545</v>
      </c>
      <c r="V11" s="141">
        <f>BTU!L12</f>
        <v>2.7399999999997817</v>
      </c>
      <c r="W11" s="141">
        <f>BTU!R12</f>
        <v>1.0500000000001819</v>
      </c>
      <c r="X11" s="34">
        <f>ELECT.!B12</f>
        <v>234</v>
      </c>
      <c r="Y11" s="34">
        <f t="shared" si="0"/>
        <v>-3871</v>
      </c>
      <c r="Z11">
        <f>'Mall, Citadel, Rotana'!C12+'Mall, Citadel, Rotana'!E12+'Mall, Citadel, Rotana'!G12+'Mall, Citadel, Rotana'!I12</f>
        <v>1837</v>
      </c>
      <c r="AA11">
        <f>'Mall, Citadel, Rotana'!K12+'Mall, Citadel, Rotana'!M12</f>
        <v>706</v>
      </c>
      <c r="AB11">
        <f>'Mall, Citadel, Rotana'!O12</f>
        <v>6</v>
      </c>
      <c r="AC11">
        <f>'Mall, Citadel, Rotana'!Q12+'Mall, Citadel, Rotana'!S12</f>
        <v>121</v>
      </c>
      <c r="AD11" s="34">
        <f t="shared" si="1"/>
        <v>103.1108304</v>
      </c>
      <c r="AE11" s="34">
        <f t="shared" si="2"/>
        <v>679.21716960000003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1200</v>
      </c>
      <c r="F12" s="36">
        <f>Water!E13</f>
        <v>480</v>
      </c>
      <c r="G12" s="36">
        <f>Water!G13</f>
        <v>602.1</v>
      </c>
      <c r="H12" s="36">
        <f>Water!I13</f>
        <v>3.456</v>
      </c>
      <c r="I12" s="36">
        <f>ELECT.!F13</f>
        <v>32407</v>
      </c>
      <c r="J12" s="36">
        <f>ELECT.!H13</f>
        <v>73860</v>
      </c>
      <c r="K12" s="36">
        <f>ELECT.!K13</f>
        <v>14956</v>
      </c>
      <c r="L12" s="36">
        <f>ELECT.!M13</f>
        <v>8187</v>
      </c>
      <c r="M12" s="36">
        <f>ELECT.!O13</f>
        <v>23962</v>
      </c>
      <c r="N12" s="36">
        <f>ELECT.!Q13</f>
        <v>18974</v>
      </c>
      <c r="O12" s="36">
        <f>ELECT.!S13</f>
        <v>14756</v>
      </c>
      <c r="P12" s="36">
        <f>ELECT.!W13*2</f>
        <v>31120</v>
      </c>
      <c r="Q12" s="36">
        <f>ELECT.!D13</f>
        <v>480</v>
      </c>
      <c r="R12" s="141">
        <f>BTU!C13</f>
        <v>15.454999999998108</v>
      </c>
      <c r="S12" s="141">
        <f>BTU!F13</f>
        <v>3.4600000000000364</v>
      </c>
      <c r="T12" s="141">
        <f>BTU!I13</f>
        <v>8</v>
      </c>
      <c r="U12" s="141">
        <f>BTU!O13</f>
        <v>2.0619999999998981</v>
      </c>
      <c r="V12" s="141">
        <f>BTU!L13</f>
        <v>2.5500000000010914</v>
      </c>
      <c r="W12" s="141">
        <f>BTU!R13</f>
        <v>1.1199999999998909</v>
      </c>
      <c r="X12" s="34">
        <f>ELECT.!B13</f>
        <v>222</v>
      </c>
      <c r="Y12" s="34">
        <f t="shared" si="0"/>
        <v>-5688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132.13529920000002</v>
      </c>
      <c r="AE12" s="34">
        <f t="shared" si="2"/>
        <v>870.40870080000013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430</v>
      </c>
      <c r="G13" s="36">
        <f>Water!G14</f>
        <v>569.70000000000005</v>
      </c>
      <c r="H13" s="36">
        <f>Water!I14</f>
        <v>3.456</v>
      </c>
      <c r="I13" s="36">
        <f>ELECT.!F14</f>
        <v>21145</v>
      </c>
      <c r="J13" s="36">
        <f>ELECT.!H14</f>
        <v>48912</v>
      </c>
      <c r="K13" s="36">
        <f>ELECT.!K14</f>
        <v>9378</v>
      </c>
      <c r="L13" s="36">
        <f>ELECT.!M14</f>
        <v>5450</v>
      </c>
      <c r="M13" s="36">
        <f>ELECT.!O14</f>
        <v>15486</v>
      </c>
      <c r="N13" s="36">
        <f>ELECT.!Q14</f>
        <v>12299</v>
      </c>
      <c r="O13" s="36">
        <f>ELECT.!S14</f>
        <v>9947</v>
      </c>
      <c r="P13" s="36">
        <f>ELECT.!W14*2</f>
        <v>21018</v>
      </c>
      <c r="Q13" s="36">
        <f>ELECT.!D14</f>
        <v>640</v>
      </c>
      <c r="R13" s="141">
        <f>BTU!C14</f>
        <v>14.02100000000064</v>
      </c>
      <c r="S13" s="141">
        <f>BTU!F14</f>
        <v>1.7310000000006767</v>
      </c>
      <c r="T13" s="141">
        <f>BTU!I14</f>
        <v>7</v>
      </c>
      <c r="U13" s="141">
        <f>BTU!O14</f>
        <v>1.7989999999999782</v>
      </c>
      <c r="V13" s="141">
        <f>BTU!L14</f>
        <v>2.5799999999999272</v>
      </c>
      <c r="W13" s="141">
        <f>BTU!R14</f>
        <v>0.93000000000029104</v>
      </c>
      <c r="X13" s="34">
        <f>ELECT.!B14</f>
        <v>245</v>
      </c>
      <c r="Y13" s="34">
        <f t="shared" si="0"/>
        <v>-3521</v>
      </c>
      <c r="Z13">
        <f>'Mall, Citadel, Rotana'!C14+'Mall, Citadel, Rotana'!E14+'Mall, Citadel, Rotana'!G14+'Mall, Citadel, Rotana'!I14</f>
        <v>2016</v>
      </c>
      <c r="AA13">
        <f>'Mall, Citadel, Rotana'!K14+'Mall, Citadel, Rotana'!M14</f>
        <v>239</v>
      </c>
      <c r="AB13">
        <f>'Mall, Citadel, Rotana'!O14</f>
        <v>4</v>
      </c>
      <c r="AC13">
        <f>'Mall, Citadel, Rotana'!Q14+'Mall, Citadel, Rotana'!S14</f>
        <v>0</v>
      </c>
      <c r="AD13" s="34">
        <f t="shared" si="1"/>
        <v>118.95529920000001</v>
      </c>
      <c r="AE13" s="34">
        <f t="shared" si="2"/>
        <v>783.58870080000008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1060</v>
      </c>
      <c r="F14" s="36">
        <f>Water!E15</f>
        <v>440</v>
      </c>
      <c r="G14" s="36">
        <f>Water!G15</f>
        <v>588.6</v>
      </c>
      <c r="H14" s="36">
        <f>Water!I15</f>
        <v>2.835</v>
      </c>
      <c r="I14" s="36">
        <f>ELECT.!F15</f>
        <v>23240</v>
      </c>
      <c r="J14" s="36">
        <f>ELECT.!H15</f>
        <v>54688</v>
      </c>
      <c r="K14" s="36">
        <f>ELECT.!K15</f>
        <v>10760</v>
      </c>
      <c r="L14" s="36">
        <f>ELECT.!M15</f>
        <v>5944</v>
      </c>
      <c r="M14" s="36">
        <f>ELECT.!O15</f>
        <v>17104</v>
      </c>
      <c r="N14" s="36">
        <f>ELECT.!Q15</f>
        <v>13562</v>
      </c>
      <c r="O14" s="36">
        <f>ELECT.!S15</f>
        <v>13214</v>
      </c>
      <c r="P14" s="36">
        <f>ELECT.!W15*2</f>
        <v>23368</v>
      </c>
      <c r="Q14" s="36">
        <f>ELECT.!D15</f>
        <v>640</v>
      </c>
      <c r="R14" s="141">
        <f>BTU!C15</f>
        <v>18.180000000000291</v>
      </c>
      <c r="S14" s="141">
        <f>BTU!F15</f>
        <v>2.4259999999994761</v>
      </c>
      <c r="T14" s="141">
        <f>BTU!I15</f>
        <v>9</v>
      </c>
      <c r="U14" s="141">
        <f>BTU!O15</f>
        <v>3.0799999999999272</v>
      </c>
      <c r="V14" s="141">
        <f>BTU!L15</f>
        <v>3.3299999999999272</v>
      </c>
      <c r="W14" s="141">
        <f>BTU!R15</f>
        <v>1.180000000000291</v>
      </c>
      <c r="X14" s="34">
        <f>ELECT.!B15</f>
        <v>218</v>
      </c>
      <c r="Y14" s="34">
        <f t="shared" si="0"/>
        <v>-6024</v>
      </c>
      <c r="Z14">
        <f>'Mall, Citadel, Rotana'!C15+'Mall, Citadel, Rotana'!E15+'Mall, Citadel, Rotana'!G15+'Mall, Citadel, Rotana'!I15</f>
        <v>1398</v>
      </c>
      <c r="AA14">
        <f>'Mall, Citadel, Rotana'!K15+'Mall, Citadel, Rotana'!M15</f>
        <v>258</v>
      </c>
      <c r="AB14">
        <f>'Mall, Citadel, Rotana'!O15</f>
        <v>3</v>
      </c>
      <c r="AC14">
        <f>'Mall, Citadel, Rotana'!Q15+'Mall, Citadel, Rotana'!S15</f>
        <v>0</v>
      </c>
      <c r="AD14" s="34">
        <f t="shared" si="1"/>
        <v>113.765147</v>
      </c>
      <c r="AE14" s="34">
        <f t="shared" si="2"/>
        <v>749.39985300000001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1050</v>
      </c>
      <c r="F15" s="36">
        <f>Water!E16</f>
        <v>440</v>
      </c>
      <c r="G15" s="36">
        <f>Water!G16</f>
        <v>572.4</v>
      </c>
      <c r="H15" s="36">
        <f>Water!I16</f>
        <v>3.5909999999999997</v>
      </c>
      <c r="I15" s="36">
        <f>ELECT.!F16</f>
        <v>23201</v>
      </c>
      <c r="J15" s="36">
        <f>ELECT.!H16</f>
        <v>52839</v>
      </c>
      <c r="K15" s="36">
        <f>ELECT.!K16</f>
        <v>10970</v>
      </c>
      <c r="L15" s="36">
        <f>ELECT.!M16</f>
        <v>6038</v>
      </c>
      <c r="M15" s="36">
        <f>ELECT.!O16</f>
        <v>16966</v>
      </c>
      <c r="N15" s="36">
        <f>ELECT.!Q16</f>
        <v>13567</v>
      </c>
      <c r="O15" s="36">
        <f>ELECT.!S16</f>
        <v>7417</v>
      </c>
      <c r="P15" s="36">
        <f>ELECT.!W16*2</f>
        <v>22188</v>
      </c>
      <c r="Q15" s="36">
        <f>ELECT.!D16</f>
        <v>640</v>
      </c>
      <c r="R15" s="141">
        <f>BTU!C16</f>
        <v>10.819999999999709</v>
      </c>
      <c r="S15" s="141">
        <f>BTU!F16</f>
        <v>2.3000000000001819</v>
      </c>
      <c r="T15" s="141">
        <f>BTU!I16</f>
        <v>7</v>
      </c>
      <c r="U15" s="141">
        <f>BTU!O16</f>
        <v>1.1100000000001273</v>
      </c>
      <c r="V15" s="141">
        <f>BTU!L16</f>
        <v>2.2199999999993452</v>
      </c>
      <c r="W15" s="141">
        <f>BTU!R16</f>
        <v>1.7799999999997453</v>
      </c>
      <c r="X15" s="34">
        <f>ELECT.!B16</f>
        <v>224</v>
      </c>
      <c r="Y15" s="34">
        <f t="shared" si="0"/>
        <v>-1106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112.34750620000001</v>
      </c>
      <c r="AE15" s="34">
        <f t="shared" si="2"/>
        <v>740.06149380000011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720</v>
      </c>
      <c r="F16" s="36">
        <f>Water!E17</f>
        <v>420</v>
      </c>
      <c r="G16" s="36">
        <f>Water!G17</f>
        <v>567</v>
      </c>
      <c r="H16" s="36">
        <f>Water!I17</f>
        <v>3.4289999999999998</v>
      </c>
      <c r="I16" s="36">
        <f>ELECT.!F17</f>
        <v>30016</v>
      </c>
      <c r="J16" s="36">
        <f>ELECT.!H17</f>
        <v>66248</v>
      </c>
      <c r="K16" s="36">
        <f>ELECT.!K17</f>
        <v>13966</v>
      </c>
      <c r="L16" s="36">
        <f>ELECT.!M17</f>
        <v>8267</v>
      </c>
      <c r="M16" s="36">
        <f>ELECT.!O17</f>
        <v>21510</v>
      </c>
      <c r="N16" s="36">
        <f>ELECT.!Q17</f>
        <v>17175</v>
      </c>
      <c r="O16" s="36">
        <f>ELECT.!S17</f>
        <v>13822</v>
      </c>
      <c r="P16" s="36">
        <f>ELECT.!W17*2</f>
        <v>27878</v>
      </c>
      <c r="Q16" s="36">
        <f>ELECT.!D17</f>
        <v>800</v>
      </c>
      <c r="R16" s="141">
        <f>BTU!C17</f>
        <v>13</v>
      </c>
      <c r="S16" s="141">
        <f>BTU!F17</f>
        <v>3.8000000000001819</v>
      </c>
      <c r="T16" s="141">
        <f>BTU!I17</f>
        <v>8</v>
      </c>
      <c r="U16" s="141">
        <f>BTU!O17</f>
        <v>2.5109999999999673</v>
      </c>
      <c r="V16" s="141">
        <f>BTU!L17</f>
        <v>2.3400000000001455</v>
      </c>
      <c r="W16" s="141">
        <f>BTU!R17</f>
        <v>0.1499999999996362</v>
      </c>
      <c r="X16" s="34">
        <f>ELECT.!B17</f>
        <v>223</v>
      </c>
      <c r="Y16" s="34">
        <f t="shared" si="0"/>
        <v>-6354</v>
      </c>
      <c r="Z16">
        <f>'Mall, Citadel, Rotana'!C17+'Mall, Citadel, Rotana'!E17+'Mall, Citadel, Rotana'!G17+'Mall, Citadel, Rotana'!I17</f>
        <v>2601</v>
      </c>
      <c r="AA16">
        <f>'Mall, Citadel, Rotana'!K17+'Mall, Citadel, Rotana'!M17</f>
        <v>753</v>
      </c>
      <c r="AB16">
        <f>'Mall, Citadel, Rotana'!O17</f>
        <v>6</v>
      </c>
      <c r="AC16">
        <f>'Mall, Citadel, Rotana'!Q17+'Mall, Citadel, Rotana'!S17</f>
        <v>0</v>
      </c>
      <c r="AD16" s="34">
        <f t="shared" si="1"/>
        <v>68.874857800000001</v>
      </c>
      <c r="AE16" s="34">
        <f t="shared" si="2"/>
        <v>453.69614220000005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1100</v>
      </c>
      <c r="F17" s="36">
        <f>Water!E18</f>
        <v>430</v>
      </c>
      <c r="G17" s="36">
        <f>Water!G18</f>
        <v>631.79999999999995</v>
      </c>
      <c r="H17" s="36">
        <f>Water!I18</f>
        <v>3.5640000000000001</v>
      </c>
      <c r="I17" s="36">
        <f>ELECT.!F18</f>
        <v>19581</v>
      </c>
      <c r="J17" s="36">
        <f>ELECT.!H18</f>
        <v>45809</v>
      </c>
      <c r="K17" s="36">
        <f>ELECT.!K18</f>
        <v>9950</v>
      </c>
      <c r="L17" s="36">
        <f>ELECT.!M18</f>
        <v>5801</v>
      </c>
      <c r="M17" s="36">
        <f>ELECT.!O18</f>
        <v>13584</v>
      </c>
      <c r="N17" s="36">
        <f>ELECT.!Q18</f>
        <v>12054</v>
      </c>
      <c r="O17" s="36">
        <f>ELECT.!S18</f>
        <v>8990</v>
      </c>
      <c r="P17" s="36">
        <f>ELECT.!W18*2</f>
        <v>18798</v>
      </c>
      <c r="Q17" s="36">
        <f>ELECT.!D18</f>
        <v>800</v>
      </c>
      <c r="R17" s="141">
        <f>BTU!C18</f>
        <v>11.900000000001455</v>
      </c>
      <c r="S17" s="141">
        <f>BTU!F18</f>
        <v>2.6939999999995052</v>
      </c>
      <c r="T17" s="141">
        <f>BTU!I18</f>
        <v>8</v>
      </c>
      <c r="U17" s="141">
        <f>BTU!O18</f>
        <v>1.8240000000000691</v>
      </c>
      <c r="V17" s="141">
        <f>BTU!L18</f>
        <v>1.9599999999991269</v>
      </c>
      <c r="W17" s="141">
        <f>BTU!R18</f>
        <v>0.9499999999998181</v>
      </c>
      <c r="X17" s="34">
        <f>ELECT.!B18</f>
        <v>107</v>
      </c>
      <c r="Y17" s="34">
        <f t="shared" si="0"/>
        <v>-3787</v>
      </c>
      <c r="Z17">
        <f>'Mall, Citadel, Rotana'!C18+'Mall, Citadel, Rotana'!E18+'Mall, Citadel, Rotana'!G18+'Mall, Citadel, Rotana'!I18</f>
        <v>1382</v>
      </c>
      <c r="AA17">
        <f>'Mall, Citadel, Rotana'!K18+'Mall, Citadel, Rotana'!M18</f>
        <v>408</v>
      </c>
      <c r="AB17">
        <f>'Mall, Citadel, Rotana'!O18</f>
        <v>4</v>
      </c>
      <c r="AC17">
        <f>'Mall, Citadel, Rotana'!Q18+'Mall, Citadel, Rotana'!S18</f>
        <v>0</v>
      </c>
      <c r="AD17" s="34">
        <f t="shared" si="1"/>
        <v>118.94106479999999</v>
      </c>
      <c r="AE17" s="34">
        <f t="shared" si="2"/>
        <v>783.49493519999987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1190</v>
      </c>
      <c r="F18" s="36">
        <f>Water!E19</f>
        <v>520</v>
      </c>
      <c r="G18" s="36">
        <f>Water!G19</f>
        <v>585.9</v>
      </c>
      <c r="H18" s="36">
        <f>Water!I19</f>
        <v>4.266</v>
      </c>
      <c r="I18" s="36">
        <f>ELECT.!F19</f>
        <v>28295</v>
      </c>
      <c r="J18" s="36">
        <f>ELECT.!H19</f>
        <v>63021</v>
      </c>
      <c r="K18" s="36">
        <f>ELECT.!K19</f>
        <v>13476</v>
      </c>
      <c r="L18" s="36">
        <f>ELECT.!M19</f>
        <v>7949</v>
      </c>
      <c r="M18" s="36">
        <f>ELECT.!O19</f>
        <v>20126</v>
      </c>
      <c r="N18" s="36">
        <f>ELECT.!Q19</f>
        <v>15903</v>
      </c>
      <c r="O18" s="36">
        <f>ELECT.!S19</f>
        <v>12260</v>
      </c>
      <c r="P18" s="36">
        <f>ELECT.!W19*2</f>
        <v>26798</v>
      </c>
      <c r="Q18" s="36">
        <f>ELECT.!D19</f>
        <v>640</v>
      </c>
      <c r="R18" s="141">
        <f>BTU!C19</f>
        <v>14.099999999998545</v>
      </c>
      <c r="S18" s="141">
        <f>BTU!F19</f>
        <v>4.01299999999992</v>
      </c>
      <c r="T18" s="141">
        <f>BTU!I19</f>
        <v>9</v>
      </c>
      <c r="U18" s="141">
        <f>BTU!O19</f>
        <v>2.2649999999998727</v>
      </c>
      <c r="V18" s="141">
        <f>BTU!L19</f>
        <v>2.2000000000007276</v>
      </c>
      <c r="W18" s="141">
        <f>BTU!R19</f>
        <v>0.8000000000001819</v>
      </c>
      <c r="X18" s="34">
        <f>ELECT.!B19</f>
        <v>150</v>
      </c>
      <c r="Y18" s="34">
        <f t="shared" si="0"/>
        <v>-5196</v>
      </c>
      <c r="Z18">
        <f>'Mall, Citadel, Rotana'!C19+'Mall, Citadel, Rotana'!E19+'Mall, Citadel, Rotana'!G19+'Mall, Citadel, Rotana'!I19</f>
        <v>1375</v>
      </c>
      <c r="AA18">
        <f>'Mall, Citadel, Rotana'!K19+'Mall, Citadel, Rotana'!M19</f>
        <v>348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130.71054119999999</v>
      </c>
      <c r="AE18" s="34">
        <f t="shared" si="2"/>
        <v>861.02345879999984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1090</v>
      </c>
      <c r="F19" s="36">
        <f>Water!E20</f>
        <v>320</v>
      </c>
      <c r="G19" s="36">
        <f>Water!G20</f>
        <v>585.9</v>
      </c>
      <c r="H19" s="36">
        <f>Water!I20</f>
        <v>3.915</v>
      </c>
      <c r="I19" s="36">
        <f>ELECT.!F20</f>
        <v>20714</v>
      </c>
      <c r="J19" s="36">
        <f>ELECT.!H20</f>
        <v>46644</v>
      </c>
      <c r="K19" s="36">
        <f>ELECT.!K20</f>
        <v>9720</v>
      </c>
      <c r="L19" s="36">
        <f>ELECT.!M20</f>
        <v>5720</v>
      </c>
      <c r="M19" s="36">
        <f>ELECT.!O20</f>
        <v>14790</v>
      </c>
      <c r="N19" s="36">
        <f>ELECT.!Q20</f>
        <v>11821</v>
      </c>
      <c r="O19" s="36">
        <f>ELECT.!S20</f>
        <v>9070</v>
      </c>
      <c r="P19" s="36">
        <f>ELECT.!W20*2</f>
        <v>19888</v>
      </c>
      <c r="Q19" s="36">
        <f>ELECT.!D20</f>
        <v>800</v>
      </c>
      <c r="R19" s="141">
        <f>BTU!C20</f>
        <v>13.754000000000815</v>
      </c>
      <c r="S19" s="141">
        <f>BTU!F20</f>
        <v>3.2380000000002838</v>
      </c>
      <c r="T19" s="141">
        <f>BTU!I20</f>
        <v>8</v>
      </c>
      <c r="U19" s="141">
        <f>BTU!O20</f>
        <v>2.1280000000001564</v>
      </c>
      <c r="V19" s="141">
        <f>BTU!L20</f>
        <v>3.3899999999994179</v>
      </c>
      <c r="W19" s="141">
        <f>BTU!R20</f>
        <v>0.98999999999978172</v>
      </c>
      <c r="X19" s="34">
        <f>ELECT.!B20</f>
        <v>155</v>
      </c>
      <c r="Y19" s="34">
        <f t="shared" si="0"/>
        <v>-3651</v>
      </c>
      <c r="Z19">
        <f>'Mall, Citadel, Rotana'!C20+'Mall, Citadel, Rotana'!E20+'Mall, Citadel, Rotana'!G20+'Mall, Citadel, Rotana'!I20</f>
        <v>1223</v>
      </c>
      <c r="AA19">
        <f>'Mall, Citadel, Rotana'!K20+'Mall, Citadel, Rotana'!M20</f>
        <v>339</v>
      </c>
      <c r="AB19">
        <f>'Mall, Citadel, Rotana'!O20</f>
        <v>3</v>
      </c>
      <c r="AC19">
        <f>'Mall, Citadel, Rotana'!Q20+'Mall, Citadel, Rotana'!S20</f>
        <v>1426</v>
      </c>
      <c r="AD19" s="34">
        <f t="shared" si="1"/>
        <v>117.576803</v>
      </c>
      <c r="AE19" s="34">
        <f t="shared" si="2"/>
        <v>774.508197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1170</v>
      </c>
      <c r="F20" s="36">
        <f>Water!E21</f>
        <v>570</v>
      </c>
      <c r="G20" s="36">
        <f>Water!G21</f>
        <v>610.20000000000005</v>
      </c>
      <c r="H20" s="36">
        <f>Water!I21</f>
        <v>2.8889999999999998</v>
      </c>
      <c r="I20" s="36">
        <f>ELECT.!F21</f>
        <v>26303</v>
      </c>
      <c r="J20" s="36">
        <f>ELECT.!H21</f>
        <v>59608</v>
      </c>
      <c r="K20" s="36">
        <f>ELECT.!K21</f>
        <v>11180</v>
      </c>
      <c r="L20" s="36">
        <f>ELECT.!M21</f>
        <v>7104</v>
      </c>
      <c r="M20" s="36">
        <f>ELECT.!O21</f>
        <v>18928</v>
      </c>
      <c r="N20" s="36">
        <f>ELECT.!Q21</f>
        <v>15559</v>
      </c>
      <c r="O20" s="36">
        <f>ELECT.!S21</f>
        <v>11733</v>
      </c>
      <c r="P20" s="36">
        <f>ELECT.!W21*2</f>
        <v>25346</v>
      </c>
      <c r="Q20" s="36">
        <f>ELECT.!D21</f>
        <v>640</v>
      </c>
      <c r="R20" s="141">
        <f>BTU!C21</f>
        <v>11.96900000000096</v>
      </c>
      <c r="S20" s="141">
        <f>BTU!F21</f>
        <v>1.2150000000001455</v>
      </c>
      <c r="T20" s="141">
        <f>BTU!I21</f>
        <v>7</v>
      </c>
      <c r="U20" s="141">
        <f>BTU!O21</f>
        <v>1.9659999999998945</v>
      </c>
      <c r="V20" s="141">
        <f>BTU!L21</f>
        <v>2.2700000000004366</v>
      </c>
      <c r="W20" s="141">
        <f>BTU!R21</f>
        <v>0.84000000000014552</v>
      </c>
      <c r="X20" s="34">
        <f>ELECT.!B21</f>
        <v>160</v>
      </c>
      <c r="Y20" s="34">
        <f t="shared" si="0"/>
        <v>-3939</v>
      </c>
      <c r="Z20">
        <f>'Mall, Citadel, Rotana'!C21+'Mall, Citadel, Rotana'!E21+'Mall, Citadel, Rotana'!G21+'Mall, Citadel, Rotana'!I21</f>
        <v>1420</v>
      </c>
      <c r="AA20">
        <f>'Mall, Citadel, Rotana'!K21+'Mall, Citadel, Rotana'!M21</f>
        <v>227</v>
      </c>
      <c r="AB20">
        <f>'Mall, Citadel, Rotana'!O21</f>
        <v>3</v>
      </c>
      <c r="AC20">
        <f>'Mall, Citadel, Rotana'!Q21+'Mall, Citadel, Rotana'!S21</f>
        <v>114</v>
      </c>
      <c r="AD20" s="34">
        <f t="shared" si="1"/>
        <v>128.25602980000002</v>
      </c>
      <c r="AE20" s="34">
        <f t="shared" si="2"/>
        <v>844.85497020000003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1280</v>
      </c>
      <c r="F21" s="36">
        <f>Water!E22</f>
        <v>640</v>
      </c>
      <c r="G21" s="36">
        <f>Water!G22</f>
        <v>653.4</v>
      </c>
      <c r="H21" s="36">
        <f>Water!I22</f>
        <v>3.5369999999999999</v>
      </c>
      <c r="I21" s="36">
        <f>ELECT.!F22</f>
        <v>23018</v>
      </c>
      <c r="J21" s="36">
        <f>ELECT.!H22</f>
        <v>52992</v>
      </c>
      <c r="K21" s="36">
        <f>ELECT.!K22</f>
        <v>10468</v>
      </c>
      <c r="L21" s="36">
        <f>ELECT.!M22</f>
        <v>5953</v>
      </c>
      <c r="M21" s="36">
        <f>ELECT.!O22</f>
        <v>16918</v>
      </c>
      <c r="N21" s="36">
        <f>ELECT.!Q22</f>
        <v>14431</v>
      </c>
      <c r="O21" s="36">
        <f>ELECT.!S22</f>
        <v>10332</v>
      </c>
      <c r="P21" s="36">
        <f>ELECT.!W22*2</f>
        <v>22000</v>
      </c>
      <c r="Q21" s="36">
        <f>ELECT.!D22</f>
        <v>640</v>
      </c>
      <c r="R21" s="141">
        <f>BTU!C22</f>
        <v>15.53599999999642</v>
      </c>
      <c r="S21" s="141">
        <f>BTU!F22</f>
        <v>2.4030000000002474</v>
      </c>
      <c r="T21" s="141">
        <f>BTU!I22</f>
        <v>9</v>
      </c>
      <c r="U21" s="141">
        <f>BTU!O22</f>
        <v>2.793999999999869</v>
      </c>
      <c r="V21" s="141">
        <f>BTU!L22</f>
        <v>3.0200000000004366</v>
      </c>
      <c r="W21" s="141">
        <f>BTU!R22</f>
        <v>1.2899999999999636</v>
      </c>
      <c r="X21" s="34">
        <f>ELECT.!B22</f>
        <v>152</v>
      </c>
      <c r="Y21" s="34">
        <f t="shared" si="0"/>
        <v>-4092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281</v>
      </c>
      <c r="AB21">
        <f>'Mall, Citadel, Rotana'!O22</f>
        <v>3</v>
      </c>
      <c r="AC21">
        <f>'Mall, Citadel, Rotana'!Q22+'Mall, Citadel, Rotana'!S22</f>
        <v>107</v>
      </c>
      <c r="AD21" s="34">
        <f t="shared" si="1"/>
        <v>142.6686234</v>
      </c>
      <c r="AE21" s="34">
        <f t="shared" si="2"/>
        <v>939.79437659999985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1210</v>
      </c>
      <c r="F22" s="36">
        <f>Water!E23</f>
        <v>530</v>
      </c>
      <c r="G22" s="36">
        <f>Water!G23</f>
        <v>604.79999999999995</v>
      </c>
      <c r="H22" s="36">
        <f>Water!I23</f>
        <v>3.6989999999999998</v>
      </c>
      <c r="I22" s="36">
        <f>ELECT.!F23</f>
        <v>26956</v>
      </c>
      <c r="J22" s="36">
        <f>ELECT.!H23</f>
        <v>64493</v>
      </c>
      <c r="K22" s="36">
        <f>ELECT.!K23</f>
        <v>13492</v>
      </c>
      <c r="L22" s="36">
        <f>ELECT.!M23</f>
        <v>7289</v>
      </c>
      <c r="M22" s="36">
        <f>ELECT.!O23</f>
        <v>19430</v>
      </c>
      <c r="N22" s="36">
        <f>ELECT.!Q23</f>
        <v>16603</v>
      </c>
      <c r="O22" s="36">
        <f>ELECT.!S23</f>
        <v>12709</v>
      </c>
      <c r="P22" s="36">
        <f>ELECT.!W23*2</f>
        <v>27140</v>
      </c>
      <c r="Q22" s="36">
        <f>ELECT.!D23</f>
        <v>480</v>
      </c>
      <c r="R22" s="141">
        <f>BTU!C23</f>
        <v>12.64100000000326</v>
      </c>
      <c r="S22" s="141">
        <f>BTU!F23</f>
        <v>2.4719999999997526</v>
      </c>
      <c r="T22" s="141">
        <f>BTU!I23</f>
        <v>7</v>
      </c>
      <c r="U22" s="141">
        <f>BTU!O23</f>
        <v>1.8859999999999673</v>
      </c>
      <c r="V22" s="141">
        <f>BTU!L23</f>
        <v>1.819999999999709</v>
      </c>
      <c r="W22" s="141">
        <f>BTU!R23</f>
        <v>1.5799999999999272</v>
      </c>
      <c r="X22" s="34">
        <f>ELECT.!B23</f>
        <v>226</v>
      </c>
      <c r="Y22" s="34">
        <f t="shared" si="0"/>
        <v>-5214</v>
      </c>
      <c r="Z22">
        <f>'Mall, Citadel, Rotana'!C23+'Mall, Citadel, Rotana'!E23+'Mall, Citadel, Rotana'!G23+'Mall, Citadel, Rotana'!I23</f>
        <v>1092</v>
      </c>
      <c r="AA22">
        <f>'Mall, Citadel, Rotana'!K23+'Mall, Citadel, Rotana'!M23</f>
        <v>217</v>
      </c>
      <c r="AB22">
        <f>'Mall, Citadel, Rotana'!O23</f>
        <v>2</v>
      </c>
      <c r="AC22">
        <f>'Mall, Citadel, Rotana'!Q23+'Mall, Citadel, Rotana'!S23</f>
        <v>0</v>
      </c>
      <c r="AD22" s="34">
        <f t="shared" si="1"/>
        <v>133.4212718</v>
      </c>
      <c r="AE22" s="34">
        <f t="shared" si="2"/>
        <v>878.87972820000005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1020</v>
      </c>
      <c r="F23" s="36">
        <f>Water!E24</f>
        <v>400</v>
      </c>
      <c r="G23" s="36">
        <f>Water!G24</f>
        <v>642.6</v>
      </c>
      <c r="H23" s="36">
        <f>Water!I24</f>
        <v>3.8609999999999998</v>
      </c>
      <c r="I23" s="36">
        <f>ELECT.!F24</f>
        <v>22995</v>
      </c>
      <c r="J23" s="36">
        <f>ELECT.!H24</f>
        <v>53335</v>
      </c>
      <c r="K23" s="36">
        <f>ELECT.!K24</f>
        <v>11516</v>
      </c>
      <c r="L23" s="36">
        <f>ELECT.!M24</f>
        <v>6301</v>
      </c>
      <c r="M23" s="36">
        <f>ELECT.!O24</f>
        <v>16522</v>
      </c>
      <c r="N23" s="36">
        <f>ELECT.!Q24</f>
        <v>14055</v>
      </c>
      <c r="O23" s="36">
        <f>ELECT.!S24</f>
        <v>10249</v>
      </c>
      <c r="P23" s="36">
        <f>ELECT.!W24*2</f>
        <v>22116</v>
      </c>
      <c r="Q23" s="36">
        <f>ELECT.!D24</f>
        <v>800</v>
      </c>
      <c r="R23" s="141">
        <f>BTU!C24</f>
        <v>14.099999999998545</v>
      </c>
      <c r="S23" s="141">
        <f>BTU!F24</f>
        <v>3.555000000000291</v>
      </c>
      <c r="T23" s="141">
        <f>BTU!I24</f>
        <v>8</v>
      </c>
      <c r="U23" s="141">
        <f>BTU!O24</f>
        <v>2.2260000000001128</v>
      </c>
      <c r="V23" s="141">
        <f>BTU!L24</f>
        <v>2.5400000000008731</v>
      </c>
      <c r="W23" s="141">
        <f>BTU!R24</f>
        <v>0.42000000000007276</v>
      </c>
      <c r="X23" s="34">
        <f>ELECT.!B24</f>
        <v>225</v>
      </c>
      <c r="Y23" s="34">
        <f t="shared" si="0"/>
        <v>-4429</v>
      </c>
      <c r="Z23">
        <f>'Mall, Citadel, Rotana'!C24+'Mall, Citadel, Rotana'!E24+'Mall, Citadel, Rotana'!G24+'Mall, Citadel, Rotana'!I24</f>
        <v>1030</v>
      </c>
      <c r="AA23">
        <f>'Mall, Citadel, Rotana'!K24+'Mall, Citadel, Rotana'!M24</f>
        <v>514</v>
      </c>
      <c r="AB23">
        <f>'Mall, Citadel, Rotana'!O24</f>
        <v>5</v>
      </c>
      <c r="AC23">
        <f>'Mall, Citadel, Rotana'!Q24+'Mall, Citadel, Rotana'!S24</f>
        <v>365</v>
      </c>
      <c r="AD23" s="34">
        <f t="shared" si="1"/>
        <v>108.3579202</v>
      </c>
      <c r="AE23" s="34">
        <f t="shared" si="2"/>
        <v>713.78107980000004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1300</v>
      </c>
      <c r="F24" s="36">
        <f>Water!E25</f>
        <v>490</v>
      </c>
      <c r="G24" s="36">
        <f>Water!G25</f>
        <v>669.6</v>
      </c>
      <c r="H24" s="36">
        <f>Water!I25</f>
        <v>4.266</v>
      </c>
      <c r="I24" s="36">
        <f>ELECT.!F25</f>
        <v>19302</v>
      </c>
      <c r="J24" s="36">
        <f>ELECT.!H25</f>
        <v>45236</v>
      </c>
      <c r="K24" s="36">
        <f>ELECT.!K25</f>
        <v>9660</v>
      </c>
      <c r="L24" s="36">
        <f>ELECT.!M25</f>
        <v>5418</v>
      </c>
      <c r="M24" s="36">
        <f>ELECT.!O25</f>
        <v>13696</v>
      </c>
      <c r="N24" s="36">
        <f>ELECT.!Q25</f>
        <v>11741</v>
      </c>
      <c r="O24" s="36">
        <f>ELECT.!S25</f>
        <v>8761</v>
      </c>
      <c r="P24" s="36">
        <f>ELECT.!W25*2</f>
        <v>18822</v>
      </c>
      <c r="Q24" s="36">
        <f>ELECT.!D25</f>
        <v>640</v>
      </c>
      <c r="R24" s="141">
        <f>BTU!C25</f>
        <v>15.349999999998545</v>
      </c>
      <c r="S24" s="141">
        <f>BTU!F25</f>
        <v>3.6659999999992579</v>
      </c>
      <c r="T24" s="141">
        <f>BTU!I25</f>
        <v>9</v>
      </c>
      <c r="U24" s="141">
        <f>BTU!O25</f>
        <v>2.0990000000001601</v>
      </c>
      <c r="V24" s="141">
        <f>BTU!L25</f>
        <v>2.7799999999988358</v>
      </c>
      <c r="W24" s="141">
        <f>BTU!R25</f>
        <v>1.1599999999998545</v>
      </c>
      <c r="X24" s="34">
        <f>ELECT.!B25</f>
        <v>175</v>
      </c>
      <c r="Y24" s="34">
        <f t="shared" si="0"/>
        <v>-3560</v>
      </c>
      <c r="Z24">
        <f>'Mall, Citadel, Rotana'!C25+'Mall, Citadel, Rotana'!E25+'Mall, Citadel, Rotana'!G25+'Mall, Citadel, Rotana'!I25</f>
        <v>910</v>
      </c>
      <c r="AA24">
        <f>'Mall, Citadel, Rotana'!K25+'Mall, Citadel, Rotana'!M25</f>
        <v>415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145.20854119999998</v>
      </c>
      <c r="AE24" s="34">
        <f t="shared" si="2"/>
        <v>956.52545880000002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1010</v>
      </c>
      <c r="F25" s="36">
        <f>Water!E26</f>
        <v>420</v>
      </c>
      <c r="G25" s="36">
        <f>Water!G26</f>
        <v>658.8</v>
      </c>
      <c r="H25" s="36">
        <f>Water!I26</f>
        <v>3.3479999999999999</v>
      </c>
      <c r="I25" s="36">
        <f>ELECT.!F26</f>
        <v>24617</v>
      </c>
      <c r="J25" s="36">
        <f>ELECT.!H26</f>
        <v>60394</v>
      </c>
      <c r="K25" s="36">
        <f>ELECT.!K26</f>
        <v>12068</v>
      </c>
      <c r="L25" s="36">
        <f>ELECT.!M26</f>
        <v>7082</v>
      </c>
      <c r="M25" s="36">
        <f>ELECT.!O26</f>
        <v>17326</v>
      </c>
      <c r="N25" s="36">
        <f>ELECT.!Q26</f>
        <v>14642</v>
      </c>
      <c r="O25" s="36">
        <f>ELECT.!S26</f>
        <v>12056</v>
      </c>
      <c r="P25" s="36">
        <f>ELECT.!W26*2</f>
        <v>25804</v>
      </c>
      <c r="Q25" s="36">
        <f>ELECT.!D26</f>
        <v>800</v>
      </c>
      <c r="R25" s="141">
        <f>BTU!C26</f>
        <v>13.691000000002532</v>
      </c>
      <c r="S25" s="141">
        <f>BTU!F26</f>
        <v>3.3170000000000073</v>
      </c>
      <c r="T25" s="141">
        <f>BTU!I26</f>
        <v>8</v>
      </c>
      <c r="U25" s="141">
        <f>BTU!O26</f>
        <v>2.2669999999998254</v>
      </c>
      <c r="V25" s="141">
        <f>BTU!L26</f>
        <v>2.3999999999996362</v>
      </c>
      <c r="W25" s="141">
        <f>BTU!R26</f>
        <v>1.2000000000007276</v>
      </c>
      <c r="X25" s="34">
        <f>ELECT.!B26</f>
        <v>177</v>
      </c>
      <c r="Y25" s="34">
        <f t="shared" si="0"/>
        <v>-3967</v>
      </c>
      <c r="Z25">
        <f>'Mall, Citadel, Rotana'!C26+'Mall, Citadel, Rotana'!E26+'Mall, Citadel, Rotana'!G26+'Mall, Citadel, Rotana'!I26</f>
        <v>1030</v>
      </c>
      <c r="AA25">
        <f>'Mall, Citadel, Rotana'!K26+'Mall, Citadel, Rotana'!M26</f>
        <v>354</v>
      </c>
      <c r="AB25">
        <f>'Mall, Citadel, Rotana'!O26</f>
        <v>6</v>
      </c>
      <c r="AC25">
        <f>'Mall, Citadel, Rotana'!Q26+'Mall, Citadel, Rotana'!S26</f>
        <v>338</v>
      </c>
      <c r="AD25" s="34">
        <f t="shared" si="1"/>
        <v>107.10753360000001</v>
      </c>
      <c r="AE25" s="34">
        <f t="shared" si="2"/>
        <v>705.54446640000003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1060</v>
      </c>
      <c r="F26" s="36">
        <f>Water!E27</f>
        <v>440</v>
      </c>
      <c r="G26" s="36">
        <f>Water!G27</f>
        <v>653.4</v>
      </c>
      <c r="H26" s="36">
        <f>Water!I27</f>
        <v>3.5369999999999999</v>
      </c>
      <c r="I26" s="36">
        <f>ELECT.!F27</f>
        <v>23563</v>
      </c>
      <c r="J26" s="36">
        <f>ELECT.!H27</f>
        <v>54947</v>
      </c>
      <c r="K26" s="36">
        <f>ELECT.!K27</f>
        <v>11044</v>
      </c>
      <c r="L26" s="36">
        <f>ELECT.!M27</f>
        <v>6279</v>
      </c>
      <c r="M26" s="36">
        <f>ELECT.!O27</f>
        <v>17088</v>
      </c>
      <c r="N26" s="36">
        <f>ELECT.!Q27</f>
        <v>14386</v>
      </c>
      <c r="O26" s="36">
        <f>ELECT.!S27</f>
        <v>10712</v>
      </c>
      <c r="P26" s="36">
        <f>ELECT.!W27*2</f>
        <v>22762</v>
      </c>
      <c r="Q26" s="36">
        <f>ELECT.!D27</f>
        <v>640</v>
      </c>
      <c r="R26" s="141">
        <f>BTU!C27</f>
        <v>13.325999999997293</v>
      </c>
      <c r="S26" s="141">
        <f>BTU!F27</f>
        <v>3.0020000000004075</v>
      </c>
      <c r="T26" s="141">
        <f>BTU!I27</f>
        <v>7</v>
      </c>
      <c r="U26" s="141">
        <f>BTU!O27</f>
        <v>2.0740000000000691</v>
      </c>
      <c r="V26" s="141">
        <f>BTU!L27</f>
        <v>2.1700000000000728</v>
      </c>
      <c r="W26" s="141">
        <f>BTU!R27</f>
        <v>0.98999999999978172</v>
      </c>
      <c r="X26" s="34">
        <f>ELECT.!B27</f>
        <v>180</v>
      </c>
      <c r="Y26" s="34">
        <f t="shared" si="0"/>
        <v>-3761</v>
      </c>
      <c r="Z26">
        <f>'Mall, Citadel, Rotana'!C27+'Mall, Citadel, Rotana'!E27+'Mall, Citadel, Rotana'!G27+'Mall, Citadel, Rotana'!I27</f>
        <v>1031</v>
      </c>
      <c r="AA26">
        <f>'Mall, Citadel, Rotana'!K27+'Mall, Citadel, Rotana'!M27</f>
        <v>411</v>
      </c>
      <c r="AB26">
        <f>'Mall, Citadel, Rotana'!O27</f>
        <v>3</v>
      </c>
      <c r="AC26">
        <f>'Mall, Citadel, Rotana'!Q27+'Mall, Citadel, Rotana'!S27</f>
        <v>120</v>
      </c>
      <c r="AD26" s="34">
        <f t="shared" si="1"/>
        <v>113.67262339999999</v>
      </c>
      <c r="AE26" s="34">
        <f t="shared" si="2"/>
        <v>748.79037659999995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940</v>
      </c>
      <c r="F27" s="36">
        <f>Water!E28</f>
        <v>410</v>
      </c>
      <c r="G27" s="36">
        <f>Water!G28</f>
        <v>604.79999999999995</v>
      </c>
      <c r="H27" s="36">
        <f>Water!I28</f>
        <v>3.645</v>
      </c>
      <c r="I27" s="36">
        <f>ELECT.!F28</f>
        <v>27425</v>
      </c>
      <c r="J27" s="36">
        <f>ELECT.!H28</f>
        <v>65537</v>
      </c>
      <c r="K27" s="36">
        <f>ELECT.!K28</f>
        <v>12284</v>
      </c>
      <c r="L27" s="36">
        <f>ELECT.!M28</f>
        <v>7209</v>
      </c>
      <c r="M27" s="36">
        <f>ELECT.!O28</f>
        <v>19682</v>
      </c>
      <c r="N27" s="36">
        <f>ELECT.!Q28</f>
        <v>16405</v>
      </c>
      <c r="O27" s="36">
        <f>ELECT.!S28</f>
        <v>13631</v>
      </c>
      <c r="P27" s="36">
        <f>ELECT.!W28*2</f>
        <v>27506</v>
      </c>
      <c r="Q27" s="36">
        <f>ELECT.!D28</f>
        <v>640</v>
      </c>
      <c r="R27" s="141">
        <f>BTU!C28</f>
        <v>20.503000000000611</v>
      </c>
      <c r="S27" s="141">
        <f>BTU!F28</f>
        <v>2.805000000000291</v>
      </c>
      <c r="T27" s="141">
        <f>BTU!I28</f>
        <v>12</v>
      </c>
      <c r="U27" s="141">
        <f>BTU!O28</f>
        <v>3.6599999999998545</v>
      </c>
      <c r="V27" s="141">
        <f>BTU!L28</f>
        <v>4.2100000000009459</v>
      </c>
      <c r="W27" s="141">
        <f>BTU!R28</f>
        <v>1.1400000000003274</v>
      </c>
      <c r="X27" s="34">
        <f>ELECT.!B28</f>
        <v>188</v>
      </c>
      <c r="Y27" s="34">
        <f t="shared" si="0"/>
        <v>-3755</v>
      </c>
      <c r="Z27">
        <f>'Mall, Citadel, Rotana'!C28+'Mall, Citadel, Rotana'!E28+'Mall, Citadel, Rotana'!G28+'Mall, Citadel, Rotana'!I28</f>
        <v>2506</v>
      </c>
      <c r="AA27">
        <f>'Mall, Citadel, Rotana'!K28+'Mall, Citadel, Rotana'!M28</f>
        <v>234</v>
      </c>
      <c r="AB27">
        <f>'Mall, Citadel, Rotana'!O28</f>
        <v>4</v>
      </c>
      <c r="AC27">
        <f>'Mall, Citadel, Rotana'!Q28+'Mall, Citadel, Rotana'!S28</f>
        <v>0</v>
      </c>
      <c r="AD27" s="34">
        <f t="shared" si="1"/>
        <v>97.842388999999997</v>
      </c>
      <c r="AE27" s="34">
        <f t="shared" si="2"/>
        <v>644.51261099999999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1060</v>
      </c>
      <c r="F28" s="36">
        <f>Water!E29</f>
        <v>430</v>
      </c>
      <c r="G28" s="36">
        <f>Water!G29</f>
        <v>691.2</v>
      </c>
      <c r="H28" s="36">
        <f>Water!I29</f>
        <v>4.32</v>
      </c>
      <c r="I28" s="36">
        <f>ELECT.!F29</f>
        <v>19895</v>
      </c>
      <c r="J28" s="36">
        <f>ELECT.!H29</f>
        <v>49228</v>
      </c>
      <c r="K28" s="36">
        <f>ELECT.!K29</f>
        <v>9948</v>
      </c>
      <c r="L28" s="36">
        <f>ELECT.!M29</f>
        <v>5224</v>
      </c>
      <c r="M28" s="36">
        <f>ELECT.!O29</f>
        <v>14700</v>
      </c>
      <c r="N28" s="36">
        <f>ELECT.!Q29</f>
        <v>12221</v>
      </c>
      <c r="O28" s="36">
        <f>ELECT.!S29</f>
        <v>10007</v>
      </c>
      <c r="P28" s="36">
        <f>ELECT.!W29*2</f>
        <v>20626</v>
      </c>
      <c r="Q28" s="36">
        <f>ELECT.!D29</f>
        <v>640</v>
      </c>
      <c r="R28" s="141">
        <f>BTU!C29</f>
        <v>11.096000000001368</v>
      </c>
      <c r="S28" s="141">
        <f>BTU!F29</f>
        <v>1.8519999999998618</v>
      </c>
      <c r="T28" s="141">
        <f>BTU!I29</f>
        <v>6</v>
      </c>
      <c r="U28" s="141">
        <f>BTU!O29</f>
        <v>1.4400000000000546</v>
      </c>
      <c r="V28" s="141">
        <f>BTU!L29</f>
        <v>1.430000000000291</v>
      </c>
      <c r="W28" s="141">
        <f>BTU!R29</f>
        <v>1.0299999999997453</v>
      </c>
      <c r="X28" s="34">
        <f>ELECT.!B29</f>
        <v>154</v>
      </c>
      <c r="Y28" s="34">
        <f t="shared" si="0"/>
        <v>-3603</v>
      </c>
      <c r="Z28">
        <f>'Mall, Citadel, Rotana'!C29+'Mall, Citadel, Rotana'!E29+'Mall, Citadel, Rotana'!G29+'Mall, Citadel, Rotana'!I29</f>
        <v>1201</v>
      </c>
      <c r="AA28">
        <f>'Mall, Citadel, Rotana'!K29+'Mall, Citadel, Rotana'!M29</f>
        <v>255</v>
      </c>
      <c r="AB28">
        <f>'Mall, Citadel, Rotana'!O29</f>
        <v>3</v>
      </c>
      <c r="AC28">
        <f>'Mall, Citadel, Rotana'!Q29+'Mall, Citadel, Rotana'!S29</f>
        <v>0</v>
      </c>
      <c r="AD28" s="34">
        <f t="shared" si="1"/>
        <v>113.56942400000001</v>
      </c>
      <c r="AE28" s="34">
        <f t="shared" si="2"/>
        <v>748.11057600000004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1000</v>
      </c>
      <c r="F29" s="36">
        <f>Water!E30</f>
        <v>410</v>
      </c>
      <c r="G29" s="36">
        <f>Water!G30</f>
        <v>637.20000000000005</v>
      </c>
      <c r="H29" s="36">
        <f>Water!I30</f>
        <v>4.3739999999999997</v>
      </c>
      <c r="I29" s="36">
        <f>ELECT.!F30</f>
        <v>25014</v>
      </c>
      <c r="J29" s="36">
        <f>ELECT.!H30</f>
        <v>58710</v>
      </c>
      <c r="K29" s="36">
        <f>ELECT.!K30</f>
        <v>12604</v>
      </c>
      <c r="L29" s="36">
        <f>ELECT.!M30</f>
        <v>6809</v>
      </c>
      <c r="M29" s="36">
        <f>ELECT.!O30</f>
        <v>18084</v>
      </c>
      <c r="N29" s="36">
        <f>ELECT.!Q30</f>
        <v>15278</v>
      </c>
      <c r="O29" s="36">
        <f>ELECT.!S30</f>
        <v>11786</v>
      </c>
      <c r="P29" s="36">
        <f>ELECT.!W30*2</f>
        <v>24566</v>
      </c>
      <c r="Q29" s="36">
        <f>ELECT.!D30</f>
        <v>480</v>
      </c>
      <c r="R29" s="141">
        <f>BTU!C30</f>
        <v>16.585999999999331</v>
      </c>
      <c r="S29" s="141">
        <f>BTU!F30</f>
        <v>4.1279999999997017</v>
      </c>
      <c r="T29" s="141">
        <f>BTU!I30</f>
        <v>11</v>
      </c>
      <c r="U29" s="141">
        <f>BTU!O30</f>
        <v>2.680000000000291</v>
      </c>
      <c r="V29" s="141">
        <f>BTU!L30</f>
        <v>3.3799999999991996</v>
      </c>
      <c r="W29" s="141">
        <f>BTU!R30</f>
        <v>1.6649999999999636</v>
      </c>
      <c r="X29" s="34">
        <f>ELECT.!B30</f>
        <v>212</v>
      </c>
      <c r="Y29" s="34">
        <f t="shared" si="0"/>
        <v>-5403</v>
      </c>
      <c r="Z29">
        <f>'Mall, Citadel, Rotana'!C30+'Mall, Citadel, Rotana'!E30+'Mall, Citadel, Rotana'!G30+'Mall, Citadel, Rotana'!I30</f>
        <v>1039</v>
      </c>
      <c r="AA29">
        <f>'Mall, Citadel, Rotana'!K30+'Mall, Citadel, Rotana'!M30</f>
        <v>333</v>
      </c>
      <c r="AB29">
        <f>'Mall, Citadel, Rotana'!O30</f>
        <v>3</v>
      </c>
      <c r="AC29">
        <f>'Mall, Citadel, Rotana'!Q30+'Mall, Citadel, Rotana'!S30</f>
        <v>0</v>
      </c>
      <c r="AD29" s="34">
        <f t="shared" si="1"/>
        <v>105.6543068</v>
      </c>
      <c r="AE29" s="34">
        <f t="shared" si="2"/>
        <v>695.9716932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980</v>
      </c>
      <c r="F30" s="36">
        <f>Water!E31</f>
        <v>430</v>
      </c>
      <c r="G30" s="36">
        <f>Water!G31</f>
        <v>599.4</v>
      </c>
      <c r="H30" s="36">
        <f>Water!I31</f>
        <v>4.2119999999999997</v>
      </c>
      <c r="I30" s="36">
        <f>ELECT.!F31</f>
        <v>27358</v>
      </c>
      <c r="J30" s="36">
        <f>ELECT.!H31</f>
        <v>64100</v>
      </c>
      <c r="K30" s="36">
        <f>ELECT.!K31</f>
        <v>13184</v>
      </c>
      <c r="L30" s="36">
        <f>ELECT.!M31</f>
        <v>7629</v>
      </c>
      <c r="M30" s="36">
        <f>ELECT.!O31</f>
        <v>19526</v>
      </c>
      <c r="N30" s="36">
        <f>ELECT.!Q31</f>
        <v>15883</v>
      </c>
      <c r="O30" s="36">
        <f>ELECT.!S31</f>
        <v>12779</v>
      </c>
      <c r="P30" s="36">
        <f>ELECT.!W31*2</f>
        <v>26200</v>
      </c>
      <c r="Q30" s="36">
        <f>ELECT.!D31</f>
        <v>800</v>
      </c>
      <c r="R30" s="141">
        <f>BTU!C31</f>
        <v>11.528000000002066</v>
      </c>
      <c r="S30" s="141">
        <f>BTU!F31</f>
        <v>2.5060000000003129</v>
      </c>
      <c r="T30" s="141">
        <f>BTU!I31</f>
        <v>8</v>
      </c>
      <c r="U30" s="141">
        <f>BTU!O31</f>
        <v>1.1799999999998363</v>
      </c>
      <c r="V30" s="141">
        <f>BTU!L31</f>
        <v>1.6399999999994179</v>
      </c>
      <c r="W30" s="141">
        <f>BTU!R31</f>
        <v>0.35499999999956344</v>
      </c>
      <c r="X30" s="34">
        <f>ELECT.!B31</f>
        <v>197</v>
      </c>
      <c r="Y30" s="34">
        <f t="shared" si="0"/>
        <v>-3743</v>
      </c>
      <c r="Z30">
        <f>'Mall, Citadel, Rotana'!C31+'Mall, Citadel, Rotana'!E31+'Mall, Citadel, Rotana'!G31+'Mall, Citadel, Rotana'!I31</f>
        <v>1555</v>
      </c>
      <c r="AA30">
        <f>'Mall, Citadel, Rotana'!K31+'Mall, Citadel, Rotana'!M31</f>
        <v>408</v>
      </c>
      <c r="AB30">
        <f>'Mall, Citadel, Rotana'!O31</f>
        <v>3</v>
      </c>
      <c r="AC30">
        <f>'Mall, Citadel, Rotana'!Q31+'Mall, Citadel, Rotana'!S31</f>
        <v>654</v>
      </c>
      <c r="AD30" s="34">
        <f t="shared" si="1"/>
        <v>103.03965840000001</v>
      </c>
      <c r="AE30" s="34">
        <f t="shared" si="2"/>
        <v>678.7483416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990</v>
      </c>
      <c r="F31" s="36">
        <f>Water!E32</f>
        <v>470</v>
      </c>
      <c r="G31" s="36">
        <f>Water!G32</f>
        <v>645.29999999999995</v>
      </c>
      <c r="H31" s="36">
        <f>Water!I32</f>
        <v>4.7519999999999998</v>
      </c>
      <c r="I31" s="36">
        <f>ELECT.!F32</f>
        <v>19141</v>
      </c>
      <c r="J31" s="36">
        <f>ELECT.!H32</f>
        <v>44706</v>
      </c>
      <c r="K31" s="36">
        <f>ELECT.!K32</f>
        <v>9238</v>
      </c>
      <c r="L31" s="36">
        <f>ELECT.!M32</f>
        <v>5238</v>
      </c>
      <c r="M31" s="36">
        <f>ELECT.!O32</f>
        <v>13710</v>
      </c>
      <c r="N31" s="36">
        <f>ELECT.!Q32</f>
        <v>11244</v>
      </c>
      <c r="O31" s="36">
        <f>ELECT.!S32</f>
        <v>9256</v>
      </c>
      <c r="P31" s="36">
        <f>ELECT.!W32*2</f>
        <v>18366</v>
      </c>
      <c r="Q31" s="36">
        <f>ELECT.!D32</f>
        <v>800</v>
      </c>
      <c r="R31" s="141">
        <f>BTU!C32</f>
        <v>17.253999999997177</v>
      </c>
      <c r="S31" s="141">
        <f>BTU!F32</f>
        <v>4.4529999999995198</v>
      </c>
      <c r="T31" s="141">
        <f>BTU!I32</f>
        <v>11</v>
      </c>
      <c r="U31" s="141">
        <f>BTU!O32</f>
        <v>3.2390000000000327</v>
      </c>
      <c r="V31" s="141">
        <f>BTU!L32</f>
        <v>3.195000000001528</v>
      </c>
      <c r="W31" s="141">
        <f>BTU!R32</f>
        <v>0.32000000000061846</v>
      </c>
      <c r="X31" s="34">
        <f>ELECT.!B32</f>
        <v>155</v>
      </c>
      <c r="Y31" s="34">
        <f t="shared" si="0"/>
        <v>-3205</v>
      </c>
      <c r="Z31">
        <f>'Mall, Citadel, Rotana'!C32+'Mall, Citadel, Rotana'!E32+'Mall, Citadel, Rotana'!G32+'Mall, Citadel, Rotana'!I32</f>
        <v>1195</v>
      </c>
      <c r="AA31">
        <f>'Mall, Citadel, Rotana'!K32+'Mall, Citadel, Rotana'!M32</f>
        <v>410</v>
      </c>
      <c r="AB31">
        <f>'Mall, Citadel, Rotana'!O32</f>
        <v>3</v>
      </c>
      <c r="AC31">
        <f>'Mall, Citadel, Rotana'!Q32+'Mall, Citadel, Rotana'!S32</f>
        <v>0</v>
      </c>
      <c r="AD31" s="34">
        <f t="shared" si="1"/>
        <v>104.2864864</v>
      </c>
      <c r="AE31" s="34">
        <f t="shared" si="2"/>
        <v>686.96151359999999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1100</v>
      </c>
      <c r="F32" s="36">
        <f>Water!E33</f>
        <v>560</v>
      </c>
      <c r="G32" s="36">
        <f>Water!G33</f>
        <v>577.79999999999995</v>
      </c>
      <c r="H32" s="36">
        <f>Water!I33</f>
        <v>4.5090000000000003</v>
      </c>
      <c r="I32" s="36">
        <f>ELECT.!F33</f>
        <v>28430</v>
      </c>
      <c r="J32" s="36">
        <f>ELECT.!H33</f>
        <v>67452</v>
      </c>
      <c r="K32" s="36">
        <f>ELECT.!K33</f>
        <v>13306</v>
      </c>
      <c r="L32" s="36">
        <f>ELECT.!M33</f>
        <v>7785</v>
      </c>
      <c r="M32" s="36">
        <f>ELECT.!O33</f>
        <v>20406</v>
      </c>
      <c r="N32" s="36">
        <f>ELECT.!Q33</f>
        <v>17051</v>
      </c>
      <c r="O32" s="36">
        <f>ELECT.!S33</f>
        <v>13271</v>
      </c>
      <c r="P32" s="36">
        <f>ELECT.!W33*2</f>
        <v>28606</v>
      </c>
      <c r="Q32" s="36">
        <f>ELECT.!D33</f>
        <v>640</v>
      </c>
      <c r="R32" s="141">
        <f>BTU!C33</f>
        <v>13.59400000000096</v>
      </c>
      <c r="S32" s="141">
        <f>BTU!F33</f>
        <v>2.9260000000003856</v>
      </c>
      <c r="T32" s="141">
        <f>BTU!I33</f>
        <v>8</v>
      </c>
      <c r="U32" s="141">
        <f>BTU!O33</f>
        <v>1.9000000000000909</v>
      </c>
      <c r="V32" s="141">
        <f>BTU!L33</f>
        <v>2.1849999999994907</v>
      </c>
      <c r="W32" s="141">
        <f>BTU!R33</f>
        <v>1.6999999999998181</v>
      </c>
      <c r="X32" s="34">
        <f>ELECT.!B33</f>
        <v>230</v>
      </c>
      <c r="Y32" s="34">
        <f t="shared" ref="Y32" si="4">I32+J32-(K32+L32+M32+N32+O32+P32)</f>
        <v>-4543</v>
      </c>
      <c r="Z32">
        <f>'Mall, Citadel, Rotana'!C33+'Mall, Citadel, Rotana'!E33+'Mall, Citadel, Rotana'!G33+'Mall, Citadel, Rotana'!I33</f>
        <v>1423</v>
      </c>
      <c r="AA32">
        <f>'Mall, Citadel, Rotana'!K33+'Mall, Citadel, Rotana'!M33</f>
        <v>355</v>
      </c>
      <c r="AB32">
        <f>'Mall, Citadel, Rotana'!O33</f>
        <v>4</v>
      </c>
      <c r="AC32">
        <f>'Mall, Citadel, Rotana'!Q33+'Mall, Citadel, Rotana'!S33</f>
        <v>226</v>
      </c>
      <c r="AD32" s="34">
        <f t="shared" ref="AD32" si="5">(E32-H32-194)*0.1318</f>
        <v>118.8165138</v>
      </c>
      <c r="AE32" s="34">
        <f t="shared" ref="AE32" si="6">E32-H32-AD32-194</f>
        <v>782.67448620000005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1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v>47401</v>
      </c>
      <c r="C9" s="14">
        <f t="shared" si="3"/>
        <v>800</v>
      </c>
      <c r="D9" s="32">
        <v>40852</v>
      </c>
      <c r="E9" s="14">
        <f t="shared" si="4"/>
        <v>480</v>
      </c>
      <c r="F9" s="32">
        <v>21928</v>
      </c>
      <c r="G9" s="14">
        <f t="shared" si="5"/>
        <v>60</v>
      </c>
      <c r="H9" s="32">
        <v>257288</v>
      </c>
      <c r="I9" s="14">
        <f t="shared" si="6"/>
        <v>39</v>
      </c>
      <c r="J9" s="32">
        <v>326879</v>
      </c>
      <c r="K9" s="14">
        <f t="shared" si="7"/>
        <v>222</v>
      </c>
      <c r="L9" s="32">
        <v>26375</v>
      </c>
      <c r="M9" s="14">
        <f t="shared" si="8"/>
        <v>180</v>
      </c>
      <c r="N9" s="32">
        <v>226253</v>
      </c>
      <c r="O9" s="14">
        <f t="shared" si="9"/>
        <v>4</v>
      </c>
      <c r="P9" s="32">
        <v>163994</v>
      </c>
      <c r="Q9" s="14">
        <f t="shared" si="2"/>
        <v>116</v>
      </c>
      <c r="R9" s="1">
        <f t="shared" si="13"/>
        <v>55047</v>
      </c>
      <c r="S9" s="14">
        <f>R9-R8</f>
        <v>0</v>
      </c>
      <c r="T9" s="32"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v>47406</v>
      </c>
      <c r="C10" s="14">
        <f t="shared" si="3"/>
        <v>800</v>
      </c>
      <c r="D10" s="32">
        <v>40855</v>
      </c>
      <c r="E10" s="14">
        <f t="shared" si="4"/>
        <v>480</v>
      </c>
      <c r="F10" s="32">
        <v>21931</v>
      </c>
      <c r="G10" s="14">
        <f t="shared" si="5"/>
        <v>60</v>
      </c>
      <c r="H10" s="32">
        <v>257335</v>
      </c>
      <c r="I10" s="14">
        <f t="shared" si="6"/>
        <v>47</v>
      </c>
      <c r="J10" s="32">
        <v>326992</v>
      </c>
      <c r="K10" s="14">
        <f t="shared" si="7"/>
        <v>113</v>
      </c>
      <c r="L10" s="32">
        <v>26379</v>
      </c>
      <c r="M10" s="14">
        <f t="shared" si="8"/>
        <v>240</v>
      </c>
      <c r="N10" s="32">
        <v>226256</v>
      </c>
      <c r="O10" s="14">
        <f t="shared" si="9"/>
        <v>3</v>
      </c>
      <c r="P10" s="32">
        <v>164115</v>
      </c>
      <c r="Q10" s="14">
        <f t="shared" si="2"/>
        <v>121</v>
      </c>
      <c r="R10" s="1">
        <f t="shared" si="13"/>
        <v>55047</v>
      </c>
      <c r="S10" s="14">
        <f>R10-R9</f>
        <v>0</v>
      </c>
      <c r="T10" s="32">
        <v>4032</v>
      </c>
      <c r="U10" s="14">
        <f t="shared" si="10"/>
        <v>160</v>
      </c>
    </row>
    <row r="11" spans="1:24" ht="13.5" thickBot="1" x14ac:dyDescent="0.25">
      <c r="A11" s="9">
        <v>44782</v>
      </c>
      <c r="B11" s="32">
        <v>47410</v>
      </c>
      <c r="C11" s="14">
        <f t="shared" si="3"/>
        <v>640</v>
      </c>
      <c r="D11" s="32">
        <v>40858</v>
      </c>
      <c r="E11" s="14">
        <f t="shared" si="4"/>
        <v>480</v>
      </c>
      <c r="F11" s="32">
        <v>21935</v>
      </c>
      <c r="G11" s="14">
        <f t="shared" si="5"/>
        <v>80</v>
      </c>
      <c r="H11" s="32">
        <v>257376</v>
      </c>
      <c r="I11" s="14">
        <f t="shared" si="6"/>
        <v>41</v>
      </c>
      <c r="J11" s="32">
        <v>327162</v>
      </c>
      <c r="K11" s="14">
        <f t="shared" si="7"/>
        <v>170</v>
      </c>
      <c r="L11" s="32">
        <v>26382</v>
      </c>
      <c r="M11" s="14">
        <f t="shared" si="8"/>
        <v>180</v>
      </c>
      <c r="N11" s="32">
        <v>226259</v>
      </c>
      <c r="O11" s="14">
        <f t="shared" si="9"/>
        <v>3</v>
      </c>
      <c r="P11" s="32">
        <v>164230</v>
      </c>
      <c r="Q11" s="14">
        <f t="shared" si="2"/>
        <v>115</v>
      </c>
      <c r="R11" s="1">
        <f t="shared" si="13"/>
        <v>55047</v>
      </c>
      <c r="S11" s="14">
        <f t="shared" si="11"/>
        <v>0</v>
      </c>
      <c r="T11" s="32">
        <v>4032</v>
      </c>
      <c r="U11" s="14">
        <f t="shared" si="10"/>
        <v>0</v>
      </c>
    </row>
    <row r="12" spans="1:24" ht="13.5" thickBot="1" x14ac:dyDescent="0.25">
      <c r="A12" s="9">
        <v>44783</v>
      </c>
      <c r="B12" s="32">
        <v>47414</v>
      </c>
      <c r="C12" s="14">
        <f t="shared" si="3"/>
        <v>640</v>
      </c>
      <c r="D12" s="32">
        <v>40864</v>
      </c>
      <c r="E12" s="14">
        <f t="shared" si="4"/>
        <v>960</v>
      </c>
      <c r="F12" s="32">
        <v>21943</v>
      </c>
      <c r="G12" s="14">
        <f t="shared" si="5"/>
        <v>160</v>
      </c>
      <c r="H12" s="32">
        <v>257453</v>
      </c>
      <c r="I12" s="14">
        <f t="shared" si="6"/>
        <v>77</v>
      </c>
      <c r="J12" s="32">
        <v>327508</v>
      </c>
      <c r="K12" s="14">
        <f t="shared" si="7"/>
        <v>346</v>
      </c>
      <c r="L12" s="32">
        <v>26388</v>
      </c>
      <c r="M12" s="14">
        <f t="shared" si="8"/>
        <v>360</v>
      </c>
      <c r="N12" s="32">
        <v>226265</v>
      </c>
      <c r="O12" s="14">
        <f t="shared" si="9"/>
        <v>6</v>
      </c>
      <c r="P12" s="32">
        <v>164351</v>
      </c>
      <c r="Q12" s="14">
        <f t="shared" si="2"/>
        <v>121</v>
      </c>
      <c r="R12" s="1">
        <f t="shared" si="13"/>
        <v>55047</v>
      </c>
      <c r="S12" s="14">
        <f t="shared" si="11"/>
        <v>0</v>
      </c>
      <c r="T12" s="32">
        <v>4033</v>
      </c>
      <c r="U12" s="14">
        <f t="shared" si="10"/>
        <v>160</v>
      </c>
    </row>
    <row r="13" spans="1:24" ht="13.5" thickBot="1" x14ac:dyDescent="0.25">
      <c r="A13" s="9">
        <v>44784</v>
      </c>
      <c r="B13" s="32">
        <f t="shared" ref="B13:B33" si="15">B12</f>
        <v>47414</v>
      </c>
      <c r="C13" s="14">
        <f t="shared" si="3"/>
        <v>0</v>
      </c>
      <c r="D13" s="32">
        <f t="shared" ref="D13:D33" si="16">D12</f>
        <v>40864</v>
      </c>
      <c r="E13" s="14">
        <f t="shared" si="4"/>
        <v>0</v>
      </c>
      <c r="F13" s="32">
        <f t="shared" ref="F13:F33" si="17">F12</f>
        <v>21943</v>
      </c>
      <c r="G13" s="14">
        <f t="shared" si="5"/>
        <v>0</v>
      </c>
      <c r="H13" s="32">
        <f t="shared" ref="H13:H33" si="18">H12</f>
        <v>257453</v>
      </c>
      <c r="I13" s="14">
        <f t="shared" si="6"/>
        <v>0</v>
      </c>
      <c r="J13" s="32">
        <f t="shared" ref="J13:J33" si="19">J12</f>
        <v>327508</v>
      </c>
      <c r="K13" s="14">
        <f t="shared" si="7"/>
        <v>0</v>
      </c>
      <c r="L13" s="32">
        <f t="shared" ref="L13:L33" si="20">L12</f>
        <v>26388</v>
      </c>
      <c r="M13" s="14">
        <f t="shared" si="8"/>
        <v>0</v>
      </c>
      <c r="N13" s="32">
        <f t="shared" ref="N13:N33" si="21">N12</f>
        <v>226265</v>
      </c>
      <c r="O13" s="14">
        <f t="shared" si="9"/>
        <v>0</v>
      </c>
      <c r="P13" s="32">
        <f t="shared" si="12"/>
        <v>164351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4033</v>
      </c>
      <c r="U13" s="14">
        <f t="shared" si="10"/>
        <v>0</v>
      </c>
    </row>
    <row r="14" spans="1:24" ht="13.5" thickBot="1" x14ac:dyDescent="0.25">
      <c r="A14" s="9">
        <v>44785</v>
      </c>
      <c r="B14" s="32">
        <v>47423</v>
      </c>
      <c r="C14" s="14">
        <f t="shared" si="3"/>
        <v>1440</v>
      </c>
      <c r="D14" s="32">
        <v>40867</v>
      </c>
      <c r="E14" s="14">
        <f t="shared" si="4"/>
        <v>480</v>
      </c>
      <c r="F14" s="32">
        <v>21947</v>
      </c>
      <c r="G14" s="14">
        <f t="shared" si="5"/>
        <v>80</v>
      </c>
      <c r="H14" s="32">
        <v>257469</v>
      </c>
      <c r="I14" s="14">
        <f t="shared" si="6"/>
        <v>16</v>
      </c>
      <c r="J14" s="32">
        <v>327627</v>
      </c>
      <c r="K14" s="14">
        <f t="shared" si="7"/>
        <v>119</v>
      </c>
      <c r="L14" s="32">
        <v>26390</v>
      </c>
      <c r="M14" s="14">
        <f t="shared" si="8"/>
        <v>120</v>
      </c>
      <c r="N14" s="32">
        <v>226269</v>
      </c>
      <c r="O14" s="14">
        <f t="shared" si="9"/>
        <v>4</v>
      </c>
      <c r="P14" s="32">
        <f>P13</f>
        <v>164351</v>
      </c>
      <c r="Q14" s="14">
        <f t="shared" si="2"/>
        <v>0</v>
      </c>
      <c r="R14" s="1">
        <f t="shared" si="13"/>
        <v>55047</v>
      </c>
      <c r="S14" s="14">
        <v>0</v>
      </c>
      <c r="T14" s="32">
        <v>4034</v>
      </c>
      <c r="U14" s="14">
        <f t="shared" si="10"/>
        <v>160</v>
      </c>
    </row>
    <row r="15" spans="1:24" ht="13.5" thickBot="1" x14ac:dyDescent="0.25">
      <c r="A15" s="9">
        <v>44786</v>
      </c>
      <c r="B15" s="32">
        <v>47428</v>
      </c>
      <c r="C15" s="14">
        <f t="shared" si="3"/>
        <v>800</v>
      </c>
      <c r="D15" s="32">
        <v>40870</v>
      </c>
      <c r="E15" s="14">
        <f t="shared" si="4"/>
        <v>480</v>
      </c>
      <c r="F15" s="32">
        <v>21951</v>
      </c>
      <c r="G15" s="14">
        <f t="shared" si="5"/>
        <v>80</v>
      </c>
      <c r="H15" s="32">
        <v>257507</v>
      </c>
      <c r="I15" s="14">
        <f t="shared" si="6"/>
        <v>38</v>
      </c>
      <c r="J15" s="32">
        <v>327765</v>
      </c>
      <c r="K15" s="14">
        <f t="shared" si="7"/>
        <v>138</v>
      </c>
      <c r="L15" s="32">
        <v>26392</v>
      </c>
      <c r="M15" s="14">
        <f t="shared" si="8"/>
        <v>120</v>
      </c>
      <c r="N15" s="32">
        <v>226272</v>
      </c>
      <c r="O15" s="14">
        <f t="shared" si="9"/>
        <v>3</v>
      </c>
      <c r="P15" s="32">
        <f t="shared" ref="P15:P33" si="22">P14</f>
        <v>164351</v>
      </c>
      <c r="Q15" s="14">
        <f t="shared" si="2"/>
        <v>0</v>
      </c>
      <c r="R15" s="1">
        <f t="shared" si="13"/>
        <v>55047</v>
      </c>
      <c r="S15" s="14">
        <v>0</v>
      </c>
      <c r="T15" s="32">
        <v>4034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47428</v>
      </c>
      <c r="C16" s="14">
        <f t="shared" si="3"/>
        <v>0</v>
      </c>
      <c r="D16" s="32">
        <f t="shared" si="16"/>
        <v>40870</v>
      </c>
      <c r="E16" s="14">
        <f t="shared" si="4"/>
        <v>0</v>
      </c>
      <c r="F16" s="32">
        <f t="shared" si="17"/>
        <v>21951</v>
      </c>
      <c r="G16" s="14">
        <f t="shared" si="5"/>
        <v>0</v>
      </c>
      <c r="H16" s="32">
        <f t="shared" si="18"/>
        <v>257507</v>
      </c>
      <c r="I16" s="14">
        <f t="shared" si="6"/>
        <v>0</v>
      </c>
      <c r="J16" s="32">
        <f t="shared" si="19"/>
        <v>327765</v>
      </c>
      <c r="K16" s="14">
        <f t="shared" si="7"/>
        <v>0</v>
      </c>
      <c r="L16" s="32">
        <f t="shared" si="20"/>
        <v>26392</v>
      </c>
      <c r="M16" s="14">
        <f t="shared" si="8"/>
        <v>0</v>
      </c>
      <c r="N16" s="32">
        <f t="shared" si="21"/>
        <v>226272</v>
      </c>
      <c r="O16" s="14">
        <f t="shared" si="9"/>
        <v>0</v>
      </c>
      <c r="P16" s="32">
        <f t="shared" si="22"/>
        <v>164351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4034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v>47437</v>
      </c>
      <c r="C17" s="14">
        <f t="shared" si="3"/>
        <v>1440</v>
      </c>
      <c r="D17" s="32">
        <v>40876</v>
      </c>
      <c r="E17" s="14">
        <f t="shared" si="4"/>
        <v>960</v>
      </c>
      <c r="F17" s="32">
        <v>21958</v>
      </c>
      <c r="G17" s="14">
        <f t="shared" si="5"/>
        <v>140</v>
      </c>
      <c r="H17" s="32">
        <v>257568</v>
      </c>
      <c r="I17" s="14">
        <f t="shared" si="6"/>
        <v>61</v>
      </c>
      <c r="J17" s="32">
        <v>328098</v>
      </c>
      <c r="K17" s="14">
        <f t="shared" si="7"/>
        <v>333</v>
      </c>
      <c r="L17" s="32">
        <v>26399</v>
      </c>
      <c r="M17" s="14">
        <f t="shared" si="8"/>
        <v>420</v>
      </c>
      <c r="N17" s="32">
        <v>226278</v>
      </c>
      <c r="O17" s="14">
        <f t="shared" si="9"/>
        <v>6</v>
      </c>
      <c r="P17" s="32">
        <f t="shared" si="22"/>
        <v>164351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v>4035</v>
      </c>
      <c r="U17" s="14">
        <f t="shared" si="10"/>
        <v>160</v>
      </c>
    </row>
    <row r="18" spans="1:23" ht="13.5" thickBot="1" x14ac:dyDescent="0.25">
      <c r="A18" s="9">
        <v>44789</v>
      </c>
      <c r="B18" s="32">
        <v>47442</v>
      </c>
      <c r="C18" s="14">
        <f t="shared" si="3"/>
        <v>800</v>
      </c>
      <c r="D18" s="32">
        <v>40879</v>
      </c>
      <c r="E18" s="14">
        <f t="shared" si="4"/>
        <v>480</v>
      </c>
      <c r="F18" s="32">
        <v>21961</v>
      </c>
      <c r="G18" s="14">
        <f t="shared" si="5"/>
        <v>60</v>
      </c>
      <c r="H18" s="32">
        <v>257610</v>
      </c>
      <c r="I18" s="14">
        <f t="shared" si="6"/>
        <v>42</v>
      </c>
      <c r="J18" s="32">
        <v>328266</v>
      </c>
      <c r="K18" s="14">
        <f t="shared" si="7"/>
        <v>168</v>
      </c>
      <c r="L18" s="32">
        <v>26403</v>
      </c>
      <c r="M18" s="14">
        <f t="shared" si="8"/>
        <v>240</v>
      </c>
      <c r="N18" s="32">
        <v>226282</v>
      </c>
      <c r="O18" s="14">
        <f t="shared" si="9"/>
        <v>4</v>
      </c>
      <c r="P18" s="32">
        <f t="shared" si="22"/>
        <v>164351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v>4036</v>
      </c>
      <c r="U18" s="14">
        <f t="shared" si="10"/>
        <v>160</v>
      </c>
    </row>
    <row r="19" spans="1:23" ht="13.5" thickBot="1" x14ac:dyDescent="0.25">
      <c r="A19" s="9">
        <v>44790</v>
      </c>
      <c r="B19" s="32">
        <v>47447</v>
      </c>
      <c r="C19" s="14">
        <f t="shared" si="3"/>
        <v>800</v>
      </c>
      <c r="D19" s="32">
        <v>40882</v>
      </c>
      <c r="E19" s="14">
        <f t="shared" si="4"/>
        <v>480</v>
      </c>
      <c r="F19" s="32">
        <v>21964</v>
      </c>
      <c r="G19" s="14">
        <f t="shared" si="5"/>
        <v>60</v>
      </c>
      <c r="H19" s="32">
        <v>257645</v>
      </c>
      <c r="I19" s="14">
        <f t="shared" si="6"/>
        <v>35</v>
      </c>
      <c r="J19" s="32">
        <v>328434</v>
      </c>
      <c r="K19" s="14">
        <f t="shared" si="7"/>
        <v>168</v>
      </c>
      <c r="L19" s="32">
        <v>26406</v>
      </c>
      <c r="M19" s="14">
        <f t="shared" si="8"/>
        <v>180</v>
      </c>
      <c r="N19" s="32">
        <v>226285</v>
      </c>
      <c r="O19" s="14">
        <f t="shared" si="9"/>
        <v>3</v>
      </c>
      <c r="P19" s="32">
        <f t="shared" si="22"/>
        <v>164351</v>
      </c>
      <c r="Q19" s="14">
        <v>0</v>
      </c>
      <c r="R19" s="1">
        <f t="shared" si="13"/>
        <v>55047</v>
      </c>
      <c r="S19" s="14">
        <f t="shared" si="11"/>
        <v>0</v>
      </c>
      <c r="T19" s="32">
        <v>4037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44791</v>
      </c>
      <c r="B20" s="32">
        <v>47451</v>
      </c>
      <c r="C20" s="14">
        <f t="shared" si="3"/>
        <v>640</v>
      </c>
      <c r="D20" s="32">
        <v>40885</v>
      </c>
      <c r="E20" s="14">
        <f t="shared" si="4"/>
        <v>480</v>
      </c>
      <c r="F20" s="32">
        <v>21968</v>
      </c>
      <c r="G20" s="14">
        <f t="shared" si="5"/>
        <v>80</v>
      </c>
      <c r="H20" s="32">
        <v>257668</v>
      </c>
      <c r="I20" s="14">
        <f t="shared" si="6"/>
        <v>23</v>
      </c>
      <c r="J20" s="32">
        <v>328593</v>
      </c>
      <c r="K20" s="14">
        <f t="shared" si="7"/>
        <v>159</v>
      </c>
      <c r="L20" s="32">
        <v>26409</v>
      </c>
      <c r="M20" s="14">
        <f t="shared" si="8"/>
        <v>180</v>
      </c>
      <c r="N20" s="32">
        <v>226288</v>
      </c>
      <c r="O20" s="14">
        <f t="shared" si="9"/>
        <v>3</v>
      </c>
      <c r="P20" s="32">
        <v>165777</v>
      </c>
      <c r="Q20" s="14">
        <f t="shared" si="2"/>
        <v>1426</v>
      </c>
      <c r="R20" s="1">
        <v>55047</v>
      </c>
      <c r="S20" s="14">
        <f t="shared" si="11"/>
        <v>0</v>
      </c>
      <c r="T20" s="32">
        <v>4037</v>
      </c>
      <c r="U20" s="14">
        <f t="shared" si="10"/>
        <v>0</v>
      </c>
    </row>
    <row r="21" spans="1:23" ht="13.5" thickBot="1" x14ac:dyDescent="0.25">
      <c r="A21" s="9">
        <v>44792</v>
      </c>
      <c r="B21" s="32">
        <v>47456</v>
      </c>
      <c r="C21" s="14">
        <f t="shared" si="3"/>
        <v>800</v>
      </c>
      <c r="D21" s="32">
        <v>40888</v>
      </c>
      <c r="E21" s="14">
        <f t="shared" si="4"/>
        <v>480</v>
      </c>
      <c r="F21" s="32">
        <v>21973</v>
      </c>
      <c r="G21" s="14">
        <f t="shared" si="5"/>
        <v>100</v>
      </c>
      <c r="H21" s="32">
        <v>257708</v>
      </c>
      <c r="I21" s="14">
        <f t="shared" si="6"/>
        <v>40</v>
      </c>
      <c r="J21" s="32">
        <v>328700</v>
      </c>
      <c r="K21" s="14">
        <f t="shared" si="7"/>
        <v>107</v>
      </c>
      <c r="L21" s="32">
        <v>26411</v>
      </c>
      <c r="M21" s="14">
        <f t="shared" si="8"/>
        <v>120</v>
      </c>
      <c r="N21" s="32">
        <v>226291</v>
      </c>
      <c r="O21" s="14">
        <f t="shared" si="9"/>
        <v>3</v>
      </c>
      <c r="P21" s="32">
        <v>165891</v>
      </c>
      <c r="Q21" s="14">
        <f t="shared" si="2"/>
        <v>114</v>
      </c>
      <c r="R21" s="1">
        <f t="shared" si="13"/>
        <v>55047</v>
      </c>
      <c r="S21" s="14">
        <f t="shared" si="11"/>
        <v>0</v>
      </c>
      <c r="T21" s="32">
        <v>4038</v>
      </c>
      <c r="U21" s="14">
        <f t="shared" si="10"/>
        <v>160</v>
      </c>
    </row>
    <row r="22" spans="1:23" ht="13.5" thickBot="1" x14ac:dyDescent="0.25">
      <c r="A22" s="9">
        <v>44793</v>
      </c>
      <c r="B22" s="32">
        <v>47461</v>
      </c>
      <c r="C22" s="14">
        <f t="shared" si="3"/>
        <v>800</v>
      </c>
      <c r="D22" s="32">
        <v>40891</v>
      </c>
      <c r="E22" s="14">
        <f t="shared" si="4"/>
        <v>480</v>
      </c>
      <c r="F22" s="32">
        <v>21977</v>
      </c>
      <c r="G22" s="14">
        <f t="shared" si="5"/>
        <v>80</v>
      </c>
      <c r="H22" s="32">
        <v>257758</v>
      </c>
      <c r="I22" s="14">
        <f t="shared" si="6"/>
        <v>50</v>
      </c>
      <c r="J22" s="32">
        <v>328801</v>
      </c>
      <c r="K22" s="14">
        <f t="shared" si="7"/>
        <v>101</v>
      </c>
      <c r="L22" s="32">
        <v>26414</v>
      </c>
      <c r="M22" s="14">
        <f t="shared" si="8"/>
        <v>180</v>
      </c>
      <c r="N22" s="32">
        <v>226294</v>
      </c>
      <c r="O22" s="14">
        <f t="shared" si="9"/>
        <v>3</v>
      </c>
      <c r="P22" s="32">
        <v>165998</v>
      </c>
      <c r="Q22" s="14">
        <f t="shared" si="2"/>
        <v>107</v>
      </c>
      <c r="R22" s="1">
        <f t="shared" si="13"/>
        <v>55047</v>
      </c>
      <c r="S22" s="14">
        <f t="shared" si="11"/>
        <v>0</v>
      </c>
      <c r="T22" s="32">
        <f t="shared" si="14"/>
        <v>4038</v>
      </c>
      <c r="U22" s="14">
        <f t="shared" si="10"/>
        <v>0</v>
      </c>
    </row>
    <row r="23" spans="1:23" ht="13.5" thickBot="1" x14ac:dyDescent="0.25">
      <c r="A23" s="9">
        <v>44794</v>
      </c>
      <c r="B23" s="32">
        <v>47465</v>
      </c>
      <c r="C23" s="14">
        <f t="shared" si="3"/>
        <v>640</v>
      </c>
      <c r="D23" s="32">
        <v>40893</v>
      </c>
      <c r="E23" s="14">
        <f t="shared" si="4"/>
        <v>320</v>
      </c>
      <c r="F23" s="32">
        <v>21981</v>
      </c>
      <c r="G23" s="14">
        <f t="shared" si="5"/>
        <v>80</v>
      </c>
      <c r="H23" s="32">
        <v>257810</v>
      </c>
      <c r="I23" s="14">
        <f t="shared" si="6"/>
        <v>52</v>
      </c>
      <c r="J23" s="32">
        <v>328898</v>
      </c>
      <c r="K23" s="14">
        <f t="shared" si="7"/>
        <v>97</v>
      </c>
      <c r="L23" s="32">
        <v>26416</v>
      </c>
      <c r="M23" s="14">
        <f t="shared" si="8"/>
        <v>120</v>
      </c>
      <c r="N23" s="32">
        <v>226296</v>
      </c>
      <c r="O23" s="14">
        <f t="shared" si="9"/>
        <v>2</v>
      </c>
      <c r="P23" s="32">
        <f t="shared" si="22"/>
        <v>165998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v>4039</v>
      </c>
      <c r="U23" s="14">
        <f t="shared" si="10"/>
        <v>160</v>
      </c>
    </row>
    <row r="24" spans="1:23" s="131" customFormat="1" ht="13.5" thickBot="1" x14ac:dyDescent="0.25">
      <c r="A24" s="9">
        <v>44795</v>
      </c>
      <c r="B24" s="32">
        <v>47467</v>
      </c>
      <c r="C24" s="14">
        <f t="shared" si="3"/>
        <v>320</v>
      </c>
      <c r="D24" s="32">
        <v>40897</v>
      </c>
      <c r="E24" s="14">
        <f t="shared" si="4"/>
        <v>640</v>
      </c>
      <c r="F24" s="32">
        <v>21984</v>
      </c>
      <c r="G24" s="14">
        <f t="shared" si="5"/>
        <v>60</v>
      </c>
      <c r="H24" s="32">
        <v>257820</v>
      </c>
      <c r="I24" s="14">
        <f t="shared" si="6"/>
        <v>10</v>
      </c>
      <c r="J24" s="32">
        <v>329172</v>
      </c>
      <c r="K24" s="14">
        <f t="shared" si="7"/>
        <v>274</v>
      </c>
      <c r="L24" s="32">
        <v>26420</v>
      </c>
      <c r="M24" s="14">
        <f t="shared" si="8"/>
        <v>240</v>
      </c>
      <c r="N24" s="32">
        <v>226301</v>
      </c>
      <c r="O24" s="14">
        <f t="shared" si="9"/>
        <v>5</v>
      </c>
      <c r="P24" s="32">
        <v>166363</v>
      </c>
      <c r="Q24" s="14">
        <f t="shared" si="2"/>
        <v>365</v>
      </c>
      <c r="R24" s="1">
        <f t="shared" si="13"/>
        <v>55047</v>
      </c>
      <c r="S24" s="14">
        <f t="shared" si="11"/>
        <v>0</v>
      </c>
      <c r="T24" s="32">
        <v>4039</v>
      </c>
      <c r="U24" s="14">
        <f t="shared" si="10"/>
        <v>0</v>
      </c>
    </row>
    <row r="25" spans="1:23" ht="13.5" thickBot="1" x14ac:dyDescent="0.25">
      <c r="A25" s="9">
        <v>44796</v>
      </c>
      <c r="B25" s="32">
        <v>47469</v>
      </c>
      <c r="C25" s="14">
        <f t="shared" si="3"/>
        <v>320</v>
      </c>
      <c r="D25" s="32">
        <v>40900</v>
      </c>
      <c r="E25" s="14">
        <f t="shared" si="4"/>
        <v>480</v>
      </c>
      <c r="F25" s="32">
        <v>21989</v>
      </c>
      <c r="G25" s="14">
        <f t="shared" si="5"/>
        <v>100</v>
      </c>
      <c r="H25" s="32">
        <v>257830</v>
      </c>
      <c r="I25" s="14">
        <f t="shared" si="6"/>
        <v>10</v>
      </c>
      <c r="J25" s="32">
        <v>329347</v>
      </c>
      <c r="K25" s="14">
        <f t="shared" si="7"/>
        <v>175</v>
      </c>
      <c r="L25" s="32">
        <v>26424</v>
      </c>
      <c r="M25" s="14">
        <f t="shared" si="8"/>
        <v>240</v>
      </c>
      <c r="N25" s="32">
        <v>226301</v>
      </c>
      <c r="O25" s="14">
        <f t="shared" si="9"/>
        <v>0</v>
      </c>
      <c r="P25" s="32">
        <f t="shared" si="22"/>
        <v>166363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v>4040</v>
      </c>
      <c r="U25" s="14">
        <f t="shared" si="10"/>
        <v>160</v>
      </c>
      <c r="V25" t="s">
        <v>12</v>
      </c>
    </row>
    <row r="26" spans="1:23" ht="12.75" customHeight="1" thickBot="1" x14ac:dyDescent="0.25">
      <c r="A26" s="9">
        <v>44797</v>
      </c>
      <c r="B26" s="32">
        <v>47472</v>
      </c>
      <c r="C26" s="14">
        <f t="shared" si="3"/>
        <v>480</v>
      </c>
      <c r="D26" s="32">
        <v>40903</v>
      </c>
      <c r="E26" s="14">
        <f t="shared" si="4"/>
        <v>480</v>
      </c>
      <c r="F26" s="32">
        <v>21992</v>
      </c>
      <c r="G26" s="14">
        <f t="shared" si="5"/>
        <v>60</v>
      </c>
      <c r="H26" s="32">
        <v>257840</v>
      </c>
      <c r="I26" s="14">
        <f t="shared" si="6"/>
        <v>10</v>
      </c>
      <c r="J26" s="32">
        <v>329521</v>
      </c>
      <c r="K26" s="14">
        <f t="shared" si="7"/>
        <v>174</v>
      </c>
      <c r="L26" s="32">
        <v>26427</v>
      </c>
      <c r="M26" s="14">
        <f t="shared" si="8"/>
        <v>180</v>
      </c>
      <c r="N26" s="32">
        <v>226307</v>
      </c>
      <c r="O26" s="14">
        <f t="shared" si="9"/>
        <v>6</v>
      </c>
      <c r="P26" s="32">
        <v>166701</v>
      </c>
      <c r="Q26" s="14">
        <f t="shared" si="2"/>
        <v>338</v>
      </c>
      <c r="R26" s="1">
        <f t="shared" si="13"/>
        <v>55047</v>
      </c>
      <c r="S26" s="14">
        <f t="shared" si="11"/>
        <v>0</v>
      </c>
      <c r="T26" s="32">
        <v>4041</v>
      </c>
      <c r="U26" s="14">
        <f t="shared" si="10"/>
        <v>160</v>
      </c>
      <c r="W26" t="s">
        <v>12</v>
      </c>
    </row>
    <row r="27" spans="1:23" ht="13.5" thickBot="1" x14ac:dyDescent="0.25">
      <c r="A27" s="9">
        <v>44798</v>
      </c>
      <c r="B27" s="32">
        <v>47475</v>
      </c>
      <c r="C27" s="14">
        <f t="shared" si="3"/>
        <v>480</v>
      </c>
      <c r="D27" s="32">
        <v>40906</v>
      </c>
      <c r="E27" s="14">
        <f t="shared" si="4"/>
        <v>480</v>
      </c>
      <c r="F27" s="32">
        <v>21995</v>
      </c>
      <c r="G27" s="14">
        <f t="shared" si="5"/>
        <v>60</v>
      </c>
      <c r="H27" s="32">
        <v>257851</v>
      </c>
      <c r="I27" s="14">
        <f t="shared" si="6"/>
        <v>11</v>
      </c>
      <c r="J27" s="32">
        <v>329692</v>
      </c>
      <c r="K27" s="14">
        <f t="shared" si="7"/>
        <v>171</v>
      </c>
      <c r="L27" s="32">
        <v>26431</v>
      </c>
      <c r="M27" s="14">
        <f t="shared" si="8"/>
        <v>240</v>
      </c>
      <c r="N27" s="32">
        <v>226310</v>
      </c>
      <c r="O27" s="14">
        <f t="shared" si="9"/>
        <v>3</v>
      </c>
      <c r="P27" s="32">
        <v>166821</v>
      </c>
      <c r="Q27" s="14">
        <f t="shared" si="2"/>
        <v>120</v>
      </c>
      <c r="R27" s="1">
        <f t="shared" si="13"/>
        <v>55047</v>
      </c>
      <c r="S27" s="14">
        <f t="shared" si="11"/>
        <v>0</v>
      </c>
      <c r="T27" s="32">
        <v>4042</v>
      </c>
      <c r="U27" s="14">
        <f t="shared" si="10"/>
        <v>160</v>
      </c>
    </row>
    <row r="28" spans="1:23" ht="13.5" thickBot="1" x14ac:dyDescent="0.25">
      <c r="A28" s="9">
        <v>44799</v>
      </c>
      <c r="B28" s="32">
        <v>47487</v>
      </c>
      <c r="C28" s="14">
        <f t="shared" si="3"/>
        <v>1920</v>
      </c>
      <c r="D28" s="32">
        <v>40909</v>
      </c>
      <c r="E28" s="14">
        <f t="shared" si="4"/>
        <v>480</v>
      </c>
      <c r="F28" s="32">
        <v>22000</v>
      </c>
      <c r="G28" s="14">
        <f t="shared" si="5"/>
        <v>100</v>
      </c>
      <c r="H28" s="32">
        <v>257857</v>
      </c>
      <c r="I28" s="14">
        <f t="shared" si="6"/>
        <v>6</v>
      </c>
      <c r="J28" s="32">
        <v>329806</v>
      </c>
      <c r="K28" s="14">
        <f t="shared" si="7"/>
        <v>114</v>
      </c>
      <c r="L28" s="32">
        <v>26433</v>
      </c>
      <c r="M28" s="14">
        <f t="shared" si="8"/>
        <v>120</v>
      </c>
      <c r="N28" s="32">
        <v>226314</v>
      </c>
      <c r="O28" s="14">
        <f t="shared" si="9"/>
        <v>4</v>
      </c>
      <c r="P28" s="32">
        <f t="shared" si="22"/>
        <v>166821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v>4042</v>
      </c>
      <c r="U28" s="14">
        <f t="shared" si="10"/>
        <v>0</v>
      </c>
    </row>
    <row r="29" spans="1:23" ht="13.5" thickBot="1" x14ac:dyDescent="0.25">
      <c r="A29" s="9">
        <v>44800</v>
      </c>
      <c r="B29" s="32">
        <v>47491</v>
      </c>
      <c r="C29" s="14">
        <f t="shared" si="3"/>
        <v>640</v>
      </c>
      <c r="D29" s="32">
        <v>40912</v>
      </c>
      <c r="E29" s="14">
        <f t="shared" si="4"/>
        <v>480</v>
      </c>
      <c r="F29" s="32">
        <v>22003</v>
      </c>
      <c r="G29" s="14">
        <f t="shared" si="5"/>
        <v>60</v>
      </c>
      <c r="H29" s="32">
        <v>257878</v>
      </c>
      <c r="I29" s="14">
        <f t="shared" si="6"/>
        <v>21</v>
      </c>
      <c r="J29" s="32">
        <v>329941</v>
      </c>
      <c r="K29" s="14">
        <f t="shared" si="7"/>
        <v>135</v>
      </c>
      <c r="L29" s="32">
        <v>26435</v>
      </c>
      <c r="M29" s="14">
        <f t="shared" si="8"/>
        <v>120</v>
      </c>
      <c r="N29" s="32">
        <v>226317</v>
      </c>
      <c r="O29" s="14">
        <f t="shared" si="9"/>
        <v>3</v>
      </c>
      <c r="P29" s="32">
        <f t="shared" si="22"/>
        <v>166821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v>4043</v>
      </c>
      <c r="U29" s="14">
        <f t="shared" si="10"/>
        <v>160</v>
      </c>
    </row>
    <row r="30" spans="1:23" ht="13.5" thickBot="1" x14ac:dyDescent="0.25">
      <c r="A30" s="9">
        <v>44801</v>
      </c>
      <c r="B30" s="32">
        <v>47495</v>
      </c>
      <c r="C30" s="14">
        <f t="shared" si="3"/>
        <v>640</v>
      </c>
      <c r="D30" s="32">
        <v>40914</v>
      </c>
      <c r="E30" s="14">
        <f t="shared" si="4"/>
        <v>320</v>
      </c>
      <c r="F30" s="32">
        <v>22006</v>
      </c>
      <c r="G30" s="14">
        <f t="shared" si="5"/>
        <v>60</v>
      </c>
      <c r="H30" s="32">
        <v>257897</v>
      </c>
      <c r="I30" s="14">
        <f t="shared" si="6"/>
        <v>19</v>
      </c>
      <c r="J30" s="32">
        <v>330094</v>
      </c>
      <c r="K30" s="14">
        <f t="shared" si="7"/>
        <v>153</v>
      </c>
      <c r="L30" s="32">
        <v>26438</v>
      </c>
      <c r="M30" s="14">
        <f t="shared" si="8"/>
        <v>180</v>
      </c>
      <c r="N30" s="32">
        <v>226320</v>
      </c>
      <c r="O30" s="14">
        <f t="shared" si="9"/>
        <v>3</v>
      </c>
      <c r="P30" s="32">
        <f t="shared" si="22"/>
        <v>166821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v>4043</v>
      </c>
      <c r="U30" s="14">
        <f t="shared" si="10"/>
        <v>0</v>
      </c>
    </row>
    <row r="31" spans="1:23" ht="13.5" thickBot="1" x14ac:dyDescent="0.25">
      <c r="A31" s="9">
        <v>44802</v>
      </c>
      <c r="B31" s="32">
        <v>47500</v>
      </c>
      <c r="C31" s="14">
        <f t="shared" si="3"/>
        <v>800</v>
      </c>
      <c r="D31" s="32">
        <v>40918</v>
      </c>
      <c r="E31" s="14">
        <f t="shared" si="4"/>
        <v>640</v>
      </c>
      <c r="F31" s="32">
        <v>22011</v>
      </c>
      <c r="G31" s="14">
        <f t="shared" si="5"/>
        <v>100</v>
      </c>
      <c r="H31" s="32">
        <v>257912</v>
      </c>
      <c r="I31" s="14">
        <f t="shared" si="6"/>
        <v>15</v>
      </c>
      <c r="J31" s="32">
        <v>330262</v>
      </c>
      <c r="K31" s="14">
        <f t="shared" si="7"/>
        <v>168</v>
      </c>
      <c r="L31" s="32">
        <v>26442</v>
      </c>
      <c r="M31" s="14">
        <f t="shared" si="8"/>
        <v>240</v>
      </c>
      <c r="N31" s="32">
        <v>226323</v>
      </c>
      <c r="O31" s="14">
        <f t="shared" si="9"/>
        <v>3</v>
      </c>
      <c r="P31" s="32">
        <v>167475</v>
      </c>
      <c r="Q31" s="14">
        <f t="shared" si="2"/>
        <v>654</v>
      </c>
      <c r="R31" s="1">
        <v>55047</v>
      </c>
      <c r="S31" s="14">
        <v>0</v>
      </c>
      <c r="T31" s="32">
        <v>4044</v>
      </c>
      <c r="U31" s="14">
        <f t="shared" si="10"/>
        <v>160</v>
      </c>
    </row>
    <row r="32" spans="1:23" ht="13.5" thickBot="1" x14ac:dyDescent="0.25">
      <c r="A32" s="9">
        <v>44803</v>
      </c>
      <c r="B32" s="32">
        <v>47504</v>
      </c>
      <c r="C32" s="14">
        <f t="shared" si="3"/>
        <v>640</v>
      </c>
      <c r="D32" s="32">
        <v>40921</v>
      </c>
      <c r="E32" s="14">
        <f t="shared" si="4"/>
        <v>480</v>
      </c>
      <c r="F32" s="32">
        <v>22014</v>
      </c>
      <c r="G32" s="14">
        <f t="shared" si="5"/>
        <v>60</v>
      </c>
      <c r="H32" s="32">
        <v>257927</v>
      </c>
      <c r="I32" s="14">
        <f t="shared" si="6"/>
        <v>15</v>
      </c>
      <c r="J32" s="32">
        <v>330432</v>
      </c>
      <c r="K32" s="14">
        <f t="shared" si="7"/>
        <v>170</v>
      </c>
      <c r="L32" s="32">
        <v>26446</v>
      </c>
      <c r="M32" s="14">
        <f t="shared" si="8"/>
        <v>240</v>
      </c>
      <c r="N32" s="32">
        <v>226326</v>
      </c>
      <c r="O32" s="14">
        <f t="shared" si="9"/>
        <v>3</v>
      </c>
      <c r="P32" s="32">
        <v>167475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v>4045</v>
      </c>
      <c r="U32" s="14">
        <f t="shared" si="10"/>
        <v>160</v>
      </c>
    </row>
    <row r="33" spans="1:21" ht="13.5" thickBot="1" x14ac:dyDescent="0.25">
      <c r="A33" s="9">
        <v>44804</v>
      </c>
      <c r="B33" s="32">
        <v>47509</v>
      </c>
      <c r="C33" s="14">
        <f t="shared" si="3"/>
        <v>800</v>
      </c>
      <c r="D33" s="32">
        <v>40924</v>
      </c>
      <c r="E33" s="14">
        <f t="shared" si="4"/>
        <v>480</v>
      </c>
      <c r="F33" s="32">
        <v>22019</v>
      </c>
      <c r="G33" s="14">
        <f t="shared" si="5"/>
        <v>100</v>
      </c>
      <c r="H33" s="32">
        <v>257970</v>
      </c>
      <c r="I33" s="14">
        <f t="shared" si="6"/>
        <v>43</v>
      </c>
      <c r="J33" s="32">
        <v>330607</v>
      </c>
      <c r="K33" s="14">
        <f t="shared" si="7"/>
        <v>175</v>
      </c>
      <c r="L33" s="32">
        <v>26449</v>
      </c>
      <c r="M33" s="14">
        <f t="shared" si="8"/>
        <v>180</v>
      </c>
      <c r="N33" s="32">
        <v>226330</v>
      </c>
      <c r="O33" s="14">
        <f t="shared" si="9"/>
        <v>4</v>
      </c>
      <c r="P33" s="32">
        <v>167701</v>
      </c>
      <c r="Q33" s="14">
        <f t="shared" si="2"/>
        <v>226</v>
      </c>
      <c r="R33" s="1">
        <f t="shared" si="13"/>
        <v>55047</v>
      </c>
      <c r="S33" s="14">
        <f>SUM(S3:S32)</f>
        <v>0</v>
      </c>
      <c r="T33" s="32">
        <v>4046</v>
      </c>
      <c r="U33" s="14">
        <f t="shared" si="10"/>
        <v>160</v>
      </c>
    </row>
    <row r="34" spans="1:21" ht="13.5" thickBot="1" x14ac:dyDescent="0.25">
      <c r="A34" s="14" t="s">
        <v>23</v>
      </c>
      <c r="B34" s="14"/>
      <c r="C34" s="14">
        <f>SUM(C3:C33)</f>
        <v>22240</v>
      </c>
      <c r="D34" s="14"/>
      <c r="E34" s="14">
        <f>SUM(E3:E33)</f>
        <v>14720</v>
      </c>
      <c r="F34" s="14"/>
      <c r="G34" s="14">
        <f>SUM(G3:G33)</f>
        <v>2340</v>
      </c>
      <c r="H34" s="14"/>
      <c r="I34" s="14">
        <f>SUM(I3:I33)</f>
        <v>934</v>
      </c>
      <c r="J34" s="14"/>
      <c r="K34" s="14">
        <f>SUM(K3:K33)</f>
        <v>4892</v>
      </c>
      <c r="L34" s="14"/>
      <c r="M34" s="14">
        <f>SUM(M3:M33)</f>
        <v>5700</v>
      </c>
      <c r="N34" s="14"/>
      <c r="O34" s="14">
        <f>SUM(O3:O33)</f>
        <v>100</v>
      </c>
      <c r="P34" s="14"/>
      <c r="Q34" s="14">
        <f>SUM(Q3:Q33)</f>
        <v>5090</v>
      </c>
      <c r="R34" s="14"/>
      <c r="S34" s="14">
        <f>SUM(S3:S33)</f>
        <v>0</v>
      </c>
      <c r="T34" s="14"/>
      <c r="U34" s="14">
        <f>SUM(U3:U33)</f>
        <v>2720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33" sqref="A33:XFD3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65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65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65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65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65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65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>
        <v>185</v>
      </c>
      <c r="C9" s="144">
        <v>19958</v>
      </c>
      <c r="D9" s="38">
        <f t="shared" si="4"/>
        <v>640</v>
      </c>
      <c r="E9" s="145">
        <v>32617775</v>
      </c>
      <c r="F9" s="38">
        <f t="shared" si="5"/>
        <v>26520</v>
      </c>
      <c r="G9" s="146">
        <v>3319471</v>
      </c>
      <c r="H9" s="38">
        <f t="shared" si="6"/>
        <v>60112</v>
      </c>
      <c r="I9" s="147">
        <f t="shared" si="7"/>
        <v>86632</v>
      </c>
      <c r="J9" s="145">
        <v>284702</v>
      </c>
      <c r="K9" s="38">
        <f t="shared" si="15"/>
        <v>11822</v>
      </c>
      <c r="L9" s="148">
        <v>544460</v>
      </c>
      <c r="M9" s="38">
        <f t="shared" si="8"/>
        <v>7208</v>
      </c>
      <c r="N9" s="145">
        <v>7175764</v>
      </c>
      <c r="O9" s="38">
        <f t="shared" si="16"/>
        <v>19084</v>
      </c>
      <c r="P9" s="148">
        <v>7565534</v>
      </c>
      <c r="Q9" s="38">
        <f t="shared" si="9"/>
        <v>15008</v>
      </c>
      <c r="R9" s="145">
        <v>21945860</v>
      </c>
      <c r="S9" s="38">
        <f t="shared" si="10"/>
        <v>11496</v>
      </c>
      <c r="T9" s="145">
        <v>0</v>
      </c>
      <c r="U9" s="149"/>
      <c r="V9" s="145">
        <v>9951809</v>
      </c>
      <c r="W9" s="38">
        <f t="shared" si="11"/>
        <v>13225</v>
      </c>
      <c r="X9" s="19">
        <f t="shared" si="12"/>
        <v>77843</v>
      </c>
      <c r="Y9" s="165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5" thickBot="1" x14ac:dyDescent="0.3">
      <c r="A10" s="9">
        <v>44781</v>
      </c>
      <c r="B10" s="38">
        <v>245</v>
      </c>
      <c r="C10" s="144">
        <v>19963</v>
      </c>
      <c r="D10" s="38">
        <f>IF((C10-C9)&lt;0,"0",(C10-C9))*160</f>
        <v>800</v>
      </c>
      <c r="E10" s="145">
        <v>32644982</v>
      </c>
      <c r="F10" s="38">
        <f t="shared" si="5"/>
        <v>27207</v>
      </c>
      <c r="G10" s="146">
        <v>3382350</v>
      </c>
      <c r="H10" s="38">
        <f t="shared" si="6"/>
        <v>62879</v>
      </c>
      <c r="I10" s="147">
        <f t="shared" si="7"/>
        <v>90086</v>
      </c>
      <c r="J10" s="145">
        <v>291069</v>
      </c>
      <c r="K10" s="38">
        <f t="shared" si="15"/>
        <v>12734</v>
      </c>
      <c r="L10" s="148">
        <v>551790</v>
      </c>
      <c r="M10" s="38">
        <f t="shared" si="8"/>
        <v>7330</v>
      </c>
      <c r="N10" s="145">
        <v>7185599</v>
      </c>
      <c r="O10" s="38">
        <f t="shared" si="16"/>
        <v>19670</v>
      </c>
      <c r="P10" s="148">
        <v>7581065</v>
      </c>
      <c r="Q10" s="38">
        <f t="shared" si="9"/>
        <v>15531</v>
      </c>
      <c r="R10" s="145">
        <v>21957925</v>
      </c>
      <c r="S10" s="38">
        <f t="shared" si="10"/>
        <v>12065</v>
      </c>
      <c r="T10" s="145">
        <v>0</v>
      </c>
      <c r="U10" s="149"/>
      <c r="V10" s="145">
        <v>9965588</v>
      </c>
      <c r="W10" s="38">
        <f t="shared" si="11"/>
        <v>13779</v>
      </c>
      <c r="X10" s="19">
        <f t="shared" si="12"/>
        <v>81109</v>
      </c>
      <c r="Y10" s="165">
        <f t="shared" si="13"/>
        <v>8977</v>
      </c>
      <c r="Z10" s="3">
        <f t="shared" si="14"/>
        <v>11368.7099968</v>
      </c>
      <c r="AA10" s="3">
        <f>SUM(Z1:Z10)</f>
        <v>82314.050831999994</v>
      </c>
    </row>
    <row r="11" spans="1:27" ht="15.75" customHeight="1" thickBot="1" x14ac:dyDescent="0.3">
      <c r="A11" s="9">
        <v>44782</v>
      </c>
      <c r="B11" s="38">
        <v>203</v>
      </c>
      <c r="C11" s="144">
        <v>19967</v>
      </c>
      <c r="D11" s="38">
        <f>IF((C11-C10)&lt;0,"0",(C11-C10))*160</f>
        <v>640</v>
      </c>
      <c r="E11" s="145">
        <v>32666930</v>
      </c>
      <c r="F11" s="38">
        <f t="shared" si="5"/>
        <v>21948</v>
      </c>
      <c r="G11" s="146">
        <v>3431124</v>
      </c>
      <c r="H11" s="38">
        <f t="shared" si="6"/>
        <v>48774</v>
      </c>
      <c r="I11" s="147">
        <f t="shared" si="7"/>
        <v>70722</v>
      </c>
      <c r="J11" s="145">
        <v>296210</v>
      </c>
      <c r="K11" s="38">
        <f t="shared" si="15"/>
        <v>10282</v>
      </c>
      <c r="L11" s="148">
        <v>557662</v>
      </c>
      <c r="M11" s="38">
        <f t="shared" si="8"/>
        <v>5872</v>
      </c>
      <c r="N11" s="145">
        <v>7193534</v>
      </c>
      <c r="O11" s="38">
        <f t="shared" si="16"/>
        <v>15870</v>
      </c>
      <c r="P11" s="148">
        <v>7593564</v>
      </c>
      <c r="Q11" s="38">
        <f t="shared" si="9"/>
        <v>12499</v>
      </c>
      <c r="R11" s="145">
        <v>21967431</v>
      </c>
      <c r="S11" s="38">
        <f t="shared" si="10"/>
        <v>9506</v>
      </c>
      <c r="T11" s="145">
        <v>0</v>
      </c>
      <c r="U11" s="149"/>
      <c r="V11" s="145">
        <v>9975887</v>
      </c>
      <c r="W11" s="38">
        <f t="shared" si="11"/>
        <v>10299</v>
      </c>
      <c r="X11" s="19">
        <f t="shared" si="12"/>
        <v>64328</v>
      </c>
      <c r="Y11" s="165">
        <f t="shared" si="13"/>
        <v>6394</v>
      </c>
      <c r="Z11" s="3">
        <f t="shared" si="14"/>
        <v>8913.8979280000003</v>
      </c>
      <c r="AA11" s="3">
        <f>SUM(Z1:Z11)</f>
        <v>91227.948759999999</v>
      </c>
    </row>
    <row r="12" spans="1:27" ht="16.5" thickBot="1" x14ac:dyDescent="0.3">
      <c r="A12" s="9">
        <v>44783</v>
      </c>
      <c r="B12" s="38">
        <v>234</v>
      </c>
      <c r="C12" s="144">
        <v>19972</v>
      </c>
      <c r="D12" s="38">
        <f>IF((C12-C11)&lt;0,"0",(C12-C11))*160</f>
        <v>800</v>
      </c>
      <c r="E12" s="145">
        <v>32688526</v>
      </c>
      <c r="F12" s="38">
        <f t="shared" si="5"/>
        <v>21596</v>
      </c>
      <c r="G12" s="146">
        <v>3479153</v>
      </c>
      <c r="H12" s="38">
        <f t="shared" si="6"/>
        <v>48029</v>
      </c>
      <c r="I12" s="147">
        <f t="shared" si="7"/>
        <v>69625</v>
      </c>
      <c r="J12" s="145">
        <v>301254</v>
      </c>
      <c r="K12" s="38">
        <f t="shared" si="15"/>
        <v>10088</v>
      </c>
      <c r="L12" s="148">
        <v>563233</v>
      </c>
      <c r="M12" s="38">
        <f t="shared" si="8"/>
        <v>5571</v>
      </c>
      <c r="N12" s="145">
        <v>7201458</v>
      </c>
      <c r="O12" s="38">
        <f t="shared" si="16"/>
        <v>15848</v>
      </c>
      <c r="P12" s="148">
        <v>7605914</v>
      </c>
      <c r="Q12" s="38">
        <f t="shared" si="9"/>
        <v>12350</v>
      </c>
      <c r="R12" s="145">
        <v>21976700</v>
      </c>
      <c r="S12" s="38">
        <f t="shared" si="10"/>
        <v>9269</v>
      </c>
      <c r="T12" s="145">
        <v>0</v>
      </c>
      <c r="U12" s="149"/>
      <c r="V12" s="145">
        <v>9986072</v>
      </c>
      <c r="W12" s="38">
        <f t="shared" si="11"/>
        <v>10185</v>
      </c>
      <c r="X12" s="19">
        <f t="shared" si="12"/>
        <v>63311</v>
      </c>
      <c r="Y12" s="165">
        <f t="shared" si="13"/>
        <v>6314</v>
      </c>
      <c r="Z12" s="3">
        <f t="shared" si="14"/>
        <v>8803.9495648000011</v>
      </c>
      <c r="AA12" s="3">
        <f>SUM(Z1:Z12)</f>
        <v>100031.8983248</v>
      </c>
    </row>
    <row r="13" spans="1:27" ht="16.5" thickBot="1" x14ac:dyDescent="0.3">
      <c r="A13" s="9">
        <v>44784</v>
      </c>
      <c r="B13" s="38">
        <v>222</v>
      </c>
      <c r="C13" s="144">
        <v>19975</v>
      </c>
      <c r="D13" s="38">
        <f t="shared" ref="D13" si="17">IF((C13-C12)&lt;0,"0",(C13-C12))*160</f>
        <v>480</v>
      </c>
      <c r="E13" s="145">
        <v>32720933</v>
      </c>
      <c r="F13" s="38">
        <f t="shared" ref="F13" si="18">IF((E13-E12)&lt;0,"0",(E13-E12))</f>
        <v>32407</v>
      </c>
      <c r="G13" s="146">
        <v>3553013</v>
      </c>
      <c r="H13" s="38">
        <f t="shared" si="6"/>
        <v>73860</v>
      </c>
      <c r="I13" s="147">
        <f t="shared" ref="I13" si="19">F13+H13</f>
        <v>106267</v>
      </c>
      <c r="J13" s="145">
        <v>308732</v>
      </c>
      <c r="K13" s="38">
        <f t="shared" ref="K13" si="20">(IF((J13-J12)&lt;0,"0",(J13-J12)))*2</f>
        <v>14956</v>
      </c>
      <c r="L13" s="148">
        <v>571420</v>
      </c>
      <c r="M13" s="38">
        <f t="shared" ref="M13" si="21">IF((L13-L12)&lt;0,"0",(L13-L12))</f>
        <v>8187</v>
      </c>
      <c r="N13" s="145">
        <v>7213439</v>
      </c>
      <c r="O13" s="38">
        <f t="shared" ref="O13" si="22">(IF((N13-N12)&lt;0,"0",(N13-N12)))*2</f>
        <v>23962</v>
      </c>
      <c r="P13" s="148">
        <v>7624888</v>
      </c>
      <c r="Q13" s="38">
        <f t="shared" ref="Q13" si="23">IF((P13-P12)&lt;0,"0",(P13-P12))</f>
        <v>18974</v>
      </c>
      <c r="R13" s="145">
        <v>21991456</v>
      </c>
      <c r="S13" s="38">
        <f t="shared" ref="S13" si="24">IF((R13-R12)&lt;0,"0",(R13-R12))</f>
        <v>14756</v>
      </c>
      <c r="T13" s="145">
        <v>0</v>
      </c>
      <c r="U13" s="149"/>
      <c r="V13" s="145">
        <v>1633</v>
      </c>
      <c r="W13" s="38">
        <f>(V13-V12)+9999999</f>
        <v>15560</v>
      </c>
      <c r="X13" s="19">
        <f t="shared" ref="X13" si="25">K13+M13+O13+Q13+S13+U13+W13</f>
        <v>96395</v>
      </c>
      <c r="Y13" s="165">
        <f t="shared" si="13"/>
        <v>9872</v>
      </c>
      <c r="Z13" s="3">
        <f t="shared" ref="Z13" si="26">(0.93352*(W13+S13)+0.5568*(Q13+O13))*0.26</f>
        <v>13573.912851200001</v>
      </c>
      <c r="AA13" s="3">
        <f>SUM(Z1:Z13)</f>
        <v>113605.811176</v>
      </c>
    </row>
    <row r="14" spans="1:27" ht="16.5" thickBot="1" x14ac:dyDescent="0.3">
      <c r="A14" s="9">
        <v>44785</v>
      </c>
      <c r="B14" s="38">
        <v>245</v>
      </c>
      <c r="C14" s="144">
        <v>19979</v>
      </c>
      <c r="D14" s="38">
        <f t="shared" si="4"/>
        <v>640</v>
      </c>
      <c r="E14" s="145">
        <v>32742078</v>
      </c>
      <c r="F14" s="38">
        <f t="shared" si="5"/>
        <v>21145</v>
      </c>
      <c r="G14" s="146">
        <v>3601925</v>
      </c>
      <c r="H14" s="38">
        <f t="shared" si="6"/>
        <v>48912</v>
      </c>
      <c r="I14" s="147">
        <f t="shared" si="7"/>
        <v>70057</v>
      </c>
      <c r="J14" s="145">
        <v>313421</v>
      </c>
      <c r="K14" s="38">
        <f t="shared" si="15"/>
        <v>9378</v>
      </c>
      <c r="L14" s="148">
        <v>576870</v>
      </c>
      <c r="M14" s="38">
        <f t="shared" si="8"/>
        <v>5450</v>
      </c>
      <c r="N14" s="145">
        <v>7221182</v>
      </c>
      <c r="O14" s="38">
        <f t="shared" si="16"/>
        <v>15486</v>
      </c>
      <c r="P14" s="148">
        <v>7637187</v>
      </c>
      <c r="Q14" s="38">
        <f t="shared" si="9"/>
        <v>12299</v>
      </c>
      <c r="R14" s="145">
        <v>22001403</v>
      </c>
      <c r="S14" s="38">
        <f>IF((R14-R13)&lt;0,"0",(R14-R13))</f>
        <v>9947</v>
      </c>
      <c r="T14" s="145">
        <v>0</v>
      </c>
      <c r="U14" s="149"/>
      <c r="V14" s="145">
        <v>12142</v>
      </c>
      <c r="W14" s="38">
        <f t="shared" si="11"/>
        <v>10509</v>
      </c>
      <c r="X14" s="19">
        <f t="shared" si="12"/>
        <v>63069</v>
      </c>
      <c r="Y14" s="165">
        <f t="shared" si="13"/>
        <v>6988</v>
      </c>
      <c r="Z14" s="3">
        <f t="shared" si="14"/>
        <v>8987.3610112000006</v>
      </c>
      <c r="AA14" s="3">
        <f>SUM(Z1:Z14)</f>
        <v>122593.17218720001</v>
      </c>
    </row>
    <row r="15" spans="1:27" ht="16.5" thickBot="1" x14ac:dyDescent="0.3">
      <c r="A15" s="9">
        <v>44786</v>
      </c>
      <c r="B15" s="38">
        <v>218</v>
      </c>
      <c r="C15" s="144">
        <v>19983</v>
      </c>
      <c r="D15" s="38">
        <f t="shared" si="4"/>
        <v>640</v>
      </c>
      <c r="E15" s="145">
        <v>32765318</v>
      </c>
      <c r="F15" s="38">
        <f t="shared" si="5"/>
        <v>23240</v>
      </c>
      <c r="G15" s="146">
        <v>3656613</v>
      </c>
      <c r="H15" s="38">
        <f t="shared" si="6"/>
        <v>54688</v>
      </c>
      <c r="I15" s="147">
        <f t="shared" si="7"/>
        <v>77928</v>
      </c>
      <c r="J15" s="145">
        <v>318801</v>
      </c>
      <c r="K15" s="38">
        <f t="shared" si="15"/>
        <v>10760</v>
      </c>
      <c r="L15" s="148">
        <v>582814</v>
      </c>
      <c r="M15" s="38">
        <f t="shared" si="8"/>
        <v>5944</v>
      </c>
      <c r="N15" s="145">
        <v>7229734</v>
      </c>
      <c r="O15" s="38">
        <f t="shared" si="16"/>
        <v>17104</v>
      </c>
      <c r="P15" s="148">
        <v>7650749</v>
      </c>
      <c r="Q15" s="38">
        <f t="shared" si="9"/>
        <v>13562</v>
      </c>
      <c r="R15" s="145">
        <v>22014617</v>
      </c>
      <c r="S15" s="38">
        <f>IF((R15-R14)&lt;0,"0",(R15-R14))</f>
        <v>13214</v>
      </c>
      <c r="T15" s="145">
        <v>0</v>
      </c>
      <c r="U15" s="149"/>
      <c r="V15" s="145">
        <v>23826</v>
      </c>
      <c r="W15" s="38">
        <f t="shared" si="11"/>
        <v>11684</v>
      </c>
      <c r="X15" s="19">
        <f t="shared" si="12"/>
        <v>72268</v>
      </c>
      <c r="Y15" s="165">
        <f t="shared" si="13"/>
        <v>5660</v>
      </c>
      <c r="Z15" s="3">
        <f t="shared" si="14"/>
        <v>10482.5785376</v>
      </c>
      <c r="AA15" s="3">
        <f>SUM(Z1:Z15)</f>
        <v>133075.75072480002</v>
      </c>
    </row>
    <row r="16" spans="1:27" ht="16.5" thickBot="1" x14ac:dyDescent="0.3">
      <c r="A16" s="9">
        <v>44787</v>
      </c>
      <c r="B16" s="38">
        <v>224</v>
      </c>
      <c r="C16" s="144">
        <v>19987</v>
      </c>
      <c r="D16" s="38">
        <f t="shared" si="4"/>
        <v>640</v>
      </c>
      <c r="E16" s="145">
        <v>32788519</v>
      </c>
      <c r="F16" s="38">
        <f t="shared" si="5"/>
        <v>23201</v>
      </c>
      <c r="G16" s="146">
        <v>3709452</v>
      </c>
      <c r="H16" s="38">
        <f t="shared" si="6"/>
        <v>52839</v>
      </c>
      <c r="I16" s="147">
        <f t="shared" si="7"/>
        <v>76040</v>
      </c>
      <c r="J16" s="145">
        <v>324286</v>
      </c>
      <c r="K16" s="38">
        <f t="shared" si="15"/>
        <v>10970</v>
      </c>
      <c r="L16" s="148">
        <v>588852</v>
      </c>
      <c r="M16" s="38">
        <f t="shared" si="8"/>
        <v>6038</v>
      </c>
      <c r="N16" s="145">
        <v>7238217</v>
      </c>
      <c r="O16" s="38">
        <f t="shared" si="16"/>
        <v>16966</v>
      </c>
      <c r="P16" s="148">
        <v>7664316</v>
      </c>
      <c r="Q16" s="38">
        <f t="shared" si="9"/>
        <v>13567</v>
      </c>
      <c r="R16" s="145">
        <v>22022034</v>
      </c>
      <c r="S16" s="38">
        <f t="shared" si="10"/>
        <v>7417</v>
      </c>
      <c r="T16" s="145">
        <v>0</v>
      </c>
      <c r="U16" s="149"/>
      <c r="V16" s="145">
        <v>34920</v>
      </c>
      <c r="W16" s="38">
        <f t="shared" si="11"/>
        <v>11094</v>
      </c>
      <c r="X16" s="19">
        <f t="shared" si="12"/>
        <v>66052</v>
      </c>
      <c r="Y16" s="165">
        <f t="shared" si="13"/>
        <v>9988</v>
      </c>
      <c r="Z16" s="3">
        <f t="shared" si="14"/>
        <v>8913.1024111999996</v>
      </c>
      <c r="AA16" s="3">
        <f>SUM(Z1:Z16)</f>
        <v>141988.85313600002</v>
      </c>
    </row>
    <row r="17" spans="1:27" s="130" customFormat="1" ht="16.5" thickBot="1" x14ac:dyDescent="0.3">
      <c r="A17" s="9">
        <v>44788</v>
      </c>
      <c r="B17" s="38">
        <v>223</v>
      </c>
      <c r="C17" s="144">
        <v>19992</v>
      </c>
      <c r="D17" s="38">
        <f t="shared" si="4"/>
        <v>800</v>
      </c>
      <c r="E17" s="145">
        <v>32818535</v>
      </c>
      <c r="F17" s="38">
        <f t="shared" si="5"/>
        <v>30016</v>
      </c>
      <c r="G17" s="146">
        <v>3775700</v>
      </c>
      <c r="H17" s="38">
        <f t="shared" si="6"/>
        <v>66248</v>
      </c>
      <c r="I17" s="150">
        <f t="shared" si="7"/>
        <v>96264</v>
      </c>
      <c r="J17" s="145">
        <v>331269</v>
      </c>
      <c r="K17" s="129">
        <f t="shared" si="15"/>
        <v>13966</v>
      </c>
      <c r="L17" s="148">
        <v>597119</v>
      </c>
      <c r="M17" s="129">
        <f t="shared" si="8"/>
        <v>8267</v>
      </c>
      <c r="N17" s="145">
        <v>7248972</v>
      </c>
      <c r="O17" s="129">
        <f t="shared" si="16"/>
        <v>21510</v>
      </c>
      <c r="P17" s="148">
        <v>7681491</v>
      </c>
      <c r="Q17" s="129">
        <f t="shared" si="9"/>
        <v>17175</v>
      </c>
      <c r="R17" s="145">
        <v>22035856</v>
      </c>
      <c r="S17" s="129">
        <f t="shared" si="10"/>
        <v>13822</v>
      </c>
      <c r="T17" s="151">
        <v>0</v>
      </c>
      <c r="U17" s="149"/>
      <c r="V17" s="145">
        <v>48859</v>
      </c>
      <c r="W17" s="129">
        <f t="shared" si="11"/>
        <v>13939</v>
      </c>
      <c r="X17" s="19">
        <f t="shared" si="12"/>
        <v>88679</v>
      </c>
      <c r="Y17" s="151">
        <f t="shared" si="13"/>
        <v>7585</v>
      </c>
      <c r="Z17" s="152">
        <f t="shared" si="14"/>
        <v>12338.3667472</v>
      </c>
      <c r="AA17" s="3">
        <f>SUM(Z1:Z17)</f>
        <v>154327.21988320001</v>
      </c>
    </row>
    <row r="18" spans="1:27" s="130" customFormat="1" ht="16.5" thickBot="1" x14ac:dyDescent="0.3">
      <c r="A18" s="9">
        <v>44789</v>
      </c>
      <c r="B18" s="38">
        <v>107</v>
      </c>
      <c r="C18" s="144">
        <v>19997</v>
      </c>
      <c r="D18" s="38">
        <f t="shared" si="4"/>
        <v>800</v>
      </c>
      <c r="E18" s="145">
        <v>32838116</v>
      </c>
      <c r="F18" s="38">
        <f t="shared" si="5"/>
        <v>19581</v>
      </c>
      <c r="G18" s="146">
        <v>3821509</v>
      </c>
      <c r="H18" s="38">
        <f t="shared" si="6"/>
        <v>45809</v>
      </c>
      <c r="I18" s="150">
        <f t="shared" si="7"/>
        <v>65390</v>
      </c>
      <c r="J18" s="145">
        <v>336244</v>
      </c>
      <c r="K18" s="129">
        <f t="shared" si="15"/>
        <v>9950</v>
      </c>
      <c r="L18" s="148">
        <v>602920</v>
      </c>
      <c r="M18" s="129">
        <f t="shared" si="8"/>
        <v>5801</v>
      </c>
      <c r="N18" s="145">
        <v>7255764</v>
      </c>
      <c r="O18" s="129">
        <f t="shared" si="16"/>
        <v>13584</v>
      </c>
      <c r="P18" s="148">
        <v>7693545</v>
      </c>
      <c r="Q18" s="129">
        <f t="shared" si="9"/>
        <v>12054</v>
      </c>
      <c r="R18" s="145">
        <v>22044846</v>
      </c>
      <c r="S18" s="129">
        <f t="shared" si="10"/>
        <v>8990</v>
      </c>
      <c r="T18" s="151">
        <v>0</v>
      </c>
      <c r="U18" s="149"/>
      <c r="V18" s="145">
        <v>58258</v>
      </c>
      <c r="W18" s="129">
        <f t="shared" si="11"/>
        <v>9399</v>
      </c>
      <c r="X18" s="19">
        <f t="shared" si="12"/>
        <v>59778</v>
      </c>
      <c r="Y18" s="151">
        <f t="shared" si="13"/>
        <v>5612</v>
      </c>
      <c r="Z18" s="152">
        <f t="shared" si="14"/>
        <v>8174.8517967999996</v>
      </c>
      <c r="AA18" s="3">
        <f>SUM(Z1:Z18)</f>
        <v>162502.07168000002</v>
      </c>
    </row>
    <row r="19" spans="1:27" s="130" customFormat="1" ht="16.5" thickBot="1" x14ac:dyDescent="0.3">
      <c r="A19" s="9">
        <v>44790</v>
      </c>
      <c r="B19" s="38">
        <v>150</v>
      </c>
      <c r="C19" s="144">
        <v>20001</v>
      </c>
      <c r="D19" s="38">
        <f t="shared" si="4"/>
        <v>640</v>
      </c>
      <c r="E19" s="145">
        <v>32866411</v>
      </c>
      <c r="F19" s="38">
        <f t="shared" si="5"/>
        <v>28295</v>
      </c>
      <c r="G19" s="146">
        <v>3884530</v>
      </c>
      <c r="H19" s="38">
        <f t="shared" si="6"/>
        <v>63021</v>
      </c>
      <c r="I19" s="150">
        <f t="shared" si="7"/>
        <v>91316</v>
      </c>
      <c r="J19" s="145">
        <v>342982</v>
      </c>
      <c r="K19" s="129">
        <f t="shared" si="15"/>
        <v>13476</v>
      </c>
      <c r="L19" s="148">
        <v>610869</v>
      </c>
      <c r="M19" s="129">
        <f t="shared" si="8"/>
        <v>7949</v>
      </c>
      <c r="N19" s="145">
        <v>7265827</v>
      </c>
      <c r="O19" s="129">
        <f t="shared" si="16"/>
        <v>20126</v>
      </c>
      <c r="P19" s="148">
        <v>7709448</v>
      </c>
      <c r="Q19" s="129">
        <f t="shared" si="9"/>
        <v>15903</v>
      </c>
      <c r="R19" s="145">
        <v>22057106</v>
      </c>
      <c r="S19" s="129">
        <f t="shared" si="10"/>
        <v>12260</v>
      </c>
      <c r="T19" s="151">
        <v>0</v>
      </c>
      <c r="U19" s="149"/>
      <c r="V19" s="145">
        <v>71657</v>
      </c>
      <c r="W19" s="129">
        <f t="shared" si="11"/>
        <v>13399</v>
      </c>
      <c r="X19" s="19">
        <f t="shared" si="12"/>
        <v>83113</v>
      </c>
      <c r="Y19" s="151">
        <f t="shared" si="13"/>
        <v>8203</v>
      </c>
      <c r="Z19" s="152">
        <f t="shared" si="14"/>
        <v>11443.675588800001</v>
      </c>
      <c r="AA19" s="3">
        <f>SUM(Z1:Z19)</f>
        <v>173945.74726880001</v>
      </c>
    </row>
    <row r="20" spans="1:27" s="130" customFormat="1" ht="16.5" thickBot="1" x14ac:dyDescent="0.3">
      <c r="A20" s="9">
        <v>44791</v>
      </c>
      <c r="B20" s="38">
        <v>155</v>
      </c>
      <c r="C20" s="144">
        <v>20006</v>
      </c>
      <c r="D20" s="38">
        <f t="shared" si="4"/>
        <v>800</v>
      </c>
      <c r="E20" s="145">
        <v>32887125</v>
      </c>
      <c r="F20" s="38">
        <f t="shared" si="5"/>
        <v>20714</v>
      </c>
      <c r="G20" s="146">
        <v>3931174</v>
      </c>
      <c r="H20" s="38">
        <f t="shared" si="6"/>
        <v>46644</v>
      </c>
      <c r="I20" s="150">
        <f t="shared" si="7"/>
        <v>67358</v>
      </c>
      <c r="J20" s="145">
        <v>347842</v>
      </c>
      <c r="K20" s="129">
        <f t="shared" si="15"/>
        <v>9720</v>
      </c>
      <c r="L20" s="148">
        <v>616589</v>
      </c>
      <c r="M20" s="129">
        <f t="shared" si="8"/>
        <v>5720</v>
      </c>
      <c r="N20" s="145">
        <v>7273222</v>
      </c>
      <c r="O20" s="129">
        <f t="shared" si="16"/>
        <v>14790</v>
      </c>
      <c r="P20" s="148">
        <v>7721269</v>
      </c>
      <c r="Q20" s="129">
        <f t="shared" si="9"/>
        <v>11821</v>
      </c>
      <c r="R20" s="145">
        <v>22066176</v>
      </c>
      <c r="S20" s="129">
        <f t="shared" si="10"/>
        <v>9070</v>
      </c>
      <c r="T20" s="151">
        <v>0</v>
      </c>
      <c r="U20" s="149"/>
      <c r="V20" s="145">
        <v>81601</v>
      </c>
      <c r="W20" s="129">
        <f t="shared" si="11"/>
        <v>9944</v>
      </c>
      <c r="X20" s="19">
        <f t="shared" si="12"/>
        <v>61065</v>
      </c>
      <c r="Y20" s="151">
        <f t="shared" si="13"/>
        <v>6293</v>
      </c>
      <c r="Z20" s="152">
        <f t="shared" si="14"/>
        <v>8467.4080608000004</v>
      </c>
      <c r="AA20" s="3">
        <f>SUM(Z1:Z20)</f>
        <v>182413.15532960001</v>
      </c>
    </row>
    <row r="21" spans="1:27" s="130" customFormat="1" ht="16.5" thickBot="1" x14ac:dyDescent="0.3">
      <c r="A21" s="9">
        <v>44792</v>
      </c>
      <c r="B21" s="38">
        <v>160</v>
      </c>
      <c r="C21" s="144">
        <v>20010</v>
      </c>
      <c r="D21" s="38">
        <f t="shared" si="4"/>
        <v>640</v>
      </c>
      <c r="E21" s="145">
        <v>32913428</v>
      </c>
      <c r="F21" s="38">
        <f t="shared" si="5"/>
        <v>26303</v>
      </c>
      <c r="G21" s="146">
        <v>3990782</v>
      </c>
      <c r="H21" s="38">
        <f t="shared" si="6"/>
        <v>59608</v>
      </c>
      <c r="I21" s="150">
        <f t="shared" si="7"/>
        <v>85911</v>
      </c>
      <c r="J21" s="145">
        <v>353432</v>
      </c>
      <c r="K21" s="129">
        <f t="shared" si="15"/>
        <v>11180</v>
      </c>
      <c r="L21" s="148">
        <v>623693</v>
      </c>
      <c r="M21" s="129">
        <f t="shared" si="8"/>
        <v>7104</v>
      </c>
      <c r="N21" s="145">
        <v>7282686</v>
      </c>
      <c r="O21" s="129">
        <f t="shared" si="16"/>
        <v>18928</v>
      </c>
      <c r="P21" s="148">
        <v>7736828</v>
      </c>
      <c r="Q21" s="129">
        <f t="shared" si="9"/>
        <v>15559</v>
      </c>
      <c r="R21" s="145">
        <v>22077909</v>
      </c>
      <c r="S21" s="129">
        <f t="shared" si="10"/>
        <v>11733</v>
      </c>
      <c r="T21" s="151">
        <v>0</v>
      </c>
      <c r="U21" s="149"/>
      <c r="V21" s="145">
        <v>94274</v>
      </c>
      <c r="W21" s="129">
        <f t="shared" si="11"/>
        <v>12673</v>
      </c>
      <c r="X21" s="19">
        <f t="shared" si="12"/>
        <v>77177</v>
      </c>
      <c r="Y21" s="151">
        <f t="shared" si="13"/>
        <v>8734</v>
      </c>
      <c r="Z21" s="152">
        <f t="shared" si="14"/>
        <v>10916.321187200001</v>
      </c>
      <c r="AA21" s="3">
        <f>SUM(Z1:Z21)</f>
        <v>193329.4765168</v>
      </c>
    </row>
    <row r="22" spans="1:27" ht="16.5" thickBot="1" x14ac:dyDescent="0.3">
      <c r="A22" s="9">
        <v>44793</v>
      </c>
      <c r="B22" s="38">
        <v>152</v>
      </c>
      <c r="C22" s="144">
        <v>20014</v>
      </c>
      <c r="D22" s="38">
        <f t="shared" si="4"/>
        <v>640</v>
      </c>
      <c r="E22" s="145">
        <v>32936446</v>
      </c>
      <c r="F22" s="38">
        <f t="shared" si="5"/>
        <v>23018</v>
      </c>
      <c r="G22" s="146">
        <v>4043774</v>
      </c>
      <c r="H22" s="38">
        <f t="shared" si="6"/>
        <v>52992</v>
      </c>
      <c r="I22" s="147">
        <f t="shared" si="7"/>
        <v>76010</v>
      </c>
      <c r="J22" s="145">
        <v>358666</v>
      </c>
      <c r="K22" s="129">
        <f t="shared" si="15"/>
        <v>10468</v>
      </c>
      <c r="L22" s="148">
        <v>629646</v>
      </c>
      <c r="M22" s="38">
        <f t="shared" si="8"/>
        <v>5953</v>
      </c>
      <c r="N22" s="145">
        <v>7291145</v>
      </c>
      <c r="O22" s="38">
        <f t="shared" si="16"/>
        <v>16918</v>
      </c>
      <c r="P22" s="148">
        <v>7751259</v>
      </c>
      <c r="Q22" s="38">
        <f t="shared" si="9"/>
        <v>14431</v>
      </c>
      <c r="R22" s="145">
        <v>22088241</v>
      </c>
      <c r="S22" s="38">
        <f t="shared" si="10"/>
        <v>10332</v>
      </c>
      <c r="T22" s="145">
        <v>0</v>
      </c>
      <c r="U22" s="149"/>
      <c r="V22" s="145">
        <v>105274</v>
      </c>
      <c r="W22" s="38">
        <f t="shared" si="11"/>
        <v>11000</v>
      </c>
      <c r="X22" s="19">
        <f t="shared" si="12"/>
        <v>69102</v>
      </c>
      <c r="Y22" s="165">
        <f t="shared" si="13"/>
        <v>6908</v>
      </c>
      <c r="Z22" s="3">
        <f t="shared" si="14"/>
        <v>9715.9326784000004</v>
      </c>
      <c r="AA22" s="3">
        <f>SUM(Z1:Z22)</f>
        <v>203045.40919520002</v>
      </c>
    </row>
    <row r="23" spans="1:27" ht="16.5" thickBot="1" x14ac:dyDescent="0.3">
      <c r="A23" s="9">
        <v>44794</v>
      </c>
      <c r="B23" s="38">
        <v>226</v>
      </c>
      <c r="C23" s="144">
        <v>20017</v>
      </c>
      <c r="D23" s="38">
        <f t="shared" si="4"/>
        <v>480</v>
      </c>
      <c r="E23" s="145">
        <v>32963402</v>
      </c>
      <c r="F23" s="38">
        <f t="shared" si="5"/>
        <v>26956</v>
      </c>
      <c r="G23" s="146">
        <v>4108267</v>
      </c>
      <c r="H23" s="38">
        <f t="shared" si="6"/>
        <v>64493</v>
      </c>
      <c r="I23" s="147">
        <f t="shared" si="7"/>
        <v>91449</v>
      </c>
      <c r="J23" s="145">
        <v>365412</v>
      </c>
      <c r="K23" s="129">
        <f t="shared" si="15"/>
        <v>13492</v>
      </c>
      <c r="L23" s="148">
        <v>636935</v>
      </c>
      <c r="M23" s="38">
        <f t="shared" si="8"/>
        <v>7289</v>
      </c>
      <c r="N23" s="145">
        <v>7300860</v>
      </c>
      <c r="O23" s="38">
        <f t="shared" si="16"/>
        <v>19430</v>
      </c>
      <c r="P23" s="148">
        <v>7767862</v>
      </c>
      <c r="Q23" s="38">
        <f t="shared" si="9"/>
        <v>16603</v>
      </c>
      <c r="R23" s="145">
        <v>22100950</v>
      </c>
      <c r="S23" s="38">
        <f t="shared" si="10"/>
        <v>12709</v>
      </c>
      <c r="T23" s="145">
        <v>0</v>
      </c>
      <c r="U23" s="149"/>
      <c r="V23" s="145">
        <v>118844</v>
      </c>
      <c r="W23" s="38">
        <f t="shared" si="11"/>
        <v>13570</v>
      </c>
      <c r="X23" s="19">
        <f t="shared" si="12"/>
        <v>83093</v>
      </c>
      <c r="Y23" s="165">
        <f t="shared" si="13"/>
        <v>8356</v>
      </c>
      <c r="Z23" s="3">
        <f t="shared" si="14"/>
        <v>11594.738084799999</v>
      </c>
      <c r="AA23" s="3">
        <f>SUM(Z1:Z23)</f>
        <v>214640.14728</v>
      </c>
    </row>
    <row r="24" spans="1:27" ht="16.5" thickBot="1" x14ac:dyDescent="0.3">
      <c r="A24" s="9">
        <v>44795</v>
      </c>
      <c r="B24" s="38">
        <v>225</v>
      </c>
      <c r="C24" s="144">
        <v>20022</v>
      </c>
      <c r="D24" s="38">
        <f t="shared" si="4"/>
        <v>800</v>
      </c>
      <c r="E24" s="145">
        <v>32986397</v>
      </c>
      <c r="F24" s="38">
        <f t="shared" si="5"/>
        <v>22995</v>
      </c>
      <c r="G24" s="146">
        <v>4161602</v>
      </c>
      <c r="H24" s="38">
        <f t="shared" si="6"/>
        <v>53335</v>
      </c>
      <c r="I24" s="147">
        <f t="shared" si="7"/>
        <v>76330</v>
      </c>
      <c r="J24" s="145">
        <v>371170</v>
      </c>
      <c r="K24" s="129">
        <f t="shared" si="15"/>
        <v>11516</v>
      </c>
      <c r="L24" s="148">
        <v>643236</v>
      </c>
      <c r="M24" s="38">
        <f t="shared" si="8"/>
        <v>6301</v>
      </c>
      <c r="N24" s="145">
        <v>7309121</v>
      </c>
      <c r="O24" s="38">
        <f t="shared" si="16"/>
        <v>16522</v>
      </c>
      <c r="P24" s="148">
        <v>7781917</v>
      </c>
      <c r="Q24" s="38">
        <f t="shared" si="9"/>
        <v>14055</v>
      </c>
      <c r="R24" s="145">
        <v>22111199</v>
      </c>
      <c r="S24" s="38">
        <f t="shared" si="10"/>
        <v>10249</v>
      </c>
      <c r="T24" s="145">
        <v>0</v>
      </c>
      <c r="U24" s="149"/>
      <c r="V24" s="145">
        <v>129902</v>
      </c>
      <c r="W24" s="38">
        <f t="shared" si="11"/>
        <v>11058</v>
      </c>
      <c r="X24" s="19">
        <f t="shared" si="12"/>
        <v>69701</v>
      </c>
      <c r="Y24" s="165">
        <f t="shared" si="13"/>
        <v>6629</v>
      </c>
      <c r="Z24" s="3">
        <f t="shared" si="14"/>
        <v>9598.1039024000002</v>
      </c>
      <c r="AA24" s="3">
        <f>SUM(Z1:Z24)</f>
        <v>224238.25118240001</v>
      </c>
    </row>
    <row r="25" spans="1:27" ht="16.5" thickBot="1" x14ac:dyDescent="0.3">
      <c r="A25" s="9">
        <v>44796</v>
      </c>
      <c r="B25" s="38">
        <v>175</v>
      </c>
      <c r="C25" s="144">
        <v>20026</v>
      </c>
      <c r="D25" s="38">
        <f t="shared" si="4"/>
        <v>640</v>
      </c>
      <c r="E25" s="145">
        <v>33005699</v>
      </c>
      <c r="F25" s="38">
        <f t="shared" si="5"/>
        <v>19302</v>
      </c>
      <c r="G25" s="146">
        <v>4206838</v>
      </c>
      <c r="H25" s="38">
        <f t="shared" si="6"/>
        <v>45236</v>
      </c>
      <c r="I25" s="147">
        <f t="shared" si="7"/>
        <v>64538</v>
      </c>
      <c r="J25" s="145">
        <v>376000</v>
      </c>
      <c r="K25" s="129">
        <f t="shared" si="15"/>
        <v>9660</v>
      </c>
      <c r="L25" s="148">
        <v>648654</v>
      </c>
      <c r="M25" s="38">
        <f t="shared" si="8"/>
        <v>5418</v>
      </c>
      <c r="N25" s="145">
        <v>7315969</v>
      </c>
      <c r="O25" s="38">
        <f t="shared" si="16"/>
        <v>13696</v>
      </c>
      <c r="P25" s="148">
        <v>7793658</v>
      </c>
      <c r="Q25" s="38">
        <f t="shared" si="9"/>
        <v>11741</v>
      </c>
      <c r="R25" s="145">
        <v>22119960</v>
      </c>
      <c r="S25" s="38">
        <f t="shared" si="10"/>
        <v>8761</v>
      </c>
      <c r="T25" s="145">
        <v>0</v>
      </c>
      <c r="U25" s="149"/>
      <c r="V25" s="145">
        <v>139313</v>
      </c>
      <c r="W25" s="38">
        <f t="shared" si="11"/>
        <v>9411</v>
      </c>
      <c r="X25" s="19">
        <f t="shared" si="12"/>
        <v>58687</v>
      </c>
      <c r="Y25" s="165">
        <f t="shared" si="13"/>
        <v>5851</v>
      </c>
      <c r="Z25" s="3">
        <f t="shared" si="14"/>
        <v>8093.0842303999998</v>
      </c>
      <c r="AA25" s="3">
        <f>SUM(Z1:Z25)</f>
        <v>232331.33541280002</v>
      </c>
    </row>
    <row r="26" spans="1:27" ht="16.5" thickBot="1" x14ac:dyDescent="0.3">
      <c r="A26" s="9">
        <v>44797</v>
      </c>
      <c r="B26" s="38">
        <v>177</v>
      </c>
      <c r="C26" s="144">
        <v>20031</v>
      </c>
      <c r="D26" s="38">
        <f t="shared" si="4"/>
        <v>800</v>
      </c>
      <c r="E26" s="145">
        <v>33030316</v>
      </c>
      <c r="F26" s="38">
        <f t="shared" si="5"/>
        <v>24617</v>
      </c>
      <c r="G26" s="146">
        <v>4267232</v>
      </c>
      <c r="H26" s="38">
        <f t="shared" si="6"/>
        <v>60394</v>
      </c>
      <c r="I26" s="147">
        <f t="shared" si="7"/>
        <v>85011</v>
      </c>
      <c r="J26" s="145">
        <v>382034</v>
      </c>
      <c r="K26" s="129">
        <f t="shared" si="15"/>
        <v>12068</v>
      </c>
      <c r="L26" s="148">
        <v>655736</v>
      </c>
      <c r="M26" s="38">
        <f t="shared" si="8"/>
        <v>7082</v>
      </c>
      <c r="N26" s="145">
        <v>7324632</v>
      </c>
      <c r="O26" s="38">
        <f t="shared" si="16"/>
        <v>17326</v>
      </c>
      <c r="P26" s="148">
        <v>7808300</v>
      </c>
      <c r="Q26" s="38">
        <f t="shared" si="9"/>
        <v>14642</v>
      </c>
      <c r="R26" s="145">
        <v>22132016</v>
      </c>
      <c r="S26" s="38">
        <f t="shared" si="10"/>
        <v>12056</v>
      </c>
      <c r="T26" s="145">
        <v>0</v>
      </c>
      <c r="U26" s="149"/>
      <c r="V26" s="145">
        <v>152215</v>
      </c>
      <c r="W26" s="38">
        <f t="shared" si="11"/>
        <v>12902</v>
      </c>
      <c r="X26" s="19">
        <f t="shared" si="12"/>
        <v>76076</v>
      </c>
      <c r="Y26" s="165">
        <f t="shared" si="13"/>
        <v>8935</v>
      </c>
      <c r="Z26" s="3">
        <f t="shared" si="14"/>
        <v>10685.629385600001</v>
      </c>
      <c r="AA26" s="3">
        <f>SUM(Z1:Z26)</f>
        <v>243016.96479840003</v>
      </c>
    </row>
    <row r="27" spans="1:27" ht="16.5" thickBot="1" x14ac:dyDescent="0.3">
      <c r="A27" s="9">
        <v>44798</v>
      </c>
      <c r="B27" s="38">
        <v>180</v>
      </c>
      <c r="C27" s="144">
        <v>20035</v>
      </c>
      <c r="D27" s="38">
        <f t="shared" si="4"/>
        <v>640</v>
      </c>
      <c r="E27" s="145">
        <v>33053879</v>
      </c>
      <c r="F27" s="38">
        <f t="shared" si="5"/>
        <v>23563</v>
      </c>
      <c r="G27" s="146">
        <v>4322179</v>
      </c>
      <c r="H27" s="38">
        <f t="shared" si="6"/>
        <v>54947</v>
      </c>
      <c r="I27" s="147">
        <f t="shared" si="7"/>
        <v>78510</v>
      </c>
      <c r="J27" s="145">
        <v>387556</v>
      </c>
      <c r="K27" s="129">
        <f t="shared" si="15"/>
        <v>11044</v>
      </c>
      <c r="L27" s="148">
        <v>662015</v>
      </c>
      <c r="M27" s="38">
        <f t="shared" si="8"/>
        <v>6279</v>
      </c>
      <c r="N27" s="145">
        <v>7333176</v>
      </c>
      <c r="O27" s="38">
        <f t="shared" si="16"/>
        <v>17088</v>
      </c>
      <c r="P27" s="148">
        <v>7822686</v>
      </c>
      <c r="Q27" s="38">
        <f t="shared" si="9"/>
        <v>14386</v>
      </c>
      <c r="R27" s="145">
        <v>22142728</v>
      </c>
      <c r="S27" s="38">
        <f t="shared" si="10"/>
        <v>10712</v>
      </c>
      <c r="T27" s="145">
        <v>0</v>
      </c>
      <c r="U27" s="149"/>
      <c r="V27" s="145">
        <v>163596</v>
      </c>
      <c r="W27" s="38">
        <f t="shared" si="11"/>
        <v>11381</v>
      </c>
      <c r="X27" s="19">
        <f t="shared" si="12"/>
        <v>70890</v>
      </c>
      <c r="Y27" s="165">
        <f t="shared" si="13"/>
        <v>7620</v>
      </c>
      <c r="Z27" s="3">
        <f t="shared" si="14"/>
        <v>9918.7349455999993</v>
      </c>
      <c r="AA27" s="3">
        <f>SUM(Z1:Z27)</f>
        <v>252935.69974400004</v>
      </c>
    </row>
    <row r="28" spans="1:27" ht="16.5" thickBot="1" x14ac:dyDescent="0.3">
      <c r="A28" s="9">
        <v>44799</v>
      </c>
      <c r="B28" s="38">
        <v>188</v>
      </c>
      <c r="C28" s="144">
        <v>20039</v>
      </c>
      <c r="D28" s="38">
        <f t="shared" si="4"/>
        <v>640</v>
      </c>
      <c r="E28" s="145">
        <v>33081304</v>
      </c>
      <c r="F28" s="38">
        <f t="shared" si="5"/>
        <v>27425</v>
      </c>
      <c r="G28" s="146">
        <v>4387716</v>
      </c>
      <c r="H28" s="38">
        <f t="shared" si="6"/>
        <v>65537</v>
      </c>
      <c r="I28" s="147">
        <f t="shared" si="7"/>
        <v>92962</v>
      </c>
      <c r="J28" s="145">
        <v>393698</v>
      </c>
      <c r="K28" s="129">
        <f t="shared" si="15"/>
        <v>12284</v>
      </c>
      <c r="L28" s="148">
        <v>669224</v>
      </c>
      <c r="M28" s="38">
        <f t="shared" si="8"/>
        <v>7209</v>
      </c>
      <c r="N28" s="145">
        <v>7343017</v>
      </c>
      <c r="O28" s="38">
        <f t="shared" si="16"/>
        <v>19682</v>
      </c>
      <c r="P28" s="148">
        <v>7839091</v>
      </c>
      <c r="Q28" s="38">
        <f t="shared" si="9"/>
        <v>16405</v>
      </c>
      <c r="R28" s="145">
        <v>22156359</v>
      </c>
      <c r="S28" s="38">
        <f t="shared" si="10"/>
        <v>13631</v>
      </c>
      <c r="T28" s="145">
        <v>0</v>
      </c>
      <c r="U28" s="149"/>
      <c r="V28" s="145">
        <v>177349</v>
      </c>
      <c r="W28" s="38">
        <f t="shared" si="11"/>
        <v>13753</v>
      </c>
      <c r="X28" s="19">
        <f t="shared" si="12"/>
        <v>82964</v>
      </c>
      <c r="Y28" s="165">
        <f t="shared" si="13"/>
        <v>9998</v>
      </c>
      <c r="Z28" s="3">
        <f t="shared" si="14"/>
        <v>11870.755852799999</v>
      </c>
      <c r="AA28" s="3">
        <f>SUM(Z1:Z28)</f>
        <v>264806.45559680002</v>
      </c>
    </row>
    <row r="29" spans="1:27" ht="16.5" thickBot="1" x14ac:dyDescent="0.3">
      <c r="A29" s="9">
        <v>44800</v>
      </c>
      <c r="B29" s="38">
        <v>154</v>
      </c>
      <c r="C29" s="144">
        <v>20043</v>
      </c>
      <c r="D29" s="38">
        <f t="shared" si="4"/>
        <v>640</v>
      </c>
      <c r="E29" s="145">
        <v>33101199</v>
      </c>
      <c r="F29" s="38">
        <f t="shared" si="5"/>
        <v>19895</v>
      </c>
      <c r="G29" s="146">
        <v>4436944</v>
      </c>
      <c r="H29" s="38">
        <f t="shared" si="6"/>
        <v>49228</v>
      </c>
      <c r="I29" s="147">
        <f t="shared" si="7"/>
        <v>69123</v>
      </c>
      <c r="J29" s="145">
        <v>398672</v>
      </c>
      <c r="K29" s="129">
        <f t="shared" si="15"/>
        <v>9948</v>
      </c>
      <c r="L29" s="148">
        <v>674448</v>
      </c>
      <c r="M29" s="38">
        <f t="shared" si="8"/>
        <v>5224</v>
      </c>
      <c r="N29" s="145">
        <v>7350367</v>
      </c>
      <c r="O29" s="38">
        <f t="shared" si="16"/>
        <v>14700</v>
      </c>
      <c r="P29" s="148">
        <v>7851312</v>
      </c>
      <c r="Q29" s="38">
        <f t="shared" si="9"/>
        <v>12221</v>
      </c>
      <c r="R29" s="145">
        <v>22166366</v>
      </c>
      <c r="S29" s="38">
        <f t="shared" si="10"/>
        <v>10007</v>
      </c>
      <c r="T29" s="145">
        <v>0</v>
      </c>
      <c r="U29" s="149"/>
      <c r="V29" s="145">
        <v>187662</v>
      </c>
      <c r="W29" s="38">
        <f t="shared" si="11"/>
        <v>10313</v>
      </c>
      <c r="X29" s="19">
        <f t="shared" si="12"/>
        <v>62413</v>
      </c>
      <c r="Y29" s="165">
        <f t="shared" si="13"/>
        <v>6710</v>
      </c>
      <c r="Z29" s="3">
        <f t="shared" si="14"/>
        <v>8829.2721919999985</v>
      </c>
      <c r="AA29" s="3">
        <f>SUM(Z1:Z29)</f>
        <v>273635.72778880002</v>
      </c>
    </row>
    <row r="30" spans="1:27" ht="16.5" thickBot="1" x14ac:dyDescent="0.3">
      <c r="A30" s="9">
        <v>44801</v>
      </c>
      <c r="B30" s="38">
        <v>212</v>
      </c>
      <c r="C30" s="144">
        <v>20046</v>
      </c>
      <c r="D30" s="38">
        <f>IF((C30-C29)&lt;0,"0",(C30-C29))*160</f>
        <v>480</v>
      </c>
      <c r="E30" s="145">
        <v>33126213</v>
      </c>
      <c r="F30" s="38">
        <f>IF((E30-E29)&lt;0,"0",(E30-E29))</f>
        <v>25014</v>
      </c>
      <c r="G30" s="146">
        <v>4495654</v>
      </c>
      <c r="H30" s="38">
        <f t="shared" si="6"/>
        <v>58710</v>
      </c>
      <c r="I30" s="147">
        <f t="shared" si="7"/>
        <v>83724</v>
      </c>
      <c r="J30" s="145">
        <v>404974</v>
      </c>
      <c r="K30" s="129">
        <f t="shared" si="15"/>
        <v>12604</v>
      </c>
      <c r="L30" s="148">
        <v>681257</v>
      </c>
      <c r="M30" s="38">
        <f>IF((L30-L29)&lt;0,"0",(L30-L29))</f>
        <v>6809</v>
      </c>
      <c r="N30" s="145">
        <v>7359409</v>
      </c>
      <c r="O30" s="38">
        <f>(IF((N30-N29)&lt;0,"0",(N30-N29)))*2</f>
        <v>18084</v>
      </c>
      <c r="P30" s="148">
        <v>7866590</v>
      </c>
      <c r="Q30" s="38">
        <f>IF((P30-P29)&lt;0,"0",(P30-P29))</f>
        <v>15278</v>
      </c>
      <c r="R30" s="145">
        <v>22178152</v>
      </c>
      <c r="S30" s="38">
        <f>IF((R30-R29)&lt;0,"0",(R30-R29))</f>
        <v>11786</v>
      </c>
      <c r="T30" s="145">
        <v>0</v>
      </c>
      <c r="U30" s="149"/>
      <c r="V30" s="145">
        <v>199945</v>
      </c>
      <c r="W30" s="38">
        <f>IF((V30-V29)&lt;0,"0",(V30-V29))</f>
        <v>12283</v>
      </c>
      <c r="X30" s="19">
        <f t="shared" si="12"/>
        <v>76844</v>
      </c>
      <c r="Y30" s="165">
        <f t="shared" si="13"/>
        <v>6880</v>
      </c>
      <c r="Z30" s="3">
        <f t="shared" si="14"/>
        <v>10671.662164799998</v>
      </c>
      <c r="AA30" s="3">
        <f>SUM(Z1:Z30)</f>
        <v>284307.38995360001</v>
      </c>
    </row>
    <row r="31" spans="1:27" ht="16.5" thickBot="1" x14ac:dyDescent="0.3">
      <c r="A31" s="9">
        <v>44802</v>
      </c>
      <c r="B31" s="38">
        <v>197</v>
      </c>
      <c r="C31" s="144">
        <v>20051</v>
      </c>
      <c r="D31" s="38">
        <f t="shared" ref="D31:D33" si="27">IF((C31-C30)&lt;0,"0",(C31-C30))*160</f>
        <v>800</v>
      </c>
      <c r="E31" s="145">
        <v>33153571</v>
      </c>
      <c r="F31" s="38">
        <f t="shared" ref="F31:F33" si="28">IF((E31-E30)&lt;0,"0",(E31-E30))</f>
        <v>27358</v>
      </c>
      <c r="G31" s="146">
        <v>4559754</v>
      </c>
      <c r="H31" s="38">
        <f t="shared" si="6"/>
        <v>64100</v>
      </c>
      <c r="I31" s="147">
        <f t="shared" ref="I31:I33" si="29">F31+H31</f>
        <v>91458</v>
      </c>
      <c r="J31" s="145">
        <v>411566</v>
      </c>
      <c r="K31" s="129">
        <f t="shared" si="15"/>
        <v>13184</v>
      </c>
      <c r="L31" s="148">
        <v>688886</v>
      </c>
      <c r="M31" s="38">
        <f t="shared" ref="M31:M33" si="30">IF((L31-L30)&lt;0,"0",(L31-L30))</f>
        <v>7629</v>
      </c>
      <c r="N31" s="145">
        <v>7369172</v>
      </c>
      <c r="O31" s="38">
        <f t="shared" ref="O31:O33" si="31">(IF((N31-N30)&lt;0,"0",(N31-N30)))*2</f>
        <v>19526</v>
      </c>
      <c r="P31" s="148">
        <v>7882473</v>
      </c>
      <c r="Q31" s="38">
        <f t="shared" ref="Q31:Q33" si="32">IF((P31-P30)&lt;0,"0",(P31-P30))</f>
        <v>15883</v>
      </c>
      <c r="R31" s="145">
        <v>22190931</v>
      </c>
      <c r="S31" s="38">
        <f t="shared" ref="S31:S33" si="33">IF((R31-R30)&lt;0,"0",(R31-R30))</f>
        <v>12779</v>
      </c>
      <c r="T31" s="145">
        <v>0</v>
      </c>
      <c r="U31" s="149"/>
      <c r="V31" s="145">
        <v>213045</v>
      </c>
      <c r="W31" s="38">
        <f t="shared" ref="W31:W33" si="34">IF((V31-V30)&lt;0,"0",(V31-V30))</f>
        <v>13100</v>
      </c>
      <c r="X31" s="19">
        <f t="shared" ref="X31:X33" si="35">K31+M31+O31+Q31+S31+U31+W31</f>
        <v>82101</v>
      </c>
      <c r="Y31" s="165">
        <f t="shared" ref="Y31:Y33" si="36">I31-X31</f>
        <v>9357</v>
      </c>
      <c r="Z31" s="3">
        <f t="shared" ref="Z31:Z33" si="37">(0.93352*(W31+S31)+0.5568*(Q31+O31))*0.26</f>
        <v>11407.316772800001</v>
      </c>
      <c r="AA31" s="3">
        <f>SUM(Z1:Z31)</f>
        <v>295714.70672640001</v>
      </c>
    </row>
    <row r="32" spans="1:27" ht="16.5" thickBot="1" x14ac:dyDescent="0.3">
      <c r="A32" s="9">
        <v>44803</v>
      </c>
      <c r="B32" s="38">
        <v>155</v>
      </c>
      <c r="C32" s="144">
        <v>20056</v>
      </c>
      <c r="D32" s="38">
        <f t="shared" si="27"/>
        <v>800</v>
      </c>
      <c r="E32" s="145">
        <v>33172712</v>
      </c>
      <c r="F32" s="38">
        <f t="shared" si="28"/>
        <v>19141</v>
      </c>
      <c r="G32" s="146">
        <v>4604460</v>
      </c>
      <c r="H32" s="38">
        <f t="shared" si="6"/>
        <v>44706</v>
      </c>
      <c r="I32" s="147">
        <f t="shared" si="29"/>
        <v>63847</v>
      </c>
      <c r="J32" s="145">
        <v>416185</v>
      </c>
      <c r="K32" s="129">
        <f t="shared" si="15"/>
        <v>9238</v>
      </c>
      <c r="L32" s="148">
        <v>694124</v>
      </c>
      <c r="M32" s="38">
        <f t="shared" si="30"/>
        <v>5238</v>
      </c>
      <c r="N32" s="145">
        <v>7376027</v>
      </c>
      <c r="O32" s="38">
        <f t="shared" si="31"/>
        <v>13710</v>
      </c>
      <c r="P32" s="148">
        <v>7893717</v>
      </c>
      <c r="Q32" s="38">
        <f t="shared" si="32"/>
        <v>11244</v>
      </c>
      <c r="R32" s="145">
        <v>22200187</v>
      </c>
      <c r="S32" s="38">
        <f t="shared" si="33"/>
        <v>9256</v>
      </c>
      <c r="T32" s="145">
        <v>0</v>
      </c>
      <c r="U32" s="149"/>
      <c r="V32" s="145">
        <v>222228</v>
      </c>
      <c r="W32" s="38">
        <f t="shared" si="34"/>
        <v>9183</v>
      </c>
      <c r="X32" s="19">
        <f t="shared" si="35"/>
        <v>57869</v>
      </c>
      <c r="Y32" s="165">
        <f t="shared" si="36"/>
        <v>5978</v>
      </c>
      <c r="Z32" s="3">
        <f t="shared" si="37"/>
        <v>8087.9662448000008</v>
      </c>
      <c r="AA32" s="3">
        <f>SUM(Z1:Z32)</f>
        <v>303802.67297120002</v>
      </c>
    </row>
    <row r="33" spans="1:27" ht="16.5" thickBot="1" x14ac:dyDescent="0.3">
      <c r="A33" s="9">
        <v>44804</v>
      </c>
      <c r="B33" s="38">
        <v>230</v>
      </c>
      <c r="C33" s="144">
        <v>20060</v>
      </c>
      <c r="D33" s="38">
        <f t="shared" si="27"/>
        <v>640</v>
      </c>
      <c r="E33" s="145">
        <v>33201142</v>
      </c>
      <c r="F33" s="38">
        <f t="shared" si="28"/>
        <v>28430</v>
      </c>
      <c r="G33" s="146">
        <v>4671912</v>
      </c>
      <c r="H33" s="38">
        <f t="shared" si="6"/>
        <v>67452</v>
      </c>
      <c r="I33" s="147">
        <f t="shared" si="29"/>
        <v>95882</v>
      </c>
      <c r="J33" s="145">
        <v>422838</v>
      </c>
      <c r="K33" s="129">
        <f t="shared" si="15"/>
        <v>13306</v>
      </c>
      <c r="L33" s="148">
        <v>701909</v>
      </c>
      <c r="M33" s="38">
        <f t="shared" si="30"/>
        <v>7785</v>
      </c>
      <c r="N33" s="145">
        <v>7386230</v>
      </c>
      <c r="O33" s="38">
        <f t="shared" si="31"/>
        <v>20406</v>
      </c>
      <c r="P33" s="148">
        <v>7910768</v>
      </c>
      <c r="Q33" s="38">
        <f t="shared" si="32"/>
        <v>17051</v>
      </c>
      <c r="R33" s="145">
        <v>22213458</v>
      </c>
      <c r="S33" s="38">
        <f t="shared" si="33"/>
        <v>13271</v>
      </c>
      <c r="T33" s="145">
        <v>0</v>
      </c>
      <c r="U33" s="55"/>
      <c r="V33" s="145">
        <v>236531</v>
      </c>
      <c r="W33" s="38">
        <f t="shared" si="34"/>
        <v>14303</v>
      </c>
      <c r="X33" s="19">
        <f t="shared" si="35"/>
        <v>86122</v>
      </c>
      <c r="Y33" s="165">
        <f t="shared" si="36"/>
        <v>9760</v>
      </c>
      <c r="Z33" s="3">
        <f t="shared" si="37"/>
        <v>12115.203900800001</v>
      </c>
      <c r="AA33" s="3">
        <f>SUM(Z2:Z33)</f>
        <v>315917.87687200005</v>
      </c>
    </row>
    <row r="34" spans="1:27" ht="16.5" thickBot="1" x14ac:dyDescent="0.3">
      <c r="A34" s="136" t="s">
        <v>23</v>
      </c>
      <c r="B34" s="136">
        <f>SUM(B3:B33)</f>
        <v>5811</v>
      </c>
      <c r="C34" s="136">
        <v>0</v>
      </c>
      <c r="D34" s="136">
        <f>SUM(D3:D33)</f>
        <v>21280</v>
      </c>
      <c r="E34" s="55">
        <v>0</v>
      </c>
      <c r="F34" s="136">
        <f>SUM(F3:F33)</f>
        <v>755372</v>
      </c>
      <c r="G34" s="55">
        <v>0</v>
      </c>
      <c r="H34" s="136">
        <f>SUM(H3:H33)</f>
        <v>1742571</v>
      </c>
      <c r="I34" s="55">
        <v>92693</v>
      </c>
      <c r="J34" s="55">
        <v>0</v>
      </c>
      <c r="K34" s="136">
        <f>SUM(K3:K33)</f>
        <v>355608</v>
      </c>
      <c r="L34" s="55">
        <v>0</v>
      </c>
      <c r="M34" s="136">
        <f>SUM(M3:M33)</f>
        <v>204222</v>
      </c>
      <c r="N34" s="55">
        <v>0</v>
      </c>
      <c r="O34" s="136">
        <f>SUM(O3:O33)</f>
        <v>544746</v>
      </c>
      <c r="P34" s="55">
        <v>0</v>
      </c>
      <c r="Q34" s="136">
        <f>SUM(Q3:Q33)</f>
        <v>442817</v>
      </c>
      <c r="R34" s="55">
        <v>0</v>
      </c>
      <c r="S34" s="136">
        <f>SUM(S3:S33)</f>
        <v>342702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369863</v>
      </c>
      <c r="X34" s="136">
        <f>SUM(X3:X33)</f>
        <v>2259958</v>
      </c>
      <c r="Y34" s="136">
        <f>SUM(Y2:Y33)</f>
        <v>237985</v>
      </c>
      <c r="Z34" s="136">
        <f>SUM(Z2:Z33)</f>
        <v>315917.87687200005</v>
      </c>
      <c r="AA34" s="136">
        <f>SUM(AA3:AA33)</f>
        <v>5043997.3687168006</v>
      </c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>
        <v>457231</v>
      </c>
      <c r="C9" s="38">
        <f t="shared" ref="C9:C33" si="7">(IF((B9-B8)&lt;0,"0",(B9-B8)))*10</f>
        <v>830</v>
      </c>
      <c r="D9" s="3">
        <v>11896</v>
      </c>
      <c r="E9" s="38">
        <f t="shared" si="2"/>
        <v>440</v>
      </c>
      <c r="F9" s="3">
        <v>10680100</v>
      </c>
      <c r="G9" s="38">
        <f t="shared" si="5"/>
        <v>604.79999999999995</v>
      </c>
      <c r="H9" s="3">
        <v>804941</v>
      </c>
      <c r="I9" s="43">
        <f t="shared" si="6"/>
        <v>3.78</v>
      </c>
      <c r="J9" s="19">
        <f t="shared" si="3"/>
        <v>1878.58</v>
      </c>
      <c r="K9" s="20">
        <f t="shared" si="4"/>
        <v>11008.478800000001</v>
      </c>
    </row>
    <row r="10" spans="1:14" ht="16.5" thickBot="1" x14ac:dyDescent="0.3">
      <c r="A10" s="9">
        <v>44781</v>
      </c>
      <c r="B10" s="3">
        <v>457334</v>
      </c>
      <c r="C10" s="38">
        <f>(IF((B10-B9)&lt;0,"0",(B10-B9)))*10</f>
        <v>1030</v>
      </c>
      <c r="D10" s="3">
        <v>11937</v>
      </c>
      <c r="E10" s="38">
        <f t="shared" si="2"/>
        <v>410</v>
      </c>
      <c r="F10" s="3">
        <v>10699800</v>
      </c>
      <c r="G10" s="38">
        <f t="shared" si="5"/>
        <v>531.9</v>
      </c>
      <c r="H10" s="3">
        <v>805059</v>
      </c>
      <c r="I10" s="43">
        <f t="shared" si="6"/>
        <v>3.1859999999999999</v>
      </c>
      <c r="J10" s="19">
        <f t="shared" si="3"/>
        <v>1975.086</v>
      </c>
      <c r="K10" s="20">
        <f t="shared" si="4"/>
        <v>11574.00396</v>
      </c>
    </row>
    <row r="11" spans="1:14" ht="16.5" thickBot="1" x14ac:dyDescent="0.3">
      <c r="A11" s="9">
        <v>44782</v>
      </c>
      <c r="B11" s="3">
        <v>457434</v>
      </c>
      <c r="C11" s="38">
        <f t="shared" si="7"/>
        <v>1000</v>
      </c>
      <c r="D11" s="3">
        <v>11982</v>
      </c>
      <c r="E11" s="38">
        <f t="shared" si="2"/>
        <v>450</v>
      </c>
      <c r="F11" s="3">
        <v>10721700</v>
      </c>
      <c r="G11" s="38">
        <f t="shared" si="5"/>
        <v>591.29999999999995</v>
      </c>
      <c r="H11" s="3">
        <v>805188</v>
      </c>
      <c r="I11" s="43">
        <f t="shared" si="6"/>
        <v>3.4830000000000001</v>
      </c>
      <c r="J11" s="19">
        <f t="shared" si="3"/>
        <v>2044.7829999999999</v>
      </c>
      <c r="K11" s="20">
        <f t="shared" si="4"/>
        <v>11982.428379999999</v>
      </c>
      <c r="N11" t="s">
        <v>12</v>
      </c>
    </row>
    <row r="12" spans="1:14" ht="16.5" thickBot="1" x14ac:dyDescent="0.3">
      <c r="A12" s="9">
        <v>44783</v>
      </c>
      <c r="B12" s="3">
        <v>457532</v>
      </c>
      <c r="C12" s="38">
        <f t="shared" si="7"/>
        <v>980</v>
      </c>
      <c r="D12" s="3">
        <v>12023</v>
      </c>
      <c r="E12" s="38">
        <f t="shared" si="2"/>
        <v>410</v>
      </c>
      <c r="F12" s="3">
        <v>10742800</v>
      </c>
      <c r="G12" s="38">
        <f t="shared" si="5"/>
        <v>569.70000000000005</v>
      </c>
      <c r="H12" s="3">
        <v>805324</v>
      </c>
      <c r="I12" s="43">
        <f t="shared" si="6"/>
        <v>3.6720000000000002</v>
      </c>
      <c r="J12" s="19">
        <f t="shared" si="3"/>
        <v>1963.3720000000001</v>
      </c>
      <c r="K12" s="20">
        <f t="shared" si="4"/>
        <v>11505.359920000001</v>
      </c>
    </row>
    <row r="13" spans="1:14" ht="16.5" thickBot="1" x14ac:dyDescent="0.3">
      <c r="A13" s="9">
        <v>44784</v>
      </c>
      <c r="B13" s="3">
        <v>457652</v>
      </c>
      <c r="C13" s="38">
        <f t="shared" si="7"/>
        <v>1200</v>
      </c>
      <c r="D13" s="3">
        <v>12071</v>
      </c>
      <c r="E13" s="38">
        <f t="shared" si="2"/>
        <v>480</v>
      </c>
      <c r="F13" s="3">
        <v>10765100</v>
      </c>
      <c r="G13" s="38">
        <f t="shared" si="5"/>
        <v>602.1</v>
      </c>
      <c r="H13" s="3">
        <v>805452</v>
      </c>
      <c r="I13" s="43">
        <f t="shared" si="6"/>
        <v>3.456</v>
      </c>
      <c r="J13" s="19">
        <f t="shared" si="3"/>
        <v>2285.556</v>
      </c>
      <c r="K13" s="20">
        <f t="shared" si="4"/>
        <v>13393.358160000002</v>
      </c>
    </row>
    <row r="14" spans="1:14" ht="16.5" thickBot="1" x14ac:dyDescent="0.3">
      <c r="A14" s="9">
        <v>44785</v>
      </c>
      <c r="B14" s="3">
        <v>457762</v>
      </c>
      <c r="C14" s="38">
        <f t="shared" si="7"/>
        <v>1100</v>
      </c>
      <c r="D14" s="3">
        <v>12114</v>
      </c>
      <c r="E14" s="38">
        <f t="shared" si="2"/>
        <v>430</v>
      </c>
      <c r="F14" s="3">
        <v>10786200</v>
      </c>
      <c r="G14" s="38">
        <f t="shared" si="5"/>
        <v>569.70000000000005</v>
      </c>
      <c r="H14" s="3">
        <v>805580</v>
      </c>
      <c r="I14" s="43">
        <f t="shared" si="6"/>
        <v>3.456</v>
      </c>
      <c r="J14" s="19">
        <f t="shared" si="3"/>
        <v>2103.1559999999999</v>
      </c>
      <c r="K14" s="20">
        <f t="shared" si="4"/>
        <v>12324.49416</v>
      </c>
    </row>
    <row r="15" spans="1:14" ht="16.5" thickBot="1" x14ac:dyDescent="0.3">
      <c r="A15" s="9">
        <v>44786</v>
      </c>
      <c r="B15" s="3">
        <v>457868</v>
      </c>
      <c r="C15" s="38">
        <f t="shared" si="7"/>
        <v>1060</v>
      </c>
      <c r="D15" s="3">
        <v>12158</v>
      </c>
      <c r="E15" s="38">
        <f t="shared" si="2"/>
        <v>440</v>
      </c>
      <c r="F15" s="3">
        <v>10808000</v>
      </c>
      <c r="G15" s="38">
        <f t="shared" si="5"/>
        <v>588.6</v>
      </c>
      <c r="H15" s="3">
        <v>805685</v>
      </c>
      <c r="I15" s="43">
        <f t="shared" si="6"/>
        <v>2.835</v>
      </c>
      <c r="J15" s="19">
        <f t="shared" si="3"/>
        <v>2091.4349999999999</v>
      </c>
      <c r="K15" s="20">
        <f t="shared" si="4"/>
        <v>12255.8091</v>
      </c>
    </row>
    <row r="16" spans="1:14" ht="16.5" thickBot="1" x14ac:dyDescent="0.3">
      <c r="A16" s="9">
        <v>44787</v>
      </c>
      <c r="B16" s="3">
        <v>457973</v>
      </c>
      <c r="C16" s="38">
        <f t="shared" si="7"/>
        <v>1050</v>
      </c>
      <c r="D16" s="3">
        <v>12202</v>
      </c>
      <c r="E16" s="38">
        <f t="shared" si="2"/>
        <v>440</v>
      </c>
      <c r="F16" s="3">
        <v>10829200</v>
      </c>
      <c r="G16" s="38">
        <f t="shared" si="5"/>
        <v>572.4</v>
      </c>
      <c r="H16" s="3">
        <v>805818</v>
      </c>
      <c r="I16" s="43">
        <f t="shared" si="6"/>
        <v>3.5909999999999997</v>
      </c>
      <c r="J16" s="19">
        <f t="shared" si="3"/>
        <v>2065.991</v>
      </c>
      <c r="K16" s="20">
        <f t="shared" si="4"/>
        <v>12106.707260000001</v>
      </c>
    </row>
    <row r="17" spans="1:25" ht="16.5" thickBot="1" x14ac:dyDescent="0.3">
      <c r="A17" s="9">
        <v>44788</v>
      </c>
      <c r="B17" s="3">
        <v>458045</v>
      </c>
      <c r="C17" s="38">
        <f t="shared" si="7"/>
        <v>720</v>
      </c>
      <c r="D17" s="3">
        <v>12244</v>
      </c>
      <c r="E17" s="38">
        <f t="shared" si="2"/>
        <v>420</v>
      </c>
      <c r="F17" s="3">
        <v>10850200</v>
      </c>
      <c r="G17" s="38">
        <f t="shared" si="5"/>
        <v>567</v>
      </c>
      <c r="H17" s="3">
        <v>805945</v>
      </c>
      <c r="I17" s="43">
        <f t="shared" si="6"/>
        <v>3.4289999999999998</v>
      </c>
      <c r="J17" s="19">
        <f t="shared" si="3"/>
        <v>1710.4290000000001</v>
      </c>
      <c r="K17" s="20">
        <f t="shared" si="4"/>
        <v>10023.113940000001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>
        <v>458155</v>
      </c>
      <c r="C18" s="38">
        <f t="shared" si="7"/>
        <v>1100</v>
      </c>
      <c r="D18" s="3">
        <v>12287</v>
      </c>
      <c r="E18" s="38">
        <f t="shared" si="2"/>
        <v>430</v>
      </c>
      <c r="F18" s="3">
        <v>10873600</v>
      </c>
      <c r="G18" s="38">
        <f t="shared" si="5"/>
        <v>631.79999999999995</v>
      </c>
      <c r="H18" s="3">
        <v>806077</v>
      </c>
      <c r="I18" s="43">
        <f t="shared" si="6"/>
        <v>3.5640000000000001</v>
      </c>
      <c r="J18" s="19">
        <f t="shared" si="3"/>
        <v>2165.364</v>
      </c>
      <c r="K18" s="20">
        <f t="shared" si="4"/>
        <v>12689.03304</v>
      </c>
      <c r="Q18" t="s">
        <v>43</v>
      </c>
    </row>
    <row r="19" spans="1:25" ht="16.5" thickBot="1" x14ac:dyDescent="0.3">
      <c r="A19" s="9">
        <v>44790</v>
      </c>
      <c r="B19" s="3">
        <v>458274</v>
      </c>
      <c r="C19" s="38">
        <f t="shared" si="7"/>
        <v>1190</v>
      </c>
      <c r="D19" s="3">
        <v>12339</v>
      </c>
      <c r="E19" s="38">
        <f t="shared" ref="E19:E33" si="8">(IF((D19-D18)&lt;0,"0",(D19-D18)))*10</f>
        <v>520</v>
      </c>
      <c r="F19" s="3">
        <v>10895300</v>
      </c>
      <c r="G19" s="38">
        <f t="shared" si="5"/>
        <v>585.9</v>
      </c>
      <c r="H19" s="3">
        <v>806235</v>
      </c>
      <c r="I19" s="43">
        <f t="shared" si="6"/>
        <v>4.266</v>
      </c>
      <c r="J19" s="19">
        <f t="shared" si="3"/>
        <v>2300.1660000000002</v>
      </c>
      <c r="K19" s="20">
        <f t="shared" si="4"/>
        <v>13478.972760000002</v>
      </c>
      <c r="Q19" t="s">
        <v>12</v>
      </c>
    </row>
    <row r="20" spans="1:25" ht="16.5" thickBot="1" x14ac:dyDescent="0.3">
      <c r="A20" s="9">
        <v>44791</v>
      </c>
      <c r="B20" s="3">
        <v>458383</v>
      </c>
      <c r="C20" s="38">
        <f t="shared" si="7"/>
        <v>1090</v>
      </c>
      <c r="D20" s="3">
        <v>12371</v>
      </c>
      <c r="E20" s="38">
        <f t="shared" si="8"/>
        <v>320</v>
      </c>
      <c r="F20" s="3">
        <v>10917000</v>
      </c>
      <c r="G20" s="38">
        <f t="shared" si="5"/>
        <v>585.9</v>
      </c>
      <c r="H20" s="3">
        <v>806380</v>
      </c>
      <c r="I20" s="43">
        <f t="shared" si="6"/>
        <v>3.915</v>
      </c>
      <c r="J20" s="19">
        <f t="shared" si="3"/>
        <v>1999.8150000000001</v>
      </c>
      <c r="K20" s="20">
        <f t="shared" si="4"/>
        <v>11718.915900000002</v>
      </c>
    </row>
    <row r="21" spans="1:25" ht="16.5" thickBot="1" x14ac:dyDescent="0.3">
      <c r="A21" s="9">
        <v>44792</v>
      </c>
      <c r="B21" s="3">
        <v>458500</v>
      </c>
      <c r="C21" s="38">
        <f t="shared" si="7"/>
        <v>1170</v>
      </c>
      <c r="D21" s="3">
        <v>12428</v>
      </c>
      <c r="E21" s="38">
        <f t="shared" si="8"/>
        <v>570</v>
      </c>
      <c r="F21" s="3">
        <v>10939600</v>
      </c>
      <c r="G21" s="38">
        <f t="shared" si="5"/>
        <v>610.20000000000005</v>
      </c>
      <c r="H21" s="3">
        <v>806487</v>
      </c>
      <c r="I21" s="43">
        <f t="shared" si="6"/>
        <v>2.8889999999999998</v>
      </c>
      <c r="J21" s="19">
        <f t="shared" si="3"/>
        <v>2353.0889999999999</v>
      </c>
      <c r="K21" s="20">
        <f t="shared" si="4"/>
        <v>13789.10154</v>
      </c>
    </row>
    <row r="22" spans="1:25" ht="16.5" thickBot="1" x14ac:dyDescent="0.3">
      <c r="A22" s="9">
        <v>44793</v>
      </c>
      <c r="B22" s="3">
        <v>458628</v>
      </c>
      <c r="C22" s="38">
        <f t="shared" si="7"/>
        <v>1280</v>
      </c>
      <c r="D22" s="3">
        <v>12492</v>
      </c>
      <c r="E22" s="38">
        <f t="shared" si="8"/>
        <v>640</v>
      </c>
      <c r="F22" s="3">
        <v>10963800</v>
      </c>
      <c r="G22" s="38">
        <f t="shared" si="5"/>
        <v>653.4</v>
      </c>
      <c r="H22" s="3">
        <v>806618</v>
      </c>
      <c r="I22" s="43">
        <f t="shared" si="6"/>
        <v>3.5369999999999999</v>
      </c>
      <c r="J22" s="19">
        <f t="shared" si="3"/>
        <v>2576.9369999999999</v>
      </c>
      <c r="K22" s="20">
        <f t="shared" si="4"/>
        <v>15100.85082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>
        <v>458749</v>
      </c>
      <c r="C23" s="38">
        <f t="shared" si="7"/>
        <v>1210</v>
      </c>
      <c r="D23" s="3">
        <v>12545</v>
      </c>
      <c r="E23" s="38">
        <f t="shared" si="8"/>
        <v>530</v>
      </c>
      <c r="F23" s="3">
        <v>10986200</v>
      </c>
      <c r="G23" s="38">
        <f t="shared" si="5"/>
        <v>604.79999999999995</v>
      </c>
      <c r="H23" s="3">
        <v>806755</v>
      </c>
      <c r="I23" s="43">
        <f t="shared" si="6"/>
        <v>3.6989999999999998</v>
      </c>
      <c r="J23" s="19">
        <f t="shared" si="3"/>
        <v>2348.4990000000003</v>
      </c>
      <c r="K23" s="20">
        <f t="shared" si="4"/>
        <v>13762.204140000002</v>
      </c>
      <c r="Q23" t="s">
        <v>12</v>
      </c>
    </row>
    <row r="24" spans="1:25" ht="16.5" thickBot="1" x14ac:dyDescent="0.3">
      <c r="A24" s="9">
        <v>44795</v>
      </c>
      <c r="B24" s="3">
        <v>458851</v>
      </c>
      <c r="C24" s="38">
        <f t="shared" si="7"/>
        <v>1020</v>
      </c>
      <c r="D24" s="3">
        <v>12585</v>
      </c>
      <c r="E24" s="38">
        <f t="shared" si="8"/>
        <v>400</v>
      </c>
      <c r="F24" s="3">
        <v>11010000</v>
      </c>
      <c r="G24" s="38">
        <f t="shared" si="5"/>
        <v>642.6</v>
      </c>
      <c r="H24" s="3">
        <v>806898</v>
      </c>
      <c r="I24" s="43">
        <f t="shared" si="6"/>
        <v>3.8609999999999998</v>
      </c>
      <c r="J24" s="19">
        <f t="shared" si="3"/>
        <v>2066.4609999999998</v>
      </c>
      <c r="K24" s="20">
        <f t="shared" si="4"/>
        <v>12109.461459999999</v>
      </c>
      <c r="N24" s="166"/>
    </row>
    <row r="25" spans="1:25" ht="17.25" customHeight="1" thickBot="1" x14ac:dyDescent="0.4">
      <c r="A25" s="9">
        <v>44796</v>
      </c>
      <c r="B25" s="3">
        <v>458981</v>
      </c>
      <c r="C25" s="38">
        <f t="shared" si="7"/>
        <v>1300</v>
      </c>
      <c r="D25" s="3">
        <v>12634</v>
      </c>
      <c r="E25" s="38">
        <f t="shared" si="8"/>
        <v>490</v>
      </c>
      <c r="F25" s="3">
        <v>11034800</v>
      </c>
      <c r="G25" s="38">
        <f t="shared" si="5"/>
        <v>669.6</v>
      </c>
      <c r="H25" s="3">
        <v>807056</v>
      </c>
      <c r="I25" s="43">
        <f t="shared" si="6"/>
        <v>4.266</v>
      </c>
      <c r="J25" s="19">
        <f t="shared" si="3"/>
        <v>2463.866</v>
      </c>
      <c r="K25" s="20">
        <f t="shared" si="4"/>
        <v>14438.25476</v>
      </c>
      <c r="Y25" s="54"/>
    </row>
    <row r="26" spans="1:25" ht="16.5" thickBot="1" x14ac:dyDescent="0.3">
      <c r="A26" s="9">
        <v>44797</v>
      </c>
      <c r="B26" s="3">
        <v>459082</v>
      </c>
      <c r="C26" s="38">
        <f t="shared" si="7"/>
        <v>1010</v>
      </c>
      <c r="D26" s="3">
        <v>12676</v>
      </c>
      <c r="E26" s="38">
        <f t="shared" si="8"/>
        <v>420</v>
      </c>
      <c r="F26" s="3">
        <v>11059200</v>
      </c>
      <c r="G26" s="38">
        <f t="shared" si="5"/>
        <v>658.8</v>
      </c>
      <c r="H26" s="3">
        <v>807180</v>
      </c>
      <c r="I26" s="43">
        <f t="shared" si="6"/>
        <v>3.3479999999999999</v>
      </c>
      <c r="J26" s="19">
        <f t="shared" si="3"/>
        <v>2092.1480000000001</v>
      </c>
      <c r="K26" s="20">
        <f t="shared" si="4"/>
        <v>12259.987280000001</v>
      </c>
      <c r="L26" t="s">
        <v>12</v>
      </c>
    </row>
    <row r="27" spans="1:25" ht="16.5" thickBot="1" x14ac:dyDescent="0.3">
      <c r="A27" s="9">
        <v>44798</v>
      </c>
      <c r="B27" s="3">
        <v>459188</v>
      </c>
      <c r="C27" s="38">
        <f t="shared" si="7"/>
        <v>1060</v>
      </c>
      <c r="D27" s="3">
        <v>12720</v>
      </c>
      <c r="E27" s="38">
        <f t="shared" si="8"/>
        <v>440</v>
      </c>
      <c r="F27" s="3">
        <v>11083400</v>
      </c>
      <c r="G27" s="38">
        <f t="shared" si="5"/>
        <v>653.4</v>
      </c>
      <c r="H27" s="3">
        <v>807311</v>
      </c>
      <c r="I27" s="43">
        <f t="shared" si="6"/>
        <v>3.5369999999999999</v>
      </c>
      <c r="J27" s="19">
        <f t="shared" si="3"/>
        <v>2156.9369999999999</v>
      </c>
      <c r="K27" s="20">
        <f t="shared" si="4"/>
        <v>12639.650820000001</v>
      </c>
      <c r="N27" s="34"/>
      <c r="O27" t="s">
        <v>12</v>
      </c>
    </row>
    <row r="28" spans="1:25" ht="16.5" thickBot="1" x14ac:dyDescent="0.3">
      <c r="A28" s="9">
        <v>44799</v>
      </c>
      <c r="B28" s="3">
        <v>459282</v>
      </c>
      <c r="C28" s="38">
        <f t="shared" si="7"/>
        <v>940</v>
      </c>
      <c r="D28" s="3">
        <v>12761</v>
      </c>
      <c r="E28" s="38">
        <f t="shared" si="8"/>
        <v>410</v>
      </c>
      <c r="F28" s="3">
        <v>11105800</v>
      </c>
      <c r="G28" s="38">
        <f t="shared" si="5"/>
        <v>604.79999999999995</v>
      </c>
      <c r="H28" s="3">
        <v>807446</v>
      </c>
      <c r="I28" s="43">
        <f t="shared" si="6"/>
        <v>3.645</v>
      </c>
      <c r="J28" s="19">
        <f t="shared" si="3"/>
        <v>1958.4449999999999</v>
      </c>
      <c r="K28" s="20">
        <f t="shared" si="4"/>
        <v>11476.4877</v>
      </c>
    </row>
    <row r="29" spans="1:25" ht="16.5" thickBot="1" x14ac:dyDescent="0.3">
      <c r="A29" s="9">
        <v>44800</v>
      </c>
      <c r="B29" s="3">
        <v>459388</v>
      </c>
      <c r="C29" s="38">
        <f t="shared" si="7"/>
        <v>1060</v>
      </c>
      <c r="D29" s="3">
        <v>12804</v>
      </c>
      <c r="E29" s="38">
        <f t="shared" si="8"/>
        <v>430</v>
      </c>
      <c r="F29" s="3">
        <v>11131400</v>
      </c>
      <c r="G29" s="38">
        <f t="shared" si="5"/>
        <v>691.2</v>
      </c>
      <c r="H29" s="3">
        <v>807606</v>
      </c>
      <c r="I29" s="43">
        <f t="shared" si="6"/>
        <v>4.32</v>
      </c>
      <c r="J29" s="19">
        <f t="shared" si="3"/>
        <v>2185.52</v>
      </c>
      <c r="K29" s="20">
        <f t="shared" si="4"/>
        <v>12807.147200000001</v>
      </c>
    </row>
    <row r="30" spans="1:25" ht="16.5" thickBot="1" x14ac:dyDescent="0.3">
      <c r="A30" s="9">
        <v>44801</v>
      </c>
      <c r="B30" s="3">
        <v>459488</v>
      </c>
      <c r="C30" s="38">
        <f t="shared" si="7"/>
        <v>1000</v>
      </c>
      <c r="D30" s="3">
        <v>12845</v>
      </c>
      <c r="E30" s="38">
        <f t="shared" si="8"/>
        <v>410</v>
      </c>
      <c r="F30" s="3">
        <v>11155000</v>
      </c>
      <c r="G30" s="38">
        <f t="shared" si="5"/>
        <v>637.20000000000005</v>
      </c>
      <c r="H30" s="3">
        <v>807768</v>
      </c>
      <c r="I30" s="43">
        <f t="shared" si="6"/>
        <v>4.3739999999999997</v>
      </c>
      <c r="J30" s="19">
        <f t="shared" si="3"/>
        <v>2051.5740000000001</v>
      </c>
      <c r="K30" s="20">
        <f t="shared" si="4"/>
        <v>12022.22364</v>
      </c>
    </row>
    <row r="31" spans="1:25" ht="16.5" thickBot="1" x14ac:dyDescent="0.3">
      <c r="A31" s="9">
        <v>44802</v>
      </c>
      <c r="B31" s="3">
        <v>459586</v>
      </c>
      <c r="C31" s="38">
        <f t="shared" si="7"/>
        <v>980</v>
      </c>
      <c r="D31" s="3">
        <v>12888</v>
      </c>
      <c r="E31" s="38">
        <f t="shared" si="8"/>
        <v>430</v>
      </c>
      <c r="F31" s="3">
        <v>11177200</v>
      </c>
      <c r="G31" s="38">
        <f t="shared" si="5"/>
        <v>599.4</v>
      </c>
      <c r="H31" s="3">
        <v>807924</v>
      </c>
      <c r="I31" s="43">
        <f t="shared" si="6"/>
        <v>4.2119999999999997</v>
      </c>
      <c r="J31" s="19">
        <f t="shared" si="3"/>
        <v>2013.6120000000001</v>
      </c>
      <c r="K31" s="20">
        <f t="shared" si="4"/>
        <v>11799.766320000001</v>
      </c>
    </row>
    <row r="32" spans="1:25" ht="16.5" thickBot="1" x14ac:dyDescent="0.3">
      <c r="A32" s="9">
        <v>44803</v>
      </c>
      <c r="B32" s="3">
        <v>459685</v>
      </c>
      <c r="C32" s="38">
        <f t="shared" si="7"/>
        <v>990</v>
      </c>
      <c r="D32" s="3">
        <v>12935</v>
      </c>
      <c r="E32" s="38">
        <f t="shared" si="8"/>
        <v>470</v>
      </c>
      <c r="F32" s="3">
        <v>11201100</v>
      </c>
      <c r="G32" s="38">
        <f t="shared" si="5"/>
        <v>645.29999999999995</v>
      </c>
      <c r="H32" s="3">
        <v>808100</v>
      </c>
      <c r="I32" s="43">
        <f t="shared" si="6"/>
        <v>4.7519999999999998</v>
      </c>
      <c r="J32" s="19">
        <f t="shared" si="3"/>
        <v>2110.0520000000001</v>
      </c>
      <c r="K32" s="20">
        <f t="shared" si="4"/>
        <v>12364.904720000002</v>
      </c>
    </row>
    <row r="33" spans="1:11" ht="16.5" thickBot="1" x14ac:dyDescent="0.3">
      <c r="A33" s="9">
        <v>44804</v>
      </c>
      <c r="B33" s="3">
        <v>459795</v>
      </c>
      <c r="C33" s="38">
        <f t="shared" si="7"/>
        <v>1100</v>
      </c>
      <c r="D33" s="3">
        <v>12991</v>
      </c>
      <c r="E33" s="38">
        <f t="shared" si="8"/>
        <v>560</v>
      </c>
      <c r="F33" s="3">
        <v>11222500</v>
      </c>
      <c r="G33" s="38">
        <f t="shared" si="5"/>
        <v>577.79999999999995</v>
      </c>
      <c r="H33" s="3">
        <v>808267</v>
      </c>
      <c r="I33" s="43">
        <f t="shared" si="6"/>
        <v>4.5090000000000003</v>
      </c>
      <c r="J33" s="19">
        <f t="shared" si="3"/>
        <v>2242.3090000000002</v>
      </c>
      <c r="K33" s="20">
        <f t="shared" si="4"/>
        <v>13139.930740000002</v>
      </c>
    </row>
    <row r="34" spans="1:11" ht="16.5" thickBot="1" x14ac:dyDescent="0.3">
      <c r="A34" s="55" t="s">
        <v>23</v>
      </c>
      <c r="B34" s="55"/>
      <c r="C34" s="55">
        <f>SUM(C3:C33)</f>
        <v>32690</v>
      </c>
      <c r="D34" s="55"/>
      <c r="E34" s="55">
        <f>SUM(E3:E33)</f>
        <v>13850</v>
      </c>
      <c r="F34" s="55"/>
      <c r="G34" s="55">
        <f>SUM(G3:G33)</f>
        <v>18764.999999999996</v>
      </c>
      <c r="H34" s="55"/>
      <c r="I34" s="55">
        <f>SUM(I3:I33)</f>
        <v>113.48100000000001</v>
      </c>
      <c r="J34" s="55">
        <v>0</v>
      </c>
      <c r="K34" s="55">
        <f>SUM(K4:K33)</f>
        <v>369561.63249999995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5" activePane="bottomLeft" state="frozen"/>
      <selection pane="bottomLeft" activeCell="A33" sqref="A33:XFD3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18431120</v>
      </c>
      <c r="C7" s="44">
        <f t="shared" si="0"/>
        <v>1339</v>
      </c>
    </row>
    <row r="8" spans="1:9" ht="24" thickBot="1" x14ac:dyDescent="0.4">
      <c r="A8" s="9">
        <v>44779</v>
      </c>
      <c r="B8" s="132">
        <v>18432560</v>
      </c>
      <c r="C8" s="44">
        <f t="shared" si="0"/>
        <v>1440</v>
      </c>
    </row>
    <row r="9" spans="1:9" ht="24" thickBot="1" x14ac:dyDescent="0.4">
      <c r="A9" s="9">
        <v>44780</v>
      </c>
      <c r="B9" s="132">
        <v>18433926</v>
      </c>
      <c r="C9" s="44">
        <f t="shared" si="0"/>
        <v>1366</v>
      </c>
    </row>
    <row r="10" spans="1:9" ht="24" thickBot="1" x14ac:dyDescent="0.4">
      <c r="A10" s="9">
        <v>44781</v>
      </c>
      <c r="B10" s="132">
        <v>18435989</v>
      </c>
      <c r="C10" s="44">
        <f t="shared" si="0"/>
        <v>2063</v>
      </c>
    </row>
    <row r="11" spans="1:9" ht="24" thickBot="1" x14ac:dyDescent="0.4">
      <c r="A11" s="9">
        <v>44782</v>
      </c>
      <c r="B11" s="132">
        <v>18437958</v>
      </c>
      <c r="C11" s="44">
        <f t="shared" si="0"/>
        <v>1969</v>
      </c>
    </row>
    <row r="12" spans="1:9" ht="24" thickBot="1" x14ac:dyDescent="0.4">
      <c r="A12" s="9">
        <v>44783</v>
      </c>
      <c r="B12" s="132">
        <v>18439784</v>
      </c>
      <c r="C12" s="44">
        <f t="shared" si="0"/>
        <v>1826</v>
      </c>
    </row>
    <row r="13" spans="1:9" ht="24" thickBot="1" x14ac:dyDescent="0.4">
      <c r="A13" s="9">
        <v>44784</v>
      </c>
      <c r="B13" s="132">
        <v>18441650</v>
      </c>
      <c r="C13" s="44">
        <f t="shared" si="0"/>
        <v>1866</v>
      </c>
    </row>
    <row r="14" spans="1:9" ht="24" thickBot="1" x14ac:dyDescent="0.4">
      <c r="A14" s="9">
        <v>44785</v>
      </c>
      <c r="B14" s="132">
        <v>18443302</v>
      </c>
      <c r="C14" s="44">
        <f t="shared" si="0"/>
        <v>1652</v>
      </c>
    </row>
    <row r="15" spans="1:9" ht="24" thickBot="1" x14ac:dyDescent="0.4">
      <c r="A15" s="9">
        <v>44786</v>
      </c>
      <c r="B15" s="132">
        <v>18445743</v>
      </c>
      <c r="C15" s="44">
        <f t="shared" si="0"/>
        <v>2441</v>
      </c>
      <c r="I15" t="s">
        <v>12</v>
      </c>
    </row>
    <row r="16" spans="1:9" ht="26.25" customHeight="1" thickBot="1" x14ac:dyDescent="0.4">
      <c r="A16" s="9">
        <v>44787</v>
      </c>
      <c r="B16" s="132">
        <v>18447610</v>
      </c>
      <c r="C16" s="44">
        <f t="shared" si="0"/>
        <v>1867</v>
      </c>
      <c r="F16" s="153"/>
    </row>
    <row r="17" spans="1:9" ht="25.5" customHeight="1" thickBot="1" x14ac:dyDescent="0.4">
      <c r="A17" s="9">
        <v>44788</v>
      </c>
      <c r="B17" s="132">
        <v>18449571</v>
      </c>
      <c r="C17" s="44">
        <f t="shared" si="0"/>
        <v>1961</v>
      </c>
    </row>
    <row r="18" spans="1:9" ht="24" thickBot="1" x14ac:dyDescent="0.4">
      <c r="A18" s="9">
        <v>44789</v>
      </c>
      <c r="B18" s="132">
        <v>18451373</v>
      </c>
      <c r="C18" s="44">
        <f t="shared" si="0"/>
        <v>1802</v>
      </c>
      <c r="I18" s="34"/>
    </row>
    <row r="19" spans="1:9" ht="24" thickBot="1" x14ac:dyDescent="0.4">
      <c r="A19" s="9">
        <v>44790</v>
      </c>
      <c r="B19" s="132">
        <v>18453158</v>
      </c>
      <c r="C19" s="44">
        <f t="shared" si="0"/>
        <v>1785</v>
      </c>
    </row>
    <row r="20" spans="1:9" ht="24" thickBot="1" x14ac:dyDescent="0.4">
      <c r="A20" s="9">
        <v>44791</v>
      </c>
      <c r="B20" s="132">
        <v>18455000</v>
      </c>
      <c r="C20" s="44">
        <f t="shared" si="0"/>
        <v>1842</v>
      </c>
    </row>
    <row r="21" spans="1:9" ht="24" thickBot="1" x14ac:dyDescent="0.4">
      <c r="A21" s="9">
        <v>44792</v>
      </c>
      <c r="B21" s="132">
        <v>18456584</v>
      </c>
      <c r="C21" s="44">
        <f t="shared" si="0"/>
        <v>1584</v>
      </c>
    </row>
    <row r="22" spans="1:9" ht="24" thickBot="1" x14ac:dyDescent="0.4">
      <c r="A22" s="9">
        <v>44793</v>
      </c>
      <c r="B22" s="132">
        <v>18458791</v>
      </c>
      <c r="C22" s="44">
        <f t="shared" si="0"/>
        <v>2207</v>
      </c>
    </row>
    <row r="23" spans="1:9" ht="24" thickBot="1" x14ac:dyDescent="0.4">
      <c r="A23" s="9">
        <v>44794</v>
      </c>
      <c r="B23" s="132">
        <v>18460757</v>
      </c>
      <c r="C23" s="44">
        <f t="shared" si="0"/>
        <v>1966</v>
      </c>
      <c r="F23" t="s">
        <v>12</v>
      </c>
    </row>
    <row r="24" spans="1:9" ht="24" thickBot="1" x14ac:dyDescent="0.4">
      <c r="A24" s="9">
        <v>44795</v>
      </c>
      <c r="B24" s="132">
        <v>18463801</v>
      </c>
      <c r="C24" s="44">
        <f t="shared" si="0"/>
        <v>3044</v>
      </c>
      <c r="E24" t="s">
        <v>12</v>
      </c>
    </row>
    <row r="25" spans="1:9" ht="24" thickBot="1" x14ac:dyDescent="0.4">
      <c r="A25" s="9">
        <v>44796</v>
      </c>
      <c r="B25" s="132">
        <v>18465369</v>
      </c>
      <c r="C25" s="44">
        <f t="shared" si="0"/>
        <v>1568</v>
      </c>
    </row>
    <row r="26" spans="1:9" ht="24" thickBot="1" x14ac:dyDescent="0.4">
      <c r="A26" s="9">
        <v>44797</v>
      </c>
      <c r="B26" s="132">
        <v>18466984</v>
      </c>
      <c r="C26" s="44">
        <f t="shared" si="0"/>
        <v>1615</v>
      </c>
    </row>
    <row r="27" spans="1:9" ht="24" thickBot="1" x14ac:dyDescent="0.4">
      <c r="A27" s="9">
        <v>44798</v>
      </c>
      <c r="B27" s="132">
        <v>18469762</v>
      </c>
      <c r="C27" s="44">
        <f t="shared" si="0"/>
        <v>2778</v>
      </c>
    </row>
    <row r="28" spans="1:9" ht="24" thickBot="1" x14ac:dyDescent="0.4">
      <c r="A28" s="9">
        <v>44799</v>
      </c>
      <c r="B28" s="132">
        <v>18471759</v>
      </c>
      <c r="C28" s="44">
        <f t="shared" si="0"/>
        <v>1997</v>
      </c>
      <c r="I28" t="s">
        <v>12</v>
      </c>
    </row>
    <row r="29" spans="1:9" ht="24" thickBot="1" x14ac:dyDescent="0.4">
      <c r="A29" s="9">
        <v>44800</v>
      </c>
      <c r="B29" s="132">
        <v>18473648</v>
      </c>
      <c r="C29" s="44">
        <f t="shared" si="0"/>
        <v>1889</v>
      </c>
    </row>
    <row r="30" spans="1:9" ht="24" thickBot="1" x14ac:dyDescent="0.4">
      <c r="A30" s="9">
        <v>44801</v>
      </c>
      <c r="B30" s="132">
        <v>18474357</v>
      </c>
      <c r="C30" s="44">
        <f t="shared" si="0"/>
        <v>709</v>
      </c>
    </row>
    <row r="31" spans="1:9" ht="24" thickBot="1" x14ac:dyDescent="0.4">
      <c r="A31" s="9">
        <v>44802</v>
      </c>
      <c r="B31" s="132">
        <v>18476287</v>
      </c>
      <c r="C31" s="44">
        <f t="shared" si="0"/>
        <v>1930</v>
      </c>
    </row>
    <row r="32" spans="1:9" ht="24" thickBot="1" x14ac:dyDescent="0.4">
      <c r="A32" s="9">
        <v>44803</v>
      </c>
      <c r="B32" s="132">
        <v>18478103</v>
      </c>
      <c r="C32" s="44">
        <f t="shared" si="0"/>
        <v>1816</v>
      </c>
    </row>
    <row r="33" spans="1:3" ht="24" thickBot="1" x14ac:dyDescent="0.4">
      <c r="A33" s="9">
        <v>44804</v>
      </c>
      <c r="B33" s="132">
        <v>18479856</v>
      </c>
      <c r="C33" s="44">
        <f t="shared" si="0"/>
        <v>1753</v>
      </c>
    </row>
    <row r="34" spans="1:3" ht="24" thickBot="1" x14ac:dyDescent="0.4">
      <c r="A34" s="134" t="s">
        <v>138</v>
      </c>
      <c r="B34" s="134"/>
      <c r="C34" s="134">
        <f>SUM(C4:C33)</f>
        <v>56772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7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4">
        <v>44773</v>
      </c>
      <c r="X2" s="155">
        <v>193600</v>
      </c>
      <c r="Y2" s="160"/>
      <c r="Z2" s="155">
        <v>9656</v>
      </c>
      <c r="AA2" s="160"/>
      <c r="AB2" s="155">
        <v>31</v>
      </c>
      <c r="AC2" s="160"/>
      <c r="AD2" s="155">
        <v>650</v>
      </c>
      <c r="AE2" s="160"/>
      <c r="AF2" s="155">
        <v>8426</v>
      </c>
      <c r="AG2" s="160"/>
    </row>
    <row r="3" spans="1:33" ht="16.5" thickBot="1" x14ac:dyDescent="0.25">
      <c r="A3" s="9">
        <v>44774</v>
      </c>
      <c r="B3" s="157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4">
        <v>44774</v>
      </c>
      <c r="X3" s="155">
        <v>193953</v>
      </c>
      <c r="Y3" s="160">
        <f t="shared" ref="Y3:AG31" si="21">IF((X3-X2)&lt;0,"0",(X3-X2))</f>
        <v>353</v>
      </c>
      <c r="Z3" s="155">
        <v>9664</v>
      </c>
      <c r="AA3" s="160">
        <f t="shared" si="21"/>
        <v>8</v>
      </c>
      <c r="AB3" s="155">
        <v>31</v>
      </c>
      <c r="AC3" s="160">
        <f t="shared" si="21"/>
        <v>0</v>
      </c>
      <c r="AD3" s="155">
        <v>650</v>
      </c>
      <c r="AE3" s="160">
        <f t="shared" si="21"/>
        <v>0</v>
      </c>
      <c r="AF3" s="155">
        <v>8439</v>
      </c>
      <c r="AG3" s="160">
        <f t="shared" si="21"/>
        <v>13</v>
      </c>
    </row>
    <row r="4" spans="1:33" ht="16.5" thickBot="1" x14ac:dyDescent="0.25">
      <c r="A4" s="9">
        <v>44775</v>
      </c>
      <c r="B4" s="157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4">
        <v>44775</v>
      </c>
      <c r="X4" s="155">
        <v>194278</v>
      </c>
      <c r="Y4" s="160">
        <f t="shared" si="21"/>
        <v>325</v>
      </c>
      <c r="Z4" s="155">
        <v>9677</v>
      </c>
      <c r="AA4" s="160">
        <f t="shared" si="21"/>
        <v>13</v>
      </c>
      <c r="AB4" s="155">
        <v>31</v>
      </c>
      <c r="AC4" s="160">
        <f t="shared" si="21"/>
        <v>0</v>
      </c>
      <c r="AD4" s="155">
        <v>650</v>
      </c>
      <c r="AE4" s="160">
        <f t="shared" si="21"/>
        <v>0</v>
      </c>
      <c r="AF4" s="155">
        <v>8456</v>
      </c>
      <c r="AG4" s="160">
        <f t="shared" si="21"/>
        <v>17</v>
      </c>
    </row>
    <row r="5" spans="1:33" ht="16.5" thickBot="1" x14ac:dyDescent="0.25">
      <c r="A5" s="9">
        <v>44776</v>
      </c>
      <c r="B5" s="157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4">
        <v>44776</v>
      </c>
      <c r="X5" s="155">
        <v>194727</v>
      </c>
      <c r="Y5" s="160">
        <f t="shared" si="21"/>
        <v>449</v>
      </c>
      <c r="Z5" s="155">
        <v>9689</v>
      </c>
      <c r="AA5" s="160">
        <f t="shared" si="21"/>
        <v>12</v>
      </c>
      <c r="AB5" s="155">
        <v>31</v>
      </c>
      <c r="AC5" s="160">
        <f t="shared" si="21"/>
        <v>0</v>
      </c>
      <c r="AD5" s="155">
        <v>650</v>
      </c>
      <c r="AE5" s="160">
        <f t="shared" si="21"/>
        <v>0</v>
      </c>
      <c r="AF5" s="155">
        <v>8468</v>
      </c>
      <c r="AG5" s="160">
        <f t="shared" si="21"/>
        <v>12</v>
      </c>
    </row>
    <row r="6" spans="1:33" ht="16.5" thickBot="1" x14ac:dyDescent="0.25">
      <c r="A6" s="9">
        <v>44777</v>
      </c>
      <c r="B6" s="157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4">
        <v>44777</v>
      </c>
      <c r="X6" s="155">
        <v>194973</v>
      </c>
      <c r="Y6" s="160">
        <f t="shared" si="21"/>
        <v>246</v>
      </c>
      <c r="Z6" s="155">
        <v>9695</v>
      </c>
      <c r="AA6" s="160">
        <f t="shared" si="21"/>
        <v>6</v>
      </c>
      <c r="AB6" s="155">
        <v>31</v>
      </c>
      <c r="AC6" s="160">
        <f t="shared" si="21"/>
        <v>0</v>
      </c>
      <c r="AD6" s="155">
        <v>650</v>
      </c>
      <c r="AE6" s="160">
        <f t="shared" si="21"/>
        <v>0</v>
      </c>
      <c r="AF6" s="155">
        <v>8468</v>
      </c>
      <c r="AG6" s="160">
        <f t="shared" si="21"/>
        <v>0</v>
      </c>
    </row>
    <row r="7" spans="1:33" ht="16.5" thickBot="1" x14ac:dyDescent="0.25">
      <c r="A7" s="9">
        <v>44778</v>
      </c>
      <c r="B7" s="157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4">
        <v>44778</v>
      </c>
      <c r="X7" s="155">
        <v>195273</v>
      </c>
      <c r="Y7" s="160">
        <f t="shared" si="21"/>
        <v>300</v>
      </c>
      <c r="Z7" s="155">
        <v>9699</v>
      </c>
      <c r="AA7" s="160">
        <f t="shared" si="21"/>
        <v>4</v>
      </c>
      <c r="AB7" s="155">
        <v>31</v>
      </c>
      <c r="AC7" s="160">
        <f t="shared" si="21"/>
        <v>0</v>
      </c>
      <c r="AD7" s="155">
        <v>650</v>
      </c>
      <c r="AE7" s="160">
        <f t="shared" si="21"/>
        <v>0</v>
      </c>
      <c r="AF7" s="155">
        <v>8498</v>
      </c>
      <c r="AG7" s="160">
        <f t="shared" si="21"/>
        <v>30</v>
      </c>
    </row>
    <row r="8" spans="1:33" ht="16.5" thickBot="1" x14ac:dyDescent="0.25">
      <c r="A8" s="9">
        <v>44779</v>
      </c>
      <c r="B8" s="157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4">
        <v>44779</v>
      </c>
      <c r="X8" s="155">
        <v>195567</v>
      </c>
      <c r="Y8" s="160">
        <f t="shared" si="21"/>
        <v>294</v>
      </c>
      <c r="Z8" s="155">
        <v>9704</v>
      </c>
      <c r="AA8" s="160">
        <f t="shared" si="21"/>
        <v>5</v>
      </c>
      <c r="AB8" s="155">
        <v>31</v>
      </c>
      <c r="AC8" s="160">
        <f t="shared" si="21"/>
        <v>0</v>
      </c>
      <c r="AD8" s="155">
        <v>650</v>
      </c>
      <c r="AE8" s="160">
        <f t="shared" si="21"/>
        <v>0</v>
      </c>
      <c r="AF8" s="155">
        <v>8498</v>
      </c>
      <c r="AG8" s="160">
        <f t="shared" si="21"/>
        <v>0</v>
      </c>
    </row>
    <row r="9" spans="1:33" ht="16.5" thickBot="1" x14ac:dyDescent="0.25">
      <c r="A9" s="9">
        <v>44780</v>
      </c>
      <c r="B9" s="157">
        <v>24403.161</v>
      </c>
      <c r="C9" s="43">
        <f t="shared" si="22"/>
        <v>18.332999999998719</v>
      </c>
      <c r="D9" s="28">
        <f t="shared" si="23"/>
        <v>34832.699999997567</v>
      </c>
      <c r="E9" s="1">
        <v>4423.8999999999996</v>
      </c>
      <c r="F9" s="43">
        <f t="shared" si="24"/>
        <v>3.714999999999236</v>
      </c>
      <c r="G9" s="28">
        <f t="shared" si="25"/>
        <v>7058.4999999985484</v>
      </c>
      <c r="H9" s="1">
        <v>5793</v>
      </c>
      <c r="I9" s="43">
        <f t="shared" si="26"/>
        <v>10</v>
      </c>
      <c r="J9" s="28">
        <f t="shared" si="27"/>
        <v>19000</v>
      </c>
      <c r="K9" s="7">
        <v>14138.7</v>
      </c>
      <c r="L9" s="43">
        <f t="shared" si="28"/>
        <v>3.7300000000013824</v>
      </c>
      <c r="M9" s="28">
        <f t="shared" si="29"/>
        <v>7087.0000000026257</v>
      </c>
      <c r="N9" s="7">
        <v>3671.4</v>
      </c>
      <c r="O9" s="43">
        <f t="shared" si="30"/>
        <v>2.7010000000000218</v>
      </c>
      <c r="P9" s="28">
        <f t="shared" si="31"/>
        <v>5131.9000000000415</v>
      </c>
      <c r="Q9" s="7">
        <v>5484.7</v>
      </c>
      <c r="R9" s="43">
        <f t="shared" si="32"/>
        <v>2.2799999999997453</v>
      </c>
      <c r="S9" s="28">
        <f t="shared" si="33"/>
        <v>4331.9999999995161</v>
      </c>
      <c r="T9" s="8">
        <f t="shared" si="35"/>
        <v>40.758999999999105</v>
      </c>
      <c r="U9" s="30">
        <f t="shared" si="34"/>
        <v>77442.099999998289</v>
      </c>
      <c r="W9" s="154">
        <v>44780</v>
      </c>
      <c r="X9" s="155">
        <v>195993</v>
      </c>
      <c r="Y9" s="160">
        <f t="shared" si="21"/>
        <v>426</v>
      </c>
      <c r="Z9" s="155">
        <v>9710</v>
      </c>
      <c r="AA9" s="160">
        <f t="shared" si="21"/>
        <v>6</v>
      </c>
      <c r="AB9" s="155">
        <v>31</v>
      </c>
      <c r="AC9" s="160">
        <f t="shared" si="21"/>
        <v>0</v>
      </c>
      <c r="AD9" s="155">
        <v>650</v>
      </c>
      <c r="AE9" s="160">
        <f t="shared" si="21"/>
        <v>0</v>
      </c>
      <c r="AF9" s="155">
        <v>8529</v>
      </c>
      <c r="AG9" s="160">
        <f t="shared" si="21"/>
        <v>31</v>
      </c>
    </row>
    <row r="10" spans="1:33" ht="16.5" thickBot="1" x14ac:dyDescent="0.25">
      <c r="A10" s="9">
        <v>44781</v>
      </c>
      <c r="B10" s="157">
        <v>24415.654999999999</v>
      </c>
      <c r="C10" s="43">
        <f t="shared" si="22"/>
        <v>12.493999999998778</v>
      </c>
      <c r="D10" s="28">
        <f t="shared" si="23"/>
        <v>23738.599999997674</v>
      </c>
      <c r="E10" s="1">
        <v>4426.0159999999996</v>
      </c>
      <c r="F10" s="43">
        <f t="shared" si="24"/>
        <v>2.1159999999999854</v>
      </c>
      <c r="G10" s="28">
        <f t="shared" si="25"/>
        <v>4020.3999999999719</v>
      </c>
      <c r="H10" s="1">
        <v>5800</v>
      </c>
      <c r="I10" s="43">
        <f t="shared" si="26"/>
        <v>7</v>
      </c>
      <c r="J10" s="28">
        <f t="shared" si="27"/>
        <v>13299.999999999998</v>
      </c>
      <c r="K10" s="7">
        <v>14140.18</v>
      </c>
      <c r="L10" s="43">
        <f t="shared" si="28"/>
        <v>1.4799999999995634</v>
      </c>
      <c r="M10" s="28">
        <f t="shared" si="29"/>
        <v>2811.9999999991701</v>
      </c>
      <c r="N10" s="7">
        <v>3672.989</v>
      </c>
      <c r="O10" s="43">
        <f>IF((N10-N9)&lt;0,"0",(N10-N9))</f>
        <v>1.5889999999999418</v>
      </c>
      <c r="P10" s="28">
        <f t="shared" si="31"/>
        <v>3019.0999999998894</v>
      </c>
      <c r="Q10" s="7">
        <v>5485.24</v>
      </c>
      <c r="R10" s="43">
        <f t="shared" si="32"/>
        <v>0.53999999999996362</v>
      </c>
      <c r="S10" s="28">
        <f t="shared" si="33"/>
        <v>1025.9999999999307</v>
      </c>
      <c r="T10" s="8">
        <f t="shared" si="35"/>
        <v>25.218999999998232</v>
      </c>
      <c r="U10" s="30">
        <f t="shared" si="34"/>
        <v>47916.099999996637</v>
      </c>
      <c r="W10" s="154">
        <v>44781</v>
      </c>
      <c r="X10" s="155">
        <v>196229</v>
      </c>
      <c r="Y10" s="160">
        <f t="shared" si="21"/>
        <v>236</v>
      </c>
      <c r="Z10" s="155">
        <v>9715</v>
      </c>
      <c r="AA10" s="160">
        <f t="shared" si="21"/>
        <v>5</v>
      </c>
      <c r="AB10" s="155">
        <v>31</v>
      </c>
      <c r="AC10" s="160">
        <f t="shared" si="21"/>
        <v>0</v>
      </c>
      <c r="AD10" s="155">
        <v>650</v>
      </c>
      <c r="AE10" s="160">
        <f t="shared" si="21"/>
        <v>0</v>
      </c>
      <c r="AF10" s="155">
        <v>8541</v>
      </c>
      <c r="AG10" s="160">
        <f t="shared" si="21"/>
        <v>12</v>
      </c>
    </row>
    <row r="11" spans="1:33" ht="16.5" thickBot="1" x14ac:dyDescent="0.25">
      <c r="A11" s="9">
        <v>44782</v>
      </c>
      <c r="B11" s="157">
        <v>24425.674999999999</v>
      </c>
      <c r="C11" s="43">
        <f t="shared" si="22"/>
        <v>10.020000000000437</v>
      </c>
      <c r="D11" s="28">
        <f t="shared" si="23"/>
        <v>19038.000000000829</v>
      </c>
      <c r="E11" s="1">
        <v>4429.3159999999998</v>
      </c>
      <c r="F11" s="43">
        <f t="shared" si="24"/>
        <v>3.3000000000001819</v>
      </c>
      <c r="G11" s="28">
        <f t="shared" si="25"/>
        <v>6270.0000000003447</v>
      </c>
      <c r="H11" s="1">
        <v>5807</v>
      </c>
      <c r="I11" s="43">
        <f t="shared" si="26"/>
        <v>7</v>
      </c>
      <c r="J11" s="28">
        <f t="shared" si="27"/>
        <v>13299.999999999998</v>
      </c>
      <c r="K11" s="7">
        <v>14142.08</v>
      </c>
      <c r="L11" s="43">
        <f t="shared" si="28"/>
        <v>1.8999999999996362</v>
      </c>
      <c r="M11" s="28">
        <f t="shared" si="29"/>
        <v>3609.9999999993083</v>
      </c>
      <c r="N11" s="7">
        <v>3674.2890000000002</v>
      </c>
      <c r="O11" s="43">
        <f t="shared" si="30"/>
        <v>1.3000000000001819</v>
      </c>
      <c r="P11" s="28">
        <f t="shared" si="31"/>
        <v>2470.0000000003456</v>
      </c>
      <c r="Q11" s="7">
        <v>5486.24</v>
      </c>
      <c r="R11" s="43">
        <f t="shared" si="32"/>
        <v>1</v>
      </c>
      <c r="S11" s="28">
        <f t="shared" si="33"/>
        <v>1900</v>
      </c>
      <c r="T11" s="8">
        <f t="shared" si="35"/>
        <v>24.520000000000437</v>
      </c>
      <c r="U11" s="30">
        <f t="shared" si="34"/>
        <v>46588.000000000822</v>
      </c>
      <c r="W11" s="154">
        <v>44782</v>
      </c>
      <c r="X11" s="155">
        <v>196529</v>
      </c>
      <c r="Y11" s="160">
        <f t="shared" si="21"/>
        <v>300</v>
      </c>
      <c r="Z11" s="155">
        <v>9720</v>
      </c>
      <c r="AA11" s="160">
        <f t="shared" si="21"/>
        <v>5</v>
      </c>
      <c r="AB11" s="155">
        <v>31</v>
      </c>
      <c r="AC11" s="160">
        <f t="shared" si="21"/>
        <v>0</v>
      </c>
      <c r="AD11" s="155">
        <v>650</v>
      </c>
      <c r="AE11" s="160">
        <f t="shared" si="21"/>
        <v>0</v>
      </c>
      <c r="AF11" s="155">
        <v>8551</v>
      </c>
      <c r="AG11" s="160">
        <f t="shared" si="21"/>
        <v>10</v>
      </c>
    </row>
    <row r="12" spans="1:33" ht="16.5" thickBot="1" x14ac:dyDescent="0.25">
      <c r="A12" s="9">
        <v>44783</v>
      </c>
      <c r="B12" s="157">
        <v>24440.524000000001</v>
      </c>
      <c r="C12" s="43">
        <f t="shared" si="22"/>
        <v>14.849000000001979</v>
      </c>
      <c r="D12" s="28">
        <f t="shared" si="23"/>
        <v>28213.10000000376</v>
      </c>
      <c r="E12" s="1">
        <v>4433.0829999999996</v>
      </c>
      <c r="F12" s="43">
        <f t="shared" si="24"/>
        <v>3.7669999999998254</v>
      </c>
      <c r="G12" s="28">
        <f t="shared" si="25"/>
        <v>7157.2999999996682</v>
      </c>
      <c r="H12" s="1">
        <v>5816</v>
      </c>
      <c r="I12" s="43">
        <f t="shared" si="26"/>
        <v>9</v>
      </c>
      <c r="J12" s="28">
        <f t="shared" si="27"/>
        <v>17099.999999999996</v>
      </c>
      <c r="K12" s="7">
        <v>14144.82</v>
      </c>
      <c r="L12" s="43">
        <f t="shared" si="28"/>
        <v>2.7399999999997817</v>
      </c>
      <c r="M12" s="28">
        <f t="shared" si="29"/>
        <v>5205.9999999995844</v>
      </c>
      <c r="N12" s="7">
        <v>3675.9490000000001</v>
      </c>
      <c r="O12" s="43">
        <f t="shared" si="30"/>
        <v>1.6599999999998545</v>
      </c>
      <c r="P12" s="28">
        <f t="shared" si="31"/>
        <v>3153.9999999997231</v>
      </c>
      <c r="Q12" s="7">
        <v>5487.29</v>
      </c>
      <c r="R12" s="43">
        <f t="shared" si="32"/>
        <v>1.0500000000001819</v>
      </c>
      <c r="S12" s="28">
        <f t="shared" si="33"/>
        <v>1995.0000000003456</v>
      </c>
      <c r="T12" s="8">
        <f t="shared" si="35"/>
        <v>33.066000000001623</v>
      </c>
      <c r="U12" s="30">
        <f t="shared" si="34"/>
        <v>62825.400000003079</v>
      </c>
      <c r="W12" s="154">
        <v>44783</v>
      </c>
      <c r="X12" s="155">
        <v>196857</v>
      </c>
      <c r="Y12" s="160">
        <f t="shared" si="21"/>
        <v>328</v>
      </c>
      <c r="Z12" s="155">
        <v>9725</v>
      </c>
      <c r="AA12" s="160">
        <f t="shared" si="21"/>
        <v>5</v>
      </c>
      <c r="AB12" s="155">
        <v>31</v>
      </c>
      <c r="AC12" s="160">
        <f t="shared" si="21"/>
        <v>0</v>
      </c>
      <c r="AD12" s="155">
        <v>650</v>
      </c>
      <c r="AE12" s="160">
        <f t="shared" si="21"/>
        <v>0</v>
      </c>
      <c r="AF12" s="155">
        <v>8565</v>
      </c>
      <c r="AG12" s="160">
        <f t="shared" si="21"/>
        <v>14</v>
      </c>
    </row>
    <row r="13" spans="1:33" ht="16.5" thickBot="1" x14ac:dyDescent="0.25">
      <c r="A13" s="9">
        <v>44784</v>
      </c>
      <c r="B13" s="157">
        <v>24455.978999999999</v>
      </c>
      <c r="C13" s="43">
        <f t="shared" si="22"/>
        <v>15.454999999998108</v>
      </c>
      <c r="D13" s="28">
        <f t="shared" si="23"/>
        <v>29364.499999996406</v>
      </c>
      <c r="E13" s="1">
        <v>4436.5429999999997</v>
      </c>
      <c r="F13" s="43">
        <f t="shared" si="24"/>
        <v>3.4600000000000364</v>
      </c>
      <c r="G13" s="28">
        <f t="shared" si="25"/>
        <v>6574.0000000000691</v>
      </c>
      <c r="H13" s="1">
        <v>5824</v>
      </c>
      <c r="I13" s="43">
        <f t="shared" si="26"/>
        <v>8</v>
      </c>
      <c r="J13" s="28">
        <f t="shared" si="27"/>
        <v>15200</v>
      </c>
      <c r="K13" s="7">
        <v>14147.37</v>
      </c>
      <c r="L13" s="43">
        <f t="shared" si="28"/>
        <v>2.5500000000010914</v>
      </c>
      <c r="M13" s="28">
        <f t="shared" si="29"/>
        <v>4845.0000000020736</v>
      </c>
      <c r="N13" s="7">
        <v>3678.011</v>
      </c>
      <c r="O13" s="43">
        <f t="shared" si="30"/>
        <v>2.0619999999998981</v>
      </c>
      <c r="P13" s="28">
        <f t="shared" si="31"/>
        <v>3917.799999999806</v>
      </c>
      <c r="Q13" s="7">
        <v>5488.41</v>
      </c>
      <c r="R13" s="43">
        <f t="shared" si="32"/>
        <v>1.1199999999998909</v>
      </c>
      <c r="S13" s="28">
        <f t="shared" si="33"/>
        <v>2127.9999999997926</v>
      </c>
      <c r="T13" s="8">
        <f t="shared" si="35"/>
        <v>32.646999999999025</v>
      </c>
      <c r="U13" s="30">
        <f t="shared" si="34"/>
        <v>62029.299999998148</v>
      </c>
      <c r="W13" s="154">
        <v>44784</v>
      </c>
      <c r="X13" s="155">
        <v>197206</v>
      </c>
      <c r="Y13" s="160">
        <f t="shared" si="21"/>
        <v>349</v>
      </c>
      <c r="Z13" s="155">
        <v>9730</v>
      </c>
      <c r="AA13" s="160">
        <f t="shared" si="21"/>
        <v>5</v>
      </c>
      <c r="AB13" s="155">
        <v>31</v>
      </c>
      <c r="AC13" s="160">
        <f t="shared" si="21"/>
        <v>0</v>
      </c>
      <c r="AD13" s="155">
        <v>650</v>
      </c>
      <c r="AE13" s="160">
        <f t="shared" si="21"/>
        <v>0</v>
      </c>
      <c r="AF13" s="155">
        <v>8574</v>
      </c>
      <c r="AG13" s="160">
        <f t="shared" si="21"/>
        <v>9</v>
      </c>
    </row>
    <row r="14" spans="1:33" ht="16.5" thickBot="1" x14ac:dyDescent="0.25">
      <c r="A14" s="9">
        <v>44785</v>
      </c>
      <c r="B14" s="157">
        <v>24470</v>
      </c>
      <c r="C14" s="43">
        <f t="shared" si="22"/>
        <v>14.02100000000064</v>
      </c>
      <c r="D14" s="28">
        <f t="shared" si="23"/>
        <v>26639.900000001217</v>
      </c>
      <c r="E14" s="1">
        <v>4438.2740000000003</v>
      </c>
      <c r="F14" s="43">
        <f t="shared" si="24"/>
        <v>1.7310000000006767</v>
      </c>
      <c r="G14" s="28">
        <f t="shared" si="25"/>
        <v>3288.9000000012857</v>
      </c>
      <c r="H14" s="1">
        <v>5831</v>
      </c>
      <c r="I14" s="43">
        <f t="shared" si="26"/>
        <v>7</v>
      </c>
      <c r="J14" s="28">
        <f t="shared" si="27"/>
        <v>13299.999999999998</v>
      </c>
      <c r="K14" s="7">
        <v>14149.95</v>
      </c>
      <c r="L14" s="43">
        <f t="shared" si="28"/>
        <v>2.5799999999999272</v>
      </c>
      <c r="M14" s="28">
        <f t="shared" si="29"/>
        <v>4901.9999999998618</v>
      </c>
      <c r="N14" s="7">
        <v>3679.81</v>
      </c>
      <c r="O14" s="43">
        <f>IF((N14-N13)&lt;0,"0",(N14-N13))</f>
        <v>1.7989999999999782</v>
      </c>
      <c r="P14" s="28">
        <f t="shared" si="31"/>
        <v>3418.0999999999581</v>
      </c>
      <c r="Q14" s="7">
        <v>5489.34</v>
      </c>
      <c r="R14" s="43">
        <f t="shared" si="32"/>
        <v>0.93000000000029104</v>
      </c>
      <c r="S14" s="28">
        <f t="shared" si="33"/>
        <v>1767.0000000005527</v>
      </c>
      <c r="T14" s="8">
        <f t="shared" si="35"/>
        <v>28.061000000001513</v>
      </c>
      <c r="U14" s="30">
        <f t="shared" si="34"/>
        <v>53315.900000002868</v>
      </c>
      <c r="W14" s="154">
        <v>44785</v>
      </c>
      <c r="X14" s="155">
        <v>197488</v>
      </c>
      <c r="Y14" s="160">
        <f t="shared" si="21"/>
        <v>282</v>
      </c>
      <c r="Z14" s="155">
        <v>9734</v>
      </c>
      <c r="AA14" s="160">
        <f t="shared" si="21"/>
        <v>4</v>
      </c>
      <c r="AB14" s="155">
        <v>31.5</v>
      </c>
      <c r="AC14" s="160">
        <f t="shared" si="21"/>
        <v>0.5</v>
      </c>
      <c r="AD14" s="155">
        <v>650</v>
      </c>
      <c r="AE14" s="160">
        <f t="shared" si="21"/>
        <v>0</v>
      </c>
      <c r="AF14" s="155">
        <v>8584</v>
      </c>
      <c r="AG14" s="160">
        <f t="shared" si="21"/>
        <v>10</v>
      </c>
    </row>
    <row r="15" spans="1:33" ht="16.5" thickBot="1" x14ac:dyDescent="0.25">
      <c r="A15" s="9">
        <v>44786</v>
      </c>
      <c r="B15" s="157">
        <v>24488.18</v>
      </c>
      <c r="C15" s="43">
        <f t="shared" ref="C15" si="36">IF((B15-B14)&lt;0,"0",(B15-B14))</f>
        <v>18.180000000000291</v>
      </c>
      <c r="D15" s="28">
        <f t="shared" ref="D15" si="37">C15*1.9*1000</f>
        <v>34542.000000000546</v>
      </c>
      <c r="E15" s="1">
        <v>4440.7</v>
      </c>
      <c r="F15" s="43">
        <f t="shared" ref="F15" si="38">IF((E15-E14)&lt;0,"0",(E15-E14))</f>
        <v>2.4259999999994761</v>
      </c>
      <c r="G15" s="28">
        <f t="shared" ref="G15" si="39">F15*1.9*1000</f>
        <v>4609.3999999990046</v>
      </c>
      <c r="H15" s="1">
        <v>5840</v>
      </c>
      <c r="I15" s="43">
        <f t="shared" ref="I15" si="40">IF((H15-H14)&lt;0,"0",(H15-H14))</f>
        <v>9</v>
      </c>
      <c r="J15" s="28">
        <f t="shared" ref="J15" si="41">I15*1.9*1000</f>
        <v>17099.999999999996</v>
      </c>
      <c r="K15" s="7">
        <v>14153.28</v>
      </c>
      <c r="L15" s="43">
        <f t="shared" ref="L15" si="42">IF((K15-K14)&lt;0,"0",(K15-K14))</f>
        <v>3.3299999999999272</v>
      </c>
      <c r="M15" s="28">
        <f t="shared" ref="M15" si="43">L15*1.9*1000</f>
        <v>6326.9999999998618</v>
      </c>
      <c r="N15" s="7">
        <v>3682.89</v>
      </c>
      <c r="O15" s="43">
        <f>IF((N15-N14)&lt;0,"0",(N15-N14))</f>
        <v>3.0799999999999272</v>
      </c>
      <c r="P15" s="28">
        <f t="shared" ref="P15" si="44">O15*1.9*1000</f>
        <v>5851.9999999998618</v>
      </c>
      <c r="Q15" s="7">
        <v>5490.52</v>
      </c>
      <c r="R15" s="43">
        <f t="shared" ref="R15" si="45">IF((Q15-Q14)&lt;0,"0",(Q15-Q14))</f>
        <v>1.180000000000291</v>
      </c>
      <c r="S15" s="28">
        <f t="shared" ref="S15" si="46">R15*1.9*1000</f>
        <v>2242.000000000553</v>
      </c>
      <c r="T15" s="8">
        <f t="shared" ref="T15" si="47">C15+F15+I15+L15+O15+R15</f>
        <v>37.195999999999913</v>
      </c>
      <c r="U15" s="30">
        <f t="shared" ref="U15" si="48">T15*1.9*1000</f>
        <v>70672.39999999982</v>
      </c>
      <c r="W15" s="154">
        <v>44786</v>
      </c>
      <c r="X15" s="155">
        <v>197802</v>
      </c>
      <c r="Y15" s="160">
        <f t="shared" si="21"/>
        <v>314</v>
      </c>
      <c r="Z15" s="155">
        <v>9740</v>
      </c>
      <c r="AA15" s="160">
        <f t="shared" si="21"/>
        <v>6</v>
      </c>
      <c r="AB15" s="155">
        <v>31.5</v>
      </c>
      <c r="AC15" s="160">
        <f t="shared" si="21"/>
        <v>0</v>
      </c>
      <c r="AD15" s="155">
        <v>650</v>
      </c>
      <c r="AE15" s="160">
        <f t="shared" si="21"/>
        <v>0</v>
      </c>
      <c r="AF15" s="155">
        <v>8583</v>
      </c>
      <c r="AG15" s="160" t="str">
        <f t="shared" si="21"/>
        <v>0</v>
      </c>
    </row>
    <row r="16" spans="1:33" ht="16.5" thickBot="1" x14ac:dyDescent="0.25">
      <c r="A16" s="9">
        <v>44787</v>
      </c>
      <c r="B16" s="157">
        <v>24499</v>
      </c>
      <c r="C16" s="43">
        <f t="shared" si="22"/>
        <v>10.819999999999709</v>
      </c>
      <c r="D16" s="28">
        <f t="shared" si="23"/>
        <v>20557.999999999447</v>
      </c>
      <c r="E16" s="1">
        <v>4443</v>
      </c>
      <c r="F16" s="43">
        <f t="shared" si="24"/>
        <v>2.3000000000001819</v>
      </c>
      <c r="G16" s="28">
        <f t="shared" si="25"/>
        <v>4370.0000000003456</v>
      </c>
      <c r="H16" s="1">
        <v>5847</v>
      </c>
      <c r="I16" s="43">
        <f t="shared" si="26"/>
        <v>7</v>
      </c>
      <c r="J16" s="28">
        <f t="shared" si="27"/>
        <v>13299.999999999998</v>
      </c>
      <c r="K16" s="7">
        <v>14155.5</v>
      </c>
      <c r="L16" s="43">
        <f t="shared" si="28"/>
        <v>2.2199999999993452</v>
      </c>
      <c r="M16" s="28">
        <f t="shared" si="29"/>
        <v>4217.9999999987558</v>
      </c>
      <c r="N16" s="7">
        <v>3684</v>
      </c>
      <c r="O16" s="43">
        <f t="shared" si="30"/>
        <v>1.1100000000001273</v>
      </c>
      <c r="P16" s="28">
        <f t="shared" si="31"/>
        <v>2109.0000000002419</v>
      </c>
      <c r="Q16" s="7">
        <v>5492.3</v>
      </c>
      <c r="R16" s="43">
        <f t="shared" si="32"/>
        <v>1.7799999999997453</v>
      </c>
      <c r="S16" s="28">
        <f t="shared" si="33"/>
        <v>3381.9999999995161</v>
      </c>
      <c r="T16" s="8">
        <f t="shared" si="35"/>
        <v>25.229999999999109</v>
      </c>
      <c r="U16" s="30">
        <f t="shared" si="34"/>
        <v>47936.999999998305</v>
      </c>
      <c r="W16" s="154">
        <v>44787</v>
      </c>
      <c r="X16" s="155">
        <v>198113</v>
      </c>
      <c r="Y16" s="160">
        <f t="shared" si="21"/>
        <v>311</v>
      </c>
      <c r="Z16" s="155">
        <v>9746</v>
      </c>
      <c r="AA16" s="160">
        <f t="shared" si="21"/>
        <v>6</v>
      </c>
      <c r="AB16" s="155">
        <v>31.5</v>
      </c>
      <c r="AC16" s="160">
        <f t="shared" si="21"/>
        <v>0</v>
      </c>
      <c r="AD16" s="155">
        <v>650</v>
      </c>
      <c r="AE16" s="160">
        <f t="shared" si="21"/>
        <v>0</v>
      </c>
      <c r="AF16" s="155">
        <v>8607</v>
      </c>
      <c r="AG16" s="160">
        <f t="shared" si="21"/>
        <v>24</v>
      </c>
    </row>
    <row r="17" spans="1:33" ht="16.5" thickBot="1" x14ac:dyDescent="0.25">
      <c r="A17" s="9">
        <v>44788</v>
      </c>
      <c r="B17" s="157">
        <v>24512</v>
      </c>
      <c r="C17" s="43">
        <f t="shared" si="22"/>
        <v>13</v>
      </c>
      <c r="D17" s="28">
        <f t="shared" si="23"/>
        <v>24700</v>
      </c>
      <c r="E17" s="1">
        <v>4446.8</v>
      </c>
      <c r="F17" s="43">
        <f t="shared" si="24"/>
        <v>3.8000000000001819</v>
      </c>
      <c r="G17" s="28">
        <f t="shared" si="25"/>
        <v>7220.0000000003456</v>
      </c>
      <c r="H17" s="1">
        <v>5855</v>
      </c>
      <c r="I17" s="43">
        <f t="shared" si="26"/>
        <v>8</v>
      </c>
      <c r="J17" s="28">
        <f t="shared" si="27"/>
        <v>15200</v>
      </c>
      <c r="K17" s="7">
        <v>14157.84</v>
      </c>
      <c r="L17" s="43">
        <f t="shared" si="28"/>
        <v>2.3400000000001455</v>
      </c>
      <c r="M17" s="28">
        <f t="shared" si="29"/>
        <v>4446.0000000002756</v>
      </c>
      <c r="N17" s="7">
        <v>3686.511</v>
      </c>
      <c r="O17" s="43">
        <f t="shared" si="30"/>
        <v>2.5109999999999673</v>
      </c>
      <c r="P17" s="28">
        <f t="shared" si="31"/>
        <v>4770.8999999999378</v>
      </c>
      <c r="Q17" s="7">
        <v>5492.45</v>
      </c>
      <c r="R17" s="43">
        <f t="shared" si="32"/>
        <v>0.1499999999996362</v>
      </c>
      <c r="S17" s="28">
        <f t="shared" si="33"/>
        <v>284.99999999930873</v>
      </c>
      <c r="T17" s="8">
        <f t="shared" si="35"/>
        <v>29.800999999999931</v>
      </c>
      <c r="U17" s="30">
        <f t="shared" si="34"/>
        <v>56621.89999999987</v>
      </c>
      <c r="W17" s="154">
        <v>44788</v>
      </c>
      <c r="X17" s="155">
        <v>198494</v>
      </c>
      <c r="Y17" s="160">
        <f t="shared" si="21"/>
        <v>381</v>
      </c>
      <c r="Z17" s="155">
        <v>9764</v>
      </c>
      <c r="AA17" s="160">
        <f t="shared" si="21"/>
        <v>18</v>
      </c>
      <c r="AB17" s="155">
        <v>31.5</v>
      </c>
      <c r="AC17" s="160">
        <f t="shared" si="21"/>
        <v>0</v>
      </c>
      <c r="AD17" s="155">
        <v>650</v>
      </c>
      <c r="AE17" s="160">
        <f t="shared" si="21"/>
        <v>0</v>
      </c>
      <c r="AF17" s="155">
        <v>8621</v>
      </c>
      <c r="AG17" s="160">
        <f t="shared" si="21"/>
        <v>14</v>
      </c>
    </row>
    <row r="18" spans="1:33" ht="16.5" thickBot="1" x14ac:dyDescent="0.25">
      <c r="A18" s="9">
        <v>44789</v>
      </c>
      <c r="B18" s="157">
        <v>24523.9</v>
      </c>
      <c r="C18" s="43">
        <f t="shared" si="22"/>
        <v>11.900000000001455</v>
      </c>
      <c r="D18" s="28">
        <f t="shared" si="23"/>
        <v>22610.000000002765</v>
      </c>
      <c r="E18" s="1">
        <v>4449.4939999999997</v>
      </c>
      <c r="F18" s="43">
        <f t="shared" si="24"/>
        <v>2.6939999999995052</v>
      </c>
      <c r="G18" s="28">
        <f t="shared" si="25"/>
        <v>5118.5999999990599</v>
      </c>
      <c r="H18" s="1">
        <v>5863</v>
      </c>
      <c r="I18" s="43">
        <f t="shared" si="26"/>
        <v>8</v>
      </c>
      <c r="J18" s="28">
        <f t="shared" si="27"/>
        <v>15200</v>
      </c>
      <c r="K18" s="7">
        <v>14159.8</v>
      </c>
      <c r="L18" s="43">
        <f t="shared" si="28"/>
        <v>1.9599999999991269</v>
      </c>
      <c r="M18" s="28">
        <f t="shared" si="29"/>
        <v>3723.9999999983411</v>
      </c>
      <c r="N18" s="7">
        <v>3688.335</v>
      </c>
      <c r="O18" s="43">
        <f t="shared" si="30"/>
        <v>1.8240000000000691</v>
      </c>
      <c r="P18" s="28">
        <f t="shared" si="31"/>
        <v>3465.6000000001313</v>
      </c>
      <c r="Q18" s="7">
        <v>5493.4</v>
      </c>
      <c r="R18" s="43">
        <f t="shared" si="32"/>
        <v>0.9499999999998181</v>
      </c>
      <c r="S18" s="28">
        <f t="shared" si="33"/>
        <v>1804.9999999996542</v>
      </c>
      <c r="T18" s="8">
        <f t="shared" si="35"/>
        <v>27.327999999999975</v>
      </c>
      <c r="U18" s="30">
        <f t="shared" si="34"/>
        <v>51923.199999999953</v>
      </c>
      <c r="W18" s="154">
        <v>44789</v>
      </c>
      <c r="X18" s="155">
        <v>198842</v>
      </c>
      <c r="Y18" s="160">
        <f t="shared" si="21"/>
        <v>348</v>
      </c>
      <c r="Z18" s="155">
        <v>9769</v>
      </c>
      <c r="AA18" s="160">
        <f t="shared" si="21"/>
        <v>5</v>
      </c>
      <c r="AB18" s="155">
        <v>31.5</v>
      </c>
      <c r="AC18" s="160">
        <f t="shared" si="21"/>
        <v>0</v>
      </c>
      <c r="AD18" s="155">
        <v>650</v>
      </c>
      <c r="AE18" s="160">
        <f t="shared" si="21"/>
        <v>0</v>
      </c>
      <c r="AF18" s="155">
        <v>8634</v>
      </c>
      <c r="AG18" s="160">
        <f t="shared" si="21"/>
        <v>13</v>
      </c>
    </row>
    <row r="19" spans="1:33" ht="16.5" thickBot="1" x14ac:dyDescent="0.25">
      <c r="A19" s="9">
        <v>44790</v>
      </c>
      <c r="B19" s="157">
        <v>24538</v>
      </c>
      <c r="C19" s="43">
        <f t="shared" si="22"/>
        <v>14.099999999998545</v>
      </c>
      <c r="D19" s="28">
        <f t="shared" si="23"/>
        <v>26789.999999997235</v>
      </c>
      <c r="E19" s="1">
        <v>4453.5069999999996</v>
      </c>
      <c r="F19" s="43">
        <f t="shared" si="24"/>
        <v>4.01299999999992</v>
      </c>
      <c r="G19" s="28">
        <f t="shared" si="25"/>
        <v>7624.6999999998479</v>
      </c>
      <c r="H19" s="1">
        <v>5872</v>
      </c>
      <c r="I19" s="43">
        <f t="shared" si="26"/>
        <v>9</v>
      </c>
      <c r="J19" s="28">
        <f t="shared" si="27"/>
        <v>17099.999999999996</v>
      </c>
      <c r="K19" s="7">
        <v>14162</v>
      </c>
      <c r="L19" s="43">
        <f t="shared" si="28"/>
        <v>2.2000000000007276</v>
      </c>
      <c r="M19" s="28">
        <f t="shared" si="29"/>
        <v>4180.0000000013824</v>
      </c>
      <c r="N19" s="7">
        <v>3690.6</v>
      </c>
      <c r="O19" s="43">
        <f t="shared" si="30"/>
        <v>2.2649999999998727</v>
      </c>
      <c r="P19" s="28">
        <f t="shared" si="31"/>
        <v>4303.4999999997581</v>
      </c>
      <c r="Q19" s="7">
        <v>5494.2</v>
      </c>
      <c r="R19" s="43">
        <f t="shared" si="32"/>
        <v>0.8000000000001819</v>
      </c>
      <c r="S19" s="28">
        <f t="shared" si="33"/>
        <v>1520.0000000003456</v>
      </c>
      <c r="T19" s="8">
        <f t="shared" si="35"/>
        <v>32.377999999999247</v>
      </c>
      <c r="U19" s="30">
        <f t="shared" si="34"/>
        <v>61518.199999998564</v>
      </c>
      <c r="W19" s="154">
        <v>44790</v>
      </c>
      <c r="X19" s="155">
        <v>199148</v>
      </c>
      <c r="Y19" s="160">
        <f t="shared" si="21"/>
        <v>306</v>
      </c>
      <c r="Z19" s="155">
        <v>9773</v>
      </c>
      <c r="AA19" s="160">
        <f t="shared" si="21"/>
        <v>4</v>
      </c>
      <c r="AB19" s="155">
        <v>31.5</v>
      </c>
      <c r="AC19" s="160">
        <f t="shared" si="21"/>
        <v>0</v>
      </c>
      <c r="AD19" s="155">
        <v>650</v>
      </c>
      <c r="AE19" s="160">
        <f t="shared" si="21"/>
        <v>0</v>
      </c>
      <c r="AF19" s="155">
        <v>8651</v>
      </c>
      <c r="AG19" s="160">
        <f t="shared" si="21"/>
        <v>17</v>
      </c>
    </row>
    <row r="20" spans="1:33" ht="16.5" thickBot="1" x14ac:dyDescent="0.25">
      <c r="A20" s="9">
        <v>44791</v>
      </c>
      <c r="B20" s="157">
        <v>24551.754000000001</v>
      </c>
      <c r="C20" s="43">
        <f t="shared" si="22"/>
        <v>13.754000000000815</v>
      </c>
      <c r="D20" s="28">
        <f t="shared" si="23"/>
        <v>26132.600000001545</v>
      </c>
      <c r="E20" s="1">
        <v>4456.7449999999999</v>
      </c>
      <c r="F20" s="43">
        <f t="shared" si="24"/>
        <v>3.2380000000002838</v>
      </c>
      <c r="G20" s="28">
        <f t="shared" si="25"/>
        <v>6152.2000000005391</v>
      </c>
      <c r="H20" s="1">
        <v>5880</v>
      </c>
      <c r="I20" s="43">
        <f t="shared" si="26"/>
        <v>8</v>
      </c>
      <c r="J20" s="28">
        <f t="shared" si="27"/>
        <v>15200</v>
      </c>
      <c r="K20" s="7">
        <v>14165.39</v>
      </c>
      <c r="L20" s="43">
        <f t="shared" si="28"/>
        <v>3.3899999999994179</v>
      </c>
      <c r="M20" s="28">
        <f t="shared" si="29"/>
        <v>6440.9999999988941</v>
      </c>
      <c r="N20" s="7">
        <v>3692.7280000000001</v>
      </c>
      <c r="O20" s="43">
        <f t="shared" si="30"/>
        <v>2.1280000000001564</v>
      </c>
      <c r="P20" s="28">
        <f t="shared" si="31"/>
        <v>4043.2000000002972</v>
      </c>
      <c r="Q20" s="7">
        <v>5495.19</v>
      </c>
      <c r="R20" s="43">
        <f t="shared" si="32"/>
        <v>0.98999999999978172</v>
      </c>
      <c r="S20" s="28">
        <f t="shared" si="33"/>
        <v>1880.9999999995853</v>
      </c>
      <c r="T20" s="8">
        <f t="shared" si="35"/>
        <v>31.500000000000455</v>
      </c>
      <c r="U20" s="30">
        <f t="shared" si="34"/>
        <v>59850.000000000859</v>
      </c>
      <c r="W20" s="154">
        <v>44791</v>
      </c>
      <c r="X20" s="155">
        <v>199449</v>
      </c>
      <c r="Y20" s="160">
        <f t="shared" si="21"/>
        <v>301</v>
      </c>
      <c r="Z20" s="155">
        <v>9778</v>
      </c>
      <c r="AA20" s="160">
        <f t="shared" si="21"/>
        <v>5</v>
      </c>
      <c r="AB20" s="155">
        <v>31.5</v>
      </c>
      <c r="AC20" s="160">
        <f t="shared" si="21"/>
        <v>0</v>
      </c>
      <c r="AD20" s="155">
        <v>650</v>
      </c>
      <c r="AE20" s="160">
        <f t="shared" si="21"/>
        <v>0</v>
      </c>
      <c r="AF20" s="155">
        <v>8660</v>
      </c>
      <c r="AG20" s="160">
        <f t="shared" si="21"/>
        <v>9</v>
      </c>
    </row>
    <row r="21" spans="1:33" ht="16.5" thickBot="1" x14ac:dyDescent="0.25">
      <c r="A21" s="9">
        <v>44792</v>
      </c>
      <c r="B21" s="157">
        <v>24563.723000000002</v>
      </c>
      <c r="C21" s="43">
        <f t="shared" si="22"/>
        <v>11.96900000000096</v>
      </c>
      <c r="D21" s="28">
        <f t="shared" si="23"/>
        <v>22741.100000001825</v>
      </c>
      <c r="E21" s="1">
        <v>4457.96</v>
      </c>
      <c r="F21" s="43">
        <f t="shared" si="24"/>
        <v>1.2150000000001455</v>
      </c>
      <c r="G21" s="28">
        <f t="shared" si="25"/>
        <v>2308.500000000276</v>
      </c>
      <c r="H21" s="1">
        <v>5887</v>
      </c>
      <c r="I21" s="43">
        <f t="shared" si="26"/>
        <v>7</v>
      </c>
      <c r="J21" s="28">
        <f t="shared" si="27"/>
        <v>13299.999999999998</v>
      </c>
      <c r="K21" s="7">
        <v>14167.66</v>
      </c>
      <c r="L21" s="43">
        <f t="shared" si="28"/>
        <v>2.2700000000004366</v>
      </c>
      <c r="M21" s="28">
        <f t="shared" si="29"/>
        <v>4313.0000000008295</v>
      </c>
      <c r="N21" s="7">
        <v>3694.694</v>
      </c>
      <c r="O21" s="43">
        <f t="shared" si="30"/>
        <v>1.9659999999998945</v>
      </c>
      <c r="P21" s="28">
        <f t="shared" si="31"/>
        <v>3735.3999999997995</v>
      </c>
      <c r="Q21" s="7">
        <v>5496.03</v>
      </c>
      <c r="R21" s="43">
        <f t="shared" si="32"/>
        <v>0.84000000000014552</v>
      </c>
      <c r="S21" s="28">
        <f t="shared" si="33"/>
        <v>1596.0000000002763</v>
      </c>
      <c r="T21" s="8">
        <f t="shared" si="35"/>
        <v>25.260000000001583</v>
      </c>
      <c r="U21" s="30">
        <f t="shared" si="34"/>
        <v>47994.000000003005</v>
      </c>
      <c r="W21" s="154">
        <v>44792</v>
      </c>
      <c r="X21" s="155">
        <v>199755</v>
      </c>
      <c r="Y21" s="160">
        <f t="shared" si="21"/>
        <v>306</v>
      </c>
      <c r="Z21" s="155">
        <v>9784</v>
      </c>
      <c r="AA21" s="160">
        <f t="shared" si="21"/>
        <v>6</v>
      </c>
      <c r="AB21" s="155">
        <v>31.6</v>
      </c>
      <c r="AC21" s="160">
        <f t="shared" si="21"/>
        <v>0.10000000000000142</v>
      </c>
      <c r="AD21" s="155">
        <v>650</v>
      </c>
      <c r="AE21" s="160">
        <f t="shared" si="21"/>
        <v>0</v>
      </c>
      <c r="AF21" s="155">
        <v>8677</v>
      </c>
      <c r="AG21" s="160">
        <f t="shared" si="21"/>
        <v>17</v>
      </c>
    </row>
    <row r="22" spans="1:33" ht="16.5" thickBot="1" x14ac:dyDescent="0.25">
      <c r="A22" s="9">
        <v>44793</v>
      </c>
      <c r="B22" s="157">
        <v>24579.258999999998</v>
      </c>
      <c r="C22" s="43">
        <f t="shared" si="22"/>
        <v>15.53599999999642</v>
      </c>
      <c r="D22" s="28">
        <f t="shared" si="23"/>
        <v>29518.399999993195</v>
      </c>
      <c r="E22" s="1">
        <v>4460.3630000000003</v>
      </c>
      <c r="F22" s="43">
        <f t="shared" si="24"/>
        <v>2.4030000000002474</v>
      </c>
      <c r="G22" s="28">
        <f t="shared" si="25"/>
        <v>4565.7000000004691</v>
      </c>
      <c r="H22" s="1">
        <v>5896</v>
      </c>
      <c r="I22" s="43">
        <f t="shared" si="26"/>
        <v>9</v>
      </c>
      <c r="J22" s="28">
        <f t="shared" si="27"/>
        <v>17099.999999999996</v>
      </c>
      <c r="K22" s="7">
        <v>14170.68</v>
      </c>
      <c r="L22" s="43">
        <f t="shared" si="28"/>
        <v>3.0200000000004366</v>
      </c>
      <c r="M22" s="28">
        <f t="shared" si="29"/>
        <v>5738.0000000008295</v>
      </c>
      <c r="N22" s="7">
        <v>3697.4879999999998</v>
      </c>
      <c r="O22" s="43">
        <f t="shared" si="30"/>
        <v>2.793999999999869</v>
      </c>
      <c r="P22" s="28">
        <f t="shared" si="31"/>
        <v>5308.5999999997503</v>
      </c>
      <c r="Q22" s="7">
        <v>5497.32</v>
      </c>
      <c r="R22" s="43">
        <f t="shared" si="32"/>
        <v>1.2899999999999636</v>
      </c>
      <c r="S22" s="28">
        <f t="shared" si="33"/>
        <v>2450.9999999999309</v>
      </c>
      <c r="T22" s="8">
        <f t="shared" si="35"/>
        <v>34.042999999996937</v>
      </c>
      <c r="U22" s="30">
        <f t="shared" si="34"/>
        <v>64681.699999994176</v>
      </c>
      <c r="W22" s="154">
        <v>44793</v>
      </c>
      <c r="X22" s="155">
        <v>200120</v>
      </c>
      <c r="Y22" s="160">
        <f t="shared" si="21"/>
        <v>365</v>
      </c>
      <c r="Z22" s="155">
        <v>9788</v>
      </c>
      <c r="AA22" s="160">
        <f t="shared" si="21"/>
        <v>4</v>
      </c>
      <c r="AB22" s="155">
        <v>31.6</v>
      </c>
      <c r="AC22" s="160">
        <f t="shared" si="21"/>
        <v>0</v>
      </c>
      <c r="AD22" s="155">
        <v>650</v>
      </c>
      <c r="AE22" s="160">
        <f t="shared" si="21"/>
        <v>0</v>
      </c>
      <c r="AF22" s="155">
        <v>8688</v>
      </c>
      <c r="AG22" s="160">
        <f t="shared" si="21"/>
        <v>11</v>
      </c>
    </row>
    <row r="23" spans="1:33" ht="16.5" thickBot="1" x14ac:dyDescent="0.25">
      <c r="A23" s="9">
        <v>44794</v>
      </c>
      <c r="B23" s="157">
        <v>24591.9</v>
      </c>
      <c r="C23" s="43">
        <f t="shared" si="22"/>
        <v>12.64100000000326</v>
      </c>
      <c r="D23" s="28">
        <f t="shared" si="23"/>
        <v>24017.900000006193</v>
      </c>
      <c r="E23" s="1">
        <v>4462.835</v>
      </c>
      <c r="F23" s="43">
        <f t="shared" si="24"/>
        <v>2.4719999999997526</v>
      </c>
      <c r="G23" s="28">
        <f t="shared" si="25"/>
        <v>4696.79999999953</v>
      </c>
      <c r="H23" s="1">
        <v>5903</v>
      </c>
      <c r="I23" s="43">
        <f t="shared" si="26"/>
        <v>7</v>
      </c>
      <c r="J23" s="28">
        <f t="shared" si="27"/>
        <v>13299.999999999998</v>
      </c>
      <c r="K23" s="7">
        <v>14172.5</v>
      </c>
      <c r="L23" s="43">
        <f t="shared" si="28"/>
        <v>1.819999999999709</v>
      </c>
      <c r="M23" s="28">
        <f t="shared" si="29"/>
        <v>3457.999999999447</v>
      </c>
      <c r="N23" s="7">
        <v>3699.3739999999998</v>
      </c>
      <c r="O23" s="43">
        <f t="shared" si="30"/>
        <v>1.8859999999999673</v>
      </c>
      <c r="P23" s="28">
        <f t="shared" si="31"/>
        <v>3583.3999999999373</v>
      </c>
      <c r="Q23" s="7">
        <v>5498.9</v>
      </c>
      <c r="R23" s="43">
        <f t="shared" si="32"/>
        <v>1.5799999999999272</v>
      </c>
      <c r="S23" s="28">
        <f t="shared" si="33"/>
        <v>3001.9999999998618</v>
      </c>
      <c r="T23" s="8">
        <f t="shared" si="35"/>
        <v>27.399000000002616</v>
      </c>
      <c r="U23" s="30">
        <f t="shared" si="34"/>
        <v>52058.100000004968</v>
      </c>
      <c r="W23" s="154">
        <v>44794</v>
      </c>
      <c r="X23" s="155">
        <v>200448</v>
      </c>
      <c r="Y23" s="160">
        <f t="shared" si="21"/>
        <v>328</v>
      </c>
      <c r="Z23" s="155">
        <v>9795</v>
      </c>
      <c r="AA23" s="160">
        <f t="shared" si="21"/>
        <v>7</v>
      </c>
      <c r="AB23" s="155">
        <v>31.6</v>
      </c>
      <c r="AC23" s="160">
        <f t="shared" si="21"/>
        <v>0</v>
      </c>
      <c r="AD23" s="155">
        <v>650</v>
      </c>
      <c r="AE23" s="160">
        <f t="shared" si="21"/>
        <v>0</v>
      </c>
      <c r="AF23" s="155">
        <v>8699</v>
      </c>
      <c r="AG23" s="160">
        <f t="shared" si="21"/>
        <v>11</v>
      </c>
    </row>
    <row r="24" spans="1:33" ht="16.5" thickBot="1" x14ac:dyDescent="0.25">
      <c r="A24" s="9">
        <v>44795</v>
      </c>
      <c r="B24" s="157">
        <v>24606</v>
      </c>
      <c r="C24" s="43">
        <f t="shared" si="22"/>
        <v>14.099999999998545</v>
      </c>
      <c r="D24" s="28">
        <f t="shared" si="23"/>
        <v>26789.999999997235</v>
      </c>
      <c r="E24" s="1">
        <v>4466.3900000000003</v>
      </c>
      <c r="F24" s="43">
        <f t="shared" si="24"/>
        <v>3.555000000000291</v>
      </c>
      <c r="G24" s="28">
        <f t="shared" si="25"/>
        <v>6754.500000000553</v>
      </c>
      <c r="H24" s="1">
        <v>5911</v>
      </c>
      <c r="I24" s="43">
        <f t="shared" si="26"/>
        <v>8</v>
      </c>
      <c r="J24" s="28">
        <f t="shared" si="27"/>
        <v>15200</v>
      </c>
      <c r="K24" s="7">
        <v>14175.04</v>
      </c>
      <c r="L24" s="43">
        <f t="shared" si="28"/>
        <v>2.5400000000008731</v>
      </c>
      <c r="M24" s="28">
        <f t="shared" si="29"/>
        <v>4826.0000000016589</v>
      </c>
      <c r="N24" s="7">
        <v>3701.6</v>
      </c>
      <c r="O24" s="43">
        <f t="shared" si="30"/>
        <v>2.2260000000001128</v>
      </c>
      <c r="P24" s="28">
        <f t="shared" si="31"/>
        <v>4229.4000000002143</v>
      </c>
      <c r="Q24" s="7">
        <v>5499.32</v>
      </c>
      <c r="R24" s="43">
        <f t="shared" si="32"/>
        <v>0.42000000000007276</v>
      </c>
      <c r="S24" s="28">
        <f t="shared" si="33"/>
        <v>798.00000000013813</v>
      </c>
      <c r="T24" s="8">
        <f t="shared" si="35"/>
        <v>30.840999999999894</v>
      </c>
      <c r="U24" s="30">
        <f t="shared" si="34"/>
        <v>58597.899999999798</v>
      </c>
      <c r="W24" s="154">
        <v>44795</v>
      </c>
      <c r="X24" s="155">
        <v>200793</v>
      </c>
      <c r="Y24" s="160">
        <f t="shared" si="21"/>
        <v>345</v>
      </c>
      <c r="Z24" s="155">
        <v>9805</v>
      </c>
      <c r="AA24" s="160">
        <f t="shared" si="21"/>
        <v>10</v>
      </c>
      <c r="AB24" s="155">
        <v>31.6</v>
      </c>
      <c r="AC24" s="160">
        <f t="shared" si="21"/>
        <v>0</v>
      </c>
      <c r="AD24" s="155">
        <v>650</v>
      </c>
      <c r="AE24" s="160">
        <f t="shared" si="21"/>
        <v>0</v>
      </c>
      <c r="AF24" s="155">
        <v>8708</v>
      </c>
      <c r="AG24" s="160">
        <f t="shared" si="21"/>
        <v>9</v>
      </c>
    </row>
    <row r="25" spans="1:33" ht="16.5" thickBot="1" x14ac:dyDescent="0.25">
      <c r="A25" s="9">
        <v>44796</v>
      </c>
      <c r="B25" s="157">
        <v>24621.35</v>
      </c>
      <c r="C25" s="43">
        <f t="shared" si="22"/>
        <v>15.349999999998545</v>
      </c>
      <c r="D25" s="28">
        <f t="shared" si="23"/>
        <v>29164.999999997235</v>
      </c>
      <c r="E25" s="1">
        <v>4470.0559999999996</v>
      </c>
      <c r="F25" s="43">
        <f t="shared" si="24"/>
        <v>3.6659999999992579</v>
      </c>
      <c r="G25" s="28">
        <f t="shared" si="25"/>
        <v>6965.399999998589</v>
      </c>
      <c r="H25" s="1">
        <v>5920</v>
      </c>
      <c r="I25" s="43">
        <f t="shared" si="26"/>
        <v>9</v>
      </c>
      <c r="J25" s="28">
        <f t="shared" si="27"/>
        <v>17099.999999999996</v>
      </c>
      <c r="K25" s="7">
        <v>14177.82</v>
      </c>
      <c r="L25" s="43">
        <f t="shared" si="28"/>
        <v>2.7799999999988358</v>
      </c>
      <c r="M25" s="28">
        <f t="shared" si="29"/>
        <v>5281.9999999977872</v>
      </c>
      <c r="N25" s="7">
        <v>3703.6990000000001</v>
      </c>
      <c r="O25" s="43">
        <f t="shared" si="30"/>
        <v>2.0990000000001601</v>
      </c>
      <c r="P25" s="28">
        <f t="shared" si="31"/>
        <v>3988.1000000003041</v>
      </c>
      <c r="Q25" s="7">
        <v>5500.48</v>
      </c>
      <c r="R25" s="43">
        <f t="shared" si="32"/>
        <v>1.1599999999998545</v>
      </c>
      <c r="S25" s="28">
        <f t="shared" si="33"/>
        <v>2203.9999999997235</v>
      </c>
      <c r="T25" s="8">
        <f t="shared" si="35"/>
        <v>34.054999999996653</v>
      </c>
      <c r="U25" s="30">
        <f t="shared" si="34"/>
        <v>64704.499999993641</v>
      </c>
      <c r="W25" s="154">
        <v>44796</v>
      </c>
      <c r="X25" s="155">
        <v>201178</v>
      </c>
      <c r="Y25" s="160">
        <f t="shared" si="21"/>
        <v>385</v>
      </c>
      <c r="Z25" s="155">
        <v>9812</v>
      </c>
      <c r="AA25" s="160">
        <f t="shared" si="21"/>
        <v>7</v>
      </c>
      <c r="AB25" s="155">
        <v>32</v>
      </c>
      <c r="AC25" s="160">
        <f t="shared" si="21"/>
        <v>0.39999999999999858</v>
      </c>
      <c r="AD25" s="155">
        <v>650</v>
      </c>
      <c r="AE25" s="160">
        <f t="shared" si="21"/>
        <v>0</v>
      </c>
      <c r="AF25" s="155">
        <v>8720</v>
      </c>
      <c r="AG25" s="160">
        <f t="shared" si="21"/>
        <v>12</v>
      </c>
    </row>
    <row r="26" spans="1:33" ht="16.5" thickBot="1" x14ac:dyDescent="0.25">
      <c r="A26" s="9">
        <v>44797</v>
      </c>
      <c r="B26" s="157">
        <v>24635.041000000001</v>
      </c>
      <c r="C26" s="43">
        <f t="shared" si="22"/>
        <v>13.691000000002532</v>
      </c>
      <c r="D26" s="28">
        <f t="shared" si="23"/>
        <v>26012.900000004807</v>
      </c>
      <c r="E26" s="1">
        <v>4473.3729999999996</v>
      </c>
      <c r="F26" s="43">
        <f t="shared" si="24"/>
        <v>3.3170000000000073</v>
      </c>
      <c r="G26" s="28">
        <f t="shared" si="25"/>
        <v>6302.3000000000129</v>
      </c>
      <c r="H26" s="1">
        <v>5928</v>
      </c>
      <c r="I26" s="43">
        <f t="shared" si="26"/>
        <v>8</v>
      </c>
      <c r="J26" s="28">
        <f t="shared" si="27"/>
        <v>15200</v>
      </c>
      <c r="K26" s="7">
        <v>14180.22</v>
      </c>
      <c r="L26" s="43">
        <f>IF((K26-K25)&lt;0,"0",(K26-K25))</f>
        <v>2.3999999999996362</v>
      </c>
      <c r="M26" s="28">
        <f t="shared" si="29"/>
        <v>4559.9999999993088</v>
      </c>
      <c r="N26" s="7">
        <v>3705.9659999999999</v>
      </c>
      <c r="O26" s="43">
        <f t="shared" si="30"/>
        <v>2.2669999999998254</v>
      </c>
      <c r="P26" s="28">
        <f t="shared" si="31"/>
        <v>4307.2999999996682</v>
      </c>
      <c r="Q26" s="7">
        <v>5501.68</v>
      </c>
      <c r="R26" s="43">
        <f t="shared" si="32"/>
        <v>1.2000000000007276</v>
      </c>
      <c r="S26" s="28">
        <f t="shared" si="33"/>
        <v>2280.0000000013824</v>
      </c>
      <c r="T26" s="8">
        <f t="shared" si="35"/>
        <v>30.875000000002728</v>
      </c>
      <c r="U26" s="30">
        <f t="shared" si="34"/>
        <v>58662.50000000518</v>
      </c>
      <c r="V26" t="s">
        <v>12</v>
      </c>
      <c r="W26" s="154">
        <v>44797</v>
      </c>
      <c r="X26" s="155">
        <v>201561</v>
      </c>
      <c r="Y26" s="160">
        <f t="shared" si="21"/>
        <v>383</v>
      </c>
      <c r="Z26" s="155">
        <v>9836</v>
      </c>
      <c r="AA26" s="160">
        <f t="shared" si="21"/>
        <v>24</v>
      </c>
      <c r="AB26" s="155">
        <v>32.5</v>
      </c>
      <c r="AC26" s="160">
        <f t="shared" si="21"/>
        <v>0.5</v>
      </c>
      <c r="AD26" s="155">
        <v>650</v>
      </c>
      <c r="AE26" s="160">
        <f t="shared" si="21"/>
        <v>0</v>
      </c>
      <c r="AF26" s="155">
        <v>8734</v>
      </c>
      <c r="AG26" s="160">
        <f t="shared" si="21"/>
        <v>14</v>
      </c>
    </row>
    <row r="27" spans="1:33" ht="16.5" thickBot="1" x14ac:dyDescent="0.25">
      <c r="A27" s="9">
        <v>44798</v>
      </c>
      <c r="B27" s="157">
        <v>24648.366999999998</v>
      </c>
      <c r="C27" s="43">
        <f t="shared" si="22"/>
        <v>13.325999999997293</v>
      </c>
      <c r="D27" s="28">
        <f t="shared" si="23"/>
        <v>25319.399999994857</v>
      </c>
      <c r="E27" s="1">
        <v>4476.375</v>
      </c>
      <c r="F27" s="43">
        <f t="shared" si="24"/>
        <v>3.0020000000004075</v>
      </c>
      <c r="G27" s="28">
        <f t="shared" si="25"/>
        <v>5703.8000000007742</v>
      </c>
      <c r="H27" s="1">
        <v>5935</v>
      </c>
      <c r="I27" s="43">
        <f t="shared" si="26"/>
        <v>7</v>
      </c>
      <c r="J27" s="28">
        <f t="shared" si="27"/>
        <v>13299.999999999998</v>
      </c>
      <c r="K27" s="7">
        <v>14182.39</v>
      </c>
      <c r="L27" s="43">
        <f t="shared" si="28"/>
        <v>2.1700000000000728</v>
      </c>
      <c r="M27" s="28">
        <f t="shared" si="29"/>
        <v>4123.0000000001382</v>
      </c>
      <c r="N27" s="7">
        <v>3708.04</v>
      </c>
      <c r="O27" s="43">
        <f t="shared" si="30"/>
        <v>2.0740000000000691</v>
      </c>
      <c r="P27" s="28">
        <f t="shared" si="31"/>
        <v>3940.6000000001313</v>
      </c>
      <c r="Q27" s="7">
        <v>5502.67</v>
      </c>
      <c r="R27" s="43">
        <f t="shared" si="32"/>
        <v>0.98999999999978172</v>
      </c>
      <c r="S27" s="28">
        <f t="shared" si="33"/>
        <v>1880.9999999995853</v>
      </c>
      <c r="T27" s="8">
        <f t="shared" si="35"/>
        <v>28.561999999997624</v>
      </c>
      <c r="U27" s="30">
        <f t="shared" si="34"/>
        <v>54267.799999995485</v>
      </c>
      <c r="V27" t="s">
        <v>12</v>
      </c>
      <c r="W27" s="154">
        <v>44798</v>
      </c>
      <c r="X27" s="155">
        <v>201887</v>
      </c>
      <c r="Y27" s="160">
        <f t="shared" si="21"/>
        <v>326</v>
      </c>
      <c r="Z27" s="155">
        <v>9842</v>
      </c>
      <c r="AA27" s="160">
        <f t="shared" si="21"/>
        <v>6</v>
      </c>
      <c r="AB27" s="155">
        <v>32.5</v>
      </c>
      <c r="AC27" s="160">
        <f t="shared" si="21"/>
        <v>0</v>
      </c>
      <c r="AD27" s="155">
        <v>650</v>
      </c>
      <c r="AE27" s="160">
        <f t="shared" si="21"/>
        <v>0</v>
      </c>
      <c r="AF27" s="155">
        <v>8746</v>
      </c>
      <c r="AG27" s="160">
        <f t="shared" si="21"/>
        <v>12</v>
      </c>
    </row>
    <row r="28" spans="1:33" ht="16.5" thickBot="1" x14ac:dyDescent="0.25">
      <c r="A28" s="9">
        <v>44799</v>
      </c>
      <c r="B28" s="157">
        <v>24668.87</v>
      </c>
      <c r="C28" s="43">
        <f t="shared" si="22"/>
        <v>20.503000000000611</v>
      </c>
      <c r="D28" s="28">
        <f t="shared" si="23"/>
        <v>38955.700000001161</v>
      </c>
      <c r="E28" s="1">
        <v>4479.18</v>
      </c>
      <c r="F28" s="43">
        <f t="shared" si="24"/>
        <v>2.805000000000291</v>
      </c>
      <c r="G28" s="28">
        <f t="shared" si="25"/>
        <v>5329.500000000553</v>
      </c>
      <c r="H28" s="1">
        <v>5947</v>
      </c>
      <c r="I28" s="43">
        <f t="shared" si="26"/>
        <v>12</v>
      </c>
      <c r="J28" s="28">
        <f t="shared" si="27"/>
        <v>22799.999999999996</v>
      </c>
      <c r="K28" s="7">
        <v>14186.6</v>
      </c>
      <c r="L28" s="43">
        <f t="shared" si="28"/>
        <v>4.2100000000009459</v>
      </c>
      <c r="M28" s="28">
        <f t="shared" si="29"/>
        <v>7999.0000000017963</v>
      </c>
      <c r="N28" s="7">
        <v>3711.7</v>
      </c>
      <c r="O28" s="43">
        <f t="shared" si="30"/>
        <v>3.6599999999998545</v>
      </c>
      <c r="P28" s="28">
        <f t="shared" si="31"/>
        <v>6953.9999999997235</v>
      </c>
      <c r="Q28" s="7">
        <v>5503.81</v>
      </c>
      <c r="R28" s="43">
        <f t="shared" si="32"/>
        <v>1.1400000000003274</v>
      </c>
      <c r="S28" s="28">
        <f t="shared" si="33"/>
        <v>2166.0000000006221</v>
      </c>
      <c r="T28" s="8">
        <f t="shared" si="35"/>
        <v>44.31800000000203</v>
      </c>
      <c r="U28" s="30">
        <f t="shared" si="34"/>
        <v>84204.200000003853</v>
      </c>
      <c r="W28" s="154">
        <v>44799</v>
      </c>
      <c r="X28" s="155">
        <v>202342</v>
      </c>
      <c r="Y28" s="160">
        <f t="shared" si="21"/>
        <v>455</v>
      </c>
      <c r="Z28" s="155">
        <v>9849</v>
      </c>
      <c r="AA28" s="160">
        <f t="shared" si="21"/>
        <v>7</v>
      </c>
      <c r="AB28" s="155">
        <v>33</v>
      </c>
      <c r="AC28" s="160">
        <f t="shared" si="21"/>
        <v>0.5</v>
      </c>
      <c r="AD28" s="155">
        <v>650</v>
      </c>
      <c r="AE28" s="160">
        <f t="shared" si="21"/>
        <v>0</v>
      </c>
      <c r="AF28" s="155">
        <v>8761</v>
      </c>
      <c r="AG28" s="160">
        <f t="shared" si="21"/>
        <v>15</v>
      </c>
    </row>
    <row r="29" spans="1:33" ht="16.5" thickBot="1" x14ac:dyDescent="0.25">
      <c r="A29" s="9">
        <v>44800</v>
      </c>
      <c r="B29" s="157">
        <v>24679.966</v>
      </c>
      <c r="C29" s="43">
        <f t="shared" si="22"/>
        <v>11.096000000001368</v>
      </c>
      <c r="D29" s="28">
        <f t="shared" si="23"/>
        <v>21082.400000002595</v>
      </c>
      <c r="E29" s="1">
        <v>4481.0320000000002</v>
      </c>
      <c r="F29" s="43">
        <f t="shared" si="24"/>
        <v>1.8519999999998618</v>
      </c>
      <c r="G29" s="28">
        <f t="shared" si="25"/>
        <v>3518.7999999997373</v>
      </c>
      <c r="H29" s="1">
        <v>5953</v>
      </c>
      <c r="I29" s="43">
        <f t="shared" si="26"/>
        <v>6</v>
      </c>
      <c r="J29" s="28">
        <f t="shared" si="27"/>
        <v>11399.999999999998</v>
      </c>
      <c r="K29" s="7">
        <v>14188.03</v>
      </c>
      <c r="L29" s="43">
        <f t="shared" si="28"/>
        <v>1.430000000000291</v>
      </c>
      <c r="M29" s="28">
        <f t="shared" si="29"/>
        <v>2717.000000000553</v>
      </c>
      <c r="N29" s="7">
        <v>3713.14</v>
      </c>
      <c r="O29" s="43">
        <f t="shared" si="30"/>
        <v>1.4400000000000546</v>
      </c>
      <c r="P29" s="28">
        <f t="shared" si="31"/>
        <v>2736.0000000001037</v>
      </c>
      <c r="Q29" s="7">
        <v>5504.84</v>
      </c>
      <c r="R29" s="43">
        <f t="shared" si="32"/>
        <v>1.0299999999997453</v>
      </c>
      <c r="S29" s="28">
        <f t="shared" si="33"/>
        <v>1956.9999999995159</v>
      </c>
      <c r="T29" s="8">
        <f t="shared" si="35"/>
        <v>22.848000000001321</v>
      </c>
      <c r="U29" s="30">
        <f t="shared" si="34"/>
        <v>43411.200000002507</v>
      </c>
      <c r="W29" s="154">
        <v>44800</v>
      </c>
      <c r="X29" s="155">
        <v>202534</v>
      </c>
      <c r="Y29" s="160">
        <f t="shared" si="21"/>
        <v>192</v>
      </c>
      <c r="Z29" s="155">
        <v>9853</v>
      </c>
      <c r="AA29" s="160">
        <f t="shared" si="21"/>
        <v>4</v>
      </c>
      <c r="AB29" s="155">
        <v>33</v>
      </c>
      <c r="AC29" s="160">
        <f t="shared" si="21"/>
        <v>0</v>
      </c>
      <c r="AD29" s="155">
        <v>650</v>
      </c>
      <c r="AE29" s="160">
        <f t="shared" si="21"/>
        <v>0</v>
      </c>
      <c r="AF29" s="155">
        <v>8770</v>
      </c>
      <c r="AG29" s="160">
        <f t="shared" si="21"/>
        <v>9</v>
      </c>
    </row>
    <row r="30" spans="1:33" ht="16.5" thickBot="1" x14ac:dyDescent="0.25">
      <c r="A30" s="9">
        <v>44801</v>
      </c>
      <c r="B30" s="157">
        <v>24696.552</v>
      </c>
      <c r="C30" s="43">
        <f t="shared" si="22"/>
        <v>16.585999999999331</v>
      </c>
      <c r="D30" s="28">
        <f t="shared" si="23"/>
        <v>31513.399999998725</v>
      </c>
      <c r="E30" s="1">
        <v>4485.16</v>
      </c>
      <c r="F30" s="43">
        <f t="shared" si="24"/>
        <v>4.1279999999997017</v>
      </c>
      <c r="G30" s="28">
        <f t="shared" si="25"/>
        <v>7843.1999999994332</v>
      </c>
      <c r="H30" s="1">
        <v>5964</v>
      </c>
      <c r="I30" s="43">
        <f t="shared" si="26"/>
        <v>11</v>
      </c>
      <c r="J30" s="28">
        <f t="shared" si="27"/>
        <v>20900</v>
      </c>
      <c r="K30" s="7">
        <v>14191.41</v>
      </c>
      <c r="L30" s="43">
        <f t="shared" si="28"/>
        <v>3.3799999999991996</v>
      </c>
      <c r="M30" s="28">
        <f t="shared" si="29"/>
        <v>6421.9999999984793</v>
      </c>
      <c r="N30" s="7">
        <v>3715.82</v>
      </c>
      <c r="O30" s="43">
        <f t="shared" si="30"/>
        <v>2.680000000000291</v>
      </c>
      <c r="P30" s="28">
        <f t="shared" si="31"/>
        <v>5092.000000000553</v>
      </c>
      <c r="Q30" s="7">
        <v>5506.5050000000001</v>
      </c>
      <c r="R30" s="43">
        <f t="shared" si="32"/>
        <v>1.6649999999999636</v>
      </c>
      <c r="S30" s="28">
        <f t="shared" si="33"/>
        <v>3163.4999999999309</v>
      </c>
      <c r="T30" s="8">
        <f t="shared" si="35"/>
        <v>39.438999999998487</v>
      </c>
      <c r="U30" s="30">
        <f t="shared" si="34"/>
        <v>74934.09999999711</v>
      </c>
      <c r="W30" s="154">
        <v>44801</v>
      </c>
      <c r="X30" s="155">
        <v>202773</v>
      </c>
      <c r="Y30" s="160">
        <f t="shared" si="21"/>
        <v>239</v>
      </c>
      <c r="Z30" s="155">
        <v>9860</v>
      </c>
      <c r="AA30" s="160">
        <f t="shared" si="21"/>
        <v>7</v>
      </c>
      <c r="AB30" s="155">
        <v>33</v>
      </c>
      <c r="AC30" s="160">
        <f t="shared" si="21"/>
        <v>0</v>
      </c>
      <c r="AD30" s="155">
        <v>650</v>
      </c>
      <c r="AE30" s="160">
        <f t="shared" si="21"/>
        <v>0</v>
      </c>
      <c r="AF30" s="155">
        <v>8787</v>
      </c>
      <c r="AG30" s="160">
        <f t="shared" si="21"/>
        <v>17</v>
      </c>
    </row>
    <row r="31" spans="1:33" ht="16.5" thickBot="1" x14ac:dyDescent="0.25">
      <c r="A31" s="9">
        <v>44802</v>
      </c>
      <c r="B31" s="157">
        <v>24708.080000000002</v>
      </c>
      <c r="C31" s="43">
        <f t="shared" si="22"/>
        <v>11.528000000002066</v>
      </c>
      <c r="D31" s="28">
        <f t="shared" si="23"/>
        <v>21903.200000003922</v>
      </c>
      <c r="E31" s="1">
        <v>4487.6660000000002</v>
      </c>
      <c r="F31" s="43">
        <f t="shared" si="24"/>
        <v>2.5060000000003129</v>
      </c>
      <c r="G31" s="28">
        <f t="shared" si="25"/>
        <v>4761.4000000005944</v>
      </c>
      <c r="H31" s="1">
        <v>5972</v>
      </c>
      <c r="I31" s="43">
        <f t="shared" si="26"/>
        <v>8</v>
      </c>
      <c r="J31" s="28">
        <f t="shared" si="27"/>
        <v>15200</v>
      </c>
      <c r="K31" s="7">
        <v>14193.05</v>
      </c>
      <c r="L31" s="43">
        <f t="shared" si="28"/>
        <v>1.6399999999994179</v>
      </c>
      <c r="M31" s="28">
        <f t="shared" si="29"/>
        <v>3115.9999999988941</v>
      </c>
      <c r="N31" s="7">
        <v>3717</v>
      </c>
      <c r="O31" s="43">
        <f t="shared" si="30"/>
        <v>1.1799999999998363</v>
      </c>
      <c r="P31" s="28">
        <f t="shared" si="31"/>
        <v>2241.9999999996885</v>
      </c>
      <c r="Q31" s="7">
        <v>5506.86</v>
      </c>
      <c r="R31" s="43">
        <f t="shared" si="32"/>
        <v>0.35499999999956344</v>
      </c>
      <c r="S31" s="28">
        <f t="shared" si="33"/>
        <v>674.49999999917054</v>
      </c>
      <c r="T31" s="8">
        <f t="shared" si="35"/>
        <v>25.209000000001197</v>
      </c>
      <c r="U31" s="30">
        <f t="shared" si="34"/>
        <v>47897.100000002269</v>
      </c>
      <c r="W31" s="154">
        <v>44802</v>
      </c>
      <c r="X31" s="155">
        <v>203303</v>
      </c>
      <c r="Y31" s="160">
        <f t="shared" si="21"/>
        <v>530</v>
      </c>
      <c r="Z31" s="155">
        <v>9866</v>
      </c>
      <c r="AA31" s="160">
        <f t="shared" si="21"/>
        <v>6</v>
      </c>
      <c r="AB31" s="155">
        <v>33</v>
      </c>
      <c r="AC31" s="160">
        <f t="shared" si="21"/>
        <v>0</v>
      </c>
      <c r="AD31" s="155">
        <v>650</v>
      </c>
      <c r="AE31" s="160">
        <f t="shared" si="21"/>
        <v>0</v>
      </c>
      <c r="AF31" s="155">
        <v>8801</v>
      </c>
      <c r="AG31" s="160">
        <f t="shared" si="21"/>
        <v>14</v>
      </c>
    </row>
    <row r="32" spans="1:33" ht="16.5" thickBot="1" x14ac:dyDescent="0.25">
      <c r="A32" s="9">
        <v>44803</v>
      </c>
      <c r="B32" s="157">
        <v>24725.333999999999</v>
      </c>
      <c r="C32" s="43">
        <f t="shared" si="22"/>
        <v>17.253999999997177</v>
      </c>
      <c r="D32" s="28">
        <f t="shared" si="23"/>
        <v>32782.599999994636</v>
      </c>
      <c r="E32" s="1">
        <v>4492.1189999999997</v>
      </c>
      <c r="F32" s="43">
        <f t="shared" si="24"/>
        <v>4.4529999999995198</v>
      </c>
      <c r="G32" s="28">
        <f t="shared" si="25"/>
        <v>8460.6999999990876</v>
      </c>
      <c r="H32" s="1">
        <v>5983</v>
      </c>
      <c r="I32" s="43">
        <f t="shared" si="26"/>
        <v>11</v>
      </c>
      <c r="J32" s="28">
        <f t="shared" si="27"/>
        <v>20900</v>
      </c>
      <c r="K32" s="7">
        <v>14196.245000000001</v>
      </c>
      <c r="L32" s="43">
        <f t="shared" si="28"/>
        <v>3.195000000001528</v>
      </c>
      <c r="M32" s="28">
        <f t="shared" si="29"/>
        <v>6070.5000000029022</v>
      </c>
      <c r="N32" s="7">
        <v>3720.239</v>
      </c>
      <c r="O32" s="43">
        <f t="shared" si="30"/>
        <v>3.2390000000000327</v>
      </c>
      <c r="P32" s="28">
        <f t="shared" si="31"/>
        <v>6154.1000000000622</v>
      </c>
      <c r="Q32" s="7">
        <v>5507.18</v>
      </c>
      <c r="R32" s="43">
        <f t="shared" si="32"/>
        <v>0.32000000000061846</v>
      </c>
      <c r="S32" s="28">
        <f t="shared" si="33"/>
        <v>608.00000000117507</v>
      </c>
      <c r="T32" s="8">
        <f t="shared" si="35"/>
        <v>39.460999999998876</v>
      </c>
      <c r="U32" s="30">
        <f t="shared" si="34"/>
        <v>74975.89999999787</v>
      </c>
      <c r="W32" s="154">
        <v>44803</v>
      </c>
      <c r="X32" s="155">
        <v>203635</v>
      </c>
      <c r="Y32" s="160">
        <f t="shared" ref="Y32:Y33" si="49">IF((X32-X31)&lt;0,"0",(X32-X31))</f>
        <v>332</v>
      </c>
      <c r="Z32" s="155">
        <v>9870</v>
      </c>
      <c r="AA32" s="160">
        <f t="shared" ref="AA32:AA33" si="50">IF((Z32-Z31)&lt;0,"0",(Z32-Z31))</f>
        <v>4</v>
      </c>
      <c r="AB32" s="155">
        <v>33</v>
      </c>
      <c r="AC32" s="160">
        <f t="shared" ref="AC32:AC33" si="51">IF((AB32-AB31)&lt;0,"0",(AB32-AB31))</f>
        <v>0</v>
      </c>
      <c r="AD32" s="155">
        <v>652</v>
      </c>
      <c r="AE32" s="160">
        <f t="shared" ref="AE32:AE33" si="52">IF((AD32-AD31)&lt;0,"0",(AD32-AD31))</f>
        <v>2</v>
      </c>
      <c r="AF32" s="155">
        <v>8832</v>
      </c>
      <c r="AG32" s="160">
        <f t="shared" ref="AG32:AG33" si="53">IF((AF32-AF31)&lt;0,"0",(AF32-AF31))</f>
        <v>31</v>
      </c>
    </row>
    <row r="33" spans="1:33" s="22" customFormat="1" ht="16.5" thickBot="1" x14ac:dyDescent="0.25">
      <c r="A33" s="9">
        <v>44804</v>
      </c>
      <c r="B33" s="157">
        <v>24738.928</v>
      </c>
      <c r="C33" s="43">
        <f t="shared" si="22"/>
        <v>13.59400000000096</v>
      </c>
      <c r="D33" s="28">
        <f t="shared" si="23"/>
        <v>25828.600000001825</v>
      </c>
      <c r="E33" s="1">
        <v>4495.0450000000001</v>
      </c>
      <c r="F33" s="43">
        <f t="shared" si="24"/>
        <v>2.9260000000003856</v>
      </c>
      <c r="G33" s="28">
        <f t="shared" si="25"/>
        <v>5559.4000000007327</v>
      </c>
      <c r="H33" s="1">
        <v>5991</v>
      </c>
      <c r="I33" s="43">
        <f t="shared" si="26"/>
        <v>8</v>
      </c>
      <c r="J33" s="28">
        <f t="shared" si="27"/>
        <v>15200</v>
      </c>
      <c r="K33" s="7">
        <v>14198.43</v>
      </c>
      <c r="L33" s="43">
        <f t="shared" si="28"/>
        <v>2.1849999999994907</v>
      </c>
      <c r="M33" s="28">
        <f t="shared" si="29"/>
        <v>4151.4999999990323</v>
      </c>
      <c r="N33" s="7">
        <v>3722.1390000000001</v>
      </c>
      <c r="O33" s="43">
        <f t="shared" si="30"/>
        <v>1.9000000000000909</v>
      </c>
      <c r="P33" s="28">
        <f t="shared" si="31"/>
        <v>3610.0000000001728</v>
      </c>
      <c r="Q33" s="7">
        <v>5508.88</v>
      </c>
      <c r="R33" s="43">
        <f t="shared" si="32"/>
        <v>1.6999999999998181</v>
      </c>
      <c r="S33" s="28">
        <f t="shared" si="33"/>
        <v>3229.9999999996539</v>
      </c>
      <c r="T33" s="8">
        <f t="shared" si="35"/>
        <v>30.305000000000746</v>
      </c>
      <c r="U33" s="30">
        <f t="shared" si="34"/>
        <v>57579.500000001419</v>
      </c>
      <c r="V33"/>
      <c r="W33" s="154">
        <v>44804</v>
      </c>
      <c r="X33" s="155">
        <v>203898</v>
      </c>
      <c r="Y33" s="160">
        <f t="shared" si="49"/>
        <v>263</v>
      </c>
      <c r="Z33" s="155">
        <v>9873</v>
      </c>
      <c r="AA33" s="160">
        <f t="shared" si="50"/>
        <v>3</v>
      </c>
      <c r="AB33" s="155">
        <v>33.6</v>
      </c>
      <c r="AC33" s="160">
        <f t="shared" si="51"/>
        <v>0.60000000000000142</v>
      </c>
      <c r="AD33" s="155">
        <v>655</v>
      </c>
      <c r="AE33" s="160">
        <f t="shared" si="52"/>
        <v>3</v>
      </c>
      <c r="AF33" s="155">
        <v>8847</v>
      </c>
      <c r="AG33" s="160">
        <f t="shared" si="53"/>
        <v>15</v>
      </c>
    </row>
    <row r="34" spans="1:33" s="22" customFormat="1" ht="15.75" thickBot="1" x14ac:dyDescent="0.25">
      <c r="A34" s="158" t="s">
        <v>23</v>
      </c>
      <c r="B34" s="158"/>
      <c r="C34" s="136">
        <f>SUM(C3:C33)</f>
        <v>441.91300000000047</v>
      </c>
      <c r="D34" s="136">
        <f>SUM(D4:D33)</f>
        <v>809686.90000000305</v>
      </c>
      <c r="E34" s="136"/>
      <c r="F34" s="136">
        <f>SUM(F3:F33)</f>
        <v>93.498999999999796</v>
      </c>
      <c r="G34" s="136">
        <f>SUM(G4:G33)</f>
        <v>170530.69999999943</v>
      </c>
      <c r="H34" s="136"/>
      <c r="I34" s="136">
        <f>SUM(I3:I33)</f>
        <v>257</v>
      </c>
      <c r="J34" s="136">
        <f>SUM(J4:J33)</f>
        <v>473100</v>
      </c>
      <c r="K34" s="136"/>
      <c r="L34" s="136">
        <f>SUM(L3:L33)</f>
        <v>79.710000000000946</v>
      </c>
      <c r="M34" s="136">
        <f>SUM(M4:M33)</f>
        <v>146167.00000000055</v>
      </c>
      <c r="N34" s="136"/>
      <c r="O34" s="136">
        <f>SUM(O3:O33)</f>
        <v>65.34900000000016</v>
      </c>
      <c r="P34" s="136">
        <f>SUM(P4:P33)</f>
        <v>120469.50000000038</v>
      </c>
      <c r="Q34" s="136"/>
      <c r="R34" s="136">
        <v>2.21</v>
      </c>
      <c r="S34" s="136">
        <f>SUM(S4:S33)</f>
        <v>71839.000000000757</v>
      </c>
      <c r="T34" s="136">
        <v>22.454999999999998</v>
      </c>
      <c r="U34" s="136">
        <f>SUM(U4:U33)</f>
        <v>1791793.1000000038</v>
      </c>
      <c r="V34"/>
      <c r="W34" s="136" t="s">
        <v>141</v>
      </c>
      <c r="X34" s="136"/>
      <c r="Y34" s="136">
        <f>SUM(Y3:Y33)</f>
        <v>10298</v>
      </c>
      <c r="Z34" s="136"/>
      <c r="AA34" s="136">
        <f>SUM(AA3:AA33)</f>
        <v>217</v>
      </c>
      <c r="AB34" s="136"/>
      <c r="AC34" s="136">
        <f>SUM(AC3:AC33)</f>
        <v>2.6000000000000014</v>
      </c>
      <c r="AD34" s="136"/>
      <c r="AE34" s="136">
        <f>SUM(AE3:AE33)</f>
        <v>5</v>
      </c>
      <c r="AF34" s="136">
        <v>0</v>
      </c>
      <c r="AG34" s="136">
        <f>SUM(AG3:AG33)</f>
        <v>422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20993920</v>
      </c>
      <c r="D2" s="96">
        <f>C2*1.27</f>
        <v>26662278.399999999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33172712</v>
      </c>
      <c r="K3" s="164">
        <f>J3-I3</f>
        <v>726942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4604460</v>
      </c>
      <c r="K4" s="164">
        <f>J4-I4</f>
        <v>1675119</v>
      </c>
    </row>
    <row r="5" spans="1:13" ht="13.5" thickBot="1" x14ac:dyDescent="0.25">
      <c r="A5" s="94"/>
      <c r="B5" s="100" t="s">
        <v>27</v>
      </c>
      <c r="C5" s="104">
        <f>(K10+K12)*0.842284+K26</f>
        <v>-15948598.856948001</v>
      </c>
      <c r="D5" s="104">
        <f t="shared" ref="D5:D11" si="0">C5*1.27</f>
        <v>-20254720.548323963</v>
      </c>
      <c r="E5" s="105"/>
      <c r="F5" s="94"/>
      <c r="G5" s="94"/>
      <c r="H5" s="100" t="s">
        <v>23</v>
      </c>
      <c r="I5" s="106"/>
      <c r="J5" s="106"/>
      <c r="K5" s="126">
        <f>K3+K4</f>
        <v>2402061</v>
      </c>
    </row>
    <row r="6" spans="1:13" ht="13.5" thickBot="1" x14ac:dyDescent="0.25">
      <c r="A6" s="94"/>
      <c r="B6" s="100" t="s">
        <v>99</v>
      </c>
      <c r="C6" s="104">
        <f>(K10+K12+K26)*0.1488</f>
        <v>-2818094.4815999996</v>
      </c>
      <c r="D6" s="104">
        <f t="shared" si="0"/>
        <v>-3578979.9916319996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416185</v>
      </c>
      <c r="K6" s="164">
        <f>J6-I6</f>
        <v>171151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286540</v>
      </c>
      <c r="D7" s="104">
        <f t="shared" si="0"/>
        <v>363905.8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694124</v>
      </c>
      <c r="K7" s="164">
        <f>J7-I7</f>
        <v>196437</v>
      </c>
    </row>
    <row r="8" spans="1:13" ht="13.5" thickBot="1" x14ac:dyDescent="0.25">
      <c r="A8" s="94"/>
      <c r="B8" s="100" t="s">
        <v>103</v>
      </c>
      <c r="C8" s="104">
        <f>K21+K22+K23+K24</f>
        <v>33451</v>
      </c>
      <c r="D8" s="104">
        <f t="shared" si="0"/>
        <v>42482.770000000004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7376027</v>
      </c>
      <c r="K8" s="91">
        <f>(J8-I8)*2</f>
        <v>524340</v>
      </c>
    </row>
    <row r="9" spans="1:13" ht="13.5" thickBot="1" x14ac:dyDescent="0.25">
      <c r="A9" s="94"/>
      <c r="B9" s="100" t="s">
        <v>137</v>
      </c>
      <c r="C9" s="104">
        <f>K25+K16+K17</f>
        <v>7373</v>
      </c>
      <c r="D9" s="104">
        <f t="shared" si="0"/>
        <v>9363.7100000000009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7893717</v>
      </c>
      <c r="K9" s="91">
        <f>J9-I9</f>
        <v>425766</v>
      </c>
    </row>
    <row r="10" spans="1:13" ht="13.5" thickBot="1" x14ac:dyDescent="0.25">
      <c r="A10" s="94"/>
      <c r="B10" s="100" t="s">
        <v>106</v>
      </c>
      <c r="C10" s="104">
        <f>K18</f>
        <v>14720</v>
      </c>
      <c r="D10" s="104">
        <f t="shared" si="0"/>
        <v>18694.400000000001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22200187</v>
      </c>
      <c r="K10" s="91">
        <f>J10-I10</f>
        <v>329431</v>
      </c>
    </row>
    <row r="11" spans="1:13" ht="13.5" thickBot="1" x14ac:dyDescent="0.25">
      <c r="A11" s="94"/>
      <c r="B11" s="100" t="s">
        <v>108</v>
      </c>
      <c r="C11" s="104">
        <f>K19+K20</f>
        <v>4864</v>
      </c>
      <c r="D11" s="104">
        <f t="shared" si="0"/>
        <v>6177.28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222228</v>
      </c>
      <c r="K12" s="91">
        <f>(J12-I12)*2</f>
        <v>-19288878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-17641753</v>
      </c>
    </row>
    <row r="14" spans="1:13" ht="13.5" thickBot="1" x14ac:dyDescent="0.25">
      <c r="A14" s="94"/>
      <c r="B14" s="100" t="s">
        <v>42</v>
      </c>
      <c r="C14" s="104">
        <f>K29</f>
        <v>31590</v>
      </c>
      <c r="D14" s="112">
        <f t="shared" ref="D14:D22" si="1">C14*10.03</f>
        <v>316847.69999999995</v>
      </c>
      <c r="E14" s="113"/>
      <c r="F14" s="94"/>
      <c r="G14" s="94"/>
      <c r="H14" s="100" t="s">
        <v>114</v>
      </c>
      <c r="I14" s="109"/>
      <c r="J14" s="110"/>
      <c r="K14" s="92">
        <f>K5-K13</f>
        <v>20043814</v>
      </c>
    </row>
    <row r="15" spans="1:13" ht="13.5" thickBot="1" x14ac:dyDescent="0.25">
      <c r="A15" s="94"/>
      <c r="B15" s="100" t="s">
        <v>115</v>
      </c>
      <c r="C15" s="114">
        <f>K30</f>
        <v>108.97199999999999</v>
      </c>
      <c r="D15" s="112">
        <f t="shared" si="1"/>
        <v>1092.9891599999999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3382.1234903999998</v>
      </c>
      <c r="D16" s="112">
        <f t="shared" si="1"/>
        <v>33922.698608711995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4045</v>
      </c>
      <c r="K16" s="93">
        <f>(J16-I16)*160</f>
        <v>2560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330432</v>
      </c>
      <c r="K17" s="93">
        <f>(J17-I17)</f>
        <v>4717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26446</v>
      </c>
      <c r="K18" s="93">
        <f>(J18-I18)*160</f>
        <v>14720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167475</v>
      </c>
      <c r="K19" s="93">
        <f>J19-I19</f>
        <v>4864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47504</v>
      </c>
      <c r="K21" s="93">
        <f>(J21-I21)*120</f>
        <v>16080</v>
      </c>
    </row>
    <row r="22" spans="1:11" ht="13.5" thickBot="1" x14ac:dyDescent="0.25">
      <c r="A22" s="94"/>
      <c r="B22" s="100" t="s">
        <v>119</v>
      </c>
      <c r="C22" s="112">
        <f>C14-(C15+C16+C17+C18+C19+C20+C21)</f>
        <v>22278.904509600001</v>
      </c>
      <c r="D22" s="112">
        <f t="shared" si="1"/>
        <v>223457.41223128801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40921</v>
      </c>
      <c r="K22" s="93">
        <f>(J22-I22)*160</f>
        <v>14240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22014</v>
      </c>
      <c r="K23" s="93">
        <f>(J23-I23)*20</f>
        <v>2240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257927</v>
      </c>
      <c r="K24" s="93">
        <f>J24-I24</f>
        <v>891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226326</v>
      </c>
      <c r="K25" s="93">
        <f>J25-I25</f>
        <v>96</v>
      </c>
    </row>
    <row r="26" spans="1:11" ht="13.5" thickBot="1" x14ac:dyDescent="0.25">
      <c r="A26" s="94"/>
      <c r="B26" s="100" t="s">
        <v>42</v>
      </c>
      <c r="C26" s="118">
        <f>K35</f>
        <v>57103</v>
      </c>
      <c r="D26" s="104">
        <f>C26*3.65</f>
        <v>208425.94999999998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20056</v>
      </c>
      <c r="K26" s="93">
        <f>(J26-I26)*160</f>
        <v>20640</v>
      </c>
    </row>
    <row r="27" spans="1:11" ht="13.5" thickBot="1" x14ac:dyDescent="0.25">
      <c r="A27" s="94"/>
      <c r="B27" s="95" t="s">
        <v>124</v>
      </c>
      <c r="C27" s="118">
        <f>C26</f>
        <v>57103</v>
      </c>
      <c r="D27" s="104">
        <f>C27*3.65</f>
        <v>208425.94999999998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459685</v>
      </c>
      <c r="K29" s="93">
        <f>(J29-I29)*10</f>
        <v>31590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808100</v>
      </c>
      <c r="K30" s="93">
        <f>(J30-I30)*0.027</f>
        <v>108.97199999999999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12935</v>
      </c>
      <c r="K31" s="93">
        <f>(J31-I31)*0.027</f>
        <v>35.883000000000003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11201100</v>
      </c>
      <c r="K32" s="93">
        <f>(J32-I32)*0.027</f>
        <v>18187.2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18478103</v>
      </c>
      <c r="K35" s="124">
        <f>J35-I35</f>
        <v>57103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2022-09-01T00:20:44Z</dcterms:modified>
</cp:coreProperties>
</file>