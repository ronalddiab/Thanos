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<sst xmlns="http://schemas.openxmlformats.org/spreadsheetml/2006/main" count="61" uniqueCount="29">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</sst>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I16" sqref="I16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10</v>
      </c>
      <c r="D2" s="7">
        <v>2022</v>
      </c>
      <c r="E2" s="9">
        <f>'Macao Daily'!D5</f>
        <v>30620</v>
      </c>
      <c r="F2" s="37">
        <v>1.2532000000000001</v>
      </c>
      <c r="G2" s="9">
        <f>'Macao Daily'!F5</f>
        <v>7.3260000000000218</v>
      </c>
      <c r="H2" s="37">
        <v>5.2525252525252526</v>
      </c>
      <c r="I2" s="9">
        <f>'Macao Daily'!H5</f>
        <v>78640</v>
      </c>
      <c r="J2" s="37">
        <v>0.26</v>
      </c>
      <c r="K2" s="9">
        <f>'Macao Daily'!J5</f>
        <v>159</v>
      </c>
      <c r="L2" s="37">
        <v>7.7595000000000001</v>
      </c>
      <c r="M2" s="9">
        <f>'Macao Daily'!K5</f>
        <v>296</v>
      </c>
      <c r="N2" s="9">
        <f>'Macao Daily'!L5</f>
        <v>880</v>
      </c>
    </row>
    <row r="3" spans="1:14" ht="15" x14ac:dyDescent="0.25">
      <c r="A3" s="6" t="s">
        <v>28</v>
      </c>
      <c r="B3" s="7">
        <f>B2+1</f>
        <v>2</v>
      </c>
      <c r="C3" s="8">
        <v>10</v>
      </c>
      <c r="D3" s="7">
        <v>2022</v>
      </c>
      <c r="E3" s="9">
        <f>'Macao Daily'!D6</f>
        <v>32482</v>
      </c>
      <c r="F3" s="37">
        <v>1.2532000000000001</v>
      </c>
      <c r="G3" s="9">
        <f>'Macao Daily'!F6</f>
        <v>9.1574999999993452</v>
      </c>
      <c r="H3" s="37">
        <v>5.2525252525252526</v>
      </c>
      <c r="I3" s="9">
        <f>'Macao Daily'!H6</f>
        <v>84704</v>
      </c>
      <c r="J3" s="37">
        <v>0.26</v>
      </c>
      <c r="K3" s="9">
        <f>'Macao Daily'!J6</f>
        <v>222</v>
      </c>
      <c r="L3" s="37">
        <v>7.7595000000000001</v>
      </c>
      <c r="M3" s="9">
        <f>'Macao Daily'!K6</f>
        <v>336</v>
      </c>
      <c r="N3" s="9">
        <f>'Macao Daily'!L6</f>
        <v>1133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10</v>
      </c>
      <c r="D4" s="7">
        <v>2022</v>
      </c>
      <c r="E4" s="9">
        <f>'Macao Daily'!D7</f>
        <v>33207</v>
      </c>
      <c r="F4" s="37">
        <v>1.2532000000000001</v>
      </c>
      <c r="G4" s="9">
        <f>'Macao Daily'!F7</f>
        <v>7.3260000000000218</v>
      </c>
      <c r="H4" s="37">
        <v>5.2525252525252526</v>
      </c>
      <c r="I4" s="9">
        <f>'Macao Daily'!H7</f>
        <v>91488</v>
      </c>
      <c r="J4" s="37">
        <v>0.26</v>
      </c>
      <c r="K4" s="9">
        <f>'Macao Daily'!J7</f>
        <v>277</v>
      </c>
      <c r="L4" s="37">
        <v>7.7595000000000001</v>
      </c>
      <c r="M4" s="9">
        <f>'Macao Daily'!K7</f>
        <v>313</v>
      </c>
      <c r="N4" s="9">
        <f>'Macao Daily'!L7</f>
        <v>1152</v>
      </c>
    </row>
    <row r="5" spans="1:14" ht="15" x14ac:dyDescent="0.25">
      <c r="A5" s="6" t="s">
        <v>28</v>
      </c>
      <c r="B5" s="7">
        <f t="shared" si="0"/>
        <v>4</v>
      </c>
      <c r="C5" s="8">
        <v>10</v>
      </c>
      <c r="D5" s="7">
        <v>2022</v>
      </c>
      <c r="E5" s="9">
        <f>'Macao Daily'!D8</f>
        <v>32003</v>
      </c>
      <c r="F5" s="37">
        <v>1.2532000000000001</v>
      </c>
      <c r="G5" s="9">
        <f>'Macao Daily'!F8</f>
        <v>7.3260000000000218</v>
      </c>
      <c r="H5" s="37">
        <v>5.2525252525252526</v>
      </c>
      <c r="I5" s="9">
        <f>'Macao Daily'!H8</f>
        <v>89136</v>
      </c>
      <c r="J5" s="37">
        <v>0.26</v>
      </c>
      <c r="K5" s="9">
        <f>'Macao Daily'!J8</f>
        <v>238</v>
      </c>
      <c r="L5" s="37">
        <v>7.7595000000000001</v>
      </c>
      <c r="M5" s="9">
        <f>'Macao Daily'!K8</f>
        <v>265</v>
      </c>
      <c r="N5" s="9">
        <f>'Macao Daily'!L8</f>
        <v>1142</v>
      </c>
    </row>
    <row r="6" spans="1:14" ht="15" x14ac:dyDescent="0.25">
      <c r="A6" s="6" t="s">
        <v>28</v>
      </c>
      <c r="B6" s="7">
        <f t="shared" si="0"/>
        <v>5</v>
      </c>
      <c r="C6" s="8">
        <v>10</v>
      </c>
      <c r="D6" s="7">
        <v>2022</v>
      </c>
      <c r="E6" s="9">
        <f>'Macao Daily'!D9</f>
        <v>30766</v>
      </c>
      <c r="F6" s="37">
        <v>1.2532000000000001</v>
      </c>
      <c r="G6" s="9">
        <f>'Macao Daily'!F9</f>
        <v>5.494499999999789</v>
      </c>
      <c r="H6" s="37">
        <v>5.2525252525252526</v>
      </c>
      <c r="I6" s="9">
        <f>'Macao Daily'!H9</f>
        <v>92688</v>
      </c>
      <c r="J6" s="37">
        <v>0.26</v>
      </c>
      <c r="K6" s="9">
        <f>'Macao Daily'!J9</f>
        <v>221</v>
      </c>
      <c r="L6" s="37">
        <v>7.7595000000000001</v>
      </c>
      <c r="M6" s="9">
        <f>'Macao Daily'!K9</f>
        <v>219</v>
      </c>
      <c r="N6" s="9">
        <f>'Macao Daily'!L9</f>
        <v>674</v>
      </c>
    </row>
    <row r="7" spans="1:14" ht="15" x14ac:dyDescent="0.25">
      <c r="A7" s="6" t="s">
        <v>28</v>
      </c>
      <c r="B7" s="7">
        <f t="shared" si="0"/>
        <v>6</v>
      </c>
      <c r="C7" s="8">
        <v>10</v>
      </c>
      <c r="D7" s="7">
        <v>2022</v>
      </c>
      <c r="E7" s="9">
        <f>'Macao Daily'!D10</f>
        <v>30558</v>
      </c>
      <c r="F7" s="37">
        <v>1.2532000000000001</v>
      </c>
      <c r="G7" s="9">
        <f>'Macao Daily'!F10</f>
        <v>9.1575000000002547</v>
      </c>
      <c r="H7" s="37">
        <v>5.2525252525252526</v>
      </c>
      <c r="I7" s="9">
        <f>'Macao Daily'!H10</f>
        <v>92976</v>
      </c>
      <c r="J7" s="37">
        <v>0.26</v>
      </c>
      <c r="K7" s="9">
        <f>'Macao Daily'!J10</f>
        <v>180</v>
      </c>
      <c r="L7" s="37">
        <v>7.7595000000000001</v>
      </c>
      <c r="M7" s="9">
        <f>'Macao Daily'!K10</f>
        <v>199</v>
      </c>
      <c r="N7" s="9">
        <f>'Macao Daily'!L10</f>
        <v>471</v>
      </c>
    </row>
    <row r="8" spans="1:14" ht="15" x14ac:dyDescent="0.25">
      <c r="A8" s="6" t="s">
        <v>28</v>
      </c>
      <c r="B8" s="7">
        <f t="shared" si="0"/>
        <v>7</v>
      </c>
      <c r="C8" s="8">
        <v>10</v>
      </c>
      <c r="D8" s="7">
        <v>2022</v>
      </c>
      <c r="E8" s="9">
        <f>'Macao Daily'!D11</f>
        <v>29096</v>
      </c>
      <c r="F8" s="37">
        <v>1.2532000000000001</v>
      </c>
      <c r="G8" s="9">
        <f>'Macao Daily'!F11</f>
        <v>5.494499999999789</v>
      </c>
      <c r="H8" s="37">
        <v>5.2525252525252526</v>
      </c>
      <c r="I8" s="9">
        <f>'Macao Daily'!H11</f>
        <v>92400</v>
      </c>
      <c r="J8" s="37">
        <v>0.26</v>
      </c>
      <c r="K8" s="9">
        <f>'Macao Daily'!J11</f>
        <v>168</v>
      </c>
      <c r="L8" s="37">
        <v>7.7595000000000001</v>
      </c>
      <c r="M8" s="9">
        <f>'Macao Daily'!K11</f>
        <v>137</v>
      </c>
      <c r="N8" s="9">
        <f>'Macao Daily'!L11</f>
        <v>360</v>
      </c>
    </row>
    <row r="9" spans="1:14" ht="15" x14ac:dyDescent="0.25">
      <c r="A9" s="6" t="s">
        <v>28</v>
      </c>
      <c r="B9" s="7">
        <f t="shared" si="0"/>
        <v>8</v>
      </c>
      <c r="C9" s="8">
        <v>10</v>
      </c>
      <c r="D9" s="7">
        <v>2022</v>
      </c>
      <c r="E9" s="9">
        <f>'Macao Daily'!D12</f>
        <v>27289</v>
      </c>
      <c r="F9" s="37">
        <v>1.2532000000000001</v>
      </c>
      <c r="G9" s="9">
        <f>'Macao Daily'!F12</f>
        <v>3.6630000000004657</v>
      </c>
      <c r="H9" s="37">
        <v>5.2525252525252526</v>
      </c>
      <c r="I9" s="9">
        <f>'Macao Daily'!H12</f>
        <v>82128</v>
      </c>
      <c r="J9" s="37">
        <v>0.26</v>
      </c>
      <c r="K9" s="9">
        <f>'Macao Daily'!J12</f>
        <v>115</v>
      </c>
      <c r="L9" s="37">
        <v>7.7595000000000001</v>
      </c>
      <c r="M9" s="9">
        <f>'Macao Daily'!K12</f>
        <v>115</v>
      </c>
      <c r="N9" s="9">
        <f>'Macao Daily'!L12</f>
        <v>440</v>
      </c>
    </row>
    <row r="10" spans="1:14" ht="15" x14ac:dyDescent="0.25">
      <c r="A10" s="6" t="s">
        <v>28</v>
      </c>
      <c r="B10" s="7">
        <f t="shared" si="0"/>
        <v>9</v>
      </c>
      <c r="C10" s="8">
        <v>10</v>
      </c>
      <c r="D10" s="7">
        <v>2022</v>
      </c>
      <c r="E10" s="9">
        <f>'Macao Daily'!D13</f>
        <v>26645</v>
      </c>
      <c r="F10" s="37">
        <v>1.2532000000000001</v>
      </c>
      <c r="G10" s="9">
        <f>'Macao Daily'!F13</f>
        <v>5.494499999999789</v>
      </c>
      <c r="H10" s="37">
        <v>5.2525252525252526</v>
      </c>
      <c r="I10" s="9">
        <f>'Macao Daily'!H13</f>
        <v>81824</v>
      </c>
      <c r="J10" s="37">
        <v>0.26</v>
      </c>
      <c r="K10" s="9">
        <f>'Macao Daily'!J13</f>
        <v>116</v>
      </c>
      <c r="L10" s="37">
        <v>7.7595000000000001</v>
      </c>
      <c r="M10" s="9">
        <f>'Macao Daily'!K13</f>
        <v>81</v>
      </c>
      <c r="N10" s="9">
        <f>'Macao Daily'!L13</f>
        <v>444</v>
      </c>
    </row>
    <row r="11" spans="1:14" ht="15" x14ac:dyDescent="0.25">
      <c r="A11" s="6" t="s">
        <v>28</v>
      </c>
      <c r="B11" s="7">
        <f t="shared" si="0"/>
        <v>10</v>
      </c>
      <c r="C11" s="8">
        <v>10</v>
      </c>
      <c r="D11" s="7">
        <v>2022</v>
      </c>
      <c r="E11" s="9">
        <f>'Macao Daily'!D14</f>
        <v>26971</v>
      </c>
      <c r="F11" s="37">
        <v>1.2532000000000001</v>
      </c>
      <c r="G11" s="9">
        <f>'Macao Daily'!F14</f>
        <v>1.8315000000002328</v>
      </c>
      <c r="H11" s="37">
        <v>5.2525252525252526</v>
      </c>
      <c r="I11" s="9">
        <f>'Macao Daily'!H14</f>
        <v>53200</v>
      </c>
      <c r="J11" s="37">
        <v>0.26</v>
      </c>
      <c r="K11" s="9">
        <f>'Macao Daily'!J14</f>
        <v>144</v>
      </c>
      <c r="L11" s="37">
        <v>7.7595000000000001</v>
      </c>
      <c r="M11" s="9">
        <f>'Macao Daily'!K14</f>
        <v>69</v>
      </c>
      <c r="N11" s="9">
        <f>'Macao Daily'!L14</f>
        <v>115</v>
      </c>
    </row>
    <row r="12" spans="1:14" ht="15" x14ac:dyDescent="0.25">
      <c r="A12" s="6" t="s">
        <v>28</v>
      </c>
      <c r="B12" s="7">
        <f t="shared" si="0"/>
        <v>11</v>
      </c>
      <c r="C12" s="8">
        <v>10</v>
      </c>
      <c r="D12" s="7">
        <v>2022</v>
      </c>
      <c r="E12" s="9">
        <f>'Macao Daily'!D15</f>
        <v>27971</v>
      </c>
      <c r="F12" s="37">
        <v>1.2532000000000001</v>
      </c>
      <c r="G12" s="9">
        <f>'Macao Daily'!F15</f>
        <v>3.6629999999995562</v>
      </c>
      <c r="H12" s="37">
        <v>5.2525252525252526</v>
      </c>
      <c r="I12" s="9">
        <f>'Macao Daily'!H15</f>
        <v>39856</v>
      </c>
      <c r="J12" s="37">
        <v>0.26</v>
      </c>
      <c r="K12" s="9">
        <f>'Macao Daily'!J15</f>
        <v>85</v>
      </c>
      <c r="L12" s="37">
        <v>7.7595000000000001</v>
      </c>
      <c r="M12" s="9">
        <f>'Macao Daily'!K15</f>
        <v>79</v>
      </c>
      <c r="N12" s="9">
        <f>'Macao Daily'!L15</f>
        <v>117</v>
      </c>
    </row>
    <row r="13" spans="1:14" ht="15" x14ac:dyDescent="0.25">
      <c r="A13" s="6" t="s">
        <v>28</v>
      </c>
      <c r="B13" s="7">
        <f t="shared" si="0"/>
        <v>12</v>
      </c>
      <c r="C13" s="8">
        <v>10</v>
      </c>
      <c r="D13" s="7">
        <v>2022</v>
      </c>
      <c r="E13" s="9">
        <f>'Macao Daily'!D16</f>
        <v>27086</v>
      </c>
      <c r="F13" s="37">
        <v>1.2532000000000001</v>
      </c>
      <c r="G13" s="9">
        <f>'Macao Daily'!F16</f>
        <v>3.6630000000004657</v>
      </c>
      <c r="H13" s="37">
        <v>5.2525252525252526</v>
      </c>
      <c r="I13" s="9">
        <f>'Macao Daily'!H16</f>
        <v>41744</v>
      </c>
      <c r="J13" s="37">
        <v>0.26</v>
      </c>
      <c r="K13" s="9">
        <f>'Macao Daily'!J16</f>
        <v>75</v>
      </c>
      <c r="L13" s="37">
        <v>7.7595000000000001</v>
      </c>
      <c r="M13" s="9">
        <f>'Macao Daily'!K16</f>
        <v>92</v>
      </c>
      <c r="N13" s="9">
        <f>'Macao Daily'!L16</f>
        <v>116</v>
      </c>
    </row>
    <row r="14" spans="1:14" ht="15" x14ac:dyDescent="0.25">
      <c r="A14" s="6" t="s">
        <v>28</v>
      </c>
      <c r="B14" s="7">
        <f t="shared" si="0"/>
        <v>13</v>
      </c>
      <c r="C14" s="8">
        <v>10</v>
      </c>
      <c r="D14" s="7">
        <v>2022</v>
      </c>
      <c r="E14" s="9">
        <f>'Macao Daily'!D17</f>
        <v>26745</v>
      </c>
      <c r="F14" s="37">
        <v>1.2532000000000001</v>
      </c>
      <c r="G14" s="9">
        <f>'Macao Daily'!F17</f>
        <v>3.6629999999995562</v>
      </c>
      <c r="H14" s="37">
        <v>5.2525252525252526</v>
      </c>
      <c r="I14" s="9">
        <f>'Macao Daily'!H17</f>
        <v>45344</v>
      </c>
      <c r="J14" s="37">
        <v>0.26</v>
      </c>
      <c r="K14" s="9">
        <f>'Macao Daily'!J17</f>
        <v>120</v>
      </c>
      <c r="L14" s="37">
        <v>7.7595000000000001</v>
      </c>
      <c r="M14" s="9">
        <f>'Macao Daily'!K17</f>
        <v>81</v>
      </c>
      <c r="N14" s="9">
        <f>'Macao Daily'!L17</f>
        <v>139</v>
      </c>
    </row>
    <row r="15" spans="1:14" ht="15" x14ac:dyDescent="0.25">
      <c r="A15" s="6" t="s">
        <v>28</v>
      </c>
      <c r="B15" s="7">
        <f t="shared" si="0"/>
        <v>14</v>
      </c>
      <c r="C15" s="8">
        <v>10</v>
      </c>
      <c r="D15" s="7">
        <v>2022</v>
      </c>
      <c r="E15" s="9">
        <f>'Macao Daily'!D18</f>
        <v>26513</v>
      </c>
      <c r="F15" s="37">
        <v>1.2532000000000001</v>
      </c>
      <c r="G15" s="9">
        <f>'Macao Daily'!F18</f>
        <v>3.6630000000004657</v>
      </c>
      <c r="H15" s="37">
        <v>5.2525252525252526</v>
      </c>
      <c r="I15" s="9">
        <f>'Macao Daily'!H18</f>
        <v>59472</v>
      </c>
      <c r="J15" s="37">
        <v>0.26</v>
      </c>
      <c r="K15" s="9">
        <f>'Macao Daily'!J18</f>
        <v>97</v>
      </c>
      <c r="L15" s="37">
        <v>7.7595000000000001</v>
      </c>
      <c r="M15" s="9">
        <f>'Macao Daily'!K18</f>
        <v>114</v>
      </c>
      <c r="N15" s="9">
        <f>'Macao Daily'!L18</f>
        <v>218</v>
      </c>
    </row>
    <row r="16" spans="1:14" ht="15" x14ac:dyDescent="0.25">
      <c r="A16" s="6" t="s">
        <v>28</v>
      </c>
      <c r="B16" s="7">
        <f t="shared" si="0"/>
        <v>15</v>
      </c>
      <c r="C16" s="8">
        <v>10</v>
      </c>
      <c r="D16" s="7">
        <v>2022</v>
      </c>
      <c r="E16" s="9">
        <f>'Macao Daily'!D19</f>
        <v>26975</v>
      </c>
      <c r="F16" s="37">
        <v>1.2532000000000001</v>
      </c>
      <c r="G16" s="9">
        <f>'Macao Daily'!F19</f>
        <v>3.6629999999995562</v>
      </c>
      <c r="H16" s="37">
        <v>5.2525252525252526</v>
      </c>
      <c r="I16" s="9">
        <f>'Macao Daily'!H19</f>
        <v>56496</v>
      </c>
      <c r="J16" s="37">
        <v>0.26</v>
      </c>
      <c r="K16" s="9">
        <f>'Macao Daily'!J19</f>
        <v>98</v>
      </c>
      <c r="L16" s="37">
        <v>7.7595000000000001</v>
      </c>
      <c r="M16" s="9">
        <f>'Macao Daily'!K19</f>
        <v>129</v>
      </c>
      <c r="N16" s="9">
        <f>'Macao Daily'!L19</f>
        <v>477</v>
      </c>
    </row>
    <row r="17" spans="1:14" ht="15" x14ac:dyDescent="0.25">
      <c r="A17" s="6" t="s">
        <v>28</v>
      </c>
      <c r="B17" s="7">
        <f t="shared" si="0"/>
        <v>16</v>
      </c>
      <c r="C17" s="8">
        <v>10</v>
      </c>
      <c r="D17" s="7">
        <v>2022</v>
      </c>
      <c r="E17" s="9">
        <f>'Macao Daily'!D20</f>
        <v>27560</v>
      </c>
      <c r="F17" s="37">
        <v>1.2532000000000001</v>
      </c>
      <c r="G17" s="9">
        <f>'Macao Daily'!F20</f>
        <v>3.6630000000004657</v>
      </c>
      <c r="H17" s="37">
        <v>5.2525252525252526</v>
      </c>
      <c r="I17" s="9">
        <f>'Macao Daily'!H20</f>
        <v>50352</v>
      </c>
      <c r="J17" s="37">
        <v>0.26</v>
      </c>
      <c r="K17" s="9">
        <f>'Macao Daily'!J20</f>
        <v>101</v>
      </c>
      <c r="L17" s="37">
        <v>7.7595000000000001</v>
      </c>
      <c r="M17" s="9">
        <f>'Macao Daily'!K20</f>
        <v>78</v>
      </c>
      <c r="N17" s="9">
        <f>'Macao Daily'!L20</f>
        <v>541</v>
      </c>
    </row>
    <row r="18" spans="1:14" ht="15" x14ac:dyDescent="0.25">
      <c r="A18" s="6" t="s">
        <v>28</v>
      </c>
      <c r="B18" s="7">
        <f t="shared" si="0"/>
        <v>17</v>
      </c>
      <c r="C18" s="8">
        <v>10</v>
      </c>
      <c r="D18" s="7">
        <v>2022</v>
      </c>
      <c r="E18" s="9">
        <f>'Macao Daily'!D21</f>
        <v>27516</v>
      </c>
      <c r="F18" s="37">
        <v>1.2532000000000001</v>
      </c>
      <c r="G18" s="9">
        <f>'Macao Daily'!F21</f>
        <v>1.8315000000002328</v>
      </c>
      <c r="H18" s="37">
        <v>5.2525252525252526</v>
      </c>
      <c r="I18" s="9">
        <f>'Macao Daily'!H21</f>
        <v>50768</v>
      </c>
      <c r="J18" s="37">
        <v>0.26</v>
      </c>
      <c r="K18" s="9">
        <f>'Macao Daily'!J21</f>
        <v>120</v>
      </c>
      <c r="L18" s="37">
        <v>7.7595000000000001</v>
      </c>
      <c r="M18" s="9">
        <f>'Macao Daily'!K21</f>
        <v>78</v>
      </c>
      <c r="N18" s="9">
        <f>'Macao Daily'!L21</f>
        <v>388</v>
      </c>
    </row>
    <row r="19" spans="1:14" ht="15" x14ac:dyDescent="0.25">
      <c r="A19" s="6" t="s">
        <v>28</v>
      </c>
      <c r="B19" s="7">
        <f t="shared" si="0"/>
        <v>18</v>
      </c>
      <c r="C19" s="8">
        <v>10</v>
      </c>
      <c r="D19" s="7">
        <v>2022</v>
      </c>
      <c r="E19" s="9">
        <f>'Macao Daily'!D22</f>
        <v>27565</v>
      </c>
      <c r="F19" s="37">
        <v>1.2532000000000001</v>
      </c>
      <c r="G19" s="9">
        <f>'Macao Daily'!F22</f>
        <v>0</v>
      </c>
      <c r="H19" s="37">
        <v>5.2525252525252526</v>
      </c>
      <c r="I19" s="9">
        <f>'Macao Daily'!H22</f>
        <v>46256</v>
      </c>
      <c r="J19" s="37">
        <v>0.26</v>
      </c>
      <c r="K19" s="9">
        <f>'Macao Daily'!J22</f>
        <v>121</v>
      </c>
      <c r="L19" s="37">
        <v>7.7595000000000001</v>
      </c>
      <c r="M19" s="9">
        <f>'Macao Daily'!K22</f>
        <v>80</v>
      </c>
      <c r="N19" s="9">
        <f>'Macao Daily'!L22</f>
        <v>133</v>
      </c>
    </row>
    <row r="20" spans="1:14" ht="15" x14ac:dyDescent="0.25">
      <c r="A20" s="6" t="s">
        <v>28</v>
      </c>
      <c r="B20" s="7">
        <f t="shared" si="0"/>
        <v>19</v>
      </c>
      <c r="C20" s="8">
        <v>10</v>
      </c>
      <c r="D20" s="7">
        <v>2022</v>
      </c>
      <c r="E20" s="9">
        <f>'Macao Daily'!D23</f>
        <v>28518</v>
      </c>
      <c r="F20" s="37">
        <v>1.2532000000000001</v>
      </c>
      <c r="G20" s="9">
        <f>'Macao Daily'!F23</f>
        <v>0</v>
      </c>
      <c r="H20" s="37">
        <v>5.2525252525252526</v>
      </c>
      <c r="I20" s="9">
        <f>'Macao Daily'!H23</f>
        <v>31536</v>
      </c>
      <c r="J20" s="37">
        <v>0.26</v>
      </c>
      <c r="K20" s="9">
        <f>'Macao Daily'!J23</f>
        <v>99</v>
      </c>
      <c r="L20" s="37">
        <v>7.7595000000000001</v>
      </c>
      <c r="M20" s="9">
        <f>'Macao Daily'!K23</f>
        <v>117</v>
      </c>
      <c r="N20" s="9">
        <f>'Macao Daily'!L23</f>
        <v>143</v>
      </c>
    </row>
    <row r="21" spans="1:14" ht="15" x14ac:dyDescent="0.25">
      <c r="A21" s="6" t="s">
        <v>28</v>
      </c>
      <c r="B21" s="7">
        <f t="shared" si="0"/>
        <v>20</v>
      </c>
      <c r="C21" s="8">
        <v>10</v>
      </c>
      <c r="D21" s="7">
        <v>2022</v>
      </c>
      <c r="E21" s="9">
        <f>'Macao Daily'!D24</f>
        <v>27875</v>
      </c>
      <c r="F21" s="37">
        <v>1.2532000000000001</v>
      </c>
      <c r="G21" s="9">
        <f>'Macao Daily'!F24</f>
        <v>5.494499999999789</v>
      </c>
      <c r="H21" s="37">
        <v>5.2525252525252526</v>
      </c>
      <c r="I21" s="9">
        <f>'Macao Daily'!H24</f>
        <v>40208</v>
      </c>
      <c r="J21" s="37">
        <v>0.26</v>
      </c>
      <c r="K21" s="9">
        <f>'Macao Daily'!J24</f>
        <v>98</v>
      </c>
      <c r="L21" s="37">
        <v>7.7595000000000001</v>
      </c>
      <c r="M21" s="9">
        <f>'Macao Daily'!K24</f>
        <v>117</v>
      </c>
      <c r="N21" s="9">
        <f>'Macao Daily'!L24</f>
        <v>200</v>
      </c>
    </row>
    <row r="22" spans="1:14" ht="15" x14ac:dyDescent="0.25">
      <c r="A22" s="6" t="s">
        <v>28</v>
      </c>
      <c r="B22" s="7">
        <f t="shared" si="0"/>
        <v>21</v>
      </c>
      <c r="C22" s="8">
        <v>10</v>
      </c>
      <c r="D22" s="7">
        <v>2022</v>
      </c>
      <c r="E22" s="9">
        <f>'Macao Daily'!D25</f>
        <v>26613</v>
      </c>
      <c r="F22" s="37">
        <v>1.2532000000000001</v>
      </c>
      <c r="G22" s="9">
        <f>'Macao Daily'!F25</f>
        <v>5.494499999999789</v>
      </c>
      <c r="H22" s="37">
        <v>5.2525252525252526</v>
      </c>
      <c r="I22" s="9">
        <f>'Macao Daily'!H25</f>
        <v>51104</v>
      </c>
      <c r="J22" s="37">
        <v>0.26</v>
      </c>
      <c r="K22" s="9">
        <f>'Macao Daily'!J25</f>
        <v>97</v>
      </c>
      <c r="L22" s="37">
        <v>7.7595000000000001</v>
      </c>
      <c r="M22" s="9">
        <f>'Macao Daily'!K25</f>
        <v>123</v>
      </c>
      <c r="N22" s="9">
        <f>'Macao Daily'!L25</f>
        <v>323</v>
      </c>
    </row>
    <row r="23" spans="1:14" ht="15" x14ac:dyDescent="0.25">
      <c r="A23" s="6" t="s">
        <v>28</v>
      </c>
      <c r="B23" s="7">
        <f t="shared" si="0"/>
        <v>22</v>
      </c>
      <c r="C23" s="8">
        <v>10</v>
      </c>
      <c r="D23" s="7">
        <v>2022</v>
      </c>
      <c r="E23" s="9">
        <f>'Macao Daily'!D26</f>
        <v>28354</v>
      </c>
      <c r="F23" s="37">
        <v>1.2532000000000001</v>
      </c>
      <c r="G23" s="9">
        <f>'Macao Daily'!F26</f>
        <v>3.6630000000004657</v>
      </c>
      <c r="H23" s="37">
        <v>5.2525252525252526</v>
      </c>
      <c r="I23" s="9">
        <f>'Macao Daily'!H26</f>
        <v>57824</v>
      </c>
      <c r="J23" s="37">
        <v>0.26</v>
      </c>
      <c r="K23" s="9">
        <f>'Macao Daily'!J26</f>
        <v>140</v>
      </c>
      <c r="L23" s="37">
        <v>7.7595000000000001</v>
      </c>
      <c r="M23" s="9">
        <f>'Macao Daily'!K26</f>
        <v>130</v>
      </c>
      <c r="N23" s="9">
        <f>'Macao Daily'!L26</f>
        <v>481</v>
      </c>
    </row>
    <row r="24" spans="1:14" ht="15" x14ac:dyDescent="0.25">
      <c r="A24" s="6" t="s">
        <v>28</v>
      </c>
      <c r="B24" s="7">
        <f t="shared" si="0"/>
        <v>23</v>
      </c>
      <c r="C24" s="8">
        <v>10</v>
      </c>
      <c r="D24" s="7">
        <v>2022</v>
      </c>
      <c r="E24" s="9">
        <f>'Macao Daily'!D27</f>
        <v>27282</v>
      </c>
      <c r="F24" s="37">
        <v>1.2532000000000001</v>
      </c>
      <c r="G24" s="9">
        <f>'Macao Daily'!F27</f>
        <v>5.494499999999789</v>
      </c>
      <c r="H24" s="37">
        <v>5.2525252525252526</v>
      </c>
      <c r="I24" s="9">
        <f>'Macao Daily'!H27</f>
        <v>56432</v>
      </c>
      <c r="J24" s="37">
        <v>0.26</v>
      </c>
      <c r="K24" s="9">
        <f>'Macao Daily'!J27</f>
        <v>117</v>
      </c>
      <c r="L24" s="37">
        <v>7.7595000000000001</v>
      </c>
      <c r="M24" s="9">
        <f>'Macao Daily'!K27</f>
        <v>87</v>
      </c>
      <c r="N24" s="9">
        <f>'Macao Daily'!L27</f>
        <v>631</v>
      </c>
    </row>
    <row r="25" spans="1:14" ht="15" x14ac:dyDescent="0.25">
      <c r="A25" s="6" t="s">
        <v>28</v>
      </c>
      <c r="B25" s="7">
        <f t="shared" si="0"/>
        <v>24</v>
      </c>
      <c r="C25" s="8">
        <v>10</v>
      </c>
      <c r="D25" s="7">
        <v>2022</v>
      </c>
      <c r="E25" s="9">
        <f>'Macao Daily'!D28</f>
        <v>27097</v>
      </c>
      <c r="F25" s="37">
        <v>1.2532000000000001</v>
      </c>
      <c r="G25" s="9">
        <f>'Macao Daily'!F28</f>
        <v>3.6629999999995562</v>
      </c>
      <c r="H25" s="37">
        <v>5.2525252525252526</v>
      </c>
      <c r="I25" s="9">
        <f>'Macao Daily'!H28</f>
        <v>58368</v>
      </c>
      <c r="J25" s="37">
        <v>0.26</v>
      </c>
      <c r="K25" s="9">
        <f>'Macao Daily'!J28</f>
        <v>120</v>
      </c>
      <c r="L25" s="37">
        <v>7.7595000000000001</v>
      </c>
      <c r="M25" s="9">
        <f>'Macao Daily'!K28</f>
        <v>80</v>
      </c>
      <c r="N25" s="9">
        <f>'Macao Daily'!L28</f>
        <v>139</v>
      </c>
    </row>
    <row r="26" spans="1:14" ht="15" x14ac:dyDescent="0.25">
      <c r="A26" s="6" t="s">
        <v>28</v>
      </c>
      <c r="B26" s="7">
        <f>B25+1</f>
        <v>25</v>
      </c>
      <c r="C26" s="8">
        <v>10</v>
      </c>
      <c r="D26" s="7">
        <v>2022</v>
      </c>
      <c r="E26" s="9">
        <f>'Macao Daily'!D29</f>
        <v>28302</v>
      </c>
      <c r="F26" s="37">
        <v>1.2532000000000001</v>
      </c>
      <c r="G26" s="9">
        <f>'Macao Daily'!F29</f>
        <v>3.6630000000004657</v>
      </c>
      <c r="H26" s="37">
        <v>5.2525252525252526</v>
      </c>
      <c r="I26" s="9">
        <f>'Macao Daily'!H29</f>
        <v>50672</v>
      </c>
      <c r="J26" s="37">
        <v>0.26</v>
      </c>
      <c r="K26" s="9">
        <f>'Macao Daily'!J29</f>
        <v>112</v>
      </c>
      <c r="L26" s="37">
        <v>7.7595000000000001</v>
      </c>
      <c r="M26" s="9">
        <f>'Macao Daily'!K29</f>
        <v>85</v>
      </c>
      <c r="N26" s="9">
        <f>'Macao Daily'!L29</f>
        <v>142</v>
      </c>
    </row>
    <row r="27" spans="1:14" ht="15" x14ac:dyDescent="0.25">
      <c r="A27" s="6" t="s">
        <v>28</v>
      </c>
      <c r="B27" s="7">
        <f t="shared" si="0"/>
        <v>26</v>
      </c>
      <c r="C27" s="8">
        <v>10</v>
      </c>
      <c r="D27" s="7">
        <v>2022</v>
      </c>
      <c r="E27" s="9">
        <f>'Macao Daily'!D30</f>
        <v>27406</v>
      </c>
      <c r="F27" s="37">
        <v>1.2532000000000001</v>
      </c>
      <c r="G27" s="9">
        <f>'Macao Daily'!F30</f>
        <v>3.6629999999995562</v>
      </c>
      <c r="H27" s="37">
        <v>5.2525252525252526</v>
      </c>
      <c r="I27" s="9">
        <f>'Macao Daily'!H30</f>
        <v>46640</v>
      </c>
      <c r="J27" s="37">
        <v>0.26</v>
      </c>
      <c r="K27" s="9">
        <f>'Macao Daily'!J30</f>
        <v>117</v>
      </c>
      <c r="L27" s="37">
        <v>7.7595000000000001</v>
      </c>
      <c r="M27" s="9">
        <f>'Macao Daily'!K30</f>
        <v>80</v>
      </c>
      <c r="N27" s="9">
        <f>'Macao Daily'!L30</f>
        <v>136</v>
      </c>
    </row>
    <row r="28" spans="1:14" ht="15" x14ac:dyDescent="0.25">
      <c r="A28" s="6" t="s">
        <v>28</v>
      </c>
      <c r="B28" s="7">
        <f t="shared" si="0"/>
        <v>27</v>
      </c>
      <c r="C28" s="8">
        <v>10</v>
      </c>
      <c r="D28" s="7">
        <v>2022</v>
      </c>
      <c r="E28" s="9">
        <f>'Macao Daily'!D31</f>
        <v>27811</v>
      </c>
      <c r="F28" s="37">
        <v>1.2532000000000001</v>
      </c>
      <c r="G28" s="9">
        <f>'Macao Daily'!F31</f>
        <v>3.6630000000004657</v>
      </c>
      <c r="H28" s="37">
        <v>5.2525252525252526</v>
      </c>
      <c r="I28" s="9">
        <f>'Macao Daily'!H31</f>
        <v>45248</v>
      </c>
      <c r="J28" s="37">
        <v>0.26</v>
      </c>
      <c r="K28" s="9">
        <f>'Macao Daily'!J31</f>
        <v>99</v>
      </c>
      <c r="L28" s="37">
        <v>7.7595000000000001</v>
      </c>
      <c r="M28" s="9">
        <f>'Macao Daily'!K31</f>
        <v>72</v>
      </c>
      <c r="N28" s="9">
        <f>'Macao Daily'!L31</f>
        <v>126</v>
      </c>
    </row>
    <row r="29" spans="1:14" ht="15" x14ac:dyDescent="0.25">
      <c r="A29" s="6" t="s">
        <v>28</v>
      </c>
      <c r="B29" s="7">
        <f t="shared" si="0"/>
        <v>28</v>
      </c>
      <c r="C29" s="8">
        <v>10</v>
      </c>
      <c r="D29" s="7">
        <v>2022</v>
      </c>
      <c r="E29" s="9">
        <f>'Macao Daily'!D32</f>
        <v>27520</v>
      </c>
      <c r="F29" s="37">
        <v>1.2532000000000001</v>
      </c>
      <c r="G29" s="9">
        <f>'Macao Daily'!F32</f>
        <v>3.6629999999995562</v>
      </c>
      <c r="H29" s="37">
        <v>5.2525252525252526</v>
      </c>
      <c r="I29" s="9">
        <f>'Macao Daily'!H32</f>
        <v>45696</v>
      </c>
      <c r="J29" s="37">
        <v>0.26</v>
      </c>
      <c r="K29" s="9">
        <f>'Macao Daily'!J32</f>
        <v>97</v>
      </c>
      <c r="L29" s="37">
        <v>7.7595000000000001</v>
      </c>
      <c r="M29" s="9">
        <f>'Macao Daily'!K32</f>
        <v>117</v>
      </c>
      <c r="N29" s="9">
        <f>'Macao Daily'!L32</f>
        <v>258</v>
      </c>
    </row>
    <row r="30" spans="1:14" ht="15" x14ac:dyDescent="0.25">
      <c r="A30" s="6" t="s">
        <v>28</v>
      </c>
      <c r="B30" s="7">
        <f t="shared" si="0"/>
        <v>29</v>
      </c>
      <c r="C30" s="8">
        <v>10</v>
      </c>
      <c r="D30" s="7">
        <v>2022</v>
      </c>
      <c r="E30" s="9">
        <f>'Macao Daily'!D33</f>
        <v>28526</v>
      </c>
      <c r="F30" s="37">
        <v>1.2532000000000001</v>
      </c>
      <c r="G30" s="9">
        <f>'Macao Daily'!F33</f>
        <v>1.8315000000002328</v>
      </c>
      <c r="H30" s="37">
        <v>5.2525252525252526</v>
      </c>
      <c r="I30" s="9">
        <f>'Macao Daily'!H33</f>
        <v>48704</v>
      </c>
      <c r="J30" s="37">
        <v>0.26</v>
      </c>
      <c r="K30" s="9">
        <f>'Macao Daily'!J33</f>
        <v>119</v>
      </c>
      <c r="L30" s="37">
        <v>7.7595000000000001</v>
      </c>
      <c r="M30" s="9">
        <f>'Macao Daily'!K33</f>
        <v>146</v>
      </c>
      <c r="N30" s="9">
        <f>'Macao Daily'!L33</f>
        <v>402</v>
      </c>
    </row>
    <row r="31" spans="1:14" ht="15" x14ac:dyDescent="0.25">
      <c r="A31" s="6" t="s">
        <v>28</v>
      </c>
      <c r="B31" s="7">
        <f t="shared" si="0"/>
        <v>30</v>
      </c>
      <c r="C31" s="8">
        <v>10</v>
      </c>
      <c r="D31" s="7">
        <v>2022</v>
      </c>
      <c r="E31" s="9">
        <f>'Macao Daily'!D34</f>
        <v>27906</v>
      </c>
      <c r="F31" s="37">
        <v>1.2532000000000001</v>
      </c>
      <c r="G31" s="9">
        <f>'Macao Daily'!F34</f>
        <v>3.6629999999995562</v>
      </c>
      <c r="H31" s="37">
        <v>5.2525252525252526</v>
      </c>
      <c r="I31" s="9">
        <f>'Macao Daily'!H34</f>
        <v>39040</v>
      </c>
      <c r="J31" s="37">
        <v>0.26</v>
      </c>
      <c r="K31" s="9">
        <f>'Macao Daily'!J34</f>
        <v>150</v>
      </c>
      <c r="L31" s="37">
        <v>7.7595000000000001</v>
      </c>
      <c r="M31" s="9">
        <f>'Macao Daily'!K34</f>
        <v>98</v>
      </c>
      <c r="N31" s="9">
        <f>'Macao Daily'!L34</f>
        <v>439</v>
      </c>
    </row>
    <row r="32" spans="1:14" ht="15" x14ac:dyDescent="0.25">
      <c r="A32" s="6" t="s">
        <v>28</v>
      </c>
      <c r="B32" s="7">
        <f t="shared" si="0"/>
        <v>31</v>
      </c>
      <c r="C32" s="8">
        <v>10</v>
      </c>
      <c r="D32" s="7">
        <v>2022</v>
      </c>
      <c r="E32" s="9">
        <f>'Macao Daily'!D35</f>
        <v>28052</v>
      </c>
      <c r="F32" s="37">
        <v>1.2532000000000001</v>
      </c>
      <c r="G32" s="9">
        <f>'Macao Daily'!F35</f>
        <v>1.8315000000002328</v>
      </c>
      <c r="H32" s="37">
        <v>5.2525252525252526</v>
      </c>
      <c r="I32" s="9">
        <f>'Macao Daily'!H35</f>
        <v>37792</v>
      </c>
      <c r="J32" s="37">
        <v>0.26</v>
      </c>
      <c r="K32" s="9">
        <f>'Macao Daily'!J35</f>
        <v>158</v>
      </c>
      <c r="L32" s="37">
        <v>7.7595000000000001</v>
      </c>
      <c r="M32" s="9">
        <f>'Macao Daily'!K35</f>
        <v>66</v>
      </c>
      <c r="N32" s="9">
        <f>'Macao Daily'!L35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zoomScale="70" zoomScaleNormal="70" workbookViewId="0">
      <pane xSplit="1" topLeftCell="B1" activePane="topRight" state="frozen"/>
      <selection pane="topRight" activeCell="E5" sqref="E5:E35"/>
    </sheetView>
  </sheetViews>
  <sheetFormatPr defaultRowHeight="15" x14ac:dyDescent="0.25"/>
  <cols>
    <col min="1" max="1" width="14" style="13" customWidth="1"/>
    <col min="2" max="2" width="2" style="13" customWidth="1"/>
    <col min="3" max="3" width="12.425781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44834</v>
      </c>
      <c r="B4" s="38"/>
      <c r="C4" s="23">
        <v>100099852</v>
      </c>
      <c r="D4" s="24"/>
      <c r="E4" s="23">
        <v>5745.4155000000001</v>
      </c>
      <c r="F4" s="25"/>
      <c r="G4" s="23">
        <v>260598960</v>
      </c>
      <c r="H4" s="25"/>
      <c r="I4" s="23">
        <v>421197</v>
      </c>
      <c r="K4" s="27">
        <v>229</v>
      </c>
      <c r="L4" s="27">
        <v>418</v>
      </c>
    </row>
    <row r="5" spans="1:12" ht="33" customHeight="1" x14ac:dyDescent="0.25">
      <c r="A5" s="28">
        <v>44835</v>
      </c>
      <c r="B5" s="38"/>
      <c r="C5" s="29">
        <v>100130472</v>
      </c>
      <c r="D5" s="30">
        <f t="shared" ref="D5:D22" si="0">IF((C5-C4&lt;0), "0",C5-C4)</f>
        <v>30620</v>
      </c>
      <c r="E5" s="29">
        <v>5752.7415000000001</v>
      </c>
      <c r="F5" s="30">
        <f>IF((E5-E4&lt;0), "0",E5-E4)</f>
        <v>7.3260000000000218</v>
      </c>
      <c r="G5" s="29">
        <v>260677600</v>
      </c>
      <c r="H5" s="30">
        <f>IF((G5-G4&lt;0), "0",G5-G4)</f>
        <v>78640</v>
      </c>
      <c r="I5" s="29">
        <v>421356</v>
      </c>
      <c r="J5" s="30">
        <f>IF((I5-I4&lt;0), "0",I5-I4)</f>
        <v>159</v>
      </c>
      <c r="K5" s="31">
        <v>296</v>
      </c>
      <c r="L5" s="31">
        <v>880</v>
      </c>
    </row>
    <row r="6" spans="1:12" ht="45" customHeight="1" x14ac:dyDescent="0.25">
      <c r="A6" s="28">
        <v>44836</v>
      </c>
      <c r="B6" s="38"/>
      <c r="C6" s="29">
        <v>100162954</v>
      </c>
      <c r="D6" s="30">
        <f t="shared" si="0"/>
        <v>32482</v>
      </c>
      <c r="E6" s="29">
        <v>5761.8989999999994</v>
      </c>
      <c r="F6" s="30">
        <f t="shared" ref="F6:F35" si="1">IF((E6-E5&lt;0), "0",E6-E5)</f>
        <v>9.1574999999993452</v>
      </c>
      <c r="G6" s="29">
        <v>260762304</v>
      </c>
      <c r="H6" s="30">
        <f t="shared" ref="H6:H35" si="2">IF((G6-G5&lt;0), "0",G6-G5)</f>
        <v>84704</v>
      </c>
      <c r="I6" s="29">
        <v>421578</v>
      </c>
      <c r="J6" s="30">
        <f t="shared" ref="J6:J35" si="3">IF((I6-I5&lt;0), "0",I6-I5)</f>
        <v>222</v>
      </c>
      <c r="K6" s="12">
        <v>336</v>
      </c>
      <c r="L6" s="12">
        <v>1133</v>
      </c>
    </row>
    <row r="7" spans="1:12" ht="45" customHeight="1" x14ac:dyDescent="0.25">
      <c r="A7" s="28">
        <v>44837</v>
      </c>
      <c r="B7" s="38"/>
      <c r="C7" s="29">
        <v>100196161</v>
      </c>
      <c r="D7" s="30">
        <f t="shared" si="0"/>
        <v>33207</v>
      </c>
      <c r="E7" s="29">
        <v>5769.2249999999995</v>
      </c>
      <c r="F7" s="30">
        <f t="shared" si="1"/>
        <v>7.3260000000000218</v>
      </c>
      <c r="G7" s="29">
        <v>260853792</v>
      </c>
      <c r="H7" s="30">
        <f t="shared" si="2"/>
        <v>91488</v>
      </c>
      <c r="I7" s="29">
        <v>421855</v>
      </c>
      <c r="J7" s="30">
        <f t="shared" si="3"/>
        <v>277</v>
      </c>
      <c r="K7" s="12">
        <v>313</v>
      </c>
      <c r="L7" s="12">
        <v>1152</v>
      </c>
    </row>
    <row r="8" spans="1:12" ht="45" customHeight="1" x14ac:dyDescent="0.25">
      <c r="A8" s="28">
        <v>44838</v>
      </c>
      <c r="B8" s="38"/>
      <c r="C8" s="29">
        <v>100228164</v>
      </c>
      <c r="D8" s="30">
        <f t="shared" si="0"/>
        <v>32003</v>
      </c>
      <c r="E8" s="29">
        <v>5776.5509999999995</v>
      </c>
      <c r="F8" s="30">
        <f t="shared" si="1"/>
        <v>7.3260000000000218</v>
      </c>
      <c r="G8" s="29">
        <v>260942928</v>
      </c>
      <c r="H8" s="30">
        <f t="shared" si="2"/>
        <v>89136</v>
      </c>
      <c r="I8" s="29">
        <v>422093</v>
      </c>
      <c r="J8" s="30">
        <f t="shared" si="3"/>
        <v>238</v>
      </c>
      <c r="K8" s="12">
        <v>265</v>
      </c>
      <c r="L8" s="12">
        <v>1142</v>
      </c>
    </row>
    <row r="9" spans="1:12" ht="45" customHeight="1" x14ac:dyDescent="0.25">
      <c r="A9" s="28">
        <v>44839</v>
      </c>
      <c r="B9" s="38"/>
      <c r="C9" s="29">
        <v>100258930</v>
      </c>
      <c r="D9" s="30">
        <f t="shared" si="0"/>
        <v>30766</v>
      </c>
      <c r="E9" s="29">
        <v>5782.0454999999993</v>
      </c>
      <c r="F9" s="30">
        <f t="shared" si="1"/>
        <v>5.494499999999789</v>
      </c>
      <c r="G9" s="29">
        <v>261035616</v>
      </c>
      <c r="H9" s="30">
        <f t="shared" si="2"/>
        <v>92688</v>
      </c>
      <c r="I9" s="29">
        <v>422314</v>
      </c>
      <c r="J9" s="30">
        <f t="shared" si="3"/>
        <v>221</v>
      </c>
      <c r="K9" s="12">
        <v>219</v>
      </c>
      <c r="L9" s="12">
        <v>674</v>
      </c>
    </row>
    <row r="10" spans="1:12" ht="45" customHeight="1" x14ac:dyDescent="0.25">
      <c r="A10" s="28">
        <v>44840</v>
      </c>
      <c r="B10" s="38"/>
      <c r="C10" s="29">
        <v>100289488</v>
      </c>
      <c r="D10" s="30">
        <f t="shared" si="0"/>
        <v>30558</v>
      </c>
      <c r="E10" s="29">
        <v>5791.2029999999995</v>
      </c>
      <c r="F10" s="30">
        <f t="shared" si="1"/>
        <v>9.1575000000002547</v>
      </c>
      <c r="G10" s="29">
        <v>261128592</v>
      </c>
      <c r="H10" s="30">
        <f t="shared" si="2"/>
        <v>92976</v>
      </c>
      <c r="I10" s="29">
        <v>422494</v>
      </c>
      <c r="J10" s="30">
        <f t="shared" si="3"/>
        <v>180</v>
      </c>
      <c r="K10" s="12">
        <v>199</v>
      </c>
      <c r="L10" s="12">
        <v>471</v>
      </c>
    </row>
    <row r="11" spans="1:12" ht="45" customHeight="1" x14ac:dyDescent="0.25">
      <c r="A11" s="28">
        <v>44841</v>
      </c>
      <c r="B11" s="38"/>
      <c r="C11" s="29">
        <v>100318584</v>
      </c>
      <c r="D11" s="30">
        <f t="shared" si="0"/>
        <v>29096</v>
      </c>
      <c r="E11" s="29">
        <v>5796.6974999999993</v>
      </c>
      <c r="F11" s="30">
        <f t="shared" si="1"/>
        <v>5.494499999999789</v>
      </c>
      <c r="G11" s="29">
        <v>261220992</v>
      </c>
      <c r="H11" s="30">
        <f t="shared" si="2"/>
        <v>92400</v>
      </c>
      <c r="I11" s="29">
        <v>422662</v>
      </c>
      <c r="J11" s="30">
        <f t="shared" si="3"/>
        <v>168</v>
      </c>
      <c r="K11" s="12">
        <v>137</v>
      </c>
      <c r="L11" s="12">
        <v>360</v>
      </c>
    </row>
    <row r="12" spans="1:12" ht="45" customHeight="1" x14ac:dyDescent="0.25">
      <c r="A12" s="28">
        <v>44842</v>
      </c>
      <c r="B12" s="38"/>
      <c r="C12" s="29">
        <v>100345873</v>
      </c>
      <c r="D12" s="30">
        <f t="shared" si="0"/>
        <v>27289</v>
      </c>
      <c r="E12" s="29">
        <v>5800.3604999999998</v>
      </c>
      <c r="F12" s="30">
        <f t="shared" si="1"/>
        <v>3.6630000000004657</v>
      </c>
      <c r="G12" s="29">
        <v>261303120</v>
      </c>
      <c r="H12" s="30">
        <f t="shared" si="2"/>
        <v>82128</v>
      </c>
      <c r="I12" s="29">
        <v>422777</v>
      </c>
      <c r="J12" s="30">
        <f t="shared" si="3"/>
        <v>115</v>
      </c>
      <c r="K12" s="12">
        <v>115</v>
      </c>
      <c r="L12" s="12">
        <v>440</v>
      </c>
    </row>
    <row r="13" spans="1:12" ht="45" customHeight="1" x14ac:dyDescent="0.25">
      <c r="A13" s="28">
        <v>44843</v>
      </c>
      <c r="B13" s="38"/>
      <c r="C13" s="29">
        <v>100372518</v>
      </c>
      <c r="D13" s="30">
        <f t="shared" si="0"/>
        <v>26645</v>
      </c>
      <c r="E13" s="29">
        <v>5805.8549999999996</v>
      </c>
      <c r="F13" s="30">
        <f t="shared" si="1"/>
        <v>5.494499999999789</v>
      </c>
      <c r="G13" s="29">
        <v>261384944</v>
      </c>
      <c r="H13" s="30">
        <f t="shared" si="2"/>
        <v>81824</v>
      </c>
      <c r="I13" s="29">
        <v>422893</v>
      </c>
      <c r="J13" s="30">
        <f t="shared" si="3"/>
        <v>116</v>
      </c>
      <c r="K13" s="12">
        <v>81</v>
      </c>
      <c r="L13" s="12">
        <v>444</v>
      </c>
    </row>
    <row r="14" spans="1:12" ht="45" customHeight="1" x14ac:dyDescent="0.25">
      <c r="A14" s="28">
        <v>44844</v>
      </c>
      <c r="B14" s="38"/>
      <c r="C14" s="29">
        <v>100399489</v>
      </c>
      <c r="D14" s="30">
        <f t="shared" si="0"/>
        <v>26971</v>
      </c>
      <c r="E14" s="29">
        <v>5807.6864999999998</v>
      </c>
      <c r="F14" s="30">
        <f t="shared" si="1"/>
        <v>1.8315000000002328</v>
      </c>
      <c r="G14" s="29">
        <v>261438144</v>
      </c>
      <c r="H14" s="30">
        <f t="shared" si="2"/>
        <v>53200</v>
      </c>
      <c r="I14" s="29">
        <v>423037</v>
      </c>
      <c r="J14" s="30">
        <f t="shared" si="3"/>
        <v>144</v>
      </c>
      <c r="K14" s="12">
        <v>69</v>
      </c>
      <c r="L14" s="12">
        <v>115</v>
      </c>
    </row>
    <row r="15" spans="1:12" ht="45" customHeight="1" x14ac:dyDescent="0.25">
      <c r="A15" s="28">
        <v>44845</v>
      </c>
      <c r="B15" s="38"/>
      <c r="C15" s="29">
        <v>100427460</v>
      </c>
      <c r="D15" s="30">
        <f t="shared" si="0"/>
        <v>27971</v>
      </c>
      <c r="E15" s="29">
        <v>5811.3494999999994</v>
      </c>
      <c r="F15" s="30">
        <f t="shared" si="1"/>
        <v>3.6629999999995562</v>
      </c>
      <c r="G15" s="29">
        <v>261478000</v>
      </c>
      <c r="H15" s="30">
        <f t="shared" si="2"/>
        <v>39856</v>
      </c>
      <c r="I15" s="29">
        <v>423122</v>
      </c>
      <c r="J15" s="30">
        <f t="shared" si="3"/>
        <v>85</v>
      </c>
      <c r="K15" s="12">
        <v>79</v>
      </c>
      <c r="L15" s="12">
        <v>117</v>
      </c>
    </row>
    <row r="16" spans="1:12" ht="45" customHeight="1" x14ac:dyDescent="0.25">
      <c r="A16" s="28">
        <v>44846</v>
      </c>
      <c r="B16" s="38"/>
      <c r="C16" s="29">
        <v>100454546</v>
      </c>
      <c r="D16" s="30">
        <f t="shared" si="0"/>
        <v>27086</v>
      </c>
      <c r="E16" s="29">
        <v>5815.0124999999998</v>
      </c>
      <c r="F16" s="30">
        <f t="shared" si="1"/>
        <v>3.6630000000004657</v>
      </c>
      <c r="G16" s="29">
        <v>261519744</v>
      </c>
      <c r="H16" s="30">
        <f t="shared" si="2"/>
        <v>41744</v>
      </c>
      <c r="I16" s="29">
        <v>423197</v>
      </c>
      <c r="J16" s="30">
        <f t="shared" si="3"/>
        <v>75</v>
      </c>
      <c r="K16" s="12">
        <v>92</v>
      </c>
      <c r="L16" s="12">
        <v>116</v>
      </c>
    </row>
    <row r="17" spans="1:14" ht="45" customHeight="1" x14ac:dyDescent="0.25">
      <c r="A17" s="28">
        <v>44847</v>
      </c>
      <c r="B17" s="38"/>
      <c r="C17" s="29">
        <v>100481291</v>
      </c>
      <c r="D17" s="30">
        <f t="shared" si="0"/>
        <v>26745</v>
      </c>
      <c r="E17" s="29">
        <v>5818.6754999999994</v>
      </c>
      <c r="F17" s="30">
        <f t="shared" si="1"/>
        <v>3.6629999999995562</v>
      </c>
      <c r="G17" s="29">
        <v>261565088</v>
      </c>
      <c r="H17" s="30">
        <f t="shared" si="2"/>
        <v>45344</v>
      </c>
      <c r="I17" s="29">
        <v>423317</v>
      </c>
      <c r="J17" s="30">
        <f t="shared" si="3"/>
        <v>120</v>
      </c>
      <c r="K17" s="12">
        <v>81</v>
      </c>
      <c r="L17" s="12">
        <v>139</v>
      </c>
    </row>
    <row r="18" spans="1:14" ht="45" customHeight="1" x14ac:dyDescent="0.25">
      <c r="A18" s="28">
        <v>44848</v>
      </c>
      <c r="B18" s="38"/>
      <c r="C18" s="29">
        <v>100507804</v>
      </c>
      <c r="D18" s="30">
        <f t="shared" si="0"/>
        <v>26513</v>
      </c>
      <c r="E18" s="29">
        <v>5822.3384999999998</v>
      </c>
      <c r="F18" s="30">
        <f t="shared" si="1"/>
        <v>3.6630000000004657</v>
      </c>
      <c r="G18" s="29">
        <v>261624560</v>
      </c>
      <c r="H18" s="30">
        <f t="shared" si="2"/>
        <v>59472</v>
      </c>
      <c r="I18" s="29">
        <v>423414</v>
      </c>
      <c r="J18" s="30">
        <f t="shared" si="3"/>
        <v>97</v>
      </c>
      <c r="K18" s="12">
        <v>114</v>
      </c>
      <c r="L18" s="12">
        <v>218</v>
      </c>
    </row>
    <row r="19" spans="1:14" ht="45" customHeight="1" x14ac:dyDescent="0.25">
      <c r="A19" s="28">
        <v>44849</v>
      </c>
      <c r="B19" s="38"/>
      <c r="C19" s="29">
        <v>100534779</v>
      </c>
      <c r="D19" s="30">
        <f t="shared" si="0"/>
        <v>26975</v>
      </c>
      <c r="E19" s="29">
        <v>5826.0014999999994</v>
      </c>
      <c r="F19" s="30">
        <f t="shared" si="1"/>
        <v>3.6629999999995562</v>
      </c>
      <c r="G19" s="29">
        <v>261681056</v>
      </c>
      <c r="H19" s="30">
        <f t="shared" si="2"/>
        <v>56496</v>
      </c>
      <c r="I19" s="29">
        <v>423512</v>
      </c>
      <c r="J19" s="30">
        <f t="shared" si="3"/>
        <v>98</v>
      </c>
      <c r="K19" s="12">
        <v>129</v>
      </c>
      <c r="L19" s="12">
        <v>477</v>
      </c>
    </row>
    <row r="20" spans="1:14" ht="45" customHeight="1" x14ac:dyDescent="0.25">
      <c r="A20" s="28">
        <v>44850</v>
      </c>
      <c r="B20" s="38"/>
      <c r="C20" s="29">
        <v>100562339</v>
      </c>
      <c r="D20" s="30">
        <f t="shared" si="0"/>
        <v>27560</v>
      </c>
      <c r="E20" s="29">
        <v>5829.6644999999999</v>
      </c>
      <c r="F20" s="30">
        <f t="shared" si="1"/>
        <v>3.6630000000004657</v>
      </c>
      <c r="G20" s="29">
        <v>261731408</v>
      </c>
      <c r="H20" s="30">
        <f t="shared" si="2"/>
        <v>50352</v>
      </c>
      <c r="I20" s="29">
        <v>423613</v>
      </c>
      <c r="J20" s="30">
        <f t="shared" si="3"/>
        <v>101</v>
      </c>
      <c r="K20" s="12">
        <v>78</v>
      </c>
      <c r="L20" s="12">
        <v>541</v>
      </c>
    </row>
    <row r="21" spans="1:14" ht="45" customHeight="1" x14ac:dyDescent="0.25">
      <c r="A21" s="28">
        <v>44851</v>
      </c>
      <c r="B21" s="38"/>
      <c r="C21" s="29">
        <v>100589855</v>
      </c>
      <c r="D21" s="30">
        <f t="shared" si="0"/>
        <v>27516</v>
      </c>
      <c r="E21" s="29">
        <v>5831.4960000000001</v>
      </c>
      <c r="F21" s="30">
        <f t="shared" si="1"/>
        <v>1.8315000000002328</v>
      </c>
      <c r="G21" s="29">
        <v>261782176</v>
      </c>
      <c r="H21" s="30">
        <f t="shared" si="2"/>
        <v>50768</v>
      </c>
      <c r="I21" s="29">
        <v>423733</v>
      </c>
      <c r="J21" s="30">
        <f t="shared" si="3"/>
        <v>120</v>
      </c>
      <c r="K21" s="12">
        <v>78</v>
      </c>
      <c r="L21" s="12">
        <v>388</v>
      </c>
    </row>
    <row r="22" spans="1:14" ht="45" customHeight="1" x14ac:dyDescent="0.25">
      <c r="A22" s="28">
        <v>44852</v>
      </c>
      <c r="B22" s="38"/>
      <c r="C22" s="29">
        <v>100617420</v>
      </c>
      <c r="D22" s="30">
        <f t="shared" si="0"/>
        <v>27565</v>
      </c>
      <c r="E22" s="29">
        <v>5831.4960000000001</v>
      </c>
      <c r="F22" s="30">
        <f t="shared" si="1"/>
        <v>0</v>
      </c>
      <c r="G22" s="29">
        <v>261828432</v>
      </c>
      <c r="H22" s="30">
        <f t="shared" si="2"/>
        <v>46256</v>
      </c>
      <c r="I22" s="29">
        <v>423854</v>
      </c>
      <c r="J22" s="30">
        <f t="shared" si="3"/>
        <v>121</v>
      </c>
      <c r="K22" s="12">
        <v>80</v>
      </c>
      <c r="L22" s="12">
        <v>133</v>
      </c>
      <c r="N22" s="15"/>
    </row>
    <row r="23" spans="1:14" ht="45" customHeight="1" x14ac:dyDescent="0.25">
      <c r="A23" s="28">
        <v>44853</v>
      </c>
      <c r="B23" s="38"/>
      <c r="C23" s="29">
        <v>100645938</v>
      </c>
      <c r="D23" s="30">
        <f>IF((C23-C22&lt;0), "0",C23-C22)</f>
        <v>28518</v>
      </c>
      <c r="E23" s="29">
        <v>5831.4960000000001</v>
      </c>
      <c r="F23" s="30">
        <f t="shared" si="1"/>
        <v>0</v>
      </c>
      <c r="G23" s="29">
        <v>261859968</v>
      </c>
      <c r="H23" s="30">
        <f t="shared" si="2"/>
        <v>31536</v>
      </c>
      <c r="I23" s="29">
        <v>423953</v>
      </c>
      <c r="J23" s="30">
        <f t="shared" si="3"/>
        <v>99</v>
      </c>
      <c r="K23" s="12">
        <v>117</v>
      </c>
      <c r="L23" s="12">
        <v>143</v>
      </c>
      <c r="N23" s="15"/>
    </row>
    <row r="24" spans="1:14" ht="45" customHeight="1" x14ac:dyDescent="0.25">
      <c r="A24" s="28">
        <v>44854</v>
      </c>
      <c r="B24" s="38"/>
      <c r="C24" s="29">
        <v>100673813</v>
      </c>
      <c r="D24" s="30">
        <f t="shared" ref="D24:D35" si="4">IF((C24-C23&lt;0), "0",C24-C23)</f>
        <v>27875</v>
      </c>
      <c r="E24" s="29">
        <v>5836.9904999999999</v>
      </c>
      <c r="F24" s="30">
        <f t="shared" si="1"/>
        <v>5.494499999999789</v>
      </c>
      <c r="G24" s="29">
        <v>261900176</v>
      </c>
      <c r="H24" s="30">
        <f t="shared" si="2"/>
        <v>40208</v>
      </c>
      <c r="I24" s="29">
        <v>424051</v>
      </c>
      <c r="J24" s="30">
        <f t="shared" si="3"/>
        <v>98</v>
      </c>
      <c r="K24" s="12">
        <v>117</v>
      </c>
      <c r="L24" s="12">
        <v>200</v>
      </c>
      <c r="N24" s="15"/>
    </row>
    <row r="25" spans="1:14" ht="45" customHeight="1" x14ac:dyDescent="0.25">
      <c r="A25" s="28">
        <v>44855</v>
      </c>
      <c r="B25" s="38"/>
      <c r="C25" s="29">
        <v>100700426</v>
      </c>
      <c r="D25" s="30">
        <f t="shared" si="4"/>
        <v>26613</v>
      </c>
      <c r="E25" s="29">
        <v>5842.4849999999997</v>
      </c>
      <c r="F25" s="30">
        <f t="shared" si="1"/>
        <v>5.494499999999789</v>
      </c>
      <c r="G25" s="29">
        <v>261951280</v>
      </c>
      <c r="H25" s="30">
        <f t="shared" si="2"/>
        <v>51104</v>
      </c>
      <c r="I25" s="29">
        <v>424148</v>
      </c>
      <c r="J25" s="30">
        <f t="shared" si="3"/>
        <v>97</v>
      </c>
      <c r="K25" s="12">
        <v>123</v>
      </c>
      <c r="L25" s="12">
        <v>323</v>
      </c>
    </row>
    <row r="26" spans="1:14" ht="45" customHeight="1" x14ac:dyDescent="0.25">
      <c r="A26" s="28">
        <v>44856</v>
      </c>
      <c r="B26" s="38"/>
      <c r="C26" s="29">
        <v>100728780</v>
      </c>
      <c r="D26" s="30">
        <f t="shared" si="4"/>
        <v>28354</v>
      </c>
      <c r="E26" s="29">
        <v>5846.1480000000001</v>
      </c>
      <c r="F26" s="30">
        <f t="shared" si="1"/>
        <v>3.6630000000004657</v>
      </c>
      <c r="G26" s="29">
        <v>262009104</v>
      </c>
      <c r="H26" s="30">
        <f t="shared" si="2"/>
        <v>57824</v>
      </c>
      <c r="I26" s="29">
        <v>424288</v>
      </c>
      <c r="J26" s="30">
        <f t="shared" si="3"/>
        <v>140</v>
      </c>
      <c r="K26" s="12">
        <v>130</v>
      </c>
      <c r="L26" s="12">
        <v>481</v>
      </c>
    </row>
    <row r="27" spans="1:14" ht="45" customHeight="1" x14ac:dyDescent="0.25">
      <c r="A27" s="28">
        <v>44857</v>
      </c>
      <c r="B27" s="38"/>
      <c r="C27" s="29">
        <v>100756062</v>
      </c>
      <c r="D27" s="30">
        <f t="shared" si="4"/>
        <v>27282</v>
      </c>
      <c r="E27" s="29">
        <v>5851.6424999999999</v>
      </c>
      <c r="F27" s="30">
        <f t="shared" si="1"/>
        <v>5.494499999999789</v>
      </c>
      <c r="G27" s="29">
        <v>262065536</v>
      </c>
      <c r="H27" s="30">
        <f t="shared" si="2"/>
        <v>56432</v>
      </c>
      <c r="I27" s="29">
        <v>424405</v>
      </c>
      <c r="J27" s="30">
        <f t="shared" si="3"/>
        <v>117</v>
      </c>
      <c r="K27" s="12">
        <v>87</v>
      </c>
      <c r="L27" s="12">
        <v>631</v>
      </c>
    </row>
    <row r="28" spans="1:14" ht="45" customHeight="1" x14ac:dyDescent="0.25">
      <c r="A28" s="28">
        <v>44858</v>
      </c>
      <c r="B28" s="38"/>
      <c r="C28" s="29">
        <v>100783159</v>
      </c>
      <c r="D28" s="30">
        <f t="shared" si="4"/>
        <v>27097</v>
      </c>
      <c r="E28" s="29">
        <v>5855.3054999999995</v>
      </c>
      <c r="F28" s="30">
        <f t="shared" si="1"/>
        <v>3.6629999999995562</v>
      </c>
      <c r="G28" s="29">
        <v>262123904</v>
      </c>
      <c r="H28" s="30">
        <f t="shared" si="2"/>
        <v>58368</v>
      </c>
      <c r="I28" s="29">
        <v>424525</v>
      </c>
      <c r="J28" s="30">
        <f t="shared" si="3"/>
        <v>120</v>
      </c>
      <c r="K28" s="12">
        <v>80</v>
      </c>
      <c r="L28" s="12">
        <v>139</v>
      </c>
    </row>
    <row r="29" spans="1:14" ht="45" customHeight="1" x14ac:dyDescent="0.25">
      <c r="A29" s="28">
        <v>44859</v>
      </c>
      <c r="B29" s="38"/>
      <c r="C29" s="29">
        <v>100811461</v>
      </c>
      <c r="D29" s="30">
        <f t="shared" si="4"/>
        <v>28302</v>
      </c>
      <c r="E29" s="29">
        <v>5858.9684999999999</v>
      </c>
      <c r="F29" s="30">
        <f t="shared" si="1"/>
        <v>3.6630000000004657</v>
      </c>
      <c r="G29" s="29">
        <v>262174576</v>
      </c>
      <c r="H29" s="30">
        <f t="shared" si="2"/>
        <v>50672</v>
      </c>
      <c r="I29" s="29">
        <v>424637</v>
      </c>
      <c r="J29" s="30">
        <f t="shared" si="3"/>
        <v>112</v>
      </c>
      <c r="K29" s="12">
        <v>85</v>
      </c>
      <c r="L29" s="12">
        <v>142</v>
      </c>
    </row>
    <row r="30" spans="1:14" ht="45" customHeight="1" x14ac:dyDescent="0.25">
      <c r="A30" s="28">
        <v>44860</v>
      </c>
      <c r="B30" s="38"/>
      <c r="C30" s="29">
        <v>100838867</v>
      </c>
      <c r="D30" s="30">
        <f t="shared" si="4"/>
        <v>27406</v>
      </c>
      <c r="E30" s="29">
        <v>5862.6314999999995</v>
      </c>
      <c r="F30" s="30">
        <f t="shared" si="1"/>
        <v>3.6629999999995562</v>
      </c>
      <c r="G30" s="29">
        <v>262221216</v>
      </c>
      <c r="H30" s="30">
        <f t="shared" si="2"/>
        <v>46640</v>
      </c>
      <c r="I30" s="29">
        <v>424754</v>
      </c>
      <c r="J30" s="30">
        <f t="shared" si="3"/>
        <v>117</v>
      </c>
      <c r="K30" s="12">
        <v>80</v>
      </c>
      <c r="L30" s="12">
        <v>136</v>
      </c>
    </row>
    <row r="31" spans="1:14" ht="45" customHeight="1" x14ac:dyDescent="0.25">
      <c r="A31" s="28">
        <v>44861</v>
      </c>
      <c r="B31" s="38"/>
      <c r="C31" s="29">
        <v>100866678</v>
      </c>
      <c r="D31" s="30">
        <f t="shared" si="4"/>
        <v>27811</v>
      </c>
      <c r="E31" s="29">
        <v>5866.2945</v>
      </c>
      <c r="F31" s="30">
        <f t="shared" si="1"/>
        <v>3.6630000000004657</v>
      </c>
      <c r="G31" s="29">
        <v>262266464</v>
      </c>
      <c r="H31" s="30">
        <f t="shared" si="2"/>
        <v>45248</v>
      </c>
      <c r="I31" s="29">
        <v>424853</v>
      </c>
      <c r="J31" s="30">
        <f t="shared" si="3"/>
        <v>99</v>
      </c>
      <c r="K31" s="12">
        <v>72</v>
      </c>
      <c r="L31" s="12">
        <v>126</v>
      </c>
    </row>
    <row r="32" spans="1:14" ht="45" customHeight="1" x14ac:dyDescent="0.25">
      <c r="A32" s="28">
        <v>44862</v>
      </c>
      <c r="B32" s="38"/>
      <c r="C32" s="29">
        <v>100894198</v>
      </c>
      <c r="D32" s="30">
        <f t="shared" si="4"/>
        <v>27520</v>
      </c>
      <c r="E32" s="29">
        <v>5869.9574999999995</v>
      </c>
      <c r="F32" s="30">
        <f t="shared" si="1"/>
        <v>3.6629999999995562</v>
      </c>
      <c r="G32" s="29">
        <v>262312160</v>
      </c>
      <c r="H32" s="30">
        <f t="shared" si="2"/>
        <v>45696</v>
      </c>
      <c r="I32" s="29">
        <v>424950</v>
      </c>
      <c r="J32" s="30">
        <f t="shared" si="3"/>
        <v>97</v>
      </c>
      <c r="K32" s="12">
        <v>117</v>
      </c>
      <c r="L32" s="12">
        <v>258</v>
      </c>
    </row>
    <row r="33" spans="1:12" ht="36" customHeight="1" x14ac:dyDescent="0.25">
      <c r="A33" s="28">
        <v>44863</v>
      </c>
      <c r="C33" s="29">
        <v>100922724</v>
      </c>
      <c r="D33" s="30">
        <f t="shared" si="4"/>
        <v>28526</v>
      </c>
      <c r="E33" s="29">
        <v>5871.7889999999998</v>
      </c>
      <c r="F33" s="30">
        <f t="shared" si="1"/>
        <v>1.8315000000002328</v>
      </c>
      <c r="G33" s="29">
        <v>262360864</v>
      </c>
      <c r="H33" s="30">
        <f t="shared" si="2"/>
        <v>48704</v>
      </c>
      <c r="I33" s="29">
        <v>425069</v>
      </c>
      <c r="J33" s="30">
        <f t="shared" si="3"/>
        <v>119</v>
      </c>
      <c r="K33" s="12">
        <v>146</v>
      </c>
      <c r="L33" s="12">
        <v>402</v>
      </c>
    </row>
    <row r="34" spans="1:12" ht="45.6" customHeight="1" x14ac:dyDescent="0.25">
      <c r="A34" s="28">
        <v>44864</v>
      </c>
      <c r="C34" s="29">
        <v>100950630</v>
      </c>
      <c r="D34" s="30">
        <f t="shared" si="4"/>
        <v>27906</v>
      </c>
      <c r="E34" s="29">
        <v>5875.4519999999993</v>
      </c>
      <c r="F34" s="30">
        <f t="shared" si="1"/>
        <v>3.6629999999995562</v>
      </c>
      <c r="G34" s="29">
        <v>262399904</v>
      </c>
      <c r="H34" s="30">
        <f t="shared" si="2"/>
        <v>39040</v>
      </c>
      <c r="I34" s="29">
        <v>425219</v>
      </c>
      <c r="J34" s="30">
        <f t="shared" si="3"/>
        <v>150</v>
      </c>
      <c r="K34" s="12">
        <v>98</v>
      </c>
      <c r="L34" s="12">
        <v>439</v>
      </c>
    </row>
    <row r="35" spans="1:12" ht="47.45" customHeight="1" x14ac:dyDescent="0.25">
      <c r="A35" s="28">
        <v>44865</v>
      </c>
      <c r="C35" s="29">
        <v>100978682</v>
      </c>
      <c r="D35" s="30">
        <f t="shared" si="4"/>
        <v>28052</v>
      </c>
      <c r="E35" s="29">
        <v>5877.2834999999995</v>
      </c>
      <c r="F35" s="30">
        <f t="shared" si="1"/>
        <v>1.8315000000002328</v>
      </c>
      <c r="G35" s="29">
        <v>262437696</v>
      </c>
      <c r="H35" s="30">
        <f t="shared" si="2"/>
        <v>37792</v>
      </c>
      <c r="I35" s="29">
        <v>425377</v>
      </c>
      <c r="J35" s="30">
        <f t="shared" si="3"/>
        <v>158</v>
      </c>
      <c r="K35" s="12">
        <v>66</v>
      </c>
      <c r="L35" s="12">
        <v>160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2023-02-22T07:06:53Z</dcterms:modified>
  <cp:category/>
  <cp:contentStatus/>
</cp:coreProperties>
</file>