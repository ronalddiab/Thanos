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I33" i="10" s="1"/>
  <c r="H32" i="10"/>
  <c r="H31" i="10"/>
  <c r="H30" i="10"/>
  <c r="H29" i="10"/>
  <c r="H28" i="10"/>
  <c r="H27" i="10"/>
  <c r="I28" i="10" s="1"/>
  <c r="H26" i="10"/>
  <c r="H25" i="10"/>
  <c r="H24" i="10"/>
  <c r="H23" i="10"/>
  <c r="I24" i="10" s="1"/>
  <c r="H22" i="10"/>
  <c r="H21" i="10"/>
  <c r="I22" i="10" s="1"/>
  <c r="H20" i="10"/>
  <c r="H19" i="10"/>
  <c r="H18" i="10"/>
  <c r="H17" i="10"/>
  <c r="I17" i="10" s="1"/>
  <c r="H16" i="10"/>
  <c r="H15" i="10"/>
  <c r="I15" i="10" s="1"/>
  <c r="H14" i="10"/>
  <c r="I14" i="10" s="1"/>
  <c r="H13" i="10"/>
  <c r="H12" i="10"/>
  <c r="H11" i="10"/>
  <c r="H10" i="10"/>
  <c r="H9" i="10"/>
  <c r="H8" i="10"/>
  <c r="I8" i="10" s="1"/>
  <c r="H7" i="10"/>
  <c r="H6" i="10"/>
  <c r="H5" i="10"/>
  <c r="I5" i="10" s="1"/>
  <c r="H4" i="10"/>
  <c r="K34" i="9"/>
  <c r="I33" i="9"/>
  <c r="G33" i="9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I23" i="9"/>
  <c r="G23" i="9"/>
  <c r="G22" i="9"/>
  <c r="I22" i="9" s="1"/>
  <c r="G21" i="9"/>
  <c r="I21" i="9" s="1"/>
  <c r="G20" i="9"/>
  <c r="I20" i="9" s="1"/>
  <c r="I19" i="9"/>
  <c r="G19" i="9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I11" i="9"/>
  <c r="G11" i="9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11" i="10" l="1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AX21" i="10"/>
  <c r="AV21" i="10"/>
  <c r="AS21" i="10"/>
  <c r="AT21" i="10" s="1"/>
  <c r="AQ21" i="10"/>
  <c r="AO21" i="10"/>
  <c r="AC21" i="10"/>
  <c r="T21" i="10"/>
  <c r="U22" i="10" s="1"/>
  <c r="AX20" i="10"/>
  <c r="AV20" i="10"/>
  <c r="AS20" i="10"/>
  <c r="AQ20" i="10"/>
  <c r="AO20" i="10"/>
  <c r="AC20" i="10"/>
  <c r="T20" i="10"/>
  <c r="U20" i="10" s="1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T16" i="10" s="1"/>
  <c r="AQ16" i="10"/>
  <c r="AO16" i="10"/>
  <c r="AC16" i="10"/>
  <c r="T16" i="10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17" i="10"/>
  <c r="U23" i="10"/>
  <c r="U28" i="10"/>
  <c r="U31" i="10"/>
  <c r="AW8" i="10"/>
  <c r="AR11" i="10"/>
  <c r="V8" i="10"/>
  <c r="AD17" i="10"/>
  <c r="AD21" i="10"/>
  <c r="AD25" i="10"/>
  <c r="AD29" i="10"/>
  <c r="AT23" i="10"/>
  <c r="AT31" i="10"/>
  <c r="AT34" i="10"/>
  <c r="AP21" i="10"/>
  <c r="AP35" i="10"/>
  <c r="AW13" i="10"/>
  <c r="V13" i="10"/>
  <c r="AD5" i="10" l="1"/>
  <c r="AT25" i="10"/>
  <c r="U8" i="10"/>
  <c r="AP6" i="10"/>
  <c r="AU6" i="10" s="1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U35" i="10" s="1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U18" i="10" s="1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AU13" i="10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1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7" i="10" l="1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<sst xmlns="http://schemas.openxmlformats.org/spreadsheetml/2006/main" count="110" uniqueCount="57">
  <si>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</si>
  <si>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</si>
  <si>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</si>
  <si>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</si>
  <si>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</si>
  <si>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</si>
  <si>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</si>
  <si>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</si>
  <si>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</si>
  <si>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</si>
  <si>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</si>
  <si>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</si>
  <si>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</si>
  <si>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</si>
  <si>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</si>
  <si>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</si>
  <si>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</si>
  <si>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</si>
  <si>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</si>
  <si>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</si>
  <si>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</si>
  <si>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</si>
  <si>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</si>
  <si>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</si>
  <si>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</si>
  <si>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</si>
  <si>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</si>
  <si>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</si>
  <si>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</si>
  <si>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</si>
  <si>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</si>
  <si>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</si>
  <si>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</si>
  <si>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</si>
  <si>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</si>
  <si>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</si>
  <si>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</si>
  <si>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</si>
  <si>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</si>
  <si>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</si>
  <si>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</si>
  <si>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</si>
  <si>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</si>
  <si>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</si>
  <si>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</si>
  <si>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</si>
  <si>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</si>
  <si>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</si>
  <si>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</si>
  <si>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</si>
  <si>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BİRİM FİYAT : 1.655 TL/m3 + KDV  x 1764,5 = 2796,4 TL + KDV</t>
  </si>
  <si>
    <t>Istanbul at Sultanahmet</t>
  </si>
  <si>
    <t>BİRİM FİYAT : 0.70  x 44794,8 =28668,6 TL/Kwh+KDV</t>
  </si>
  <si>
    <t>BİRİM FİYAT :   12.93 TL/m3 + KDV x  91,0 = 1116,6 TL + KDV</t>
  </si>
  <si>
    <t>WATER CONSUMPTION , APRIL.2021</t>
  </si>
  <si>
    <t>NATURAL GAS CONSUMPTION , APRIL.2021</t>
  </si>
  <si>
    <t>ELECTRICITY CONSUMPTION , APRIL.2021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</si>
</sst>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6168"/>
        <c:axId val="253296952"/>
      </c:lineChart>
      <c:dateAx>
        <c:axId val="25329616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329695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5329695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9616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9696"/>
        <c:axId val="253298128"/>
      </c:lineChart>
      <c:dateAx>
        <c:axId val="253299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8128"/>
        <c:crosses val="autoZero"/>
        <c:auto val="0"/>
        <c:lblOffset val="100"/>
        <c:baseTimeUnit val="days"/>
      </c:dateAx>
      <c:valAx>
        <c:axId val="2532981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969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3816"/>
        <c:axId val="253297344"/>
      </c:lineChart>
      <c:dateAx>
        <c:axId val="2532938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7344"/>
        <c:crosses val="autoZero"/>
        <c:auto val="0"/>
        <c:lblOffset val="100"/>
        <c:baseTimeUnit val="days"/>
        <c:majorUnit val="1"/>
        <c:majorTimeUnit val="days"/>
      </c:dateAx>
      <c:valAx>
        <c:axId val="25329734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38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/>
      <sheetData sheetId="2">
        <row r="34">
          <cell r="G34">
            <v>10104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A32" sqref="A32:XFD3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</v>
      </c>
      <c r="G6" s="13">
        <f>Gas!J8</f>
        <v>0</v>
      </c>
      <c r="H6" s="3">
        <v>1.66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</v>
      </c>
      <c r="G7" s="13">
        <f>Gas!J9</f>
        <v>0</v>
      </c>
      <c r="H7" s="3">
        <v>1.66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</v>
      </c>
      <c r="G8" s="13">
        <f>Gas!J10</f>
        <v>0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4</v>
      </c>
      <c r="D9" s="12">
        <v>2021</v>
      </c>
      <c r="E9" s="13">
        <f>Electricity!I11</f>
        <v>-12861688.32</v>
      </c>
      <c r="F9" s="3">
        <v>0.7</v>
      </c>
      <c r="G9" s="13">
        <f>Gas!J11</f>
        <v>-1201362.1035440001</v>
      </c>
      <c r="H9" s="3">
        <v>1.66</v>
      </c>
      <c r="I9" s="13">
        <f>Water!H11</f>
        <v>-9056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4</v>
      </c>
      <c r="D10" s="12">
        <v>2021</v>
      </c>
      <c r="E10" s="13">
        <f>Electricity!I12</f>
        <v>0</v>
      </c>
      <c r="F10" s="3">
        <v>0.7</v>
      </c>
      <c r="G10" s="13">
        <f>Gas!J12</f>
        <v>0</v>
      </c>
      <c r="H10" s="3">
        <v>1.66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4</v>
      </c>
      <c r="D11" s="12">
        <v>2021</v>
      </c>
      <c r="E11" s="13">
        <f>Electricity!I13</f>
        <v>0</v>
      </c>
      <c r="F11" s="3">
        <v>0.7</v>
      </c>
      <c r="G11" s="13">
        <f>Gas!J13</f>
        <v>0</v>
      </c>
      <c r="H11" s="3">
        <v>1.66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4</v>
      </c>
      <c r="D12" s="12">
        <v>2021</v>
      </c>
      <c r="E12" s="13">
        <f>Electricity!I14</f>
        <v>0</v>
      </c>
      <c r="F12" s="3">
        <v>0.7</v>
      </c>
      <c r="G12" s="13">
        <f>Gas!J14</f>
        <v>0</v>
      </c>
      <c r="H12" s="3">
        <v>1.66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4</v>
      </c>
      <c r="D13" s="12">
        <v>2021</v>
      </c>
      <c r="E13" s="13">
        <f>Electricity!I15</f>
        <v>0</v>
      </c>
      <c r="F13" s="3">
        <v>0.7</v>
      </c>
      <c r="G13" s="13">
        <f>Gas!J15</f>
        <v>0</v>
      </c>
      <c r="H13" s="3">
        <v>1.66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4</v>
      </c>
      <c r="D14" s="12">
        <v>2021</v>
      </c>
      <c r="E14" s="13">
        <f>Electricity!I16</f>
        <v>0</v>
      </c>
      <c r="F14" s="3">
        <v>0.7</v>
      </c>
      <c r="G14" s="13">
        <f>Gas!J16</f>
        <v>0</v>
      </c>
      <c r="H14" s="3">
        <v>1.66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4</v>
      </c>
      <c r="D15" s="12">
        <v>2021</v>
      </c>
      <c r="E15" s="13">
        <f>Electricity!I17</f>
        <v>0</v>
      </c>
      <c r="F15" s="3">
        <v>0.7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4</v>
      </c>
      <c r="D16" s="12">
        <v>2021</v>
      </c>
      <c r="E16" s="13">
        <f>Electricity!I18</f>
        <v>0</v>
      </c>
      <c r="F16" s="3">
        <v>0.7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4</v>
      </c>
      <c r="D17" s="12">
        <v>2021</v>
      </c>
      <c r="E17" s="13">
        <f>Electricity!I19</f>
        <v>0</v>
      </c>
      <c r="F17" s="3">
        <v>0.7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4</v>
      </c>
      <c r="D18" s="12">
        <v>2021</v>
      </c>
      <c r="E18" s="13">
        <f>Electricity!I20</f>
        <v>0</v>
      </c>
      <c r="F18" s="3">
        <v>0.7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4</v>
      </c>
      <c r="D19" s="12">
        <v>2021</v>
      </c>
      <c r="E19" s="13">
        <f>Electricity!I21</f>
        <v>0</v>
      </c>
      <c r="F19" s="3">
        <v>0.7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4</v>
      </c>
      <c r="D20" s="12">
        <v>2021</v>
      </c>
      <c r="E20" s="13">
        <f>Electricity!I22</f>
        <v>0</v>
      </c>
      <c r="F20" s="3">
        <v>0.7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4</v>
      </c>
      <c r="D21" s="12">
        <v>2021</v>
      </c>
      <c r="E21" s="13">
        <f>Electricity!I23</f>
        <v>0</v>
      </c>
      <c r="F21" s="3">
        <v>0.7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4</v>
      </c>
      <c r="D22" s="12">
        <v>2021</v>
      </c>
      <c r="E22" s="13">
        <f>Electricity!I24</f>
        <v>0</v>
      </c>
      <c r="F22" s="3">
        <v>0.7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4</v>
      </c>
      <c r="D23" s="12">
        <v>2021</v>
      </c>
      <c r="E23" s="13">
        <f>Electricity!I25</f>
        <v>0</v>
      </c>
      <c r="F23" s="3">
        <v>0.7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4</v>
      </c>
      <c r="D24" s="12">
        <v>2021</v>
      </c>
      <c r="E24" s="13">
        <f>Electricity!I26</f>
        <v>0</v>
      </c>
      <c r="F24" s="3">
        <v>0.7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4</v>
      </c>
      <c r="D25" s="12">
        <v>2021</v>
      </c>
      <c r="E25" s="13">
        <f>Electricity!I27</f>
        <v>0</v>
      </c>
      <c r="F25" s="3">
        <v>0.7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4</v>
      </c>
      <c r="D26" s="12">
        <v>2021</v>
      </c>
      <c r="E26" s="13">
        <f>Electricity!I28</f>
        <v>0</v>
      </c>
      <c r="F26" s="3">
        <v>0.7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4</v>
      </c>
      <c r="D27" s="12">
        <v>2021</v>
      </c>
      <c r="E27" s="13">
        <f>Electricity!I29</f>
        <v>0</v>
      </c>
      <c r="F27" s="3">
        <v>0.7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4</v>
      </c>
      <c r="D28" s="12">
        <v>2021</v>
      </c>
      <c r="E28" s="13">
        <f>Electricity!I30</f>
        <v>0</v>
      </c>
      <c r="F28" s="3">
        <v>0.7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4</v>
      </c>
      <c r="D29" s="12">
        <v>2021</v>
      </c>
      <c r="E29" s="13">
        <f>Electricity!I31</f>
        <v>0</v>
      </c>
      <c r="F29" s="3">
        <v>0.7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4</v>
      </c>
      <c r="D30" s="12">
        <v>2021</v>
      </c>
      <c r="E30" s="13">
        <f>Electricity!I32</f>
        <v>0</v>
      </c>
      <c r="F30" s="3">
        <v>0.7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4</v>
      </c>
      <c r="D31" s="12">
        <v>2021</v>
      </c>
      <c r="E31" s="13">
        <f>Electricity!I33</f>
        <v>0</v>
      </c>
      <c r="F31" s="3">
        <v>0.7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G15" sqref="G1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54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/>
      <c r="F11" s="24">
        <v>1065</v>
      </c>
      <c r="G11" s="24">
        <f t="shared" si="1"/>
        <v>1065</v>
      </c>
      <c r="H11" s="25">
        <f t="shared" si="0"/>
        <v>-9056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/>
      <c r="F12" s="24">
        <v>1065</v>
      </c>
      <c r="G12" s="24">
        <f t="shared" si="1"/>
        <v>1065</v>
      </c>
      <c r="H12" s="25">
        <f t="shared" si="0"/>
        <v>0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/>
      <c r="F13" s="24">
        <v>1065</v>
      </c>
      <c r="G13" s="24">
        <f t="shared" si="1"/>
        <v>1065</v>
      </c>
      <c r="H13" s="25">
        <f t="shared" si="0"/>
        <v>0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/>
      <c r="F14" s="24">
        <v>1065</v>
      </c>
      <c r="G14" s="24">
        <f t="shared" si="1"/>
        <v>1065</v>
      </c>
      <c r="H14" s="25">
        <f t="shared" si="0"/>
        <v>0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/>
      <c r="F15" s="24">
        <v>1065</v>
      </c>
      <c r="G15" s="24">
        <f t="shared" si="1"/>
        <v>1065</v>
      </c>
      <c r="H15" s="25">
        <f t="shared" si="0"/>
        <v>0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/>
      <c r="F16" s="24">
        <v>1065</v>
      </c>
      <c r="G16" s="24">
        <f t="shared" si="1"/>
        <v>1065</v>
      </c>
      <c r="H16" s="25">
        <f t="shared" si="0"/>
        <v>0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/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/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/>
      <c r="F19" s="24">
        <v>1065</v>
      </c>
      <c r="G19" s="24">
        <f>E19+F19</f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/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/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-9039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53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4" sqref="F1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55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1.287784</v>
      </c>
      <c r="I4" s="24">
        <f t="shared" ref="I4:I33" si="0">H4*G4</f>
        <v>1201362.1035440001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1.287784</v>
      </c>
      <c r="I5" s="24">
        <f t="shared" si="0"/>
        <v>1201362.1035440001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1.287784</v>
      </c>
      <c r="I6" s="24">
        <f t="shared" si="0"/>
        <v>1201362.1035440001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1.287784</v>
      </c>
      <c r="I7" s="24">
        <f t="shared" si="0"/>
        <v>1201362.1035440001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1.287784</v>
      </c>
      <c r="I8" s="24">
        <f t="shared" si="0"/>
        <v>1201362.1035440001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1.287784</v>
      </c>
      <c r="I9" s="24">
        <f t="shared" si="0"/>
        <v>1201362.1035440001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1.287784</v>
      </c>
      <c r="I10" s="24">
        <f t="shared" si="0"/>
        <v>1201362.1035440001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/>
      <c r="F11" s="24"/>
      <c r="G11" s="24">
        <f t="shared" si="1"/>
        <v>0</v>
      </c>
      <c r="H11" s="18">
        <v>1.287784</v>
      </c>
      <c r="I11" s="24">
        <f t="shared" si="0"/>
        <v>0</v>
      </c>
      <c r="J11" s="25">
        <f t="shared" si="2"/>
        <v>-1201362.1035440001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/>
      <c r="F12" s="24"/>
      <c r="G12" s="24">
        <f>E12+F12</f>
        <v>0</v>
      </c>
      <c r="H12" s="18">
        <v>1.287784</v>
      </c>
      <c r="I12" s="24">
        <f t="shared" si="0"/>
        <v>0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/>
      <c r="F13" s="24"/>
      <c r="G13" s="24">
        <f>E13+F13</f>
        <v>0</v>
      </c>
      <c r="H13" s="18">
        <v>1.287784</v>
      </c>
      <c r="I13" s="24">
        <f t="shared" si="0"/>
        <v>0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/>
      <c r="F14" s="24"/>
      <c r="G14" s="24">
        <f t="shared" si="1"/>
        <v>0</v>
      </c>
      <c r="H14" s="18">
        <v>1.287784</v>
      </c>
      <c r="I14" s="24">
        <f t="shared" si="0"/>
        <v>0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/>
      <c r="F15" s="24"/>
      <c r="G15" s="24">
        <f t="shared" si="1"/>
        <v>0</v>
      </c>
      <c r="H15" s="18">
        <v>1.287784</v>
      </c>
      <c r="I15" s="24">
        <f t="shared" si="0"/>
        <v>0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/>
      <c r="F16" s="24"/>
      <c r="G16" s="24">
        <f t="shared" si="1"/>
        <v>0</v>
      </c>
      <c r="H16" s="18">
        <v>1.287784</v>
      </c>
      <c r="I16" s="24">
        <f t="shared" si="0"/>
        <v>0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/>
      <c r="F17" s="24"/>
      <c r="G17" s="24">
        <f t="shared" si="1"/>
        <v>0</v>
      </c>
      <c r="H17" s="18">
        <v>1.287784</v>
      </c>
      <c r="I17" s="24">
        <f t="shared" si="0"/>
        <v>0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/>
      <c r="F18" s="24"/>
      <c r="G18" s="24">
        <f t="shared" si="1"/>
        <v>0</v>
      </c>
      <c r="H18" s="18">
        <v>1.287784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/>
      <c r="F19" s="24"/>
      <c r="G19" s="24">
        <f t="shared" si="1"/>
        <v>0</v>
      </c>
      <c r="H19" s="18">
        <v>1.287784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/>
      <c r="F20" s="24"/>
      <c r="G20" s="24">
        <f t="shared" si="1"/>
        <v>0</v>
      </c>
      <c r="H20" s="18">
        <v>1.287784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/>
      <c r="F21" s="24"/>
      <c r="G21" s="24">
        <f t="shared" si="1"/>
        <v>0</v>
      </c>
      <c r="H21" s="18">
        <v>1.287784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/>
      <c r="F22" s="24"/>
      <c r="G22" s="24">
        <f t="shared" si="1"/>
        <v>0</v>
      </c>
      <c r="H22" s="18">
        <v>1.287784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/>
      <c r="F23" s="24"/>
      <c r="G23" s="24">
        <f t="shared" si="1"/>
        <v>0</v>
      </c>
      <c r="H23" s="18">
        <v>1.287784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/>
      <c r="F24" s="24"/>
      <c r="G24" s="24">
        <f t="shared" si="1"/>
        <v>0</v>
      </c>
      <c r="H24" s="18">
        <v>1.287784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/>
      <c r="F25" s="24"/>
      <c r="G25" s="24">
        <f t="shared" si="1"/>
        <v>0</v>
      </c>
      <c r="H25" s="18">
        <v>1.287784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/>
      <c r="F26" s="24"/>
      <c r="G26" s="24">
        <f t="shared" si="1"/>
        <v>0</v>
      </c>
      <c r="H26" s="18">
        <v>1.287784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/>
      <c r="F27" s="24"/>
      <c r="G27" s="24">
        <f t="shared" si="1"/>
        <v>0</v>
      </c>
      <c r="H27" s="18">
        <v>1.287784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/>
      <c r="F28" s="24"/>
      <c r="G28" s="24">
        <f t="shared" si="1"/>
        <v>0</v>
      </c>
      <c r="H28" s="18">
        <v>1.287784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/>
      <c r="F29" s="24"/>
      <c r="G29" s="24">
        <f t="shared" si="1"/>
        <v>0</v>
      </c>
      <c r="H29" s="18">
        <v>1.287784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/>
      <c r="F30" s="24"/>
      <c r="G30" s="24">
        <f t="shared" si="1"/>
        <v>0</v>
      </c>
      <c r="H30" s="18">
        <v>1.287784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/>
      <c r="F31" s="24"/>
      <c r="G31" s="24">
        <f t="shared" si="1"/>
        <v>0</v>
      </c>
      <c r="H31" s="18">
        <v>1.287784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/>
      <c r="F32" s="24"/>
      <c r="G32" s="24">
        <f t="shared" si="1"/>
        <v>0</v>
      </c>
      <c r="H32" s="18">
        <v>1.287784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/>
      <c r="F33" s="24"/>
      <c r="G33" s="24">
        <f t="shared" si="1"/>
        <v>0</v>
      </c>
      <c r="H33" s="18">
        <v>1.287784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-1201362.1035440001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50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5" sqref="F15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56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/>
      <c r="G11" s="23">
        <v>2760</v>
      </c>
      <c r="H11" s="24">
        <f t="shared" si="11"/>
        <v>0</v>
      </c>
      <c r="I11" s="25">
        <f t="shared" si="18"/>
        <v>-12861688.32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-12861688.32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-12861688.32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-12861688.32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/>
      <c r="G12" s="23">
        <v>2760</v>
      </c>
      <c r="H12" s="24">
        <f t="shared" si="11"/>
        <v>0</v>
      </c>
      <c r="I12" s="25">
        <f t="shared" si="18"/>
        <v>0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0</v>
      </c>
      <c r="W12" s="74" t="e">
        <f t="shared" si="2"/>
        <v>#DIV/0!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0</v>
      </c>
      <c r="AF12" s="74" t="e">
        <f>AD12/AE12</f>
        <v>#DIV/0!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/>
      <c r="G13" s="23">
        <v>2760</v>
      </c>
      <c r="H13" s="24">
        <f t="shared" si="11"/>
        <v>0</v>
      </c>
      <c r="I13" s="25">
        <f t="shared" si="18"/>
        <v>0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0</v>
      </c>
      <c r="W13" s="74" t="e">
        <f t="shared" si="2"/>
        <v>#DIV/0!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0</v>
      </c>
      <c r="AF13" s="74" t="e">
        <f>AD13/AE13</f>
        <v>#DIV/0!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/>
      <c r="G14" s="23">
        <v>2760</v>
      </c>
      <c r="H14" s="24">
        <f t="shared" si="11"/>
        <v>0</v>
      </c>
      <c r="I14" s="25">
        <f t="shared" si="18"/>
        <v>0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0</v>
      </c>
      <c r="W14" s="74" t="e">
        <f t="shared" si="2"/>
        <v>#DIV/0!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0</v>
      </c>
      <c r="AF14" s="74" t="e">
        <f>AD14/AE14</f>
        <v>#DIV/0!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/>
      <c r="G15" s="23">
        <v>2760</v>
      </c>
      <c r="H15" s="24">
        <f t="shared" si="11"/>
        <v>0</v>
      </c>
      <c r="I15" s="25">
        <f t="shared" si="18"/>
        <v>0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0</v>
      </c>
      <c r="W15" s="81" t="e">
        <f t="shared" si="2"/>
        <v>#DIV/0!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0</v>
      </c>
      <c r="AF15" s="74" t="e">
        <f t="shared" ref="AF15:AF35" si="25">AD15/AE15</f>
        <v>#DIV/0!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0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/>
      <c r="G16" s="23">
        <v>2760</v>
      </c>
      <c r="H16" s="24">
        <f t="shared" si="11"/>
        <v>0</v>
      </c>
      <c r="I16" s="25">
        <f t="shared" si="18"/>
        <v>0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0</v>
      </c>
      <c r="W16" s="81" t="e">
        <f t="shared" si="2"/>
        <v>#DIV/0!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0</v>
      </c>
      <c r="AF16" s="74" t="e">
        <f t="shared" si="25"/>
        <v>#DIV/0!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0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/>
      <c r="G17" s="23">
        <v>2760</v>
      </c>
      <c r="H17" s="24">
        <f t="shared" si="11"/>
        <v>0</v>
      </c>
      <c r="I17" s="25">
        <f t="shared" si="18"/>
        <v>0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0</v>
      </c>
      <c r="W17" s="74" t="e">
        <f t="shared" si="2"/>
        <v>#DIV/0!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0</v>
      </c>
      <c r="AF17" s="74" t="e">
        <f t="shared" si="25"/>
        <v>#DIV/0!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/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/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/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/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/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/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/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/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/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/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/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/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/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/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/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/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-12850532.419999998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-12850532.419999998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-12850532.419999998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-12850532.419999998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2021-04-07T04:23:41Z</dcterms:modified>
</cp:coreProperties>
</file>