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any.Chang\Downloads\"/>
    </mc:Choice>
  </mc:AlternateContent>
  <xr:revisionPtr revIDLastSave="0" documentId="13_ncr:1_{33C40509-4ECC-4FB0-B01B-BBDBC9AAF3E9}" xr6:coauthVersionLast="36" xr6:coauthVersionMax="47" xr10:uidLastSave="{00000000-0000-0000-0000-000000000000}"/>
  <bookViews>
    <workbookView xWindow="0" yWindow="0" windowWidth="24240" windowHeight="12435" activeTab="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</workbook>
</file>

<file path=xl/calcChain.xml><?xml version="1.0" encoding="utf-8"?>
<calcChain xmlns="http://schemas.openxmlformats.org/spreadsheetml/2006/main">
  <c r="C22" i="1" l="1"/>
  <c r="H10" i="7"/>
  <c r="I10" i="7"/>
  <c r="H8" i="6" s="1"/>
  <c r="H34" i="7"/>
  <c r="H31" i="7"/>
  <c r="H32" i="7"/>
  <c r="H33" i="7"/>
  <c r="I31" i="7"/>
  <c r="I32" i="7"/>
  <c r="I33" i="7"/>
  <c r="H31" i="6" s="1"/>
  <c r="I34" i="7"/>
  <c r="C20" i="10"/>
  <c r="C23" i="9"/>
  <c r="C24" i="9"/>
  <c r="C22" i="9"/>
  <c r="C20" i="9"/>
  <c r="C2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H5" i="7"/>
  <c r="H6" i="7"/>
  <c r="H7" i="7"/>
  <c r="H8" i="7"/>
  <c r="H9" i="7"/>
  <c r="H11" i="7"/>
  <c r="H12" i="7"/>
  <c r="H13" i="7"/>
  <c r="C30" i="9"/>
  <c r="I5" i="7"/>
  <c r="H3" i="6" s="1"/>
  <c r="I6" i="7"/>
  <c r="I7" i="7"/>
  <c r="I8" i="7"/>
  <c r="I9" i="7"/>
  <c r="H7" i="6" s="1"/>
  <c r="I11" i="7"/>
  <c r="I12" i="7"/>
  <c r="I13" i="7"/>
  <c r="H14" i="7"/>
  <c r="I14" i="7"/>
  <c r="H15" i="7"/>
  <c r="I15" i="7"/>
  <c r="H16" i="7"/>
  <c r="I16" i="7"/>
  <c r="H17" i="7"/>
  <c r="I17" i="7"/>
  <c r="H15" i="6" s="1"/>
  <c r="H18" i="7"/>
  <c r="I18" i="7"/>
  <c r="H19" i="7"/>
  <c r="I19" i="7"/>
  <c r="H20" i="7"/>
  <c r="I20" i="7"/>
  <c r="H21" i="7"/>
  <c r="I21" i="7"/>
  <c r="H19" i="6" s="1"/>
  <c r="H22" i="7"/>
  <c r="I22" i="7"/>
  <c r="H23" i="7"/>
  <c r="I23" i="7"/>
  <c r="H24" i="7"/>
  <c r="I24" i="7"/>
  <c r="H25" i="7"/>
  <c r="I25" i="7"/>
  <c r="H23" i="6" s="1"/>
  <c r="H26" i="7"/>
  <c r="I26" i="7"/>
  <c r="H27" i="7"/>
  <c r="I27" i="7"/>
  <c r="H28" i="7"/>
  <c r="I28" i="7"/>
  <c r="H29" i="7"/>
  <c r="I29" i="7"/>
  <c r="H27" i="6" s="1"/>
  <c r="H30" i="7"/>
  <c r="I30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5" i="1"/>
  <c r="C4" i="1"/>
  <c r="A37" i="10"/>
  <c r="C12" i="1"/>
  <c r="C13" i="1"/>
  <c r="C14" i="1"/>
  <c r="C6" i="1"/>
  <c r="C7" i="1"/>
  <c r="C18" i="10"/>
  <c r="J35" i="10"/>
  <c r="I35" i="10"/>
  <c r="E33" i="10"/>
  <c r="C33" i="10"/>
  <c r="E32" i="10"/>
  <c r="C32" i="10"/>
  <c r="J32" i="10"/>
  <c r="E31" i="10"/>
  <c r="C31" i="10"/>
  <c r="E30" i="10"/>
  <c r="C30" i="10"/>
  <c r="E29" i="10"/>
  <c r="C29" i="10"/>
  <c r="E28" i="10"/>
  <c r="C28" i="10"/>
  <c r="J28" i="10"/>
  <c r="E27" i="10"/>
  <c r="C27" i="10"/>
  <c r="E26" i="10"/>
  <c r="C26" i="10"/>
  <c r="E25" i="10"/>
  <c r="C25" i="10"/>
  <c r="E24" i="10"/>
  <c r="C24" i="10"/>
  <c r="J24" i="10"/>
  <c r="E23" i="10"/>
  <c r="C23" i="10"/>
  <c r="E22" i="10"/>
  <c r="C22" i="10"/>
  <c r="E21" i="10"/>
  <c r="C21" i="10"/>
  <c r="E20" i="10"/>
  <c r="E19" i="10"/>
  <c r="C19" i="10"/>
  <c r="E18" i="10"/>
  <c r="E17" i="10"/>
  <c r="C17" i="10"/>
  <c r="E16" i="10"/>
  <c r="C16" i="10"/>
  <c r="E15" i="10"/>
  <c r="C15" i="10"/>
  <c r="I15" i="10"/>
  <c r="E14" i="10"/>
  <c r="C14" i="10"/>
  <c r="E13" i="10"/>
  <c r="C13" i="10"/>
  <c r="E12" i="10"/>
  <c r="C12" i="10"/>
  <c r="E11" i="10"/>
  <c r="C11" i="10"/>
  <c r="I11" i="10"/>
  <c r="E10" i="10"/>
  <c r="C10" i="10"/>
  <c r="E9" i="10"/>
  <c r="C9" i="10"/>
  <c r="E8" i="10"/>
  <c r="C8" i="10"/>
  <c r="E7" i="10"/>
  <c r="C7" i="10"/>
  <c r="E6" i="10"/>
  <c r="C6" i="10"/>
  <c r="I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J31" i="9"/>
  <c r="E30" i="9"/>
  <c r="E29" i="9"/>
  <c r="C29" i="9"/>
  <c r="E28" i="9"/>
  <c r="C28" i="9"/>
  <c r="E27" i="9"/>
  <c r="C27" i="9"/>
  <c r="I27" i="9"/>
  <c r="E26" i="9"/>
  <c r="C26" i="9"/>
  <c r="E25" i="9"/>
  <c r="C25" i="9"/>
  <c r="E24" i="9"/>
  <c r="E23" i="9"/>
  <c r="E22" i="9"/>
  <c r="I22" i="9"/>
  <c r="E21" i="9"/>
  <c r="E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H30" i="6"/>
  <c r="H29" i="6"/>
  <c r="H28" i="6"/>
  <c r="H26" i="6"/>
  <c r="H25" i="6"/>
  <c r="H24" i="6"/>
  <c r="H22" i="6"/>
  <c r="H21" i="6"/>
  <c r="H20" i="6"/>
  <c r="H18" i="6"/>
  <c r="H16" i="6"/>
  <c r="G16" i="6"/>
  <c r="H14" i="6"/>
  <c r="G12" i="6"/>
  <c r="H10" i="6"/>
  <c r="H9" i="6"/>
  <c r="G8" i="6"/>
  <c r="H6" i="6"/>
  <c r="G4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G32" i="6"/>
  <c r="G30" i="6"/>
  <c r="I30" i="9"/>
  <c r="I20" i="10"/>
  <c r="G27" i="6"/>
  <c r="I19" i="10"/>
  <c r="I27" i="10"/>
  <c r="J34" i="10"/>
  <c r="J33" i="10"/>
  <c r="I8" i="10"/>
  <c r="I16" i="9"/>
  <c r="I32" i="9"/>
  <c r="J33" i="9"/>
  <c r="J30" i="10"/>
  <c r="J29" i="10"/>
  <c r="J29" i="8"/>
  <c r="I23" i="10"/>
  <c r="I24" i="9"/>
  <c r="I21" i="9"/>
  <c r="I20" i="9"/>
  <c r="J32" i="8"/>
  <c r="I7" i="9"/>
  <c r="G21" i="6"/>
  <c r="G20" i="6"/>
  <c r="J32" i="9"/>
  <c r="G14" i="6"/>
  <c r="I18" i="8"/>
  <c r="I26" i="8"/>
  <c r="J19" i="8"/>
  <c r="J23" i="8"/>
  <c r="J27" i="8"/>
  <c r="J30" i="9"/>
  <c r="I12" i="10"/>
  <c r="I12" i="9"/>
  <c r="J16" i="8"/>
  <c r="C37" i="8"/>
  <c r="J15" i="8"/>
  <c r="I13" i="8"/>
  <c r="J11" i="8"/>
  <c r="I6" i="9"/>
  <c r="J7" i="8"/>
  <c r="G25" i="6"/>
  <c r="J10" i="8"/>
  <c r="J14" i="8"/>
  <c r="J22" i="8"/>
  <c r="I32" i="8"/>
  <c r="J20" i="9"/>
  <c r="I14" i="10"/>
  <c r="I18" i="10"/>
  <c r="I22" i="10"/>
  <c r="I26" i="10"/>
  <c r="I30" i="10"/>
  <c r="I34" i="10"/>
  <c r="I28" i="9"/>
  <c r="J31" i="10"/>
  <c r="H12" i="6"/>
  <c r="G31" i="6"/>
  <c r="I7" i="8"/>
  <c r="I15" i="8"/>
  <c r="I23" i="8"/>
  <c r="I30" i="8"/>
  <c r="I29" i="9"/>
  <c r="I31" i="9"/>
  <c r="I33" i="9"/>
  <c r="I27" i="8"/>
  <c r="G29" i="6"/>
  <c r="G13" i="6"/>
  <c r="I12" i="8"/>
  <c r="I20" i="8"/>
  <c r="E18" i="6"/>
  <c r="I24" i="8"/>
  <c r="I8" i="9"/>
  <c r="G28" i="6"/>
  <c r="J21" i="8"/>
  <c r="I28" i="8"/>
  <c r="I13" i="10"/>
  <c r="I17" i="10"/>
  <c r="I21" i="10"/>
  <c r="I25" i="10"/>
  <c r="I29" i="10"/>
  <c r="I33" i="10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17" i="10"/>
  <c r="J25" i="10"/>
  <c r="J4" i="10"/>
  <c r="J12" i="10"/>
  <c r="J20" i="10"/>
  <c r="J23" i="10"/>
  <c r="J13" i="10"/>
  <c r="J21" i="10"/>
  <c r="J8" i="10"/>
  <c r="J16" i="10"/>
  <c r="J10" i="10"/>
  <c r="J14" i="10"/>
  <c r="J18" i="10"/>
  <c r="J22" i="10"/>
  <c r="J22" i="9"/>
  <c r="I25" i="9"/>
  <c r="J12" i="9"/>
  <c r="I15" i="9"/>
  <c r="I19" i="9"/>
  <c r="J8" i="9"/>
  <c r="I11" i="9"/>
  <c r="J24" i="9"/>
  <c r="J16" i="9"/>
  <c r="J29" i="9"/>
  <c r="J7" i="9"/>
  <c r="J11" i="9"/>
  <c r="J15" i="9"/>
  <c r="J21" i="9"/>
  <c r="J25" i="9"/>
  <c r="J19" i="9"/>
  <c r="J23" i="9"/>
  <c r="J28" i="9"/>
  <c r="J27" i="10"/>
  <c r="J26" i="10"/>
  <c r="I4" i="1"/>
  <c r="C5" i="1"/>
  <c r="C8" i="1"/>
  <c r="C9" i="1"/>
  <c r="C10" i="1"/>
  <c r="H10" i="1"/>
  <c r="I8" i="6"/>
  <c r="C11" i="1"/>
  <c r="I9" i="1"/>
  <c r="J7" i="6" s="1"/>
  <c r="C15" i="1"/>
  <c r="C16" i="1"/>
  <c r="C17" i="1"/>
  <c r="C18" i="1"/>
  <c r="C19" i="1"/>
  <c r="C20" i="1"/>
  <c r="C21" i="1"/>
  <c r="H21" i="1"/>
  <c r="I19" i="6"/>
  <c r="H22" i="1"/>
  <c r="I20" i="6" s="1"/>
  <c r="C23" i="1"/>
  <c r="C24" i="1"/>
  <c r="C25" i="1"/>
  <c r="C26" i="1"/>
  <c r="C27" i="1"/>
  <c r="C28" i="1"/>
  <c r="C29" i="1"/>
  <c r="H29" i="1"/>
  <c r="I27" i="6"/>
  <c r="C30" i="1"/>
  <c r="I30" i="1"/>
  <c r="J28" i="6" s="1"/>
  <c r="C31" i="1"/>
  <c r="C32" i="1"/>
  <c r="C33" i="1"/>
  <c r="I34" i="1"/>
  <c r="I23" i="1"/>
  <c r="J21" i="6" s="1"/>
  <c r="H15" i="1"/>
  <c r="I13" i="6" s="1"/>
  <c r="I16" i="1"/>
  <c r="I33" i="1"/>
  <c r="I27" i="1"/>
  <c r="J25" i="6" s="1"/>
  <c r="I19" i="1"/>
  <c r="I20" i="1"/>
  <c r="J18" i="6" s="1"/>
  <c r="I28" i="1"/>
  <c r="J26" i="6" s="1"/>
  <c r="I18" i="1"/>
  <c r="H28" i="1"/>
  <c r="I26" i="6" s="1"/>
  <c r="H20" i="1"/>
  <c r="I18" i="6"/>
  <c r="H16" i="1"/>
  <c r="I14" i="6"/>
  <c r="H31" i="1"/>
  <c r="I29" i="6" s="1"/>
  <c r="H27" i="1"/>
  <c r="I25" i="6" s="1"/>
  <c r="H23" i="1"/>
  <c r="I21" i="6"/>
  <c r="H19" i="1"/>
  <c r="I17" i="6" s="1"/>
  <c r="H33" i="1"/>
  <c r="I31" i="6" s="1"/>
  <c r="H25" i="1"/>
  <c r="I23" i="6" s="1"/>
  <c r="H4" i="1"/>
  <c r="I2" i="6"/>
  <c r="H34" i="1"/>
  <c r="H26" i="1"/>
  <c r="I24" i="6"/>
  <c r="H18" i="1"/>
  <c r="I16" i="6" s="1"/>
  <c r="I7" i="1"/>
  <c r="J5" i="6" s="1"/>
  <c r="I12" i="1"/>
  <c r="J10" i="6" s="1"/>
  <c r="I13" i="1"/>
  <c r="J11" i="6" s="1"/>
  <c r="I15" i="1"/>
  <c r="H13" i="1"/>
  <c r="I11" i="6"/>
  <c r="H12" i="1"/>
  <c r="I10" i="6" s="1"/>
  <c r="I11" i="1"/>
  <c r="J9" i="6" s="1"/>
  <c r="H9" i="1"/>
  <c r="I7" i="6"/>
  <c r="I8" i="1"/>
  <c r="H8" i="1"/>
  <c r="I6" i="6"/>
  <c r="H7" i="1"/>
  <c r="J17" i="6"/>
  <c r="J6" i="6"/>
  <c r="J16" i="6"/>
  <c r="J31" i="6"/>
  <c r="J14" i="6"/>
  <c r="H32" i="1"/>
  <c r="I30" i="6" s="1"/>
  <c r="I31" i="1"/>
  <c r="J29" i="6" s="1"/>
  <c r="H24" i="1"/>
  <c r="I22" i="6" s="1"/>
  <c r="H17" i="1"/>
  <c r="I15" i="6" s="1"/>
  <c r="H11" i="1"/>
  <c r="I9" i="6"/>
  <c r="E21" i="6"/>
  <c r="J6" i="8"/>
  <c r="J8" i="8"/>
  <c r="I9" i="8"/>
  <c r="J17" i="8"/>
  <c r="I21" i="8"/>
  <c r="E19" i="6"/>
  <c r="J24" i="8"/>
  <c r="J25" i="8"/>
  <c r="I29" i="8"/>
  <c r="I33" i="8"/>
  <c r="I4" i="9"/>
  <c r="J9" i="9"/>
  <c r="J13" i="9"/>
  <c r="J17" i="9"/>
  <c r="I26" i="9"/>
  <c r="I10" i="10"/>
  <c r="E13" i="6"/>
  <c r="J19" i="10"/>
  <c r="I14" i="1"/>
  <c r="J12" i="6" s="1"/>
  <c r="O35" i="1"/>
  <c r="I5" i="10"/>
  <c r="J6" i="10"/>
  <c r="I4" i="10"/>
  <c r="C36" i="10"/>
  <c r="J5" i="9"/>
  <c r="J4" i="9"/>
  <c r="I5" i="8"/>
  <c r="C36" i="8"/>
  <c r="H5" i="1"/>
  <c r="I3" i="6"/>
  <c r="J2" i="6"/>
  <c r="E35" i="1"/>
  <c r="I10" i="1"/>
  <c r="J8" i="6" s="1"/>
  <c r="I17" i="1"/>
  <c r="J15" i="6" s="1"/>
  <c r="H6" i="1"/>
  <c r="I4" i="6" s="1"/>
  <c r="I5" i="6"/>
  <c r="I5" i="1"/>
  <c r="J3" i="6"/>
  <c r="I26" i="1"/>
  <c r="J24" i="6"/>
  <c r="I25" i="1"/>
  <c r="J23" i="6" s="1"/>
  <c r="I24" i="1"/>
  <c r="J22" i="6"/>
  <c r="I32" i="1"/>
  <c r="J30" i="6" s="1"/>
  <c r="J13" i="6"/>
  <c r="I29" i="1"/>
  <c r="J27" i="6"/>
  <c r="C35" i="1"/>
  <c r="I6" i="1"/>
  <c r="J4" i="6" s="1"/>
  <c r="H30" i="1"/>
  <c r="I21" i="1"/>
  <c r="J19" i="6" s="1"/>
  <c r="I22" i="1"/>
  <c r="J20" i="6" s="1"/>
  <c r="H14" i="1"/>
  <c r="I12" i="6" s="1"/>
  <c r="E36" i="10"/>
  <c r="I16" i="10"/>
  <c r="E24" i="6"/>
  <c r="J5" i="10"/>
  <c r="I9" i="10"/>
  <c r="I31" i="10"/>
  <c r="J9" i="10"/>
  <c r="I24" i="10"/>
  <c r="I32" i="10"/>
  <c r="E30" i="6"/>
  <c r="J15" i="10"/>
  <c r="F13" i="6"/>
  <c r="J7" i="10"/>
  <c r="J11" i="10"/>
  <c r="I28" i="10"/>
  <c r="E26" i="6"/>
  <c r="E28" i="6"/>
  <c r="E22" i="6"/>
  <c r="F22" i="6"/>
  <c r="I7" i="10"/>
  <c r="E5" i="6"/>
  <c r="I9" i="9"/>
  <c r="I17" i="9"/>
  <c r="J6" i="9"/>
  <c r="I10" i="9"/>
  <c r="J14" i="9"/>
  <c r="I18" i="9"/>
  <c r="E16" i="6"/>
  <c r="I13" i="9"/>
  <c r="E11" i="6"/>
  <c r="I5" i="9"/>
  <c r="J26" i="9"/>
  <c r="E27" i="6"/>
  <c r="F27" i="6"/>
  <c r="E36" i="9"/>
  <c r="J27" i="9"/>
  <c r="J18" i="9"/>
  <c r="C36" i="9"/>
  <c r="I14" i="9"/>
  <c r="J10" i="9"/>
  <c r="E25" i="6"/>
  <c r="F25" i="6"/>
  <c r="F5" i="6"/>
  <c r="E10" i="6"/>
  <c r="F19" i="6"/>
  <c r="E36" i="8"/>
  <c r="I6" i="8"/>
  <c r="E4" i="6"/>
  <c r="I10" i="8"/>
  <c r="I14" i="8"/>
  <c r="J18" i="8"/>
  <c r="I22" i="8"/>
  <c r="E20" i="6"/>
  <c r="F20" i="6"/>
  <c r="J26" i="8"/>
  <c r="F24" i="6"/>
  <c r="J30" i="8"/>
  <c r="F30" i="6"/>
  <c r="J9" i="8"/>
  <c r="F21" i="6"/>
  <c r="I11" i="8"/>
  <c r="E9" i="6"/>
  <c r="F9" i="6"/>
  <c r="I19" i="8"/>
  <c r="E17" i="6"/>
  <c r="F17" i="6"/>
  <c r="J4" i="8"/>
  <c r="I8" i="8"/>
  <c r="E6" i="6"/>
  <c r="F6" i="6"/>
  <c r="J12" i="8"/>
  <c r="I16" i="8"/>
  <c r="E14" i="6"/>
  <c r="F14" i="6"/>
  <c r="J20" i="8"/>
  <c r="J28" i="8"/>
  <c r="J5" i="8"/>
  <c r="J13" i="8"/>
  <c r="I17" i="8"/>
  <c r="E15" i="6"/>
  <c r="F15" i="6"/>
  <c r="I25" i="8"/>
  <c r="E23" i="6"/>
  <c r="F23" i="6"/>
  <c r="J33" i="8"/>
  <c r="F18" i="6"/>
  <c r="J31" i="8"/>
  <c r="I31" i="8"/>
  <c r="E29" i="6"/>
  <c r="I4" i="8"/>
  <c r="E2" i="6"/>
  <c r="E7" i="6"/>
  <c r="I28" i="6"/>
  <c r="J36" i="10"/>
  <c r="F4" i="6"/>
  <c r="E3" i="6"/>
  <c r="F3" i="6"/>
  <c r="F2" i="6"/>
  <c r="I36" i="8"/>
  <c r="I36" i="10"/>
  <c r="F28" i="6"/>
  <c r="F26" i="6"/>
  <c r="F16" i="6"/>
  <c r="F11" i="6"/>
  <c r="E8" i="6"/>
  <c r="F8" i="6"/>
  <c r="F7" i="6"/>
  <c r="F10" i="6"/>
  <c r="J36" i="9"/>
  <c r="I36" i="9"/>
  <c r="F29" i="6"/>
  <c r="E12" i="6"/>
  <c r="F12" i="6"/>
  <c r="J36" i="8"/>
  <c r="I4" i="7"/>
  <c r="H36" i="7"/>
  <c r="J35" i="7"/>
  <c r="I35" i="1" l="1"/>
  <c r="H35" i="1"/>
  <c r="I36" i="7"/>
</calcChain>
</file>

<file path=xl/sharedStrings.xml><?xml version="1.0" encoding="utf-8"?>
<sst xmlns="http://schemas.openxmlformats.org/spreadsheetml/2006/main" count="283" uniqueCount="61">
  <si>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</si>
  <si>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</si>
  <si>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</si>
  <si>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</si>
  <si>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</si>
  <si>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</si>
  <si>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</si>
  <si>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</si>
  <si>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</si>
  <si>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</si>
  <si>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</si>
  <si>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</si>
  <si>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</si>
  <si>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 xml:space="preserve">Daily Electricity Consumption 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</si>
  <si>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</si>
  <si>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</si>
  <si>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</si>
  <si>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</si>
  <si>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</si>
  <si>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</si>
  <si>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</si>
  <si>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</si>
  <si>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</si>
  <si>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</si>
  <si>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</si>
  <si>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</si>
  <si>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Scattered Rain</t>
  </si>
  <si>
    <t>Fair</t>
  </si>
  <si>
    <t>Cloudy</t>
  </si>
  <si>
    <t>Isolated Rain</t>
  </si>
  <si>
    <t>Total</t>
  </si>
  <si>
    <t>PLEASE MAKE SURE TO KEY IN THE OCCUPANCY AND WEATHER FOR THE DAY!</t>
  </si>
  <si>
    <t>Daily Electricity Consumption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</si>
  <si>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</si>
  <si>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</si>
  <si>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</si>
  <si>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</si>
  <si>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</si>
  <si>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</si>
  <si>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</si>
  <si>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</si>
  <si>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</si>
  <si>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</si>
  <si>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</si>
  <si>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</si>
  <si>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</si>
  <si>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</si>
  <si>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</si>
  <si>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Diesel In (litre)</t>
  </si>
  <si>
    <t>NO</t>
  </si>
  <si>
    <t>START</t>
  </si>
  <si>
    <t>STOP</t>
  </si>
  <si>
    <t>HRS</t>
  </si>
  <si>
    <t>(L)</t>
  </si>
  <si>
    <t>Off</t>
  </si>
  <si>
    <t>Carry foward last month</t>
  </si>
  <si>
    <t>Diesel In</t>
  </si>
  <si>
    <t>Beach Combo</t>
  </si>
  <si>
    <t>Wood Chipper</t>
  </si>
  <si>
    <t>OFF</t>
  </si>
  <si>
    <t>Balance (Litre)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</si>
</sst>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2" fillId="0" borderId="1" xfId="2" applyNumberFormat="1" applyFont="1" applyBorder="1" applyAlignment="1">
      <alignment horizontal="center" wrapText="1"/>
    </xf>
    <xf numFmtId="9" fontId="1" fillId="2" borderId="2" xfId="2" applyNumberFormat="1" applyFill="1" applyBorder="1" applyAlignment="1" applyProtection="1">
      <alignment horizontal="center"/>
      <protection locked="0"/>
    </xf>
    <xf numFmtId="9" fontId="0" fillId="2" borderId="2" xfId="0" applyNumberFormat="1" applyFill="1" applyBorder="1" applyAlignment="1" applyProtection="1">
      <alignment horizontal="center"/>
      <protection locked="0"/>
    </xf>
    <xf numFmtId="3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5" fontId="10" fillId="5" borderId="6" xfId="0" quotePrefix="1" applyNumberFormat="1" applyFont="1" applyFill="1" applyBorder="1" applyAlignment="1">
      <alignment horizontal="center"/>
    </xf>
    <xf numFmtId="165" fontId="10" fillId="5" borderId="8" xfId="0" quotePrefix="1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165" fontId="2" fillId="6" borderId="10" xfId="2" applyNumberFormat="1" applyFont="1" applyFill="1" applyBorder="1" applyAlignment="1">
      <alignment horizontal="center"/>
    </xf>
    <xf numFmtId="165" fontId="2" fillId="6" borderId="0" xfId="2" applyNumberFormat="1" applyFont="1" applyFill="1" applyAlignment="1">
      <alignment horizontal="center"/>
    </xf>
    <xf numFmtId="165" fontId="2" fillId="7" borderId="10" xfId="2" applyNumberFormat="1" applyFont="1" applyFill="1" applyBorder="1" applyAlignment="1">
      <alignment horizontal="center"/>
    </xf>
    <xf numFmtId="165" fontId="2" fillId="7" borderId="0" xfId="2" applyNumberFormat="1" applyFont="1" applyFill="1" applyAlignment="1">
      <alignment horizontal="center"/>
    </xf>
    <xf numFmtId="165" fontId="1" fillId="0" borderId="10" xfId="2" applyNumberFormat="1" applyBorder="1" applyAlignment="1">
      <alignment horizontal="center"/>
    </xf>
    <xf numFmtId="165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A10" workbookViewId="0">
      <selection activeCell="A2" sqref="A2:XFD2"/>
    </sheetView>
  </sheetViews>
  <sheetFormatPr defaultColWidth="9.140625" defaultRowHeight="12.75" x14ac:dyDescent="0.2"/>
  <cols>
    <col min="1" max="1" width="12.7109375" style="22" bestFit="1" customWidth="1"/>
    <col min="2" max="4" width="9.140625" style="22"/>
    <col min="5" max="5" width="14.28515625" style="22" customWidth="1"/>
    <col min="6" max="6" width="12.140625" style="22" customWidth="1"/>
    <col min="7" max="7" width="9.140625" style="22"/>
    <col min="8" max="8" width="19.28515625" style="22" customWidth="1"/>
    <col min="9" max="9" width="13.5703125" style="22" customWidth="1"/>
    <col min="10" max="10" width="11.28515625" style="22" customWidth="1"/>
    <col min="11" max="16384" width="9.140625" style="22"/>
  </cols>
  <sheetData>
    <row r="1" spans="1:12" ht="60" x14ac:dyDescent="0.2">
      <c r="A1" s="17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19" t="s">
        <v>11</v>
      </c>
    </row>
    <row r="2" spans="1:12" ht="15" x14ac:dyDescent="0.25">
      <c r="A2" s="23" t="s">
        <v>12</v>
      </c>
      <c r="B2" s="24">
        <v>1</v>
      </c>
      <c r="C2" s="25">
        <v>10</v>
      </c>
      <c r="D2" s="24">
        <v>2022</v>
      </c>
      <c r="E2" s="26">
        <f>'B16'!I4+'B16 ext'!I4+'B17'!I4</f>
        <v>18419</v>
      </c>
      <c r="F2" s="28">
        <f>('B16'!J4+'B16 ext'!J4+'B17'!J4)/TOTAL!E2</f>
        <v>0.24926841848091644</v>
      </c>
      <c r="G2" s="26">
        <f>'Diesel Reading Oct'!H4</f>
        <v>0</v>
      </c>
      <c r="H2" s="27">
        <v>2.84</v>
      </c>
      <c r="I2" s="26">
        <f>'Water Reading'!H4</f>
        <v>1316</v>
      </c>
      <c r="J2" s="28">
        <f>'Water Reading'!I4/'Water Reading'!H4</f>
        <v>1.35</v>
      </c>
      <c r="K2" s="26">
        <v>47</v>
      </c>
      <c r="L2" s="26"/>
    </row>
    <row r="3" spans="1:12" ht="15" x14ac:dyDescent="0.25">
      <c r="A3" s="23" t="s">
        <v>12</v>
      </c>
      <c r="B3" s="24">
        <f>B2+1</f>
        <v>2</v>
      </c>
      <c r="C3" s="25">
        <v>10</v>
      </c>
      <c r="D3" s="24">
        <v>2022</v>
      </c>
      <c r="E3" s="26">
        <f>'B16'!I5+'B16 ext'!I5+'B17'!I5</f>
        <v>17513</v>
      </c>
      <c r="F3" s="28">
        <f>('B16'!J5+'B16 ext'!J5+'B17'!J5)/TOTAL!E3</f>
        <v>0.2484943185062525</v>
      </c>
      <c r="G3" s="26">
        <f>'Diesel Reading Oct'!H5</f>
        <v>323.79999999981374</v>
      </c>
      <c r="H3" s="27">
        <f>'Diesel Reading Oct'!I5/'Diesel Reading Oct'!H5</f>
        <v>2.84</v>
      </c>
      <c r="I3" s="26">
        <f>'Water Reading'!H5</f>
        <v>1352</v>
      </c>
      <c r="J3" s="28">
        <f>'Water Reading'!I5/'Water Reading'!H5</f>
        <v>1.35</v>
      </c>
      <c r="K3" s="26">
        <v>48</v>
      </c>
      <c r="L3" s="26"/>
    </row>
    <row r="4" spans="1:12" ht="15" x14ac:dyDescent="0.25">
      <c r="A4" s="23" t="s">
        <v>12</v>
      </c>
      <c r="B4" s="24">
        <f t="shared" ref="B4:B32" si="0">B3+1</f>
        <v>3</v>
      </c>
      <c r="C4" s="25">
        <v>10</v>
      </c>
      <c r="D4" s="24">
        <v>2022</v>
      </c>
      <c r="E4" s="26">
        <f>'B16'!I6+'B16 ext'!I6+'B17'!I6</f>
        <v>18172</v>
      </c>
      <c r="F4" s="28">
        <f>('B16'!J6+'B16 ext'!J6+'B17'!J6)/TOTAL!E4</f>
        <v>0.24976815980629535</v>
      </c>
      <c r="G4" s="26">
        <f>'Diesel Reading Oct'!H6</f>
        <v>340.70000000018626</v>
      </c>
      <c r="H4" s="27">
        <f>'Diesel Reading Oct'!I6/'Diesel Reading Oct'!H6</f>
        <v>2.84</v>
      </c>
      <c r="I4" s="26">
        <f>'Water Reading'!H6</f>
        <v>1310</v>
      </c>
      <c r="J4" s="28">
        <f>'Water Reading'!I6/'Water Reading'!H6</f>
        <v>1.35</v>
      </c>
      <c r="K4" s="26">
        <v>38</v>
      </c>
      <c r="L4" s="26"/>
    </row>
    <row r="5" spans="1:12" ht="15" x14ac:dyDescent="0.25">
      <c r="A5" s="23" t="s">
        <v>12</v>
      </c>
      <c r="B5" s="24">
        <f t="shared" si="0"/>
        <v>4</v>
      </c>
      <c r="C5" s="25">
        <v>10</v>
      </c>
      <c r="D5" s="24">
        <v>2022</v>
      </c>
      <c r="E5" s="26">
        <f>'B16'!I7+'B16 ext'!I7+'B17'!I7</f>
        <v>17013</v>
      </c>
      <c r="F5" s="28">
        <f>('B16'!J7+'B16 ext'!J7+'B17'!J7)/TOTAL!E5</f>
        <v>0.24979950625991887</v>
      </c>
      <c r="G5" s="26">
        <f>'Diesel Reading Oct'!H7</f>
        <v>0</v>
      </c>
      <c r="H5" s="27">
        <v>2.84</v>
      </c>
      <c r="I5" s="26">
        <f>'Water Reading'!H7</f>
        <v>1080</v>
      </c>
      <c r="J5" s="28">
        <f>'Water Reading'!I7/'Water Reading'!H7</f>
        <v>1.35</v>
      </c>
      <c r="K5" s="26">
        <v>28</v>
      </c>
      <c r="L5" s="26"/>
    </row>
    <row r="6" spans="1:12" ht="15" x14ac:dyDescent="0.25">
      <c r="A6" s="23" t="s">
        <v>12</v>
      </c>
      <c r="B6" s="24">
        <f t="shared" si="0"/>
        <v>5</v>
      </c>
      <c r="C6" s="25">
        <v>10</v>
      </c>
      <c r="D6" s="24">
        <v>2022</v>
      </c>
      <c r="E6" s="26">
        <f>'B16'!I8+'B16 ext'!I8+'B17'!I8</f>
        <v>19637</v>
      </c>
      <c r="F6" s="28">
        <f>('B16'!J8+'B16 ext'!J8+'B17'!J8)/TOTAL!E6</f>
        <v>0.24914971737027039</v>
      </c>
      <c r="G6" s="26">
        <f>'Diesel Reading Oct'!H8</f>
        <v>393.5999999998603</v>
      </c>
      <c r="H6" s="27">
        <f>'Diesel Reading Oct'!I8/'Diesel Reading Oct'!H8</f>
        <v>2.8400000000000003</v>
      </c>
      <c r="I6" s="26">
        <f>'Water Reading'!H8</f>
        <v>1015</v>
      </c>
      <c r="J6" s="28">
        <f>'Water Reading'!I8/'Water Reading'!H8</f>
        <v>1.3500000000000003</v>
      </c>
      <c r="K6" s="26">
        <v>38</v>
      </c>
      <c r="L6" s="26"/>
    </row>
    <row r="7" spans="1:12" ht="15" x14ac:dyDescent="0.25">
      <c r="A7" s="23" t="s">
        <v>12</v>
      </c>
      <c r="B7" s="24">
        <f t="shared" si="0"/>
        <v>6</v>
      </c>
      <c r="C7" s="25">
        <v>10</v>
      </c>
      <c r="D7" s="24">
        <v>2022</v>
      </c>
      <c r="E7" s="26">
        <f>'B16'!I9+'B16 ext'!I9+'B17'!I9</f>
        <v>19995</v>
      </c>
      <c r="F7" s="28">
        <f>('B16'!J9+'B16 ext'!J9+'B17'!J9)/TOTAL!E7</f>
        <v>0.24932348087021755</v>
      </c>
      <c r="G7" s="26">
        <f>'Diesel Reading Oct'!H9</f>
        <v>314.19999999995343</v>
      </c>
      <c r="H7" s="27">
        <f>'Diesel Reading Oct'!I9/'Diesel Reading Oct'!H9</f>
        <v>2.84</v>
      </c>
      <c r="I7" s="26">
        <f>'Water Reading'!H9</f>
        <v>1021</v>
      </c>
      <c r="J7" s="28">
        <f>'Water Reading'!I9/'Water Reading'!H9</f>
        <v>1.35</v>
      </c>
      <c r="K7" s="26">
        <v>54</v>
      </c>
      <c r="L7" s="26"/>
    </row>
    <row r="8" spans="1:12" ht="15" x14ac:dyDescent="0.25">
      <c r="A8" s="23" t="s">
        <v>12</v>
      </c>
      <c r="B8" s="24">
        <f t="shared" si="0"/>
        <v>7</v>
      </c>
      <c r="C8" s="25">
        <v>10</v>
      </c>
      <c r="D8" s="24">
        <v>2022</v>
      </c>
      <c r="E8" s="26">
        <f>'B16'!I10+'B16 ext'!I10+'B17'!I10</f>
        <v>18376</v>
      </c>
      <c r="F8" s="28">
        <f>('B16'!J10+'B16 ext'!J10+'B17'!J10)/TOTAL!E8</f>
        <v>0.24879119503700475</v>
      </c>
      <c r="G8" s="26">
        <f>'Diesel Reading Oct'!H10</f>
        <v>182.20000000018626</v>
      </c>
      <c r="H8" s="27">
        <f>'Diesel Reading Oct'!I10/'Diesel Reading Oct'!H10</f>
        <v>2.84</v>
      </c>
      <c r="I8" s="26">
        <f>'Water Reading'!H10</f>
        <v>1012</v>
      </c>
      <c r="J8" s="28">
        <f>'Water Reading'!I10/'Water Reading'!H10</f>
        <v>1.35</v>
      </c>
      <c r="K8" s="26">
        <v>66</v>
      </c>
      <c r="L8" s="26"/>
    </row>
    <row r="9" spans="1:12" ht="15" x14ac:dyDescent="0.25">
      <c r="A9" s="23" t="s">
        <v>12</v>
      </c>
      <c r="B9" s="24">
        <f t="shared" si="0"/>
        <v>8</v>
      </c>
      <c r="C9" s="25">
        <v>10</v>
      </c>
      <c r="D9" s="24">
        <v>2022</v>
      </c>
      <c r="E9" s="26">
        <f>'B16'!I11+'B16 ext'!I11+'B17'!I11</f>
        <v>16692</v>
      </c>
      <c r="F9" s="28">
        <f>('B16'!J11+'B16 ext'!J11+'B17'!J11)/TOTAL!E9</f>
        <v>0.24961017253774259</v>
      </c>
      <c r="G9" s="26">
        <f>'Diesel Reading Oct'!H11</f>
        <v>305.89999999990687</v>
      </c>
      <c r="H9" s="27">
        <f>'Diesel Reading Oct'!I11/'Diesel Reading Oct'!H11</f>
        <v>2.84</v>
      </c>
      <c r="I9" s="26">
        <f>'Water Reading'!H11</f>
        <v>1169</v>
      </c>
      <c r="J9" s="28">
        <f>'Water Reading'!I11/'Water Reading'!H11</f>
        <v>1.35</v>
      </c>
      <c r="K9" s="26">
        <v>49</v>
      </c>
      <c r="L9" s="26"/>
    </row>
    <row r="10" spans="1:12" ht="15" x14ac:dyDescent="0.25">
      <c r="A10" s="23" t="s">
        <v>12</v>
      </c>
      <c r="B10" s="24">
        <f t="shared" si="0"/>
        <v>9</v>
      </c>
      <c r="C10" s="25">
        <v>10</v>
      </c>
      <c r="D10" s="24">
        <v>2022</v>
      </c>
      <c r="E10" s="26">
        <f>'B16'!I12+'B16 ext'!I12+'B17'!I12</f>
        <v>18172</v>
      </c>
      <c r="F10" s="28">
        <f>('B16'!J12+'B16 ext'!J12+'B17'!J12)/TOTAL!E10</f>
        <v>0.24753863086066472</v>
      </c>
      <c r="G10" s="26">
        <f>'Diesel Reading Oct'!H12</f>
        <v>367.5</v>
      </c>
      <c r="H10" s="27">
        <f>'Diesel Reading Oct'!I12/'Diesel Reading Oct'!H12</f>
        <v>2.8400000000000003</v>
      </c>
      <c r="I10" s="26">
        <f>'Water Reading'!H12</f>
        <v>1347</v>
      </c>
      <c r="J10" s="28">
        <f>'Water Reading'!I12/'Water Reading'!H12</f>
        <v>1.3500000000000003</v>
      </c>
      <c r="K10" s="26">
        <v>39</v>
      </c>
      <c r="L10" s="26"/>
    </row>
    <row r="11" spans="1:12" ht="15" x14ac:dyDescent="0.25">
      <c r="A11" s="23" t="s">
        <v>12</v>
      </c>
      <c r="B11" s="24">
        <f t="shared" si="0"/>
        <v>10</v>
      </c>
      <c r="C11" s="25">
        <v>10</v>
      </c>
      <c r="D11" s="24">
        <v>2022</v>
      </c>
      <c r="E11" s="26">
        <f>'B16'!I13+'B16 ext'!I13+'B17'!I13</f>
        <v>17988</v>
      </c>
      <c r="F11" s="28">
        <f>('B16'!J13+'B16 ext'!J13+'B17'!J13)/TOTAL!E11</f>
        <v>0.24917344896597729</v>
      </c>
      <c r="G11" s="26">
        <f>'Diesel Reading Oct'!H13</f>
        <v>0</v>
      </c>
      <c r="H11" s="27">
        <v>2.8400000000000003</v>
      </c>
      <c r="I11" s="26">
        <f>'Water Reading'!H13</f>
        <v>1376</v>
      </c>
      <c r="J11" s="28">
        <f>'Water Reading'!I13/'Water Reading'!H13</f>
        <v>1.35</v>
      </c>
      <c r="K11" s="26">
        <v>36</v>
      </c>
      <c r="L11" s="26"/>
    </row>
    <row r="12" spans="1:12" ht="15" x14ac:dyDescent="0.25">
      <c r="A12" s="23" t="s">
        <v>12</v>
      </c>
      <c r="B12" s="24">
        <f t="shared" si="0"/>
        <v>11</v>
      </c>
      <c r="C12" s="25">
        <v>10</v>
      </c>
      <c r="D12" s="24">
        <v>2022</v>
      </c>
      <c r="E12" s="26">
        <f>'B16'!I14+'B16 ext'!I14+'B17'!I14</f>
        <v>20242</v>
      </c>
      <c r="F12" s="28">
        <f>('B16'!J14+'B16 ext'!J14+'B17'!J14)/TOTAL!E12</f>
        <v>0.24805162533346506</v>
      </c>
      <c r="G12" s="26">
        <f>'Diesel Reading Oct'!H14</f>
        <v>373</v>
      </c>
      <c r="H12" s="27">
        <f>'Diesel Reading Oct'!I14/'Diesel Reading Oct'!H14</f>
        <v>2.84</v>
      </c>
      <c r="I12" s="26">
        <f>'Water Reading'!H14</f>
        <v>1496</v>
      </c>
      <c r="J12" s="28">
        <f>'Water Reading'!I14/'Water Reading'!H14</f>
        <v>1.35</v>
      </c>
      <c r="K12" s="26">
        <v>21</v>
      </c>
      <c r="L12" s="26"/>
    </row>
    <row r="13" spans="1:12" ht="15" x14ac:dyDescent="0.25">
      <c r="A13" s="23" t="s">
        <v>12</v>
      </c>
      <c r="B13" s="24">
        <f t="shared" si="0"/>
        <v>12</v>
      </c>
      <c r="C13" s="25">
        <v>10</v>
      </c>
      <c r="D13" s="24">
        <v>2022</v>
      </c>
      <c r="E13" s="26">
        <f>'B16'!I15+'B16 ext'!I15+'B17'!I15</f>
        <v>18601</v>
      </c>
      <c r="F13" s="28">
        <f>('B16'!J15+'B16 ext'!J15+'B17'!J15)/TOTAL!E13</f>
        <v>0.2491699908607064</v>
      </c>
      <c r="G13" s="26">
        <f>'Diesel Reading Oct'!H15</f>
        <v>0</v>
      </c>
      <c r="H13" s="27">
        <v>2.84</v>
      </c>
      <c r="I13" s="26">
        <f>'Water Reading'!H15</f>
        <v>1506</v>
      </c>
      <c r="J13" s="28">
        <f>'Water Reading'!I15/'Water Reading'!H15</f>
        <v>1.35</v>
      </c>
      <c r="K13" s="26">
        <v>30</v>
      </c>
      <c r="L13" s="26"/>
    </row>
    <row r="14" spans="1:12" ht="15" x14ac:dyDescent="0.25">
      <c r="A14" s="23" t="s">
        <v>12</v>
      </c>
      <c r="B14" s="24">
        <f t="shared" si="0"/>
        <v>13</v>
      </c>
      <c r="C14" s="25">
        <v>10</v>
      </c>
      <c r="D14" s="24">
        <v>2022</v>
      </c>
      <c r="E14" s="26">
        <f>'B16'!I16+'B16 ext'!I16+'B17'!I16</f>
        <v>17986</v>
      </c>
      <c r="F14" s="28">
        <f>('B16'!J16+'B16 ext'!J16+'B17'!J16)/TOTAL!E14</f>
        <v>0.24807678194151003</v>
      </c>
      <c r="G14" s="26">
        <f>'Diesel Reading Oct'!H16</f>
        <v>314.89999999990687</v>
      </c>
      <c r="H14" s="27">
        <f>'Diesel Reading Oct'!I16/'Diesel Reading Oct'!H16</f>
        <v>2.84</v>
      </c>
      <c r="I14" s="26">
        <f>'Water Reading'!H16</f>
        <v>1429</v>
      </c>
      <c r="J14" s="28">
        <f>'Water Reading'!I16/'Water Reading'!H16</f>
        <v>1.35</v>
      </c>
      <c r="K14" s="26">
        <v>34</v>
      </c>
      <c r="L14" s="26"/>
    </row>
    <row r="15" spans="1:12" ht="15" x14ac:dyDescent="0.25">
      <c r="A15" s="23" t="s">
        <v>12</v>
      </c>
      <c r="B15" s="24">
        <f t="shared" si="0"/>
        <v>14</v>
      </c>
      <c r="C15" s="25">
        <v>10</v>
      </c>
      <c r="D15" s="24">
        <v>2022</v>
      </c>
      <c r="E15" s="26">
        <f>'B16'!I17+'B16 ext'!I17+'B17'!I17</f>
        <v>18092</v>
      </c>
      <c r="F15" s="28">
        <f>('B16'!J17+'B16 ext'!J17+'B17'!J17)/TOTAL!E15</f>
        <v>0.2489119500331638</v>
      </c>
      <c r="G15" s="26">
        <f>'Diesel Reading Oct'!H17</f>
        <v>308</v>
      </c>
      <c r="H15" s="27">
        <f>'Diesel Reading Oct'!I17/'Diesel Reading Oct'!H17</f>
        <v>2.84</v>
      </c>
      <c r="I15" s="26">
        <f>'Water Reading'!H17</f>
        <v>1475</v>
      </c>
      <c r="J15" s="28">
        <f>'Water Reading'!I17/'Water Reading'!H17</f>
        <v>1.35</v>
      </c>
      <c r="K15" s="26">
        <v>36</v>
      </c>
      <c r="L15" s="26"/>
    </row>
    <row r="16" spans="1:12" ht="15" x14ac:dyDescent="0.25">
      <c r="A16" s="23" t="s">
        <v>12</v>
      </c>
      <c r="B16" s="24">
        <f t="shared" si="0"/>
        <v>15</v>
      </c>
      <c r="C16" s="25">
        <v>10</v>
      </c>
      <c r="D16" s="24">
        <v>2022</v>
      </c>
      <c r="E16" s="26">
        <f>'B16'!I18+'B16 ext'!I18+'B17'!I18</f>
        <v>14591</v>
      </c>
      <c r="F16" s="28">
        <f>('B16'!J18+'B16 ext'!J18+'B17'!J18)/TOTAL!E16</f>
        <v>0.24962812692755806</v>
      </c>
      <c r="G16" s="26">
        <f>'Diesel Reading Oct'!H18</f>
        <v>445.80000000004657</v>
      </c>
      <c r="H16" s="27">
        <f>'Diesel Reading Oct'!I18/'Diesel Reading Oct'!H18</f>
        <v>2.84</v>
      </c>
      <c r="I16" s="26">
        <f>'Water Reading'!H18</f>
        <v>1427</v>
      </c>
      <c r="J16" s="28">
        <f>'Water Reading'!I18/'Water Reading'!H18</f>
        <v>1.35</v>
      </c>
      <c r="K16" s="26">
        <v>36</v>
      </c>
      <c r="L16" s="26"/>
    </row>
    <row r="17" spans="1:12" ht="15" x14ac:dyDescent="0.25">
      <c r="A17" s="23" t="s">
        <v>12</v>
      </c>
      <c r="B17" s="24">
        <f t="shared" si="0"/>
        <v>16</v>
      </c>
      <c r="C17" s="25">
        <v>10</v>
      </c>
      <c r="D17" s="24">
        <v>2022</v>
      </c>
      <c r="E17" s="26">
        <f>'B16'!I19+'B16 ext'!I19+'B17'!I19</f>
        <v>17978</v>
      </c>
      <c r="F17" s="28">
        <f>('B16'!J19+'B16 ext'!J19+'B17'!J19)/TOTAL!E17</f>
        <v>0.24925681388363558</v>
      </c>
      <c r="G17" s="26">
        <f>'Diesel Reading Oct'!H19</f>
        <v>0</v>
      </c>
      <c r="H17" s="27">
        <v>2.84</v>
      </c>
      <c r="I17" s="26">
        <f>'Water Reading'!H19</f>
        <v>1618</v>
      </c>
      <c r="J17" s="28">
        <f>'Water Reading'!I19/'Water Reading'!H19</f>
        <v>1.35</v>
      </c>
      <c r="K17" s="26">
        <v>36</v>
      </c>
      <c r="L17" s="26"/>
    </row>
    <row r="18" spans="1:12" ht="15" x14ac:dyDescent="0.25">
      <c r="A18" s="23" t="s">
        <v>12</v>
      </c>
      <c r="B18" s="24">
        <f t="shared" si="0"/>
        <v>17</v>
      </c>
      <c r="C18" s="25">
        <v>10</v>
      </c>
      <c r="D18" s="24">
        <v>2022</v>
      </c>
      <c r="E18" s="26">
        <f>'B16'!I20+'B16 ext'!I20+'B17'!I20</f>
        <v>16840</v>
      </c>
      <c r="F18" s="28">
        <f>('B16'!J20+'B16 ext'!J20+'B17'!J20)/TOTAL!E18</f>
        <v>0.24998052256532063</v>
      </c>
      <c r="G18" s="26">
        <f>'Diesel Reading Oct'!H20</f>
        <v>462.69999999995343</v>
      </c>
      <c r="H18" s="27">
        <f>'Diesel Reading Oct'!I20/'Diesel Reading Oct'!H20</f>
        <v>2.84</v>
      </c>
      <c r="I18" s="26">
        <f>'Water Reading'!H20</f>
        <v>1390</v>
      </c>
      <c r="J18" s="28">
        <f>'Water Reading'!I20/'Water Reading'!H20</f>
        <v>1.35</v>
      </c>
      <c r="K18" s="26">
        <v>46</v>
      </c>
      <c r="L18" s="26"/>
    </row>
    <row r="19" spans="1:12" ht="15" x14ac:dyDescent="0.25">
      <c r="A19" s="23" t="s">
        <v>12</v>
      </c>
      <c r="B19" s="24">
        <f t="shared" si="0"/>
        <v>18</v>
      </c>
      <c r="C19" s="25">
        <v>10</v>
      </c>
      <c r="D19" s="24">
        <v>2022</v>
      </c>
      <c r="E19" s="26">
        <f>'B16'!I21+'B16 ext'!I21+'B17'!I21</f>
        <v>16882</v>
      </c>
      <c r="F19" s="28">
        <f>('B16'!J21+'B16 ext'!J21+'B17'!J21)/TOTAL!E19</f>
        <v>0.24956883070726216</v>
      </c>
      <c r="G19" s="26">
        <f>'Diesel Reading Oct'!H21</f>
        <v>364.4000000001397</v>
      </c>
      <c r="H19" s="27">
        <f>'Diesel Reading Oct'!I21/'Diesel Reading Oct'!H21</f>
        <v>2.84</v>
      </c>
      <c r="I19" s="26">
        <f>'Water Reading'!H21</f>
        <v>1516</v>
      </c>
      <c r="J19" s="28">
        <f>'Water Reading'!I21/'Water Reading'!H21</f>
        <v>1.35</v>
      </c>
      <c r="K19" s="26">
        <v>46</v>
      </c>
      <c r="L19" s="26"/>
    </row>
    <row r="20" spans="1:12" ht="15" x14ac:dyDescent="0.25">
      <c r="A20" s="23" t="s">
        <v>12</v>
      </c>
      <c r="B20" s="24">
        <f t="shared" si="0"/>
        <v>19</v>
      </c>
      <c r="C20" s="25">
        <v>10</v>
      </c>
      <c r="D20" s="24">
        <v>2022</v>
      </c>
      <c r="E20" s="26">
        <f>'B16'!I22+'B16 ext'!I22+'B17'!I22</f>
        <v>19548</v>
      </c>
      <c r="F20" s="28">
        <f>('B16'!J22+'B16 ext'!J22+'B17'!J22)/TOTAL!E20</f>
        <v>0.25019935543278082</v>
      </c>
      <c r="G20" s="26">
        <f>'Diesel Reading Oct'!H22</f>
        <v>361.0999999998603</v>
      </c>
      <c r="H20" s="27">
        <f>'Diesel Reading Oct'!I22/'Diesel Reading Oct'!H22</f>
        <v>2.8399999999999994</v>
      </c>
      <c r="I20" s="26">
        <f>'Water Reading'!H22</f>
        <v>1147</v>
      </c>
      <c r="J20" s="28">
        <f>'Water Reading'!I22/'Water Reading'!H22</f>
        <v>1.35</v>
      </c>
      <c r="K20" s="26">
        <v>44</v>
      </c>
      <c r="L20" s="26"/>
    </row>
    <row r="21" spans="1:12" ht="15" x14ac:dyDescent="0.25">
      <c r="A21" s="23" t="s">
        <v>12</v>
      </c>
      <c r="B21" s="24">
        <f t="shared" si="0"/>
        <v>20</v>
      </c>
      <c r="C21" s="25">
        <v>10</v>
      </c>
      <c r="D21" s="24">
        <v>2022</v>
      </c>
      <c r="E21" s="26">
        <f>'B16'!I23+'B16 ext'!I23+'B17'!I23</f>
        <v>15409</v>
      </c>
      <c r="F21" s="28">
        <f>('B16'!J23+'B16 ext'!J23+'B17'!J23)/TOTAL!E21</f>
        <v>0.2941261600363424</v>
      </c>
      <c r="G21" s="26">
        <f>'Diesel Reading Oct'!H23</f>
        <v>318.30000000004657</v>
      </c>
      <c r="H21" s="27">
        <f>'Diesel Reading Oct'!I23/'Diesel Reading Oct'!H23</f>
        <v>2.84</v>
      </c>
      <c r="I21" s="26">
        <f>'Water Reading'!H23</f>
        <v>1484</v>
      </c>
      <c r="J21" s="28">
        <f>'Water Reading'!I23/'Water Reading'!H23</f>
        <v>1.35</v>
      </c>
      <c r="K21" s="26">
        <v>45</v>
      </c>
      <c r="L21" s="26"/>
    </row>
    <row r="22" spans="1:12" ht="15" x14ac:dyDescent="0.25">
      <c r="A22" s="23" t="s">
        <v>12</v>
      </c>
      <c r="B22" s="24">
        <f t="shared" si="0"/>
        <v>21</v>
      </c>
      <c r="C22" s="25">
        <v>10</v>
      </c>
      <c r="D22" s="24">
        <v>2022</v>
      </c>
      <c r="E22" s="26">
        <f>'B16'!I24+'B16 ext'!I24+'B17'!I24</f>
        <v>18687</v>
      </c>
      <c r="F22" s="28">
        <f>('B16'!J24+'B16 ext'!J24+'B17'!J24)/TOTAL!E22</f>
        <v>0.24984764809760798</v>
      </c>
      <c r="G22" s="26">
        <f>'Diesel Reading Oct'!H24</f>
        <v>387.30000000004657</v>
      </c>
      <c r="H22" s="27">
        <f>'Diesel Reading Oct'!I24/'Diesel Reading Oct'!H24</f>
        <v>2.84</v>
      </c>
      <c r="I22" s="26">
        <f>'Water Reading'!H24</f>
        <v>1258</v>
      </c>
      <c r="J22" s="28">
        <f>'Water Reading'!I24/'Water Reading'!H24</f>
        <v>1.3499999999999999</v>
      </c>
      <c r="K22" s="26">
        <v>50</v>
      </c>
      <c r="L22" s="26"/>
    </row>
    <row r="23" spans="1:12" ht="15" x14ac:dyDescent="0.25">
      <c r="A23" s="23" t="s">
        <v>12</v>
      </c>
      <c r="B23" s="24">
        <f t="shared" si="0"/>
        <v>22</v>
      </c>
      <c r="C23" s="25">
        <v>10</v>
      </c>
      <c r="D23" s="24">
        <v>2022</v>
      </c>
      <c r="E23" s="26">
        <f>'B16'!I25+'B16 ext'!I25+'B17'!I25</f>
        <v>19912</v>
      </c>
      <c r="F23" s="28">
        <f>('B16'!J25+'B16 ext'!J25+'B17'!J25)/TOTAL!E23</f>
        <v>0.24884451586982725</v>
      </c>
      <c r="G23" s="26">
        <f>'Diesel Reading Oct'!H25</f>
        <v>399.9000000001397</v>
      </c>
      <c r="H23" s="27">
        <f>'Diesel Reading Oct'!I25/'Diesel Reading Oct'!H25</f>
        <v>2.84</v>
      </c>
      <c r="I23" s="26">
        <f>'Water Reading'!H25</f>
        <v>1265</v>
      </c>
      <c r="J23" s="28">
        <f>'Water Reading'!I25/'Water Reading'!H25</f>
        <v>1.35</v>
      </c>
      <c r="K23" s="26">
        <v>67</v>
      </c>
      <c r="L23" s="26"/>
    </row>
    <row r="24" spans="1:12" ht="15" x14ac:dyDescent="0.25">
      <c r="A24" s="23" t="s">
        <v>12</v>
      </c>
      <c r="B24" s="24">
        <f t="shared" si="0"/>
        <v>23</v>
      </c>
      <c r="C24" s="25">
        <v>10</v>
      </c>
      <c r="D24" s="24">
        <v>2022</v>
      </c>
      <c r="E24" s="26">
        <f>'B16'!I26+'B16 ext'!I26+'B17'!I26</f>
        <v>19250</v>
      </c>
      <c r="F24" s="28">
        <f>('B16'!J26+'B16 ext'!J26+'B17'!J26)/TOTAL!E24</f>
        <v>0.24994862337662335</v>
      </c>
      <c r="G24" s="26">
        <f>'Diesel Reading Oct'!H26</f>
        <v>424.69999999995343</v>
      </c>
      <c r="H24" s="27">
        <f>'Diesel Reading Oct'!I26/'Diesel Reading Oct'!H26</f>
        <v>2.8399999999999994</v>
      </c>
      <c r="I24" s="26">
        <f>'Water Reading'!H26</f>
        <v>1241</v>
      </c>
      <c r="J24" s="28">
        <f>'Water Reading'!I26/'Water Reading'!H26</f>
        <v>1.3499999999999999</v>
      </c>
      <c r="K24" s="26">
        <v>77</v>
      </c>
      <c r="L24" s="26"/>
    </row>
    <row r="25" spans="1:12" ht="15" x14ac:dyDescent="0.25">
      <c r="A25" s="23" t="s">
        <v>12</v>
      </c>
      <c r="B25" s="24">
        <f t="shared" si="0"/>
        <v>24</v>
      </c>
      <c r="C25" s="25">
        <v>10</v>
      </c>
      <c r="D25" s="24">
        <v>2022</v>
      </c>
      <c r="E25" s="26">
        <f>'B16'!I27+'B16 ext'!I27+'B17'!I27</f>
        <v>20246</v>
      </c>
      <c r="F25" s="28">
        <f>('B16'!J27+'B16 ext'!J27+'B17'!J27)/TOTAL!E25</f>
        <v>0.24889835029141558</v>
      </c>
      <c r="G25" s="26">
        <f>'Diesel Reading Oct'!H27</f>
        <v>423</v>
      </c>
      <c r="H25" s="27">
        <f>'Diesel Reading Oct'!I27/'Diesel Reading Oct'!H27</f>
        <v>2.84</v>
      </c>
      <c r="I25" s="26">
        <f>'Water Reading'!H27</f>
        <v>1371</v>
      </c>
      <c r="J25" s="28">
        <f>'Water Reading'!I27/'Water Reading'!H27</f>
        <v>1.35</v>
      </c>
      <c r="K25" s="26">
        <v>64</v>
      </c>
      <c r="L25" s="26"/>
    </row>
    <row r="26" spans="1:12" ht="15" x14ac:dyDescent="0.25">
      <c r="A26" s="23" t="s">
        <v>12</v>
      </c>
      <c r="B26" s="24">
        <f>B25+1</f>
        <v>25</v>
      </c>
      <c r="C26" s="25">
        <v>10</v>
      </c>
      <c r="D26" s="24">
        <v>2022</v>
      </c>
      <c r="E26" s="26">
        <f>'B16'!I28+'B16 ext'!I28+'B17'!I28</f>
        <v>19133</v>
      </c>
      <c r="F26" s="28">
        <f>('B16'!J28+'B16 ext'!J28+'B17'!J28)/TOTAL!E26</f>
        <v>0.25219897559190924</v>
      </c>
      <c r="G26" s="26">
        <f>'Diesel Reading Oct'!H28</f>
        <v>416</v>
      </c>
      <c r="H26" s="27">
        <f>'Diesel Reading Oct'!I28/'Diesel Reading Oct'!H28</f>
        <v>2.8400000000000003</v>
      </c>
      <c r="I26" s="26">
        <f>'Water Reading'!H28</f>
        <v>1299</v>
      </c>
      <c r="J26" s="28">
        <f>'Water Reading'!I28/'Water Reading'!H28</f>
        <v>1.35</v>
      </c>
      <c r="K26" s="26">
        <v>70</v>
      </c>
      <c r="L26" s="26"/>
    </row>
    <row r="27" spans="1:12" ht="15" x14ac:dyDescent="0.25">
      <c r="A27" s="23" t="s">
        <v>12</v>
      </c>
      <c r="B27" s="24">
        <f t="shared" si="0"/>
        <v>26</v>
      </c>
      <c r="C27" s="25">
        <v>10</v>
      </c>
      <c r="D27" s="24">
        <v>2022</v>
      </c>
      <c r="E27" s="26">
        <f>'B16'!I29+'B16 ext'!I29+'B17'!I29</f>
        <v>19401</v>
      </c>
      <c r="F27" s="28">
        <f>('B16'!J29+'B16 ext'!J29+'B17'!J29)/TOTAL!E27</f>
        <v>0.24849976805319315</v>
      </c>
      <c r="G27" s="26">
        <f>'Diesel Reading Oct'!H29</f>
        <v>417.30000000004657</v>
      </c>
      <c r="H27" s="27">
        <f>'Diesel Reading Oct'!I29/'Diesel Reading Oct'!H29</f>
        <v>2.84</v>
      </c>
      <c r="I27" s="26">
        <f>'Water Reading'!H29</f>
        <v>1313</v>
      </c>
      <c r="J27" s="28">
        <f>'Water Reading'!I29/'Water Reading'!H29</f>
        <v>1.35</v>
      </c>
      <c r="K27" s="26">
        <v>63</v>
      </c>
      <c r="L27" s="26"/>
    </row>
    <row r="28" spans="1:12" ht="15" x14ac:dyDescent="0.25">
      <c r="A28" s="23" t="s">
        <v>12</v>
      </c>
      <c r="B28" s="24">
        <f t="shared" si="0"/>
        <v>27</v>
      </c>
      <c r="C28" s="25">
        <v>10</v>
      </c>
      <c r="D28" s="24">
        <v>2022</v>
      </c>
      <c r="E28" s="26">
        <f>'B16'!I30+'B16 ext'!I30+'B17'!I30</f>
        <v>18056</v>
      </c>
      <c r="F28" s="28">
        <f>('B16'!J30+'B16 ext'!J30+'B17'!J30)/TOTAL!E28</f>
        <v>0.25043237704918031</v>
      </c>
      <c r="G28" s="26">
        <f>'Diesel Reading Oct'!H30</f>
        <v>408.89999999990687</v>
      </c>
      <c r="H28" s="27">
        <f>'Diesel Reading Oct'!I30/'Diesel Reading Oct'!H30</f>
        <v>2.84</v>
      </c>
      <c r="I28" s="26">
        <f>'Water Reading'!H30</f>
        <v>1413</v>
      </c>
      <c r="J28" s="28">
        <f>'Water Reading'!I30/'Water Reading'!H30</f>
        <v>1.35</v>
      </c>
      <c r="K28" s="26">
        <v>51</v>
      </c>
      <c r="L28" s="26"/>
    </row>
    <row r="29" spans="1:12" ht="15" x14ac:dyDescent="0.25">
      <c r="A29" s="23" t="s">
        <v>12</v>
      </c>
      <c r="B29" s="24">
        <f t="shared" si="0"/>
        <v>28</v>
      </c>
      <c r="C29" s="25">
        <v>10</v>
      </c>
      <c r="D29" s="24">
        <v>2022</v>
      </c>
      <c r="E29" s="26">
        <f>'B16'!I31+'B16 ext'!I31+'B17'!I31</f>
        <v>17996</v>
      </c>
      <c r="F29" s="28">
        <f>('B16'!J31+'B16 ext'!J31+'B17'!J31)/TOTAL!E29</f>
        <v>0.24878361858190706</v>
      </c>
      <c r="G29" s="26">
        <f>'Diesel Reading Oct'!H31</f>
        <v>422.89999999990687</v>
      </c>
      <c r="H29" s="27">
        <f>'Diesel Reading Oct'!I31/'Diesel Reading Oct'!H31</f>
        <v>2.84</v>
      </c>
      <c r="I29" s="26">
        <f>'Water Reading'!H31</f>
        <v>1463</v>
      </c>
      <c r="J29" s="28">
        <f>'Water Reading'!I31/'Water Reading'!H31</f>
        <v>1.35</v>
      </c>
      <c r="K29" s="26">
        <v>44</v>
      </c>
      <c r="L29" s="26"/>
    </row>
    <row r="30" spans="1:12" ht="15" x14ac:dyDescent="0.25">
      <c r="A30" s="23" t="s">
        <v>12</v>
      </c>
      <c r="B30" s="24">
        <f t="shared" si="0"/>
        <v>29</v>
      </c>
      <c r="C30" s="25">
        <v>10</v>
      </c>
      <c r="D30" s="24">
        <v>2022</v>
      </c>
      <c r="E30" s="26">
        <f>'B16'!I32+'B16 ext'!I32+'B17'!I32</f>
        <v>18983</v>
      </c>
      <c r="F30" s="28">
        <f>('B16'!J32+'B16 ext'!J32+'B17'!J32)/TOTAL!E30</f>
        <v>0.24896317757993991</v>
      </c>
      <c r="G30" s="26">
        <f>'Diesel Reading Oct'!H32</f>
        <v>347.69999999995343</v>
      </c>
      <c r="H30" s="27">
        <f>'Diesel Reading Oct'!I32/'Diesel Reading Oct'!H32</f>
        <v>2.84</v>
      </c>
      <c r="I30" s="26">
        <f>'Water Reading'!H32</f>
        <v>1393</v>
      </c>
      <c r="J30" s="28">
        <f>'Water Reading'!I32/'Water Reading'!H32</f>
        <v>1.35</v>
      </c>
      <c r="K30" s="26">
        <v>36</v>
      </c>
      <c r="L30" s="26"/>
    </row>
    <row r="31" spans="1:12" ht="15" x14ac:dyDescent="0.25">
      <c r="A31" s="23" t="s">
        <v>12</v>
      </c>
      <c r="B31" s="24">
        <f t="shared" si="0"/>
        <v>30</v>
      </c>
      <c r="C31" s="25">
        <v>10</v>
      </c>
      <c r="D31" s="24">
        <v>2022</v>
      </c>
      <c r="E31" s="26">
        <v>19321</v>
      </c>
      <c r="F31" s="28">
        <v>0.24896317757993991</v>
      </c>
      <c r="G31" s="26">
        <f>'Diesel Reading Oct'!H33</f>
        <v>342.39999999990687</v>
      </c>
      <c r="H31" s="27">
        <f>'Diesel Reading Oct'!I33/'Diesel Reading Oct'!H33</f>
        <v>2.84</v>
      </c>
      <c r="I31" s="26">
        <f>'Water Reading'!H33</f>
        <v>1117</v>
      </c>
      <c r="J31" s="28">
        <f>'Water Reading'!I33/'Water Reading'!H33</f>
        <v>1.35</v>
      </c>
      <c r="K31" s="26">
        <v>28</v>
      </c>
      <c r="L31" s="26"/>
    </row>
    <row r="32" spans="1:12" ht="15" x14ac:dyDescent="0.25">
      <c r="A32" s="23" t="s">
        <v>12</v>
      </c>
      <c r="B32" s="24">
        <f t="shared" si="0"/>
        <v>31</v>
      </c>
      <c r="C32" s="25">
        <v>10</v>
      </c>
      <c r="D32" s="24">
        <v>2022</v>
      </c>
      <c r="E32" s="26">
        <v>18326</v>
      </c>
      <c r="F32" s="28">
        <v>0.24896317757993991</v>
      </c>
      <c r="G32" s="26">
        <f>'Diesel Reading Oct'!H34</f>
        <v>0</v>
      </c>
      <c r="H32" s="27">
        <v>2.84</v>
      </c>
      <c r="I32" s="26">
        <v>13579</v>
      </c>
      <c r="J32" s="28">
        <v>1.35</v>
      </c>
      <c r="K32" s="26">
        <v>34</v>
      </c>
      <c r="L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0" zoomScaleNormal="100" workbookViewId="0">
      <selection activeCell="H34" sqref="H3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5.8554687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1.71093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1.71093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1.71093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1.71093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1.71093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1.71093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1.71093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1.71093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1.71093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1.71093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1.71093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1.71093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1.71093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1.71093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1.71093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1.71093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1.71093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1.71093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1.71093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1.71093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1.71093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1.71093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1.71093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1.71093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1.71093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1.71093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1.71093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1.71093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1.71093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1.71093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1.71093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1.71093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1.71093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1.71093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1.71093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1.71093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1.71093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1.71093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1.71093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1.71093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1.71093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1.71093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1.71093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1.71093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1.71093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1.71093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1.71093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1.71093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1.71093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1.71093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1.71093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1.71093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1.71093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1.71093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1.71093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1.71093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1.71093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1.71093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1.71093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1.71093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1.71093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1.71093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1.71093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13</v>
      </c>
    </row>
    <row r="2" spans="1:10" ht="18" x14ac:dyDescent="0.25">
      <c r="A2" s="57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4" t="s">
        <v>20</v>
      </c>
    </row>
    <row r="3" spans="1:10" x14ac:dyDescent="0.2">
      <c r="A3" s="58"/>
      <c r="B3" s="33" t="s">
        <v>21</v>
      </c>
      <c r="C3" s="33" t="s">
        <v>21</v>
      </c>
      <c r="D3" s="33" t="s">
        <v>22</v>
      </c>
      <c r="E3" s="33" t="s">
        <v>22</v>
      </c>
      <c r="F3" s="59" t="s">
        <v>21</v>
      </c>
      <c r="G3" s="33" t="s">
        <v>23</v>
      </c>
      <c r="H3" s="52"/>
      <c r="I3" s="33" t="s">
        <v>24</v>
      </c>
      <c r="J3" s="14" t="s">
        <v>25</v>
      </c>
    </row>
    <row r="4" spans="1:10" x14ac:dyDescent="0.2">
      <c r="A4" s="5">
        <v>44835</v>
      </c>
      <c r="B4" s="61">
        <v>5127</v>
      </c>
      <c r="C4" s="62">
        <f>IF(B5-B4 &lt; 0,0,B5-B4)</f>
        <v>5718</v>
      </c>
      <c r="D4" s="61">
        <v>5429</v>
      </c>
      <c r="E4" s="62">
        <f>IF(D5-D4 &lt; 0,0,D5-D4)</f>
        <v>3268</v>
      </c>
      <c r="F4" s="61">
        <v>416</v>
      </c>
      <c r="G4" s="68">
        <v>0.51</v>
      </c>
      <c r="H4" s="86" t="s">
        <v>26</v>
      </c>
      <c r="I4" s="62">
        <f>+E4+C4</f>
        <v>8986</v>
      </c>
      <c r="J4" s="15">
        <f>(C4*0.288)+(E4*0.177)</f>
        <v>2225.2199999999998</v>
      </c>
    </row>
    <row r="5" spans="1:10" x14ac:dyDescent="0.2">
      <c r="A5" s="5">
        <v>44836</v>
      </c>
      <c r="B5" s="61">
        <v>10845</v>
      </c>
      <c r="C5" s="62">
        <f t="shared" ref="C5:C33" si="0">IF(B6-B5 &lt; 0,0,B6-B5)</f>
        <v>5496</v>
      </c>
      <c r="D5" s="61">
        <v>8697</v>
      </c>
      <c r="E5" s="62">
        <f t="shared" ref="E5:E33" si="1">IF(D6-D5 &lt; 0,0,D6-D5)</f>
        <v>3218</v>
      </c>
      <c r="F5" s="61">
        <v>465</v>
      </c>
      <c r="G5" s="68">
        <v>0.52</v>
      </c>
      <c r="H5" s="86" t="s">
        <v>26</v>
      </c>
      <c r="I5" s="62">
        <f t="shared" ref="I5:I35" si="2">+E5+C5</f>
        <v>8714</v>
      </c>
      <c r="J5" s="15">
        <f t="shared" ref="J5:J35" si="3">(C5*0.288)+(E5*0.177)</f>
        <v>2152.4340000000002</v>
      </c>
    </row>
    <row r="6" spans="1:10" x14ac:dyDescent="0.2">
      <c r="A6" s="5">
        <v>44837</v>
      </c>
      <c r="B6" s="61">
        <v>16341</v>
      </c>
      <c r="C6" s="62">
        <f t="shared" si="0"/>
        <v>5756</v>
      </c>
      <c r="D6" s="61">
        <v>11915</v>
      </c>
      <c r="E6" s="62">
        <f t="shared" si="1"/>
        <v>3101</v>
      </c>
      <c r="F6" s="61">
        <v>465</v>
      </c>
      <c r="G6" s="68">
        <v>0.41</v>
      </c>
      <c r="H6" s="86" t="s">
        <v>26</v>
      </c>
      <c r="I6" s="62">
        <f t="shared" si="2"/>
        <v>8857</v>
      </c>
      <c r="J6" s="15">
        <f t="shared" si="3"/>
        <v>2206.6049999999996</v>
      </c>
    </row>
    <row r="7" spans="1:10" x14ac:dyDescent="0.2">
      <c r="A7" s="5">
        <v>44838</v>
      </c>
      <c r="B7" s="61">
        <v>22097</v>
      </c>
      <c r="C7" s="62">
        <f t="shared" si="0"/>
        <v>5248</v>
      </c>
      <c r="D7" s="61">
        <v>15016</v>
      </c>
      <c r="E7" s="62">
        <f t="shared" si="1"/>
        <v>2887</v>
      </c>
      <c r="F7" s="61">
        <v>465</v>
      </c>
      <c r="G7" s="68">
        <v>0.3</v>
      </c>
      <c r="H7" s="86" t="s">
        <v>26</v>
      </c>
      <c r="I7" s="62">
        <f t="shared" si="2"/>
        <v>8135</v>
      </c>
      <c r="J7" s="15">
        <f t="shared" si="3"/>
        <v>2022.423</v>
      </c>
    </row>
    <row r="8" spans="1:10" x14ac:dyDescent="0.2">
      <c r="A8" s="5">
        <v>44839</v>
      </c>
      <c r="B8" s="61">
        <v>27345</v>
      </c>
      <c r="C8" s="62">
        <f t="shared" si="0"/>
        <v>6055</v>
      </c>
      <c r="D8" s="61">
        <v>17903</v>
      </c>
      <c r="E8" s="62">
        <f t="shared" si="1"/>
        <v>3462</v>
      </c>
      <c r="F8" s="61">
        <v>465</v>
      </c>
      <c r="G8" s="68">
        <v>0.41</v>
      </c>
      <c r="H8" s="86" t="s">
        <v>27</v>
      </c>
      <c r="I8" s="62">
        <f t="shared" si="2"/>
        <v>9517</v>
      </c>
      <c r="J8" s="15">
        <f t="shared" si="3"/>
        <v>2356.614</v>
      </c>
    </row>
    <row r="9" spans="1:10" x14ac:dyDescent="0.2">
      <c r="A9" s="5">
        <v>44840</v>
      </c>
      <c r="B9" s="61">
        <v>33400</v>
      </c>
      <c r="C9" s="62">
        <f t="shared" si="0"/>
        <v>5970</v>
      </c>
      <c r="D9" s="61">
        <v>21365</v>
      </c>
      <c r="E9" s="62">
        <f t="shared" si="1"/>
        <v>3356</v>
      </c>
      <c r="F9" s="61">
        <v>496</v>
      </c>
      <c r="G9" s="68">
        <v>0.59</v>
      </c>
      <c r="H9" s="86" t="s">
        <v>28</v>
      </c>
      <c r="I9" s="62">
        <f t="shared" si="2"/>
        <v>9326</v>
      </c>
      <c r="J9" s="15">
        <f t="shared" si="3"/>
        <v>2313.3719999999998</v>
      </c>
    </row>
    <row r="10" spans="1:10" x14ac:dyDescent="0.2">
      <c r="A10" s="5">
        <v>44841</v>
      </c>
      <c r="B10" s="61">
        <v>39370</v>
      </c>
      <c r="C10" s="62">
        <f t="shared" si="0"/>
        <v>5356</v>
      </c>
      <c r="D10" s="61">
        <v>24721</v>
      </c>
      <c r="E10" s="62">
        <f t="shared" si="1"/>
        <v>3229</v>
      </c>
      <c r="F10" s="61">
        <v>496</v>
      </c>
      <c r="G10" s="68">
        <v>0.72</v>
      </c>
      <c r="H10" s="86" t="s">
        <v>27</v>
      </c>
      <c r="I10" s="62">
        <f t="shared" si="2"/>
        <v>8585</v>
      </c>
      <c r="J10" s="15">
        <f t="shared" si="3"/>
        <v>2114.0609999999997</v>
      </c>
    </row>
    <row r="11" spans="1:10" x14ac:dyDescent="0.2">
      <c r="A11" s="5">
        <v>44842</v>
      </c>
      <c r="B11" s="61">
        <v>44726</v>
      </c>
      <c r="C11" s="62">
        <f t="shared" si="0"/>
        <v>4981</v>
      </c>
      <c r="D11" s="61">
        <v>27950</v>
      </c>
      <c r="E11" s="62">
        <f t="shared" si="1"/>
        <v>2888</v>
      </c>
      <c r="F11" s="61">
        <v>496</v>
      </c>
      <c r="G11" s="68">
        <v>0.53</v>
      </c>
      <c r="H11" s="86" t="s">
        <v>27</v>
      </c>
      <c r="I11" s="62">
        <f t="shared" si="2"/>
        <v>7869</v>
      </c>
      <c r="J11" s="15">
        <f t="shared" si="3"/>
        <v>1945.7039999999997</v>
      </c>
    </row>
    <row r="12" spans="1:10" x14ac:dyDescent="0.2">
      <c r="A12" s="5">
        <v>44843</v>
      </c>
      <c r="B12" s="61">
        <v>49707</v>
      </c>
      <c r="C12" s="62">
        <f t="shared" si="0"/>
        <v>5543</v>
      </c>
      <c r="D12" s="61">
        <v>30838</v>
      </c>
      <c r="E12" s="62">
        <f t="shared" si="1"/>
        <v>3334</v>
      </c>
      <c r="F12" s="61">
        <v>496</v>
      </c>
      <c r="G12" s="68">
        <v>0.42</v>
      </c>
      <c r="H12" s="86" t="s">
        <v>28</v>
      </c>
      <c r="I12" s="62">
        <f t="shared" si="2"/>
        <v>8877</v>
      </c>
      <c r="J12" s="15">
        <f t="shared" si="3"/>
        <v>2186.5019999999995</v>
      </c>
    </row>
    <row r="13" spans="1:10" x14ac:dyDescent="0.2">
      <c r="A13" s="5">
        <v>44844</v>
      </c>
      <c r="B13" s="61">
        <v>55250</v>
      </c>
      <c r="C13" s="62">
        <f t="shared" si="0"/>
        <v>5569</v>
      </c>
      <c r="D13" s="61">
        <v>34172</v>
      </c>
      <c r="E13" s="62">
        <f t="shared" si="1"/>
        <v>3233</v>
      </c>
      <c r="F13" s="61">
        <v>496</v>
      </c>
      <c r="G13" s="68">
        <v>0.39</v>
      </c>
      <c r="H13" s="86" t="s">
        <v>29</v>
      </c>
      <c r="I13" s="62">
        <f t="shared" si="2"/>
        <v>8802</v>
      </c>
      <c r="J13" s="15">
        <f t="shared" si="3"/>
        <v>2176.1129999999998</v>
      </c>
    </row>
    <row r="14" spans="1:10" x14ac:dyDescent="0.2">
      <c r="A14" s="5">
        <v>44845</v>
      </c>
      <c r="B14" s="61">
        <v>60819</v>
      </c>
      <c r="C14" s="62">
        <f t="shared" si="0"/>
        <v>5981</v>
      </c>
      <c r="D14" s="61">
        <v>37405</v>
      </c>
      <c r="E14" s="62">
        <f t="shared" si="1"/>
        <v>3413</v>
      </c>
      <c r="F14" s="61">
        <v>496</v>
      </c>
      <c r="G14" s="68">
        <v>0.23</v>
      </c>
      <c r="H14" s="86" t="s">
        <v>29</v>
      </c>
      <c r="I14" s="62">
        <f t="shared" si="2"/>
        <v>9394</v>
      </c>
      <c r="J14" s="15">
        <f t="shared" si="3"/>
        <v>2326.6289999999999</v>
      </c>
    </row>
    <row r="15" spans="1:10" x14ac:dyDescent="0.2">
      <c r="A15" s="5">
        <v>44846</v>
      </c>
      <c r="B15" s="61">
        <v>66800</v>
      </c>
      <c r="C15" s="62">
        <f t="shared" si="0"/>
        <v>5237</v>
      </c>
      <c r="D15" s="61">
        <v>40818</v>
      </c>
      <c r="E15" s="62">
        <f t="shared" si="1"/>
        <v>3056</v>
      </c>
      <c r="F15" s="61">
        <v>496</v>
      </c>
      <c r="G15" s="68">
        <v>0.33</v>
      </c>
      <c r="H15" s="86" t="s">
        <v>28</v>
      </c>
      <c r="I15" s="62">
        <f t="shared" si="2"/>
        <v>8293</v>
      </c>
      <c r="J15" s="15">
        <f t="shared" si="3"/>
        <v>2049.1679999999997</v>
      </c>
    </row>
    <row r="16" spans="1:10" x14ac:dyDescent="0.2">
      <c r="A16" s="5">
        <v>44847</v>
      </c>
      <c r="B16" s="61">
        <v>72037</v>
      </c>
      <c r="C16" s="62">
        <f t="shared" si="0"/>
        <v>5090</v>
      </c>
      <c r="D16" s="61">
        <v>43874</v>
      </c>
      <c r="E16" s="62">
        <f t="shared" si="1"/>
        <v>3131</v>
      </c>
      <c r="F16" s="61">
        <v>496</v>
      </c>
      <c r="G16" s="68">
        <v>0.37</v>
      </c>
      <c r="H16" s="86" t="s">
        <v>29</v>
      </c>
      <c r="I16" s="62">
        <f t="shared" si="2"/>
        <v>8221</v>
      </c>
      <c r="J16" s="15">
        <f t="shared" si="3"/>
        <v>2020.107</v>
      </c>
    </row>
    <row r="17" spans="1:10" x14ac:dyDescent="0.2">
      <c r="A17" s="5">
        <v>44848</v>
      </c>
      <c r="B17" s="61">
        <v>77127</v>
      </c>
      <c r="C17" s="62">
        <f t="shared" si="0"/>
        <v>5185</v>
      </c>
      <c r="D17" s="61">
        <v>47005</v>
      </c>
      <c r="E17" s="62">
        <f t="shared" si="1"/>
        <v>2951</v>
      </c>
      <c r="F17" s="61">
        <v>496</v>
      </c>
      <c r="G17" s="69">
        <v>0.39</v>
      </c>
      <c r="H17" s="86" t="s">
        <v>29</v>
      </c>
      <c r="I17" s="62">
        <f t="shared" si="2"/>
        <v>8136</v>
      </c>
      <c r="J17" s="15">
        <f t="shared" si="3"/>
        <v>2015.607</v>
      </c>
    </row>
    <row r="18" spans="1:10" x14ac:dyDescent="0.2">
      <c r="A18" s="5">
        <v>44849</v>
      </c>
      <c r="B18" s="61">
        <v>82312</v>
      </c>
      <c r="C18" s="62">
        <f t="shared" si="0"/>
        <v>4817</v>
      </c>
      <c r="D18" s="61">
        <v>49956</v>
      </c>
      <c r="E18" s="62">
        <f t="shared" si="1"/>
        <v>2660</v>
      </c>
      <c r="F18" s="61">
        <v>496</v>
      </c>
      <c r="G18" s="69">
        <v>0.39</v>
      </c>
      <c r="H18" s="86" t="s">
        <v>29</v>
      </c>
      <c r="I18" s="62">
        <f t="shared" si="2"/>
        <v>7477</v>
      </c>
      <c r="J18" s="15">
        <f t="shared" si="3"/>
        <v>1858.1159999999998</v>
      </c>
    </row>
    <row r="19" spans="1:10" x14ac:dyDescent="0.2">
      <c r="A19" s="5">
        <v>44850</v>
      </c>
      <c r="B19" s="61">
        <v>87129</v>
      </c>
      <c r="C19" s="62">
        <f t="shared" si="0"/>
        <v>5532</v>
      </c>
      <c r="D19" s="61">
        <v>52616</v>
      </c>
      <c r="E19" s="62">
        <f t="shared" si="1"/>
        <v>3218</v>
      </c>
      <c r="F19" s="61">
        <v>496</v>
      </c>
      <c r="G19" s="69">
        <v>0.39</v>
      </c>
      <c r="H19" s="86" t="s">
        <v>29</v>
      </c>
      <c r="I19" s="62">
        <f t="shared" si="2"/>
        <v>8750</v>
      </c>
      <c r="J19" s="15">
        <f t="shared" si="3"/>
        <v>2162.8019999999997</v>
      </c>
    </row>
    <row r="20" spans="1:10" x14ac:dyDescent="0.2">
      <c r="A20" s="5">
        <v>44851</v>
      </c>
      <c r="B20" s="61">
        <v>92661</v>
      </c>
      <c r="C20" s="62">
        <f t="shared" si="0"/>
        <v>5353</v>
      </c>
      <c r="D20" s="61">
        <v>55834</v>
      </c>
      <c r="E20" s="62">
        <f t="shared" si="1"/>
        <v>2934</v>
      </c>
      <c r="F20" s="61">
        <v>496</v>
      </c>
      <c r="G20" s="69">
        <v>0.5</v>
      </c>
      <c r="H20" s="86" t="s">
        <v>27</v>
      </c>
      <c r="I20" s="62">
        <f t="shared" si="2"/>
        <v>8287</v>
      </c>
      <c r="J20" s="15">
        <f t="shared" si="3"/>
        <v>2060.982</v>
      </c>
    </row>
    <row r="21" spans="1:10" x14ac:dyDescent="0.2">
      <c r="A21" s="5">
        <v>44852</v>
      </c>
      <c r="B21" s="61">
        <v>98014</v>
      </c>
      <c r="C21" s="62">
        <f t="shared" si="0"/>
        <v>5374</v>
      </c>
      <c r="D21" s="61">
        <v>58768</v>
      </c>
      <c r="E21" s="62">
        <f t="shared" si="1"/>
        <v>3022</v>
      </c>
      <c r="F21" s="61">
        <v>496</v>
      </c>
      <c r="G21" s="69">
        <v>0.5</v>
      </c>
      <c r="H21" s="86" t="s">
        <v>29</v>
      </c>
      <c r="I21" s="62">
        <f t="shared" si="2"/>
        <v>8396</v>
      </c>
      <c r="J21" s="15">
        <f t="shared" si="3"/>
        <v>2082.6059999999998</v>
      </c>
    </row>
    <row r="22" spans="1:10" x14ac:dyDescent="0.2">
      <c r="A22" s="5">
        <v>44853</v>
      </c>
      <c r="B22" s="61">
        <v>103388</v>
      </c>
      <c r="C22" s="62">
        <f t="shared" si="0"/>
        <v>6273</v>
      </c>
      <c r="D22" s="61">
        <v>61790</v>
      </c>
      <c r="E22" s="62">
        <f t="shared" si="1"/>
        <v>3044</v>
      </c>
      <c r="F22" s="61">
        <v>496</v>
      </c>
      <c r="G22" s="69">
        <v>0.48</v>
      </c>
      <c r="H22" s="86" t="s">
        <v>26</v>
      </c>
      <c r="I22" s="62">
        <f t="shared" si="2"/>
        <v>9317</v>
      </c>
      <c r="J22" s="15">
        <f t="shared" si="3"/>
        <v>2345.4119999999998</v>
      </c>
    </row>
    <row r="23" spans="1:10" x14ac:dyDescent="0.2">
      <c r="A23" s="5">
        <v>44854</v>
      </c>
      <c r="B23" s="61">
        <v>109661</v>
      </c>
      <c r="C23" s="62">
        <f t="shared" si="0"/>
        <v>5395</v>
      </c>
      <c r="D23" s="61">
        <v>64834</v>
      </c>
      <c r="E23" s="62">
        <f t="shared" si="1"/>
        <v>3310</v>
      </c>
      <c r="F23" s="61">
        <v>496</v>
      </c>
      <c r="G23" s="69">
        <v>0.49</v>
      </c>
      <c r="H23" s="86" t="s">
        <v>26</v>
      </c>
      <c r="I23" s="62">
        <f t="shared" si="2"/>
        <v>8705</v>
      </c>
      <c r="J23" s="15">
        <f t="shared" si="3"/>
        <v>2139.63</v>
      </c>
    </row>
    <row r="24" spans="1:10" x14ac:dyDescent="0.2">
      <c r="A24" s="5">
        <v>44855</v>
      </c>
      <c r="B24" s="61">
        <v>115056</v>
      </c>
      <c r="C24" s="62">
        <f t="shared" si="0"/>
        <v>5722</v>
      </c>
      <c r="D24" s="61">
        <v>68144</v>
      </c>
      <c r="E24" s="62">
        <f t="shared" si="1"/>
        <v>3309</v>
      </c>
      <c r="F24" s="61">
        <v>508</v>
      </c>
      <c r="G24" s="69">
        <v>0.54</v>
      </c>
      <c r="H24" s="86" t="s">
        <v>27</v>
      </c>
      <c r="I24" s="62">
        <f t="shared" si="2"/>
        <v>9031</v>
      </c>
      <c r="J24" s="15">
        <f t="shared" si="3"/>
        <v>2233.6289999999999</v>
      </c>
    </row>
    <row r="25" spans="1:10" x14ac:dyDescent="0.2">
      <c r="A25" s="5">
        <v>44856</v>
      </c>
      <c r="B25" s="61">
        <v>120778</v>
      </c>
      <c r="C25" s="62">
        <f t="shared" si="0"/>
        <v>6053</v>
      </c>
      <c r="D25" s="61">
        <v>71453</v>
      </c>
      <c r="E25" s="62">
        <f t="shared" si="1"/>
        <v>3529</v>
      </c>
      <c r="F25" s="61">
        <v>508</v>
      </c>
      <c r="G25" s="69">
        <v>0.73</v>
      </c>
      <c r="H25" s="86" t="s">
        <v>28</v>
      </c>
      <c r="I25" s="62">
        <f t="shared" si="2"/>
        <v>9582</v>
      </c>
      <c r="J25" s="15">
        <f t="shared" si="3"/>
        <v>2367.8969999999999</v>
      </c>
    </row>
    <row r="26" spans="1:10" x14ac:dyDescent="0.2">
      <c r="A26" s="5">
        <v>44857</v>
      </c>
      <c r="B26" s="61">
        <v>126831</v>
      </c>
      <c r="C26" s="62">
        <f t="shared" si="0"/>
        <v>5953</v>
      </c>
      <c r="D26" s="61">
        <v>74982</v>
      </c>
      <c r="E26" s="62">
        <f t="shared" si="1"/>
        <v>3323</v>
      </c>
      <c r="F26" s="61">
        <v>508</v>
      </c>
      <c r="G26" s="69">
        <v>0.84</v>
      </c>
      <c r="H26" s="86" t="s">
        <v>27</v>
      </c>
      <c r="I26" s="62">
        <f t="shared" si="2"/>
        <v>9276</v>
      </c>
      <c r="J26" s="15">
        <f t="shared" si="3"/>
        <v>2302.6349999999998</v>
      </c>
    </row>
    <row r="27" spans="1:10" x14ac:dyDescent="0.2">
      <c r="A27" s="5">
        <v>44858</v>
      </c>
      <c r="B27" s="61">
        <v>132784</v>
      </c>
      <c r="C27" s="62">
        <f t="shared" si="0"/>
        <v>6292</v>
      </c>
      <c r="D27" s="61">
        <v>78305</v>
      </c>
      <c r="E27" s="62">
        <f t="shared" si="1"/>
        <v>3854</v>
      </c>
      <c r="F27" s="61">
        <v>508</v>
      </c>
      <c r="G27" s="69">
        <v>0.7</v>
      </c>
      <c r="H27" s="86" t="s">
        <v>29</v>
      </c>
      <c r="I27" s="62">
        <f t="shared" si="2"/>
        <v>10146</v>
      </c>
      <c r="J27" s="15">
        <f t="shared" si="3"/>
        <v>2494.2539999999999</v>
      </c>
    </row>
    <row r="28" spans="1:10" x14ac:dyDescent="0.2">
      <c r="A28" s="5">
        <v>44859</v>
      </c>
      <c r="B28" s="61">
        <v>139076</v>
      </c>
      <c r="C28" s="62">
        <f t="shared" si="0"/>
        <v>6207</v>
      </c>
      <c r="D28" s="61">
        <v>82159</v>
      </c>
      <c r="E28" s="62">
        <f t="shared" si="1"/>
        <v>3217</v>
      </c>
      <c r="F28" s="61">
        <v>508</v>
      </c>
      <c r="G28" s="69">
        <v>0.76</v>
      </c>
      <c r="H28" s="86" t="s">
        <v>29</v>
      </c>
      <c r="I28" s="62">
        <f t="shared" si="2"/>
        <v>9424</v>
      </c>
      <c r="J28" s="15">
        <f t="shared" si="3"/>
        <v>2357.0249999999996</v>
      </c>
    </row>
    <row r="29" spans="1:10" x14ac:dyDescent="0.2">
      <c r="A29" s="5">
        <v>44860</v>
      </c>
      <c r="B29" s="61">
        <v>145283</v>
      </c>
      <c r="C29" s="62">
        <f t="shared" si="0"/>
        <v>5939</v>
      </c>
      <c r="D29" s="61">
        <v>85376</v>
      </c>
      <c r="E29" s="62">
        <f t="shared" si="1"/>
        <v>3449</v>
      </c>
      <c r="F29" s="61">
        <v>508</v>
      </c>
      <c r="G29" s="69">
        <v>0.68</v>
      </c>
      <c r="H29" s="86" t="s">
        <v>29</v>
      </c>
      <c r="I29" s="62">
        <f t="shared" si="2"/>
        <v>9388</v>
      </c>
      <c r="J29" s="15">
        <f t="shared" si="3"/>
        <v>2320.9049999999997</v>
      </c>
    </row>
    <row r="30" spans="1:10" x14ac:dyDescent="0.2">
      <c r="A30" s="5">
        <v>44861</v>
      </c>
      <c r="B30" s="61">
        <v>151222</v>
      </c>
      <c r="C30" s="62">
        <f t="shared" si="0"/>
        <v>5702</v>
      </c>
      <c r="D30" s="61">
        <v>88825</v>
      </c>
      <c r="E30" s="62">
        <f t="shared" si="1"/>
        <v>3148</v>
      </c>
      <c r="F30" s="61">
        <v>508</v>
      </c>
      <c r="G30" s="69">
        <v>0.55000000000000004</v>
      </c>
      <c r="H30" s="86" t="s">
        <v>28</v>
      </c>
      <c r="I30" s="62">
        <f t="shared" si="2"/>
        <v>8850</v>
      </c>
      <c r="J30" s="15">
        <f t="shared" si="3"/>
        <v>2199.3719999999998</v>
      </c>
    </row>
    <row r="31" spans="1:10" x14ac:dyDescent="0.2">
      <c r="A31" s="5">
        <v>44862</v>
      </c>
      <c r="B31" s="61">
        <v>156924</v>
      </c>
      <c r="C31" s="62">
        <f t="shared" si="0"/>
        <v>5224</v>
      </c>
      <c r="D31" s="61">
        <v>91973</v>
      </c>
      <c r="E31" s="62">
        <f t="shared" si="1"/>
        <v>3159</v>
      </c>
      <c r="F31" s="61">
        <v>508</v>
      </c>
      <c r="G31" s="69">
        <v>0.48</v>
      </c>
      <c r="H31" s="86" t="s">
        <v>29</v>
      </c>
      <c r="I31" s="62">
        <f t="shared" si="2"/>
        <v>8383</v>
      </c>
      <c r="J31" s="15">
        <f t="shared" si="3"/>
        <v>2063.6549999999997</v>
      </c>
    </row>
    <row r="32" spans="1:10" x14ac:dyDescent="0.2">
      <c r="A32" s="5">
        <v>44863</v>
      </c>
      <c r="B32" s="61">
        <v>162148</v>
      </c>
      <c r="C32" s="62">
        <f t="shared" si="0"/>
        <v>5442</v>
      </c>
      <c r="D32" s="61">
        <v>95132</v>
      </c>
      <c r="E32" s="62">
        <f t="shared" si="1"/>
        <v>3258</v>
      </c>
      <c r="F32" s="61">
        <v>508</v>
      </c>
      <c r="G32" s="69">
        <v>0.39</v>
      </c>
      <c r="H32" s="86" t="s">
        <v>28</v>
      </c>
      <c r="I32" s="62">
        <f t="shared" si="2"/>
        <v>8700</v>
      </c>
      <c r="J32" s="15">
        <f t="shared" si="3"/>
        <v>2143.9619999999995</v>
      </c>
    </row>
    <row r="33" spans="1:10" x14ac:dyDescent="0.2">
      <c r="A33" s="5">
        <v>44864</v>
      </c>
      <c r="B33" s="61">
        <v>167590</v>
      </c>
      <c r="C33" s="62">
        <f t="shared" si="0"/>
        <v>0</v>
      </c>
      <c r="D33" s="61">
        <v>98390</v>
      </c>
      <c r="E33" s="62">
        <f t="shared" si="1"/>
        <v>0</v>
      </c>
      <c r="F33" s="61">
        <v>508</v>
      </c>
      <c r="G33" s="69">
        <v>0.3</v>
      </c>
      <c r="H33" s="86" t="s">
        <v>27</v>
      </c>
      <c r="I33" s="62">
        <f t="shared" si="2"/>
        <v>0</v>
      </c>
      <c r="J33" s="15">
        <f t="shared" si="3"/>
        <v>0</v>
      </c>
    </row>
    <row r="34" spans="1:10" x14ac:dyDescent="0.2">
      <c r="A34" s="5">
        <v>44865</v>
      </c>
      <c r="B34" s="61">
        <v>0</v>
      </c>
      <c r="C34" s="62"/>
      <c r="D34" s="61">
        <v>2195</v>
      </c>
      <c r="E34" s="62"/>
      <c r="F34" s="61">
        <v>0</v>
      </c>
      <c r="G34" s="69">
        <v>0.37</v>
      </c>
      <c r="H34" s="86" t="s">
        <v>29</v>
      </c>
      <c r="I34" s="62">
        <f t="shared" si="2"/>
        <v>0</v>
      </c>
      <c r="J34" s="15">
        <f t="shared" si="3"/>
        <v>0</v>
      </c>
    </row>
    <row r="35" spans="1:10" x14ac:dyDescent="0.2">
      <c r="A35" s="39"/>
      <c r="B35" s="61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x14ac:dyDescent="0.2">
      <c r="A36" s="88" t="s">
        <v>30</v>
      </c>
      <c r="B36" s="89"/>
      <c r="C36" s="65">
        <f>SUM(C4:C34)</f>
        <v>162463</v>
      </c>
      <c r="D36" s="65"/>
      <c r="E36" s="65">
        <f>SUM(E4:E34)</f>
        <v>92961</v>
      </c>
      <c r="F36" s="65"/>
      <c r="G36" s="52"/>
      <c r="H36" s="52"/>
      <c r="I36" s="62">
        <f>+E36+C36</f>
        <v>255424</v>
      </c>
      <c r="J36" s="15">
        <f>(C36*0.288)+(E36*0.177)</f>
        <v>63243.440999999992</v>
      </c>
    </row>
    <row r="37" spans="1:10" x14ac:dyDescent="0.2">
      <c r="A37" s="53"/>
      <c r="C37" s="30">
        <f>COUNTIF(C4:C34,"&gt;0")</f>
        <v>29</v>
      </c>
      <c r="G37" s="30"/>
    </row>
    <row r="39" spans="1:10" ht="15.75" x14ac:dyDescent="0.25">
      <c r="A39" s="56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4" zoomScaleNormal="100" workbookViewId="0">
      <selection activeCell="H4" sqref="H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6.570312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3.855468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3.855468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3.855468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3.855468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3.855468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3.855468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3.855468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3.855468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3.855468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3.855468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3.855468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3.855468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3.855468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3.855468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3.855468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3.855468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3.855468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3.855468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3.855468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3.855468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3.855468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3.855468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3.855468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3.855468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3.855468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3.855468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3.855468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3.855468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3.855468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3.855468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3.855468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3.855468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3.855468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3.855468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3.855468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3.855468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3.855468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3.855468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3.855468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3.855468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3.855468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3.855468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3.855468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3.855468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3.855468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3.855468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3.855468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3.855468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3.855468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3.855468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3.855468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3.855468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3.855468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3.855468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3.855468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3.855468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3.855468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3.855468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3.855468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3.855468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3.855468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3.855468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3.855468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32</v>
      </c>
    </row>
    <row r="2" spans="1:10" ht="18" x14ac:dyDescent="0.25">
      <c r="A2" s="57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4" t="s">
        <v>20</v>
      </c>
    </row>
    <row r="3" spans="1:10" x14ac:dyDescent="0.2">
      <c r="A3" s="58"/>
      <c r="B3" s="33" t="s">
        <v>21</v>
      </c>
      <c r="C3" s="33" t="s">
        <v>21</v>
      </c>
      <c r="D3" s="33" t="s">
        <v>22</v>
      </c>
      <c r="E3" s="33" t="s">
        <v>22</v>
      </c>
      <c r="F3" s="59" t="s">
        <v>21</v>
      </c>
      <c r="G3" s="33" t="s">
        <v>23</v>
      </c>
      <c r="H3" s="52"/>
      <c r="I3" s="33" t="s">
        <v>24</v>
      </c>
      <c r="J3" s="14" t="s">
        <v>25</v>
      </c>
    </row>
    <row r="4" spans="1:10" x14ac:dyDescent="0.2">
      <c r="A4" s="5">
        <v>44835</v>
      </c>
      <c r="B4" s="61">
        <v>2153</v>
      </c>
      <c r="C4" s="62">
        <f>IF(B5-B4 &lt; 0,0,B5-B4)</f>
        <v>2156</v>
      </c>
      <c r="D4" s="61">
        <v>1177</v>
      </c>
      <c r="E4" s="62">
        <f t="shared" ref="E4:E33" si="0">IF(D5-D4 &lt; 0,0,D5-D4)</f>
        <v>714</v>
      </c>
      <c r="F4" s="61">
        <v>207</v>
      </c>
      <c r="G4" s="68">
        <v>0.51</v>
      </c>
      <c r="H4" s="86" t="s">
        <v>26</v>
      </c>
      <c r="I4" s="62">
        <f>+E4+C4</f>
        <v>2870</v>
      </c>
      <c r="J4" s="15">
        <f>(C4*0.288)+(E4*0.177)</f>
        <v>747.30600000000004</v>
      </c>
    </row>
    <row r="5" spans="1:10" x14ac:dyDescent="0.2">
      <c r="A5" s="5">
        <v>44836</v>
      </c>
      <c r="B5" s="61">
        <v>4309</v>
      </c>
      <c r="C5" s="62">
        <f t="shared" ref="C5:C33" si="1">IF(B6-B5 &lt; 0,0,B6-B5)</f>
        <v>2106</v>
      </c>
      <c r="D5" s="61">
        <v>1891</v>
      </c>
      <c r="E5" s="62">
        <f t="shared" si="0"/>
        <v>688</v>
      </c>
      <c r="F5" s="61">
        <v>207</v>
      </c>
      <c r="G5" s="68">
        <v>0.52</v>
      </c>
      <c r="H5" s="86" t="s">
        <v>26</v>
      </c>
      <c r="I5" s="62">
        <f t="shared" ref="I5:I35" si="2">+E5+C5</f>
        <v>2794</v>
      </c>
      <c r="J5" s="15">
        <f t="shared" ref="J5:J35" si="3">(C5*0.288)+(E5*0.177)</f>
        <v>728.30399999999986</v>
      </c>
    </row>
    <row r="6" spans="1:10" x14ac:dyDescent="0.2">
      <c r="A6" s="5">
        <v>44837</v>
      </c>
      <c r="B6" s="61">
        <v>6415</v>
      </c>
      <c r="C6" s="62">
        <f t="shared" si="1"/>
        <v>2130</v>
      </c>
      <c r="D6" s="61">
        <v>2579</v>
      </c>
      <c r="E6" s="62">
        <f t="shared" si="0"/>
        <v>803</v>
      </c>
      <c r="F6" s="61">
        <v>207</v>
      </c>
      <c r="G6" s="68">
        <v>0.41</v>
      </c>
      <c r="H6" s="86" t="s">
        <v>26</v>
      </c>
      <c r="I6" s="62">
        <f t="shared" si="2"/>
        <v>2933</v>
      </c>
      <c r="J6" s="15">
        <f t="shared" si="3"/>
        <v>755.57099999999991</v>
      </c>
    </row>
    <row r="7" spans="1:10" x14ac:dyDescent="0.2">
      <c r="A7" s="5">
        <v>44838</v>
      </c>
      <c r="B7" s="61">
        <v>8545</v>
      </c>
      <c r="C7" s="62">
        <f t="shared" si="1"/>
        <v>2102</v>
      </c>
      <c r="D7" s="61">
        <v>3382</v>
      </c>
      <c r="E7" s="62">
        <f t="shared" si="0"/>
        <v>573</v>
      </c>
      <c r="F7" s="61">
        <v>207</v>
      </c>
      <c r="G7" s="68">
        <v>0.3</v>
      </c>
      <c r="H7" s="86" t="s">
        <v>26</v>
      </c>
      <c r="I7" s="62">
        <f t="shared" si="2"/>
        <v>2675</v>
      </c>
      <c r="J7" s="15">
        <f t="shared" si="3"/>
        <v>706.79700000000003</v>
      </c>
    </row>
    <row r="8" spans="1:10" x14ac:dyDescent="0.2">
      <c r="A8" s="5">
        <v>44839</v>
      </c>
      <c r="B8" s="61">
        <v>10647</v>
      </c>
      <c r="C8" s="62">
        <f t="shared" si="1"/>
        <v>2251</v>
      </c>
      <c r="D8" s="61">
        <v>3955</v>
      </c>
      <c r="E8" s="62">
        <f t="shared" si="0"/>
        <v>756</v>
      </c>
      <c r="F8" s="61">
        <v>207</v>
      </c>
      <c r="G8" s="68">
        <v>0.41</v>
      </c>
      <c r="H8" s="86" t="s">
        <v>27</v>
      </c>
      <c r="I8" s="62">
        <f t="shared" si="2"/>
        <v>3007</v>
      </c>
      <c r="J8" s="15">
        <f t="shared" si="3"/>
        <v>782.09999999999991</v>
      </c>
    </row>
    <row r="9" spans="1:10" x14ac:dyDescent="0.2">
      <c r="A9" s="5">
        <v>44840</v>
      </c>
      <c r="B9" s="61">
        <v>12898</v>
      </c>
      <c r="C9" s="62">
        <f t="shared" si="1"/>
        <v>2490</v>
      </c>
      <c r="D9" s="61">
        <v>4711</v>
      </c>
      <c r="E9" s="62">
        <f t="shared" si="0"/>
        <v>925</v>
      </c>
      <c r="F9" s="61">
        <v>207</v>
      </c>
      <c r="G9" s="68">
        <v>0.59</v>
      </c>
      <c r="H9" s="86" t="s">
        <v>28</v>
      </c>
      <c r="I9" s="62">
        <f t="shared" si="2"/>
        <v>3415</v>
      </c>
      <c r="J9" s="15">
        <f t="shared" si="3"/>
        <v>880.84499999999991</v>
      </c>
    </row>
    <row r="10" spans="1:10" x14ac:dyDescent="0.2">
      <c r="A10" s="5">
        <v>44841</v>
      </c>
      <c r="B10" s="61">
        <v>15388</v>
      </c>
      <c r="C10" s="62">
        <f t="shared" si="1"/>
        <v>2391</v>
      </c>
      <c r="D10" s="61">
        <v>5636</v>
      </c>
      <c r="E10" s="62">
        <f t="shared" si="0"/>
        <v>756</v>
      </c>
      <c r="F10" s="61">
        <v>207</v>
      </c>
      <c r="G10" s="68">
        <v>0.72</v>
      </c>
      <c r="H10" s="86" t="s">
        <v>27</v>
      </c>
      <c r="I10" s="62">
        <f t="shared" si="2"/>
        <v>3147</v>
      </c>
      <c r="J10" s="15">
        <f t="shared" si="3"/>
        <v>822.42</v>
      </c>
    </row>
    <row r="11" spans="1:10" x14ac:dyDescent="0.2">
      <c r="A11" s="5">
        <v>44842</v>
      </c>
      <c r="B11" s="61">
        <v>17779</v>
      </c>
      <c r="C11" s="62">
        <f t="shared" si="1"/>
        <v>2180</v>
      </c>
      <c r="D11" s="61">
        <v>6392</v>
      </c>
      <c r="E11" s="62">
        <f t="shared" si="0"/>
        <v>690</v>
      </c>
      <c r="F11" s="61">
        <v>231</v>
      </c>
      <c r="G11" s="68">
        <v>0.53</v>
      </c>
      <c r="H11" s="86" t="s">
        <v>27</v>
      </c>
      <c r="I11" s="62">
        <f t="shared" si="2"/>
        <v>2870</v>
      </c>
      <c r="J11" s="15">
        <f t="shared" si="3"/>
        <v>749.96999999999991</v>
      </c>
    </row>
    <row r="12" spans="1:10" x14ac:dyDescent="0.2">
      <c r="A12" s="5">
        <v>44843</v>
      </c>
      <c r="B12" s="61">
        <v>19959</v>
      </c>
      <c r="C12" s="62">
        <f t="shared" si="1"/>
        <v>1998</v>
      </c>
      <c r="D12" s="61">
        <v>7082</v>
      </c>
      <c r="E12" s="62">
        <f t="shared" si="0"/>
        <v>734</v>
      </c>
      <c r="F12" s="61">
        <v>231</v>
      </c>
      <c r="G12" s="68">
        <v>0.42</v>
      </c>
      <c r="H12" s="86" t="s">
        <v>28</v>
      </c>
      <c r="I12" s="62">
        <f t="shared" si="2"/>
        <v>2732</v>
      </c>
      <c r="J12" s="15">
        <f t="shared" si="3"/>
        <v>705.34199999999998</v>
      </c>
    </row>
    <row r="13" spans="1:10" x14ac:dyDescent="0.2">
      <c r="A13" s="5">
        <v>44844</v>
      </c>
      <c r="B13" s="61">
        <v>21957</v>
      </c>
      <c r="C13" s="62">
        <f t="shared" si="1"/>
        <v>2229</v>
      </c>
      <c r="D13" s="61">
        <v>7816</v>
      </c>
      <c r="E13" s="62">
        <f t="shared" si="0"/>
        <v>766</v>
      </c>
      <c r="F13" s="61">
        <v>231</v>
      </c>
      <c r="G13" s="68">
        <v>0.39</v>
      </c>
      <c r="H13" s="86" t="s">
        <v>29</v>
      </c>
      <c r="I13" s="62">
        <f t="shared" si="2"/>
        <v>2995</v>
      </c>
      <c r="J13" s="15">
        <f t="shared" si="3"/>
        <v>777.53399999999999</v>
      </c>
    </row>
    <row r="14" spans="1:10" x14ac:dyDescent="0.2">
      <c r="A14" s="5">
        <v>44845</v>
      </c>
      <c r="B14" s="61">
        <v>24186</v>
      </c>
      <c r="C14" s="62">
        <f t="shared" si="1"/>
        <v>2178</v>
      </c>
      <c r="D14" s="61">
        <v>8582</v>
      </c>
      <c r="E14" s="62">
        <f t="shared" si="0"/>
        <v>806</v>
      </c>
      <c r="F14" s="61">
        <v>231</v>
      </c>
      <c r="G14" s="68">
        <v>0.23</v>
      </c>
      <c r="H14" s="86" t="s">
        <v>29</v>
      </c>
      <c r="I14" s="62">
        <f t="shared" si="2"/>
        <v>2984</v>
      </c>
      <c r="J14" s="15">
        <f t="shared" si="3"/>
        <v>769.92599999999993</v>
      </c>
    </row>
    <row r="15" spans="1:10" x14ac:dyDescent="0.2">
      <c r="A15" s="5">
        <v>44846</v>
      </c>
      <c r="B15" s="61">
        <v>26364</v>
      </c>
      <c r="C15" s="62">
        <f t="shared" si="1"/>
        <v>2270</v>
      </c>
      <c r="D15" s="61">
        <v>9388</v>
      </c>
      <c r="E15" s="62">
        <f t="shared" si="0"/>
        <v>735</v>
      </c>
      <c r="F15" s="61">
        <v>231</v>
      </c>
      <c r="G15" s="68">
        <v>0.33</v>
      </c>
      <c r="H15" s="86" t="s">
        <v>28</v>
      </c>
      <c r="I15" s="62">
        <f t="shared" si="2"/>
        <v>3005</v>
      </c>
      <c r="J15" s="15">
        <f t="shared" si="3"/>
        <v>783.85500000000002</v>
      </c>
    </row>
    <row r="16" spans="1:10" x14ac:dyDescent="0.2">
      <c r="A16" s="5">
        <v>44847</v>
      </c>
      <c r="B16" s="61">
        <v>28634</v>
      </c>
      <c r="C16" s="62">
        <f t="shared" si="1"/>
        <v>2149</v>
      </c>
      <c r="D16" s="61">
        <v>10123</v>
      </c>
      <c r="E16" s="62">
        <f t="shared" si="0"/>
        <v>704</v>
      </c>
      <c r="F16" s="61">
        <v>231</v>
      </c>
      <c r="G16" s="68">
        <v>0.37</v>
      </c>
      <c r="H16" s="86" t="s">
        <v>29</v>
      </c>
      <c r="I16" s="62">
        <f t="shared" si="2"/>
        <v>2853</v>
      </c>
      <c r="J16" s="15">
        <f t="shared" si="3"/>
        <v>743.51999999999987</v>
      </c>
    </row>
    <row r="17" spans="1:10" x14ac:dyDescent="0.2">
      <c r="A17" s="5">
        <v>44848</v>
      </c>
      <c r="B17" s="61">
        <v>30783</v>
      </c>
      <c r="C17" s="62">
        <f t="shared" si="1"/>
        <v>2318</v>
      </c>
      <c r="D17" s="61">
        <v>10827</v>
      </c>
      <c r="E17" s="62">
        <f t="shared" si="0"/>
        <v>773</v>
      </c>
      <c r="F17" s="61">
        <v>231</v>
      </c>
      <c r="G17" s="69">
        <v>0.39</v>
      </c>
      <c r="H17" s="86" t="s">
        <v>29</v>
      </c>
      <c r="I17" s="62">
        <f t="shared" si="2"/>
        <v>3091</v>
      </c>
      <c r="J17" s="15">
        <f t="shared" si="3"/>
        <v>804.40499999999997</v>
      </c>
    </row>
    <row r="18" spans="1:10" x14ac:dyDescent="0.2">
      <c r="A18" s="5">
        <v>44849</v>
      </c>
      <c r="B18" s="61">
        <v>33101</v>
      </c>
      <c r="C18" s="62">
        <f t="shared" si="1"/>
        <v>1692</v>
      </c>
      <c r="D18" s="61">
        <v>11600</v>
      </c>
      <c r="E18" s="62">
        <f t="shared" si="0"/>
        <v>671</v>
      </c>
      <c r="F18" s="61">
        <v>231</v>
      </c>
      <c r="G18" s="69">
        <v>0.39</v>
      </c>
      <c r="H18" s="86" t="s">
        <v>29</v>
      </c>
      <c r="I18" s="62">
        <f t="shared" si="2"/>
        <v>2363</v>
      </c>
      <c r="J18" s="15">
        <f t="shared" si="3"/>
        <v>606.06299999999987</v>
      </c>
    </row>
    <row r="19" spans="1:10" x14ac:dyDescent="0.2">
      <c r="A19" s="5">
        <v>44850</v>
      </c>
      <c r="B19" s="61">
        <v>34793</v>
      </c>
      <c r="C19" s="62">
        <f t="shared" si="1"/>
        <v>2213</v>
      </c>
      <c r="D19" s="61">
        <v>12271</v>
      </c>
      <c r="E19" s="62">
        <f t="shared" si="0"/>
        <v>761</v>
      </c>
      <c r="F19" s="61">
        <v>231</v>
      </c>
      <c r="G19" s="69">
        <v>0.39</v>
      </c>
      <c r="H19" s="86" t="s">
        <v>29</v>
      </c>
      <c r="I19" s="62">
        <f t="shared" si="2"/>
        <v>2974</v>
      </c>
      <c r="J19" s="15">
        <f t="shared" si="3"/>
        <v>772.04099999999994</v>
      </c>
    </row>
    <row r="20" spans="1:10" x14ac:dyDescent="0.2">
      <c r="A20" s="5">
        <v>44851</v>
      </c>
      <c r="B20" s="61">
        <v>37006</v>
      </c>
      <c r="C20" s="62">
        <f t="shared" si="1"/>
        <v>2211</v>
      </c>
      <c r="D20" s="61">
        <v>13032</v>
      </c>
      <c r="E20" s="62">
        <f t="shared" si="0"/>
        <v>789</v>
      </c>
      <c r="F20" s="61">
        <v>231</v>
      </c>
      <c r="G20" s="69">
        <v>0.5</v>
      </c>
      <c r="H20" s="86" t="s">
        <v>27</v>
      </c>
      <c r="I20" s="62">
        <f t="shared" si="2"/>
        <v>3000</v>
      </c>
      <c r="J20" s="15">
        <f t="shared" si="3"/>
        <v>776.42099999999994</v>
      </c>
    </row>
    <row r="21" spans="1:10" x14ac:dyDescent="0.2">
      <c r="A21" s="5">
        <v>44852</v>
      </c>
      <c r="B21" s="61">
        <v>39217</v>
      </c>
      <c r="C21" s="62">
        <f t="shared" si="1"/>
        <v>2165</v>
      </c>
      <c r="D21" s="61">
        <v>13821</v>
      </c>
      <c r="E21" s="62">
        <f t="shared" si="0"/>
        <v>737</v>
      </c>
      <c r="F21" s="61">
        <v>231</v>
      </c>
      <c r="G21" s="69">
        <v>0.5</v>
      </c>
      <c r="H21" s="86" t="s">
        <v>29</v>
      </c>
      <c r="I21" s="62">
        <f t="shared" si="2"/>
        <v>2902</v>
      </c>
      <c r="J21" s="15">
        <f t="shared" si="3"/>
        <v>753.96899999999994</v>
      </c>
    </row>
    <row r="22" spans="1:10" x14ac:dyDescent="0.2">
      <c r="A22" s="5">
        <v>44853</v>
      </c>
      <c r="B22" s="61">
        <v>41382</v>
      </c>
      <c r="C22" s="62">
        <f t="shared" si="1"/>
        <v>2624</v>
      </c>
      <c r="D22" s="61">
        <v>14558</v>
      </c>
      <c r="E22" s="62">
        <f t="shared" si="0"/>
        <v>744</v>
      </c>
      <c r="F22" s="61">
        <v>231</v>
      </c>
      <c r="G22" s="69">
        <v>0.48</v>
      </c>
      <c r="H22" s="86" t="s">
        <v>26</v>
      </c>
      <c r="I22" s="62">
        <f t="shared" si="2"/>
        <v>3368</v>
      </c>
      <c r="J22" s="15">
        <f t="shared" si="3"/>
        <v>887.4</v>
      </c>
    </row>
    <row r="23" spans="1:10" x14ac:dyDescent="0.2">
      <c r="A23" s="5">
        <v>44854</v>
      </c>
      <c r="B23" s="61">
        <v>44006</v>
      </c>
      <c r="C23" s="62">
        <f t="shared" si="1"/>
        <v>1864</v>
      </c>
      <c r="D23" s="61">
        <v>15302</v>
      </c>
      <c r="E23" s="62">
        <f t="shared" si="0"/>
        <v>794</v>
      </c>
      <c r="F23" s="61">
        <v>231</v>
      </c>
      <c r="G23" s="69">
        <v>0.49</v>
      </c>
      <c r="H23" s="86" t="s">
        <v>26</v>
      </c>
      <c r="I23" s="62">
        <v>0</v>
      </c>
      <c r="J23" s="15">
        <f t="shared" si="3"/>
        <v>677.37</v>
      </c>
    </row>
    <row r="24" spans="1:10" x14ac:dyDescent="0.2">
      <c r="A24" s="5">
        <v>44855</v>
      </c>
      <c r="B24" s="61">
        <v>45870</v>
      </c>
      <c r="C24" s="62">
        <f t="shared" si="1"/>
        <v>2314</v>
      </c>
      <c r="D24" s="61">
        <v>16096</v>
      </c>
      <c r="E24" s="62">
        <f t="shared" si="0"/>
        <v>718</v>
      </c>
      <c r="F24" s="61">
        <v>231</v>
      </c>
      <c r="G24" s="69">
        <v>0.54</v>
      </c>
      <c r="H24" s="86" t="s">
        <v>27</v>
      </c>
      <c r="I24" s="62">
        <f t="shared" si="2"/>
        <v>3032</v>
      </c>
      <c r="J24" s="15">
        <f t="shared" si="3"/>
        <v>793.51799999999992</v>
      </c>
    </row>
    <row r="25" spans="1:10" x14ac:dyDescent="0.2">
      <c r="A25" s="5">
        <v>44856</v>
      </c>
      <c r="B25" s="61">
        <v>48184</v>
      </c>
      <c r="C25" s="62">
        <f t="shared" si="1"/>
        <v>2276</v>
      </c>
      <c r="D25" s="61">
        <v>16814</v>
      </c>
      <c r="E25" s="62">
        <f t="shared" si="0"/>
        <v>701</v>
      </c>
      <c r="F25" s="61">
        <v>231</v>
      </c>
      <c r="G25" s="69">
        <v>0.73</v>
      </c>
      <c r="H25" s="86" t="s">
        <v>28</v>
      </c>
      <c r="I25" s="62">
        <f t="shared" si="2"/>
        <v>2977</v>
      </c>
      <c r="J25" s="15">
        <f t="shared" si="3"/>
        <v>779.56499999999994</v>
      </c>
    </row>
    <row r="26" spans="1:10" x14ac:dyDescent="0.2">
      <c r="A26" s="5">
        <v>44857</v>
      </c>
      <c r="B26" s="61">
        <v>50460</v>
      </c>
      <c r="C26" s="62">
        <f t="shared" si="1"/>
        <v>2280</v>
      </c>
      <c r="D26" s="61">
        <v>17515</v>
      </c>
      <c r="E26" s="62">
        <f t="shared" si="0"/>
        <v>731</v>
      </c>
      <c r="F26" s="61">
        <v>231</v>
      </c>
      <c r="G26" s="69">
        <v>0.84</v>
      </c>
      <c r="H26" s="86" t="s">
        <v>27</v>
      </c>
      <c r="I26" s="62">
        <f t="shared" si="2"/>
        <v>3011</v>
      </c>
      <c r="J26" s="15">
        <f t="shared" si="3"/>
        <v>786.02700000000004</v>
      </c>
    </row>
    <row r="27" spans="1:10" x14ac:dyDescent="0.2">
      <c r="A27" s="5">
        <v>44858</v>
      </c>
      <c r="B27" s="61">
        <v>52740</v>
      </c>
      <c r="C27" s="62">
        <f t="shared" si="1"/>
        <v>2374</v>
      </c>
      <c r="D27" s="61">
        <v>18246</v>
      </c>
      <c r="E27" s="62">
        <f t="shared" si="0"/>
        <v>771</v>
      </c>
      <c r="F27" s="61">
        <v>231</v>
      </c>
      <c r="G27" s="69">
        <v>0.7</v>
      </c>
      <c r="H27" s="86" t="s">
        <v>29</v>
      </c>
      <c r="I27" s="62">
        <f t="shared" si="2"/>
        <v>3145</v>
      </c>
      <c r="J27" s="15">
        <f t="shared" si="3"/>
        <v>820.17899999999997</v>
      </c>
    </row>
    <row r="28" spans="1:10" x14ac:dyDescent="0.2">
      <c r="A28" s="5">
        <v>44859</v>
      </c>
      <c r="B28" s="61">
        <v>55114</v>
      </c>
      <c r="C28" s="62">
        <f t="shared" si="1"/>
        <v>2367</v>
      </c>
      <c r="D28" s="61">
        <v>19017</v>
      </c>
      <c r="E28" s="62">
        <f t="shared" si="0"/>
        <v>724</v>
      </c>
      <c r="F28" s="61">
        <v>231</v>
      </c>
      <c r="G28" s="69">
        <v>0.76</v>
      </c>
      <c r="H28" s="86" t="s">
        <v>29</v>
      </c>
      <c r="I28" s="62">
        <f t="shared" si="2"/>
        <v>3091</v>
      </c>
      <c r="J28" s="15">
        <f t="shared" si="3"/>
        <v>809.84399999999994</v>
      </c>
    </row>
    <row r="29" spans="1:10" x14ac:dyDescent="0.2">
      <c r="A29" s="5">
        <v>44860</v>
      </c>
      <c r="B29" s="61">
        <v>57481</v>
      </c>
      <c r="C29" s="62">
        <f t="shared" si="1"/>
        <v>2010</v>
      </c>
      <c r="D29" s="61">
        <v>19741</v>
      </c>
      <c r="E29" s="62">
        <f t="shared" si="0"/>
        <v>706</v>
      </c>
      <c r="F29" s="61">
        <v>231</v>
      </c>
      <c r="G29" s="69">
        <v>0.68</v>
      </c>
      <c r="H29" s="86" t="s">
        <v>29</v>
      </c>
      <c r="I29" s="62">
        <f t="shared" si="2"/>
        <v>2716</v>
      </c>
      <c r="J29" s="15">
        <f t="shared" si="3"/>
        <v>703.84199999999998</v>
      </c>
    </row>
    <row r="30" spans="1:10" x14ac:dyDescent="0.2">
      <c r="A30" s="5">
        <v>44861</v>
      </c>
      <c r="B30" s="61">
        <v>59491</v>
      </c>
      <c r="C30" s="62">
        <f t="shared" si="1"/>
        <v>1995</v>
      </c>
      <c r="D30" s="61">
        <v>20447</v>
      </c>
      <c r="E30" s="62">
        <f t="shared" si="0"/>
        <v>678</v>
      </c>
      <c r="F30" s="61">
        <v>231</v>
      </c>
      <c r="G30" s="69">
        <v>0.55000000000000004</v>
      </c>
      <c r="H30" s="86" t="s">
        <v>28</v>
      </c>
      <c r="I30" s="62">
        <f t="shared" si="2"/>
        <v>2673</v>
      </c>
      <c r="J30" s="15">
        <f t="shared" si="3"/>
        <v>694.56599999999992</v>
      </c>
    </row>
    <row r="31" spans="1:10" x14ac:dyDescent="0.2">
      <c r="A31" s="5">
        <v>44862</v>
      </c>
      <c r="B31" s="61">
        <v>61486</v>
      </c>
      <c r="C31" s="62">
        <f t="shared" si="1"/>
        <v>2206</v>
      </c>
      <c r="D31" s="61">
        <v>21125</v>
      </c>
      <c r="E31" s="62">
        <f t="shared" si="0"/>
        <v>723</v>
      </c>
      <c r="F31" s="61">
        <v>231</v>
      </c>
      <c r="G31" s="69">
        <v>0.48</v>
      </c>
      <c r="H31" s="86" t="s">
        <v>29</v>
      </c>
      <c r="I31" s="62">
        <f t="shared" si="2"/>
        <v>2929</v>
      </c>
      <c r="J31" s="15">
        <f t="shared" si="3"/>
        <v>763.29899999999998</v>
      </c>
    </row>
    <row r="32" spans="1:10" x14ac:dyDescent="0.2">
      <c r="A32" s="5">
        <v>44863</v>
      </c>
      <c r="B32" s="61">
        <v>63692</v>
      </c>
      <c r="C32" s="62">
        <f t="shared" si="1"/>
        <v>2157</v>
      </c>
      <c r="D32" s="61">
        <v>21848</v>
      </c>
      <c r="E32" s="62">
        <f t="shared" si="0"/>
        <v>743</v>
      </c>
      <c r="F32" s="61">
        <v>231</v>
      </c>
      <c r="G32" s="69">
        <v>0.39</v>
      </c>
      <c r="H32" s="86" t="s">
        <v>28</v>
      </c>
      <c r="I32" s="62">
        <f t="shared" si="2"/>
        <v>2900</v>
      </c>
      <c r="J32" s="15">
        <f t="shared" si="3"/>
        <v>752.72699999999998</v>
      </c>
    </row>
    <row r="33" spans="1:10" x14ac:dyDescent="0.2">
      <c r="A33" s="5">
        <v>44864</v>
      </c>
      <c r="B33" s="61">
        <v>65849</v>
      </c>
      <c r="C33" s="62">
        <f t="shared" si="1"/>
        <v>0</v>
      </c>
      <c r="D33" s="61">
        <v>22591</v>
      </c>
      <c r="E33" s="62">
        <f t="shared" si="0"/>
        <v>0</v>
      </c>
      <c r="F33" s="61">
        <v>231</v>
      </c>
      <c r="G33" s="69">
        <v>0.3</v>
      </c>
      <c r="H33" s="86" t="s">
        <v>27</v>
      </c>
      <c r="I33" s="62">
        <f t="shared" si="2"/>
        <v>0</v>
      </c>
      <c r="J33" s="15">
        <f t="shared" si="3"/>
        <v>0</v>
      </c>
    </row>
    <row r="34" spans="1:10" x14ac:dyDescent="0.2">
      <c r="A34" s="5">
        <v>44865</v>
      </c>
      <c r="B34" s="61">
        <v>0</v>
      </c>
      <c r="C34" s="62"/>
      <c r="D34" s="61">
        <v>481</v>
      </c>
      <c r="E34" s="62"/>
      <c r="F34" s="61">
        <v>0</v>
      </c>
      <c r="G34" s="69">
        <v>0.37</v>
      </c>
      <c r="H34" s="86" t="s">
        <v>29</v>
      </c>
      <c r="I34" s="62">
        <f t="shared" si="2"/>
        <v>0</v>
      </c>
      <c r="J34" s="15">
        <f t="shared" si="3"/>
        <v>0</v>
      </c>
    </row>
    <row r="35" spans="1:10" x14ac:dyDescent="0.2">
      <c r="A35" s="60"/>
      <c r="B35" s="64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ht="13.5" customHeight="1" x14ac:dyDescent="0.2">
      <c r="A36" s="88"/>
      <c r="B36" s="89"/>
      <c r="C36" s="65">
        <f>SUM(C4:C35)</f>
        <v>63696</v>
      </c>
      <c r="D36" s="65"/>
      <c r="E36" s="65">
        <f>SUM(E4:E35)</f>
        <v>21414</v>
      </c>
      <c r="F36" s="65"/>
      <c r="G36" s="52"/>
      <c r="H36" s="52"/>
      <c r="I36" s="62">
        <f>+E36+C36</f>
        <v>85110</v>
      </c>
      <c r="J36" s="15">
        <f>(C36*0.288)+(E36*0.177)</f>
        <v>22134.725999999999</v>
      </c>
    </row>
    <row r="37" spans="1:10" x14ac:dyDescent="0.2">
      <c r="G37" s="30"/>
      <c r="H37" s="22" t="s">
        <v>33</v>
      </c>
    </row>
    <row r="38" spans="1:10" x14ac:dyDescent="0.2">
      <c r="H38" s="22" t="s">
        <v>34</v>
      </c>
    </row>
    <row r="39" spans="1:10" ht="15.75" x14ac:dyDescent="0.25">
      <c r="A39" s="56" t="s">
        <v>31</v>
      </c>
      <c r="H39" s="22" t="s">
        <v>35</v>
      </c>
    </row>
    <row r="40" spans="1:10" x14ac:dyDescent="0.2">
      <c r="H40" s="22" t="s">
        <v>28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13" zoomScaleNormal="100" workbookViewId="0">
      <selection activeCell="H4" sqref="H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8.710937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8.71093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8.71093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8.71093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8.71093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8.71093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8.71093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8.71093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8.71093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8.71093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8.71093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8.71093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8.71093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8.71093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8.71093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8.71093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8.71093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8.71093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8.71093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8.71093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8.71093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8.71093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8.71093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8.71093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8.71093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8.71093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8.71093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8.71093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8.71093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8.71093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8.71093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8.71093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8.71093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8.71093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8.71093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8.71093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8.71093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8.71093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8.71093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8.71093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8.71093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8.71093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8.71093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8.71093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8.71093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8.71093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8.71093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8.71093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8.71093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8.71093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8.71093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8.71093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8.71093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8.71093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8.71093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8.71093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8.71093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8.71093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8.71093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8.71093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8.71093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8.71093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8.71093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8.71093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32</v>
      </c>
    </row>
    <row r="2" spans="1:10" ht="18" x14ac:dyDescent="0.25">
      <c r="A2" s="57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4" t="s">
        <v>20</v>
      </c>
    </row>
    <row r="3" spans="1:10" x14ac:dyDescent="0.2">
      <c r="A3" s="58"/>
      <c r="B3" s="33" t="s">
        <v>21</v>
      </c>
      <c r="C3" s="33" t="s">
        <v>21</v>
      </c>
      <c r="D3" s="33"/>
      <c r="E3" s="33" t="s">
        <v>22</v>
      </c>
      <c r="F3" s="59" t="s">
        <v>21</v>
      </c>
      <c r="G3" s="33" t="s">
        <v>23</v>
      </c>
      <c r="H3" s="52"/>
      <c r="I3" s="33" t="s">
        <v>24</v>
      </c>
      <c r="J3" s="14" t="s">
        <v>25</v>
      </c>
    </row>
    <row r="4" spans="1:10" x14ac:dyDescent="0.2">
      <c r="A4" s="5">
        <v>44835</v>
      </c>
      <c r="B4" s="61">
        <v>3987</v>
      </c>
      <c r="C4" s="62">
        <f>IF(B5-B4 &lt; 0,0,B5-B4)</f>
        <v>4118</v>
      </c>
      <c r="D4" s="61">
        <v>4220</v>
      </c>
      <c r="E4" s="62">
        <f>IF(D5-D4 &lt; 0,0,D5-D4)</f>
        <v>2445</v>
      </c>
      <c r="F4" s="61">
        <v>343</v>
      </c>
      <c r="G4" s="68">
        <v>0.51</v>
      </c>
      <c r="H4" s="86" t="s">
        <v>26</v>
      </c>
      <c r="I4" s="62">
        <f>+E4+C4</f>
        <v>6563</v>
      </c>
      <c r="J4" s="15">
        <f>(C4*0.288)+(E4*0.177)</f>
        <v>1618.7489999999998</v>
      </c>
    </row>
    <row r="5" spans="1:10" x14ac:dyDescent="0.2">
      <c r="A5" s="5">
        <v>44836</v>
      </c>
      <c r="B5" s="61">
        <v>8105</v>
      </c>
      <c r="C5" s="62">
        <f t="shared" ref="C5:C33" si="0">IF(B6-B5 &lt; 0,0,B6-B5)</f>
        <v>3678</v>
      </c>
      <c r="D5" s="61">
        <v>6665</v>
      </c>
      <c r="E5" s="62">
        <f t="shared" ref="E5:E33" si="1">IF(D6-D5 &lt; 0,0,D6-D5)</f>
        <v>2327</v>
      </c>
      <c r="F5" s="61">
        <v>343</v>
      </c>
      <c r="G5" s="68">
        <v>0.52</v>
      </c>
      <c r="H5" s="86" t="s">
        <v>26</v>
      </c>
      <c r="I5" s="62">
        <f>+E5+C5</f>
        <v>6005</v>
      </c>
      <c r="J5" s="15">
        <f t="shared" ref="J5:J35" si="2">(C5*0.288)+(E5*0.177)</f>
        <v>1471.1429999999998</v>
      </c>
    </row>
    <row r="6" spans="1:10" ht="11.25" customHeight="1" x14ac:dyDescent="0.2">
      <c r="A6" s="5">
        <v>44837</v>
      </c>
      <c r="B6" s="61">
        <v>11783</v>
      </c>
      <c r="C6" s="62">
        <f t="shared" si="0"/>
        <v>4027</v>
      </c>
      <c r="D6" s="61">
        <v>8992</v>
      </c>
      <c r="E6" s="62">
        <f t="shared" si="1"/>
        <v>2355</v>
      </c>
      <c r="F6" s="61">
        <v>343</v>
      </c>
      <c r="G6" s="68">
        <v>0.41</v>
      </c>
      <c r="H6" s="86" t="s">
        <v>26</v>
      </c>
      <c r="I6" s="62">
        <f>+E6+C6</f>
        <v>6382</v>
      </c>
      <c r="J6" s="15">
        <f t="shared" si="2"/>
        <v>1576.6109999999999</v>
      </c>
    </row>
    <row r="7" spans="1:10" x14ac:dyDescent="0.2">
      <c r="A7" s="5">
        <v>44838</v>
      </c>
      <c r="B7" s="61">
        <v>15810</v>
      </c>
      <c r="C7" s="62">
        <f t="shared" si="0"/>
        <v>3808</v>
      </c>
      <c r="D7" s="61">
        <v>11347</v>
      </c>
      <c r="E7" s="62">
        <f t="shared" si="1"/>
        <v>2395</v>
      </c>
      <c r="F7" s="61">
        <v>343</v>
      </c>
      <c r="G7" s="68">
        <v>0.3</v>
      </c>
      <c r="H7" s="86" t="s">
        <v>26</v>
      </c>
      <c r="I7" s="62">
        <f t="shared" ref="I7:I35" si="3">+E7+C7</f>
        <v>6203</v>
      </c>
      <c r="J7" s="15">
        <f t="shared" si="2"/>
        <v>1520.6189999999999</v>
      </c>
    </row>
    <row r="8" spans="1:10" x14ac:dyDescent="0.2">
      <c r="A8" s="5">
        <v>44839</v>
      </c>
      <c r="B8" s="61">
        <v>19618</v>
      </c>
      <c r="C8" s="62">
        <f t="shared" si="0"/>
        <v>4458</v>
      </c>
      <c r="D8" s="61">
        <v>13742</v>
      </c>
      <c r="E8" s="62">
        <f t="shared" si="1"/>
        <v>2655</v>
      </c>
      <c r="F8" s="61">
        <v>343</v>
      </c>
      <c r="G8" s="68">
        <v>0.41</v>
      </c>
      <c r="H8" s="86" t="s">
        <v>27</v>
      </c>
      <c r="I8" s="62">
        <f t="shared" si="3"/>
        <v>7113</v>
      </c>
      <c r="J8" s="15">
        <f t="shared" si="2"/>
        <v>1753.8389999999999</v>
      </c>
    </row>
    <row r="9" spans="1:10" x14ac:dyDescent="0.2">
      <c r="A9" s="5">
        <v>44840</v>
      </c>
      <c r="B9" s="61">
        <v>24076</v>
      </c>
      <c r="C9" s="62">
        <f t="shared" si="0"/>
        <v>4568</v>
      </c>
      <c r="D9" s="61">
        <v>16397</v>
      </c>
      <c r="E9" s="62">
        <f t="shared" si="1"/>
        <v>2686</v>
      </c>
      <c r="F9" s="61">
        <v>383</v>
      </c>
      <c r="G9" s="68">
        <v>0.59</v>
      </c>
      <c r="H9" s="86" t="s">
        <v>28</v>
      </c>
      <c r="I9" s="62">
        <f t="shared" si="3"/>
        <v>7254</v>
      </c>
      <c r="J9" s="15">
        <f t="shared" si="2"/>
        <v>1791.0059999999999</v>
      </c>
    </row>
    <row r="10" spans="1:10" x14ac:dyDescent="0.2">
      <c r="A10" s="5">
        <v>44841</v>
      </c>
      <c r="B10" s="61">
        <v>28644</v>
      </c>
      <c r="C10" s="62">
        <f t="shared" si="0"/>
        <v>4138</v>
      </c>
      <c r="D10" s="61">
        <v>19083</v>
      </c>
      <c r="E10" s="62">
        <f t="shared" si="1"/>
        <v>2506</v>
      </c>
      <c r="F10" s="61">
        <v>383</v>
      </c>
      <c r="G10" s="68">
        <v>0.72</v>
      </c>
      <c r="H10" s="86" t="s">
        <v>27</v>
      </c>
      <c r="I10" s="62">
        <f t="shared" si="3"/>
        <v>6644</v>
      </c>
      <c r="J10" s="15">
        <f t="shared" si="2"/>
        <v>1635.3059999999998</v>
      </c>
    </row>
    <row r="11" spans="1:10" x14ac:dyDescent="0.2">
      <c r="A11" s="5">
        <v>44842</v>
      </c>
      <c r="B11" s="61">
        <v>32782</v>
      </c>
      <c r="C11" s="62">
        <f t="shared" si="0"/>
        <v>3758</v>
      </c>
      <c r="D11" s="61">
        <v>21589</v>
      </c>
      <c r="E11" s="62">
        <f t="shared" si="1"/>
        <v>2195</v>
      </c>
      <c r="F11" s="61">
        <v>383</v>
      </c>
      <c r="G11" s="68">
        <v>0.53</v>
      </c>
      <c r="H11" s="86" t="s">
        <v>27</v>
      </c>
      <c r="I11" s="62">
        <f t="shared" si="3"/>
        <v>5953</v>
      </c>
      <c r="J11" s="15">
        <f t="shared" si="2"/>
        <v>1470.819</v>
      </c>
    </row>
    <row r="12" spans="1:10" x14ac:dyDescent="0.2">
      <c r="A12" s="5">
        <v>44843</v>
      </c>
      <c r="B12" s="61">
        <v>36540</v>
      </c>
      <c r="C12" s="62">
        <f t="shared" si="0"/>
        <v>4007</v>
      </c>
      <c r="D12" s="61">
        <v>23784</v>
      </c>
      <c r="E12" s="62">
        <f t="shared" si="1"/>
        <v>2556</v>
      </c>
      <c r="F12" s="61">
        <v>383</v>
      </c>
      <c r="G12" s="68">
        <v>0.42</v>
      </c>
      <c r="H12" s="86" t="s">
        <v>28</v>
      </c>
      <c r="I12" s="62">
        <f t="shared" si="3"/>
        <v>6563</v>
      </c>
      <c r="J12" s="15">
        <f t="shared" si="2"/>
        <v>1606.4279999999999</v>
      </c>
    </row>
    <row r="13" spans="1:10" x14ac:dyDescent="0.2">
      <c r="A13" s="5">
        <v>44844</v>
      </c>
      <c r="B13" s="61">
        <v>40547</v>
      </c>
      <c r="C13" s="62">
        <f t="shared" si="0"/>
        <v>3898</v>
      </c>
      <c r="D13" s="61">
        <v>26340</v>
      </c>
      <c r="E13" s="62">
        <f t="shared" si="1"/>
        <v>2293</v>
      </c>
      <c r="F13" s="61">
        <v>383</v>
      </c>
      <c r="G13" s="68">
        <v>0.39</v>
      </c>
      <c r="H13" s="86" t="s">
        <v>29</v>
      </c>
      <c r="I13" s="62">
        <f t="shared" si="3"/>
        <v>6191</v>
      </c>
      <c r="J13" s="15">
        <f t="shared" si="2"/>
        <v>1528.4850000000001</v>
      </c>
    </row>
    <row r="14" spans="1:10" x14ac:dyDescent="0.2">
      <c r="A14" s="5">
        <v>44845</v>
      </c>
      <c r="B14" s="61">
        <v>44445</v>
      </c>
      <c r="C14" s="62">
        <f t="shared" si="0"/>
        <v>4798</v>
      </c>
      <c r="D14" s="61">
        <v>28633</v>
      </c>
      <c r="E14" s="62">
        <f t="shared" si="1"/>
        <v>3066</v>
      </c>
      <c r="F14" s="61">
        <v>383</v>
      </c>
      <c r="G14" s="68">
        <v>0.23</v>
      </c>
      <c r="H14" s="86" t="s">
        <v>29</v>
      </c>
      <c r="I14" s="62">
        <f t="shared" si="3"/>
        <v>7864</v>
      </c>
      <c r="J14" s="15">
        <f t="shared" si="2"/>
        <v>1924.5059999999999</v>
      </c>
    </row>
    <row r="15" spans="1:10" x14ac:dyDescent="0.2">
      <c r="A15" s="5">
        <v>44846</v>
      </c>
      <c r="B15" s="61">
        <v>49243</v>
      </c>
      <c r="C15" s="62">
        <f t="shared" si="0"/>
        <v>4587</v>
      </c>
      <c r="D15" s="61">
        <v>31699</v>
      </c>
      <c r="E15" s="62">
        <f t="shared" si="1"/>
        <v>2716</v>
      </c>
      <c r="F15" s="61">
        <v>383</v>
      </c>
      <c r="G15" s="68">
        <v>0.33</v>
      </c>
      <c r="H15" s="86" t="s">
        <v>28</v>
      </c>
      <c r="I15" s="62">
        <f t="shared" si="3"/>
        <v>7303</v>
      </c>
      <c r="J15" s="15">
        <f t="shared" si="2"/>
        <v>1801.7879999999998</v>
      </c>
    </row>
    <row r="16" spans="1:10" x14ac:dyDescent="0.2">
      <c r="A16" s="5">
        <v>44847</v>
      </c>
      <c r="B16" s="61">
        <v>53830</v>
      </c>
      <c r="C16" s="62">
        <f t="shared" si="0"/>
        <v>4278</v>
      </c>
      <c r="D16" s="61">
        <v>34415</v>
      </c>
      <c r="E16" s="62">
        <f t="shared" si="1"/>
        <v>2634</v>
      </c>
      <c r="F16" s="61">
        <v>383</v>
      </c>
      <c r="G16" s="68">
        <v>0.37</v>
      </c>
      <c r="H16" s="86" t="s">
        <v>29</v>
      </c>
      <c r="I16" s="62">
        <f t="shared" si="3"/>
        <v>6912</v>
      </c>
      <c r="J16" s="15">
        <f t="shared" si="2"/>
        <v>1698.2819999999997</v>
      </c>
    </row>
    <row r="17" spans="1:10" x14ac:dyDescent="0.2">
      <c r="A17" s="5">
        <v>44848</v>
      </c>
      <c r="B17" s="61">
        <v>58108</v>
      </c>
      <c r="C17" s="62">
        <f t="shared" si="0"/>
        <v>4218</v>
      </c>
      <c r="D17" s="61">
        <v>37049</v>
      </c>
      <c r="E17" s="62">
        <f t="shared" si="1"/>
        <v>2647</v>
      </c>
      <c r="F17" s="61">
        <v>383</v>
      </c>
      <c r="G17" s="69">
        <v>0.39</v>
      </c>
      <c r="H17" s="86" t="s">
        <v>29</v>
      </c>
      <c r="I17" s="62">
        <f t="shared" si="3"/>
        <v>6865</v>
      </c>
      <c r="J17" s="15">
        <f t="shared" si="2"/>
        <v>1683.3029999999999</v>
      </c>
    </row>
    <row r="18" spans="1:10" x14ac:dyDescent="0.2">
      <c r="A18" s="5">
        <v>44849</v>
      </c>
      <c r="B18" s="61">
        <v>62326</v>
      </c>
      <c r="C18" s="62">
        <f t="shared" si="0"/>
        <v>3038</v>
      </c>
      <c r="D18" s="61">
        <v>39696</v>
      </c>
      <c r="E18" s="62">
        <f t="shared" si="1"/>
        <v>1713</v>
      </c>
      <c r="F18" s="61">
        <v>383</v>
      </c>
      <c r="G18" s="69">
        <v>0.39</v>
      </c>
      <c r="H18" s="86" t="s">
        <v>29</v>
      </c>
      <c r="I18" s="62">
        <f t="shared" si="3"/>
        <v>4751</v>
      </c>
      <c r="J18" s="15">
        <f t="shared" si="2"/>
        <v>1178.145</v>
      </c>
    </row>
    <row r="19" spans="1:10" x14ac:dyDescent="0.2">
      <c r="A19" s="5">
        <v>44850</v>
      </c>
      <c r="B19" s="61">
        <v>65364</v>
      </c>
      <c r="C19" s="62">
        <f t="shared" si="0"/>
        <v>3958</v>
      </c>
      <c r="D19" s="61">
        <v>41409</v>
      </c>
      <c r="E19" s="62">
        <f t="shared" si="1"/>
        <v>2296</v>
      </c>
      <c r="F19" s="61">
        <v>383</v>
      </c>
      <c r="G19" s="69">
        <v>0.39</v>
      </c>
      <c r="H19" s="86" t="s">
        <v>29</v>
      </c>
      <c r="I19" s="62">
        <f t="shared" si="3"/>
        <v>6254</v>
      </c>
      <c r="J19" s="15">
        <f t="shared" si="2"/>
        <v>1546.296</v>
      </c>
    </row>
    <row r="20" spans="1:10" x14ac:dyDescent="0.2">
      <c r="A20" s="5">
        <v>44851</v>
      </c>
      <c r="B20" s="61">
        <v>69322</v>
      </c>
      <c r="C20" s="62">
        <f t="shared" si="0"/>
        <v>3508</v>
      </c>
      <c r="D20" s="61">
        <v>43705</v>
      </c>
      <c r="E20" s="62">
        <f t="shared" si="1"/>
        <v>2045</v>
      </c>
      <c r="F20" s="61">
        <v>383</v>
      </c>
      <c r="G20" s="69">
        <v>0.5</v>
      </c>
      <c r="H20" s="86" t="s">
        <v>27</v>
      </c>
      <c r="I20" s="62">
        <f t="shared" si="3"/>
        <v>5553</v>
      </c>
      <c r="J20" s="15">
        <f t="shared" si="2"/>
        <v>1372.269</v>
      </c>
    </row>
    <row r="21" spans="1:10" x14ac:dyDescent="0.2">
      <c r="A21" s="5">
        <v>44852</v>
      </c>
      <c r="B21" s="61">
        <v>72830</v>
      </c>
      <c r="C21" s="62">
        <f t="shared" si="0"/>
        <v>3498</v>
      </c>
      <c r="D21" s="61">
        <v>45750</v>
      </c>
      <c r="E21" s="62">
        <f t="shared" si="1"/>
        <v>2086</v>
      </c>
      <c r="F21" s="61">
        <v>383</v>
      </c>
      <c r="G21" s="69">
        <v>0.5</v>
      </c>
      <c r="H21" s="86" t="s">
        <v>29</v>
      </c>
      <c r="I21" s="62">
        <f t="shared" si="3"/>
        <v>5584</v>
      </c>
      <c r="J21" s="15">
        <f t="shared" si="2"/>
        <v>1376.646</v>
      </c>
    </row>
    <row r="22" spans="1:10" x14ac:dyDescent="0.2">
      <c r="A22" s="5">
        <v>44853</v>
      </c>
      <c r="B22" s="61">
        <v>76328</v>
      </c>
      <c r="C22" s="62">
        <f t="shared" si="0"/>
        <v>3994</v>
      </c>
      <c r="D22" s="61">
        <v>47836</v>
      </c>
      <c r="E22" s="62">
        <f t="shared" si="1"/>
        <v>2869</v>
      </c>
      <c r="F22" s="61">
        <v>383</v>
      </c>
      <c r="G22" s="69">
        <v>0.48</v>
      </c>
      <c r="H22" s="86" t="s">
        <v>26</v>
      </c>
      <c r="I22" s="62">
        <f t="shared" si="3"/>
        <v>6863</v>
      </c>
      <c r="J22" s="15">
        <f t="shared" si="2"/>
        <v>1658.085</v>
      </c>
    </row>
    <row r="23" spans="1:10" x14ac:dyDescent="0.2">
      <c r="A23" s="5">
        <v>44854</v>
      </c>
      <c r="B23" s="61">
        <v>80322</v>
      </c>
      <c r="C23" s="62">
        <f t="shared" si="0"/>
        <v>4762</v>
      </c>
      <c r="D23" s="61">
        <v>50705</v>
      </c>
      <c r="E23" s="62">
        <f t="shared" si="1"/>
        <v>1942</v>
      </c>
      <c r="F23" s="61">
        <v>383</v>
      </c>
      <c r="G23" s="69">
        <v>0.49</v>
      </c>
      <c r="H23" s="86" t="s">
        <v>26</v>
      </c>
      <c r="I23" s="62">
        <f t="shared" si="3"/>
        <v>6704</v>
      </c>
      <c r="J23" s="15">
        <f t="shared" si="2"/>
        <v>1715.1899999999998</v>
      </c>
    </row>
    <row r="24" spans="1:10" x14ac:dyDescent="0.2">
      <c r="A24" s="5">
        <v>44855</v>
      </c>
      <c r="B24" s="61">
        <v>85084</v>
      </c>
      <c r="C24" s="62">
        <f t="shared" si="0"/>
        <v>4228</v>
      </c>
      <c r="D24" s="61">
        <v>52647</v>
      </c>
      <c r="E24" s="62">
        <f t="shared" si="1"/>
        <v>2396</v>
      </c>
      <c r="F24" s="61">
        <v>403</v>
      </c>
      <c r="G24" s="69">
        <v>0.54</v>
      </c>
      <c r="H24" s="86" t="s">
        <v>27</v>
      </c>
      <c r="I24" s="62">
        <f t="shared" si="3"/>
        <v>6624</v>
      </c>
      <c r="J24" s="15">
        <f t="shared" si="2"/>
        <v>1641.7559999999999</v>
      </c>
    </row>
    <row r="25" spans="1:10" x14ac:dyDescent="0.2">
      <c r="A25" s="5">
        <v>44856</v>
      </c>
      <c r="B25" s="61">
        <v>89312</v>
      </c>
      <c r="C25" s="62">
        <f t="shared" si="0"/>
        <v>4559</v>
      </c>
      <c r="D25" s="61">
        <v>55043</v>
      </c>
      <c r="E25" s="62">
        <f t="shared" si="1"/>
        <v>2794</v>
      </c>
      <c r="F25" s="61">
        <v>403</v>
      </c>
      <c r="G25" s="69">
        <v>0.73</v>
      </c>
      <c r="H25" s="86" t="s">
        <v>28</v>
      </c>
      <c r="I25" s="62">
        <f t="shared" si="3"/>
        <v>7353</v>
      </c>
      <c r="J25" s="15">
        <f t="shared" si="2"/>
        <v>1807.53</v>
      </c>
    </row>
    <row r="26" spans="1:10" x14ac:dyDescent="0.2">
      <c r="A26" s="5">
        <v>44857</v>
      </c>
      <c r="B26" s="61">
        <v>93871</v>
      </c>
      <c r="C26" s="62">
        <f t="shared" si="0"/>
        <v>4418</v>
      </c>
      <c r="D26" s="61">
        <v>57837</v>
      </c>
      <c r="E26" s="62">
        <f t="shared" si="1"/>
        <v>2545</v>
      </c>
      <c r="F26" s="61">
        <v>403</v>
      </c>
      <c r="G26" s="69">
        <v>0.84</v>
      </c>
      <c r="H26" s="86" t="s">
        <v>27</v>
      </c>
      <c r="I26" s="62">
        <f t="shared" si="3"/>
        <v>6963</v>
      </c>
      <c r="J26" s="15">
        <f t="shared" si="2"/>
        <v>1722.8489999999999</v>
      </c>
    </row>
    <row r="27" spans="1:10" x14ac:dyDescent="0.2">
      <c r="A27" s="5">
        <v>44858</v>
      </c>
      <c r="B27" s="61">
        <v>98289</v>
      </c>
      <c r="C27" s="62">
        <f t="shared" si="0"/>
        <v>4448</v>
      </c>
      <c r="D27" s="61">
        <v>60382</v>
      </c>
      <c r="E27" s="62">
        <f t="shared" si="1"/>
        <v>2507</v>
      </c>
      <c r="F27" s="61">
        <v>403</v>
      </c>
      <c r="G27" s="69">
        <v>0.7</v>
      </c>
      <c r="H27" s="86" t="s">
        <v>29</v>
      </c>
      <c r="I27" s="62">
        <f t="shared" si="3"/>
        <v>6955</v>
      </c>
      <c r="J27" s="15">
        <f t="shared" si="2"/>
        <v>1724.7629999999999</v>
      </c>
    </row>
    <row r="28" spans="1:10" x14ac:dyDescent="0.2">
      <c r="A28" s="5">
        <v>44859</v>
      </c>
      <c r="B28" s="61">
        <v>102737</v>
      </c>
      <c r="C28" s="62">
        <f t="shared" si="0"/>
        <v>4388</v>
      </c>
      <c r="D28" s="61">
        <v>62889</v>
      </c>
      <c r="E28" s="62">
        <f t="shared" si="1"/>
        <v>2230</v>
      </c>
      <c r="F28" s="61">
        <v>403</v>
      </c>
      <c r="G28" s="69">
        <v>0.76</v>
      </c>
      <c r="H28" s="86" t="s">
        <v>29</v>
      </c>
      <c r="I28" s="62">
        <f t="shared" si="3"/>
        <v>6618</v>
      </c>
      <c r="J28" s="15">
        <f t="shared" si="2"/>
        <v>1658.454</v>
      </c>
    </row>
    <row r="29" spans="1:10" x14ac:dyDescent="0.2">
      <c r="A29" s="5">
        <v>44860</v>
      </c>
      <c r="B29" s="61">
        <v>107125</v>
      </c>
      <c r="C29" s="62">
        <f t="shared" si="0"/>
        <v>4548</v>
      </c>
      <c r="D29" s="61">
        <v>65119</v>
      </c>
      <c r="E29" s="62">
        <f t="shared" si="1"/>
        <v>2749</v>
      </c>
      <c r="F29" s="61">
        <v>403</v>
      </c>
      <c r="G29" s="69">
        <v>0.68</v>
      </c>
      <c r="H29" s="86" t="s">
        <v>29</v>
      </c>
      <c r="I29" s="62">
        <f t="shared" si="3"/>
        <v>7297</v>
      </c>
      <c r="J29" s="15">
        <f t="shared" si="2"/>
        <v>1796.3969999999999</v>
      </c>
    </row>
    <row r="30" spans="1:10" x14ac:dyDescent="0.2">
      <c r="A30" s="5">
        <v>44861</v>
      </c>
      <c r="B30" s="61">
        <v>111673</v>
      </c>
      <c r="C30" s="62">
        <f t="shared" si="0"/>
        <v>4248</v>
      </c>
      <c r="D30" s="61">
        <v>67868</v>
      </c>
      <c r="E30" s="62">
        <f t="shared" si="1"/>
        <v>2285</v>
      </c>
      <c r="F30" s="61">
        <v>403</v>
      </c>
      <c r="G30" s="69">
        <v>0.55000000000000004</v>
      </c>
      <c r="H30" s="86" t="s">
        <v>28</v>
      </c>
      <c r="I30" s="62">
        <f t="shared" si="3"/>
        <v>6533</v>
      </c>
      <c r="J30" s="15">
        <f t="shared" si="2"/>
        <v>1627.8689999999999</v>
      </c>
    </row>
    <row r="31" spans="1:10" x14ac:dyDescent="0.2">
      <c r="A31" s="5">
        <v>44862</v>
      </c>
      <c r="B31" s="61">
        <v>115921</v>
      </c>
      <c r="C31" s="62">
        <f t="shared" si="0"/>
        <v>4208</v>
      </c>
      <c r="D31" s="61">
        <v>70153</v>
      </c>
      <c r="E31" s="62">
        <f t="shared" si="1"/>
        <v>2476</v>
      </c>
      <c r="F31" s="61">
        <v>403</v>
      </c>
      <c r="G31" s="69">
        <v>0.48</v>
      </c>
      <c r="H31" s="86" t="s">
        <v>29</v>
      </c>
      <c r="I31" s="62">
        <f t="shared" si="3"/>
        <v>6684</v>
      </c>
      <c r="J31" s="15">
        <f t="shared" si="2"/>
        <v>1650.1559999999999</v>
      </c>
    </row>
    <row r="32" spans="1:10" x14ac:dyDescent="0.2">
      <c r="A32" s="5">
        <v>44863</v>
      </c>
      <c r="B32" s="61">
        <v>120129</v>
      </c>
      <c r="C32" s="62">
        <f t="shared" si="0"/>
        <v>4708</v>
      </c>
      <c r="D32" s="61">
        <v>72629</v>
      </c>
      <c r="E32" s="62">
        <f t="shared" si="1"/>
        <v>2675</v>
      </c>
      <c r="F32" s="61">
        <v>403</v>
      </c>
      <c r="G32" s="69">
        <v>0.39</v>
      </c>
      <c r="H32" s="86" t="s">
        <v>28</v>
      </c>
      <c r="I32" s="62">
        <f t="shared" si="3"/>
        <v>7383</v>
      </c>
      <c r="J32" s="15">
        <f t="shared" si="2"/>
        <v>1829.3789999999999</v>
      </c>
    </row>
    <row r="33" spans="1:10" x14ac:dyDescent="0.2">
      <c r="A33" s="5">
        <v>44864</v>
      </c>
      <c r="B33" s="61">
        <v>124837</v>
      </c>
      <c r="C33" s="62">
        <f t="shared" si="0"/>
        <v>0</v>
      </c>
      <c r="D33" s="61">
        <v>75304</v>
      </c>
      <c r="E33" s="62">
        <f t="shared" si="1"/>
        <v>0</v>
      </c>
      <c r="F33" s="61">
        <v>403</v>
      </c>
      <c r="G33" s="69">
        <v>0.3</v>
      </c>
      <c r="H33" s="86" t="s">
        <v>27</v>
      </c>
      <c r="I33" s="62">
        <f t="shared" si="3"/>
        <v>0</v>
      </c>
      <c r="J33" s="15">
        <f t="shared" si="2"/>
        <v>0</v>
      </c>
    </row>
    <row r="34" spans="1:10" x14ac:dyDescent="0.2">
      <c r="A34" s="5">
        <v>44865</v>
      </c>
      <c r="B34" s="61">
        <v>0</v>
      </c>
      <c r="C34" s="62"/>
      <c r="D34" s="61">
        <v>0</v>
      </c>
      <c r="E34" s="62"/>
      <c r="F34" s="61">
        <v>0</v>
      </c>
      <c r="G34" s="69">
        <v>0.37</v>
      </c>
      <c r="H34" s="86" t="s">
        <v>29</v>
      </c>
      <c r="I34" s="62">
        <f t="shared" si="3"/>
        <v>0</v>
      </c>
      <c r="J34" s="15">
        <f t="shared" si="2"/>
        <v>0</v>
      </c>
    </row>
    <row r="35" spans="1:10" x14ac:dyDescent="0.2">
      <c r="A35" s="60"/>
      <c r="B35" s="64"/>
      <c r="C35" s="62"/>
      <c r="D35" s="61"/>
      <c r="E35" s="62"/>
      <c r="F35" s="61"/>
      <c r="G35" s="63"/>
      <c r="H35" s="63"/>
      <c r="I35" s="62">
        <f t="shared" si="3"/>
        <v>0</v>
      </c>
      <c r="J35" s="15">
        <f t="shared" si="2"/>
        <v>0</v>
      </c>
    </row>
    <row r="36" spans="1:10" x14ac:dyDescent="0.2">
      <c r="A36" s="88"/>
      <c r="B36" s="89"/>
      <c r="C36" s="65">
        <f>SUM(C4:C35)</f>
        <v>120850</v>
      </c>
      <c r="D36" s="65"/>
      <c r="E36" s="65">
        <f>SUM(E4:E35)</f>
        <v>71084</v>
      </c>
      <c r="F36" s="65"/>
      <c r="G36" s="52"/>
      <c r="H36" s="52"/>
      <c r="I36" s="62">
        <f>+E36+C36</f>
        <v>191934</v>
      </c>
      <c r="J36" s="15">
        <f>(C36*0.288)+(E36*0.177)</f>
        <v>47386.667999999991</v>
      </c>
    </row>
    <row r="37" spans="1:10" x14ac:dyDescent="0.2">
      <c r="A37" s="54">
        <f>COUNT(A4:A34)</f>
        <v>31</v>
      </c>
      <c r="G37" s="30"/>
    </row>
    <row r="38" spans="1:10" x14ac:dyDescent="0.2">
      <c r="H38" s="22" t="s">
        <v>34</v>
      </c>
    </row>
    <row r="39" spans="1:10" ht="15.75" x14ac:dyDescent="0.25">
      <c r="A39" s="56" t="s">
        <v>31</v>
      </c>
      <c r="H39" s="22" t="s">
        <v>35</v>
      </c>
    </row>
    <row r="40" spans="1:10" x14ac:dyDescent="0.2">
      <c r="H40" s="22" t="s">
        <v>28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E34" sqref="E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5.85546875" style="1" customWidth="1"/>
    <col min="8" max="8" width="19.140625" style="1" bestFit="1" customWidth="1"/>
    <col min="9" max="9" width="13.28515625" style="13" customWidth="1"/>
    <col min="10" max="10" width="1.7109375" customWidth="1"/>
    <col min="11" max="11" width="11.42578125" customWidth="1"/>
    <col min="12" max="12" width="9" customWidth="1"/>
    <col min="13" max="13" width="0.85546875" customWidth="1"/>
  </cols>
  <sheetData>
    <row r="1" spans="1:15" ht="18" x14ac:dyDescent="0.25">
      <c r="A1" s="6" t="s">
        <v>36</v>
      </c>
    </row>
    <row r="2" spans="1:15" ht="18" x14ac:dyDescent="0.25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17</v>
      </c>
      <c r="G2" s="7" t="s">
        <v>18</v>
      </c>
      <c r="H2" s="7" t="s">
        <v>19</v>
      </c>
      <c r="I2" s="14" t="s">
        <v>20</v>
      </c>
      <c r="K2" s="7" t="s">
        <v>40</v>
      </c>
      <c r="L2" s="7" t="s">
        <v>41</v>
      </c>
      <c r="N2" s="66" t="s">
        <v>42</v>
      </c>
      <c r="O2" s="7" t="s">
        <v>41</v>
      </c>
    </row>
    <row r="3" spans="1:15" x14ac:dyDescent="0.2">
      <c r="A3" s="3"/>
      <c r="B3" s="7" t="s">
        <v>43</v>
      </c>
      <c r="C3" s="7" t="s">
        <v>43</v>
      </c>
      <c r="D3" s="7" t="s">
        <v>43</v>
      </c>
      <c r="E3" s="7" t="s">
        <v>43</v>
      </c>
      <c r="F3" s="7" t="s">
        <v>23</v>
      </c>
      <c r="G3" s="85"/>
      <c r="H3" s="7" t="s">
        <v>43</v>
      </c>
      <c r="I3" s="14" t="s">
        <v>25</v>
      </c>
      <c r="K3" s="11"/>
      <c r="L3" s="8"/>
      <c r="N3" s="11"/>
      <c r="O3" s="8"/>
    </row>
    <row r="4" spans="1:15" x14ac:dyDescent="0.2">
      <c r="A4" s="5">
        <v>44835</v>
      </c>
      <c r="B4" s="10">
        <v>476548</v>
      </c>
      <c r="C4" s="8">
        <f t="shared" ref="C4:C7" si="0">IF(B5-B4&lt;0,0,B5-B4)</f>
        <v>1301</v>
      </c>
      <c r="D4" s="10">
        <v>3570</v>
      </c>
      <c r="E4" s="8">
        <v>15</v>
      </c>
      <c r="F4" s="82">
        <v>0.51</v>
      </c>
      <c r="G4" s="86" t="s">
        <v>26</v>
      </c>
      <c r="H4" s="84">
        <f>+E4+C4</f>
        <v>1316</v>
      </c>
      <c r="I4" s="15">
        <f>(C4*1.35)+(E4*1.35)</f>
        <v>1776.6000000000001</v>
      </c>
      <c r="K4" s="11">
        <v>126610</v>
      </c>
      <c r="L4" s="8">
        <f t="shared" ref="L4:L34" si="1">IF(K5-K4&lt;0,0,K5-K4)</f>
        <v>0</v>
      </c>
      <c r="N4" s="11">
        <v>92280</v>
      </c>
      <c r="O4" s="8">
        <f t="shared" ref="O4:O34" si="2">IF(N5-N4&lt;0,0,N5-N4)</f>
        <v>180</v>
      </c>
    </row>
    <row r="5" spans="1:15" x14ac:dyDescent="0.2">
      <c r="A5" s="5">
        <v>44836</v>
      </c>
      <c r="B5" s="10">
        <v>477849</v>
      </c>
      <c r="C5" s="8">
        <f t="shared" si="0"/>
        <v>1334</v>
      </c>
      <c r="D5" s="10">
        <v>3571</v>
      </c>
      <c r="E5" s="8">
        <v>18</v>
      </c>
      <c r="F5" s="82">
        <v>0.52</v>
      </c>
      <c r="G5" s="86" t="s">
        <v>26</v>
      </c>
      <c r="H5" s="84">
        <f t="shared" ref="H5:H34" si="3">+E5+C5</f>
        <v>1352</v>
      </c>
      <c r="I5" s="15">
        <f t="shared" ref="I5:I34" si="4">(C5*1.35)+(E5*1.35)</f>
        <v>1825.2</v>
      </c>
      <c r="K5" s="11">
        <v>126610</v>
      </c>
      <c r="L5" s="8">
        <f t="shared" si="1"/>
        <v>0</v>
      </c>
      <c r="N5" s="11">
        <v>92460</v>
      </c>
      <c r="O5" s="8">
        <f t="shared" si="2"/>
        <v>0</v>
      </c>
    </row>
    <row r="6" spans="1:15" x14ac:dyDescent="0.2">
      <c r="A6" s="5">
        <v>44837</v>
      </c>
      <c r="B6" s="10">
        <v>479183</v>
      </c>
      <c r="C6" s="8">
        <f t="shared" si="0"/>
        <v>1296</v>
      </c>
      <c r="D6" s="10">
        <v>3572</v>
      </c>
      <c r="E6" s="8">
        <v>14</v>
      </c>
      <c r="F6" s="82">
        <v>0.41</v>
      </c>
      <c r="G6" s="86" t="s">
        <v>26</v>
      </c>
      <c r="H6" s="84">
        <f t="shared" si="3"/>
        <v>1310</v>
      </c>
      <c r="I6" s="15">
        <f>(C6*1.35)+(E6*1.35)</f>
        <v>1768.5000000000002</v>
      </c>
      <c r="K6" s="11">
        <v>126610</v>
      </c>
      <c r="L6" s="8">
        <f t="shared" si="1"/>
        <v>0</v>
      </c>
      <c r="N6" s="11">
        <v>92460</v>
      </c>
      <c r="O6" s="8">
        <f t="shared" si="2"/>
        <v>0</v>
      </c>
    </row>
    <row r="7" spans="1:15" x14ac:dyDescent="0.2">
      <c r="A7" s="5">
        <v>44838</v>
      </c>
      <c r="B7" s="10">
        <v>480479</v>
      </c>
      <c r="C7" s="8">
        <f t="shared" si="0"/>
        <v>1065</v>
      </c>
      <c r="D7" s="10">
        <v>3573</v>
      </c>
      <c r="E7" s="8">
        <v>15</v>
      </c>
      <c r="F7" s="82">
        <v>0.3</v>
      </c>
      <c r="G7" s="86" t="s">
        <v>26</v>
      </c>
      <c r="H7" s="84">
        <f t="shared" si="3"/>
        <v>1080</v>
      </c>
      <c r="I7" s="15">
        <f t="shared" si="4"/>
        <v>1458</v>
      </c>
      <c r="K7" s="11">
        <v>126610</v>
      </c>
      <c r="L7" s="8">
        <f t="shared" si="1"/>
        <v>90</v>
      </c>
      <c r="N7" s="11">
        <v>92460</v>
      </c>
      <c r="O7" s="8">
        <f t="shared" si="2"/>
        <v>0</v>
      </c>
    </row>
    <row r="8" spans="1:15" x14ac:dyDescent="0.2">
      <c r="A8" s="5">
        <v>44839</v>
      </c>
      <c r="B8" s="10">
        <v>481544</v>
      </c>
      <c r="C8" s="8">
        <f>IF(B9-B8&lt;0,0,B9-B8)</f>
        <v>998</v>
      </c>
      <c r="D8" s="10">
        <v>3575</v>
      </c>
      <c r="E8" s="8">
        <v>17</v>
      </c>
      <c r="F8" s="82">
        <v>0.41</v>
      </c>
      <c r="G8" s="86" t="s">
        <v>27</v>
      </c>
      <c r="H8" s="84">
        <f t="shared" si="3"/>
        <v>1015</v>
      </c>
      <c r="I8" s="15">
        <f t="shared" si="4"/>
        <v>1370.2500000000002</v>
      </c>
      <c r="K8" s="11">
        <v>126700</v>
      </c>
      <c r="L8" s="8">
        <f t="shared" si="1"/>
        <v>10</v>
      </c>
      <c r="N8" s="11">
        <v>92460</v>
      </c>
      <c r="O8" s="8">
        <f t="shared" si="2"/>
        <v>0</v>
      </c>
    </row>
    <row r="9" spans="1:15" x14ac:dyDescent="0.2">
      <c r="A9" s="5">
        <v>44840</v>
      </c>
      <c r="B9" s="10">
        <v>482542</v>
      </c>
      <c r="C9" s="8">
        <f t="shared" ref="C9:C33" si="5">IF(B10-B9&lt;0,0,B10-B9)</f>
        <v>1007</v>
      </c>
      <c r="D9" s="10">
        <v>3576</v>
      </c>
      <c r="E9" s="8">
        <v>14</v>
      </c>
      <c r="F9" s="82">
        <v>0.59</v>
      </c>
      <c r="G9" s="86" t="s">
        <v>28</v>
      </c>
      <c r="H9" s="84">
        <f t="shared" si="3"/>
        <v>1021</v>
      </c>
      <c r="I9" s="15">
        <f t="shared" si="4"/>
        <v>1378.3500000000001</v>
      </c>
      <c r="K9" s="11">
        <v>126710</v>
      </c>
      <c r="L9" s="8">
        <f t="shared" si="1"/>
        <v>10</v>
      </c>
      <c r="N9" s="11">
        <v>92460</v>
      </c>
      <c r="O9" s="8">
        <f t="shared" si="2"/>
        <v>40</v>
      </c>
    </row>
    <row r="10" spans="1:15" x14ac:dyDescent="0.2">
      <c r="A10" s="5">
        <v>44841</v>
      </c>
      <c r="B10" s="10">
        <v>483549</v>
      </c>
      <c r="C10" s="8">
        <f t="shared" si="5"/>
        <v>987</v>
      </c>
      <c r="D10" s="10">
        <v>3577</v>
      </c>
      <c r="E10" s="8">
        <v>25</v>
      </c>
      <c r="F10" s="82">
        <v>0.72</v>
      </c>
      <c r="G10" s="86" t="s">
        <v>27</v>
      </c>
      <c r="H10" s="84">
        <f t="shared" si="3"/>
        <v>1012</v>
      </c>
      <c r="I10" s="15">
        <f t="shared" si="4"/>
        <v>1366.2</v>
      </c>
      <c r="K10" s="11">
        <v>126720</v>
      </c>
      <c r="L10" s="8">
        <f t="shared" si="1"/>
        <v>20</v>
      </c>
      <c r="N10" s="11">
        <v>92500</v>
      </c>
      <c r="O10" s="8">
        <f t="shared" si="2"/>
        <v>20</v>
      </c>
    </row>
    <row r="11" spans="1:15" x14ac:dyDescent="0.2">
      <c r="A11" s="5">
        <v>44842</v>
      </c>
      <c r="B11" s="10">
        <v>484536</v>
      </c>
      <c r="C11" s="8">
        <f t="shared" si="5"/>
        <v>1148</v>
      </c>
      <c r="D11" s="10">
        <v>3578</v>
      </c>
      <c r="E11" s="8">
        <v>21</v>
      </c>
      <c r="F11" s="82">
        <v>0.53</v>
      </c>
      <c r="G11" s="86" t="s">
        <v>27</v>
      </c>
      <c r="H11" s="84">
        <f t="shared" si="3"/>
        <v>1169</v>
      </c>
      <c r="I11" s="15">
        <f t="shared" si="4"/>
        <v>1578.15</v>
      </c>
      <c r="K11" s="11">
        <v>126740</v>
      </c>
      <c r="L11" s="8">
        <f t="shared" si="1"/>
        <v>0</v>
      </c>
      <c r="N11" s="11">
        <v>92520</v>
      </c>
      <c r="O11" s="8">
        <f t="shared" si="2"/>
        <v>60</v>
      </c>
    </row>
    <row r="12" spans="1:15" x14ac:dyDescent="0.2">
      <c r="A12" s="5">
        <v>44843</v>
      </c>
      <c r="B12" s="10">
        <v>485684</v>
      </c>
      <c r="C12" s="8">
        <f t="shared" si="5"/>
        <v>1328</v>
      </c>
      <c r="D12" s="10">
        <v>3579</v>
      </c>
      <c r="E12" s="8">
        <v>19</v>
      </c>
      <c r="F12" s="82">
        <v>0.42</v>
      </c>
      <c r="G12" s="86" t="s">
        <v>28</v>
      </c>
      <c r="H12" s="84">
        <f t="shared" si="3"/>
        <v>1347</v>
      </c>
      <c r="I12" s="15">
        <f t="shared" si="4"/>
        <v>1818.4500000000003</v>
      </c>
      <c r="K12" s="11">
        <v>126740</v>
      </c>
      <c r="L12" s="8">
        <f t="shared" si="1"/>
        <v>40</v>
      </c>
      <c r="N12" s="11">
        <v>92580</v>
      </c>
      <c r="O12" s="8">
        <f t="shared" si="2"/>
        <v>20</v>
      </c>
    </row>
    <row r="13" spans="1:15" x14ac:dyDescent="0.2">
      <c r="A13" s="5">
        <v>44844</v>
      </c>
      <c r="B13" s="10">
        <v>487012</v>
      </c>
      <c r="C13" s="8">
        <f t="shared" si="5"/>
        <v>1358</v>
      </c>
      <c r="D13" s="10">
        <v>3580</v>
      </c>
      <c r="E13" s="8">
        <v>18</v>
      </c>
      <c r="F13" s="82">
        <v>0.39</v>
      </c>
      <c r="G13" s="86" t="s">
        <v>29</v>
      </c>
      <c r="H13" s="84">
        <f t="shared" si="3"/>
        <v>1376</v>
      </c>
      <c r="I13" s="15">
        <f t="shared" si="4"/>
        <v>1857.6000000000001</v>
      </c>
      <c r="K13" s="11">
        <v>126780</v>
      </c>
      <c r="L13" s="8">
        <f t="shared" si="1"/>
        <v>20</v>
      </c>
      <c r="N13" s="11">
        <v>92600</v>
      </c>
      <c r="O13" s="8">
        <f t="shared" si="2"/>
        <v>421</v>
      </c>
    </row>
    <row r="14" spans="1:15" x14ac:dyDescent="0.2">
      <c r="A14" s="5">
        <v>44845</v>
      </c>
      <c r="B14" s="10">
        <v>488370</v>
      </c>
      <c r="C14" s="8">
        <f t="shared" si="5"/>
        <v>1477</v>
      </c>
      <c r="D14" s="10">
        <v>3582</v>
      </c>
      <c r="E14" s="8">
        <v>19</v>
      </c>
      <c r="F14" s="82">
        <v>0.23</v>
      </c>
      <c r="G14" s="86" t="s">
        <v>29</v>
      </c>
      <c r="H14" s="84">
        <f t="shared" si="3"/>
        <v>1496</v>
      </c>
      <c r="I14" s="15">
        <f t="shared" si="4"/>
        <v>2019.6000000000001</v>
      </c>
      <c r="K14" s="11">
        <v>126800</v>
      </c>
      <c r="L14" s="8">
        <f t="shared" si="1"/>
        <v>20</v>
      </c>
      <c r="N14" s="11">
        <v>93021</v>
      </c>
      <c r="O14" s="8">
        <f t="shared" si="2"/>
        <v>219</v>
      </c>
    </row>
    <row r="15" spans="1:15" x14ac:dyDescent="0.2">
      <c r="A15" s="5">
        <v>44846</v>
      </c>
      <c r="B15" s="10">
        <v>489847</v>
      </c>
      <c r="C15" s="8">
        <f t="shared" si="5"/>
        <v>1487</v>
      </c>
      <c r="D15" s="10">
        <v>3583</v>
      </c>
      <c r="E15" s="8">
        <v>19</v>
      </c>
      <c r="F15" s="82">
        <v>0.33</v>
      </c>
      <c r="G15" s="86" t="s">
        <v>28</v>
      </c>
      <c r="H15" s="84">
        <f t="shared" si="3"/>
        <v>1506</v>
      </c>
      <c r="I15" s="15">
        <f t="shared" si="4"/>
        <v>2033.1000000000001</v>
      </c>
      <c r="K15" s="11">
        <v>126820</v>
      </c>
      <c r="L15" s="8">
        <f t="shared" si="1"/>
        <v>80</v>
      </c>
      <c r="N15" s="11">
        <v>93240</v>
      </c>
      <c r="O15" s="8">
        <f t="shared" si="2"/>
        <v>60</v>
      </c>
    </row>
    <row r="16" spans="1:15" x14ac:dyDescent="0.2">
      <c r="A16" s="5">
        <v>44847</v>
      </c>
      <c r="B16" s="10">
        <v>491334</v>
      </c>
      <c r="C16" s="8">
        <f t="shared" si="5"/>
        <v>1412</v>
      </c>
      <c r="D16" s="10">
        <v>3584</v>
      </c>
      <c r="E16" s="8">
        <v>17</v>
      </c>
      <c r="F16" s="82">
        <v>0.37</v>
      </c>
      <c r="G16" s="86" t="s">
        <v>29</v>
      </c>
      <c r="H16" s="84">
        <f t="shared" si="3"/>
        <v>1429</v>
      </c>
      <c r="I16" s="15">
        <f t="shared" si="4"/>
        <v>1929.15</v>
      </c>
      <c r="K16" s="11">
        <v>126900</v>
      </c>
      <c r="L16" s="8">
        <f t="shared" si="1"/>
        <v>10</v>
      </c>
      <c r="N16" s="11">
        <v>93300</v>
      </c>
      <c r="O16" s="8">
        <f t="shared" si="2"/>
        <v>210</v>
      </c>
    </row>
    <row r="17" spans="1:15" x14ac:dyDescent="0.2">
      <c r="A17" s="5">
        <v>44848</v>
      </c>
      <c r="B17" s="10">
        <v>492746</v>
      </c>
      <c r="C17" s="8">
        <f t="shared" si="5"/>
        <v>1454</v>
      </c>
      <c r="D17" s="10">
        <v>3585</v>
      </c>
      <c r="E17" s="8">
        <v>21</v>
      </c>
      <c r="F17" s="83">
        <v>0.39</v>
      </c>
      <c r="G17" s="86" t="s">
        <v>29</v>
      </c>
      <c r="H17" s="84">
        <f t="shared" si="3"/>
        <v>1475</v>
      </c>
      <c r="I17" s="15">
        <f t="shared" si="4"/>
        <v>1991.25</v>
      </c>
      <c r="K17" s="11">
        <v>126910</v>
      </c>
      <c r="L17" s="8">
        <f t="shared" si="1"/>
        <v>497</v>
      </c>
      <c r="N17" s="11">
        <v>93510</v>
      </c>
      <c r="O17" s="8">
        <f t="shared" si="2"/>
        <v>90</v>
      </c>
    </row>
    <row r="18" spans="1:15" x14ac:dyDescent="0.2">
      <c r="A18" s="5">
        <v>44849</v>
      </c>
      <c r="B18" s="10">
        <v>494200</v>
      </c>
      <c r="C18" s="8">
        <f t="shared" si="5"/>
        <v>1405</v>
      </c>
      <c r="D18" s="10">
        <v>3586</v>
      </c>
      <c r="E18" s="8">
        <v>22</v>
      </c>
      <c r="F18" s="83">
        <v>0.39</v>
      </c>
      <c r="G18" s="86" t="s">
        <v>29</v>
      </c>
      <c r="H18" s="84">
        <f t="shared" si="3"/>
        <v>1427</v>
      </c>
      <c r="I18" s="15">
        <f t="shared" si="4"/>
        <v>1926.4500000000003</v>
      </c>
      <c r="K18" s="67">
        <v>127407</v>
      </c>
      <c r="L18" s="8">
        <f t="shared" si="1"/>
        <v>193</v>
      </c>
      <c r="N18" s="11">
        <v>93600</v>
      </c>
      <c r="O18" s="8">
        <f t="shared" si="2"/>
        <v>40</v>
      </c>
    </row>
    <row r="19" spans="1:15" x14ac:dyDescent="0.2">
      <c r="A19" s="5">
        <v>44850</v>
      </c>
      <c r="B19" s="10">
        <v>495605</v>
      </c>
      <c r="C19" s="8">
        <f t="shared" si="5"/>
        <v>1597</v>
      </c>
      <c r="D19" s="10">
        <v>3588</v>
      </c>
      <c r="E19" s="8">
        <v>21</v>
      </c>
      <c r="F19" s="83">
        <v>0.39</v>
      </c>
      <c r="G19" s="86" t="s">
        <v>29</v>
      </c>
      <c r="H19" s="84">
        <f t="shared" si="3"/>
        <v>1618</v>
      </c>
      <c r="I19" s="15">
        <f t="shared" si="4"/>
        <v>2184.3000000000002</v>
      </c>
      <c r="K19" s="11">
        <v>127600</v>
      </c>
      <c r="L19" s="8">
        <f t="shared" si="1"/>
        <v>10</v>
      </c>
      <c r="N19" s="11">
        <v>93640</v>
      </c>
      <c r="O19" s="8">
        <f t="shared" si="2"/>
        <v>0</v>
      </c>
    </row>
    <row r="20" spans="1:15" x14ac:dyDescent="0.2">
      <c r="A20" s="5">
        <v>44851</v>
      </c>
      <c r="B20" s="10">
        <v>497202</v>
      </c>
      <c r="C20" s="8">
        <f t="shared" si="5"/>
        <v>1375</v>
      </c>
      <c r="D20" s="10">
        <v>3589</v>
      </c>
      <c r="E20" s="8">
        <v>15</v>
      </c>
      <c r="F20" s="83">
        <v>0.5</v>
      </c>
      <c r="G20" s="86" t="s">
        <v>27</v>
      </c>
      <c r="H20" s="84">
        <f t="shared" si="3"/>
        <v>1390</v>
      </c>
      <c r="I20" s="15">
        <f t="shared" si="4"/>
        <v>1876.5000000000002</v>
      </c>
      <c r="K20" s="11">
        <v>127610</v>
      </c>
      <c r="L20" s="8">
        <f t="shared" si="1"/>
        <v>0</v>
      </c>
      <c r="N20" s="11">
        <v>93640</v>
      </c>
      <c r="O20" s="8">
        <f t="shared" si="2"/>
        <v>20</v>
      </c>
    </row>
    <row r="21" spans="1:15" x14ac:dyDescent="0.2">
      <c r="A21" s="5">
        <v>44852</v>
      </c>
      <c r="B21" s="10">
        <v>498577</v>
      </c>
      <c r="C21" s="8">
        <f t="shared" si="5"/>
        <v>1499</v>
      </c>
      <c r="D21" s="10">
        <v>3590</v>
      </c>
      <c r="E21" s="8">
        <v>17</v>
      </c>
      <c r="F21" s="83">
        <v>0.5</v>
      </c>
      <c r="G21" s="86" t="s">
        <v>29</v>
      </c>
      <c r="H21" s="84">
        <f t="shared" si="3"/>
        <v>1516</v>
      </c>
      <c r="I21" s="15">
        <f t="shared" si="4"/>
        <v>2046.6000000000001</v>
      </c>
      <c r="K21" s="11">
        <v>127610</v>
      </c>
      <c r="L21" s="8">
        <f t="shared" si="1"/>
        <v>0</v>
      </c>
      <c r="N21" s="11">
        <v>93660</v>
      </c>
      <c r="O21" s="8">
        <f t="shared" si="2"/>
        <v>20</v>
      </c>
    </row>
    <row r="22" spans="1:15" x14ac:dyDescent="0.2">
      <c r="A22" s="5">
        <v>44853</v>
      </c>
      <c r="B22" s="10">
        <v>500076</v>
      </c>
      <c r="C22" s="8">
        <f t="shared" si="5"/>
        <v>1126</v>
      </c>
      <c r="D22" s="10">
        <v>3591</v>
      </c>
      <c r="E22" s="8">
        <v>21</v>
      </c>
      <c r="F22" s="83">
        <v>0.48</v>
      </c>
      <c r="G22" s="86" t="s">
        <v>26</v>
      </c>
      <c r="H22" s="84">
        <f t="shared" si="3"/>
        <v>1147</v>
      </c>
      <c r="I22" s="15">
        <f t="shared" si="4"/>
        <v>1548.45</v>
      </c>
      <c r="K22" s="11">
        <v>127610</v>
      </c>
      <c r="L22" s="8">
        <f t="shared" si="1"/>
        <v>0</v>
      </c>
      <c r="N22" s="11">
        <v>93680</v>
      </c>
      <c r="O22" s="8">
        <f t="shared" si="2"/>
        <v>0</v>
      </c>
    </row>
    <row r="23" spans="1:15" x14ac:dyDescent="0.2">
      <c r="A23" s="5">
        <v>44854</v>
      </c>
      <c r="B23" s="10">
        <v>501202</v>
      </c>
      <c r="C23" s="8">
        <f t="shared" si="5"/>
        <v>1462</v>
      </c>
      <c r="D23" s="10">
        <v>3592</v>
      </c>
      <c r="E23" s="8">
        <v>22</v>
      </c>
      <c r="F23" s="83">
        <v>0.49</v>
      </c>
      <c r="G23" s="86" t="s">
        <v>26</v>
      </c>
      <c r="H23" s="84">
        <f t="shared" si="3"/>
        <v>1484</v>
      </c>
      <c r="I23" s="15">
        <f t="shared" si="4"/>
        <v>2003.4</v>
      </c>
      <c r="K23" s="11">
        <v>127610</v>
      </c>
      <c r="L23" s="8">
        <f t="shared" si="1"/>
        <v>10</v>
      </c>
      <c r="N23" s="11">
        <v>93640</v>
      </c>
      <c r="O23" s="8">
        <f t="shared" si="2"/>
        <v>110</v>
      </c>
    </row>
    <row r="24" spans="1:15" x14ac:dyDescent="0.2">
      <c r="A24" s="5">
        <v>44855</v>
      </c>
      <c r="B24" s="10">
        <v>502664</v>
      </c>
      <c r="C24" s="8">
        <f t="shared" si="5"/>
        <v>1232</v>
      </c>
      <c r="D24" s="10">
        <v>3592</v>
      </c>
      <c r="E24" s="8">
        <v>26</v>
      </c>
      <c r="F24" s="83">
        <v>0.54</v>
      </c>
      <c r="G24" s="86" t="s">
        <v>27</v>
      </c>
      <c r="H24" s="84">
        <f t="shared" si="3"/>
        <v>1258</v>
      </c>
      <c r="I24" s="15">
        <f t="shared" si="4"/>
        <v>1698.3</v>
      </c>
      <c r="K24" s="11">
        <v>127620</v>
      </c>
      <c r="L24" s="8">
        <f t="shared" si="1"/>
        <v>180</v>
      </c>
      <c r="N24" s="11">
        <v>93750</v>
      </c>
      <c r="O24" s="8">
        <f t="shared" si="2"/>
        <v>30</v>
      </c>
    </row>
    <row r="25" spans="1:15" x14ac:dyDescent="0.2">
      <c r="A25" s="5">
        <v>44856</v>
      </c>
      <c r="B25" s="10">
        <v>503896</v>
      </c>
      <c r="C25" s="8">
        <f t="shared" si="5"/>
        <v>1246</v>
      </c>
      <c r="D25" s="10">
        <v>3593</v>
      </c>
      <c r="E25" s="8">
        <v>19</v>
      </c>
      <c r="F25" s="83">
        <v>0.73</v>
      </c>
      <c r="G25" s="86" t="s">
        <v>28</v>
      </c>
      <c r="H25" s="84">
        <f t="shared" si="3"/>
        <v>1265</v>
      </c>
      <c r="I25" s="15">
        <f t="shared" si="4"/>
        <v>1707.7500000000002</v>
      </c>
      <c r="K25" s="11">
        <v>127800</v>
      </c>
      <c r="L25" s="8">
        <f t="shared" si="1"/>
        <v>115</v>
      </c>
      <c r="N25" s="11">
        <v>93780</v>
      </c>
      <c r="O25" s="8">
        <f t="shared" si="2"/>
        <v>30</v>
      </c>
    </row>
    <row r="26" spans="1:15" x14ac:dyDescent="0.2">
      <c r="A26" s="5">
        <v>44857</v>
      </c>
      <c r="B26" s="10">
        <v>505142</v>
      </c>
      <c r="C26" s="8">
        <f t="shared" si="5"/>
        <v>1225</v>
      </c>
      <c r="D26" s="10">
        <v>3594</v>
      </c>
      <c r="E26" s="8">
        <v>16</v>
      </c>
      <c r="F26" s="83">
        <v>0.84</v>
      </c>
      <c r="G26" s="86" t="s">
        <v>27</v>
      </c>
      <c r="H26" s="84">
        <f t="shared" si="3"/>
        <v>1241</v>
      </c>
      <c r="I26" s="15">
        <f t="shared" si="4"/>
        <v>1675.35</v>
      </c>
      <c r="K26" s="11">
        <v>127915</v>
      </c>
      <c r="L26" s="8">
        <f t="shared" si="1"/>
        <v>285</v>
      </c>
      <c r="N26" s="11">
        <v>93810</v>
      </c>
      <c r="O26" s="8">
        <f t="shared" si="2"/>
        <v>10</v>
      </c>
    </row>
    <row r="27" spans="1:15" x14ac:dyDescent="0.2">
      <c r="A27" s="5">
        <v>44858</v>
      </c>
      <c r="B27" s="10">
        <v>506367</v>
      </c>
      <c r="C27" s="8">
        <f t="shared" si="5"/>
        <v>1350</v>
      </c>
      <c r="D27" s="10">
        <v>3595</v>
      </c>
      <c r="E27" s="8">
        <v>21</v>
      </c>
      <c r="F27" s="83">
        <v>0.7</v>
      </c>
      <c r="G27" s="86" t="s">
        <v>29</v>
      </c>
      <c r="H27" s="84">
        <f t="shared" si="3"/>
        <v>1371</v>
      </c>
      <c r="I27" s="15">
        <f t="shared" si="4"/>
        <v>1850.8500000000001</v>
      </c>
      <c r="K27" s="11">
        <v>128200</v>
      </c>
      <c r="L27" s="8">
        <f t="shared" si="1"/>
        <v>10</v>
      </c>
      <c r="N27" s="11">
        <v>93820</v>
      </c>
      <c r="O27" s="8">
        <f t="shared" si="2"/>
        <v>20</v>
      </c>
    </row>
    <row r="28" spans="1:15" x14ac:dyDescent="0.2">
      <c r="A28" s="5">
        <v>44859</v>
      </c>
      <c r="B28" s="10">
        <v>507717</v>
      </c>
      <c r="C28" s="8">
        <f t="shared" si="5"/>
        <v>1276</v>
      </c>
      <c r="D28" s="10">
        <v>3596</v>
      </c>
      <c r="E28" s="8">
        <v>23</v>
      </c>
      <c r="F28" s="83">
        <v>0.76</v>
      </c>
      <c r="G28" s="86" t="s">
        <v>29</v>
      </c>
      <c r="H28" s="84">
        <f t="shared" si="3"/>
        <v>1299</v>
      </c>
      <c r="I28" s="15">
        <f t="shared" si="4"/>
        <v>1753.65</v>
      </c>
      <c r="K28" s="11">
        <v>128210</v>
      </c>
      <c r="L28" s="8">
        <f t="shared" si="1"/>
        <v>30</v>
      </c>
      <c r="N28" s="11">
        <v>93840</v>
      </c>
      <c r="O28" s="8">
        <f t="shared" si="2"/>
        <v>10</v>
      </c>
    </row>
    <row r="29" spans="1:15" x14ac:dyDescent="0.2">
      <c r="A29" s="5">
        <v>44860</v>
      </c>
      <c r="B29" s="10">
        <v>508993</v>
      </c>
      <c r="C29" s="8">
        <f t="shared" si="5"/>
        <v>1294</v>
      </c>
      <c r="D29" s="10">
        <v>3599</v>
      </c>
      <c r="E29" s="8">
        <v>19</v>
      </c>
      <c r="F29" s="83">
        <v>0.68</v>
      </c>
      <c r="G29" s="86" t="s">
        <v>29</v>
      </c>
      <c r="H29" s="84">
        <f t="shared" si="3"/>
        <v>1313</v>
      </c>
      <c r="I29" s="15">
        <f t="shared" si="4"/>
        <v>1772.5500000000002</v>
      </c>
      <c r="K29" s="11">
        <v>128240</v>
      </c>
      <c r="L29" s="8">
        <f t="shared" si="1"/>
        <v>20</v>
      </c>
      <c r="N29" s="11">
        <v>93850</v>
      </c>
      <c r="O29" s="8">
        <f t="shared" si="2"/>
        <v>30</v>
      </c>
    </row>
    <row r="30" spans="1:15" x14ac:dyDescent="0.2">
      <c r="A30" s="5">
        <v>44861</v>
      </c>
      <c r="B30" s="10">
        <v>510287</v>
      </c>
      <c r="C30" s="8">
        <f t="shared" si="5"/>
        <v>1396</v>
      </c>
      <c r="D30" s="10">
        <v>3560</v>
      </c>
      <c r="E30" s="8">
        <v>17</v>
      </c>
      <c r="F30" s="83">
        <v>0.55000000000000004</v>
      </c>
      <c r="G30" s="86" t="s">
        <v>28</v>
      </c>
      <c r="H30" s="84">
        <f t="shared" si="3"/>
        <v>1413</v>
      </c>
      <c r="I30" s="15">
        <f t="shared" si="4"/>
        <v>1907.5500000000002</v>
      </c>
      <c r="K30" s="11">
        <v>128260</v>
      </c>
      <c r="L30" s="8">
        <f t="shared" si="1"/>
        <v>0</v>
      </c>
      <c r="N30" s="11">
        <v>93880</v>
      </c>
      <c r="O30" s="8">
        <f t="shared" si="2"/>
        <v>0</v>
      </c>
    </row>
    <row r="31" spans="1:15" x14ac:dyDescent="0.2">
      <c r="A31" s="5">
        <v>44862</v>
      </c>
      <c r="B31" s="10">
        <v>511683</v>
      </c>
      <c r="C31" s="8">
        <f t="shared" si="5"/>
        <v>1445</v>
      </c>
      <c r="D31" s="10">
        <v>3561</v>
      </c>
      <c r="E31" s="8">
        <v>18</v>
      </c>
      <c r="F31" s="83">
        <v>0.48</v>
      </c>
      <c r="G31" s="86" t="s">
        <v>29</v>
      </c>
      <c r="H31" s="84">
        <f t="shared" si="3"/>
        <v>1463</v>
      </c>
      <c r="I31" s="15">
        <f t="shared" si="4"/>
        <v>1975.0500000000002</v>
      </c>
      <c r="K31" s="11">
        <v>128260</v>
      </c>
      <c r="L31" s="8">
        <f t="shared" si="1"/>
        <v>0</v>
      </c>
      <c r="N31" s="11">
        <v>93880</v>
      </c>
      <c r="O31" s="8">
        <f t="shared" si="2"/>
        <v>0</v>
      </c>
    </row>
    <row r="32" spans="1:15" x14ac:dyDescent="0.2">
      <c r="A32" s="5">
        <v>44863</v>
      </c>
      <c r="B32" s="10">
        <v>513128</v>
      </c>
      <c r="C32" s="8">
        <f t="shared" si="5"/>
        <v>1378</v>
      </c>
      <c r="D32" s="10">
        <v>3562</v>
      </c>
      <c r="E32" s="8">
        <v>15</v>
      </c>
      <c r="F32" s="83">
        <v>0.39</v>
      </c>
      <c r="G32" s="86" t="s">
        <v>28</v>
      </c>
      <c r="H32" s="84">
        <f t="shared" si="3"/>
        <v>1393</v>
      </c>
      <c r="I32" s="15">
        <f t="shared" si="4"/>
        <v>1880.5500000000002</v>
      </c>
      <c r="K32" s="11">
        <v>128260</v>
      </c>
      <c r="L32" s="8">
        <f t="shared" si="1"/>
        <v>0</v>
      </c>
      <c r="N32" s="11">
        <v>93880</v>
      </c>
      <c r="O32" s="8">
        <f t="shared" si="2"/>
        <v>0</v>
      </c>
    </row>
    <row r="33" spans="1:15" x14ac:dyDescent="0.2">
      <c r="A33" s="5">
        <v>44864</v>
      </c>
      <c r="B33" s="10">
        <v>514506</v>
      </c>
      <c r="C33" s="8">
        <f t="shared" si="5"/>
        <v>1094</v>
      </c>
      <c r="D33" s="10">
        <v>3563</v>
      </c>
      <c r="E33" s="8">
        <v>23</v>
      </c>
      <c r="F33" s="83">
        <v>0.3</v>
      </c>
      <c r="G33" s="86" t="s">
        <v>27</v>
      </c>
      <c r="H33" s="84">
        <f t="shared" si="3"/>
        <v>1117</v>
      </c>
      <c r="I33" s="15">
        <f t="shared" si="4"/>
        <v>1507.95</v>
      </c>
      <c r="K33" s="11">
        <v>128260</v>
      </c>
      <c r="L33" s="8">
        <f t="shared" si="1"/>
        <v>0</v>
      </c>
      <c r="N33" s="11">
        <v>93880</v>
      </c>
      <c r="O33" s="8">
        <f t="shared" si="2"/>
        <v>0</v>
      </c>
    </row>
    <row r="34" spans="1:15" x14ac:dyDescent="0.2">
      <c r="A34" s="5">
        <v>44865</v>
      </c>
      <c r="B34" s="10">
        <v>515600</v>
      </c>
      <c r="C34" s="8"/>
      <c r="D34" s="10">
        <v>3607</v>
      </c>
      <c r="E34" s="8"/>
      <c r="F34" s="83">
        <v>0.37</v>
      </c>
      <c r="G34" s="86" t="s">
        <v>29</v>
      </c>
      <c r="H34" s="84">
        <f t="shared" si="3"/>
        <v>0</v>
      </c>
      <c r="I34" s="15">
        <f t="shared" si="4"/>
        <v>0</v>
      </c>
      <c r="K34" s="11">
        <v>128260</v>
      </c>
      <c r="L34" s="8">
        <f t="shared" si="1"/>
        <v>0</v>
      </c>
      <c r="N34" s="11">
        <v>93880</v>
      </c>
      <c r="O34" s="8">
        <f t="shared" si="2"/>
        <v>0</v>
      </c>
    </row>
    <row r="35" spans="1:15" x14ac:dyDescent="0.2">
      <c r="A35" s="90"/>
      <c r="B35" s="91"/>
      <c r="C35" s="9">
        <f>SUM(C4:C34)</f>
        <v>39052</v>
      </c>
      <c r="D35" s="9"/>
      <c r="E35" s="9">
        <f>SUM(E4:E34)</f>
        <v>567</v>
      </c>
      <c r="F35" s="11"/>
      <c r="G35" s="87"/>
      <c r="H35" s="8">
        <f>SUM(H4:H34)</f>
        <v>39619</v>
      </c>
      <c r="I35" s="15">
        <f>SUM(I4:I34)</f>
        <v>53485.650000000009</v>
      </c>
      <c r="K35" s="11"/>
      <c r="L35" s="9">
        <f>SUM(L4:L34)</f>
        <v>1650</v>
      </c>
      <c r="N35" s="11"/>
      <c r="O35" s="9">
        <f>SUM(O4:O34)</f>
        <v>1640</v>
      </c>
    </row>
    <row r="36" spans="1:15" x14ac:dyDescent="0.2">
      <c r="A36" s="16"/>
      <c r="F36" s="1"/>
    </row>
    <row r="38" spans="1:15" ht="15.75" x14ac:dyDescent="0.25">
      <c r="A38" s="12" t="s">
        <v>31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abSelected="1" zoomScale="85" workbookViewId="0">
      <selection activeCell="M29" sqref="M29"/>
    </sheetView>
  </sheetViews>
  <sheetFormatPr defaultRowHeight="12.75" x14ac:dyDescent="0.2"/>
  <cols>
    <col min="1" max="1" width="14" style="54" customWidth="1"/>
    <col min="2" max="2" width="12.140625" style="30" customWidth="1"/>
    <col min="3" max="3" width="12.5703125" style="30" customWidth="1"/>
    <col min="4" max="4" width="12.5703125" style="22" customWidth="1"/>
    <col min="5" max="5" width="9.42578125" style="13" customWidth="1"/>
    <col min="6" max="6" width="17.140625" style="31" bestFit="1" customWidth="1"/>
    <col min="7" max="7" width="16.7109375" style="31" customWidth="1"/>
    <col min="8" max="8" width="13.7109375" style="31" customWidth="1"/>
    <col min="9" max="9" width="10" style="31" customWidth="1"/>
    <col min="10" max="10" width="9.140625" style="31" customWidth="1"/>
    <col min="11" max="255" width="9.140625" style="22"/>
    <col min="256" max="256" width="14" style="22" customWidth="1"/>
    <col min="257" max="257" width="12.140625" style="22" customWidth="1"/>
    <col min="258" max="259" width="12.5703125" style="22" customWidth="1"/>
    <col min="260" max="260" width="9.42578125" style="22" customWidth="1"/>
    <col min="261" max="261" width="17.140625" style="22" bestFit="1" customWidth="1"/>
    <col min="262" max="262" width="16.7109375" style="22" customWidth="1"/>
    <col min="263" max="263" width="13.7109375" style="22" customWidth="1"/>
    <col min="264" max="264" width="10" style="22" customWidth="1"/>
    <col min="265" max="265" width="9" style="22" customWidth="1"/>
    <col min="266" max="266" width="9.140625" style="22" customWidth="1"/>
    <col min="267" max="511" width="9.140625" style="22"/>
    <col min="512" max="512" width="14" style="22" customWidth="1"/>
    <col min="513" max="513" width="12.140625" style="22" customWidth="1"/>
    <col min="514" max="515" width="12.5703125" style="22" customWidth="1"/>
    <col min="516" max="516" width="9.42578125" style="22" customWidth="1"/>
    <col min="517" max="517" width="17.140625" style="22" bestFit="1" customWidth="1"/>
    <col min="518" max="518" width="16.7109375" style="22" customWidth="1"/>
    <col min="519" max="519" width="13.7109375" style="22" customWidth="1"/>
    <col min="520" max="520" width="10" style="22" customWidth="1"/>
    <col min="521" max="521" width="9" style="22" customWidth="1"/>
    <col min="522" max="522" width="9.140625" style="22" customWidth="1"/>
    <col min="523" max="767" width="9.140625" style="22"/>
    <col min="768" max="768" width="14" style="22" customWidth="1"/>
    <col min="769" max="769" width="12.140625" style="22" customWidth="1"/>
    <col min="770" max="771" width="12.5703125" style="22" customWidth="1"/>
    <col min="772" max="772" width="9.42578125" style="22" customWidth="1"/>
    <col min="773" max="773" width="17.140625" style="22" bestFit="1" customWidth="1"/>
    <col min="774" max="774" width="16.7109375" style="22" customWidth="1"/>
    <col min="775" max="775" width="13.7109375" style="22" customWidth="1"/>
    <col min="776" max="776" width="10" style="22" customWidth="1"/>
    <col min="777" max="777" width="9" style="22" customWidth="1"/>
    <col min="778" max="778" width="9.140625" style="22" customWidth="1"/>
    <col min="779" max="1023" width="9.140625" style="22"/>
    <col min="1024" max="1024" width="14" style="22" customWidth="1"/>
    <col min="1025" max="1025" width="12.140625" style="22" customWidth="1"/>
    <col min="1026" max="1027" width="12.5703125" style="22" customWidth="1"/>
    <col min="1028" max="1028" width="9.42578125" style="22" customWidth="1"/>
    <col min="1029" max="1029" width="17.140625" style="22" bestFit="1" customWidth="1"/>
    <col min="1030" max="1030" width="16.7109375" style="22" customWidth="1"/>
    <col min="1031" max="1031" width="13.7109375" style="22" customWidth="1"/>
    <col min="1032" max="1032" width="10" style="22" customWidth="1"/>
    <col min="1033" max="1033" width="9" style="22" customWidth="1"/>
    <col min="1034" max="1034" width="9.140625" style="22" customWidth="1"/>
    <col min="1035" max="1279" width="9.140625" style="22"/>
    <col min="1280" max="1280" width="14" style="22" customWidth="1"/>
    <col min="1281" max="1281" width="12.140625" style="22" customWidth="1"/>
    <col min="1282" max="1283" width="12.5703125" style="22" customWidth="1"/>
    <col min="1284" max="1284" width="9.42578125" style="22" customWidth="1"/>
    <col min="1285" max="1285" width="17.140625" style="22" bestFit="1" customWidth="1"/>
    <col min="1286" max="1286" width="16.7109375" style="22" customWidth="1"/>
    <col min="1287" max="1287" width="13.7109375" style="22" customWidth="1"/>
    <col min="1288" max="1288" width="10" style="22" customWidth="1"/>
    <col min="1289" max="1289" width="9" style="22" customWidth="1"/>
    <col min="1290" max="1290" width="9.140625" style="22" customWidth="1"/>
    <col min="1291" max="1535" width="9.140625" style="22"/>
    <col min="1536" max="1536" width="14" style="22" customWidth="1"/>
    <col min="1537" max="1537" width="12.140625" style="22" customWidth="1"/>
    <col min="1538" max="1539" width="12.5703125" style="22" customWidth="1"/>
    <col min="1540" max="1540" width="9.42578125" style="22" customWidth="1"/>
    <col min="1541" max="1541" width="17.140625" style="22" bestFit="1" customWidth="1"/>
    <col min="1542" max="1542" width="16.7109375" style="22" customWidth="1"/>
    <col min="1543" max="1543" width="13.7109375" style="22" customWidth="1"/>
    <col min="1544" max="1544" width="10" style="22" customWidth="1"/>
    <col min="1545" max="1545" width="9" style="22" customWidth="1"/>
    <col min="1546" max="1546" width="9.140625" style="22" customWidth="1"/>
    <col min="1547" max="1791" width="9.140625" style="22"/>
    <col min="1792" max="1792" width="14" style="22" customWidth="1"/>
    <col min="1793" max="1793" width="12.140625" style="22" customWidth="1"/>
    <col min="1794" max="1795" width="12.5703125" style="22" customWidth="1"/>
    <col min="1796" max="1796" width="9.42578125" style="22" customWidth="1"/>
    <col min="1797" max="1797" width="17.140625" style="22" bestFit="1" customWidth="1"/>
    <col min="1798" max="1798" width="16.7109375" style="22" customWidth="1"/>
    <col min="1799" max="1799" width="13.7109375" style="22" customWidth="1"/>
    <col min="1800" max="1800" width="10" style="22" customWidth="1"/>
    <col min="1801" max="1801" width="9" style="22" customWidth="1"/>
    <col min="1802" max="1802" width="9.140625" style="22" customWidth="1"/>
    <col min="1803" max="2047" width="9.140625" style="22"/>
    <col min="2048" max="2048" width="14" style="22" customWidth="1"/>
    <col min="2049" max="2049" width="12.140625" style="22" customWidth="1"/>
    <col min="2050" max="2051" width="12.5703125" style="22" customWidth="1"/>
    <col min="2052" max="2052" width="9.42578125" style="22" customWidth="1"/>
    <col min="2053" max="2053" width="17.140625" style="22" bestFit="1" customWidth="1"/>
    <col min="2054" max="2054" width="16.7109375" style="22" customWidth="1"/>
    <col min="2055" max="2055" width="13.7109375" style="22" customWidth="1"/>
    <col min="2056" max="2056" width="10" style="22" customWidth="1"/>
    <col min="2057" max="2057" width="9" style="22" customWidth="1"/>
    <col min="2058" max="2058" width="9.140625" style="22" customWidth="1"/>
    <col min="2059" max="2303" width="9.140625" style="22"/>
    <col min="2304" max="2304" width="14" style="22" customWidth="1"/>
    <col min="2305" max="2305" width="12.140625" style="22" customWidth="1"/>
    <col min="2306" max="2307" width="12.5703125" style="22" customWidth="1"/>
    <col min="2308" max="2308" width="9.42578125" style="22" customWidth="1"/>
    <col min="2309" max="2309" width="17.140625" style="22" bestFit="1" customWidth="1"/>
    <col min="2310" max="2310" width="16.7109375" style="22" customWidth="1"/>
    <col min="2311" max="2311" width="13.7109375" style="22" customWidth="1"/>
    <col min="2312" max="2312" width="10" style="22" customWidth="1"/>
    <col min="2313" max="2313" width="9" style="22" customWidth="1"/>
    <col min="2314" max="2314" width="9.140625" style="22" customWidth="1"/>
    <col min="2315" max="2559" width="9.140625" style="22"/>
    <col min="2560" max="2560" width="14" style="22" customWidth="1"/>
    <col min="2561" max="2561" width="12.140625" style="22" customWidth="1"/>
    <col min="2562" max="2563" width="12.5703125" style="22" customWidth="1"/>
    <col min="2564" max="2564" width="9.42578125" style="22" customWidth="1"/>
    <col min="2565" max="2565" width="17.140625" style="22" bestFit="1" customWidth="1"/>
    <col min="2566" max="2566" width="16.7109375" style="22" customWidth="1"/>
    <col min="2567" max="2567" width="13.7109375" style="22" customWidth="1"/>
    <col min="2568" max="2568" width="10" style="22" customWidth="1"/>
    <col min="2569" max="2569" width="9" style="22" customWidth="1"/>
    <col min="2570" max="2570" width="9.140625" style="22" customWidth="1"/>
    <col min="2571" max="2815" width="9.140625" style="22"/>
    <col min="2816" max="2816" width="14" style="22" customWidth="1"/>
    <col min="2817" max="2817" width="12.140625" style="22" customWidth="1"/>
    <col min="2818" max="2819" width="12.5703125" style="22" customWidth="1"/>
    <col min="2820" max="2820" width="9.42578125" style="22" customWidth="1"/>
    <col min="2821" max="2821" width="17.140625" style="22" bestFit="1" customWidth="1"/>
    <col min="2822" max="2822" width="16.7109375" style="22" customWidth="1"/>
    <col min="2823" max="2823" width="13.7109375" style="22" customWidth="1"/>
    <col min="2824" max="2824" width="10" style="22" customWidth="1"/>
    <col min="2825" max="2825" width="9" style="22" customWidth="1"/>
    <col min="2826" max="2826" width="9.140625" style="22" customWidth="1"/>
    <col min="2827" max="3071" width="9.140625" style="22"/>
    <col min="3072" max="3072" width="14" style="22" customWidth="1"/>
    <col min="3073" max="3073" width="12.140625" style="22" customWidth="1"/>
    <col min="3074" max="3075" width="12.5703125" style="22" customWidth="1"/>
    <col min="3076" max="3076" width="9.42578125" style="22" customWidth="1"/>
    <col min="3077" max="3077" width="17.140625" style="22" bestFit="1" customWidth="1"/>
    <col min="3078" max="3078" width="16.7109375" style="22" customWidth="1"/>
    <col min="3079" max="3079" width="13.7109375" style="22" customWidth="1"/>
    <col min="3080" max="3080" width="10" style="22" customWidth="1"/>
    <col min="3081" max="3081" width="9" style="22" customWidth="1"/>
    <col min="3082" max="3082" width="9.140625" style="22" customWidth="1"/>
    <col min="3083" max="3327" width="9.140625" style="22"/>
    <col min="3328" max="3328" width="14" style="22" customWidth="1"/>
    <col min="3329" max="3329" width="12.140625" style="22" customWidth="1"/>
    <col min="3330" max="3331" width="12.5703125" style="22" customWidth="1"/>
    <col min="3332" max="3332" width="9.42578125" style="22" customWidth="1"/>
    <col min="3333" max="3333" width="17.140625" style="22" bestFit="1" customWidth="1"/>
    <col min="3334" max="3334" width="16.7109375" style="22" customWidth="1"/>
    <col min="3335" max="3335" width="13.7109375" style="22" customWidth="1"/>
    <col min="3336" max="3336" width="10" style="22" customWidth="1"/>
    <col min="3337" max="3337" width="9" style="22" customWidth="1"/>
    <col min="3338" max="3338" width="9.140625" style="22" customWidth="1"/>
    <col min="3339" max="3583" width="9.140625" style="22"/>
    <col min="3584" max="3584" width="14" style="22" customWidth="1"/>
    <col min="3585" max="3585" width="12.140625" style="22" customWidth="1"/>
    <col min="3586" max="3587" width="12.5703125" style="22" customWidth="1"/>
    <col min="3588" max="3588" width="9.42578125" style="22" customWidth="1"/>
    <col min="3589" max="3589" width="17.140625" style="22" bestFit="1" customWidth="1"/>
    <col min="3590" max="3590" width="16.7109375" style="22" customWidth="1"/>
    <col min="3591" max="3591" width="13.7109375" style="22" customWidth="1"/>
    <col min="3592" max="3592" width="10" style="22" customWidth="1"/>
    <col min="3593" max="3593" width="9" style="22" customWidth="1"/>
    <col min="3594" max="3594" width="9.140625" style="22" customWidth="1"/>
    <col min="3595" max="3839" width="9.140625" style="22"/>
    <col min="3840" max="3840" width="14" style="22" customWidth="1"/>
    <col min="3841" max="3841" width="12.140625" style="22" customWidth="1"/>
    <col min="3842" max="3843" width="12.5703125" style="22" customWidth="1"/>
    <col min="3844" max="3844" width="9.42578125" style="22" customWidth="1"/>
    <col min="3845" max="3845" width="17.140625" style="22" bestFit="1" customWidth="1"/>
    <col min="3846" max="3846" width="16.7109375" style="22" customWidth="1"/>
    <col min="3847" max="3847" width="13.7109375" style="22" customWidth="1"/>
    <col min="3848" max="3848" width="10" style="22" customWidth="1"/>
    <col min="3849" max="3849" width="9" style="22" customWidth="1"/>
    <col min="3850" max="3850" width="9.140625" style="22" customWidth="1"/>
    <col min="3851" max="4095" width="9.140625" style="22"/>
    <col min="4096" max="4096" width="14" style="22" customWidth="1"/>
    <col min="4097" max="4097" width="12.140625" style="22" customWidth="1"/>
    <col min="4098" max="4099" width="12.5703125" style="22" customWidth="1"/>
    <col min="4100" max="4100" width="9.42578125" style="22" customWidth="1"/>
    <col min="4101" max="4101" width="17.140625" style="22" bestFit="1" customWidth="1"/>
    <col min="4102" max="4102" width="16.7109375" style="22" customWidth="1"/>
    <col min="4103" max="4103" width="13.7109375" style="22" customWidth="1"/>
    <col min="4104" max="4104" width="10" style="22" customWidth="1"/>
    <col min="4105" max="4105" width="9" style="22" customWidth="1"/>
    <col min="4106" max="4106" width="9.140625" style="22" customWidth="1"/>
    <col min="4107" max="4351" width="9.140625" style="22"/>
    <col min="4352" max="4352" width="14" style="22" customWidth="1"/>
    <col min="4353" max="4353" width="12.140625" style="22" customWidth="1"/>
    <col min="4354" max="4355" width="12.5703125" style="22" customWidth="1"/>
    <col min="4356" max="4356" width="9.42578125" style="22" customWidth="1"/>
    <col min="4357" max="4357" width="17.140625" style="22" bestFit="1" customWidth="1"/>
    <col min="4358" max="4358" width="16.7109375" style="22" customWidth="1"/>
    <col min="4359" max="4359" width="13.7109375" style="22" customWidth="1"/>
    <col min="4360" max="4360" width="10" style="22" customWidth="1"/>
    <col min="4361" max="4361" width="9" style="22" customWidth="1"/>
    <col min="4362" max="4362" width="9.140625" style="22" customWidth="1"/>
    <col min="4363" max="4607" width="9.140625" style="22"/>
    <col min="4608" max="4608" width="14" style="22" customWidth="1"/>
    <col min="4609" max="4609" width="12.140625" style="22" customWidth="1"/>
    <col min="4610" max="4611" width="12.5703125" style="22" customWidth="1"/>
    <col min="4612" max="4612" width="9.42578125" style="22" customWidth="1"/>
    <col min="4613" max="4613" width="17.140625" style="22" bestFit="1" customWidth="1"/>
    <col min="4614" max="4614" width="16.7109375" style="22" customWidth="1"/>
    <col min="4615" max="4615" width="13.7109375" style="22" customWidth="1"/>
    <col min="4616" max="4616" width="10" style="22" customWidth="1"/>
    <col min="4617" max="4617" width="9" style="22" customWidth="1"/>
    <col min="4618" max="4618" width="9.140625" style="22" customWidth="1"/>
    <col min="4619" max="4863" width="9.140625" style="22"/>
    <col min="4864" max="4864" width="14" style="22" customWidth="1"/>
    <col min="4865" max="4865" width="12.140625" style="22" customWidth="1"/>
    <col min="4866" max="4867" width="12.5703125" style="22" customWidth="1"/>
    <col min="4868" max="4868" width="9.42578125" style="22" customWidth="1"/>
    <col min="4869" max="4869" width="17.140625" style="22" bestFit="1" customWidth="1"/>
    <col min="4870" max="4870" width="16.7109375" style="22" customWidth="1"/>
    <col min="4871" max="4871" width="13.7109375" style="22" customWidth="1"/>
    <col min="4872" max="4872" width="10" style="22" customWidth="1"/>
    <col min="4873" max="4873" width="9" style="22" customWidth="1"/>
    <col min="4874" max="4874" width="9.140625" style="22" customWidth="1"/>
    <col min="4875" max="5119" width="9.140625" style="22"/>
    <col min="5120" max="5120" width="14" style="22" customWidth="1"/>
    <col min="5121" max="5121" width="12.140625" style="22" customWidth="1"/>
    <col min="5122" max="5123" width="12.5703125" style="22" customWidth="1"/>
    <col min="5124" max="5124" width="9.42578125" style="22" customWidth="1"/>
    <col min="5125" max="5125" width="17.140625" style="22" bestFit="1" customWidth="1"/>
    <col min="5126" max="5126" width="16.7109375" style="22" customWidth="1"/>
    <col min="5127" max="5127" width="13.7109375" style="22" customWidth="1"/>
    <col min="5128" max="5128" width="10" style="22" customWidth="1"/>
    <col min="5129" max="5129" width="9" style="22" customWidth="1"/>
    <col min="5130" max="5130" width="9.140625" style="22" customWidth="1"/>
    <col min="5131" max="5375" width="9.140625" style="22"/>
    <col min="5376" max="5376" width="14" style="22" customWidth="1"/>
    <col min="5377" max="5377" width="12.140625" style="22" customWidth="1"/>
    <col min="5378" max="5379" width="12.5703125" style="22" customWidth="1"/>
    <col min="5380" max="5380" width="9.42578125" style="22" customWidth="1"/>
    <col min="5381" max="5381" width="17.140625" style="22" bestFit="1" customWidth="1"/>
    <col min="5382" max="5382" width="16.7109375" style="22" customWidth="1"/>
    <col min="5383" max="5383" width="13.7109375" style="22" customWidth="1"/>
    <col min="5384" max="5384" width="10" style="22" customWidth="1"/>
    <col min="5385" max="5385" width="9" style="22" customWidth="1"/>
    <col min="5386" max="5386" width="9.140625" style="22" customWidth="1"/>
    <col min="5387" max="5631" width="9.140625" style="22"/>
    <col min="5632" max="5632" width="14" style="22" customWidth="1"/>
    <col min="5633" max="5633" width="12.140625" style="22" customWidth="1"/>
    <col min="5634" max="5635" width="12.5703125" style="22" customWidth="1"/>
    <col min="5636" max="5636" width="9.42578125" style="22" customWidth="1"/>
    <col min="5637" max="5637" width="17.140625" style="22" bestFit="1" customWidth="1"/>
    <col min="5638" max="5638" width="16.7109375" style="22" customWidth="1"/>
    <col min="5639" max="5639" width="13.7109375" style="22" customWidth="1"/>
    <col min="5640" max="5640" width="10" style="22" customWidth="1"/>
    <col min="5641" max="5641" width="9" style="22" customWidth="1"/>
    <col min="5642" max="5642" width="9.140625" style="22" customWidth="1"/>
    <col min="5643" max="5887" width="9.140625" style="22"/>
    <col min="5888" max="5888" width="14" style="22" customWidth="1"/>
    <col min="5889" max="5889" width="12.140625" style="22" customWidth="1"/>
    <col min="5890" max="5891" width="12.5703125" style="22" customWidth="1"/>
    <col min="5892" max="5892" width="9.42578125" style="22" customWidth="1"/>
    <col min="5893" max="5893" width="17.140625" style="22" bestFit="1" customWidth="1"/>
    <col min="5894" max="5894" width="16.7109375" style="22" customWidth="1"/>
    <col min="5895" max="5895" width="13.7109375" style="22" customWidth="1"/>
    <col min="5896" max="5896" width="10" style="22" customWidth="1"/>
    <col min="5897" max="5897" width="9" style="22" customWidth="1"/>
    <col min="5898" max="5898" width="9.140625" style="22" customWidth="1"/>
    <col min="5899" max="6143" width="9.140625" style="22"/>
    <col min="6144" max="6144" width="14" style="22" customWidth="1"/>
    <col min="6145" max="6145" width="12.140625" style="22" customWidth="1"/>
    <col min="6146" max="6147" width="12.5703125" style="22" customWidth="1"/>
    <col min="6148" max="6148" width="9.42578125" style="22" customWidth="1"/>
    <col min="6149" max="6149" width="17.140625" style="22" bestFit="1" customWidth="1"/>
    <col min="6150" max="6150" width="16.7109375" style="22" customWidth="1"/>
    <col min="6151" max="6151" width="13.7109375" style="22" customWidth="1"/>
    <col min="6152" max="6152" width="10" style="22" customWidth="1"/>
    <col min="6153" max="6153" width="9" style="22" customWidth="1"/>
    <col min="6154" max="6154" width="9.140625" style="22" customWidth="1"/>
    <col min="6155" max="6399" width="9.140625" style="22"/>
    <col min="6400" max="6400" width="14" style="22" customWidth="1"/>
    <col min="6401" max="6401" width="12.140625" style="22" customWidth="1"/>
    <col min="6402" max="6403" width="12.5703125" style="22" customWidth="1"/>
    <col min="6404" max="6404" width="9.42578125" style="22" customWidth="1"/>
    <col min="6405" max="6405" width="17.140625" style="22" bestFit="1" customWidth="1"/>
    <col min="6406" max="6406" width="16.7109375" style="22" customWidth="1"/>
    <col min="6407" max="6407" width="13.7109375" style="22" customWidth="1"/>
    <col min="6408" max="6408" width="10" style="22" customWidth="1"/>
    <col min="6409" max="6409" width="9" style="22" customWidth="1"/>
    <col min="6410" max="6410" width="9.140625" style="22" customWidth="1"/>
    <col min="6411" max="6655" width="9.140625" style="22"/>
    <col min="6656" max="6656" width="14" style="22" customWidth="1"/>
    <col min="6657" max="6657" width="12.140625" style="22" customWidth="1"/>
    <col min="6658" max="6659" width="12.5703125" style="22" customWidth="1"/>
    <col min="6660" max="6660" width="9.42578125" style="22" customWidth="1"/>
    <col min="6661" max="6661" width="17.140625" style="22" bestFit="1" customWidth="1"/>
    <col min="6662" max="6662" width="16.7109375" style="22" customWidth="1"/>
    <col min="6663" max="6663" width="13.7109375" style="22" customWidth="1"/>
    <col min="6664" max="6664" width="10" style="22" customWidth="1"/>
    <col min="6665" max="6665" width="9" style="22" customWidth="1"/>
    <col min="6666" max="6666" width="9.140625" style="22" customWidth="1"/>
    <col min="6667" max="6911" width="9.140625" style="22"/>
    <col min="6912" max="6912" width="14" style="22" customWidth="1"/>
    <col min="6913" max="6913" width="12.140625" style="22" customWidth="1"/>
    <col min="6914" max="6915" width="12.5703125" style="22" customWidth="1"/>
    <col min="6916" max="6916" width="9.42578125" style="22" customWidth="1"/>
    <col min="6917" max="6917" width="17.140625" style="22" bestFit="1" customWidth="1"/>
    <col min="6918" max="6918" width="16.7109375" style="22" customWidth="1"/>
    <col min="6919" max="6919" width="13.7109375" style="22" customWidth="1"/>
    <col min="6920" max="6920" width="10" style="22" customWidth="1"/>
    <col min="6921" max="6921" width="9" style="22" customWidth="1"/>
    <col min="6922" max="6922" width="9.140625" style="22" customWidth="1"/>
    <col min="6923" max="7167" width="9.140625" style="22"/>
    <col min="7168" max="7168" width="14" style="22" customWidth="1"/>
    <col min="7169" max="7169" width="12.140625" style="22" customWidth="1"/>
    <col min="7170" max="7171" width="12.5703125" style="22" customWidth="1"/>
    <col min="7172" max="7172" width="9.42578125" style="22" customWidth="1"/>
    <col min="7173" max="7173" width="17.140625" style="22" bestFit="1" customWidth="1"/>
    <col min="7174" max="7174" width="16.7109375" style="22" customWidth="1"/>
    <col min="7175" max="7175" width="13.7109375" style="22" customWidth="1"/>
    <col min="7176" max="7176" width="10" style="22" customWidth="1"/>
    <col min="7177" max="7177" width="9" style="22" customWidth="1"/>
    <col min="7178" max="7178" width="9.140625" style="22" customWidth="1"/>
    <col min="7179" max="7423" width="9.140625" style="22"/>
    <col min="7424" max="7424" width="14" style="22" customWidth="1"/>
    <col min="7425" max="7425" width="12.140625" style="22" customWidth="1"/>
    <col min="7426" max="7427" width="12.5703125" style="22" customWidth="1"/>
    <col min="7428" max="7428" width="9.42578125" style="22" customWidth="1"/>
    <col min="7429" max="7429" width="17.140625" style="22" bestFit="1" customWidth="1"/>
    <col min="7430" max="7430" width="16.7109375" style="22" customWidth="1"/>
    <col min="7431" max="7431" width="13.7109375" style="22" customWidth="1"/>
    <col min="7432" max="7432" width="10" style="22" customWidth="1"/>
    <col min="7433" max="7433" width="9" style="22" customWidth="1"/>
    <col min="7434" max="7434" width="9.140625" style="22" customWidth="1"/>
    <col min="7435" max="7679" width="9.140625" style="22"/>
    <col min="7680" max="7680" width="14" style="22" customWidth="1"/>
    <col min="7681" max="7681" width="12.140625" style="22" customWidth="1"/>
    <col min="7682" max="7683" width="12.5703125" style="22" customWidth="1"/>
    <col min="7684" max="7684" width="9.42578125" style="22" customWidth="1"/>
    <col min="7685" max="7685" width="17.140625" style="22" bestFit="1" customWidth="1"/>
    <col min="7686" max="7686" width="16.7109375" style="22" customWidth="1"/>
    <col min="7687" max="7687" width="13.7109375" style="22" customWidth="1"/>
    <col min="7688" max="7688" width="10" style="22" customWidth="1"/>
    <col min="7689" max="7689" width="9" style="22" customWidth="1"/>
    <col min="7690" max="7690" width="9.140625" style="22" customWidth="1"/>
    <col min="7691" max="7935" width="9.140625" style="22"/>
    <col min="7936" max="7936" width="14" style="22" customWidth="1"/>
    <col min="7937" max="7937" width="12.140625" style="22" customWidth="1"/>
    <col min="7938" max="7939" width="12.5703125" style="22" customWidth="1"/>
    <col min="7940" max="7940" width="9.42578125" style="22" customWidth="1"/>
    <col min="7941" max="7941" width="17.140625" style="22" bestFit="1" customWidth="1"/>
    <col min="7942" max="7942" width="16.7109375" style="22" customWidth="1"/>
    <col min="7943" max="7943" width="13.7109375" style="22" customWidth="1"/>
    <col min="7944" max="7944" width="10" style="22" customWidth="1"/>
    <col min="7945" max="7945" width="9" style="22" customWidth="1"/>
    <col min="7946" max="7946" width="9.140625" style="22" customWidth="1"/>
    <col min="7947" max="8191" width="9.140625" style="22"/>
    <col min="8192" max="8192" width="14" style="22" customWidth="1"/>
    <col min="8193" max="8193" width="12.140625" style="22" customWidth="1"/>
    <col min="8194" max="8195" width="12.5703125" style="22" customWidth="1"/>
    <col min="8196" max="8196" width="9.42578125" style="22" customWidth="1"/>
    <col min="8197" max="8197" width="17.140625" style="22" bestFit="1" customWidth="1"/>
    <col min="8198" max="8198" width="16.7109375" style="22" customWidth="1"/>
    <col min="8199" max="8199" width="13.7109375" style="22" customWidth="1"/>
    <col min="8200" max="8200" width="10" style="22" customWidth="1"/>
    <col min="8201" max="8201" width="9" style="22" customWidth="1"/>
    <col min="8202" max="8202" width="9.140625" style="22" customWidth="1"/>
    <col min="8203" max="8447" width="9.140625" style="22"/>
    <col min="8448" max="8448" width="14" style="22" customWidth="1"/>
    <col min="8449" max="8449" width="12.140625" style="22" customWidth="1"/>
    <col min="8450" max="8451" width="12.5703125" style="22" customWidth="1"/>
    <col min="8452" max="8452" width="9.42578125" style="22" customWidth="1"/>
    <col min="8453" max="8453" width="17.140625" style="22" bestFit="1" customWidth="1"/>
    <col min="8454" max="8454" width="16.7109375" style="22" customWidth="1"/>
    <col min="8455" max="8455" width="13.7109375" style="22" customWidth="1"/>
    <col min="8456" max="8456" width="10" style="22" customWidth="1"/>
    <col min="8457" max="8457" width="9" style="22" customWidth="1"/>
    <col min="8458" max="8458" width="9.140625" style="22" customWidth="1"/>
    <col min="8459" max="8703" width="9.140625" style="22"/>
    <col min="8704" max="8704" width="14" style="22" customWidth="1"/>
    <col min="8705" max="8705" width="12.140625" style="22" customWidth="1"/>
    <col min="8706" max="8707" width="12.5703125" style="22" customWidth="1"/>
    <col min="8708" max="8708" width="9.42578125" style="22" customWidth="1"/>
    <col min="8709" max="8709" width="17.140625" style="22" bestFit="1" customWidth="1"/>
    <col min="8710" max="8710" width="16.7109375" style="22" customWidth="1"/>
    <col min="8711" max="8711" width="13.7109375" style="22" customWidth="1"/>
    <col min="8712" max="8712" width="10" style="22" customWidth="1"/>
    <col min="8713" max="8713" width="9" style="22" customWidth="1"/>
    <col min="8714" max="8714" width="9.140625" style="22" customWidth="1"/>
    <col min="8715" max="8959" width="9.140625" style="22"/>
    <col min="8960" max="8960" width="14" style="22" customWidth="1"/>
    <col min="8961" max="8961" width="12.140625" style="22" customWidth="1"/>
    <col min="8962" max="8963" width="12.5703125" style="22" customWidth="1"/>
    <col min="8964" max="8964" width="9.42578125" style="22" customWidth="1"/>
    <col min="8965" max="8965" width="17.140625" style="22" bestFit="1" customWidth="1"/>
    <col min="8966" max="8966" width="16.7109375" style="22" customWidth="1"/>
    <col min="8967" max="8967" width="13.7109375" style="22" customWidth="1"/>
    <col min="8968" max="8968" width="10" style="22" customWidth="1"/>
    <col min="8969" max="8969" width="9" style="22" customWidth="1"/>
    <col min="8970" max="8970" width="9.140625" style="22" customWidth="1"/>
    <col min="8971" max="9215" width="9.140625" style="22"/>
    <col min="9216" max="9216" width="14" style="22" customWidth="1"/>
    <col min="9217" max="9217" width="12.140625" style="22" customWidth="1"/>
    <col min="9218" max="9219" width="12.5703125" style="22" customWidth="1"/>
    <col min="9220" max="9220" width="9.42578125" style="22" customWidth="1"/>
    <col min="9221" max="9221" width="17.140625" style="22" bestFit="1" customWidth="1"/>
    <col min="9222" max="9222" width="16.7109375" style="22" customWidth="1"/>
    <col min="9223" max="9223" width="13.7109375" style="22" customWidth="1"/>
    <col min="9224" max="9224" width="10" style="22" customWidth="1"/>
    <col min="9225" max="9225" width="9" style="22" customWidth="1"/>
    <col min="9226" max="9226" width="9.140625" style="22" customWidth="1"/>
    <col min="9227" max="9471" width="9.140625" style="22"/>
    <col min="9472" max="9472" width="14" style="22" customWidth="1"/>
    <col min="9473" max="9473" width="12.140625" style="22" customWidth="1"/>
    <col min="9474" max="9475" width="12.5703125" style="22" customWidth="1"/>
    <col min="9476" max="9476" width="9.42578125" style="22" customWidth="1"/>
    <col min="9477" max="9477" width="17.140625" style="22" bestFit="1" customWidth="1"/>
    <col min="9478" max="9478" width="16.7109375" style="22" customWidth="1"/>
    <col min="9479" max="9479" width="13.7109375" style="22" customWidth="1"/>
    <col min="9480" max="9480" width="10" style="22" customWidth="1"/>
    <col min="9481" max="9481" width="9" style="22" customWidth="1"/>
    <col min="9482" max="9482" width="9.140625" style="22" customWidth="1"/>
    <col min="9483" max="9727" width="9.140625" style="22"/>
    <col min="9728" max="9728" width="14" style="22" customWidth="1"/>
    <col min="9729" max="9729" width="12.140625" style="22" customWidth="1"/>
    <col min="9730" max="9731" width="12.5703125" style="22" customWidth="1"/>
    <col min="9732" max="9732" width="9.42578125" style="22" customWidth="1"/>
    <col min="9733" max="9733" width="17.140625" style="22" bestFit="1" customWidth="1"/>
    <col min="9734" max="9734" width="16.7109375" style="22" customWidth="1"/>
    <col min="9735" max="9735" width="13.7109375" style="22" customWidth="1"/>
    <col min="9736" max="9736" width="10" style="22" customWidth="1"/>
    <col min="9737" max="9737" width="9" style="22" customWidth="1"/>
    <col min="9738" max="9738" width="9.140625" style="22" customWidth="1"/>
    <col min="9739" max="9983" width="9.140625" style="22"/>
    <col min="9984" max="9984" width="14" style="22" customWidth="1"/>
    <col min="9985" max="9985" width="12.140625" style="22" customWidth="1"/>
    <col min="9986" max="9987" width="12.5703125" style="22" customWidth="1"/>
    <col min="9988" max="9988" width="9.42578125" style="22" customWidth="1"/>
    <col min="9989" max="9989" width="17.140625" style="22" bestFit="1" customWidth="1"/>
    <col min="9990" max="9990" width="16.7109375" style="22" customWidth="1"/>
    <col min="9991" max="9991" width="13.7109375" style="22" customWidth="1"/>
    <col min="9992" max="9992" width="10" style="22" customWidth="1"/>
    <col min="9993" max="9993" width="9" style="22" customWidth="1"/>
    <col min="9994" max="9994" width="9.140625" style="22" customWidth="1"/>
    <col min="9995" max="10239" width="9.140625" style="22"/>
    <col min="10240" max="10240" width="14" style="22" customWidth="1"/>
    <col min="10241" max="10241" width="12.140625" style="22" customWidth="1"/>
    <col min="10242" max="10243" width="12.5703125" style="22" customWidth="1"/>
    <col min="10244" max="10244" width="9.42578125" style="22" customWidth="1"/>
    <col min="10245" max="10245" width="17.140625" style="22" bestFit="1" customWidth="1"/>
    <col min="10246" max="10246" width="16.7109375" style="22" customWidth="1"/>
    <col min="10247" max="10247" width="13.7109375" style="22" customWidth="1"/>
    <col min="10248" max="10248" width="10" style="22" customWidth="1"/>
    <col min="10249" max="10249" width="9" style="22" customWidth="1"/>
    <col min="10250" max="10250" width="9.140625" style="22" customWidth="1"/>
    <col min="10251" max="10495" width="9.140625" style="22"/>
    <col min="10496" max="10496" width="14" style="22" customWidth="1"/>
    <col min="10497" max="10497" width="12.140625" style="22" customWidth="1"/>
    <col min="10498" max="10499" width="12.5703125" style="22" customWidth="1"/>
    <col min="10500" max="10500" width="9.42578125" style="22" customWidth="1"/>
    <col min="10501" max="10501" width="17.140625" style="22" bestFit="1" customWidth="1"/>
    <col min="10502" max="10502" width="16.7109375" style="22" customWidth="1"/>
    <col min="10503" max="10503" width="13.7109375" style="22" customWidth="1"/>
    <col min="10504" max="10504" width="10" style="22" customWidth="1"/>
    <col min="10505" max="10505" width="9" style="22" customWidth="1"/>
    <col min="10506" max="10506" width="9.140625" style="22" customWidth="1"/>
    <col min="10507" max="10751" width="9.140625" style="22"/>
    <col min="10752" max="10752" width="14" style="22" customWidth="1"/>
    <col min="10753" max="10753" width="12.140625" style="22" customWidth="1"/>
    <col min="10754" max="10755" width="12.5703125" style="22" customWidth="1"/>
    <col min="10756" max="10756" width="9.42578125" style="22" customWidth="1"/>
    <col min="10757" max="10757" width="17.140625" style="22" bestFit="1" customWidth="1"/>
    <col min="10758" max="10758" width="16.7109375" style="22" customWidth="1"/>
    <col min="10759" max="10759" width="13.7109375" style="22" customWidth="1"/>
    <col min="10760" max="10760" width="10" style="22" customWidth="1"/>
    <col min="10761" max="10761" width="9" style="22" customWidth="1"/>
    <col min="10762" max="10762" width="9.140625" style="22" customWidth="1"/>
    <col min="10763" max="11007" width="9.140625" style="22"/>
    <col min="11008" max="11008" width="14" style="22" customWidth="1"/>
    <col min="11009" max="11009" width="12.140625" style="22" customWidth="1"/>
    <col min="11010" max="11011" width="12.5703125" style="22" customWidth="1"/>
    <col min="11012" max="11012" width="9.42578125" style="22" customWidth="1"/>
    <col min="11013" max="11013" width="17.140625" style="22" bestFit="1" customWidth="1"/>
    <col min="11014" max="11014" width="16.7109375" style="22" customWidth="1"/>
    <col min="11015" max="11015" width="13.7109375" style="22" customWidth="1"/>
    <col min="11016" max="11016" width="10" style="22" customWidth="1"/>
    <col min="11017" max="11017" width="9" style="22" customWidth="1"/>
    <col min="11018" max="11018" width="9.140625" style="22" customWidth="1"/>
    <col min="11019" max="11263" width="9.140625" style="22"/>
    <col min="11264" max="11264" width="14" style="22" customWidth="1"/>
    <col min="11265" max="11265" width="12.140625" style="22" customWidth="1"/>
    <col min="11266" max="11267" width="12.5703125" style="22" customWidth="1"/>
    <col min="11268" max="11268" width="9.42578125" style="22" customWidth="1"/>
    <col min="11269" max="11269" width="17.140625" style="22" bestFit="1" customWidth="1"/>
    <col min="11270" max="11270" width="16.7109375" style="22" customWidth="1"/>
    <col min="11271" max="11271" width="13.7109375" style="22" customWidth="1"/>
    <col min="11272" max="11272" width="10" style="22" customWidth="1"/>
    <col min="11273" max="11273" width="9" style="22" customWidth="1"/>
    <col min="11274" max="11274" width="9.140625" style="22" customWidth="1"/>
    <col min="11275" max="11519" width="9.140625" style="22"/>
    <col min="11520" max="11520" width="14" style="22" customWidth="1"/>
    <col min="11521" max="11521" width="12.140625" style="22" customWidth="1"/>
    <col min="11522" max="11523" width="12.5703125" style="22" customWidth="1"/>
    <col min="11524" max="11524" width="9.42578125" style="22" customWidth="1"/>
    <col min="11525" max="11525" width="17.140625" style="22" bestFit="1" customWidth="1"/>
    <col min="11526" max="11526" width="16.7109375" style="22" customWidth="1"/>
    <col min="11527" max="11527" width="13.7109375" style="22" customWidth="1"/>
    <col min="11528" max="11528" width="10" style="22" customWidth="1"/>
    <col min="11529" max="11529" width="9" style="22" customWidth="1"/>
    <col min="11530" max="11530" width="9.140625" style="22" customWidth="1"/>
    <col min="11531" max="11775" width="9.140625" style="22"/>
    <col min="11776" max="11776" width="14" style="22" customWidth="1"/>
    <col min="11777" max="11777" width="12.140625" style="22" customWidth="1"/>
    <col min="11778" max="11779" width="12.5703125" style="22" customWidth="1"/>
    <col min="11780" max="11780" width="9.42578125" style="22" customWidth="1"/>
    <col min="11781" max="11781" width="17.140625" style="22" bestFit="1" customWidth="1"/>
    <col min="11782" max="11782" width="16.7109375" style="22" customWidth="1"/>
    <col min="11783" max="11783" width="13.7109375" style="22" customWidth="1"/>
    <col min="11784" max="11784" width="10" style="22" customWidth="1"/>
    <col min="11785" max="11785" width="9" style="22" customWidth="1"/>
    <col min="11786" max="11786" width="9.140625" style="22" customWidth="1"/>
    <col min="11787" max="12031" width="9.140625" style="22"/>
    <col min="12032" max="12032" width="14" style="22" customWidth="1"/>
    <col min="12033" max="12033" width="12.140625" style="22" customWidth="1"/>
    <col min="12034" max="12035" width="12.5703125" style="22" customWidth="1"/>
    <col min="12036" max="12036" width="9.42578125" style="22" customWidth="1"/>
    <col min="12037" max="12037" width="17.140625" style="22" bestFit="1" customWidth="1"/>
    <col min="12038" max="12038" width="16.7109375" style="22" customWidth="1"/>
    <col min="12039" max="12039" width="13.7109375" style="22" customWidth="1"/>
    <col min="12040" max="12040" width="10" style="22" customWidth="1"/>
    <col min="12041" max="12041" width="9" style="22" customWidth="1"/>
    <col min="12042" max="12042" width="9.140625" style="22" customWidth="1"/>
    <col min="12043" max="12287" width="9.140625" style="22"/>
    <col min="12288" max="12288" width="14" style="22" customWidth="1"/>
    <col min="12289" max="12289" width="12.140625" style="22" customWidth="1"/>
    <col min="12290" max="12291" width="12.5703125" style="22" customWidth="1"/>
    <col min="12292" max="12292" width="9.42578125" style="22" customWidth="1"/>
    <col min="12293" max="12293" width="17.140625" style="22" bestFit="1" customWidth="1"/>
    <col min="12294" max="12294" width="16.7109375" style="22" customWidth="1"/>
    <col min="12295" max="12295" width="13.7109375" style="22" customWidth="1"/>
    <col min="12296" max="12296" width="10" style="22" customWidth="1"/>
    <col min="12297" max="12297" width="9" style="22" customWidth="1"/>
    <col min="12298" max="12298" width="9.140625" style="22" customWidth="1"/>
    <col min="12299" max="12543" width="9.140625" style="22"/>
    <col min="12544" max="12544" width="14" style="22" customWidth="1"/>
    <col min="12545" max="12545" width="12.140625" style="22" customWidth="1"/>
    <col min="12546" max="12547" width="12.5703125" style="22" customWidth="1"/>
    <col min="12548" max="12548" width="9.42578125" style="22" customWidth="1"/>
    <col min="12549" max="12549" width="17.140625" style="22" bestFit="1" customWidth="1"/>
    <col min="12550" max="12550" width="16.7109375" style="22" customWidth="1"/>
    <col min="12551" max="12551" width="13.7109375" style="22" customWidth="1"/>
    <col min="12552" max="12552" width="10" style="22" customWidth="1"/>
    <col min="12553" max="12553" width="9" style="22" customWidth="1"/>
    <col min="12554" max="12554" width="9.140625" style="22" customWidth="1"/>
    <col min="12555" max="12799" width="9.140625" style="22"/>
    <col min="12800" max="12800" width="14" style="22" customWidth="1"/>
    <col min="12801" max="12801" width="12.140625" style="22" customWidth="1"/>
    <col min="12802" max="12803" width="12.5703125" style="22" customWidth="1"/>
    <col min="12804" max="12804" width="9.42578125" style="22" customWidth="1"/>
    <col min="12805" max="12805" width="17.140625" style="22" bestFit="1" customWidth="1"/>
    <col min="12806" max="12806" width="16.7109375" style="22" customWidth="1"/>
    <col min="12807" max="12807" width="13.7109375" style="22" customWidth="1"/>
    <col min="12808" max="12808" width="10" style="22" customWidth="1"/>
    <col min="12809" max="12809" width="9" style="22" customWidth="1"/>
    <col min="12810" max="12810" width="9.140625" style="22" customWidth="1"/>
    <col min="12811" max="13055" width="9.140625" style="22"/>
    <col min="13056" max="13056" width="14" style="22" customWidth="1"/>
    <col min="13057" max="13057" width="12.140625" style="22" customWidth="1"/>
    <col min="13058" max="13059" width="12.5703125" style="22" customWidth="1"/>
    <col min="13060" max="13060" width="9.42578125" style="22" customWidth="1"/>
    <col min="13061" max="13061" width="17.140625" style="22" bestFit="1" customWidth="1"/>
    <col min="13062" max="13062" width="16.7109375" style="22" customWidth="1"/>
    <col min="13063" max="13063" width="13.7109375" style="22" customWidth="1"/>
    <col min="13064" max="13064" width="10" style="22" customWidth="1"/>
    <col min="13065" max="13065" width="9" style="22" customWidth="1"/>
    <col min="13066" max="13066" width="9.140625" style="22" customWidth="1"/>
    <col min="13067" max="13311" width="9.140625" style="22"/>
    <col min="13312" max="13312" width="14" style="22" customWidth="1"/>
    <col min="13313" max="13313" width="12.140625" style="22" customWidth="1"/>
    <col min="13314" max="13315" width="12.5703125" style="22" customWidth="1"/>
    <col min="13316" max="13316" width="9.42578125" style="22" customWidth="1"/>
    <col min="13317" max="13317" width="17.140625" style="22" bestFit="1" customWidth="1"/>
    <col min="13318" max="13318" width="16.7109375" style="22" customWidth="1"/>
    <col min="13319" max="13319" width="13.7109375" style="22" customWidth="1"/>
    <col min="13320" max="13320" width="10" style="22" customWidth="1"/>
    <col min="13321" max="13321" width="9" style="22" customWidth="1"/>
    <col min="13322" max="13322" width="9.140625" style="22" customWidth="1"/>
    <col min="13323" max="13567" width="9.140625" style="22"/>
    <col min="13568" max="13568" width="14" style="22" customWidth="1"/>
    <col min="13569" max="13569" width="12.140625" style="22" customWidth="1"/>
    <col min="13570" max="13571" width="12.5703125" style="22" customWidth="1"/>
    <col min="13572" max="13572" width="9.42578125" style="22" customWidth="1"/>
    <col min="13573" max="13573" width="17.140625" style="22" bestFit="1" customWidth="1"/>
    <col min="13574" max="13574" width="16.7109375" style="22" customWidth="1"/>
    <col min="13575" max="13575" width="13.7109375" style="22" customWidth="1"/>
    <col min="13576" max="13576" width="10" style="22" customWidth="1"/>
    <col min="13577" max="13577" width="9" style="22" customWidth="1"/>
    <col min="13578" max="13578" width="9.140625" style="22" customWidth="1"/>
    <col min="13579" max="13823" width="9.140625" style="22"/>
    <col min="13824" max="13824" width="14" style="22" customWidth="1"/>
    <col min="13825" max="13825" width="12.140625" style="22" customWidth="1"/>
    <col min="13826" max="13827" width="12.5703125" style="22" customWidth="1"/>
    <col min="13828" max="13828" width="9.42578125" style="22" customWidth="1"/>
    <col min="13829" max="13829" width="17.140625" style="22" bestFit="1" customWidth="1"/>
    <col min="13830" max="13830" width="16.7109375" style="22" customWidth="1"/>
    <col min="13831" max="13831" width="13.7109375" style="22" customWidth="1"/>
    <col min="13832" max="13832" width="10" style="22" customWidth="1"/>
    <col min="13833" max="13833" width="9" style="22" customWidth="1"/>
    <col min="13834" max="13834" width="9.140625" style="22" customWidth="1"/>
    <col min="13835" max="14079" width="9.140625" style="22"/>
    <col min="14080" max="14080" width="14" style="22" customWidth="1"/>
    <col min="14081" max="14081" width="12.140625" style="22" customWidth="1"/>
    <col min="14082" max="14083" width="12.5703125" style="22" customWidth="1"/>
    <col min="14084" max="14084" width="9.42578125" style="22" customWidth="1"/>
    <col min="14085" max="14085" width="17.140625" style="22" bestFit="1" customWidth="1"/>
    <col min="14086" max="14086" width="16.7109375" style="22" customWidth="1"/>
    <col min="14087" max="14087" width="13.7109375" style="22" customWidth="1"/>
    <col min="14088" max="14088" width="10" style="22" customWidth="1"/>
    <col min="14089" max="14089" width="9" style="22" customWidth="1"/>
    <col min="14090" max="14090" width="9.140625" style="22" customWidth="1"/>
    <col min="14091" max="14335" width="9.140625" style="22"/>
    <col min="14336" max="14336" width="14" style="22" customWidth="1"/>
    <col min="14337" max="14337" width="12.140625" style="22" customWidth="1"/>
    <col min="14338" max="14339" width="12.5703125" style="22" customWidth="1"/>
    <col min="14340" max="14340" width="9.42578125" style="22" customWidth="1"/>
    <col min="14341" max="14341" width="17.140625" style="22" bestFit="1" customWidth="1"/>
    <col min="14342" max="14342" width="16.7109375" style="22" customWidth="1"/>
    <col min="14343" max="14343" width="13.7109375" style="22" customWidth="1"/>
    <col min="14344" max="14344" width="10" style="22" customWidth="1"/>
    <col min="14345" max="14345" width="9" style="22" customWidth="1"/>
    <col min="14346" max="14346" width="9.140625" style="22" customWidth="1"/>
    <col min="14347" max="14591" width="9.140625" style="22"/>
    <col min="14592" max="14592" width="14" style="22" customWidth="1"/>
    <col min="14593" max="14593" width="12.140625" style="22" customWidth="1"/>
    <col min="14594" max="14595" width="12.5703125" style="22" customWidth="1"/>
    <col min="14596" max="14596" width="9.42578125" style="22" customWidth="1"/>
    <col min="14597" max="14597" width="17.140625" style="22" bestFit="1" customWidth="1"/>
    <col min="14598" max="14598" width="16.7109375" style="22" customWidth="1"/>
    <col min="14599" max="14599" width="13.7109375" style="22" customWidth="1"/>
    <col min="14600" max="14600" width="10" style="22" customWidth="1"/>
    <col min="14601" max="14601" width="9" style="22" customWidth="1"/>
    <col min="14602" max="14602" width="9.140625" style="22" customWidth="1"/>
    <col min="14603" max="14847" width="9.140625" style="22"/>
    <col min="14848" max="14848" width="14" style="22" customWidth="1"/>
    <col min="14849" max="14849" width="12.140625" style="22" customWidth="1"/>
    <col min="14850" max="14851" width="12.5703125" style="22" customWidth="1"/>
    <col min="14852" max="14852" width="9.42578125" style="22" customWidth="1"/>
    <col min="14853" max="14853" width="17.140625" style="22" bestFit="1" customWidth="1"/>
    <col min="14854" max="14854" width="16.7109375" style="22" customWidth="1"/>
    <col min="14855" max="14855" width="13.7109375" style="22" customWidth="1"/>
    <col min="14856" max="14856" width="10" style="22" customWidth="1"/>
    <col min="14857" max="14857" width="9" style="22" customWidth="1"/>
    <col min="14858" max="14858" width="9.140625" style="22" customWidth="1"/>
    <col min="14859" max="15103" width="9.140625" style="22"/>
    <col min="15104" max="15104" width="14" style="22" customWidth="1"/>
    <col min="15105" max="15105" width="12.140625" style="22" customWidth="1"/>
    <col min="15106" max="15107" width="12.5703125" style="22" customWidth="1"/>
    <col min="15108" max="15108" width="9.42578125" style="22" customWidth="1"/>
    <col min="15109" max="15109" width="17.140625" style="22" bestFit="1" customWidth="1"/>
    <col min="15110" max="15110" width="16.7109375" style="22" customWidth="1"/>
    <col min="15111" max="15111" width="13.7109375" style="22" customWidth="1"/>
    <col min="15112" max="15112" width="10" style="22" customWidth="1"/>
    <col min="15113" max="15113" width="9" style="22" customWidth="1"/>
    <col min="15114" max="15114" width="9.140625" style="22" customWidth="1"/>
    <col min="15115" max="15359" width="9.140625" style="22"/>
    <col min="15360" max="15360" width="14" style="22" customWidth="1"/>
    <col min="15361" max="15361" width="12.140625" style="22" customWidth="1"/>
    <col min="15362" max="15363" width="12.5703125" style="22" customWidth="1"/>
    <col min="15364" max="15364" width="9.42578125" style="22" customWidth="1"/>
    <col min="15365" max="15365" width="17.140625" style="22" bestFit="1" customWidth="1"/>
    <col min="15366" max="15366" width="16.7109375" style="22" customWidth="1"/>
    <col min="15367" max="15367" width="13.7109375" style="22" customWidth="1"/>
    <col min="15368" max="15368" width="10" style="22" customWidth="1"/>
    <col min="15369" max="15369" width="9" style="22" customWidth="1"/>
    <col min="15370" max="15370" width="9.140625" style="22" customWidth="1"/>
    <col min="15371" max="15615" width="9.140625" style="22"/>
    <col min="15616" max="15616" width="14" style="22" customWidth="1"/>
    <col min="15617" max="15617" width="12.140625" style="22" customWidth="1"/>
    <col min="15618" max="15619" width="12.5703125" style="22" customWidth="1"/>
    <col min="15620" max="15620" width="9.42578125" style="22" customWidth="1"/>
    <col min="15621" max="15621" width="17.140625" style="22" bestFit="1" customWidth="1"/>
    <col min="15622" max="15622" width="16.7109375" style="22" customWidth="1"/>
    <col min="15623" max="15623" width="13.7109375" style="22" customWidth="1"/>
    <col min="15624" max="15624" width="10" style="22" customWidth="1"/>
    <col min="15625" max="15625" width="9" style="22" customWidth="1"/>
    <col min="15626" max="15626" width="9.140625" style="22" customWidth="1"/>
    <col min="15627" max="15871" width="9.140625" style="22"/>
    <col min="15872" max="15872" width="14" style="22" customWidth="1"/>
    <col min="15873" max="15873" width="12.140625" style="22" customWidth="1"/>
    <col min="15874" max="15875" width="12.5703125" style="22" customWidth="1"/>
    <col min="15876" max="15876" width="9.42578125" style="22" customWidth="1"/>
    <col min="15877" max="15877" width="17.140625" style="22" bestFit="1" customWidth="1"/>
    <col min="15878" max="15878" width="16.7109375" style="22" customWidth="1"/>
    <col min="15879" max="15879" width="13.7109375" style="22" customWidth="1"/>
    <col min="15880" max="15880" width="10" style="22" customWidth="1"/>
    <col min="15881" max="15881" width="9" style="22" customWidth="1"/>
    <col min="15882" max="15882" width="9.140625" style="22" customWidth="1"/>
    <col min="15883" max="16127" width="9.140625" style="22"/>
    <col min="16128" max="16128" width="14" style="22" customWidth="1"/>
    <col min="16129" max="16129" width="12.140625" style="22" customWidth="1"/>
    <col min="16130" max="16131" width="12.5703125" style="22" customWidth="1"/>
    <col min="16132" max="16132" width="9.42578125" style="22" customWidth="1"/>
    <col min="16133" max="16133" width="17.140625" style="22" bestFit="1" customWidth="1"/>
    <col min="16134" max="16134" width="16.7109375" style="22" customWidth="1"/>
    <col min="16135" max="16135" width="13.7109375" style="22" customWidth="1"/>
    <col min="16136" max="16136" width="10" style="22" customWidth="1"/>
    <col min="16137" max="16137" width="9" style="22" customWidth="1"/>
    <col min="16138" max="16138" width="9.140625" style="22" customWidth="1"/>
    <col min="16139" max="16384" width="9.140625" style="22"/>
  </cols>
  <sheetData>
    <row r="1" spans="1:13" ht="18" x14ac:dyDescent="0.25">
      <c r="A1" s="29" t="s">
        <v>44</v>
      </c>
    </row>
    <row r="2" spans="1:13" ht="26.25" x14ac:dyDescent="0.25">
      <c r="A2" s="32"/>
      <c r="B2" s="33" t="s">
        <v>45</v>
      </c>
      <c r="C2" s="33" t="s">
        <v>46</v>
      </c>
      <c r="D2" s="33" t="s">
        <v>46</v>
      </c>
      <c r="E2" s="34" t="s">
        <v>41</v>
      </c>
      <c r="F2" s="35" t="s">
        <v>47</v>
      </c>
      <c r="G2" s="33" t="s">
        <v>47</v>
      </c>
      <c r="H2" s="33" t="s">
        <v>38</v>
      </c>
      <c r="I2" s="14" t="s">
        <v>20</v>
      </c>
      <c r="J2" s="81" t="s">
        <v>48</v>
      </c>
      <c r="K2" s="37"/>
    </row>
    <row r="3" spans="1:13" x14ac:dyDescent="0.2">
      <c r="A3" s="38"/>
      <c r="B3" s="33" t="s">
        <v>49</v>
      </c>
      <c r="C3" s="33" t="s">
        <v>50</v>
      </c>
      <c r="D3" s="33" t="s">
        <v>51</v>
      </c>
      <c r="E3" s="34" t="s">
        <v>52</v>
      </c>
      <c r="F3" s="35" t="s">
        <v>50</v>
      </c>
      <c r="G3" s="33" t="s">
        <v>51</v>
      </c>
      <c r="H3" s="33" t="s">
        <v>53</v>
      </c>
      <c r="I3" s="14" t="s">
        <v>25</v>
      </c>
      <c r="J3" s="74"/>
      <c r="K3" s="37"/>
    </row>
    <row r="4" spans="1:13" x14ac:dyDescent="0.2">
      <c r="A4" s="5">
        <v>44835</v>
      </c>
      <c r="B4" s="70" t="s">
        <v>54</v>
      </c>
      <c r="C4" s="70"/>
      <c r="D4" s="70"/>
      <c r="E4" s="41">
        <f>D4-C4</f>
        <v>0</v>
      </c>
      <c r="F4" s="71"/>
      <c r="G4" s="72"/>
      <c r="H4" s="44">
        <f>G4-F4</f>
        <v>0</v>
      </c>
      <c r="I4" s="15">
        <f>(H4*[1]Summary!$C$6)</f>
        <v>0</v>
      </c>
      <c r="J4" s="74">
        <v>3946.3</v>
      </c>
      <c r="K4" s="97" t="s">
        <v>55</v>
      </c>
      <c r="L4" s="98"/>
      <c r="M4" s="98"/>
    </row>
    <row r="5" spans="1:13" x14ac:dyDescent="0.2">
      <c r="A5" s="5">
        <v>44836</v>
      </c>
      <c r="B5" s="70">
        <v>1</v>
      </c>
      <c r="C5" s="73">
        <v>8.3000000000000007</v>
      </c>
      <c r="D5" s="73">
        <v>18</v>
      </c>
      <c r="E5" s="41">
        <f t="shared" ref="E5:E34" si="0">D5-C5</f>
        <v>9.6999999999999993</v>
      </c>
      <c r="F5" s="71">
        <v>1707992.1</v>
      </c>
      <c r="G5" s="72">
        <v>1708315.9</v>
      </c>
      <c r="H5" s="44">
        <f t="shared" ref="H5:H33" si="1">G5-F5</f>
        <v>323.79999999981374</v>
      </c>
      <c r="I5" s="15">
        <f>(H5*[1]Summary!$C$6)</f>
        <v>919.591999999471</v>
      </c>
      <c r="J5" s="74"/>
      <c r="K5" s="31"/>
    </row>
    <row r="6" spans="1:13" x14ac:dyDescent="0.2">
      <c r="A6" s="5">
        <v>44837</v>
      </c>
      <c r="B6" s="70">
        <v>1</v>
      </c>
      <c r="C6" s="73">
        <v>8.3000000000000007</v>
      </c>
      <c r="D6" s="73">
        <v>18</v>
      </c>
      <c r="E6" s="41">
        <f t="shared" si="0"/>
        <v>9.6999999999999993</v>
      </c>
      <c r="F6" s="75">
        <v>1708315.4</v>
      </c>
      <c r="G6" s="76">
        <v>1708656.1</v>
      </c>
      <c r="H6" s="44">
        <f t="shared" si="1"/>
        <v>340.70000000018626</v>
      </c>
      <c r="I6" s="15">
        <f>(H6*[1]Summary!$C$6)</f>
        <v>967.58800000052895</v>
      </c>
      <c r="J6" s="74">
        <v>5460</v>
      </c>
      <c r="K6" s="31" t="s">
        <v>56</v>
      </c>
    </row>
    <row r="7" spans="1:13" x14ac:dyDescent="0.2">
      <c r="A7" s="5">
        <v>44838</v>
      </c>
      <c r="B7" s="70" t="s">
        <v>54</v>
      </c>
      <c r="C7" s="73"/>
      <c r="D7" s="73"/>
      <c r="E7" s="41">
        <f t="shared" si="0"/>
        <v>0</v>
      </c>
      <c r="F7" s="71"/>
      <c r="G7" s="72"/>
      <c r="H7" s="44">
        <f t="shared" si="1"/>
        <v>0</v>
      </c>
      <c r="I7" s="15">
        <f>(H7*[1]Summary!$C$6)</f>
        <v>0</v>
      </c>
      <c r="J7" s="74"/>
      <c r="K7" s="31"/>
    </row>
    <row r="8" spans="1:13" x14ac:dyDescent="0.2">
      <c r="A8" s="5">
        <v>44839</v>
      </c>
      <c r="B8" s="70">
        <v>1</v>
      </c>
      <c r="C8" s="70">
        <v>8.3000000000000007</v>
      </c>
      <c r="D8" s="70">
        <v>18</v>
      </c>
      <c r="E8" s="41">
        <f t="shared" si="0"/>
        <v>9.6999999999999993</v>
      </c>
      <c r="F8" s="71">
        <v>1708656.1</v>
      </c>
      <c r="G8" s="72">
        <v>1709049.7</v>
      </c>
      <c r="H8" s="44">
        <f t="shared" si="1"/>
        <v>393.5999999998603</v>
      </c>
      <c r="I8" s="41">
        <f>(H8*[1]Summary!$C$6)</f>
        <v>1117.8239999996033</v>
      </c>
      <c r="J8" s="74"/>
      <c r="K8" s="31"/>
    </row>
    <row r="9" spans="1:13" x14ac:dyDescent="0.2">
      <c r="A9" s="5">
        <v>44840</v>
      </c>
      <c r="B9" s="70">
        <v>1</v>
      </c>
      <c r="C9" s="70">
        <v>8.3000000000000007</v>
      </c>
      <c r="D9" s="70">
        <v>18</v>
      </c>
      <c r="E9" s="41">
        <f t="shared" si="0"/>
        <v>9.6999999999999993</v>
      </c>
      <c r="F9" s="71">
        <v>1709049.7</v>
      </c>
      <c r="G9" s="77">
        <v>1709363.9</v>
      </c>
      <c r="H9" s="44">
        <f t="shared" si="1"/>
        <v>314.19999999995343</v>
      </c>
      <c r="I9" s="46">
        <f>(H9*[1]Summary!$C$6)</f>
        <v>892.32799999986776</v>
      </c>
      <c r="J9" s="74"/>
      <c r="K9" s="31"/>
    </row>
    <row r="10" spans="1:13" x14ac:dyDescent="0.2">
      <c r="A10" s="5">
        <v>44841</v>
      </c>
      <c r="B10" s="70">
        <v>1</v>
      </c>
      <c r="C10" s="70">
        <v>8.3000000000000007</v>
      </c>
      <c r="D10" s="70">
        <v>18</v>
      </c>
      <c r="E10" s="41">
        <f t="shared" si="0"/>
        <v>9.6999999999999993</v>
      </c>
      <c r="F10" s="71">
        <v>1709363.9</v>
      </c>
      <c r="G10" s="77">
        <v>1709546.1</v>
      </c>
      <c r="H10" s="44">
        <f t="shared" si="1"/>
        <v>182.20000000018626</v>
      </c>
      <c r="I10" s="46">
        <f>(H10*[1]Summary!$C$6)</f>
        <v>517.44800000052896</v>
      </c>
      <c r="J10" s="74"/>
      <c r="K10" s="99"/>
      <c r="L10" s="100"/>
    </row>
    <row r="11" spans="1:13" x14ac:dyDescent="0.2">
      <c r="A11" s="5">
        <v>44842</v>
      </c>
      <c r="B11" s="70">
        <v>1</v>
      </c>
      <c r="C11" s="73">
        <v>8.3000000000000007</v>
      </c>
      <c r="D11" s="73">
        <v>18</v>
      </c>
      <c r="E11" s="41">
        <f t="shared" si="0"/>
        <v>9.6999999999999993</v>
      </c>
      <c r="F11" s="71">
        <v>1709546.1</v>
      </c>
      <c r="G11" s="77">
        <v>1709852</v>
      </c>
      <c r="H11" s="44">
        <f t="shared" si="1"/>
        <v>305.89999999990687</v>
      </c>
      <c r="I11" s="46">
        <f>(H11*[1]Summary!$C$6)</f>
        <v>868.75599999973542</v>
      </c>
      <c r="J11" s="74">
        <v>-100</v>
      </c>
      <c r="K11" s="101" t="s">
        <v>57</v>
      </c>
      <c r="L11" s="102"/>
    </row>
    <row r="12" spans="1:13" x14ac:dyDescent="0.2">
      <c r="A12" s="5">
        <v>44843</v>
      </c>
      <c r="B12" s="70">
        <v>1</v>
      </c>
      <c r="C12" s="70">
        <v>8.3000000000000007</v>
      </c>
      <c r="D12" s="70">
        <v>18</v>
      </c>
      <c r="E12" s="41">
        <f t="shared" si="0"/>
        <v>9.6999999999999993</v>
      </c>
      <c r="F12" s="71">
        <v>1709852</v>
      </c>
      <c r="G12" s="77">
        <v>1710219.5</v>
      </c>
      <c r="H12" s="44">
        <f t="shared" si="1"/>
        <v>367.5</v>
      </c>
      <c r="I12" s="46">
        <f>(H12*[1]Summary!$C$6)</f>
        <v>1043.7</v>
      </c>
      <c r="J12" s="74"/>
      <c r="K12" s="31"/>
    </row>
    <row r="13" spans="1:13" x14ac:dyDescent="0.2">
      <c r="A13" s="5">
        <v>44844</v>
      </c>
      <c r="B13" s="70" t="s">
        <v>54</v>
      </c>
      <c r="C13" s="70"/>
      <c r="D13" s="70"/>
      <c r="E13" s="41">
        <f t="shared" si="0"/>
        <v>0</v>
      </c>
      <c r="F13" s="71"/>
      <c r="G13" s="77"/>
      <c r="H13" s="44">
        <f t="shared" si="1"/>
        <v>0</v>
      </c>
      <c r="I13" s="46">
        <f>(H13*[1]Summary!$C$6)</f>
        <v>0</v>
      </c>
      <c r="J13" s="74"/>
      <c r="K13" s="31"/>
    </row>
    <row r="14" spans="1:13" x14ac:dyDescent="0.2">
      <c r="A14" s="5">
        <v>44845</v>
      </c>
      <c r="B14" s="70">
        <v>1</v>
      </c>
      <c r="C14" s="70">
        <v>8.3000000000000007</v>
      </c>
      <c r="D14" s="70">
        <v>18</v>
      </c>
      <c r="E14" s="41">
        <f t="shared" si="0"/>
        <v>9.6999999999999993</v>
      </c>
      <c r="F14" s="71">
        <v>1710219.5</v>
      </c>
      <c r="G14" s="77">
        <v>1710592.5</v>
      </c>
      <c r="H14" s="44">
        <f t="shared" si="1"/>
        <v>373</v>
      </c>
      <c r="I14" s="46">
        <f>(H14*[1]Summary!$C$6)</f>
        <v>1059.32</v>
      </c>
      <c r="J14" s="74"/>
      <c r="K14" s="31"/>
    </row>
    <row r="15" spans="1:13" x14ac:dyDescent="0.2">
      <c r="A15" s="5">
        <v>44846</v>
      </c>
      <c r="B15" s="70" t="s">
        <v>54</v>
      </c>
      <c r="C15" s="70"/>
      <c r="D15" s="70"/>
      <c r="E15" s="41">
        <f t="shared" si="0"/>
        <v>0</v>
      </c>
      <c r="F15" s="71"/>
      <c r="G15" s="77"/>
      <c r="H15" s="44">
        <f t="shared" si="1"/>
        <v>0</v>
      </c>
      <c r="I15" s="46">
        <f>(H15*[1]Summary!$C$6)</f>
        <v>0</v>
      </c>
      <c r="J15" s="74"/>
      <c r="K15" s="31"/>
    </row>
    <row r="16" spans="1:13" x14ac:dyDescent="0.2">
      <c r="A16" s="5">
        <v>44847</v>
      </c>
      <c r="B16" s="70">
        <v>1</v>
      </c>
      <c r="C16" s="70">
        <v>8.3000000000000007</v>
      </c>
      <c r="D16" s="70">
        <v>18</v>
      </c>
      <c r="E16" s="41">
        <f t="shared" si="0"/>
        <v>9.6999999999999993</v>
      </c>
      <c r="F16" s="71">
        <v>1710592.5</v>
      </c>
      <c r="G16" s="77">
        <v>1710907.4</v>
      </c>
      <c r="H16" s="44">
        <f>G16-F16</f>
        <v>314.89999999990687</v>
      </c>
      <c r="I16" s="46">
        <f>(H16*[1]Summary!$C$6)</f>
        <v>894.31599999973548</v>
      </c>
      <c r="J16" s="74"/>
      <c r="K16" s="31"/>
    </row>
    <row r="17" spans="1:12" x14ac:dyDescent="0.2">
      <c r="A17" s="5">
        <v>44848</v>
      </c>
      <c r="B17" s="78">
        <v>1</v>
      </c>
      <c r="C17" s="78">
        <v>8.3000000000000007</v>
      </c>
      <c r="D17" s="78">
        <v>18</v>
      </c>
      <c r="E17" s="41">
        <f t="shared" si="0"/>
        <v>9.6999999999999993</v>
      </c>
      <c r="F17" s="71">
        <v>1710907.4</v>
      </c>
      <c r="G17" s="77">
        <v>1711215.4</v>
      </c>
      <c r="H17" s="44">
        <f t="shared" ref="H17:H18" si="2">G17-F17</f>
        <v>308</v>
      </c>
      <c r="I17" s="46">
        <f>(H17*[1]Summary!$C$6)</f>
        <v>874.71999999999991</v>
      </c>
      <c r="J17" s="74"/>
      <c r="K17" s="31"/>
    </row>
    <row r="18" spans="1:12" x14ac:dyDescent="0.2">
      <c r="A18" s="5">
        <v>44849</v>
      </c>
      <c r="B18" s="78">
        <v>1</v>
      </c>
      <c r="C18" s="78">
        <v>8.3000000000000007</v>
      </c>
      <c r="D18" s="78">
        <v>20</v>
      </c>
      <c r="E18" s="41">
        <f t="shared" si="0"/>
        <v>11.7</v>
      </c>
      <c r="F18" s="71">
        <v>1711215.4</v>
      </c>
      <c r="G18" s="77">
        <v>1711661.2</v>
      </c>
      <c r="H18" s="44">
        <f t="shared" si="2"/>
        <v>445.80000000004657</v>
      </c>
      <c r="I18" s="46">
        <f>(H18*[1]Summary!$C$6)</f>
        <v>1266.0720000001322</v>
      </c>
      <c r="J18" s="74"/>
      <c r="K18" s="31"/>
    </row>
    <row r="19" spans="1:12" x14ac:dyDescent="0.2">
      <c r="A19" s="5">
        <v>44850</v>
      </c>
      <c r="B19" s="78" t="s">
        <v>54</v>
      </c>
      <c r="C19" s="78"/>
      <c r="D19" s="78"/>
      <c r="E19" s="41">
        <f t="shared" si="0"/>
        <v>0</v>
      </c>
      <c r="F19" s="71"/>
      <c r="G19" s="77"/>
      <c r="H19" s="44">
        <f t="shared" si="1"/>
        <v>0</v>
      </c>
      <c r="I19" s="46">
        <f>(H19*[1]Summary!$C$6)</f>
        <v>0</v>
      </c>
      <c r="J19" s="74"/>
      <c r="K19" s="31"/>
    </row>
    <row r="20" spans="1:12" x14ac:dyDescent="0.2">
      <c r="A20" s="5">
        <v>44851</v>
      </c>
      <c r="B20" s="47">
        <v>1</v>
      </c>
      <c r="C20" s="47">
        <v>8.3000000000000007</v>
      </c>
      <c r="D20" s="47">
        <v>20</v>
      </c>
      <c r="E20" s="41">
        <f t="shared" si="0"/>
        <v>11.7</v>
      </c>
      <c r="F20" s="42">
        <v>1711661.2</v>
      </c>
      <c r="G20" s="45">
        <v>1712123.9</v>
      </c>
      <c r="H20" s="44">
        <f t="shared" si="1"/>
        <v>462.69999999995343</v>
      </c>
      <c r="I20" s="46">
        <f>(H20*[1]Summary!$C$6)</f>
        <v>1314.0679999998677</v>
      </c>
      <c r="J20" s="74">
        <v>-100</v>
      </c>
      <c r="K20" s="101" t="s">
        <v>58</v>
      </c>
      <c r="L20" s="102"/>
    </row>
    <row r="21" spans="1:12" x14ac:dyDescent="0.2">
      <c r="A21" s="5">
        <v>44852</v>
      </c>
      <c r="B21" s="47">
        <v>1</v>
      </c>
      <c r="C21" s="47">
        <v>8.3000000000000007</v>
      </c>
      <c r="D21" s="47">
        <v>20</v>
      </c>
      <c r="E21" s="41">
        <f t="shared" si="0"/>
        <v>11.7</v>
      </c>
      <c r="F21" s="44">
        <v>1712123.9</v>
      </c>
      <c r="G21" s="45">
        <v>1712488.3</v>
      </c>
      <c r="H21" s="44">
        <f>G21-F21</f>
        <v>364.4000000001397</v>
      </c>
      <c r="I21" s="46">
        <f>(H21*[1]Summary!$C$6)</f>
        <v>1034.8960000003967</v>
      </c>
      <c r="J21" s="74"/>
      <c r="K21" s="31"/>
    </row>
    <row r="22" spans="1:12" x14ac:dyDescent="0.2">
      <c r="A22" s="5">
        <v>44853</v>
      </c>
      <c r="B22" s="47">
        <v>1</v>
      </c>
      <c r="C22" s="47">
        <v>8.3000000000000007</v>
      </c>
      <c r="D22" s="47">
        <v>18</v>
      </c>
      <c r="E22" s="41">
        <f t="shared" si="0"/>
        <v>9.6999999999999993</v>
      </c>
      <c r="F22" s="44">
        <v>1712488.3</v>
      </c>
      <c r="G22" s="45">
        <v>1712849.4</v>
      </c>
      <c r="H22" s="44">
        <f t="shared" si="1"/>
        <v>361.0999999998603</v>
      </c>
      <c r="I22" s="46">
        <f>(H22*[1]Summary!$C$6)</f>
        <v>1025.5239999996031</v>
      </c>
      <c r="J22" s="79"/>
      <c r="K22" s="48"/>
    </row>
    <row r="23" spans="1:12" x14ac:dyDescent="0.2">
      <c r="A23" s="5">
        <v>44854</v>
      </c>
      <c r="B23" s="47">
        <v>1</v>
      </c>
      <c r="C23" s="47">
        <v>8.3000000000000007</v>
      </c>
      <c r="D23" s="47">
        <v>18</v>
      </c>
      <c r="E23" s="41">
        <f t="shared" si="0"/>
        <v>9.6999999999999993</v>
      </c>
      <c r="F23" s="44">
        <v>1712849.4</v>
      </c>
      <c r="G23" s="45">
        <v>1713167.7</v>
      </c>
      <c r="H23" s="44">
        <f t="shared" si="1"/>
        <v>318.30000000004657</v>
      </c>
      <c r="I23" s="46">
        <f>(H23*[1]Summary!$C$6)</f>
        <v>903.9720000001322</v>
      </c>
      <c r="J23" s="74">
        <v>4800</v>
      </c>
      <c r="K23" s="31" t="s">
        <v>56</v>
      </c>
    </row>
    <row r="24" spans="1:12" x14ac:dyDescent="0.2">
      <c r="A24" s="5">
        <v>44855</v>
      </c>
      <c r="B24" s="47">
        <v>1</v>
      </c>
      <c r="C24" s="47">
        <v>8.3000000000000007</v>
      </c>
      <c r="D24" s="47">
        <v>20</v>
      </c>
      <c r="E24" s="41">
        <f t="shared" si="0"/>
        <v>11.7</v>
      </c>
      <c r="F24" s="44">
        <v>1713167.7</v>
      </c>
      <c r="G24" s="45">
        <v>1713555</v>
      </c>
      <c r="H24" s="44">
        <f t="shared" si="1"/>
        <v>387.30000000004657</v>
      </c>
      <c r="I24" s="46">
        <f>(H24*[1]Summary!$C$6)</f>
        <v>1099.9320000001321</v>
      </c>
      <c r="J24" s="74"/>
      <c r="K24" s="31"/>
    </row>
    <row r="25" spans="1:12" x14ac:dyDescent="0.2">
      <c r="A25" s="5">
        <v>44856</v>
      </c>
      <c r="B25" s="47">
        <v>1</v>
      </c>
      <c r="C25" s="47">
        <v>8.3000000000000007</v>
      </c>
      <c r="D25" s="47">
        <v>20</v>
      </c>
      <c r="E25" s="41">
        <f t="shared" si="0"/>
        <v>11.7</v>
      </c>
      <c r="F25" s="42">
        <v>1713550.7</v>
      </c>
      <c r="G25" s="45">
        <v>1713950.6</v>
      </c>
      <c r="H25" s="44">
        <f t="shared" si="1"/>
        <v>399.9000000001397</v>
      </c>
      <c r="I25" s="46">
        <f>(H25*[1]Summary!$C$6)</f>
        <v>1135.7160000003967</v>
      </c>
      <c r="J25" s="74"/>
      <c r="K25" s="31"/>
    </row>
    <row r="26" spans="1:12" x14ac:dyDescent="0.2">
      <c r="A26" s="5">
        <v>44857</v>
      </c>
      <c r="B26" s="47">
        <v>1</v>
      </c>
      <c r="C26" s="47">
        <v>8.3000000000000007</v>
      </c>
      <c r="D26" s="47">
        <v>20</v>
      </c>
      <c r="E26" s="41">
        <f t="shared" si="0"/>
        <v>11.7</v>
      </c>
      <c r="F26" s="42">
        <v>1713950.6</v>
      </c>
      <c r="G26" s="45">
        <v>1714375.3</v>
      </c>
      <c r="H26" s="44">
        <f t="shared" si="1"/>
        <v>424.69999999995343</v>
      </c>
      <c r="I26" s="46">
        <f>(H26*[1]Summary!$C$6)</f>
        <v>1206.1479999998676</v>
      </c>
      <c r="J26" s="74"/>
      <c r="K26" s="31"/>
    </row>
    <row r="27" spans="1:12" x14ac:dyDescent="0.2">
      <c r="A27" s="5">
        <v>44858</v>
      </c>
      <c r="B27" s="47">
        <v>1</v>
      </c>
      <c r="C27" s="47">
        <v>8.3000000000000007</v>
      </c>
      <c r="D27" s="47">
        <v>20</v>
      </c>
      <c r="E27" s="41">
        <f t="shared" si="0"/>
        <v>11.7</v>
      </c>
      <c r="F27" s="42">
        <v>1714375.3</v>
      </c>
      <c r="G27" s="45">
        <v>1714798.3</v>
      </c>
      <c r="H27" s="44">
        <f t="shared" si="1"/>
        <v>423</v>
      </c>
      <c r="I27" s="46">
        <f>(H27*[1]Summary!$C$6)</f>
        <v>1201.32</v>
      </c>
      <c r="J27" s="74"/>
      <c r="K27" s="31"/>
    </row>
    <row r="28" spans="1:12" x14ac:dyDescent="0.2">
      <c r="A28" s="5">
        <v>44859</v>
      </c>
      <c r="B28" s="47">
        <v>1</v>
      </c>
      <c r="C28" s="47">
        <v>8.3000000000000007</v>
      </c>
      <c r="D28" s="47">
        <v>20</v>
      </c>
      <c r="E28" s="41">
        <f t="shared" si="0"/>
        <v>11.7</v>
      </c>
      <c r="F28" s="42">
        <v>1714798.3</v>
      </c>
      <c r="G28" s="45">
        <v>1715214.3</v>
      </c>
      <c r="H28" s="44">
        <f t="shared" si="1"/>
        <v>416</v>
      </c>
      <c r="I28" s="46">
        <f>(H28*[1]Summary!$C$6)</f>
        <v>1181.44</v>
      </c>
      <c r="J28" s="74"/>
      <c r="K28" s="31"/>
    </row>
    <row r="29" spans="1:12" x14ac:dyDescent="0.2">
      <c r="A29" s="5">
        <v>44860</v>
      </c>
      <c r="B29" s="47">
        <v>1</v>
      </c>
      <c r="C29" s="47">
        <v>8.3000000000000007</v>
      </c>
      <c r="D29" s="47">
        <v>20</v>
      </c>
      <c r="E29" s="41">
        <f t="shared" si="0"/>
        <v>11.7</v>
      </c>
      <c r="F29" s="42">
        <v>1715214.3</v>
      </c>
      <c r="G29" s="45">
        <v>1715631.6</v>
      </c>
      <c r="H29" s="44">
        <f t="shared" si="1"/>
        <v>417.30000000004657</v>
      </c>
      <c r="I29" s="46">
        <f>(H29*[1]Summary!$C$6)</f>
        <v>1185.1320000001322</v>
      </c>
      <c r="J29" s="74"/>
      <c r="K29" s="31"/>
    </row>
    <row r="30" spans="1:12" x14ac:dyDescent="0.2">
      <c r="A30" s="5">
        <v>44861</v>
      </c>
      <c r="B30" s="40">
        <v>1</v>
      </c>
      <c r="C30" s="40">
        <v>8.3000000000000007</v>
      </c>
      <c r="D30" s="40">
        <v>20</v>
      </c>
      <c r="E30" s="41">
        <f t="shared" si="0"/>
        <v>11.7</v>
      </c>
      <c r="F30" s="42">
        <v>1715631.6</v>
      </c>
      <c r="G30" s="43">
        <v>1716040.5</v>
      </c>
      <c r="H30" s="44">
        <f t="shared" si="1"/>
        <v>408.89999999990687</v>
      </c>
      <c r="I30" s="46">
        <f>(H30*[1]Summary!$C$6)</f>
        <v>1161.2759999997354</v>
      </c>
      <c r="J30" s="74"/>
      <c r="K30" s="31"/>
    </row>
    <row r="31" spans="1:12" x14ac:dyDescent="0.2">
      <c r="A31" s="5">
        <v>44862</v>
      </c>
      <c r="B31" s="40">
        <v>1</v>
      </c>
      <c r="C31" s="40">
        <v>8.3000000000000007</v>
      </c>
      <c r="D31" s="40">
        <v>20</v>
      </c>
      <c r="E31" s="41">
        <f t="shared" si="0"/>
        <v>11.7</v>
      </c>
      <c r="F31" s="42">
        <v>1716040</v>
      </c>
      <c r="G31" s="43">
        <v>1716462.9</v>
      </c>
      <c r="H31" s="44">
        <f>G31-F31</f>
        <v>422.89999999990687</v>
      </c>
      <c r="I31" s="46">
        <f>(H31*[1]Summary!$C$6)</f>
        <v>1201.0359999997354</v>
      </c>
      <c r="J31" s="74"/>
      <c r="K31" s="31"/>
    </row>
    <row r="32" spans="1:12" x14ac:dyDescent="0.2">
      <c r="A32" s="5">
        <v>44863</v>
      </c>
      <c r="B32" s="40">
        <v>1</v>
      </c>
      <c r="C32" s="40">
        <v>8.3000000000000007</v>
      </c>
      <c r="D32" s="40">
        <v>18</v>
      </c>
      <c r="E32" s="41">
        <f t="shared" si="0"/>
        <v>9.6999999999999993</v>
      </c>
      <c r="F32" s="42">
        <v>1716463.1</v>
      </c>
      <c r="G32" s="43">
        <v>1716810.8</v>
      </c>
      <c r="H32" s="44">
        <f t="shared" si="1"/>
        <v>347.69999999995343</v>
      </c>
      <c r="I32" s="46">
        <f>(H32*[1]Summary!$C$6)</f>
        <v>987.46799999986774</v>
      </c>
      <c r="J32" s="74"/>
      <c r="K32" s="31"/>
    </row>
    <row r="33" spans="1:11" x14ac:dyDescent="0.2">
      <c r="A33" s="5">
        <v>44864</v>
      </c>
      <c r="B33" s="40">
        <v>1</v>
      </c>
      <c r="C33" s="40">
        <v>8.3000000000000007</v>
      </c>
      <c r="D33" s="40">
        <v>18</v>
      </c>
      <c r="E33" s="41">
        <f t="shared" si="0"/>
        <v>9.6999999999999993</v>
      </c>
      <c r="F33" s="42">
        <v>1716810.8</v>
      </c>
      <c r="G33" s="43">
        <v>1717153.2</v>
      </c>
      <c r="H33" s="44">
        <f t="shared" si="1"/>
        <v>342.39999999990687</v>
      </c>
      <c r="I33" s="46">
        <f>(H33*[1]Summary!$C$6)</f>
        <v>972.4159999997355</v>
      </c>
      <c r="J33" s="74"/>
      <c r="K33" s="31"/>
    </row>
    <row r="34" spans="1:11" x14ac:dyDescent="0.2">
      <c r="A34" s="5">
        <v>44865</v>
      </c>
      <c r="B34" s="40" t="s">
        <v>59</v>
      </c>
      <c r="C34" s="40"/>
      <c r="D34" s="40"/>
      <c r="E34" s="41">
        <f t="shared" si="0"/>
        <v>0</v>
      </c>
      <c r="F34" s="42"/>
      <c r="G34" s="43"/>
      <c r="H34" s="44">
        <f>G34-F34</f>
        <v>0</v>
      </c>
      <c r="I34" s="46">
        <f>(H34*[1]Summary!$C$6)</f>
        <v>0</v>
      </c>
      <c r="J34" s="80"/>
      <c r="K34" s="31"/>
    </row>
    <row r="35" spans="1:11" x14ac:dyDescent="0.2">
      <c r="A35" s="39"/>
      <c r="B35" s="40"/>
      <c r="C35" s="40"/>
      <c r="D35" s="40"/>
      <c r="E35" s="15"/>
      <c r="F35" s="49"/>
      <c r="G35" s="43"/>
      <c r="H35" s="50"/>
      <c r="I35" s="15"/>
      <c r="J35" s="93">
        <f>SUM(J4:J34)-H36</f>
        <v>4840.1000000002787</v>
      </c>
      <c r="K35" s="95" t="s">
        <v>60</v>
      </c>
    </row>
    <row r="36" spans="1:11" x14ac:dyDescent="0.2">
      <c r="A36" s="88" t="s">
        <v>30</v>
      </c>
      <c r="B36" s="92"/>
      <c r="C36" s="40"/>
      <c r="D36" s="40"/>
      <c r="E36" s="15"/>
      <c r="F36" s="51"/>
      <c r="G36" s="52"/>
      <c r="H36" s="34">
        <f>SUM(H4:H34)</f>
        <v>9166.1999999997206</v>
      </c>
      <c r="I36" s="36">
        <f>SUM(I4:I34)</f>
        <v>26032.007999999201</v>
      </c>
      <c r="J36" s="94"/>
      <c r="K36" s="96"/>
    </row>
    <row r="37" spans="1:11" x14ac:dyDescent="0.2">
      <c r="A37" s="53"/>
      <c r="D37" s="30"/>
    </row>
    <row r="38" spans="1:11" x14ac:dyDescent="0.2">
      <c r="F38" s="55"/>
      <c r="G38" s="37"/>
      <c r="H38" s="37"/>
    </row>
    <row r="39" spans="1:11" ht="15.75" x14ac:dyDescent="0.25">
      <c r="A39" s="56"/>
    </row>
  </sheetData>
  <mergeCells count="7">
    <mergeCell ref="A36:B36"/>
    <mergeCell ref="J35:J36"/>
    <mergeCell ref="K35:K36"/>
    <mergeCell ref="K4:M4"/>
    <mergeCell ref="K10:L10"/>
    <mergeCell ref="K11:L11"/>
    <mergeCell ref="K20:L20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Albany Chang</cp:lastModifiedBy>
  <cp:revision/>
  <dcterms:created xsi:type="dcterms:W3CDTF">2010-04-20T02:02:44Z</dcterms:created>
  <dcterms:modified xsi:type="dcterms:W3CDTF">2023-02-24T05:58:41Z</dcterms:modified>
  <cp:category/>
  <cp:contentStatus/>
</cp:coreProperties>
</file>